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016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ubo/BULL_data/master_excel/"/>
    </mc:Choice>
  </mc:AlternateContent>
  <bookViews>
    <workbookView xWindow="0" yWindow="460" windowWidth="28800" windowHeight="15940" tabRatio="943" activeTab="5"/>
  </bookViews>
  <sheets>
    <sheet name="確率の考え方" sheetId="110" r:id="rId1"/>
    <sheet name="Sheet1" sheetId="107" r:id="rId2"/>
    <sheet name="output" sheetId="103" r:id="rId3"/>
    <sheet name="input_531010" sheetId="157" r:id="rId4"/>
    <sheet name="tables_531010" sheetId="158" r:id="rId5"/>
    <sheet name="gacha_bonus_tables" sheetId="98" r:id="rId6"/>
    <sheet name="R6追加前" sheetId="111" r:id="rId7"/>
    <sheet name="R6開放" sheetId="112" r:id="rId8"/>
  </sheets>
  <externalReferences>
    <externalReference r:id="rId9"/>
  </externalReferences>
  <definedNames>
    <definedName name="_xlnm._FilterDatabase" localSheetId="5" hidden="1">gacha_bonus_tables!$A$1:$F$1</definedName>
    <definedName name="_xlnm._FilterDatabase" localSheetId="4" hidden="1">tables_531010!$A$1:$V$354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5" i="157" l="1"/>
  <c r="I2" i="158"/>
  <c r="J2" i="158"/>
  <c r="D2" i="158"/>
  <c r="E2" i="158"/>
  <c r="F2" i="158"/>
  <c r="C2" i="158"/>
  <c r="I3" i="158"/>
  <c r="J3" i="158"/>
  <c r="D3" i="158"/>
  <c r="E3" i="158"/>
  <c r="F3" i="158"/>
  <c r="C3" i="158"/>
  <c r="I4" i="158"/>
  <c r="J4" i="158"/>
  <c r="D4" i="158"/>
  <c r="E4" i="158"/>
  <c r="F4" i="158"/>
  <c r="C4" i="158"/>
  <c r="I5" i="158"/>
  <c r="J5" i="158"/>
  <c r="D5" i="158"/>
  <c r="E5" i="158"/>
  <c r="F5" i="158"/>
  <c r="C5" i="158"/>
  <c r="I6" i="158"/>
  <c r="J6" i="158"/>
  <c r="D6" i="158"/>
  <c r="E6" i="158"/>
  <c r="F6" i="158"/>
  <c r="C6" i="158"/>
  <c r="I7" i="158"/>
  <c r="J7" i="158"/>
  <c r="D7" i="158"/>
  <c r="E7" i="158"/>
  <c r="F7" i="158"/>
  <c r="C7" i="158"/>
  <c r="I8" i="158"/>
  <c r="J8" i="158"/>
  <c r="D8" i="158"/>
  <c r="E8" i="158"/>
  <c r="F8" i="158"/>
  <c r="C8" i="158"/>
  <c r="I9" i="158"/>
  <c r="J9" i="158"/>
  <c r="D9" i="158"/>
  <c r="E9" i="158"/>
  <c r="F9" i="158"/>
  <c r="C9" i="158"/>
  <c r="I10" i="158"/>
  <c r="J10" i="158"/>
  <c r="D10" i="158"/>
  <c r="E10" i="158"/>
  <c r="F10" i="158"/>
  <c r="C10" i="158"/>
  <c r="I11" i="158"/>
  <c r="J11" i="158"/>
  <c r="D11" i="158"/>
  <c r="E11" i="158"/>
  <c r="F11" i="158"/>
  <c r="C11" i="158"/>
  <c r="I12" i="158"/>
  <c r="J12" i="158"/>
  <c r="D12" i="158"/>
  <c r="E12" i="158"/>
  <c r="F12" i="158"/>
  <c r="C12" i="158"/>
  <c r="I13" i="158"/>
  <c r="J13" i="158"/>
  <c r="D13" i="158"/>
  <c r="E13" i="158"/>
  <c r="F13" i="158"/>
  <c r="C13" i="158"/>
  <c r="I14" i="158"/>
  <c r="J14" i="158"/>
  <c r="D14" i="158"/>
  <c r="E14" i="158"/>
  <c r="F14" i="158"/>
  <c r="C14" i="158"/>
  <c r="I15" i="158"/>
  <c r="J15" i="158"/>
  <c r="D15" i="158"/>
  <c r="E15" i="158"/>
  <c r="F15" i="158"/>
  <c r="C15" i="158"/>
  <c r="I16" i="158"/>
  <c r="J16" i="158"/>
  <c r="D16" i="158"/>
  <c r="E16" i="158"/>
  <c r="F16" i="158"/>
  <c r="C16" i="158"/>
  <c r="I17" i="158"/>
  <c r="J17" i="158"/>
  <c r="D17" i="158"/>
  <c r="E17" i="158"/>
  <c r="F17" i="158"/>
  <c r="C17" i="158"/>
  <c r="I18" i="158"/>
  <c r="J18" i="158"/>
  <c r="D18" i="158"/>
  <c r="E18" i="158"/>
  <c r="F18" i="158"/>
  <c r="C18" i="158"/>
  <c r="I19" i="158"/>
  <c r="J19" i="158"/>
  <c r="D19" i="158"/>
  <c r="E19" i="158"/>
  <c r="F19" i="158"/>
  <c r="C19" i="158"/>
  <c r="I20" i="158"/>
  <c r="J20" i="158"/>
  <c r="D20" i="158"/>
  <c r="E20" i="158"/>
  <c r="F20" i="158"/>
  <c r="C20" i="158"/>
  <c r="I21" i="158"/>
  <c r="J21" i="158"/>
  <c r="D21" i="158"/>
  <c r="E21" i="158"/>
  <c r="F21" i="158"/>
  <c r="C21" i="158"/>
  <c r="I22" i="158"/>
  <c r="J22" i="158"/>
  <c r="D22" i="158"/>
  <c r="E22" i="158"/>
  <c r="F22" i="158"/>
  <c r="C22" i="158"/>
  <c r="I23" i="158"/>
  <c r="J23" i="158"/>
  <c r="D23" i="158"/>
  <c r="E23" i="158"/>
  <c r="F23" i="158"/>
  <c r="C23" i="158"/>
  <c r="I24" i="158"/>
  <c r="J24" i="158"/>
  <c r="D24" i="158"/>
  <c r="E24" i="158"/>
  <c r="F24" i="158"/>
  <c r="C24" i="158"/>
  <c r="I25" i="158"/>
  <c r="J25" i="158"/>
  <c r="D25" i="158"/>
  <c r="E25" i="158"/>
  <c r="F25" i="158"/>
  <c r="C25" i="158"/>
  <c r="I26" i="158"/>
  <c r="J26" i="158"/>
  <c r="D26" i="158"/>
  <c r="E26" i="158"/>
  <c r="F26" i="158"/>
  <c r="C26" i="158"/>
  <c r="I27" i="158"/>
  <c r="J27" i="158"/>
  <c r="D27" i="158"/>
  <c r="E27" i="158"/>
  <c r="F27" i="158"/>
  <c r="C27" i="158"/>
  <c r="I28" i="158"/>
  <c r="J28" i="158"/>
  <c r="D28" i="158"/>
  <c r="E28" i="158"/>
  <c r="F28" i="158"/>
  <c r="C28" i="158"/>
  <c r="I29" i="158"/>
  <c r="J29" i="158"/>
  <c r="D29" i="158"/>
  <c r="E29" i="158"/>
  <c r="F29" i="158"/>
  <c r="C29" i="158"/>
  <c r="I30" i="158"/>
  <c r="J30" i="158"/>
  <c r="D30" i="158"/>
  <c r="E30" i="158"/>
  <c r="F30" i="158"/>
  <c r="C30" i="158"/>
  <c r="I31" i="158"/>
  <c r="J31" i="158"/>
  <c r="D31" i="158"/>
  <c r="E31" i="158"/>
  <c r="F31" i="158"/>
  <c r="C31" i="158"/>
  <c r="I32" i="158"/>
  <c r="J32" i="158"/>
  <c r="D32" i="158"/>
  <c r="E32" i="158"/>
  <c r="F32" i="158"/>
  <c r="C32" i="158"/>
  <c r="I33" i="158"/>
  <c r="J33" i="158"/>
  <c r="D33" i="158"/>
  <c r="E33" i="158"/>
  <c r="F33" i="158"/>
  <c r="C33" i="158"/>
  <c r="I34" i="158"/>
  <c r="J34" i="158"/>
  <c r="D34" i="158"/>
  <c r="E34" i="158"/>
  <c r="F34" i="158"/>
  <c r="C34" i="158"/>
  <c r="I35" i="158"/>
  <c r="J35" i="158"/>
  <c r="D35" i="158"/>
  <c r="E35" i="158"/>
  <c r="F35" i="158"/>
  <c r="C35" i="158"/>
  <c r="I36" i="158"/>
  <c r="J36" i="158"/>
  <c r="D36" i="158"/>
  <c r="E36" i="158"/>
  <c r="F36" i="158"/>
  <c r="C36" i="158"/>
  <c r="I37" i="158"/>
  <c r="J37" i="158"/>
  <c r="D37" i="158"/>
  <c r="E37" i="158"/>
  <c r="F37" i="158"/>
  <c r="C37" i="158"/>
  <c r="I38" i="158"/>
  <c r="J38" i="158"/>
  <c r="D38" i="158"/>
  <c r="E38" i="158"/>
  <c r="F38" i="158"/>
  <c r="C38" i="158"/>
  <c r="I39" i="158"/>
  <c r="J39" i="158"/>
  <c r="D39" i="158"/>
  <c r="E39" i="158"/>
  <c r="F39" i="158"/>
  <c r="C39" i="158"/>
  <c r="I40" i="158"/>
  <c r="J40" i="158"/>
  <c r="D40" i="158"/>
  <c r="E40" i="158"/>
  <c r="F40" i="158"/>
  <c r="C40" i="158"/>
  <c r="I41" i="158"/>
  <c r="J41" i="158"/>
  <c r="D41" i="158"/>
  <c r="E41" i="158"/>
  <c r="F41" i="158"/>
  <c r="C41" i="158"/>
  <c r="I42" i="158"/>
  <c r="D42" i="158"/>
  <c r="J42" i="158"/>
  <c r="E42" i="158"/>
  <c r="F42" i="158"/>
  <c r="C42" i="158"/>
  <c r="I43" i="158"/>
  <c r="D43" i="158"/>
  <c r="J43" i="158"/>
  <c r="E43" i="158"/>
  <c r="F43" i="158"/>
  <c r="C43" i="158"/>
  <c r="I44" i="158"/>
  <c r="D44" i="158"/>
  <c r="J44" i="158"/>
  <c r="E44" i="158"/>
  <c r="F44" i="158"/>
  <c r="C44" i="158"/>
  <c r="I45" i="158"/>
  <c r="D45" i="158"/>
  <c r="J45" i="158"/>
  <c r="E45" i="158"/>
  <c r="F45" i="158"/>
  <c r="C45" i="158"/>
  <c r="I46" i="158"/>
  <c r="D46" i="158"/>
  <c r="J46" i="158"/>
  <c r="E46" i="158"/>
  <c r="F46" i="158"/>
  <c r="C46" i="158"/>
  <c r="I47" i="158"/>
  <c r="D47" i="158"/>
  <c r="J47" i="158"/>
  <c r="E47" i="158"/>
  <c r="F47" i="158"/>
  <c r="C47" i="158"/>
  <c r="I48" i="158"/>
  <c r="D48" i="158"/>
  <c r="J48" i="158"/>
  <c r="E48" i="158"/>
  <c r="F48" i="158"/>
  <c r="C48" i="158"/>
  <c r="I49" i="158"/>
  <c r="D49" i="158"/>
  <c r="J49" i="158"/>
  <c r="E49" i="158"/>
  <c r="F49" i="158"/>
  <c r="C49" i="158"/>
  <c r="I50" i="158"/>
  <c r="D50" i="158"/>
  <c r="J50" i="158"/>
  <c r="E50" i="158"/>
  <c r="F50" i="158"/>
  <c r="C50" i="158"/>
  <c r="I51" i="158"/>
  <c r="D51" i="158"/>
  <c r="J51" i="158"/>
  <c r="E51" i="158"/>
  <c r="F51" i="158"/>
  <c r="C51" i="158"/>
  <c r="I52" i="158"/>
  <c r="D52" i="158"/>
  <c r="J52" i="158"/>
  <c r="E52" i="158"/>
  <c r="F52" i="158"/>
  <c r="C52" i="158"/>
  <c r="I53" i="158"/>
  <c r="D53" i="158"/>
  <c r="J53" i="158"/>
  <c r="E53" i="158"/>
  <c r="F53" i="158"/>
  <c r="C53" i="158"/>
  <c r="I54" i="158"/>
  <c r="D54" i="158"/>
  <c r="J54" i="158"/>
  <c r="E54" i="158"/>
  <c r="F54" i="158"/>
  <c r="C54" i="158"/>
  <c r="I55" i="158"/>
  <c r="D55" i="158"/>
  <c r="J55" i="158"/>
  <c r="E55" i="158"/>
  <c r="F55" i="158"/>
  <c r="C55" i="158"/>
  <c r="I56" i="158"/>
  <c r="D56" i="158"/>
  <c r="J56" i="158"/>
  <c r="E56" i="158"/>
  <c r="F56" i="158"/>
  <c r="C56" i="158"/>
  <c r="I57" i="158"/>
  <c r="D57" i="158"/>
  <c r="J57" i="158"/>
  <c r="E57" i="158"/>
  <c r="F57" i="158"/>
  <c r="C57" i="158"/>
  <c r="I58" i="158"/>
  <c r="D58" i="158"/>
  <c r="J58" i="158"/>
  <c r="E58" i="158"/>
  <c r="F58" i="158"/>
  <c r="C58" i="158"/>
  <c r="I59" i="158"/>
  <c r="D59" i="158"/>
  <c r="J59" i="158"/>
  <c r="E59" i="158"/>
  <c r="F59" i="158"/>
  <c r="C59" i="158"/>
  <c r="I60" i="158"/>
  <c r="D60" i="158"/>
  <c r="J60" i="158"/>
  <c r="E60" i="158"/>
  <c r="F60" i="158"/>
  <c r="C60" i="158"/>
  <c r="I61" i="158"/>
  <c r="D61" i="158"/>
  <c r="J61" i="158"/>
  <c r="E61" i="158"/>
  <c r="F61" i="158"/>
  <c r="C61" i="158"/>
  <c r="I62" i="158"/>
  <c r="D62" i="158"/>
  <c r="J62" i="158"/>
  <c r="E62" i="158"/>
  <c r="F62" i="158"/>
  <c r="C62" i="158"/>
  <c r="I63" i="158"/>
  <c r="D63" i="158"/>
  <c r="J63" i="158"/>
  <c r="E63" i="158"/>
  <c r="F63" i="158"/>
  <c r="C63" i="158"/>
  <c r="I64" i="158"/>
  <c r="D64" i="158"/>
  <c r="J64" i="158"/>
  <c r="E64" i="158"/>
  <c r="F64" i="158"/>
  <c r="C64" i="158"/>
  <c r="I65" i="158"/>
  <c r="D65" i="158"/>
  <c r="J65" i="158"/>
  <c r="E65" i="158"/>
  <c r="F65" i="158"/>
  <c r="C65" i="158"/>
  <c r="I66" i="158"/>
  <c r="D66" i="158"/>
  <c r="J66" i="158"/>
  <c r="E66" i="158"/>
  <c r="F66" i="158"/>
  <c r="C66" i="158"/>
  <c r="I67" i="158"/>
  <c r="D67" i="158"/>
  <c r="J67" i="158"/>
  <c r="E67" i="158"/>
  <c r="F67" i="158"/>
  <c r="C67" i="158"/>
  <c r="I68" i="158"/>
  <c r="D68" i="158"/>
  <c r="J68" i="158"/>
  <c r="E68" i="158"/>
  <c r="F68" i="158"/>
  <c r="C68" i="158"/>
  <c r="I69" i="158"/>
  <c r="D69" i="158"/>
  <c r="J69" i="158"/>
  <c r="E69" i="158"/>
  <c r="F69" i="158"/>
  <c r="C69" i="158"/>
  <c r="I70" i="158"/>
  <c r="D70" i="158"/>
  <c r="J70" i="158"/>
  <c r="E70" i="158"/>
  <c r="F70" i="158"/>
  <c r="C70" i="158"/>
  <c r="I71" i="158"/>
  <c r="D71" i="158"/>
  <c r="J71" i="158"/>
  <c r="E71" i="158"/>
  <c r="F71" i="158"/>
  <c r="C71" i="158"/>
  <c r="I72" i="158"/>
  <c r="D72" i="158"/>
  <c r="J72" i="158"/>
  <c r="E72" i="158"/>
  <c r="F72" i="158"/>
  <c r="C72" i="158"/>
  <c r="I73" i="158"/>
  <c r="D73" i="158"/>
  <c r="J73" i="158"/>
  <c r="E73" i="158"/>
  <c r="F73" i="158"/>
  <c r="C73" i="158"/>
  <c r="I74" i="158"/>
  <c r="D74" i="158"/>
  <c r="J74" i="158"/>
  <c r="E74" i="158"/>
  <c r="F74" i="158"/>
  <c r="C74" i="158"/>
  <c r="I75" i="158"/>
  <c r="D75" i="158"/>
  <c r="J75" i="158"/>
  <c r="E75" i="158"/>
  <c r="F75" i="158"/>
  <c r="C75" i="158"/>
  <c r="I76" i="158"/>
  <c r="D76" i="158"/>
  <c r="J76" i="158"/>
  <c r="E76" i="158"/>
  <c r="F76" i="158"/>
  <c r="C76" i="158"/>
  <c r="I77" i="158"/>
  <c r="D77" i="158"/>
  <c r="J77" i="158"/>
  <c r="E77" i="158"/>
  <c r="F77" i="158"/>
  <c r="C77" i="158"/>
  <c r="I78" i="158"/>
  <c r="D78" i="158"/>
  <c r="J78" i="158"/>
  <c r="E78" i="158"/>
  <c r="F78" i="158"/>
  <c r="C78" i="158"/>
  <c r="I79" i="158"/>
  <c r="D79" i="158"/>
  <c r="J79" i="158"/>
  <c r="E79" i="158"/>
  <c r="F79" i="158"/>
  <c r="C79" i="158"/>
  <c r="I80" i="158"/>
  <c r="D80" i="158"/>
  <c r="J80" i="158"/>
  <c r="E80" i="158"/>
  <c r="F80" i="158"/>
  <c r="C80" i="158"/>
  <c r="I81" i="158"/>
  <c r="D81" i="158"/>
  <c r="J81" i="158"/>
  <c r="E81" i="158"/>
  <c r="F81" i="158"/>
  <c r="C81" i="158"/>
  <c r="I82" i="158"/>
  <c r="D82" i="158"/>
  <c r="J82" i="158"/>
  <c r="E82" i="158"/>
  <c r="F82" i="158"/>
  <c r="C82" i="158"/>
  <c r="I83" i="158"/>
  <c r="D83" i="158"/>
  <c r="J83" i="158"/>
  <c r="E83" i="158"/>
  <c r="F83" i="158"/>
  <c r="C83" i="158"/>
  <c r="I84" i="158"/>
  <c r="D84" i="158"/>
  <c r="J84" i="158"/>
  <c r="E84" i="158"/>
  <c r="F84" i="158"/>
  <c r="C84" i="158"/>
  <c r="I85" i="158"/>
  <c r="D85" i="158"/>
  <c r="J85" i="158"/>
  <c r="E85" i="158"/>
  <c r="F85" i="158"/>
  <c r="C85" i="158"/>
  <c r="I86" i="158"/>
  <c r="D86" i="158"/>
  <c r="J86" i="158"/>
  <c r="E86" i="158"/>
  <c r="F86" i="158"/>
  <c r="C86" i="158"/>
  <c r="I87" i="158"/>
  <c r="D87" i="158"/>
  <c r="J87" i="158"/>
  <c r="E87" i="158"/>
  <c r="F87" i="158"/>
  <c r="C87" i="158"/>
  <c r="I88" i="158"/>
  <c r="D88" i="158"/>
  <c r="J88" i="158"/>
  <c r="E88" i="158"/>
  <c r="F88" i="158"/>
  <c r="C88" i="158"/>
  <c r="I89" i="158"/>
  <c r="D89" i="158"/>
  <c r="J89" i="158"/>
  <c r="E89" i="158"/>
  <c r="F89" i="158"/>
  <c r="C89" i="158"/>
  <c r="I90" i="158"/>
  <c r="D90" i="158"/>
  <c r="J90" i="158"/>
  <c r="E90" i="158"/>
  <c r="F90" i="158"/>
  <c r="C90" i="158"/>
  <c r="I91" i="158"/>
  <c r="D91" i="158"/>
  <c r="J91" i="158"/>
  <c r="E91" i="158"/>
  <c r="F91" i="158"/>
  <c r="C91" i="158"/>
  <c r="I92" i="158"/>
  <c r="D92" i="158"/>
  <c r="J92" i="158"/>
  <c r="E92" i="158"/>
  <c r="F92" i="158"/>
  <c r="C92" i="158"/>
  <c r="I93" i="158"/>
  <c r="D93" i="158"/>
  <c r="J93" i="158"/>
  <c r="E93" i="158"/>
  <c r="F93" i="158"/>
  <c r="C93" i="158"/>
  <c r="I94" i="158"/>
  <c r="D94" i="158"/>
  <c r="J94" i="158"/>
  <c r="E94" i="158"/>
  <c r="F94" i="158"/>
  <c r="C94" i="158"/>
  <c r="I95" i="158"/>
  <c r="D95" i="158"/>
  <c r="J95" i="158"/>
  <c r="E95" i="158"/>
  <c r="F95" i="158"/>
  <c r="C95" i="158"/>
  <c r="I96" i="158"/>
  <c r="D96" i="158"/>
  <c r="J96" i="158"/>
  <c r="E96" i="158"/>
  <c r="F96" i="158"/>
  <c r="C96" i="158"/>
  <c r="I97" i="158"/>
  <c r="D97" i="158"/>
  <c r="J97" i="158"/>
  <c r="E97" i="158"/>
  <c r="F97" i="158"/>
  <c r="C97" i="158"/>
  <c r="I98" i="158"/>
  <c r="D98" i="158"/>
  <c r="J98" i="158"/>
  <c r="E98" i="158"/>
  <c r="F98" i="158"/>
  <c r="C98" i="158"/>
  <c r="I99" i="158"/>
  <c r="D99" i="158"/>
  <c r="J99" i="158"/>
  <c r="E99" i="158"/>
  <c r="F99" i="158"/>
  <c r="C99" i="158"/>
  <c r="I100" i="158"/>
  <c r="D100" i="158"/>
  <c r="J100" i="158"/>
  <c r="E100" i="158"/>
  <c r="F100" i="158"/>
  <c r="C100" i="158"/>
  <c r="I101" i="158"/>
  <c r="D101" i="158"/>
  <c r="J101" i="158"/>
  <c r="E101" i="158"/>
  <c r="F101" i="158"/>
  <c r="C101" i="158"/>
  <c r="I102" i="158"/>
  <c r="D102" i="158"/>
  <c r="J102" i="158"/>
  <c r="E102" i="158"/>
  <c r="F102" i="158"/>
  <c r="C102" i="158"/>
  <c r="I103" i="158"/>
  <c r="D103" i="158"/>
  <c r="J103" i="158"/>
  <c r="E103" i="158"/>
  <c r="F103" i="158"/>
  <c r="C103" i="158"/>
  <c r="I104" i="158"/>
  <c r="D104" i="158"/>
  <c r="J104" i="158"/>
  <c r="E104" i="158"/>
  <c r="F104" i="158"/>
  <c r="C104" i="158"/>
  <c r="I105" i="158"/>
  <c r="D105" i="158"/>
  <c r="J105" i="158"/>
  <c r="E105" i="158"/>
  <c r="F105" i="158"/>
  <c r="C105" i="158"/>
  <c r="I106" i="158"/>
  <c r="D106" i="158"/>
  <c r="J106" i="158"/>
  <c r="E106" i="158"/>
  <c r="F106" i="158"/>
  <c r="C106" i="158"/>
  <c r="I107" i="158"/>
  <c r="D107" i="158"/>
  <c r="J107" i="158"/>
  <c r="E107" i="158"/>
  <c r="F107" i="158"/>
  <c r="C107" i="158"/>
  <c r="I108" i="158"/>
  <c r="D108" i="158"/>
  <c r="J108" i="158"/>
  <c r="E108" i="158"/>
  <c r="F108" i="158"/>
  <c r="C108" i="158"/>
  <c r="I109" i="158"/>
  <c r="D109" i="158"/>
  <c r="J109" i="158"/>
  <c r="E109" i="158"/>
  <c r="F109" i="158"/>
  <c r="C109" i="158"/>
  <c r="I110" i="158"/>
  <c r="D110" i="158"/>
  <c r="J110" i="158"/>
  <c r="E110" i="158"/>
  <c r="F110" i="158"/>
  <c r="C110" i="158"/>
  <c r="I111" i="158"/>
  <c r="D111" i="158"/>
  <c r="J111" i="158"/>
  <c r="E111" i="158"/>
  <c r="F111" i="158"/>
  <c r="C111" i="158"/>
  <c r="I112" i="158"/>
  <c r="D112" i="158"/>
  <c r="J112" i="158"/>
  <c r="E112" i="158"/>
  <c r="F112" i="158"/>
  <c r="C112" i="158"/>
  <c r="I113" i="158"/>
  <c r="D113" i="158"/>
  <c r="J113" i="158"/>
  <c r="E113" i="158"/>
  <c r="F113" i="158"/>
  <c r="C113" i="158"/>
  <c r="I114" i="158"/>
  <c r="D114" i="158"/>
  <c r="J114" i="158"/>
  <c r="E114" i="158"/>
  <c r="F114" i="158"/>
  <c r="C114" i="158"/>
  <c r="I115" i="158"/>
  <c r="D115" i="158"/>
  <c r="J115" i="158"/>
  <c r="E115" i="158"/>
  <c r="F115" i="158"/>
  <c r="C115" i="158"/>
  <c r="I116" i="158"/>
  <c r="D116" i="158"/>
  <c r="J116" i="158"/>
  <c r="E116" i="158"/>
  <c r="F116" i="158"/>
  <c r="C116" i="158"/>
  <c r="I117" i="158"/>
  <c r="D117" i="158"/>
  <c r="J117" i="158"/>
  <c r="E117" i="158"/>
  <c r="F117" i="158"/>
  <c r="C117" i="158"/>
  <c r="I118" i="158"/>
  <c r="D118" i="158"/>
  <c r="J118" i="158"/>
  <c r="E118" i="158"/>
  <c r="F118" i="158"/>
  <c r="C118" i="158"/>
  <c r="I119" i="158"/>
  <c r="D119" i="158"/>
  <c r="J119" i="158"/>
  <c r="E119" i="158"/>
  <c r="F119" i="158"/>
  <c r="C119" i="158"/>
  <c r="I120" i="158"/>
  <c r="D120" i="158"/>
  <c r="J120" i="158"/>
  <c r="E120" i="158"/>
  <c r="F120" i="158"/>
  <c r="C120" i="158"/>
  <c r="I121" i="158"/>
  <c r="D121" i="158"/>
  <c r="J121" i="158"/>
  <c r="E121" i="158"/>
  <c r="F121" i="158"/>
  <c r="C121" i="158"/>
  <c r="I122" i="158"/>
  <c r="D122" i="158"/>
  <c r="J122" i="158"/>
  <c r="E122" i="158"/>
  <c r="F122" i="158"/>
  <c r="C122" i="158"/>
  <c r="I123" i="158"/>
  <c r="D123" i="158"/>
  <c r="J123" i="158"/>
  <c r="E123" i="158"/>
  <c r="F123" i="158"/>
  <c r="C123" i="158"/>
  <c r="I124" i="158"/>
  <c r="D124" i="158"/>
  <c r="J124" i="158"/>
  <c r="E124" i="158"/>
  <c r="F124" i="158"/>
  <c r="C124" i="158"/>
  <c r="I125" i="158"/>
  <c r="D125" i="158"/>
  <c r="J125" i="158"/>
  <c r="E125" i="158"/>
  <c r="F125" i="158"/>
  <c r="C125" i="158"/>
  <c r="I126" i="158"/>
  <c r="D126" i="158"/>
  <c r="J126" i="158"/>
  <c r="E126" i="158"/>
  <c r="F126" i="158"/>
  <c r="C126" i="158"/>
  <c r="I127" i="158"/>
  <c r="D127" i="158"/>
  <c r="J127" i="158"/>
  <c r="E127" i="158"/>
  <c r="F127" i="158"/>
  <c r="C127" i="158"/>
  <c r="I128" i="158"/>
  <c r="D128" i="158"/>
  <c r="J128" i="158"/>
  <c r="E128" i="158"/>
  <c r="F128" i="158"/>
  <c r="C128" i="158"/>
  <c r="I129" i="158"/>
  <c r="D129" i="158"/>
  <c r="J129" i="158"/>
  <c r="E129" i="158"/>
  <c r="F129" i="158"/>
  <c r="C129" i="158"/>
  <c r="I130" i="158"/>
  <c r="D130" i="158"/>
  <c r="J130" i="158"/>
  <c r="E130" i="158"/>
  <c r="F130" i="158"/>
  <c r="C130" i="158"/>
  <c r="I131" i="158"/>
  <c r="D131" i="158"/>
  <c r="J131" i="158"/>
  <c r="E131" i="158"/>
  <c r="F131" i="158"/>
  <c r="C131" i="158"/>
  <c r="I132" i="158"/>
  <c r="D132" i="158"/>
  <c r="J132" i="158"/>
  <c r="E132" i="158"/>
  <c r="F132" i="158"/>
  <c r="C132" i="158"/>
  <c r="I133" i="158"/>
  <c r="D133" i="158"/>
  <c r="J133" i="158"/>
  <c r="E133" i="158"/>
  <c r="F133" i="158"/>
  <c r="C133" i="158"/>
  <c r="I134" i="158"/>
  <c r="D134" i="158"/>
  <c r="J134" i="158"/>
  <c r="E134" i="158"/>
  <c r="F134" i="158"/>
  <c r="C134" i="158"/>
  <c r="I135" i="158"/>
  <c r="D135" i="158"/>
  <c r="J135" i="158"/>
  <c r="E135" i="158"/>
  <c r="F135" i="158"/>
  <c r="C135" i="158"/>
  <c r="I136" i="158"/>
  <c r="D136" i="158"/>
  <c r="J136" i="158"/>
  <c r="E136" i="158"/>
  <c r="F136" i="158"/>
  <c r="C136" i="158"/>
  <c r="I137" i="158"/>
  <c r="D137" i="158"/>
  <c r="J137" i="158"/>
  <c r="E137" i="158"/>
  <c r="F137" i="158"/>
  <c r="C137" i="158"/>
  <c r="I138" i="158"/>
  <c r="D138" i="158"/>
  <c r="J138" i="158"/>
  <c r="E138" i="158"/>
  <c r="F138" i="158"/>
  <c r="C138" i="158"/>
  <c r="I139" i="158"/>
  <c r="D139" i="158"/>
  <c r="J139" i="158"/>
  <c r="E139" i="158"/>
  <c r="F139" i="158"/>
  <c r="C139" i="158"/>
  <c r="I140" i="158"/>
  <c r="D140" i="158"/>
  <c r="J140" i="158"/>
  <c r="E140" i="158"/>
  <c r="F140" i="158"/>
  <c r="C140" i="158"/>
  <c r="I141" i="158"/>
  <c r="D141" i="158"/>
  <c r="J141" i="158"/>
  <c r="E141" i="158"/>
  <c r="F141" i="158"/>
  <c r="C141" i="158"/>
  <c r="I142" i="158"/>
  <c r="D142" i="158"/>
  <c r="J142" i="158"/>
  <c r="E142" i="158"/>
  <c r="F142" i="158"/>
  <c r="C142" i="158"/>
  <c r="I143" i="158"/>
  <c r="D143" i="158"/>
  <c r="J143" i="158"/>
  <c r="E143" i="158"/>
  <c r="F143" i="158"/>
  <c r="C143" i="158"/>
  <c r="I144" i="158"/>
  <c r="D144" i="158"/>
  <c r="J144" i="158"/>
  <c r="E144" i="158"/>
  <c r="F144" i="158"/>
  <c r="C144" i="158"/>
  <c r="I145" i="158"/>
  <c r="D145" i="158"/>
  <c r="J145" i="158"/>
  <c r="E145" i="158"/>
  <c r="F145" i="158"/>
  <c r="C145" i="158"/>
  <c r="I146" i="158"/>
  <c r="D146" i="158"/>
  <c r="J146" i="158"/>
  <c r="E146" i="158"/>
  <c r="F146" i="158"/>
  <c r="C146" i="158"/>
  <c r="I147" i="158"/>
  <c r="D147" i="158"/>
  <c r="J147" i="158"/>
  <c r="E147" i="158"/>
  <c r="F147" i="158"/>
  <c r="C147" i="158"/>
  <c r="I148" i="158"/>
  <c r="D148" i="158"/>
  <c r="J148" i="158"/>
  <c r="E148" i="158"/>
  <c r="F148" i="158"/>
  <c r="C148" i="158"/>
  <c r="I149" i="158"/>
  <c r="D149" i="158"/>
  <c r="J149" i="158"/>
  <c r="E149" i="158"/>
  <c r="F149" i="158"/>
  <c r="C149" i="158"/>
  <c r="I150" i="158"/>
  <c r="D150" i="158"/>
  <c r="J150" i="158"/>
  <c r="E150" i="158"/>
  <c r="F150" i="158"/>
  <c r="C150" i="158"/>
  <c r="I151" i="158"/>
  <c r="D151" i="158"/>
  <c r="J151" i="158"/>
  <c r="E151" i="158"/>
  <c r="F151" i="158"/>
  <c r="C151" i="158"/>
  <c r="I152" i="158"/>
  <c r="D152" i="158"/>
  <c r="J152" i="158"/>
  <c r="E152" i="158"/>
  <c r="F152" i="158"/>
  <c r="C152" i="158"/>
  <c r="I153" i="158"/>
  <c r="D153" i="158"/>
  <c r="J153" i="158"/>
  <c r="E153" i="158"/>
  <c r="F153" i="158"/>
  <c r="C153" i="158"/>
  <c r="I154" i="158"/>
  <c r="D154" i="158"/>
  <c r="J154" i="158"/>
  <c r="E154" i="158"/>
  <c r="F154" i="158"/>
  <c r="C154" i="158"/>
  <c r="I155" i="158"/>
  <c r="D155" i="158"/>
  <c r="J155" i="158"/>
  <c r="E155" i="158"/>
  <c r="F155" i="158"/>
  <c r="C155" i="158"/>
  <c r="I156" i="158"/>
  <c r="D156" i="158"/>
  <c r="J156" i="158"/>
  <c r="E156" i="158"/>
  <c r="F156" i="158"/>
  <c r="C156" i="158"/>
  <c r="I157" i="158"/>
  <c r="D157" i="158"/>
  <c r="J157" i="158"/>
  <c r="E157" i="158"/>
  <c r="F157" i="158"/>
  <c r="C157" i="158"/>
  <c r="I158" i="158"/>
  <c r="D158" i="158"/>
  <c r="J158" i="158"/>
  <c r="E158" i="158"/>
  <c r="F158" i="158"/>
  <c r="C158" i="158"/>
  <c r="I159" i="158"/>
  <c r="D159" i="158"/>
  <c r="J159" i="158"/>
  <c r="E159" i="158"/>
  <c r="F159" i="158"/>
  <c r="C159" i="158"/>
  <c r="I160" i="158"/>
  <c r="D160" i="158"/>
  <c r="J160" i="158"/>
  <c r="E160" i="158"/>
  <c r="F160" i="158"/>
  <c r="C160" i="158"/>
  <c r="I161" i="158"/>
  <c r="D161" i="158"/>
  <c r="J161" i="158"/>
  <c r="E161" i="158"/>
  <c r="F161" i="158"/>
  <c r="C161" i="158"/>
  <c r="I162" i="158"/>
  <c r="D162" i="158"/>
  <c r="J162" i="158"/>
  <c r="E162" i="158"/>
  <c r="F162" i="158"/>
  <c r="C162" i="158"/>
  <c r="I163" i="158"/>
  <c r="D163" i="158"/>
  <c r="J163" i="158"/>
  <c r="E163" i="158"/>
  <c r="F163" i="158"/>
  <c r="C163" i="158"/>
  <c r="I164" i="158"/>
  <c r="D164" i="158"/>
  <c r="J164" i="158"/>
  <c r="E164" i="158"/>
  <c r="F164" i="158"/>
  <c r="C164" i="158"/>
  <c r="I165" i="158"/>
  <c r="D165" i="158"/>
  <c r="J165" i="158"/>
  <c r="E165" i="158"/>
  <c r="F165" i="158"/>
  <c r="C165" i="158"/>
  <c r="I166" i="158"/>
  <c r="D166" i="158"/>
  <c r="J166" i="158"/>
  <c r="E166" i="158"/>
  <c r="F166" i="158"/>
  <c r="C166" i="158"/>
  <c r="I167" i="158"/>
  <c r="D167" i="158"/>
  <c r="J167" i="158"/>
  <c r="E167" i="158"/>
  <c r="F167" i="158"/>
  <c r="C167" i="158"/>
  <c r="I168" i="158"/>
  <c r="D168" i="158"/>
  <c r="J168" i="158"/>
  <c r="E168" i="158"/>
  <c r="F168" i="158"/>
  <c r="C168" i="158"/>
  <c r="I169" i="158"/>
  <c r="D169" i="158"/>
  <c r="J169" i="158"/>
  <c r="E169" i="158"/>
  <c r="F169" i="158"/>
  <c r="C169" i="158"/>
  <c r="I170" i="158"/>
  <c r="D170" i="158"/>
  <c r="J170" i="158"/>
  <c r="E170" i="158"/>
  <c r="F170" i="158"/>
  <c r="C170" i="158"/>
  <c r="I171" i="158"/>
  <c r="D171" i="158"/>
  <c r="J171" i="158"/>
  <c r="E171" i="158"/>
  <c r="F171" i="158"/>
  <c r="C171" i="158"/>
  <c r="I172" i="158"/>
  <c r="D172" i="158"/>
  <c r="J172" i="158"/>
  <c r="E172" i="158"/>
  <c r="F172" i="158"/>
  <c r="C172" i="158"/>
  <c r="I173" i="158"/>
  <c r="D173" i="158"/>
  <c r="J173" i="158"/>
  <c r="E173" i="158"/>
  <c r="F173" i="158"/>
  <c r="C173" i="158"/>
  <c r="I174" i="158"/>
  <c r="D174" i="158"/>
  <c r="J174" i="158"/>
  <c r="E174" i="158"/>
  <c r="F174" i="158"/>
  <c r="C174" i="158"/>
  <c r="I175" i="158"/>
  <c r="D175" i="158"/>
  <c r="J175" i="158"/>
  <c r="E175" i="158"/>
  <c r="F175" i="158"/>
  <c r="C175" i="158"/>
  <c r="I176" i="158"/>
  <c r="D176" i="158"/>
  <c r="J176" i="158"/>
  <c r="E176" i="158"/>
  <c r="F176" i="158"/>
  <c r="C176" i="158"/>
  <c r="I177" i="158"/>
  <c r="D177" i="158"/>
  <c r="J177" i="158"/>
  <c r="E177" i="158"/>
  <c r="F177" i="158"/>
  <c r="C177" i="158"/>
  <c r="I178" i="158"/>
  <c r="D178" i="158"/>
  <c r="J178" i="158"/>
  <c r="E178" i="158"/>
  <c r="F178" i="158"/>
  <c r="C178" i="158"/>
  <c r="I179" i="158"/>
  <c r="D179" i="158"/>
  <c r="J179" i="158"/>
  <c r="E179" i="158"/>
  <c r="F179" i="158"/>
  <c r="C179" i="158"/>
  <c r="I180" i="158"/>
  <c r="D180" i="158"/>
  <c r="J180" i="158"/>
  <c r="E180" i="158"/>
  <c r="F180" i="158"/>
  <c r="C180" i="158"/>
  <c r="I181" i="158"/>
  <c r="D181" i="158"/>
  <c r="J181" i="158"/>
  <c r="E181" i="158"/>
  <c r="F181" i="158"/>
  <c r="C181" i="158"/>
  <c r="I182" i="158"/>
  <c r="D182" i="158"/>
  <c r="J182" i="158"/>
  <c r="E182" i="158"/>
  <c r="F182" i="158"/>
  <c r="C182" i="158"/>
  <c r="I183" i="158"/>
  <c r="D183" i="158"/>
  <c r="J183" i="158"/>
  <c r="E183" i="158"/>
  <c r="F183" i="158"/>
  <c r="C183" i="158"/>
  <c r="I184" i="158"/>
  <c r="D184" i="158"/>
  <c r="J184" i="158"/>
  <c r="E184" i="158"/>
  <c r="F184" i="158"/>
  <c r="C184" i="158"/>
  <c r="I185" i="158"/>
  <c r="D185" i="158"/>
  <c r="J185" i="158"/>
  <c r="E185" i="158"/>
  <c r="F185" i="158"/>
  <c r="C185" i="158"/>
  <c r="I186" i="158"/>
  <c r="D186" i="158"/>
  <c r="J186" i="158"/>
  <c r="E186" i="158"/>
  <c r="F186" i="158"/>
  <c r="C186" i="158"/>
  <c r="I187" i="158"/>
  <c r="D187" i="158"/>
  <c r="J187" i="158"/>
  <c r="E187" i="158"/>
  <c r="F187" i="158"/>
  <c r="C187" i="158"/>
  <c r="I188" i="158"/>
  <c r="D188" i="158"/>
  <c r="J188" i="158"/>
  <c r="E188" i="158"/>
  <c r="F188" i="158"/>
  <c r="C188" i="158"/>
  <c r="I189" i="158"/>
  <c r="D189" i="158"/>
  <c r="J189" i="158"/>
  <c r="E189" i="158"/>
  <c r="F189" i="158"/>
  <c r="C189" i="158"/>
  <c r="I190" i="158"/>
  <c r="D190" i="158"/>
  <c r="J190" i="158"/>
  <c r="E190" i="158"/>
  <c r="F190" i="158"/>
  <c r="C190" i="158"/>
  <c r="I191" i="158"/>
  <c r="D191" i="158"/>
  <c r="J191" i="158"/>
  <c r="E191" i="158"/>
  <c r="F191" i="158"/>
  <c r="C191" i="158"/>
  <c r="I192" i="158"/>
  <c r="D192" i="158"/>
  <c r="J192" i="158"/>
  <c r="E192" i="158"/>
  <c r="F192" i="158"/>
  <c r="C192" i="158"/>
  <c r="I193" i="158"/>
  <c r="D193" i="158"/>
  <c r="J193" i="158"/>
  <c r="E193" i="158"/>
  <c r="F193" i="158"/>
  <c r="C193" i="158"/>
  <c r="I194" i="158"/>
  <c r="D194" i="158"/>
  <c r="J194" i="158"/>
  <c r="E194" i="158"/>
  <c r="F194" i="158"/>
  <c r="C194" i="158"/>
  <c r="I195" i="158"/>
  <c r="D195" i="158"/>
  <c r="J195" i="158"/>
  <c r="E195" i="158"/>
  <c r="F195" i="158"/>
  <c r="C195" i="158"/>
  <c r="I196" i="158"/>
  <c r="D196" i="158"/>
  <c r="J196" i="158"/>
  <c r="E196" i="158"/>
  <c r="F196" i="158"/>
  <c r="C196" i="158"/>
  <c r="I197" i="158"/>
  <c r="D197" i="158"/>
  <c r="J197" i="158"/>
  <c r="E197" i="158"/>
  <c r="F197" i="158"/>
  <c r="C197" i="158"/>
  <c r="I198" i="158"/>
  <c r="D198" i="158"/>
  <c r="J198" i="158"/>
  <c r="E198" i="158"/>
  <c r="F198" i="158"/>
  <c r="C198" i="158"/>
  <c r="I199" i="158"/>
  <c r="D199" i="158"/>
  <c r="J199" i="158"/>
  <c r="E199" i="158"/>
  <c r="F199" i="158"/>
  <c r="C199" i="158"/>
  <c r="I200" i="158"/>
  <c r="D200" i="158"/>
  <c r="J200" i="158"/>
  <c r="E200" i="158"/>
  <c r="F200" i="158"/>
  <c r="C200" i="158"/>
  <c r="I201" i="158"/>
  <c r="D201" i="158"/>
  <c r="J201" i="158"/>
  <c r="E201" i="158"/>
  <c r="F201" i="158"/>
  <c r="C201" i="158"/>
  <c r="I202" i="158"/>
  <c r="D202" i="158"/>
  <c r="J202" i="158"/>
  <c r="E202" i="158"/>
  <c r="F202" i="158"/>
  <c r="C202" i="158"/>
  <c r="I203" i="158"/>
  <c r="D203" i="158"/>
  <c r="J203" i="158"/>
  <c r="E203" i="158"/>
  <c r="F203" i="158"/>
  <c r="C203" i="158"/>
  <c r="I204" i="158"/>
  <c r="D204" i="158"/>
  <c r="J204" i="158"/>
  <c r="E204" i="158"/>
  <c r="F204" i="158"/>
  <c r="C204" i="158"/>
  <c r="I205" i="158"/>
  <c r="D205" i="158"/>
  <c r="J205" i="158"/>
  <c r="E205" i="158"/>
  <c r="F205" i="158"/>
  <c r="C205" i="158"/>
  <c r="I206" i="158"/>
  <c r="D206" i="158"/>
  <c r="J206" i="158"/>
  <c r="E206" i="158"/>
  <c r="F206" i="158"/>
  <c r="C206" i="158"/>
  <c r="I207" i="158"/>
  <c r="D207" i="158"/>
  <c r="J207" i="158"/>
  <c r="E207" i="158"/>
  <c r="F207" i="158"/>
  <c r="C207" i="158"/>
  <c r="I208" i="158"/>
  <c r="D208" i="158"/>
  <c r="J208" i="158"/>
  <c r="E208" i="158"/>
  <c r="F208" i="158"/>
  <c r="C208" i="158"/>
  <c r="I209" i="158"/>
  <c r="D209" i="158"/>
  <c r="J209" i="158"/>
  <c r="E209" i="158"/>
  <c r="F209" i="158"/>
  <c r="C209" i="158"/>
  <c r="I210" i="158"/>
  <c r="D210" i="158"/>
  <c r="J210" i="158"/>
  <c r="E210" i="158"/>
  <c r="F210" i="158"/>
  <c r="C210" i="158"/>
  <c r="I211" i="158"/>
  <c r="D211" i="158"/>
  <c r="J211" i="158"/>
  <c r="E211" i="158"/>
  <c r="F211" i="158"/>
  <c r="C211" i="158"/>
  <c r="I212" i="158"/>
  <c r="D212" i="158"/>
  <c r="J212" i="158"/>
  <c r="E212" i="158"/>
  <c r="F212" i="158"/>
  <c r="C212" i="158"/>
  <c r="I213" i="158"/>
  <c r="D213" i="158"/>
  <c r="J213" i="158"/>
  <c r="E213" i="158"/>
  <c r="F213" i="158"/>
  <c r="C213" i="158"/>
  <c r="I214" i="158"/>
  <c r="D214" i="158"/>
  <c r="J214" i="158"/>
  <c r="E214" i="158"/>
  <c r="F214" i="158"/>
  <c r="C214" i="158"/>
  <c r="I215" i="158"/>
  <c r="J215" i="158"/>
  <c r="D215" i="158"/>
  <c r="E215" i="158"/>
  <c r="F215" i="158"/>
  <c r="C215" i="158"/>
  <c r="I216" i="158"/>
  <c r="J216" i="158"/>
  <c r="D216" i="158"/>
  <c r="E216" i="158"/>
  <c r="F216" i="158"/>
  <c r="C216" i="158"/>
  <c r="I217" i="158"/>
  <c r="J217" i="158"/>
  <c r="D217" i="158"/>
  <c r="E217" i="158"/>
  <c r="F217" i="158"/>
  <c r="C217" i="158"/>
  <c r="I218" i="158"/>
  <c r="J218" i="158"/>
  <c r="D218" i="158"/>
  <c r="E218" i="158"/>
  <c r="F218" i="158"/>
  <c r="C218" i="158"/>
  <c r="I219" i="158"/>
  <c r="J219" i="158"/>
  <c r="D219" i="158"/>
  <c r="E219" i="158"/>
  <c r="F219" i="158"/>
  <c r="C219" i="158"/>
  <c r="I220" i="158"/>
  <c r="J220" i="158"/>
  <c r="D220" i="158"/>
  <c r="E220" i="158"/>
  <c r="F220" i="158"/>
  <c r="C220" i="158"/>
  <c r="I221" i="158"/>
  <c r="D221" i="158"/>
  <c r="J221" i="158"/>
  <c r="E221" i="158"/>
  <c r="F221" i="158"/>
  <c r="C221" i="158"/>
  <c r="I222" i="158"/>
  <c r="D222" i="158"/>
  <c r="J222" i="158"/>
  <c r="E222" i="158"/>
  <c r="F222" i="158"/>
  <c r="C222" i="158"/>
  <c r="I223" i="158"/>
  <c r="D223" i="158"/>
  <c r="J223" i="158"/>
  <c r="E223" i="158"/>
  <c r="F223" i="158"/>
  <c r="C223" i="158"/>
  <c r="I224" i="158"/>
  <c r="D224" i="158"/>
  <c r="J224" i="158"/>
  <c r="E224" i="158"/>
  <c r="F224" i="158"/>
  <c r="C224" i="158"/>
  <c r="I225" i="158"/>
  <c r="D225" i="158"/>
  <c r="J225" i="158"/>
  <c r="E225" i="158"/>
  <c r="F225" i="158"/>
  <c r="C225" i="158"/>
  <c r="I226" i="158"/>
  <c r="D226" i="158"/>
  <c r="J226" i="158"/>
  <c r="E226" i="158"/>
  <c r="F226" i="158"/>
  <c r="C226" i="158"/>
  <c r="I227" i="158"/>
  <c r="D227" i="158"/>
  <c r="J227" i="158"/>
  <c r="E227" i="158"/>
  <c r="F227" i="158"/>
  <c r="C227" i="158"/>
  <c r="I228" i="158"/>
  <c r="D228" i="158"/>
  <c r="J228" i="158"/>
  <c r="E228" i="158"/>
  <c r="F228" i="158"/>
  <c r="C228" i="158"/>
  <c r="I229" i="158"/>
  <c r="D229" i="158"/>
  <c r="J229" i="158"/>
  <c r="E229" i="158"/>
  <c r="F229" i="158"/>
  <c r="C229" i="158"/>
  <c r="I230" i="158"/>
  <c r="D230" i="158"/>
  <c r="J230" i="158"/>
  <c r="E230" i="158"/>
  <c r="F230" i="158"/>
  <c r="C230" i="158"/>
  <c r="I231" i="158"/>
  <c r="D231" i="158"/>
  <c r="J231" i="158"/>
  <c r="E231" i="158"/>
  <c r="F231" i="158"/>
  <c r="C231" i="158"/>
  <c r="I232" i="158"/>
  <c r="D232" i="158"/>
  <c r="J232" i="158"/>
  <c r="E232" i="158"/>
  <c r="F232" i="158"/>
  <c r="C232" i="158"/>
  <c r="I233" i="158"/>
  <c r="D233" i="158"/>
  <c r="J233" i="158"/>
  <c r="E233" i="158"/>
  <c r="F233" i="158"/>
  <c r="C233" i="158"/>
  <c r="I234" i="158"/>
  <c r="D234" i="158"/>
  <c r="J234" i="158"/>
  <c r="E234" i="158"/>
  <c r="F234" i="158"/>
  <c r="C234" i="158"/>
  <c r="I235" i="158"/>
  <c r="D235" i="158"/>
  <c r="J235" i="158"/>
  <c r="E235" i="158"/>
  <c r="F235" i="158"/>
  <c r="C235" i="158"/>
  <c r="I236" i="158"/>
  <c r="D236" i="158"/>
  <c r="J236" i="158"/>
  <c r="E236" i="158"/>
  <c r="F236" i="158"/>
  <c r="C236" i="158"/>
  <c r="I237" i="158"/>
  <c r="D237" i="158"/>
  <c r="J237" i="158"/>
  <c r="E237" i="158"/>
  <c r="F237" i="158"/>
  <c r="C237" i="158"/>
  <c r="I238" i="158"/>
  <c r="D238" i="158"/>
  <c r="J238" i="158"/>
  <c r="E238" i="158"/>
  <c r="F238" i="158"/>
  <c r="C238" i="158"/>
  <c r="I239" i="158"/>
  <c r="D239" i="158"/>
  <c r="J239" i="158"/>
  <c r="E239" i="158"/>
  <c r="F239" i="158"/>
  <c r="C239" i="158"/>
  <c r="I240" i="158"/>
  <c r="D240" i="158"/>
  <c r="J240" i="158"/>
  <c r="E240" i="158"/>
  <c r="F240" i="158"/>
  <c r="C240" i="158"/>
  <c r="I241" i="158"/>
  <c r="D241" i="158"/>
  <c r="J241" i="158"/>
  <c r="E241" i="158"/>
  <c r="F241" i="158"/>
  <c r="C241" i="158"/>
  <c r="I242" i="158"/>
  <c r="D242" i="158"/>
  <c r="J242" i="158"/>
  <c r="E242" i="158"/>
  <c r="F242" i="158"/>
  <c r="C242" i="158"/>
  <c r="I243" i="158"/>
  <c r="D243" i="158"/>
  <c r="J243" i="158"/>
  <c r="E243" i="158"/>
  <c r="F243" i="158"/>
  <c r="C243" i="158"/>
  <c r="I244" i="158"/>
  <c r="D244" i="158"/>
  <c r="J244" i="158"/>
  <c r="E244" i="158"/>
  <c r="F244" i="158"/>
  <c r="C244" i="158"/>
  <c r="I245" i="158"/>
  <c r="D245" i="158"/>
  <c r="J245" i="158"/>
  <c r="E245" i="158"/>
  <c r="F245" i="158"/>
  <c r="C245" i="158"/>
  <c r="I246" i="158"/>
  <c r="D246" i="158"/>
  <c r="J246" i="158"/>
  <c r="E246" i="158"/>
  <c r="F246" i="158"/>
  <c r="C246" i="158"/>
  <c r="I247" i="158"/>
  <c r="D247" i="158"/>
  <c r="J247" i="158"/>
  <c r="E247" i="158"/>
  <c r="F247" i="158"/>
  <c r="C247" i="158"/>
  <c r="I248" i="158"/>
  <c r="D248" i="158"/>
  <c r="J248" i="158"/>
  <c r="E248" i="158"/>
  <c r="F248" i="158"/>
  <c r="C248" i="158"/>
  <c r="I249" i="158"/>
  <c r="D249" i="158"/>
  <c r="J249" i="158"/>
  <c r="E249" i="158"/>
  <c r="F249" i="158"/>
  <c r="C249" i="158"/>
  <c r="I250" i="158"/>
  <c r="D250" i="158"/>
  <c r="J250" i="158"/>
  <c r="E250" i="158"/>
  <c r="F250" i="158"/>
  <c r="C250" i="158"/>
  <c r="I251" i="158"/>
  <c r="D251" i="158"/>
  <c r="J251" i="158"/>
  <c r="E251" i="158"/>
  <c r="F251" i="158"/>
  <c r="C251" i="158"/>
  <c r="I252" i="158"/>
  <c r="D252" i="158"/>
  <c r="J252" i="158"/>
  <c r="E252" i="158"/>
  <c r="F252" i="158"/>
  <c r="C252" i="158"/>
  <c r="I253" i="158"/>
  <c r="D253" i="158"/>
  <c r="J253" i="158"/>
  <c r="E253" i="158"/>
  <c r="F253" i="158"/>
  <c r="C253" i="158"/>
  <c r="I254" i="158"/>
  <c r="D254" i="158"/>
  <c r="J254" i="158"/>
  <c r="E254" i="158"/>
  <c r="F254" i="158"/>
  <c r="C254" i="158"/>
  <c r="I255" i="158"/>
  <c r="D255" i="158"/>
  <c r="J255" i="158"/>
  <c r="E255" i="158"/>
  <c r="F255" i="158"/>
  <c r="C255" i="158"/>
  <c r="I256" i="158"/>
  <c r="D256" i="158"/>
  <c r="J256" i="158"/>
  <c r="E256" i="158"/>
  <c r="F256" i="158"/>
  <c r="C256" i="158"/>
  <c r="I257" i="158"/>
  <c r="D257" i="158"/>
  <c r="J257" i="158"/>
  <c r="E257" i="158"/>
  <c r="F257" i="158"/>
  <c r="C257" i="158"/>
  <c r="I258" i="158"/>
  <c r="D258" i="158"/>
  <c r="J258" i="158"/>
  <c r="E258" i="158"/>
  <c r="F258" i="158"/>
  <c r="C258" i="158"/>
  <c r="I259" i="158"/>
  <c r="D259" i="158"/>
  <c r="J259" i="158"/>
  <c r="E259" i="158"/>
  <c r="F259" i="158"/>
  <c r="C259" i="158"/>
  <c r="I260" i="158"/>
  <c r="D260" i="158"/>
  <c r="J260" i="158"/>
  <c r="E260" i="158"/>
  <c r="F260" i="158"/>
  <c r="C260" i="158"/>
  <c r="I261" i="158"/>
  <c r="D261" i="158"/>
  <c r="J261" i="158"/>
  <c r="E261" i="158"/>
  <c r="F261" i="158"/>
  <c r="C261" i="158"/>
  <c r="I262" i="158"/>
  <c r="D262" i="158"/>
  <c r="J262" i="158"/>
  <c r="E262" i="158"/>
  <c r="F262" i="158"/>
  <c r="C262" i="158"/>
  <c r="I263" i="158"/>
  <c r="D263" i="158"/>
  <c r="J263" i="158"/>
  <c r="E263" i="158"/>
  <c r="F263" i="158"/>
  <c r="C263" i="158"/>
  <c r="I264" i="158"/>
  <c r="D264" i="158"/>
  <c r="J264" i="158"/>
  <c r="E264" i="158"/>
  <c r="F264" i="158"/>
  <c r="C264" i="158"/>
  <c r="I265" i="158"/>
  <c r="D265" i="158"/>
  <c r="J265" i="158"/>
  <c r="E265" i="158"/>
  <c r="F265" i="158"/>
  <c r="C265" i="158"/>
  <c r="I266" i="158"/>
  <c r="D266" i="158"/>
  <c r="J266" i="158"/>
  <c r="E266" i="158"/>
  <c r="F266" i="158"/>
  <c r="C266" i="158"/>
  <c r="I267" i="158"/>
  <c r="D267" i="158"/>
  <c r="J267" i="158"/>
  <c r="E267" i="158"/>
  <c r="F267" i="158"/>
  <c r="C267" i="158"/>
  <c r="I268" i="158"/>
  <c r="D268" i="158"/>
  <c r="J268" i="158"/>
  <c r="E268" i="158"/>
  <c r="F268" i="158"/>
  <c r="C268" i="158"/>
  <c r="I269" i="158"/>
  <c r="D269" i="158"/>
  <c r="J269" i="158"/>
  <c r="E269" i="158"/>
  <c r="F269" i="158"/>
  <c r="C269" i="158"/>
  <c r="I270" i="158"/>
  <c r="D270" i="158"/>
  <c r="J270" i="158"/>
  <c r="E270" i="158"/>
  <c r="F270" i="158"/>
  <c r="C270" i="158"/>
  <c r="I271" i="158"/>
  <c r="D271" i="158"/>
  <c r="J271" i="158"/>
  <c r="E271" i="158"/>
  <c r="F271" i="158"/>
  <c r="C271" i="158"/>
  <c r="I272" i="158"/>
  <c r="D272" i="158"/>
  <c r="J272" i="158"/>
  <c r="E272" i="158"/>
  <c r="F272" i="158"/>
  <c r="C272" i="158"/>
  <c r="I273" i="158"/>
  <c r="D273" i="158"/>
  <c r="J273" i="158"/>
  <c r="E273" i="158"/>
  <c r="F273" i="158"/>
  <c r="C273" i="158"/>
  <c r="I274" i="158"/>
  <c r="D274" i="158"/>
  <c r="J274" i="158"/>
  <c r="E274" i="158"/>
  <c r="F274" i="158"/>
  <c r="C274" i="158"/>
  <c r="I275" i="158"/>
  <c r="D275" i="158"/>
  <c r="J275" i="158"/>
  <c r="E275" i="158"/>
  <c r="F275" i="158"/>
  <c r="C275" i="158"/>
  <c r="I276" i="158"/>
  <c r="D276" i="158"/>
  <c r="J276" i="158"/>
  <c r="E276" i="158"/>
  <c r="F276" i="158"/>
  <c r="C276" i="158"/>
  <c r="I277" i="158"/>
  <c r="D277" i="158"/>
  <c r="J277" i="158"/>
  <c r="E277" i="158"/>
  <c r="F277" i="158"/>
  <c r="C277" i="158"/>
  <c r="I278" i="158"/>
  <c r="D278" i="158"/>
  <c r="J278" i="158"/>
  <c r="E278" i="158"/>
  <c r="F278" i="158"/>
  <c r="C278" i="158"/>
  <c r="I279" i="158"/>
  <c r="D279" i="158"/>
  <c r="J279" i="158"/>
  <c r="E279" i="158"/>
  <c r="F279" i="158"/>
  <c r="C279" i="158"/>
  <c r="I280" i="158"/>
  <c r="D280" i="158"/>
  <c r="J280" i="158"/>
  <c r="E280" i="158"/>
  <c r="F280" i="158"/>
  <c r="C280" i="158"/>
  <c r="I281" i="158"/>
  <c r="D281" i="158"/>
  <c r="J281" i="158"/>
  <c r="E281" i="158"/>
  <c r="F281" i="158"/>
  <c r="C281" i="158"/>
  <c r="I282" i="158"/>
  <c r="D282" i="158"/>
  <c r="J282" i="158"/>
  <c r="E282" i="158"/>
  <c r="F282" i="158"/>
  <c r="C282" i="158"/>
  <c r="I283" i="158"/>
  <c r="D283" i="158"/>
  <c r="J283" i="158"/>
  <c r="E283" i="158"/>
  <c r="F283" i="158"/>
  <c r="C283" i="158"/>
  <c r="I284" i="158"/>
  <c r="D284" i="158"/>
  <c r="J284" i="158"/>
  <c r="E284" i="158"/>
  <c r="F284" i="158"/>
  <c r="C284" i="158"/>
  <c r="I285" i="158"/>
  <c r="D285" i="158"/>
  <c r="J285" i="158"/>
  <c r="E285" i="158"/>
  <c r="F285" i="158"/>
  <c r="C285" i="158"/>
  <c r="I286" i="158"/>
  <c r="D286" i="158"/>
  <c r="J286" i="158"/>
  <c r="E286" i="158"/>
  <c r="F286" i="158"/>
  <c r="C286" i="158"/>
  <c r="I287" i="158"/>
  <c r="D287" i="158"/>
  <c r="J287" i="158"/>
  <c r="E287" i="158"/>
  <c r="F287" i="158"/>
  <c r="C287" i="158"/>
  <c r="I288" i="158"/>
  <c r="D288" i="158"/>
  <c r="J288" i="158"/>
  <c r="E288" i="158"/>
  <c r="F288" i="158"/>
  <c r="C288" i="158"/>
  <c r="I289" i="158"/>
  <c r="D289" i="158"/>
  <c r="J289" i="158"/>
  <c r="E289" i="158"/>
  <c r="F289" i="158"/>
  <c r="C289" i="158"/>
  <c r="I290" i="158"/>
  <c r="D290" i="158"/>
  <c r="J290" i="158"/>
  <c r="E290" i="158"/>
  <c r="F290" i="158"/>
  <c r="C290" i="158"/>
  <c r="I291" i="158"/>
  <c r="D291" i="158"/>
  <c r="J291" i="158"/>
  <c r="E291" i="158"/>
  <c r="F291" i="158"/>
  <c r="C291" i="158"/>
  <c r="I292" i="158"/>
  <c r="D292" i="158"/>
  <c r="J292" i="158"/>
  <c r="E292" i="158"/>
  <c r="F292" i="158"/>
  <c r="C292" i="158"/>
  <c r="I293" i="158"/>
  <c r="D293" i="158"/>
  <c r="J293" i="158"/>
  <c r="E293" i="158"/>
  <c r="F293" i="158"/>
  <c r="C293" i="158"/>
  <c r="I294" i="158"/>
  <c r="D294" i="158"/>
  <c r="J294" i="158"/>
  <c r="E294" i="158"/>
  <c r="F294" i="158"/>
  <c r="C294" i="158"/>
  <c r="I295" i="158"/>
  <c r="D295" i="158"/>
  <c r="J295" i="158"/>
  <c r="E295" i="158"/>
  <c r="F295" i="158"/>
  <c r="C295" i="158"/>
  <c r="I296" i="158"/>
  <c r="D296" i="158"/>
  <c r="J296" i="158"/>
  <c r="E296" i="158"/>
  <c r="F296" i="158"/>
  <c r="C296" i="158"/>
  <c r="I297" i="158"/>
  <c r="D297" i="158"/>
  <c r="J297" i="158"/>
  <c r="E297" i="158"/>
  <c r="F297" i="158"/>
  <c r="C297" i="158"/>
  <c r="I298" i="158"/>
  <c r="D298" i="158"/>
  <c r="J298" i="158"/>
  <c r="E298" i="158"/>
  <c r="F298" i="158"/>
  <c r="C298" i="158"/>
  <c r="I299" i="158"/>
  <c r="D299" i="158"/>
  <c r="J299" i="158"/>
  <c r="E299" i="158"/>
  <c r="F299" i="158"/>
  <c r="C299" i="158"/>
  <c r="I300" i="158"/>
  <c r="D300" i="158"/>
  <c r="J300" i="158"/>
  <c r="E300" i="158"/>
  <c r="F300" i="158"/>
  <c r="C300" i="158"/>
  <c r="I301" i="158"/>
  <c r="D301" i="158"/>
  <c r="J301" i="158"/>
  <c r="E301" i="158"/>
  <c r="F301" i="158"/>
  <c r="C301" i="158"/>
  <c r="I302" i="158"/>
  <c r="D302" i="158"/>
  <c r="J302" i="158"/>
  <c r="E302" i="158"/>
  <c r="F302" i="158"/>
  <c r="C302" i="158"/>
  <c r="I303" i="158"/>
  <c r="D303" i="158"/>
  <c r="J303" i="158"/>
  <c r="E303" i="158"/>
  <c r="F303" i="158"/>
  <c r="C303" i="158"/>
  <c r="I304" i="158"/>
  <c r="D304" i="158"/>
  <c r="J304" i="158"/>
  <c r="E304" i="158"/>
  <c r="F304" i="158"/>
  <c r="C304" i="158"/>
  <c r="I305" i="158"/>
  <c r="D305" i="158"/>
  <c r="J305" i="158"/>
  <c r="E305" i="158"/>
  <c r="F305" i="158"/>
  <c r="C305" i="158"/>
  <c r="I306" i="158"/>
  <c r="D306" i="158"/>
  <c r="J306" i="158"/>
  <c r="E306" i="158"/>
  <c r="F306" i="158"/>
  <c r="C306" i="158"/>
  <c r="I307" i="158"/>
  <c r="D307" i="158"/>
  <c r="J307" i="158"/>
  <c r="E307" i="158"/>
  <c r="F307" i="158"/>
  <c r="C307" i="158"/>
  <c r="I308" i="158"/>
  <c r="D308" i="158"/>
  <c r="J308" i="158"/>
  <c r="E308" i="158"/>
  <c r="F308" i="158"/>
  <c r="C308" i="158"/>
  <c r="I309" i="158"/>
  <c r="D309" i="158"/>
  <c r="J309" i="158"/>
  <c r="E309" i="158"/>
  <c r="F309" i="158"/>
  <c r="C309" i="158"/>
  <c r="I310" i="158"/>
  <c r="D310" i="158"/>
  <c r="J310" i="158"/>
  <c r="E310" i="158"/>
  <c r="F310" i="158"/>
  <c r="C310" i="158"/>
  <c r="I311" i="158"/>
  <c r="D311" i="158"/>
  <c r="J311" i="158"/>
  <c r="E311" i="158"/>
  <c r="F311" i="158"/>
  <c r="C311" i="158"/>
  <c r="I312" i="158"/>
  <c r="D312" i="158"/>
  <c r="J312" i="158"/>
  <c r="E312" i="158"/>
  <c r="F312" i="158"/>
  <c r="C312" i="158"/>
  <c r="I313" i="158"/>
  <c r="D313" i="158"/>
  <c r="J313" i="158"/>
  <c r="E313" i="158"/>
  <c r="F313" i="158"/>
  <c r="C313" i="158"/>
  <c r="I314" i="158"/>
  <c r="D314" i="158"/>
  <c r="J314" i="158"/>
  <c r="E314" i="158"/>
  <c r="F314" i="158"/>
  <c r="C314" i="158"/>
  <c r="I315" i="158"/>
  <c r="D315" i="158"/>
  <c r="J315" i="158"/>
  <c r="E315" i="158"/>
  <c r="F315" i="158"/>
  <c r="C315" i="158"/>
  <c r="I316" i="158"/>
  <c r="D316" i="158"/>
  <c r="J316" i="158"/>
  <c r="E316" i="158"/>
  <c r="F316" i="158"/>
  <c r="C316" i="158"/>
  <c r="I317" i="158"/>
  <c r="D317" i="158"/>
  <c r="J317" i="158"/>
  <c r="E317" i="158"/>
  <c r="F317" i="158"/>
  <c r="C317" i="158"/>
  <c r="I318" i="158"/>
  <c r="D318" i="158"/>
  <c r="J318" i="158"/>
  <c r="E318" i="158"/>
  <c r="F318" i="158"/>
  <c r="C318" i="158"/>
  <c r="I319" i="158"/>
  <c r="D319" i="158"/>
  <c r="J319" i="158"/>
  <c r="E319" i="158"/>
  <c r="F319" i="158"/>
  <c r="C319" i="158"/>
  <c r="I320" i="158"/>
  <c r="D320" i="158"/>
  <c r="J320" i="158"/>
  <c r="E320" i="158"/>
  <c r="F320" i="158"/>
  <c r="C320" i="158"/>
  <c r="I321" i="158"/>
  <c r="D321" i="158"/>
  <c r="J321" i="158"/>
  <c r="E321" i="158"/>
  <c r="F321" i="158"/>
  <c r="C321" i="158"/>
  <c r="I322" i="158"/>
  <c r="D322" i="158"/>
  <c r="J322" i="158"/>
  <c r="E322" i="158"/>
  <c r="F322" i="158"/>
  <c r="C322" i="158"/>
  <c r="I323" i="158"/>
  <c r="D323" i="158"/>
  <c r="J323" i="158"/>
  <c r="E323" i="158"/>
  <c r="F323" i="158"/>
  <c r="C323" i="158"/>
  <c r="I324" i="158"/>
  <c r="D324" i="158"/>
  <c r="J324" i="158"/>
  <c r="E324" i="158"/>
  <c r="F324" i="158"/>
  <c r="C324" i="158"/>
  <c r="I325" i="158"/>
  <c r="D325" i="158"/>
  <c r="J325" i="158"/>
  <c r="E325" i="158"/>
  <c r="F325" i="158"/>
  <c r="C325" i="158"/>
  <c r="I326" i="158"/>
  <c r="D326" i="158"/>
  <c r="J326" i="158"/>
  <c r="E326" i="158"/>
  <c r="F326" i="158"/>
  <c r="C326" i="158"/>
  <c r="I327" i="158"/>
  <c r="D327" i="158"/>
  <c r="J327" i="158"/>
  <c r="E327" i="158"/>
  <c r="F327" i="158"/>
  <c r="C327" i="158"/>
  <c r="I328" i="158"/>
  <c r="D328" i="158"/>
  <c r="J328" i="158"/>
  <c r="E328" i="158"/>
  <c r="F328" i="158"/>
  <c r="C328" i="158"/>
  <c r="I329" i="158"/>
  <c r="D329" i="158"/>
  <c r="J329" i="158"/>
  <c r="E329" i="158"/>
  <c r="F329" i="158"/>
  <c r="C329" i="158"/>
  <c r="I330" i="158"/>
  <c r="D330" i="158"/>
  <c r="J330" i="158"/>
  <c r="E330" i="158"/>
  <c r="F330" i="158"/>
  <c r="C330" i="158"/>
  <c r="I331" i="158"/>
  <c r="D331" i="158"/>
  <c r="J331" i="158"/>
  <c r="E331" i="158"/>
  <c r="F331" i="158"/>
  <c r="C331" i="158"/>
  <c r="I332" i="158"/>
  <c r="D332" i="158"/>
  <c r="J332" i="158"/>
  <c r="E332" i="158"/>
  <c r="F332" i="158"/>
  <c r="C332" i="158"/>
  <c r="I333" i="158"/>
  <c r="D333" i="158"/>
  <c r="J333" i="158"/>
  <c r="E333" i="158"/>
  <c r="F333" i="158"/>
  <c r="C333" i="158"/>
  <c r="I334" i="158"/>
  <c r="D334" i="158"/>
  <c r="J334" i="158"/>
  <c r="E334" i="158"/>
  <c r="F334" i="158"/>
  <c r="C334" i="158"/>
  <c r="I335" i="158"/>
  <c r="D335" i="158"/>
  <c r="J335" i="158"/>
  <c r="E335" i="158"/>
  <c r="F335" i="158"/>
  <c r="C335" i="158"/>
  <c r="I336" i="158"/>
  <c r="D336" i="158"/>
  <c r="J336" i="158"/>
  <c r="E336" i="158"/>
  <c r="F336" i="158"/>
  <c r="C336" i="158"/>
  <c r="I337" i="158"/>
  <c r="D337" i="158"/>
  <c r="J337" i="158"/>
  <c r="E337" i="158"/>
  <c r="F337" i="158"/>
  <c r="C337" i="158"/>
  <c r="I338" i="158"/>
  <c r="D338" i="158"/>
  <c r="J338" i="158"/>
  <c r="E338" i="158"/>
  <c r="F338" i="158"/>
  <c r="C338" i="158"/>
  <c r="I339" i="158"/>
  <c r="D339" i="158"/>
  <c r="J339" i="158"/>
  <c r="E339" i="158"/>
  <c r="F339" i="158"/>
  <c r="C339" i="158"/>
  <c r="I340" i="158"/>
  <c r="D340" i="158"/>
  <c r="J340" i="158"/>
  <c r="E340" i="158"/>
  <c r="F340" i="158"/>
  <c r="C340" i="158"/>
  <c r="I341" i="158"/>
  <c r="D341" i="158"/>
  <c r="J341" i="158"/>
  <c r="E341" i="158"/>
  <c r="F341" i="158"/>
  <c r="C341" i="158"/>
  <c r="I342" i="158"/>
  <c r="D342" i="158"/>
  <c r="J342" i="158"/>
  <c r="E342" i="158"/>
  <c r="F342" i="158"/>
  <c r="C342" i="158"/>
  <c r="I343" i="158"/>
  <c r="D343" i="158"/>
  <c r="J343" i="158"/>
  <c r="E343" i="158"/>
  <c r="F343" i="158"/>
  <c r="C343" i="158"/>
  <c r="I344" i="158"/>
  <c r="D344" i="158"/>
  <c r="J344" i="158"/>
  <c r="E344" i="158"/>
  <c r="F344" i="158"/>
  <c r="C344" i="158"/>
  <c r="I345" i="158"/>
  <c r="D345" i="158"/>
  <c r="J345" i="158"/>
  <c r="E345" i="158"/>
  <c r="F345" i="158"/>
  <c r="C345" i="158"/>
  <c r="I346" i="158"/>
  <c r="D346" i="158"/>
  <c r="J346" i="158"/>
  <c r="E346" i="158"/>
  <c r="F346" i="158"/>
  <c r="C346" i="158"/>
  <c r="I347" i="158"/>
  <c r="D347" i="158"/>
  <c r="J347" i="158"/>
  <c r="E347" i="158"/>
  <c r="F347" i="158"/>
  <c r="C347" i="158"/>
  <c r="I348" i="158"/>
  <c r="D348" i="158"/>
  <c r="J348" i="158"/>
  <c r="E348" i="158"/>
  <c r="F348" i="158"/>
  <c r="C348" i="158"/>
  <c r="I349" i="158"/>
  <c r="D349" i="158"/>
  <c r="J349" i="158"/>
  <c r="E349" i="158"/>
  <c r="F349" i="158"/>
  <c r="C349" i="158"/>
  <c r="I350" i="158"/>
  <c r="D350" i="158"/>
  <c r="J350" i="158"/>
  <c r="E350" i="158"/>
  <c r="F350" i="158"/>
  <c r="C350" i="158"/>
  <c r="I351" i="158"/>
  <c r="D351" i="158"/>
  <c r="J351" i="158"/>
  <c r="E351" i="158"/>
  <c r="F351" i="158"/>
  <c r="C351" i="158"/>
  <c r="I352" i="158"/>
  <c r="D352" i="158"/>
  <c r="J352" i="158"/>
  <c r="E352" i="158"/>
  <c r="F352" i="158"/>
  <c r="C352" i="158"/>
  <c r="I353" i="158"/>
  <c r="D353" i="158"/>
  <c r="J353" i="158"/>
  <c r="E353" i="158"/>
  <c r="F353" i="158"/>
  <c r="C353" i="158"/>
  <c r="I354" i="158"/>
  <c r="D354" i="158"/>
  <c r="J354" i="158"/>
  <c r="E354" i="158"/>
  <c r="F354" i="158"/>
  <c r="C354" i="158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33" i="157"/>
  <c r="B33" i="157"/>
  <c r="B31" i="157"/>
  <c r="E30" i="157"/>
  <c r="B30" i="157"/>
  <c r="E29" i="157"/>
  <c r="B29" i="157"/>
  <c r="E28" i="157"/>
  <c r="B28" i="157"/>
  <c r="B6" i="157"/>
  <c r="E27" i="157"/>
  <c r="B27" i="157"/>
  <c r="E6" i="157"/>
  <c r="E26" i="157"/>
  <c r="B26" i="157"/>
  <c r="E25" i="157"/>
  <c r="B25" i="157"/>
  <c r="E24" i="157"/>
  <c r="B24" i="157"/>
  <c r="E23" i="157"/>
  <c r="B23" i="157"/>
  <c r="E22" i="157"/>
  <c r="B22" i="157"/>
  <c r="B21" i="157"/>
  <c r="E20" i="157"/>
  <c r="B20" i="157"/>
  <c r="E19" i="157"/>
  <c r="B19" i="157"/>
  <c r="B17" i="157"/>
  <c r="E18" i="157"/>
  <c r="B18" i="157"/>
  <c r="E17" i="157"/>
  <c r="E32" i="157"/>
  <c r="E31" i="157"/>
  <c r="H352" i="158"/>
  <c r="K352" i="158"/>
  <c r="L352" i="158"/>
  <c r="M352" i="158"/>
  <c r="N352" i="158"/>
  <c r="A2" i="157"/>
  <c r="A38" i="157"/>
  <c r="G33" i="157"/>
  <c r="H33" i="157"/>
  <c r="R9" i="157"/>
  <c r="O352" i="158"/>
  <c r="G17" i="157"/>
  <c r="H17" i="157"/>
  <c r="O2" i="158"/>
  <c r="G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G25" i="157"/>
  <c r="H25" i="157"/>
  <c r="O43" i="158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G20" i="157"/>
  <c r="H20" i="157"/>
  <c r="O52" i="158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G23" i="157"/>
  <c r="H23" i="157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G22" i="157"/>
  <c r="H22" i="157"/>
  <c r="O262" i="158"/>
  <c r="O263" i="158"/>
  <c r="O264" i="158"/>
  <c r="O265" i="158"/>
  <c r="G30" i="157"/>
  <c r="H30" i="157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O341" i="158"/>
  <c r="O342" i="158"/>
  <c r="O343" i="158"/>
  <c r="O344" i="158"/>
  <c r="O345" i="158"/>
  <c r="R3" i="157"/>
  <c r="O346" i="158"/>
  <c r="R4" i="157"/>
  <c r="O347" i="158"/>
  <c r="R5" i="157"/>
  <c r="O348" i="158"/>
  <c r="R6" i="157"/>
  <c r="O349" i="158"/>
  <c r="R7" i="157"/>
  <c r="O350" i="158"/>
  <c r="R8" i="157"/>
  <c r="O351" i="158"/>
  <c r="R10" i="157"/>
  <c r="O353" i="158"/>
  <c r="R11" i="157"/>
  <c r="O354" i="158"/>
  <c r="P352" i="158"/>
  <c r="H353" i="158"/>
  <c r="K353" i="158"/>
  <c r="L353" i="158"/>
  <c r="M353" i="158"/>
  <c r="N353" i="158"/>
  <c r="P353" i="158"/>
  <c r="H354" i="158"/>
  <c r="K354" i="158"/>
  <c r="L354" i="158"/>
  <c r="M354" i="158"/>
  <c r="N354" i="158"/>
  <c r="P354" i="158"/>
  <c r="A354" i="158"/>
  <c r="A353" i="158"/>
  <c r="H351" i="158"/>
  <c r="K351" i="158"/>
  <c r="L351" i="158"/>
  <c r="M351" i="158"/>
  <c r="N351" i="158"/>
  <c r="P351" i="158"/>
  <c r="A352" i="158"/>
  <c r="A351" i="158"/>
  <c r="C29" i="157"/>
  <c r="C30" i="157"/>
  <c r="F29" i="157"/>
  <c r="G29" i="157"/>
  <c r="H29" i="157"/>
  <c r="I29" i="157"/>
  <c r="J29" i="157"/>
  <c r="F30" i="157"/>
  <c r="I30" i="157"/>
  <c r="J30" i="157"/>
  <c r="M8" i="157"/>
  <c r="M7" i="157"/>
  <c r="M6" i="157"/>
  <c r="M5" i="157"/>
  <c r="M4" i="157"/>
  <c r="M3" i="157"/>
  <c r="C17" i="157"/>
  <c r="C18" i="157"/>
  <c r="C19" i="157"/>
  <c r="C20" i="157"/>
  <c r="C21" i="157"/>
  <c r="C22" i="157"/>
  <c r="C23" i="157"/>
  <c r="C24" i="157"/>
  <c r="C25" i="157"/>
  <c r="C26" i="157"/>
  <c r="C27" i="157"/>
  <c r="C28" i="157"/>
  <c r="C31" i="157"/>
  <c r="C32" i="157"/>
  <c r="C33" i="157"/>
  <c r="F31" i="157"/>
  <c r="G31" i="157"/>
  <c r="H31" i="157"/>
  <c r="I31" i="157"/>
  <c r="J31" i="157"/>
  <c r="M9" i="157"/>
  <c r="M10" i="157"/>
  <c r="M11" i="157"/>
  <c r="H347" i="158"/>
  <c r="K347" i="158"/>
  <c r="L347" i="158"/>
  <c r="M347" i="158"/>
  <c r="N347" i="158"/>
  <c r="P347" i="158"/>
  <c r="H348" i="158"/>
  <c r="K348" i="158"/>
  <c r="L348" i="158"/>
  <c r="M348" i="158"/>
  <c r="N348" i="158"/>
  <c r="P348" i="158"/>
  <c r="H349" i="158"/>
  <c r="K349" i="158"/>
  <c r="L349" i="158"/>
  <c r="M349" i="158"/>
  <c r="N349" i="158"/>
  <c r="P349" i="158"/>
  <c r="H350" i="158"/>
  <c r="K350" i="158"/>
  <c r="L350" i="158"/>
  <c r="M350" i="158"/>
  <c r="N350" i="158"/>
  <c r="P350" i="158"/>
  <c r="A347" i="158"/>
  <c r="A348" i="158"/>
  <c r="A349" i="158"/>
  <c r="A350" i="158"/>
  <c r="C2" i="103"/>
  <c r="A2" i="158"/>
  <c r="H2" i="158"/>
  <c r="K2" i="158"/>
  <c r="L2" i="158"/>
  <c r="M2" i="158"/>
  <c r="N2" i="158"/>
  <c r="P2" i="158"/>
  <c r="A3" i="158"/>
  <c r="H3" i="158"/>
  <c r="K3" i="158"/>
  <c r="L3" i="158"/>
  <c r="M3" i="158"/>
  <c r="N3" i="158"/>
  <c r="P3" i="158"/>
  <c r="A4" i="158"/>
  <c r="H4" i="158"/>
  <c r="K4" i="158"/>
  <c r="L4" i="158"/>
  <c r="M4" i="158"/>
  <c r="N4" i="158"/>
  <c r="P4" i="158"/>
  <c r="A5" i="158"/>
  <c r="H5" i="158"/>
  <c r="K5" i="158"/>
  <c r="L5" i="158"/>
  <c r="M5" i="158"/>
  <c r="N5" i="158"/>
  <c r="P5" i="158"/>
  <c r="A6" i="158"/>
  <c r="H6" i="158"/>
  <c r="K6" i="158"/>
  <c r="L6" i="158"/>
  <c r="M6" i="158"/>
  <c r="N6" i="158"/>
  <c r="P6" i="158"/>
  <c r="A7" i="158"/>
  <c r="H7" i="158"/>
  <c r="K7" i="158"/>
  <c r="L7" i="158"/>
  <c r="M7" i="158"/>
  <c r="N7" i="158"/>
  <c r="P7" i="158"/>
  <c r="A8" i="158"/>
  <c r="H8" i="158"/>
  <c r="K8" i="158"/>
  <c r="L8" i="158"/>
  <c r="M8" i="158"/>
  <c r="N8" i="158"/>
  <c r="P8" i="158"/>
  <c r="A9" i="158"/>
  <c r="H9" i="158"/>
  <c r="K9" i="158"/>
  <c r="L9" i="158"/>
  <c r="M9" i="158"/>
  <c r="N9" i="158"/>
  <c r="P9" i="158"/>
  <c r="A10" i="158"/>
  <c r="H10" i="158"/>
  <c r="K10" i="158"/>
  <c r="L10" i="158"/>
  <c r="M10" i="158"/>
  <c r="N10" i="158"/>
  <c r="P10" i="158"/>
  <c r="A11" i="158"/>
  <c r="H11" i="158"/>
  <c r="K11" i="158"/>
  <c r="L11" i="158"/>
  <c r="M11" i="158"/>
  <c r="N11" i="158"/>
  <c r="P11" i="158"/>
  <c r="A12" i="158"/>
  <c r="H12" i="158"/>
  <c r="K12" i="158"/>
  <c r="L12" i="158"/>
  <c r="M12" i="158"/>
  <c r="N12" i="158"/>
  <c r="P12" i="158"/>
  <c r="A13" i="158"/>
  <c r="H13" i="158"/>
  <c r="K13" i="158"/>
  <c r="L13" i="158"/>
  <c r="M13" i="158"/>
  <c r="N13" i="158"/>
  <c r="P13" i="158"/>
  <c r="A14" i="158"/>
  <c r="H14" i="158"/>
  <c r="K14" i="158"/>
  <c r="L14" i="158"/>
  <c r="M14" i="158"/>
  <c r="N14" i="158"/>
  <c r="P14" i="158"/>
  <c r="A15" i="158"/>
  <c r="H15" i="158"/>
  <c r="K15" i="158"/>
  <c r="L15" i="158"/>
  <c r="M15" i="158"/>
  <c r="N15" i="158"/>
  <c r="P15" i="158"/>
  <c r="A16" i="158"/>
  <c r="H16" i="158"/>
  <c r="K16" i="158"/>
  <c r="L16" i="158"/>
  <c r="M16" i="158"/>
  <c r="N16" i="158"/>
  <c r="P16" i="158"/>
  <c r="A17" i="158"/>
  <c r="H17" i="158"/>
  <c r="K17" i="158"/>
  <c r="L17" i="158"/>
  <c r="M17" i="158"/>
  <c r="N17" i="158"/>
  <c r="P17" i="158"/>
  <c r="A18" i="158"/>
  <c r="H18" i="158"/>
  <c r="K18" i="158"/>
  <c r="L18" i="158"/>
  <c r="M18" i="158"/>
  <c r="N18" i="158"/>
  <c r="P18" i="158"/>
  <c r="A19" i="158"/>
  <c r="H19" i="158"/>
  <c r="K19" i="158"/>
  <c r="L19" i="158"/>
  <c r="M19" i="158"/>
  <c r="N19" i="158"/>
  <c r="P19" i="158"/>
  <c r="A20" i="158"/>
  <c r="H20" i="158"/>
  <c r="K20" i="158"/>
  <c r="L20" i="158"/>
  <c r="M20" i="158"/>
  <c r="N20" i="158"/>
  <c r="P20" i="158"/>
  <c r="A21" i="158"/>
  <c r="H21" i="158"/>
  <c r="K21" i="158"/>
  <c r="L21" i="158"/>
  <c r="M21" i="158"/>
  <c r="N21" i="158"/>
  <c r="P21" i="158"/>
  <c r="A22" i="158"/>
  <c r="H22" i="158"/>
  <c r="K22" i="158"/>
  <c r="L22" i="158"/>
  <c r="M22" i="158"/>
  <c r="N22" i="158"/>
  <c r="P22" i="158"/>
  <c r="A23" i="158"/>
  <c r="H23" i="158"/>
  <c r="K23" i="158"/>
  <c r="L23" i="158"/>
  <c r="M23" i="158"/>
  <c r="N23" i="158"/>
  <c r="P23" i="158"/>
  <c r="A24" i="158"/>
  <c r="H24" i="158"/>
  <c r="K24" i="158"/>
  <c r="L24" i="158"/>
  <c r="M24" i="158"/>
  <c r="N24" i="158"/>
  <c r="P24" i="158"/>
  <c r="A25" i="158"/>
  <c r="H25" i="158"/>
  <c r="K25" i="158"/>
  <c r="L25" i="158"/>
  <c r="M25" i="158"/>
  <c r="N25" i="158"/>
  <c r="P25" i="158"/>
  <c r="A26" i="158"/>
  <c r="H26" i="158"/>
  <c r="K26" i="158"/>
  <c r="L26" i="158"/>
  <c r="M26" i="158"/>
  <c r="N26" i="158"/>
  <c r="P26" i="158"/>
  <c r="A27" i="158"/>
  <c r="H27" i="158"/>
  <c r="K27" i="158"/>
  <c r="L27" i="158"/>
  <c r="M27" i="158"/>
  <c r="N27" i="158"/>
  <c r="P27" i="158"/>
  <c r="A28" i="158"/>
  <c r="H28" i="158"/>
  <c r="K28" i="158"/>
  <c r="L28" i="158"/>
  <c r="M28" i="158"/>
  <c r="N28" i="158"/>
  <c r="P28" i="158"/>
  <c r="A29" i="158"/>
  <c r="H29" i="158"/>
  <c r="K29" i="158"/>
  <c r="L29" i="158"/>
  <c r="M29" i="158"/>
  <c r="N29" i="158"/>
  <c r="P29" i="158"/>
  <c r="A30" i="158"/>
  <c r="H30" i="158"/>
  <c r="K30" i="158"/>
  <c r="L30" i="158"/>
  <c r="M30" i="158"/>
  <c r="N30" i="158"/>
  <c r="P30" i="158"/>
  <c r="A31" i="158"/>
  <c r="H31" i="158"/>
  <c r="K31" i="158"/>
  <c r="L31" i="158"/>
  <c r="M31" i="158"/>
  <c r="N31" i="158"/>
  <c r="P31" i="158"/>
  <c r="A32" i="158"/>
  <c r="H32" i="158"/>
  <c r="K32" i="158"/>
  <c r="L32" i="158"/>
  <c r="M32" i="158"/>
  <c r="N32" i="158"/>
  <c r="P32" i="158"/>
  <c r="A33" i="158"/>
  <c r="H33" i="158"/>
  <c r="K33" i="158"/>
  <c r="L33" i="158"/>
  <c r="M33" i="158"/>
  <c r="N33" i="158"/>
  <c r="P33" i="158"/>
  <c r="A34" i="158"/>
  <c r="H34" i="158"/>
  <c r="K34" i="158"/>
  <c r="L34" i="158"/>
  <c r="M34" i="158"/>
  <c r="N34" i="158"/>
  <c r="P34" i="158"/>
  <c r="A35" i="158"/>
  <c r="H35" i="158"/>
  <c r="K35" i="158"/>
  <c r="L35" i="158"/>
  <c r="M35" i="158"/>
  <c r="N35" i="158"/>
  <c r="P35" i="158"/>
  <c r="A36" i="158"/>
  <c r="H36" i="158"/>
  <c r="K36" i="158"/>
  <c r="L36" i="158"/>
  <c r="M36" i="158"/>
  <c r="N36" i="158"/>
  <c r="P36" i="158"/>
  <c r="A37" i="158"/>
  <c r="H37" i="158"/>
  <c r="K37" i="158"/>
  <c r="L37" i="158"/>
  <c r="M37" i="158"/>
  <c r="N37" i="158"/>
  <c r="P37" i="158"/>
  <c r="A38" i="158"/>
  <c r="H38" i="158"/>
  <c r="K38" i="158"/>
  <c r="L38" i="158"/>
  <c r="M38" i="158"/>
  <c r="N38" i="158"/>
  <c r="P38" i="158"/>
  <c r="A39" i="158"/>
  <c r="H39" i="158"/>
  <c r="K39" i="158"/>
  <c r="L39" i="158"/>
  <c r="M39" i="158"/>
  <c r="N39" i="158"/>
  <c r="P39" i="158"/>
  <c r="A40" i="158"/>
  <c r="H40" i="158"/>
  <c r="K40" i="158"/>
  <c r="L40" i="158"/>
  <c r="M40" i="158"/>
  <c r="N40" i="158"/>
  <c r="P40" i="158"/>
  <c r="A41" i="158"/>
  <c r="H41" i="158"/>
  <c r="K41" i="158"/>
  <c r="L41" i="158"/>
  <c r="M41" i="158"/>
  <c r="N41" i="158"/>
  <c r="P41" i="158"/>
  <c r="A42" i="158"/>
  <c r="H42" i="158"/>
  <c r="K42" i="158"/>
  <c r="L42" i="158"/>
  <c r="M42" i="158"/>
  <c r="N42" i="158"/>
  <c r="P42" i="158"/>
  <c r="A43" i="158"/>
  <c r="H43" i="158"/>
  <c r="K43" i="158"/>
  <c r="L43" i="158"/>
  <c r="M43" i="158"/>
  <c r="N43" i="158"/>
  <c r="P43" i="158"/>
  <c r="A44" i="158"/>
  <c r="H44" i="158"/>
  <c r="K44" i="158"/>
  <c r="L44" i="158"/>
  <c r="M44" i="158"/>
  <c r="N44" i="158"/>
  <c r="P44" i="158"/>
  <c r="A45" i="158"/>
  <c r="H45" i="158"/>
  <c r="K45" i="158"/>
  <c r="L45" i="158"/>
  <c r="M45" i="158"/>
  <c r="N45" i="158"/>
  <c r="P45" i="158"/>
  <c r="A46" i="158"/>
  <c r="H46" i="158"/>
  <c r="K46" i="158"/>
  <c r="L46" i="158"/>
  <c r="M46" i="158"/>
  <c r="N46" i="158"/>
  <c r="P46" i="158"/>
  <c r="A47" i="158"/>
  <c r="H47" i="158"/>
  <c r="K47" i="158"/>
  <c r="L47" i="158"/>
  <c r="M47" i="158"/>
  <c r="N47" i="158"/>
  <c r="P47" i="158"/>
  <c r="A48" i="158"/>
  <c r="H48" i="158"/>
  <c r="K48" i="158"/>
  <c r="L48" i="158"/>
  <c r="M48" i="158"/>
  <c r="N48" i="158"/>
  <c r="P48" i="158"/>
  <c r="A49" i="158"/>
  <c r="H49" i="158"/>
  <c r="K49" i="158"/>
  <c r="L49" i="158"/>
  <c r="M49" i="158"/>
  <c r="N49" i="158"/>
  <c r="P49" i="158"/>
  <c r="A50" i="158"/>
  <c r="H50" i="158"/>
  <c r="K50" i="158"/>
  <c r="L50" i="158"/>
  <c r="M50" i="158"/>
  <c r="N50" i="158"/>
  <c r="P50" i="158"/>
  <c r="A51" i="158"/>
  <c r="H51" i="158"/>
  <c r="K51" i="158"/>
  <c r="L51" i="158"/>
  <c r="M51" i="158"/>
  <c r="N51" i="158"/>
  <c r="P51" i="158"/>
  <c r="A52" i="158"/>
  <c r="H52" i="158"/>
  <c r="K52" i="158"/>
  <c r="L52" i="158"/>
  <c r="M52" i="158"/>
  <c r="N52" i="158"/>
  <c r="P52" i="158"/>
  <c r="A53" i="158"/>
  <c r="H53" i="158"/>
  <c r="K53" i="158"/>
  <c r="L53" i="158"/>
  <c r="M53" i="158"/>
  <c r="N53" i="158"/>
  <c r="P53" i="158"/>
  <c r="A54" i="158"/>
  <c r="H54" i="158"/>
  <c r="K54" i="158"/>
  <c r="L54" i="158"/>
  <c r="M54" i="158"/>
  <c r="N54" i="158"/>
  <c r="P54" i="158"/>
  <c r="A55" i="158"/>
  <c r="H55" i="158"/>
  <c r="K55" i="158"/>
  <c r="L55" i="158"/>
  <c r="M55" i="158"/>
  <c r="N55" i="158"/>
  <c r="P55" i="158"/>
  <c r="A56" i="158"/>
  <c r="H56" i="158"/>
  <c r="K56" i="158"/>
  <c r="L56" i="158"/>
  <c r="M56" i="158"/>
  <c r="N56" i="158"/>
  <c r="P56" i="158"/>
  <c r="A57" i="158"/>
  <c r="H57" i="158"/>
  <c r="K57" i="158"/>
  <c r="L57" i="158"/>
  <c r="M57" i="158"/>
  <c r="N57" i="158"/>
  <c r="P57" i="158"/>
  <c r="A58" i="158"/>
  <c r="H58" i="158"/>
  <c r="K58" i="158"/>
  <c r="L58" i="158"/>
  <c r="M58" i="158"/>
  <c r="N58" i="158"/>
  <c r="P58" i="158"/>
  <c r="A59" i="158"/>
  <c r="H59" i="158"/>
  <c r="K59" i="158"/>
  <c r="L59" i="158"/>
  <c r="M59" i="158"/>
  <c r="N59" i="158"/>
  <c r="P59" i="158"/>
  <c r="A60" i="158"/>
  <c r="H60" i="158"/>
  <c r="K60" i="158"/>
  <c r="L60" i="158"/>
  <c r="M60" i="158"/>
  <c r="N60" i="158"/>
  <c r="P60" i="158"/>
  <c r="A61" i="158"/>
  <c r="H61" i="158"/>
  <c r="K61" i="158"/>
  <c r="L61" i="158"/>
  <c r="M61" i="158"/>
  <c r="N61" i="158"/>
  <c r="P61" i="158"/>
  <c r="A62" i="158"/>
  <c r="H62" i="158"/>
  <c r="K62" i="158"/>
  <c r="L62" i="158"/>
  <c r="M62" i="158"/>
  <c r="N62" i="158"/>
  <c r="P62" i="158"/>
  <c r="A63" i="158"/>
  <c r="H63" i="158"/>
  <c r="K63" i="158"/>
  <c r="L63" i="158"/>
  <c r="M63" i="158"/>
  <c r="N63" i="158"/>
  <c r="P63" i="158"/>
  <c r="A64" i="158"/>
  <c r="H64" i="158"/>
  <c r="K64" i="158"/>
  <c r="L64" i="158"/>
  <c r="M64" i="158"/>
  <c r="N64" i="158"/>
  <c r="P64" i="158"/>
  <c r="A65" i="158"/>
  <c r="H65" i="158"/>
  <c r="K65" i="158"/>
  <c r="L65" i="158"/>
  <c r="M65" i="158"/>
  <c r="N65" i="158"/>
  <c r="P65" i="158"/>
  <c r="A66" i="158"/>
  <c r="H66" i="158"/>
  <c r="K66" i="158"/>
  <c r="L66" i="158"/>
  <c r="M66" i="158"/>
  <c r="N66" i="158"/>
  <c r="P66" i="158"/>
  <c r="A67" i="158"/>
  <c r="H67" i="158"/>
  <c r="K67" i="158"/>
  <c r="L67" i="158"/>
  <c r="M67" i="158"/>
  <c r="N67" i="158"/>
  <c r="P67" i="158"/>
  <c r="A68" i="158"/>
  <c r="H68" i="158"/>
  <c r="K68" i="158"/>
  <c r="L68" i="158"/>
  <c r="M68" i="158"/>
  <c r="N68" i="158"/>
  <c r="P68" i="158"/>
  <c r="A69" i="158"/>
  <c r="H69" i="158"/>
  <c r="K69" i="158"/>
  <c r="L69" i="158"/>
  <c r="M69" i="158"/>
  <c r="N69" i="158"/>
  <c r="P69" i="158"/>
  <c r="A70" i="158"/>
  <c r="H70" i="158"/>
  <c r="K70" i="158"/>
  <c r="L70" i="158"/>
  <c r="M70" i="158"/>
  <c r="N70" i="158"/>
  <c r="P70" i="158"/>
  <c r="A71" i="158"/>
  <c r="H71" i="158"/>
  <c r="K71" i="158"/>
  <c r="L71" i="158"/>
  <c r="M71" i="158"/>
  <c r="N71" i="158"/>
  <c r="P71" i="158"/>
  <c r="A72" i="158"/>
  <c r="H72" i="158"/>
  <c r="K72" i="158"/>
  <c r="L72" i="158"/>
  <c r="M72" i="158"/>
  <c r="N72" i="158"/>
  <c r="P72" i="158"/>
  <c r="A73" i="158"/>
  <c r="H73" i="158"/>
  <c r="K73" i="158"/>
  <c r="L73" i="158"/>
  <c r="M73" i="158"/>
  <c r="N73" i="158"/>
  <c r="P73" i="158"/>
  <c r="A74" i="158"/>
  <c r="H74" i="158"/>
  <c r="K74" i="158"/>
  <c r="L74" i="158"/>
  <c r="M74" i="158"/>
  <c r="N74" i="158"/>
  <c r="P74" i="158"/>
  <c r="A75" i="158"/>
  <c r="H75" i="158"/>
  <c r="K75" i="158"/>
  <c r="L75" i="158"/>
  <c r="M75" i="158"/>
  <c r="N75" i="158"/>
  <c r="P75" i="158"/>
  <c r="A76" i="158"/>
  <c r="H76" i="158"/>
  <c r="K76" i="158"/>
  <c r="L76" i="158"/>
  <c r="M76" i="158"/>
  <c r="N76" i="158"/>
  <c r="P76" i="158"/>
  <c r="A77" i="158"/>
  <c r="H77" i="158"/>
  <c r="K77" i="158"/>
  <c r="L77" i="158"/>
  <c r="M77" i="158"/>
  <c r="N77" i="158"/>
  <c r="P77" i="158"/>
  <c r="A78" i="158"/>
  <c r="H78" i="158"/>
  <c r="K78" i="158"/>
  <c r="L78" i="158"/>
  <c r="M78" i="158"/>
  <c r="N78" i="158"/>
  <c r="P78" i="158"/>
  <c r="A79" i="158"/>
  <c r="H79" i="158"/>
  <c r="K79" i="158"/>
  <c r="L79" i="158"/>
  <c r="M79" i="158"/>
  <c r="N79" i="158"/>
  <c r="P79" i="158"/>
  <c r="A80" i="158"/>
  <c r="H80" i="158"/>
  <c r="K80" i="158"/>
  <c r="L80" i="158"/>
  <c r="M80" i="158"/>
  <c r="N80" i="158"/>
  <c r="P80" i="158"/>
  <c r="A81" i="158"/>
  <c r="H81" i="158"/>
  <c r="K81" i="158"/>
  <c r="L81" i="158"/>
  <c r="M81" i="158"/>
  <c r="N81" i="158"/>
  <c r="P81" i="158"/>
  <c r="A82" i="158"/>
  <c r="H82" i="158"/>
  <c r="K82" i="158"/>
  <c r="L82" i="158"/>
  <c r="M82" i="158"/>
  <c r="N82" i="158"/>
  <c r="P82" i="158"/>
  <c r="A83" i="158"/>
  <c r="H83" i="158"/>
  <c r="K83" i="158"/>
  <c r="L83" i="158"/>
  <c r="M83" i="158"/>
  <c r="N83" i="158"/>
  <c r="P83" i="158"/>
  <c r="A84" i="158"/>
  <c r="H84" i="158"/>
  <c r="K84" i="158"/>
  <c r="L84" i="158"/>
  <c r="M84" i="158"/>
  <c r="N84" i="158"/>
  <c r="P84" i="158"/>
  <c r="A85" i="158"/>
  <c r="H85" i="158"/>
  <c r="K85" i="158"/>
  <c r="L85" i="158"/>
  <c r="M85" i="158"/>
  <c r="N85" i="158"/>
  <c r="P85" i="158"/>
  <c r="A86" i="158"/>
  <c r="H86" i="158"/>
  <c r="K86" i="158"/>
  <c r="L86" i="158"/>
  <c r="M86" i="158"/>
  <c r="N86" i="158"/>
  <c r="P86" i="158"/>
  <c r="A87" i="158"/>
  <c r="H87" i="158"/>
  <c r="K87" i="158"/>
  <c r="L87" i="158"/>
  <c r="M87" i="158"/>
  <c r="N87" i="158"/>
  <c r="P87" i="158"/>
  <c r="A88" i="158"/>
  <c r="H88" i="158"/>
  <c r="K88" i="158"/>
  <c r="L88" i="158"/>
  <c r="M88" i="158"/>
  <c r="N88" i="158"/>
  <c r="P88" i="158"/>
  <c r="A89" i="158"/>
  <c r="H89" i="158"/>
  <c r="K89" i="158"/>
  <c r="L89" i="158"/>
  <c r="M89" i="158"/>
  <c r="N89" i="158"/>
  <c r="P89" i="158"/>
  <c r="A90" i="158"/>
  <c r="H90" i="158"/>
  <c r="K90" i="158"/>
  <c r="L90" i="158"/>
  <c r="M90" i="158"/>
  <c r="N90" i="158"/>
  <c r="P90" i="158"/>
  <c r="A91" i="158"/>
  <c r="H91" i="158"/>
  <c r="K91" i="158"/>
  <c r="L91" i="158"/>
  <c r="M91" i="158"/>
  <c r="N91" i="158"/>
  <c r="P91" i="158"/>
  <c r="A92" i="158"/>
  <c r="H92" i="158"/>
  <c r="K92" i="158"/>
  <c r="L92" i="158"/>
  <c r="M92" i="158"/>
  <c r="N92" i="158"/>
  <c r="P92" i="158"/>
  <c r="A93" i="158"/>
  <c r="H93" i="158"/>
  <c r="K93" i="158"/>
  <c r="L93" i="158"/>
  <c r="M93" i="158"/>
  <c r="N93" i="158"/>
  <c r="P93" i="158"/>
  <c r="A94" i="158"/>
  <c r="H94" i="158"/>
  <c r="K94" i="158"/>
  <c r="L94" i="158"/>
  <c r="M94" i="158"/>
  <c r="N94" i="158"/>
  <c r="P94" i="158"/>
  <c r="A95" i="158"/>
  <c r="H95" i="158"/>
  <c r="K95" i="158"/>
  <c r="L95" i="158"/>
  <c r="M95" i="158"/>
  <c r="N95" i="158"/>
  <c r="P95" i="158"/>
  <c r="A96" i="158"/>
  <c r="H96" i="158"/>
  <c r="K96" i="158"/>
  <c r="L96" i="158"/>
  <c r="M96" i="158"/>
  <c r="N96" i="158"/>
  <c r="P96" i="158"/>
  <c r="A97" i="158"/>
  <c r="H97" i="158"/>
  <c r="K97" i="158"/>
  <c r="L97" i="158"/>
  <c r="M97" i="158"/>
  <c r="N97" i="158"/>
  <c r="P97" i="158"/>
  <c r="A98" i="158"/>
  <c r="H98" i="158"/>
  <c r="K98" i="158"/>
  <c r="L98" i="158"/>
  <c r="M98" i="158"/>
  <c r="N98" i="158"/>
  <c r="P98" i="158"/>
  <c r="A99" i="158"/>
  <c r="H99" i="158"/>
  <c r="K99" i="158"/>
  <c r="L99" i="158"/>
  <c r="M99" i="158"/>
  <c r="N99" i="158"/>
  <c r="P99" i="158"/>
  <c r="A100" i="158"/>
  <c r="H100" i="158"/>
  <c r="K100" i="158"/>
  <c r="L100" i="158"/>
  <c r="M100" i="158"/>
  <c r="N100" i="158"/>
  <c r="P100" i="158"/>
  <c r="A101" i="158"/>
  <c r="H101" i="158"/>
  <c r="K101" i="158"/>
  <c r="L101" i="158"/>
  <c r="M101" i="158"/>
  <c r="N101" i="158"/>
  <c r="P101" i="158"/>
  <c r="A102" i="158"/>
  <c r="H102" i="158"/>
  <c r="K102" i="158"/>
  <c r="L102" i="158"/>
  <c r="M102" i="158"/>
  <c r="N102" i="158"/>
  <c r="P102" i="158"/>
  <c r="A103" i="158"/>
  <c r="H103" i="158"/>
  <c r="K103" i="158"/>
  <c r="L103" i="158"/>
  <c r="M103" i="158"/>
  <c r="N103" i="158"/>
  <c r="P103" i="158"/>
  <c r="A104" i="158"/>
  <c r="H104" i="158"/>
  <c r="K104" i="158"/>
  <c r="L104" i="158"/>
  <c r="M104" i="158"/>
  <c r="N104" i="158"/>
  <c r="P104" i="158"/>
  <c r="A105" i="158"/>
  <c r="H105" i="158"/>
  <c r="K105" i="158"/>
  <c r="L105" i="158"/>
  <c r="M105" i="158"/>
  <c r="N105" i="158"/>
  <c r="P105" i="158"/>
  <c r="A106" i="158"/>
  <c r="H106" i="158"/>
  <c r="K106" i="158"/>
  <c r="L106" i="158"/>
  <c r="M106" i="158"/>
  <c r="N106" i="158"/>
  <c r="P106" i="158"/>
  <c r="A107" i="158"/>
  <c r="H107" i="158"/>
  <c r="K107" i="158"/>
  <c r="L107" i="158"/>
  <c r="M107" i="158"/>
  <c r="N107" i="158"/>
  <c r="P107" i="158"/>
  <c r="A108" i="158"/>
  <c r="H108" i="158"/>
  <c r="K108" i="158"/>
  <c r="L108" i="158"/>
  <c r="M108" i="158"/>
  <c r="N108" i="158"/>
  <c r="P108" i="158"/>
  <c r="A109" i="158"/>
  <c r="H109" i="158"/>
  <c r="K109" i="158"/>
  <c r="L109" i="158"/>
  <c r="M109" i="158"/>
  <c r="N109" i="158"/>
  <c r="P109" i="158"/>
  <c r="A110" i="158"/>
  <c r="H110" i="158"/>
  <c r="K110" i="158"/>
  <c r="L110" i="158"/>
  <c r="M110" i="158"/>
  <c r="N110" i="158"/>
  <c r="P110" i="158"/>
  <c r="A111" i="158"/>
  <c r="H111" i="158"/>
  <c r="K111" i="158"/>
  <c r="L111" i="158"/>
  <c r="M111" i="158"/>
  <c r="N111" i="158"/>
  <c r="P111" i="158"/>
  <c r="A112" i="158"/>
  <c r="H112" i="158"/>
  <c r="K112" i="158"/>
  <c r="L112" i="158"/>
  <c r="M112" i="158"/>
  <c r="N112" i="158"/>
  <c r="P112" i="158"/>
  <c r="A113" i="158"/>
  <c r="H113" i="158"/>
  <c r="K113" i="158"/>
  <c r="L113" i="158"/>
  <c r="M113" i="158"/>
  <c r="N113" i="158"/>
  <c r="P113" i="158"/>
  <c r="A114" i="158"/>
  <c r="H114" i="158"/>
  <c r="K114" i="158"/>
  <c r="L114" i="158"/>
  <c r="M114" i="158"/>
  <c r="N114" i="158"/>
  <c r="P114" i="158"/>
  <c r="A115" i="158"/>
  <c r="H115" i="158"/>
  <c r="K115" i="158"/>
  <c r="L115" i="158"/>
  <c r="M115" i="158"/>
  <c r="N115" i="158"/>
  <c r="P115" i="158"/>
  <c r="A116" i="158"/>
  <c r="H116" i="158"/>
  <c r="K116" i="158"/>
  <c r="L116" i="158"/>
  <c r="M116" i="158"/>
  <c r="N116" i="158"/>
  <c r="P116" i="158"/>
  <c r="A117" i="158"/>
  <c r="H117" i="158"/>
  <c r="K117" i="158"/>
  <c r="L117" i="158"/>
  <c r="M117" i="158"/>
  <c r="N117" i="158"/>
  <c r="P117" i="158"/>
  <c r="A118" i="158"/>
  <c r="H118" i="158"/>
  <c r="K118" i="158"/>
  <c r="L118" i="158"/>
  <c r="M118" i="158"/>
  <c r="N118" i="158"/>
  <c r="P118" i="158"/>
  <c r="A119" i="158"/>
  <c r="H119" i="158"/>
  <c r="K119" i="158"/>
  <c r="L119" i="158"/>
  <c r="M119" i="158"/>
  <c r="N119" i="158"/>
  <c r="P119" i="158"/>
  <c r="A120" i="158"/>
  <c r="H120" i="158"/>
  <c r="K120" i="158"/>
  <c r="L120" i="158"/>
  <c r="M120" i="158"/>
  <c r="N120" i="158"/>
  <c r="P120" i="158"/>
  <c r="A121" i="158"/>
  <c r="H121" i="158"/>
  <c r="K121" i="158"/>
  <c r="L121" i="158"/>
  <c r="M121" i="158"/>
  <c r="N121" i="158"/>
  <c r="P121" i="158"/>
  <c r="A122" i="158"/>
  <c r="H122" i="158"/>
  <c r="K122" i="158"/>
  <c r="L122" i="158"/>
  <c r="M122" i="158"/>
  <c r="N122" i="158"/>
  <c r="P122" i="158"/>
  <c r="A123" i="158"/>
  <c r="H123" i="158"/>
  <c r="K123" i="158"/>
  <c r="L123" i="158"/>
  <c r="M123" i="158"/>
  <c r="N123" i="158"/>
  <c r="P123" i="158"/>
  <c r="A124" i="158"/>
  <c r="H124" i="158"/>
  <c r="K124" i="158"/>
  <c r="L124" i="158"/>
  <c r="M124" i="158"/>
  <c r="N124" i="158"/>
  <c r="P124" i="158"/>
  <c r="A125" i="158"/>
  <c r="H125" i="158"/>
  <c r="K125" i="158"/>
  <c r="L125" i="158"/>
  <c r="M125" i="158"/>
  <c r="N125" i="158"/>
  <c r="P125" i="158"/>
  <c r="A126" i="158"/>
  <c r="H126" i="158"/>
  <c r="K126" i="158"/>
  <c r="L126" i="158"/>
  <c r="M126" i="158"/>
  <c r="N126" i="158"/>
  <c r="P126" i="158"/>
  <c r="A127" i="158"/>
  <c r="H127" i="158"/>
  <c r="K127" i="158"/>
  <c r="L127" i="158"/>
  <c r="M127" i="158"/>
  <c r="N127" i="158"/>
  <c r="P127" i="158"/>
  <c r="A128" i="158"/>
  <c r="H128" i="158"/>
  <c r="K128" i="158"/>
  <c r="L128" i="158"/>
  <c r="M128" i="158"/>
  <c r="N128" i="158"/>
  <c r="P128" i="158"/>
  <c r="A129" i="158"/>
  <c r="H129" i="158"/>
  <c r="K129" i="158"/>
  <c r="L129" i="158"/>
  <c r="M129" i="158"/>
  <c r="N129" i="158"/>
  <c r="P129" i="158"/>
  <c r="A130" i="158"/>
  <c r="H130" i="158"/>
  <c r="K130" i="158"/>
  <c r="L130" i="158"/>
  <c r="M130" i="158"/>
  <c r="N130" i="158"/>
  <c r="P130" i="158"/>
  <c r="A131" i="158"/>
  <c r="H131" i="158"/>
  <c r="K131" i="158"/>
  <c r="L131" i="158"/>
  <c r="M131" i="158"/>
  <c r="N131" i="158"/>
  <c r="P131" i="158"/>
  <c r="A132" i="158"/>
  <c r="H132" i="158"/>
  <c r="K132" i="158"/>
  <c r="L132" i="158"/>
  <c r="M132" i="158"/>
  <c r="N132" i="158"/>
  <c r="P132" i="158"/>
  <c r="A133" i="158"/>
  <c r="H133" i="158"/>
  <c r="K133" i="158"/>
  <c r="L133" i="158"/>
  <c r="M133" i="158"/>
  <c r="N133" i="158"/>
  <c r="P133" i="158"/>
  <c r="A134" i="158"/>
  <c r="H134" i="158"/>
  <c r="K134" i="158"/>
  <c r="L134" i="158"/>
  <c r="M134" i="158"/>
  <c r="N134" i="158"/>
  <c r="P134" i="158"/>
  <c r="A135" i="158"/>
  <c r="H135" i="158"/>
  <c r="K135" i="158"/>
  <c r="L135" i="158"/>
  <c r="M135" i="158"/>
  <c r="N135" i="158"/>
  <c r="P135" i="158"/>
  <c r="A136" i="158"/>
  <c r="H136" i="158"/>
  <c r="K136" i="158"/>
  <c r="L136" i="158"/>
  <c r="M136" i="158"/>
  <c r="N136" i="158"/>
  <c r="P136" i="158"/>
  <c r="A137" i="158"/>
  <c r="H137" i="158"/>
  <c r="K137" i="158"/>
  <c r="L137" i="158"/>
  <c r="M137" i="158"/>
  <c r="N137" i="158"/>
  <c r="P137" i="158"/>
  <c r="A138" i="158"/>
  <c r="H138" i="158"/>
  <c r="K138" i="158"/>
  <c r="L138" i="158"/>
  <c r="M138" i="158"/>
  <c r="N138" i="158"/>
  <c r="P138" i="158"/>
  <c r="A139" i="158"/>
  <c r="H139" i="158"/>
  <c r="K139" i="158"/>
  <c r="L139" i="158"/>
  <c r="M139" i="158"/>
  <c r="N139" i="158"/>
  <c r="P139" i="158"/>
  <c r="A140" i="158"/>
  <c r="H140" i="158"/>
  <c r="K140" i="158"/>
  <c r="L140" i="158"/>
  <c r="M140" i="158"/>
  <c r="N140" i="158"/>
  <c r="P140" i="158"/>
  <c r="A141" i="158"/>
  <c r="H141" i="158"/>
  <c r="K141" i="158"/>
  <c r="L141" i="158"/>
  <c r="M141" i="158"/>
  <c r="N141" i="158"/>
  <c r="P141" i="158"/>
  <c r="A142" i="158"/>
  <c r="H142" i="158"/>
  <c r="K142" i="158"/>
  <c r="L142" i="158"/>
  <c r="M142" i="158"/>
  <c r="N142" i="158"/>
  <c r="P142" i="158"/>
  <c r="A143" i="158"/>
  <c r="H143" i="158"/>
  <c r="K143" i="158"/>
  <c r="L143" i="158"/>
  <c r="M143" i="158"/>
  <c r="N143" i="158"/>
  <c r="P143" i="158"/>
  <c r="A144" i="158"/>
  <c r="H144" i="158"/>
  <c r="K144" i="158"/>
  <c r="L144" i="158"/>
  <c r="M144" i="158"/>
  <c r="N144" i="158"/>
  <c r="P144" i="158"/>
  <c r="A145" i="158"/>
  <c r="H145" i="158"/>
  <c r="K145" i="158"/>
  <c r="L145" i="158"/>
  <c r="M145" i="158"/>
  <c r="N145" i="158"/>
  <c r="P145" i="158"/>
  <c r="A146" i="158"/>
  <c r="H146" i="158"/>
  <c r="K146" i="158"/>
  <c r="L146" i="158"/>
  <c r="M146" i="158"/>
  <c r="N146" i="158"/>
  <c r="P146" i="158"/>
  <c r="A147" i="158"/>
  <c r="H147" i="158"/>
  <c r="K147" i="158"/>
  <c r="L147" i="158"/>
  <c r="M147" i="158"/>
  <c r="N147" i="158"/>
  <c r="P147" i="158"/>
  <c r="A148" i="158"/>
  <c r="H148" i="158"/>
  <c r="K148" i="158"/>
  <c r="L148" i="158"/>
  <c r="M148" i="158"/>
  <c r="N148" i="158"/>
  <c r="P148" i="158"/>
  <c r="A149" i="158"/>
  <c r="H149" i="158"/>
  <c r="K149" i="158"/>
  <c r="L149" i="158"/>
  <c r="M149" i="158"/>
  <c r="N149" i="158"/>
  <c r="P149" i="158"/>
  <c r="A150" i="158"/>
  <c r="H150" i="158"/>
  <c r="K150" i="158"/>
  <c r="L150" i="158"/>
  <c r="M150" i="158"/>
  <c r="N150" i="158"/>
  <c r="P150" i="158"/>
  <c r="A151" i="158"/>
  <c r="H151" i="158"/>
  <c r="K151" i="158"/>
  <c r="L151" i="158"/>
  <c r="M151" i="158"/>
  <c r="N151" i="158"/>
  <c r="P151" i="158"/>
  <c r="A152" i="158"/>
  <c r="H152" i="158"/>
  <c r="K152" i="158"/>
  <c r="L152" i="158"/>
  <c r="M152" i="158"/>
  <c r="N152" i="158"/>
  <c r="P152" i="158"/>
  <c r="A153" i="158"/>
  <c r="H153" i="158"/>
  <c r="K153" i="158"/>
  <c r="L153" i="158"/>
  <c r="M153" i="158"/>
  <c r="N153" i="158"/>
  <c r="P153" i="158"/>
  <c r="A154" i="158"/>
  <c r="H154" i="158"/>
  <c r="K154" i="158"/>
  <c r="L154" i="158"/>
  <c r="M154" i="158"/>
  <c r="N154" i="158"/>
  <c r="P154" i="158"/>
  <c r="A155" i="158"/>
  <c r="H155" i="158"/>
  <c r="K155" i="158"/>
  <c r="L155" i="158"/>
  <c r="M155" i="158"/>
  <c r="N155" i="158"/>
  <c r="P155" i="158"/>
  <c r="A156" i="158"/>
  <c r="H156" i="158"/>
  <c r="K156" i="158"/>
  <c r="L156" i="158"/>
  <c r="M156" i="158"/>
  <c r="N156" i="158"/>
  <c r="P156" i="158"/>
  <c r="A157" i="158"/>
  <c r="H157" i="158"/>
  <c r="K157" i="158"/>
  <c r="L157" i="158"/>
  <c r="M157" i="158"/>
  <c r="N157" i="158"/>
  <c r="P157" i="158"/>
  <c r="A158" i="158"/>
  <c r="H158" i="158"/>
  <c r="K158" i="158"/>
  <c r="L158" i="158"/>
  <c r="M158" i="158"/>
  <c r="N158" i="158"/>
  <c r="P158" i="158"/>
  <c r="A159" i="158"/>
  <c r="H159" i="158"/>
  <c r="K159" i="158"/>
  <c r="L159" i="158"/>
  <c r="M159" i="158"/>
  <c r="N159" i="158"/>
  <c r="P159" i="158"/>
  <c r="A160" i="158"/>
  <c r="H160" i="158"/>
  <c r="K160" i="158"/>
  <c r="L160" i="158"/>
  <c r="M160" i="158"/>
  <c r="N160" i="158"/>
  <c r="P160" i="158"/>
  <c r="A161" i="158"/>
  <c r="H161" i="158"/>
  <c r="K161" i="158"/>
  <c r="L161" i="158"/>
  <c r="M161" i="158"/>
  <c r="N161" i="158"/>
  <c r="P161" i="158"/>
  <c r="A162" i="158"/>
  <c r="H162" i="158"/>
  <c r="K162" i="158"/>
  <c r="L162" i="158"/>
  <c r="M162" i="158"/>
  <c r="N162" i="158"/>
  <c r="P162" i="158"/>
  <c r="A163" i="158"/>
  <c r="H163" i="158"/>
  <c r="K163" i="158"/>
  <c r="L163" i="158"/>
  <c r="M163" i="158"/>
  <c r="N163" i="158"/>
  <c r="P163" i="158"/>
  <c r="A164" i="158"/>
  <c r="H164" i="158"/>
  <c r="K164" i="158"/>
  <c r="L164" i="158"/>
  <c r="M164" i="158"/>
  <c r="N164" i="158"/>
  <c r="P164" i="158"/>
  <c r="A165" i="158"/>
  <c r="H165" i="158"/>
  <c r="K165" i="158"/>
  <c r="L165" i="158"/>
  <c r="M165" i="158"/>
  <c r="N165" i="158"/>
  <c r="P165" i="158"/>
  <c r="A166" i="158"/>
  <c r="H166" i="158"/>
  <c r="K166" i="158"/>
  <c r="L166" i="158"/>
  <c r="M166" i="158"/>
  <c r="N166" i="158"/>
  <c r="P166" i="158"/>
  <c r="A167" i="158"/>
  <c r="H167" i="158"/>
  <c r="K167" i="158"/>
  <c r="L167" i="158"/>
  <c r="M167" i="158"/>
  <c r="N167" i="158"/>
  <c r="P167" i="158"/>
  <c r="A168" i="158"/>
  <c r="H168" i="158"/>
  <c r="K168" i="158"/>
  <c r="L168" i="158"/>
  <c r="M168" i="158"/>
  <c r="N168" i="158"/>
  <c r="P168" i="158"/>
  <c r="A169" i="158"/>
  <c r="H169" i="158"/>
  <c r="K169" i="158"/>
  <c r="L169" i="158"/>
  <c r="M169" i="158"/>
  <c r="N169" i="158"/>
  <c r="P169" i="158"/>
  <c r="A170" i="158"/>
  <c r="H170" i="158"/>
  <c r="K170" i="158"/>
  <c r="L170" i="158"/>
  <c r="M170" i="158"/>
  <c r="N170" i="158"/>
  <c r="P170" i="158"/>
  <c r="A171" i="158"/>
  <c r="H171" i="158"/>
  <c r="K171" i="158"/>
  <c r="L171" i="158"/>
  <c r="M171" i="158"/>
  <c r="N171" i="158"/>
  <c r="P171" i="158"/>
  <c r="A172" i="158"/>
  <c r="H172" i="158"/>
  <c r="K172" i="158"/>
  <c r="L172" i="158"/>
  <c r="M172" i="158"/>
  <c r="N172" i="158"/>
  <c r="P172" i="158"/>
  <c r="A173" i="158"/>
  <c r="H173" i="158"/>
  <c r="K173" i="158"/>
  <c r="L173" i="158"/>
  <c r="M173" i="158"/>
  <c r="N173" i="158"/>
  <c r="P173" i="158"/>
  <c r="A174" i="158"/>
  <c r="H174" i="158"/>
  <c r="K174" i="158"/>
  <c r="L174" i="158"/>
  <c r="M174" i="158"/>
  <c r="N174" i="158"/>
  <c r="P174" i="158"/>
  <c r="A175" i="158"/>
  <c r="H175" i="158"/>
  <c r="K175" i="158"/>
  <c r="L175" i="158"/>
  <c r="M175" i="158"/>
  <c r="N175" i="158"/>
  <c r="P175" i="158"/>
  <c r="A176" i="158"/>
  <c r="H176" i="158"/>
  <c r="K176" i="158"/>
  <c r="L176" i="158"/>
  <c r="M176" i="158"/>
  <c r="N176" i="158"/>
  <c r="P176" i="158"/>
  <c r="A177" i="158"/>
  <c r="H177" i="158"/>
  <c r="K177" i="158"/>
  <c r="L177" i="158"/>
  <c r="M177" i="158"/>
  <c r="N177" i="158"/>
  <c r="P177" i="158"/>
  <c r="A178" i="158"/>
  <c r="H178" i="158"/>
  <c r="K178" i="158"/>
  <c r="L178" i="158"/>
  <c r="M178" i="158"/>
  <c r="N178" i="158"/>
  <c r="P178" i="158"/>
  <c r="A179" i="158"/>
  <c r="H179" i="158"/>
  <c r="K179" i="158"/>
  <c r="L179" i="158"/>
  <c r="M179" i="158"/>
  <c r="N179" i="158"/>
  <c r="P179" i="158"/>
  <c r="A180" i="158"/>
  <c r="H180" i="158"/>
  <c r="K180" i="158"/>
  <c r="L180" i="158"/>
  <c r="M180" i="158"/>
  <c r="N180" i="158"/>
  <c r="P180" i="158"/>
  <c r="A181" i="158"/>
  <c r="H181" i="158"/>
  <c r="K181" i="158"/>
  <c r="L181" i="158"/>
  <c r="M181" i="158"/>
  <c r="N181" i="158"/>
  <c r="P181" i="158"/>
  <c r="A182" i="158"/>
  <c r="H182" i="158"/>
  <c r="K182" i="158"/>
  <c r="L182" i="158"/>
  <c r="M182" i="158"/>
  <c r="N182" i="158"/>
  <c r="P182" i="158"/>
  <c r="A183" i="158"/>
  <c r="H183" i="158"/>
  <c r="K183" i="158"/>
  <c r="L183" i="158"/>
  <c r="M183" i="158"/>
  <c r="N183" i="158"/>
  <c r="P183" i="158"/>
  <c r="A184" i="158"/>
  <c r="H184" i="158"/>
  <c r="K184" i="158"/>
  <c r="L184" i="158"/>
  <c r="M184" i="158"/>
  <c r="N184" i="158"/>
  <c r="P184" i="158"/>
  <c r="A185" i="158"/>
  <c r="H185" i="158"/>
  <c r="K185" i="158"/>
  <c r="L185" i="158"/>
  <c r="M185" i="158"/>
  <c r="N185" i="158"/>
  <c r="P185" i="158"/>
  <c r="A186" i="158"/>
  <c r="H186" i="158"/>
  <c r="K186" i="158"/>
  <c r="L186" i="158"/>
  <c r="M186" i="158"/>
  <c r="N186" i="158"/>
  <c r="P186" i="158"/>
  <c r="A187" i="158"/>
  <c r="H187" i="158"/>
  <c r="K187" i="158"/>
  <c r="L187" i="158"/>
  <c r="M187" i="158"/>
  <c r="N187" i="158"/>
  <c r="P187" i="158"/>
  <c r="A188" i="158"/>
  <c r="H188" i="158"/>
  <c r="K188" i="158"/>
  <c r="L188" i="158"/>
  <c r="M188" i="158"/>
  <c r="N188" i="158"/>
  <c r="P188" i="158"/>
  <c r="A189" i="158"/>
  <c r="H189" i="158"/>
  <c r="K189" i="158"/>
  <c r="L189" i="158"/>
  <c r="M189" i="158"/>
  <c r="N189" i="158"/>
  <c r="P189" i="158"/>
  <c r="A190" i="158"/>
  <c r="H190" i="158"/>
  <c r="K190" i="158"/>
  <c r="L190" i="158"/>
  <c r="M190" i="158"/>
  <c r="N190" i="158"/>
  <c r="P190" i="158"/>
  <c r="A191" i="158"/>
  <c r="H191" i="158"/>
  <c r="K191" i="158"/>
  <c r="L191" i="158"/>
  <c r="M191" i="158"/>
  <c r="N191" i="158"/>
  <c r="P191" i="158"/>
  <c r="A192" i="158"/>
  <c r="H192" i="158"/>
  <c r="K192" i="158"/>
  <c r="L192" i="158"/>
  <c r="M192" i="158"/>
  <c r="N192" i="158"/>
  <c r="P192" i="158"/>
  <c r="A193" i="158"/>
  <c r="H193" i="158"/>
  <c r="K193" i="158"/>
  <c r="L193" i="158"/>
  <c r="M193" i="158"/>
  <c r="N193" i="158"/>
  <c r="P193" i="158"/>
  <c r="A194" i="158"/>
  <c r="H194" i="158"/>
  <c r="K194" i="158"/>
  <c r="L194" i="158"/>
  <c r="M194" i="158"/>
  <c r="N194" i="158"/>
  <c r="P194" i="158"/>
  <c r="A195" i="158"/>
  <c r="H195" i="158"/>
  <c r="K195" i="158"/>
  <c r="L195" i="158"/>
  <c r="M195" i="158"/>
  <c r="N195" i="158"/>
  <c r="P195" i="158"/>
  <c r="A196" i="158"/>
  <c r="H196" i="158"/>
  <c r="K196" i="158"/>
  <c r="L196" i="158"/>
  <c r="M196" i="158"/>
  <c r="N196" i="158"/>
  <c r="P196" i="158"/>
  <c r="A197" i="158"/>
  <c r="H197" i="158"/>
  <c r="K197" i="158"/>
  <c r="L197" i="158"/>
  <c r="M197" i="158"/>
  <c r="N197" i="158"/>
  <c r="P197" i="158"/>
  <c r="A198" i="158"/>
  <c r="H198" i="158"/>
  <c r="K198" i="158"/>
  <c r="L198" i="158"/>
  <c r="M198" i="158"/>
  <c r="N198" i="158"/>
  <c r="P198" i="158"/>
  <c r="A199" i="158"/>
  <c r="H199" i="158"/>
  <c r="K199" i="158"/>
  <c r="L199" i="158"/>
  <c r="M199" i="158"/>
  <c r="N199" i="158"/>
  <c r="P199" i="158"/>
  <c r="A200" i="158"/>
  <c r="H200" i="158"/>
  <c r="K200" i="158"/>
  <c r="L200" i="158"/>
  <c r="M200" i="158"/>
  <c r="N200" i="158"/>
  <c r="P200" i="158"/>
  <c r="A201" i="158"/>
  <c r="H201" i="158"/>
  <c r="K201" i="158"/>
  <c r="L201" i="158"/>
  <c r="M201" i="158"/>
  <c r="N201" i="158"/>
  <c r="P201" i="158"/>
  <c r="A202" i="158"/>
  <c r="H202" i="158"/>
  <c r="K202" i="158"/>
  <c r="L202" i="158"/>
  <c r="M202" i="158"/>
  <c r="N202" i="158"/>
  <c r="P202" i="158"/>
  <c r="A203" i="158"/>
  <c r="H203" i="158"/>
  <c r="K203" i="158"/>
  <c r="L203" i="158"/>
  <c r="M203" i="158"/>
  <c r="N203" i="158"/>
  <c r="P203" i="158"/>
  <c r="A204" i="158"/>
  <c r="H204" i="158"/>
  <c r="K204" i="158"/>
  <c r="L204" i="158"/>
  <c r="M204" i="158"/>
  <c r="N204" i="158"/>
  <c r="P204" i="158"/>
  <c r="A205" i="158"/>
  <c r="H205" i="158"/>
  <c r="K205" i="158"/>
  <c r="L205" i="158"/>
  <c r="M205" i="158"/>
  <c r="N205" i="158"/>
  <c r="P205" i="158"/>
  <c r="A206" i="158"/>
  <c r="H206" i="158"/>
  <c r="K206" i="158"/>
  <c r="L206" i="158"/>
  <c r="M206" i="158"/>
  <c r="N206" i="158"/>
  <c r="P206" i="158"/>
  <c r="A207" i="158"/>
  <c r="H207" i="158"/>
  <c r="K207" i="158"/>
  <c r="L207" i="158"/>
  <c r="M207" i="158"/>
  <c r="N207" i="158"/>
  <c r="P207" i="158"/>
  <c r="A208" i="158"/>
  <c r="H208" i="158"/>
  <c r="K208" i="158"/>
  <c r="L208" i="158"/>
  <c r="M208" i="158"/>
  <c r="N208" i="158"/>
  <c r="P208" i="158"/>
  <c r="A209" i="158"/>
  <c r="H209" i="158"/>
  <c r="K209" i="158"/>
  <c r="L209" i="158"/>
  <c r="M209" i="158"/>
  <c r="N209" i="158"/>
  <c r="P209" i="158"/>
  <c r="A210" i="158"/>
  <c r="H210" i="158"/>
  <c r="K210" i="158"/>
  <c r="L210" i="158"/>
  <c r="M210" i="158"/>
  <c r="N210" i="158"/>
  <c r="P210" i="158"/>
  <c r="A211" i="158"/>
  <c r="H211" i="158"/>
  <c r="K211" i="158"/>
  <c r="L211" i="158"/>
  <c r="M211" i="158"/>
  <c r="N211" i="158"/>
  <c r="P211" i="158"/>
  <c r="A212" i="158"/>
  <c r="H212" i="158"/>
  <c r="K212" i="158"/>
  <c r="L212" i="158"/>
  <c r="M212" i="158"/>
  <c r="N212" i="158"/>
  <c r="P212" i="158"/>
  <c r="A213" i="158"/>
  <c r="H213" i="158"/>
  <c r="K213" i="158"/>
  <c r="L213" i="158"/>
  <c r="M213" i="158"/>
  <c r="N213" i="158"/>
  <c r="P213" i="158"/>
  <c r="A214" i="158"/>
  <c r="H214" i="158"/>
  <c r="K214" i="158"/>
  <c r="L214" i="158"/>
  <c r="M214" i="158"/>
  <c r="N214" i="158"/>
  <c r="P214" i="158"/>
  <c r="A215" i="158"/>
  <c r="H215" i="158"/>
  <c r="K215" i="158"/>
  <c r="L215" i="158"/>
  <c r="M215" i="158"/>
  <c r="N215" i="158"/>
  <c r="P215" i="158"/>
  <c r="A216" i="158"/>
  <c r="H216" i="158"/>
  <c r="K216" i="158"/>
  <c r="L216" i="158"/>
  <c r="M216" i="158"/>
  <c r="N216" i="158"/>
  <c r="P216" i="158"/>
  <c r="A217" i="158"/>
  <c r="H217" i="158"/>
  <c r="K217" i="158"/>
  <c r="L217" i="158"/>
  <c r="M217" i="158"/>
  <c r="N217" i="158"/>
  <c r="P217" i="158"/>
  <c r="A218" i="158"/>
  <c r="H218" i="158"/>
  <c r="K218" i="158"/>
  <c r="L218" i="158"/>
  <c r="M218" i="158"/>
  <c r="N218" i="158"/>
  <c r="P218" i="158"/>
  <c r="A219" i="158"/>
  <c r="H219" i="158"/>
  <c r="K219" i="158"/>
  <c r="L219" i="158"/>
  <c r="M219" i="158"/>
  <c r="N219" i="158"/>
  <c r="P219" i="158"/>
  <c r="A220" i="158"/>
  <c r="H220" i="158"/>
  <c r="K220" i="158"/>
  <c r="L220" i="158"/>
  <c r="M220" i="158"/>
  <c r="N220" i="158"/>
  <c r="P220" i="158"/>
  <c r="A221" i="158"/>
  <c r="H221" i="158"/>
  <c r="K221" i="158"/>
  <c r="L221" i="158"/>
  <c r="M221" i="158"/>
  <c r="N221" i="158"/>
  <c r="P221" i="158"/>
  <c r="A222" i="158"/>
  <c r="H222" i="158"/>
  <c r="K222" i="158"/>
  <c r="L222" i="158"/>
  <c r="M222" i="158"/>
  <c r="N222" i="158"/>
  <c r="P222" i="158"/>
  <c r="A223" i="158"/>
  <c r="H223" i="158"/>
  <c r="K223" i="158"/>
  <c r="L223" i="158"/>
  <c r="M223" i="158"/>
  <c r="N223" i="158"/>
  <c r="P223" i="158"/>
  <c r="A224" i="158"/>
  <c r="H224" i="158"/>
  <c r="K224" i="158"/>
  <c r="L224" i="158"/>
  <c r="M224" i="158"/>
  <c r="N224" i="158"/>
  <c r="P224" i="158"/>
  <c r="A225" i="158"/>
  <c r="H225" i="158"/>
  <c r="K225" i="158"/>
  <c r="L225" i="158"/>
  <c r="M225" i="158"/>
  <c r="N225" i="158"/>
  <c r="P225" i="158"/>
  <c r="A226" i="158"/>
  <c r="H226" i="158"/>
  <c r="K226" i="158"/>
  <c r="L226" i="158"/>
  <c r="M226" i="158"/>
  <c r="N226" i="158"/>
  <c r="P226" i="158"/>
  <c r="A227" i="158"/>
  <c r="H227" i="158"/>
  <c r="K227" i="158"/>
  <c r="L227" i="158"/>
  <c r="M227" i="158"/>
  <c r="N227" i="158"/>
  <c r="P227" i="158"/>
  <c r="A228" i="158"/>
  <c r="H228" i="158"/>
  <c r="K228" i="158"/>
  <c r="L228" i="158"/>
  <c r="M228" i="158"/>
  <c r="N228" i="158"/>
  <c r="P228" i="158"/>
  <c r="A229" i="158"/>
  <c r="H229" i="158"/>
  <c r="K229" i="158"/>
  <c r="L229" i="158"/>
  <c r="M229" i="158"/>
  <c r="N229" i="158"/>
  <c r="P229" i="158"/>
  <c r="A230" i="158"/>
  <c r="H230" i="158"/>
  <c r="K230" i="158"/>
  <c r="L230" i="158"/>
  <c r="M230" i="158"/>
  <c r="N230" i="158"/>
  <c r="P230" i="158"/>
  <c r="A231" i="158"/>
  <c r="H231" i="158"/>
  <c r="K231" i="158"/>
  <c r="L231" i="158"/>
  <c r="M231" i="158"/>
  <c r="N231" i="158"/>
  <c r="P231" i="158"/>
  <c r="A232" i="158"/>
  <c r="H232" i="158"/>
  <c r="K232" i="158"/>
  <c r="L232" i="158"/>
  <c r="M232" i="158"/>
  <c r="N232" i="158"/>
  <c r="P232" i="158"/>
  <c r="A233" i="158"/>
  <c r="H233" i="158"/>
  <c r="K233" i="158"/>
  <c r="L233" i="158"/>
  <c r="M233" i="158"/>
  <c r="N233" i="158"/>
  <c r="P233" i="158"/>
  <c r="A234" i="158"/>
  <c r="H234" i="158"/>
  <c r="K234" i="158"/>
  <c r="L234" i="158"/>
  <c r="M234" i="158"/>
  <c r="N234" i="158"/>
  <c r="P234" i="158"/>
  <c r="A235" i="158"/>
  <c r="H235" i="158"/>
  <c r="K235" i="158"/>
  <c r="L235" i="158"/>
  <c r="M235" i="158"/>
  <c r="N235" i="158"/>
  <c r="P235" i="158"/>
  <c r="A236" i="158"/>
  <c r="H236" i="158"/>
  <c r="K236" i="158"/>
  <c r="L236" i="158"/>
  <c r="M236" i="158"/>
  <c r="N236" i="158"/>
  <c r="P236" i="158"/>
  <c r="A237" i="158"/>
  <c r="H237" i="158"/>
  <c r="K237" i="158"/>
  <c r="L237" i="158"/>
  <c r="M237" i="158"/>
  <c r="N237" i="158"/>
  <c r="P237" i="158"/>
  <c r="A238" i="158"/>
  <c r="H238" i="158"/>
  <c r="K238" i="158"/>
  <c r="L238" i="158"/>
  <c r="M238" i="158"/>
  <c r="N238" i="158"/>
  <c r="P238" i="158"/>
  <c r="A239" i="158"/>
  <c r="H239" i="158"/>
  <c r="K239" i="158"/>
  <c r="L239" i="158"/>
  <c r="M239" i="158"/>
  <c r="N239" i="158"/>
  <c r="P239" i="158"/>
  <c r="A240" i="158"/>
  <c r="H240" i="158"/>
  <c r="K240" i="158"/>
  <c r="L240" i="158"/>
  <c r="M240" i="158"/>
  <c r="N240" i="158"/>
  <c r="P240" i="158"/>
  <c r="A241" i="158"/>
  <c r="H241" i="158"/>
  <c r="K241" i="158"/>
  <c r="L241" i="158"/>
  <c r="M241" i="158"/>
  <c r="N241" i="158"/>
  <c r="P241" i="158"/>
  <c r="A242" i="158"/>
  <c r="H242" i="158"/>
  <c r="K242" i="158"/>
  <c r="L242" i="158"/>
  <c r="M242" i="158"/>
  <c r="N242" i="158"/>
  <c r="P242" i="158"/>
  <c r="A243" i="158"/>
  <c r="H243" i="158"/>
  <c r="K243" i="158"/>
  <c r="L243" i="158"/>
  <c r="M243" i="158"/>
  <c r="N243" i="158"/>
  <c r="P243" i="158"/>
  <c r="A244" i="158"/>
  <c r="H244" i="158"/>
  <c r="K244" i="158"/>
  <c r="L244" i="158"/>
  <c r="M244" i="158"/>
  <c r="N244" i="158"/>
  <c r="P244" i="158"/>
  <c r="A245" i="158"/>
  <c r="H245" i="158"/>
  <c r="K245" i="158"/>
  <c r="L245" i="158"/>
  <c r="M245" i="158"/>
  <c r="N245" i="158"/>
  <c r="P245" i="158"/>
  <c r="A246" i="158"/>
  <c r="H246" i="158"/>
  <c r="K246" i="158"/>
  <c r="L246" i="158"/>
  <c r="M246" i="158"/>
  <c r="N246" i="158"/>
  <c r="P246" i="158"/>
  <c r="A247" i="158"/>
  <c r="H247" i="158"/>
  <c r="K247" i="158"/>
  <c r="L247" i="158"/>
  <c r="M247" i="158"/>
  <c r="N247" i="158"/>
  <c r="P247" i="158"/>
  <c r="A248" i="158"/>
  <c r="H248" i="158"/>
  <c r="K248" i="158"/>
  <c r="L248" i="158"/>
  <c r="M248" i="158"/>
  <c r="N248" i="158"/>
  <c r="P248" i="158"/>
  <c r="A249" i="158"/>
  <c r="H249" i="158"/>
  <c r="K249" i="158"/>
  <c r="L249" i="158"/>
  <c r="M249" i="158"/>
  <c r="N249" i="158"/>
  <c r="P249" i="158"/>
  <c r="A250" i="158"/>
  <c r="H250" i="158"/>
  <c r="K250" i="158"/>
  <c r="L250" i="158"/>
  <c r="M250" i="158"/>
  <c r="N250" i="158"/>
  <c r="P250" i="158"/>
  <c r="A251" i="158"/>
  <c r="H251" i="158"/>
  <c r="K251" i="158"/>
  <c r="L251" i="158"/>
  <c r="M251" i="158"/>
  <c r="N251" i="158"/>
  <c r="P251" i="158"/>
  <c r="A252" i="158"/>
  <c r="H252" i="158"/>
  <c r="K252" i="158"/>
  <c r="L252" i="158"/>
  <c r="M252" i="158"/>
  <c r="N252" i="158"/>
  <c r="P252" i="158"/>
  <c r="A253" i="158"/>
  <c r="H253" i="158"/>
  <c r="K253" i="158"/>
  <c r="L253" i="158"/>
  <c r="M253" i="158"/>
  <c r="N253" i="158"/>
  <c r="P253" i="158"/>
  <c r="A254" i="158"/>
  <c r="H254" i="158"/>
  <c r="K254" i="158"/>
  <c r="L254" i="158"/>
  <c r="M254" i="158"/>
  <c r="N254" i="158"/>
  <c r="P254" i="158"/>
  <c r="A255" i="158"/>
  <c r="H255" i="158"/>
  <c r="K255" i="158"/>
  <c r="L255" i="158"/>
  <c r="M255" i="158"/>
  <c r="N255" i="158"/>
  <c r="P255" i="158"/>
  <c r="A256" i="158"/>
  <c r="H256" i="158"/>
  <c r="K256" i="158"/>
  <c r="L256" i="158"/>
  <c r="M256" i="158"/>
  <c r="N256" i="158"/>
  <c r="P256" i="158"/>
  <c r="A257" i="158"/>
  <c r="H257" i="158"/>
  <c r="K257" i="158"/>
  <c r="L257" i="158"/>
  <c r="M257" i="158"/>
  <c r="N257" i="158"/>
  <c r="P257" i="158"/>
  <c r="A258" i="158"/>
  <c r="H258" i="158"/>
  <c r="K258" i="158"/>
  <c r="L258" i="158"/>
  <c r="M258" i="158"/>
  <c r="N258" i="158"/>
  <c r="P258" i="158"/>
  <c r="A259" i="158"/>
  <c r="H259" i="158"/>
  <c r="K259" i="158"/>
  <c r="L259" i="158"/>
  <c r="M259" i="158"/>
  <c r="N259" i="158"/>
  <c r="P259" i="158"/>
  <c r="A260" i="158"/>
  <c r="H260" i="158"/>
  <c r="K260" i="158"/>
  <c r="L260" i="158"/>
  <c r="M260" i="158"/>
  <c r="N260" i="158"/>
  <c r="P260" i="158"/>
  <c r="A261" i="158"/>
  <c r="H261" i="158"/>
  <c r="K261" i="158"/>
  <c r="L261" i="158"/>
  <c r="M261" i="158"/>
  <c r="N261" i="158"/>
  <c r="P261" i="158"/>
  <c r="A262" i="158"/>
  <c r="H262" i="158"/>
  <c r="K262" i="158"/>
  <c r="L262" i="158"/>
  <c r="M262" i="158"/>
  <c r="N262" i="158"/>
  <c r="P262" i="158"/>
  <c r="A263" i="158"/>
  <c r="H263" i="158"/>
  <c r="K263" i="158"/>
  <c r="L263" i="158"/>
  <c r="M263" i="158"/>
  <c r="N263" i="158"/>
  <c r="P263" i="158"/>
  <c r="A264" i="158"/>
  <c r="H264" i="158"/>
  <c r="K264" i="158"/>
  <c r="L264" i="158"/>
  <c r="M264" i="158"/>
  <c r="N264" i="158"/>
  <c r="P264" i="158"/>
  <c r="A265" i="158"/>
  <c r="H265" i="158"/>
  <c r="K265" i="158"/>
  <c r="L265" i="158"/>
  <c r="M265" i="158"/>
  <c r="N265" i="158"/>
  <c r="P265" i="158"/>
  <c r="A266" i="158"/>
  <c r="H266" i="158"/>
  <c r="K266" i="158"/>
  <c r="L266" i="158"/>
  <c r="M266" i="158"/>
  <c r="N266" i="158"/>
  <c r="P266" i="158"/>
  <c r="A267" i="158"/>
  <c r="H267" i="158"/>
  <c r="K267" i="158"/>
  <c r="L267" i="158"/>
  <c r="M267" i="158"/>
  <c r="N267" i="158"/>
  <c r="P267" i="158"/>
  <c r="A268" i="158"/>
  <c r="H268" i="158"/>
  <c r="K268" i="158"/>
  <c r="L268" i="158"/>
  <c r="M268" i="158"/>
  <c r="N268" i="158"/>
  <c r="P268" i="158"/>
  <c r="A269" i="158"/>
  <c r="H269" i="158"/>
  <c r="K269" i="158"/>
  <c r="L269" i="158"/>
  <c r="M269" i="158"/>
  <c r="N269" i="158"/>
  <c r="P269" i="158"/>
  <c r="A270" i="158"/>
  <c r="H270" i="158"/>
  <c r="K270" i="158"/>
  <c r="L270" i="158"/>
  <c r="M270" i="158"/>
  <c r="N270" i="158"/>
  <c r="P270" i="158"/>
  <c r="A271" i="158"/>
  <c r="H271" i="158"/>
  <c r="K271" i="158"/>
  <c r="L271" i="158"/>
  <c r="M271" i="158"/>
  <c r="N271" i="158"/>
  <c r="P271" i="158"/>
  <c r="A272" i="158"/>
  <c r="H272" i="158"/>
  <c r="K272" i="158"/>
  <c r="L272" i="158"/>
  <c r="M272" i="158"/>
  <c r="N272" i="158"/>
  <c r="P272" i="158"/>
  <c r="A273" i="158"/>
  <c r="H273" i="158"/>
  <c r="K273" i="158"/>
  <c r="L273" i="158"/>
  <c r="M273" i="158"/>
  <c r="N273" i="158"/>
  <c r="P273" i="158"/>
  <c r="A274" i="158"/>
  <c r="H274" i="158"/>
  <c r="K274" i="158"/>
  <c r="L274" i="158"/>
  <c r="M274" i="158"/>
  <c r="N274" i="158"/>
  <c r="P274" i="158"/>
  <c r="A275" i="158"/>
  <c r="H275" i="158"/>
  <c r="K275" i="158"/>
  <c r="L275" i="158"/>
  <c r="M275" i="158"/>
  <c r="N275" i="158"/>
  <c r="P275" i="158"/>
  <c r="A276" i="158"/>
  <c r="H276" i="158"/>
  <c r="K276" i="158"/>
  <c r="L276" i="158"/>
  <c r="M276" i="158"/>
  <c r="N276" i="158"/>
  <c r="P276" i="158"/>
  <c r="A277" i="158"/>
  <c r="H277" i="158"/>
  <c r="K277" i="158"/>
  <c r="L277" i="158"/>
  <c r="M277" i="158"/>
  <c r="N277" i="158"/>
  <c r="P277" i="158"/>
  <c r="A278" i="158"/>
  <c r="H278" i="158"/>
  <c r="K278" i="158"/>
  <c r="L278" i="158"/>
  <c r="M278" i="158"/>
  <c r="N278" i="158"/>
  <c r="P278" i="158"/>
  <c r="A279" i="158"/>
  <c r="H279" i="158"/>
  <c r="K279" i="158"/>
  <c r="L279" i="158"/>
  <c r="M279" i="158"/>
  <c r="N279" i="158"/>
  <c r="P279" i="158"/>
  <c r="A280" i="158"/>
  <c r="H280" i="158"/>
  <c r="K280" i="158"/>
  <c r="L280" i="158"/>
  <c r="M280" i="158"/>
  <c r="N280" i="158"/>
  <c r="P280" i="158"/>
  <c r="A281" i="158"/>
  <c r="H281" i="158"/>
  <c r="K281" i="158"/>
  <c r="L281" i="158"/>
  <c r="M281" i="158"/>
  <c r="N281" i="158"/>
  <c r="P281" i="158"/>
  <c r="A282" i="158"/>
  <c r="H282" i="158"/>
  <c r="K282" i="158"/>
  <c r="L282" i="158"/>
  <c r="M282" i="158"/>
  <c r="N282" i="158"/>
  <c r="P282" i="158"/>
  <c r="A283" i="158"/>
  <c r="H283" i="158"/>
  <c r="K283" i="158"/>
  <c r="L283" i="158"/>
  <c r="M283" i="158"/>
  <c r="N283" i="158"/>
  <c r="P283" i="158"/>
  <c r="A284" i="158"/>
  <c r="H284" i="158"/>
  <c r="K284" i="158"/>
  <c r="L284" i="158"/>
  <c r="M284" i="158"/>
  <c r="N284" i="158"/>
  <c r="P284" i="158"/>
  <c r="A285" i="158"/>
  <c r="H285" i="158"/>
  <c r="K285" i="158"/>
  <c r="L285" i="158"/>
  <c r="M285" i="158"/>
  <c r="N285" i="158"/>
  <c r="P285" i="158"/>
  <c r="A286" i="158"/>
  <c r="H286" i="158"/>
  <c r="K286" i="158"/>
  <c r="L286" i="158"/>
  <c r="M286" i="158"/>
  <c r="N286" i="158"/>
  <c r="P286" i="158"/>
  <c r="A287" i="158"/>
  <c r="H287" i="158"/>
  <c r="K287" i="158"/>
  <c r="L287" i="158"/>
  <c r="M287" i="158"/>
  <c r="N287" i="158"/>
  <c r="P287" i="158"/>
  <c r="A288" i="158"/>
  <c r="H288" i="158"/>
  <c r="K288" i="158"/>
  <c r="L288" i="158"/>
  <c r="M288" i="158"/>
  <c r="N288" i="158"/>
  <c r="P288" i="158"/>
  <c r="A289" i="158"/>
  <c r="H289" i="158"/>
  <c r="K289" i="158"/>
  <c r="L289" i="158"/>
  <c r="M289" i="158"/>
  <c r="N289" i="158"/>
  <c r="P289" i="158"/>
  <c r="A290" i="158"/>
  <c r="H290" i="158"/>
  <c r="K290" i="158"/>
  <c r="L290" i="158"/>
  <c r="M290" i="158"/>
  <c r="N290" i="158"/>
  <c r="P290" i="158"/>
  <c r="A291" i="158"/>
  <c r="H291" i="158"/>
  <c r="K291" i="158"/>
  <c r="L291" i="158"/>
  <c r="M291" i="158"/>
  <c r="N291" i="158"/>
  <c r="P291" i="158"/>
  <c r="A292" i="158"/>
  <c r="H292" i="158"/>
  <c r="K292" i="158"/>
  <c r="L292" i="158"/>
  <c r="M292" i="158"/>
  <c r="N292" i="158"/>
  <c r="P292" i="158"/>
  <c r="A293" i="158"/>
  <c r="H293" i="158"/>
  <c r="K293" i="158"/>
  <c r="L293" i="158"/>
  <c r="M293" i="158"/>
  <c r="N293" i="158"/>
  <c r="P293" i="158"/>
  <c r="A294" i="158"/>
  <c r="H294" i="158"/>
  <c r="K294" i="158"/>
  <c r="L294" i="158"/>
  <c r="M294" i="158"/>
  <c r="N294" i="158"/>
  <c r="P294" i="158"/>
  <c r="A295" i="158"/>
  <c r="H295" i="158"/>
  <c r="K295" i="158"/>
  <c r="L295" i="158"/>
  <c r="M295" i="158"/>
  <c r="N295" i="158"/>
  <c r="P295" i="158"/>
  <c r="A296" i="158"/>
  <c r="H296" i="158"/>
  <c r="K296" i="158"/>
  <c r="L296" i="158"/>
  <c r="M296" i="158"/>
  <c r="N296" i="158"/>
  <c r="P296" i="158"/>
  <c r="A297" i="158"/>
  <c r="H297" i="158"/>
  <c r="K297" i="158"/>
  <c r="L297" i="158"/>
  <c r="M297" i="158"/>
  <c r="N297" i="158"/>
  <c r="P297" i="158"/>
  <c r="A298" i="158"/>
  <c r="H298" i="158"/>
  <c r="K298" i="158"/>
  <c r="L298" i="158"/>
  <c r="M298" i="158"/>
  <c r="N298" i="158"/>
  <c r="P298" i="158"/>
  <c r="A299" i="158"/>
  <c r="H299" i="158"/>
  <c r="K299" i="158"/>
  <c r="L299" i="158"/>
  <c r="M299" i="158"/>
  <c r="N299" i="158"/>
  <c r="P299" i="158"/>
  <c r="A300" i="158"/>
  <c r="H300" i="158"/>
  <c r="K300" i="158"/>
  <c r="L300" i="158"/>
  <c r="M300" i="158"/>
  <c r="N300" i="158"/>
  <c r="P300" i="158"/>
  <c r="A301" i="158"/>
  <c r="H301" i="158"/>
  <c r="K301" i="158"/>
  <c r="L301" i="158"/>
  <c r="M301" i="158"/>
  <c r="N301" i="158"/>
  <c r="P301" i="158"/>
  <c r="A302" i="158"/>
  <c r="H302" i="158"/>
  <c r="K302" i="158"/>
  <c r="L302" i="158"/>
  <c r="M302" i="158"/>
  <c r="N302" i="158"/>
  <c r="P302" i="158"/>
  <c r="A303" i="158"/>
  <c r="H303" i="158"/>
  <c r="K303" i="158"/>
  <c r="L303" i="158"/>
  <c r="M303" i="158"/>
  <c r="N303" i="158"/>
  <c r="P303" i="158"/>
  <c r="A304" i="158"/>
  <c r="H304" i="158"/>
  <c r="K304" i="158"/>
  <c r="L304" i="158"/>
  <c r="M304" i="158"/>
  <c r="N304" i="158"/>
  <c r="P304" i="158"/>
  <c r="A305" i="158"/>
  <c r="H305" i="158"/>
  <c r="K305" i="158"/>
  <c r="L305" i="158"/>
  <c r="M305" i="158"/>
  <c r="N305" i="158"/>
  <c r="P305" i="158"/>
  <c r="A306" i="158"/>
  <c r="H306" i="158"/>
  <c r="K306" i="158"/>
  <c r="L306" i="158"/>
  <c r="M306" i="158"/>
  <c r="N306" i="158"/>
  <c r="P306" i="158"/>
  <c r="A307" i="158"/>
  <c r="H307" i="158"/>
  <c r="K307" i="158"/>
  <c r="L307" i="158"/>
  <c r="M307" i="158"/>
  <c r="N307" i="158"/>
  <c r="P307" i="158"/>
  <c r="A308" i="158"/>
  <c r="H308" i="158"/>
  <c r="K308" i="158"/>
  <c r="L308" i="158"/>
  <c r="M308" i="158"/>
  <c r="N308" i="158"/>
  <c r="P308" i="158"/>
  <c r="A309" i="158"/>
  <c r="H309" i="158"/>
  <c r="K309" i="158"/>
  <c r="L309" i="158"/>
  <c r="M309" i="158"/>
  <c r="N309" i="158"/>
  <c r="P309" i="158"/>
  <c r="A310" i="158"/>
  <c r="H310" i="158"/>
  <c r="K310" i="158"/>
  <c r="L310" i="158"/>
  <c r="M310" i="158"/>
  <c r="N310" i="158"/>
  <c r="P310" i="158"/>
  <c r="A311" i="158"/>
  <c r="H311" i="158"/>
  <c r="K311" i="158"/>
  <c r="L311" i="158"/>
  <c r="M311" i="158"/>
  <c r="N311" i="158"/>
  <c r="P311" i="158"/>
  <c r="A312" i="158"/>
  <c r="H312" i="158"/>
  <c r="K312" i="158"/>
  <c r="L312" i="158"/>
  <c r="M312" i="158"/>
  <c r="N312" i="158"/>
  <c r="P312" i="158"/>
  <c r="A313" i="158"/>
  <c r="H313" i="158"/>
  <c r="K313" i="158"/>
  <c r="L313" i="158"/>
  <c r="M313" i="158"/>
  <c r="N313" i="158"/>
  <c r="P313" i="158"/>
  <c r="A314" i="158"/>
  <c r="H314" i="158"/>
  <c r="K314" i="158"/>
  <c r="L314" i="158"/>
  <c r="M314" i="158"/>
  <c r="N314" i="158"/>
  <c r="P314" i="158"/>
  <c r="A315" i="158"/>
  <c r="H315" i="158"/>
  <c r="K315" i="158"/>
  <c r="L315" i="158"/>
  <c r="M315" i="158"/>
  <c r="N315" i="158"/>
  <c r="P315" i="158"/>
  <c r="A316" i="158"/>
  <c r="H316" i="158"/>
  <c r="K316" i="158"/>
  <c r="L316" i="158"/>
  <c r="M316" i="158"/>
  <c r="N316" i="158"/>
  <c r="P316" i="158"/>
  <c r="A317" i="158"/>
  <c r="H317" i="158"/>
  <c r="K317" i="158"/>
  <c r="L317" i="158"/>
  <c r="M317" i="158"/>
  <c r="N317" i="158"/>
  <c r="P317" i="158"/>
  <c r="A318" i="158"/>
  <c r="H318" i="158"/>
  <c r="K318" i="158"/>
  <c r="L318" i="158"/>
  <c r="M318" i="158"/>
  <c r="N318" i="158"/>
  <c r="P318" i="158"/>
  <c r="A319" i="158"/>
  <c r="H319" i="158"/>
  <c r="K319" i="158"/>
  <c r="L319" i="158"/>
  <c r="M319" i="158"/>
  <c r="N319" i="158"/>
  <c r="P319" i="158"/>
  <c r="A320" i="158"/>
  <c r="H320" i="158"/>
  <c r="K320" i="158"/>
  <c r="L320" i="158"/>
  <c r="M320" i="158"/>
  <c r="N320" i="158"/>
  <c r="P320" i="158"/>
  <c r="A321" i="158"/>
  <c r="H321" i="158"/>
  <c r="K321" i="158"/>
  <c r="L321" i="158"/>
  <c r="M321" i="158"/>
  <c r="N321" i="158"/>
  <c r="P321" i="158"/>
  <c r="A322" i="158"/>
  <c r="H322" i="158"/>
  <c r="K322" i="158"/>
  <c r="L322" i="158"/>
  <c r="M322" i="158"/>
  <c r="N322" i="158"/>
  <c r="P322" i="158"/>
  <c r="A323" i="158"/>
  <c r="H323" i="158"/>
  <c r="K323" i="158"/>
  <c r="L323" i="158"/>
  <c r="M323" i="158"/>
  <c r="N323" i="158"/>
  <c r="P323" i="158"/>
  <c r="A324" i="158"/>
  <c r="H324" i="158"/>
  <c r="K324" i="158"/>
  <c r="L324" i="158"/>
  <c r="M324" i="158"/>
  <c r="N324" i="158"/>
  <c r="P324" i="158"/>
  <c r="A325" i="158"/>
  <c r="H325" i="158"/>
  <c r="K325" i="158"/>
  <c r="L325" i="158"/>
  <c r="M325" i="158"/>
  <c r="N325" i="158"/>
  <c r="P325" i="158"/>
  <c r="A326" i="158"/>
  <c r="H326" i="158"/>
  <c r="K326" i="158"/>
  <c r="L326" i="158"/>
  <c r="M326" i="158"/>
  <c r="N326" i="158"/>
  <c r="P326" i="158"/>
  <c r="A327" i="158"/>
  <c r="H327" i="158"/>
  <c r="K327" i="158"/>
  <c r="L327" i="158"/>
  <c r="M327" i="158"/>
  <c r="N327" i="158"/>
  <c r="P327" i="158"/>
  <c r="A328" i="158"/>
  <c r="H328" i="158"/>
  <c r="K328" i="158"/>
  <c r="L328" i="158"/>
  <c r="M328" i="158"/>
  <c r="N328" i="158"/>
  <c r="P328" i="158"/>
  <c r="A329" i="158"/>
  <c r="H329" i="158"/>
  <c r="K329" i="158"/>
  <c r="L329" i="158"/>
  <c r="M329" i="158"/>
  <c r="N329" i="158"/>
  <c r="P329" i="158"/>
  <c r="A330" i="158"/>
  <c r="H330" i="158"/>
  <c r="K330" i="158"/>
  <c r="L330" i="158"/>
  <c r="M330" i="158"/>
  <c r="N330" i="158"/>
  <c r="P330" i="158"/>
  <c r="A331" i="158"/>
  <c r="H331" i="158"/>
  <c r="K331" i="158"/>
  <c r="L331" i="158"/>
  <c r="M331" i="158"/>
  <c r="N331" i="158"/>
  <c r="P331" i="158"/>
  <c r="A332" i="158"/>
  <c r="H332" i="158"/>
  <c r="K332" i="158"/>
  <c r="L332" i="158"/>
  <c r="M332" i="158"/>
  <c r="N332" i="158"/>
  <c r="P332" i="158"/>
  <c r="A333" i="158"/>
  <c r="H333" i="158"/>
  <c r="K333" i="158"/>
  <c r="L333" i="158"/>
  <c r="M333" i="158"/>
  <c r="N333" i="158"/>
  <c r="P333" i="158"/>
  <c r="A334" i="158"/>
  <c r="H334" i="158"/>
  <c r="K334" i="158"/>
  <c r="L334" i="158"/>
  <c r="M334" i="158"/>
  <c r="N334" i="158"/>
  <c r="P334" i="158"/>
  <c r="A335" i="158"/>
  <c r="H335" i="158"/>
  <c r="K335" i="158"/>
  <c r="L335" i="158"/>
  <c r="M335" i="158"/>
  <c r="N335" i="158"/>
  <c r="P335" i="158"/>
  <c r="A336" i="158"/>
  <c r="H336" i="158"/>
  <c r="K336" i="158"/>
  <c r="L336" i="158"/>
  <c r="M336" i="158"/>
  <c r="N336" i="158"/>
  <c r="P336" i="158"/>
  <c r="A337" i="158"/>
  <c r="H337" i="158"/>
  <c r="K337" i="158"/>
  <c r="L337" i="158"/>
  <c r="M337" i="158"/>
  <c r="N337" i="158"/>
  <c r="P337" i="158"/>
  <c r="A338" i="158"/>
  <c r="H338" i="158"/>
  <c r="K338" i="158"/>
  <c r="L338" i="158"/>
  <c r="M338" i="158"/>
  <c r="N338" i="158"/>
  <c r="P338" i="158"/>
  <c r="A339" i="158"/>
  <c r="H339" i="158"/>
  <c r="K339" i="158"/>
  <c r="L339" i="158"/>
  <c r="M339" i="158"/>
  <c r="N339" i="158"/>
  <c r="P339" i="158"/>
  <c r="A340" i="158"/>
  <c r="H340" i="158"/>
  <c r="K340" i="158"/>
  <c r="L340" i="158"/>
  <c r="M340" i="158"/>
  <c r="N340" i="158"/>
  <c r="P340" i="158"/>
  <c r="A341" i="158"/>
  <c r="H341" i="158"/>
  <c r="K341" i="158"/>
  <c r="L341" i="158"/>
  <c r="M341" i="158"/>
  <c r="N341" i="158"/>
  <c r="P341" i="158"/>
  <c r="A342" i="158"/>
  <c r="H342" i="158"/>
  <c r="K342" i="158"/>
  <c r="L342" i="158"/>
  <c r="M342" i="158"/>
  <c r="N342" i="158"/>
  <c r="P342" i="158"/>
  <c r="A343" i="158"/>
  <c r="H343" i="158"/>
  <c r="K343" i="158"/>
  <c r="L343" i="158"/>
  <c r="M343" i="158"/>
  <c r="N343" i="158"/>
  <c r="P343" i="158"/>
  <c r="A344" i="158"/>
  <c r="H344" i="158"/>
  <c r="K344" i="158"/>
  <c r="L344" i="158"/>
  <c r="M344" i="158"/>
  <c r="N344" i="158"/>
  <c r="P344" i="158"/>
  <c r="A345" i="158"/>
  <c r="H345" i="158"/>
  <c r="K345" i="158"/>
  <c r="L345" i="158"/>
  <c r="M345" i="158"/>
  <c r="N345" i="158"/>
  <c r="P345" i="158"/>
  <c r="A346" i="158"/>
  <c r="H346" i="158"/>
  <c r="K346" i="158"/>
  <c r="L346" i="158"/>
  <c r="M346" i="158"/>
  <c r="N346" i="158"/>
  <c r="P346" i="158"/>
  <c r="F50" i="157"/>
  <c r="F51" i="157"/>
  <c r="G50" i="157"/>
  <c r="F43" i="157"/>
  <c r="G43" i="157"/>
  <c r="F44" i="157"/>
  <c r="G44" i="157"/>
  <c r="C34" i="157"/>
  <c r="C4" i="103"/>
  <c r="E4" i="103"/>
  <c r="G32" i="157"/>
  <c r="H32" i="157"/>
  <c r="F49" i="157"/>
  <c r="B42" i="157"/>
  <c r="B43" i="157"/>
  <c r="B44" i="157"/>
  <c r="B45" i="157"/>
  <c r="B46" i="157"/>
  <c r="B47" i="157"/>
  <c r="B48" i="157"/>
  <c r="B49" i="157"/>
  <c r="C42" i="157"/>
  <c r="C43" i="157"/>
  <c r="C44" i="157"/>
  <c r="C45" i="157"/>
  <c r="C46" i="157"/>
  <c r="C47" i="157"/>
  <c r="C48" i="157"/>
  <c r="C49" i="157"/>
  <c r="F48" i="157"/>
  <c r="F47" i="157"/>
  <c r="F42" i="157"/>
  <c r="G42" i="157"/>
  <c r="B34" i="157"/>
  <c r="D34" i="157"/>
  <c r="I33" i="157"/>
  <c r="J33" i="157"/>
  <c r="F33" i="157"/>
  <c r="D33" i="157"/>
  <c r="I32" i="157"/>
  <c r="J32" i="157"/>
  <c r="F32" i="157"/>
  <c r="D32" i="157"/>
  <c r="D31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D18" i="157"/>
  <c r="R17" i="157"/>
  <c r="P17" i="157"/>
  <c r="O17" i="157"/>
  <c r="M17" i="157"/>
  <c r="I17" i="157"/>
  <c r="J17" i="157"/>
  <c r="F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P11" i="157"/>
  <c r="O11" i="157"/>
  <c r="V10" i="157"/>
  <c r="P10" i="157"/>
  <c r="O10" i="157"/>
  <c r="V9" i="157"/>
  <c r="P9" i="157"/>
  <c r="O9" i="157"/>
  <c r="V8" i="157"/>
  <c r="P8" i="157"/>
  <c r="O8" i="157"/>
  <c r="V7" i="157"/>
  <c r="P7" i="157"/>
  <c r="O7" i="157"/>
  <c r="V6" i="157"/>
  <c r="P6" i="157"/>
  <c r="O6" i="157"/>
  <c r="V5" i="157"/>
  <c r="P5" i="157"/>
  <c r="O5" i="157"/>
  <c r="V4" i="157"/>
  <c r="P4" i="157"/>
  <c r="O4" i="157"/>
  <c r="V3" i="157"/>
  <c r="P3" i="157"/>
  <c r="O3" i="157"/>
  <c r="V2" i="157"/>
  <c r="C5" i="103"/>
  <c r="E5" i="103"/>
  <c r="C6" i="103"/>
  <c r="E6" i="103"/>
  <c r="E2" i="10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<sst xmlns="http://schemas.openxmlformats.org/spreadsheetml/2006/main" count="406" uniqueCount="260">
  <si>
    <t>character_id</t>
  </si>
  <si>
    <t>character_id</t>
    <phoneticPr fontId="21"/>
  </si>
  <si>
    <t>weight</t>
    <phoneticPr fontId="21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</si>
  <si>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</si>
  <si>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</si>
  <si>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</si>
  <si>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</si>
  <si>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</si>
  <si>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</si>
  <si>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</si>
  <si>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1"/>
  </si>
  <si>
    <t>bonus_table_no</t>
    <phoneticPr fontId="21"/>
  </si>
  <si>
    <t>weight</t>
    <phoneticPr fontId="21"/>
  </si>
  <si>
    <t>gift_id</t>
    <phoneticPr fontId="21"/>
  </si>
  <si>
    <t>gift_id</t>
    <phoneticPr fontId="21"/>
  </si>
  <si>
    <t>gift_type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</si>
  <si>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</si>
  <si>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</si>
  <si>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</si>
  <si>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</si>
  <si>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</si>
  <si>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</si>
  <si>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gift_id</t>
    <phoneticPr fontId="21"/>
  </si>
  <si>
    <t>gift_value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</si>
  <si>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</si>
  <si>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</si>
  <si>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</si>
  <si>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</si>
  <si>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</si>
  <si>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</si>
  <si>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gift_type</t>
    <phoneticPr fontId="21"/>
  </si>
  <si>
    <t>備考</t>
    <rPh sb="0" eb="2">
      <t>ビコウ</t>
    </rPh>
    <phoneticPr fontId="21"/>
  </si>
  <si>
    <t>character_id</t>
    <phoneticPr fontId="21"/>
  </si>
  <si>
    <t>name</t>
    <phoneticPr fontId="21"/>
  </si>
  <si>
    <t>drop_label</t>
    <phoneticPr fontId="21"/>
  </si>
  <si>
    <t>rare</t>
    <phoneticPr fontId="21"/>
  </si>
  <si>
    <t>character_type_id</t>
    <phoneticPr fontId="21"/>
  </si>
  <si>
    <t>character_tribe_id</t>
    <phoneticPr fontId="21"/>
  </si>
  <si>
    <t>unit_level</t>
    <phoneticPr fontId="21"/>
  </si>
  <si>
    <t>接頭語</t>
    <rPh sb="0" eb="3">
      <t>セットウゴ</t>
    </rPh>
    <phoneticPr fontId="54"/>
  </si>
  <si>
    <t>識別子</t>
    <rPh sb="0" eb="3">
      <t>シキベツシ</t>
    </rPh>
    <phoneticPr fontId="54"/>
  </si>
  <si>
    <t>形式</t>
    <rPh sb="0" eb="2">
      <t>ケイシキ</t>
    </rPh>
    <phoneticPr fontId="54"/>
  </si>
  <si>
    <t>出力ファイル名</t>
    <rPh sb="0" eb="2">
      <t>シュツリョク</t>
    </rPh>
    <rPh sb="6" eb="7">
      <t>メイ</t>
    </rPh>
    <phoneticPr fontId="54"/>
  </si>
  <si>
    <t>入力シート名</t>
    <rPh sb="0" eb="2">
      <t>ニュウリョク</t>
    </rPh>
    <rPh sb="5" eb="6">
      <t>メイ</t>
    </rPh>
    <phoneticPr fontId="54"/>
  </si>
  <si>
    <t>出力データ</t>
    <rPh sb="0" eb="2">
      <t>シュツリョク</t>
    </rPh>
    <phoneticPr fontId="54"/>
  </si>
  <si>
    <t>.tmp</t>
    <phoneticPr fontId="54"/>
  </si>
  <si>
    <t>.tmp</t>
    <phoneticPr fontId="54"/>
  </si>
  <si>
    <t>gacha_bonus_tables</t>
    <phoneticPr fontId="54"/>
  </si>
  <si>
    <t>gifts_tmp_</t>
    <phoneticPr fontId="21"/>
  </si>
  <si>
    <t>gifts_i18n_</t>
    <phoneticPr fontId="2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</si>
  <si>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1"/>
  </si>
  <si>
    <t>出力flg</t>
    <rPh sb="0" eb="2">
      <t>シュツリョク</t>
    </rPh>
    <phoneticPr fontId="54"/>
  </si>
  <si>
    <t>color</t>
    <phoneticPr fontId="21"/>
  </si>
  <si>
    <t>レアリティ別確率</t>
    <rPh sb="5" eb="6">
      <t>ベツ</t>
    </rPh>
    <rPh sb="6" eb="8">
      <t>カクリツ</t>
    </rPh>
    <phoneticPr fontId="21"/>
  </si>
  <si>
    <t>ラベル別確率</t>
    <rPh sb="3" eb="4">
      <t>ベツ</t>
    </rPh>
    <rPh sb="4" eb="6">
      <t>カクリツ</t>
    </rPh>
    <phoneticPr fontId="21"/>
  </si>
  <si>
    <t>SSS</t>
    <phoneticPr fontId="21"/>
  </si>
  <si>
    <t>SS</t>
    <phoneticPr fontId="21"/>
  </si>
  <si>
    <t>ラベル*レアリティ標準確率</t>
    <rPh sb="9" eb="11">
      <t>ヒョウジュン</t>
    </rPh>
    <rPh sb="11" eb="13">
      <t>カクリツ</t>
    </rPh>
    <phoneticPr fontId="21"/>
  </si>
  <si>
    <t>性別</t>
    <rPh sb="0" eb="2">
      <t>セイベツ</t>
    </rPh>
    <phoneticPr fontId="21"/>
  </si>
  <si>
    <t>合計</t>
    <rPh sb="0" eb="2">
      <t>ゴウケイ</t>
    </rPh>
    <phoneticPr fontId="21"/>
  </si>
  <si>
    <t>グループ</t>
    <phoneticPr fontId="21"/>
  </si>
  <si>
    <t>ピックアップ確率</t>
    <rPh sb="6" eb="8">
      <t>カクリツ</t>
    </rPh>
    <phoneticPr fontId="21"/>
  </si>
  <si>
    <t>残り確率</t>
    <rPh sb="0" eb="1">
      <t>ノコ</t>
    </rPh>
    <rPh sb="2" eb="4">
      <t>カクリツ</t>
    </rPh>
    <phoneticPr fontId="21"/>
  </si>
  <si>
    <t>確率</t>
    <rPh sb="0" eb="2">
      <t>カクリツ</t>
    </rPh>
    <phoneticPr fontId="21"/>
  </si>
  <si>
    <t>所属グループ</t>
    <rPh sb="0" eb="2">
      <t>ショゾク</t>
    </rPh>
    <phoneticPr fontId="21"/>
  </si>
  <si>
    <t>名前</t>
    <rPh sb="0" eb="2">
      <t>ナマエ</t>
    </rPh>
    <phoneticPr fontId="21"/>
  </si>
  <si>
    <t>レアリティ</t>
    <phoneticPr fontId="21"/>
  </si>
  <si>
    <t>ラベル</t>
    <phoneticPr fontId="21"/>
  </si>
  <si>
    <t>R3</t>
    <phoneticPr fontId="21"/>
  </si>
  <si>
    <t>R4</t>
    <phoneticPr fontId="21"/>
  </si>
  <si>
    <t>R5</t>
    <phoneticPr fontId="21"/>
  </si>
  <si>
    <t>個別確率</t>
    <rPh sb="0" eb="4">
      <t>コベツカクリツ</t>
    </rPh>
    <phoneticPr fontId="21"/>
  </si>
  <si>
    <t>該当数(ピックアップ除く)</t>
    <rPh sb="0" eb="2">
      <t>ガイトウ</t>
    </rPh>
    <rPh sb="2" eb="3">
      <t>スウ</t>
    </rPh>
    <rPh sb="10" eb="11">
      <t>ノゾ</t>
    </rPh>
    <phoneticPr fontId="21"/>
  </si>
  <si>
    <t>個別weight</t>
    <rPh sb="0" eb="2">
      <t>コベツ</t>
    </rPh>
    <phoneticPr fontId="21"/>
  </si>
  <si>
    <t>グループweight</t>
    <phoneticPr fontId="21"/>
  </si>
  <si>
    <t>端数</t>
    <rPh sb="0" eb="2">
      <t>ハスウ</t>
    </rPh>
    <phoneticPr fontId="21"/>
  </si>
  <si>
    <t>--検算用--</t>
    <rPh sb="3" eb="6">
      <t>ケンザンヨウ</t>
    </rPh>
    <phoneticPr fontId="21"/>
  </si>
  <si>
    <t>端数逆数</t>
    <rPh sb="0" eb="2">
      <t>ハスウ</t>
    </rPh>
    <rPh sb="2" eb="4">
      <t>ギャクスウ</t>
    </rPh>
    <phoneticPr fontId="21"/>
  </si>
  <si>
    <t>テーブルを増やしたい場合</t>
    <rPh sb="5" eb="6">
      <t>フ</t>
    </rPh>
    <rPh sb="10" eb="12">
      <t>バアイ</t>
    </rPh>
    <phoneticPr fontId="21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</si>
  <si>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1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</si>
  <si>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1"/>
  </si>
  <si>
    <t>３．outputシートで２で作ったtablesを指定する</t>
    <rPh sb="14" eb="15">
      <t>ツク</t>
    </rPh>
    <rPh sb="24" eb="26">
      <t>シテイ</t>
    </rPh>
    <phoneticPr fontId="21"/>
  </si>
  <si>
    <t>テーブルid</t>
    <phoneticPr fontId="21"/>
  </si>
  <si>
    <t>→ピックアップの確率は右のほうにいます</t>
    <rPh sb="8" eb="10">
      <t>カクリツ</t>
    </rPh>
    <rPh sb="11" eb="12">
      <t>ミギ</t>
    </rPh>
    <phoneticPr fontId="21"/>
  </si>
  <si>
    <t>table_no</t>
    <phoneticPr fontId="21"/>
  </si>
  <si>
    <t>table_no</t>
    <phoneticPr fontId="21"/>
  </si>
  <si>
    <t>skill_level</t>
  </si>
  <si>
    <t>level</t>
  </si>
  <si>
    <t>hp_plus</t>
    <phoneticPr fontId="54"/>
  </si>
  <si>
    <t>attack_plus</t>
    <phoneticPr fontId="54"/>
  </si>
  <si>
    <t>heal_plus</t>
    <phoneticPr fontId="54"/>
  </si>
  <si>
    <t>defense_plus</t>
    <phoneticPr fontId="54"/>
  </si>
  <si>
    <t>level</t>
    <phoneticPr fontId="54"/>
  </si>
  <si>
    <t>skill_level</t>
    <phoneticPr fontId="54"/>
  </si>
  <si>
    <t>bug</t>
    <phoneticPr fontId="54"/>
  </si>
  <si>
    <t>drop_label2</t>
    <phoneticPr fontId="21"/>
  </si>
  <si>
    <t>Premium</t>
    <phoneticPr fontId="21"/>
  </si>
  <si>
    <t>Premium3</t>
    <phoneticPr fontId="21"/>
  </si>
  <si>
    <t>Premium4</t>
    <phoneticPr fontId="21"/>
  </si>
  <si>
    <t>Premium5</t>
    <phoneticPr fontId="21"/>
  </si>
  <si>
    <t>グループ確率</t>
    <rPh sb="4" eb="6">
      <t>カクリツ</t>
    </rPh>
    <phoneticPr fontId="21"/>
  </si>
  <si>
    <t>レア度別確率</t>
    <rPh sb="2" eb="4">
      <t>ドベツ</t>
    </rPh>
    <rPh sb="4" eb="6">
      <t>カクリツ</t>
    </rPh>
    <phoneticPr fontId="21"/>
  </si>
  <si>
    <t>color2</t>
    <phoneticPr fontId="21"/>
  </si>
  <si>
    <t>Premium3</t>
  </si>
  <si>
    <t>Premium4</t>
  </si>
  <si>
    <t>Premium5</t>
  </si>
  <si>
    <t>PremiumSS4</t>
    <phoneticPr fontId="21"/>
  </si>
  <si>
    <t>PremiumSS5</t>
    <phoneticPr fontId="21"/>
  </si>
  <si>
    <t>PremiumSSS5</t>
    <phoneticPr fontId="21"/>
  </si>
  <si>
    <t>PremiumSSS4</t>
    <phoneticPr fontId="21"/>
  </si>
  <si>
    <t>gacha_select_tables_</t>
    <phoneticPr fontId="21"/>
  </si>
  <si>
    <t>ラベル確率で考えましょう</t>
    <rPh sb="6" eb="7">
      <t>カンガエマショウ</t>
    </rPh>
    <phoneticPr fontId="54"/>
  </si>
  <si>
    <t>ラベル</t>
    <phoneticPr fontId="54"/>
  </si>
  <si>
    <t>レアリティ</t>
    <phoneticPr fontId="54"/>
  </si>
  <si>
    <t>{W}</t>
    <phoneticPr fontId="54"/>
  </si>
  <si>
    <t>{N,S}</t>
    <phoneticPr fontId="54"/>
  </si>
  <si>
    <t>{N,S}R3less</t>
    <phoneticPr fontId="54"/>
  </si>
  <si>
    <t>{N,S}R6release</t>
    <phoneticPr fontId="54"/>
  </si>
  <si>
    <t>{SS}</t>
    <phoneticPr fontId="54"/>
  </si>
  <si>
    <t>{SS}R6only</t>
    <phoneticPr fontId="54"/>
  </si>
  <si>
    <t>小計</t>
    <rPh sb="0" eb="2">
      <t>ショウケイ</t>
    </rPh>
    <phoneticPr fontId="54"/>
  </si>
  <si>
    <t>A</t>
    <phoneticPr fontId="54"/>
  </si>
  <si>
    <t>C</t>
    <phoneticPr fontId="54"/>
  </si>
  <si>
    <t>H</t>
    <phoneticPr fontId="54"/>
  </si>
  <si>
    <t>B</t>
    <phoneticPr fontId="54"/>
  </si>
  <si>
    <t>D</t>
    <phoneticPr fontId="54"/>
  </si>
  <si>
    <t>F</t>
    <phoneticPr fontId="54"/>
  </si>
  <si>
    <t>I</t>
    <phoneticPr fontId="54"/>
  </si>
  <si>
    <t>K</t>
    <phoneticPr fontId="54"/>
  </si>
  <si>
    <t>E</t>
    <phoneticPr fontId="54"/>
  </si>
  <si>
    <t>G</t>
    <phoneticPr fontId="54"/>
  </si>
  <si>
    <t>J</t>
    <phoneticPr fontId="54"/>
  </si>
  <si>
    <t>L</t>
    <phoneticPr fontId="54"/>
  </si>
  <si>
    <t>M</t>
    <phoneticPr fontId="54"/>
  </si>
  <si>
    <t>→</t>
    <phoneticPr fontId="54"/>
  </si>
  <si>
    <t>1-SS率</t>
    <rPh sb="4" eb="5">
      <t>リツ</t>
    </rPh>
    <phoneticPr fontId="54"/>
  </si>
  <si>
    <t>SS率</t>
    <rPh sb="2" eb="3">
      <t>リツ</t>
    </rPh>
    <phoneticPr fontId="54"/>
  </si>
  <si>
    <t>考え方を変える</t>
    <rPh sb="0" eb="1">
      <t>カンガエカタ</t>
    </rPh>
    <rPh sb="4" eb="5">
      <t>カエル</t>
    </rPh>
    <phoneticPr fontId="54"/>
  </si>
  <si>
    <t>SS4%は確定事項</t>
    <rPh sb="5" eb="7">
      <t>カクテイ</t>
    </rPh>
    <rPh sb="7" eb="9">
      <t>ジコウ</t>
    </rPh>
    <phoneticPr fontId="54"/>
  </si>
  <si>
    <t>当たりは分配</t>
    <rPh sb="0" eb="1">
      <t>アタリ</t>
    </rPh>
    <rPh sb="4" eb="6">
      <t>ブンパイ</t>
    </rPh>
    <phoneticPr fontId="54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</si>
  <si>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4"/>
  </si>
  <si>
    <t>=</t>
    <phoneticPr fontId="54"/>
  </si>
  <si>
    <t>X*{SS R5only}</t>
    <phoneticPr fontId="54"/>
  </si>
  <si>
    <t>K</t>
    <phoneticPr fontId="54"/>
  </si>
  <si>
    <t>=</t>
    <phoneticPr fontId="54"/>
  </si>
  <si>
    <t>X*{SS}*(R3率+R4率)</t>
    <rPh sb="10" eb="11">
      <t>リツ</t>
    </rPh>
    <rPh sb="14" eb="15">
      <t>リツ</t>
    </rPh>
    <phoneticPr fontId="54"/>
  </si>
  <si>
    <t>L</t>
    <phoneticPr fontId="54"/>
  </si>
  <si>
    <t>X*{SS}*R5率</t>
    <rPh sb="9" eb="10">
      <t>リツ</t>
    </rPh>
    <phoneticPr fontId="54"/>
  </si>
  <si>
    <t>X*{R6release}*R3率</t>
    <rPh sb="16" eb="17">
      <t>リツ</t>
    </rPh>
    <phoneticPr fontId="54"/>
  </si>
  <si>
    <t>X*{R6release}*R4率</t>
    <rPh sb="16" eb="17">
      <t>リツ</t>
    </rPh>
    <phoneticPr fontId="54"/>
  </si>
  <si>
    <t>J</t>
    <phoneticPr fontId="54"/>
  </si>
  <si>
    <t>X*{R6release}*R5率</t>
    <rPh sb="16" eb="17">
      <t>リツ</t>
    </rPh>
    <phoneticPr fontId="54"/>
  </si>
  <si>
    <t>ハズレで確率を整える</t>
    <rPh sb="4" eb="6">
      <t>カクリツ</t>
    </rPh>
    <rPh sb="7" eb="8">
      <t>トトノエル</t>
    </rPh>
    <phoneticPr fontId="54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</si>
  <si>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4"/>
  </si>
  <si>
    <t>A + C</t>
    <phoneticPr fontId="54"/>
  </si>
  <si>
    <t>=</t>
    <phoneticPr fontId="54"/>
  </si>
  <si>
    <t>50%-H</t>
    <phoneticPr fontId="54"/>
  </si>
  <si>
    <t>①</t>
    <phoneticPr fontId="54"/>
  </si>
  <si>
    <t>B + D + F</t>
    <phoneticPr fontId="54"/>
  </si>
  <si>
    <t>45%-I-K</t>
    <phoneticPr fontId="54"/>
  </si>
  <si>
    <t>②</t>
    <phoneticPr fontId="54"/>
  </si>
  <si>
    <t>E+G</t>
    <phoneticPr fontId="54"/>
  </si>
  <si>
    <t>5%-J-L-M</t>
    <phoneticPr fontId="54"/>
  </si>
  <si>
    <t>③</t>
    <phoneticPr fontId="54"/>
  </si>
  <si>
    <t>A+B</t>
    <phoneticPr fontId="54"/>
  </si>
  <si>
    <t>Y*{W}</t>
    <phoneticPr fontId="54"/>
  </si>
  <si>
    <t>④</t>
    <phoneticPr fontId="54"/>
  </si>
  <si>
    <t>C+D+E</t>
    <phoneticPr fontId="54"/>
  </si>
  <si>
    <t>Y*{N,S}</t>
    <phoneticPr fontId="54"/>
  </si>
  <si>
    <t>⑤</t>
    <phoneticPr fontId="54"/>
  </si>
  <si>
    <t>F+G</t>
    <phoneticPr fontId="54"/>
  </si>
  <si>
    <t>Y*{N,S R3less}</t>
    <phoneticPr fontId="54"/>
  </si>
  <si>
    <t>⑥</t>
    <phoneticPr fontId="54"/>
  </si>
  <si>
    <t>A+B+C+D+E+F+G</t>
    <phoneticPr fontId="54"/>
  </si>
  <si>
    <t>⑦</t>
    <phoneticPr fontId="54"/>
  </si>
  <si>
    <t>←これは4,5,6で作れるのでダメだわ</t>
    <rPh sb="10" eb="11">
      <t>ツクレル</t>
    </rPh>
    <phoneticPr fontId="54"/>
  </si>
  <si>
    <t>E*R3率/R5率</t>
    <rPh sb="4" eb="5">
      <t>リツ</t>
    </rPh>
    <rPh sb="8" eb="9">
      <t>リツ</t>
    </rPh>
    <phoneticPr fontId="54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</si>
  <si>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4"/>
  </si>
  <si>
    <t>E*R4率/R5率</t>
    <rPh sb="4" eb="5">
      <t>リツ</t>
    </rPh>
    <rPh sb="8" eb="9">
      <t>リツ</t>
    </rPh>
    <phoneticPr fontId="54"/>
  </si>
  <si>
    <t>∴</t>
    <phoneticPr fontId="54"/>
  </si>
  <si>
    <t>E</t>
    <phoneticPr fontId="54"/>
  </si>
  <si>
    <t>Y*{N,S}*R5率</t>
    <rPh sb="10" eb="11">
      <t>リツ</t>
    </rPh>
    <phoneticPr fontId="54"/>
  </si>
  <si>
    <t>Y*{N,S}*R4率</t>
    <rPh sb="10" eb="11">
      <t>リツ</t>
    </rPh>
    <phoneticPr fontId="54"/>
  </si>
  <si>
    <t>Y*{N,S}*R3率</t>
    <rPh sb="10" eb="11">
      <t>リツ</t>
    </rPh>
    <phoneticPr fontId="54"/>
  </si>
  <si>
    <t>50%-H-C</t>
    <phoneticPr fontId="54"/>
  </si>
  <si>
    <t>Y*{W}-A</t>
    <phoneticPr fontId="54"/>
  </si>
  <si>
    <t>5%-J-L-M-E</t>
    <phoneticPr fontId="54"/>
  </si>
  <si>
    <t>Y*{N,S R3less} - G</t>
    <phoneticPr fontId="54"/>
  </si>
  <si>
    <t>R6境界前後</t>
    <rPh sb="2" eb="4">
      <t>キョウカイ</t>
    </rPh>
    <rPh sb="4" eb="6">
      <t>ゼンゴ</t>
    </rPh>
    <phoneticPr fontId="21"/>
  </si>
  <si>
    <t>R6事後開放N,S</t>
    <rPh sb="2" eb="6">
      <t>ジゴカイホウ</t>
    </rPh>
    <phoneticPr fontId="21"/>
  </si>
  <si>
    <t>PremiumW3</t>
    <phoneticPr fontId="21"/>
  </si>
  <si>
    <t>PremiumW4</t>
    <phoneticPr fontId="21"/>
  </si>
  <si>
    <t>ラベル確率</t>
    <rPh sb="3" eb="5">
      <t>カクリツ</t>
    </rPh>
    <phoneticPr fontId="21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</si>
  <si>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</si>
  <si>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</si>
  <si>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</si>
  <si>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</si>
  <si>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</si>
  <si>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1"/>
  </si>
  <si>
    <t>PremiumSS5R5only</t>
  </si>
  <si>
    <t>計算用中間データ</t>
    <rPh sb="0" eb="3">
      <t>ケイサンヨウ</t>
    </rPh>
    <rPh sb="3" eb="5">
      <t>チュウカン</t>
    </rPh>
    <phoneticPr fontId="21"/>
  </si>
  <si>
    <t>X</t>
    <phoneticPr fontId="21"/>
  </si>
  <si>
    <t>Y</t>
    <phoneticPr fontId="21"/>
  </si>
  <si>
    <t>対象数</t>
    <rPh sb="0" eb="3">
      <t>タイショウスウ</t>
    </rPh>
    <phoneticPr fontId="21"/>
  </si>
  <si>
    <t>PremiumW</t>
    <phoneticPr fontId="21"/>
  </si>
  <si>
    <t>PremiumN</t>
    <phoneticPr fontId="21"/>
  </si>
  <si>
    <t>PremiumS</t>
    <phoneticPr fontId="21"/>
  </si>
  <si>
    <t>PremiumSS</t>
    <phoneticPr fontId="21"/>
  </si>
  <si>
    <t>←R6分はここから差し引く</t>
    <rPh sb="3" eb="4">
      <t>ブン</t>
    </rPh>
    <rPh sb="9" eb="10">
      <t>サシヒク</t>
    </rPh>
    <phoneticPr fontId="21"/>
  </si>
  <si>
    <t>除外確率</t>
    <rPh sb="0" eb="2">
      <t>ジョガイ</t>
    </rPh>
    <rPh sb="2" eb="4">
      <t>カクリツ</t>
    </rPh>
    <phoneticPr fontId="21"/>
  </si>
  <si>
    <t>除外数</t>
    <rPh sb="0" eb="3">
      <t>ジョガイスウ</t>
    </rPh>
    <phoneticPr fontId="21"/>
  </si>
  <si>
    <t>もうここは手で入れよう…</t>
    <rPh sb="5" eb="6">
      <t>テ</t>
    </rPh>
    <rPh sb="7" eb="8">
      <t>イレヨウ</t>
    </rPh>
    <phoneticPr fontId="21"/>
  </si>
  <si>
    <t>通常weight</t>
    <rPh sb="0" eb="2">
      <t>ツウジョウ</t>
    </rPh>
    <phoneticPr fontId="21"/>
  </si>
  <si>
    <t>A</t>
    <phoneticPr fontId="21"/>
  </si>
  <si>
    <t>B</t>
    <phoneticPr fontId="21"/>
  </si>
  <si>
    <t>PremiumW4</t>
    <phoneticPr fontId="21"/>
  </si>
  <si>
    <t>C</t>
    <phoneticPr fontId="21"/>
  </si>
  <si>
    <t>Premium3</t>
    <phoneticPr fontId="21"/>
  </si>
  <si>
    <t>D</t>
    <phoneticPr fontId="21"/>
  </si>
  <si>
    <t>Premium4</t>
    <phoneticPr fontId="21"/>
  </si>
  <si>
    <t>E</t>
    <phoneticPr fontId="21"/>
  </si>
  <si>
    <t>Premium5</t>
    <phoneticPr fontId="21"/>
  </si>
  <si>
    <t>F</t>
    <phoneticPr fontId="21"/>
  </si>
  <si>
    <t>Premium4R3less</t>
    <phoneticPr fontId="21"/>
  </si>
  <si>
    <t>G</t>
    <phoneticPr fontId="21"/>
  </si>
  <si>
    <t>Premium5R3less</t>
    <phoneticPr fontId="21"/>
  </si>
  <si>
    <t>H</t>
    <phoneticPr fontId="21"/>
  </si>
  <si>
    <t>I</t>
    <phoneticPr fontId="21"/>
  </si>
  <si>
    <t>J</t>
    <phoneticPr fontId="21"/>
  </si>
  <si>
    <t>K</t>
    <phoneticPr fontId="21"/>
  </si>
  <si>
    <t>Premium3R6release</t>
    <phoneticPr fontId="21"/>
  </si>
  <si>
    <t>Premium4R6release</t>
    <phoneticPr fontId="21"/>
  </si>
  <si>
    <t>Premium5R6release</t>
    <phoneticPr fontId="21"/>
  </si>
  <si>
    <t>PremiumSS4</t>
    <phoneticPr fontId="21"/>
  </si>
  <si>
    <t>PremiumSS5</t>
    <phoneticPr fontId="21"/>
  </si>
  <si>
    <t>L</t>
    <phoneticPr fontId="21"/>
  </si>
  <si>
    <t>M</t>
    <phoneticPr fontId="21"/>
  </si>
  <si>
    <t>PremiumSS5R5only</t>
    <phoneticPr fontId="21"/>
  </si>
  <si>
    <t>50% - H - C</t>
    <phoneticPr fontId="21"/>
  </si>
  <si>
    <t>PremiumSSS4R3less</t>
    <phoneticPr fontId="21"/>
  </si>
  <si>
    <t>PremiumSSS5R3less</t>
    <phoneticPr fontId="21"/>
  </si>
  <si>
    <t>skip</t>
    <phoneticPr fontId="21"/>
  </si>
  <si>
    <t>tables_363104</t>
    <phoneticPr fontId="21"/>
  </si>
  <si>
    <t>tables_363105</t>
    <phoneticPr fontId="21"/>
  </si>
  <si>
    <t>tables_363100</t>
    <phoneticPr fontId="21"/>
  </si>
  <si>
    <t>old</t>
    <phoneticPr fontId="21"/>
  </si>
  <si>
    <t>gacha_settle_tables_</t>
    <phoneticPr fontId="21"/>
  </si>
  <si>
    <t>.tmp</t>
    <phoneticPr fontId="54"/>
  </si>
  <si>
    <t>PremiumSSw</t>
    <phoneticPr fontId="21"/>
  </si>
  <si>
    <t>通常確率</t>
    <rPh sb="0" eb="4">
      <t>ツウジョ</t>
    </rPh>
    <phoneticPr fontId="21"/>
  </si>
  <si>
    <t>PremiumSSS6R3less</t>
    <phoneticPr fontId="21"/>
  </si>
  <si>
    <t>PremiumSS6R5only</t>
    <phoneticPr fontId="21"/>
  </si>
  <si>
    <t>tables_531100</t>
    <phoneticPr fontId="21"/>
  </si>
  <si>
    <t>tables_531010</t>
    <phoneticPr fontId="21"/>
  </si>
  <si>
    <t>tables_settle_531100</t>
    <phoneticPr fontId="21"/>
  </si>
  <si>
    <t>1日1回無料スペシャルサマーガチャ特典</t>
    <phoneticPr fontId="21"/>
  </si>
  <si>
    <t>ja</t>
  </si>
  <si>
    <t>unit</t>
    <phoneticPr fontId="21"/>
  </si>
  <si>
    <t>ギガ生命の果実 × 3</t>
    <phoneticPr fontId="21"/>
  </si>
  <si>
    <t>1日1回無料スペシャルサマーガチャ特典としてギガ生命の果実 を3体プレゼント！</t>
    <rPh sb="4" eb="6">
      <t>ムリョウ</t>
    </rPh>
    <rPh sb="32" eb="33">
      <t>タイ</t>
    </rPh>
    <phoneticPr fontId="2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</si>
</sst>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  <numFmt numFmtId="184" formatCode="0_);[Red]\(0\)"/>
  </numFmts>
  <fonts count="59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8">
    <xf numFmtId="0" fontId="0" fillId="0" borderId="0"/>
    <xf numFmtId="0" fontId="20" fillId="0" borderId="0"/>
    <xf numFmtId="0" fontId="24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9" fillId="0" borderId="0"/>
    <xf numFmtId="0" fontId="31" fillId="5" borderId="2" applyNumberFormat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0" borderId="0" applyNumberFormat="0" applyFill="0" applyBorder="0" applyAlignment="0" applyProtection="0"/>
    <xf numFmtId="0" fontId="35" fillId="8" borderId="0" applyNumberFormat="0" applyBorder="0" applyAlignment="0" applyProtection="0"/>
    <xf numFmtId="0" fontId="36" fillId="9" borderId="4" applyNumberFormat="0" applyAlignment="0" applyProtection="0"/>
    <xf numFmtId="0" fontId="37" fillId="0" borderId="0" applyNumberFormat="0" applyFill="0" applyBorder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0" applyNumberFormat="0" applyBorder="0" applyAlignment="0" applyProtection="0"/>
    <xf numFmtId="0" fontId="41" fillId="6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1" borderId="0" applyNumberFormat="0" applyBorder="0" applyAlignment="0" applyProtection="0"/>
    <xf numFmtId="0" fontId="41" fillId="5" borderId="0" applyNumberFormat="0" applyBorder="0" applyAlignment="0" applyProtection="0"/>
    <xf numFmtId="0" fontId="41" fillId="7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3" borderId="0" applyNumberFormat="0" applyBorder="0" applyAlignment="0" applyProtection="0"/>
    <xf numFmtId="0" fontId="41" fillId="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4" borderId="0" applyNumberFormat="0" applyBorder="0" applyAlignment="0" applyProtection="0"/>
    <xf numFmtId="0" fontId="42" fillId="6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0" fontId="42" fillId="10" borderId="0" applyNumberFormat="0" applyBorder="0" applyAlignment="0" applyProtection="0"/>
    <xf numFmtId="0" fontId="42" fillId="1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3" fillId="17" borderId="0" applyNumberFormat="0" applyBorder="0" applyAlignment="0" applyProtection="0"/>
    <xf numFmtId="0" fontId="32" fillId="6" borderId="0" applyNumberFormat="0" applyBorder="0" applyAlignment="0" applyProtection="0"/>
    <xf numFmtId="0" fontId="44" fillId="0" borderId="8" applyNumberFormat="0" applyFill="0" applyAlignment="0" applyProtection="0"/>
    <xf numFmtId="0" fontId="45" fillId="7" borderId="9" applyNumberFormat="0" applyAlignment="0" applyProtection="0"/>
    <xf numFmtId="0" fontId="45" fillId="18" borderId="9" applyNumberFormat="0" applyAlignment="0" applyProtection="0"/>
    <xf numFmtId="0" fontId="33" fillId="6" borderId="3" applyNumberFormat="0" applyAlignment="0" applyProtection="0"/>
    <xf numFmtId="0" fontId="46" fillId="0" borderId="10" applyNumberFormat="0" applyFill="0" applyAlignment="0" applyProtection="0"/>
    <xf numFmtId="0" fontId="47" fillId="18" borderId="3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11" applyNumberFormat="0" applyFill="0" applyAlignment="0" applyProtection="0"/>
    <xf numFmtId="38" fontId="19" fillId="0" borderId="0" applyFont="0" applyFill="0" applyBorder="0" applyAlignment="0" applyProtection="0">
      <alignment vertical="center"/>
    </xf>
    <xf numFmtId="0" fontId="50" fillId="19" borderId="0" applyNumberFormat="0" applyBorder="0" applyAlignment="0" applyProtection="0"/>
    <xf numFmtId="0" fontId="51" fillId="20" borderId="0" applyNumberFormat="0" applyBorder="0" applyAlignment="0" applyProtection="0"/>
    <xf numFmtId="0" fontId="19" fillId="0" borderId="0"/>
    <xf numFmtId="0" fontId="52" fillId="20" borderId="0" applyNumberFormat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4" fillId="0" borderId="0"/>
    <xf numFmtId="0" fontId="55" fillId="0" borderId="0">
      <alignment vertical="center"/>
    </xf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2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9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8" fillId="0" borderId="0"/>
    <xf numFmtId="38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</cellStyleXfs>
  <cellXfs count="100">
    <xf numFmtId="0" fontId="0" fillId="0" borderId="0" xfId="0"/>
    <xf numFmtId="0" fontId="26" fillId="0" borderId="0" xfId="2" applyFont="1" applyAlignment="1">
      <alignment vertical="center"/>
    </xf>
    <xf numFmtId="0" fontId="26" fillId="0" borderId="1" xfId="2" applyFont="1" applyBorder="1" applyAlignment="1">
      <alignment vertical="center"/>
    </xf>
    <xf numFmtId="0" fontId="26" fillId="3" borderId="1" xfId="2" applyFont="1" applyFill="1" applyBorder="1" applyAlignment="1">
      <alignment horizontal="center" vertical="center"/>
    </xf>
    <xf numFmtId="0" fontId="26" fillId="0" borderId="0" xfId="2" applyFont="1" applyAlignment="1">
      <alignment horizontal="center" vertical="center"/>
    </xf>
    <xf numFmtId="0" fontId="26" fillId="4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horizontal="right" vertical="center"/>
    </xf>
    <xf numFmtId="0" fontId="26" fillId="3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vertical="center"/>
    </xf>
    <xf numFmtId="0" fontId="26" fillId="0" borderId="13" xfId="2" applyFont="1" applyBorder="1" applyAlignment="1">
      <alignment vertical="center"/>
    </xf>
    <xf numFmtId="0" fontId="25" fillId="4" borderId="12" xfId="0" applyFont="1" applyFill="1" applyBorder="1" applyAlignment="1">
      <alignment horizontal="right" vertical="center"/>
    </xf>
    <xf numFmtId="0" fontId="25" fillId="4" borderId="14" xfId="0" applyFont="1" applyFill="1" applyBorder="1" applyAlignment="1">
      <alignment horizontal="right" vertical="center"/>
    </xf>
    <xf numFmtId="0" fontId="26" fillId="0" borderId="15" xfId="2" applyFont="1" applyBorder="1" applyAlignment="1">
      <alignment vertical="center"/>
    </xf>
    <xf numFmtId="0" fontId="26" fillId="2" borderId="1" xfId="2" applyFont="1" applyFill="1" applyBorder="1" applyAlignment="1">
      <alignment horizontal="left" vertical="center"/>
    </xf>
    <xf numFmtId="0" fontId="53" fillId="21" borderId="1" xfId="0" applyFont="1" applyFill="1" applyBorder="1" applyAlignment="1">
      <alignment horizontal="left" vertical="center"/>
    </xf>
    <xf numFmtId="0" fontId="26" fillId="2" borderId="1" xfId="2" applyFont="1" applyFill="1" applyBorder="1" applyAlignment="1">
      <alignment horizontal="center" vertical="center"/>
    </xf>
    <xf numFmtId="0" fontId="28" fillId="22" borderId="1" xfId="2978" applyFont="1" applyFill="1" applyBorder="1"/>
    <xf numFmtId="0" fontId="14" fillId="22" borderId="1" xfId="2978" applyFill="1" applyBorder="1"/>
    <xf numFmtId="0" fontId="14" fillId="0" borderId="0" xfId="2978"/>
    <xf numFmtId="0" fontId="14" fillId="0" borderId="1" xfId="2978" applyBorder="1"/>
    <xf numFmtId="0" fontId="14" fillId="2" borderId="1" xfId="2978" applyFill="1" applyBorder="1"/>
    <xf numFmtId="0" fontId="18" fillId="2" borderId="1" xfId="19" applyFont="1" applyFill="1" applyBorder="1"/>
    <xf numFmtId="0" fontId="19" fillId="2" borderId="1" xfId="19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3" fillId="0" borderId="1" xfId="2978" applyFont="1" applyBorder="1"/>
    <xf numFmtId="0" fontId="28" fillId="22" borderId="1" xfId="0" applyFont="1" applyFill="1" applyBorder="1"/>
    <xf numFmtId="0" fontId="53" fillId="23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vertical="center"/>
    </xf>
    <xf numFmtId="0" fontId="0" fillId="4" borderId="0" xfId="0" applyFill="1"/>
    <xf numFmtId="0" fontId="11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0" fillId="2" borderId="1" xfId="19" applyFont="1" applyFill="1" applyBorder="1"/>
    <xf numFmtId="0" fontId="10" fillId="4" borderId="1" xfId="2978" applyFont="1" applyFill="1" applyBorder="1"/>
    <xf numFmtId="0" fontId="0" fillId="2" borderId="0" xfId="0" applyFill="1"/>
    <xf numFmtId="0" fontId="53" fillId="30" borderId="1" xfId="0" applyFont="1" applyFill="1" applyBorder="1" applyAlignment="1">
      <alignment horizontal="left" vertical="center"/>
    </xf>
    <xf numFmtId="0" fontId="26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5" fillId="25" borderId="1" xfId="0" applyFont="1" applyFill="1" applyBorder="1" applyAlignment="1">
      <alignment horizontal="right" vertical="center"/>
    </xf>
    <xf numFmtId="0" fontId="9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8" fillId="0" borderId="0" xfId="3662"/>
    <xf numFmtId="0" fontId="8" fillId="4" borderId="0" xfId="3662" applyFill="1"/>
    <xf numFmtId="9" fontId="8" fillId="0" borderId="0" xfId="3662" applyNumberFormat="1"/>
    <xf numFmtId="0" fontId="8" fillId="0" borderId="0" xfId="3662" applyFill="1"/>
    <xf numFmtId="9" fontId="8" fillId="0" borderId="0" xfId="3662" applyNumberFormat="1" applyAlignment="1"/>
    <xf numFmtId="0" fontId="8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7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8" fillId="32" borderId="1" xfId="0" applyNumberFormat="1" applyFont="1" applyFill="1" applyBorder="1"/>
    <xf numFmtId="38" fontId="26" fillId="4" borderId="1" xfId="3663" quotePrefix="1" applyFont="1" applyFill="1" applyBorder="1" applyAlignment="1">
      <alignment vertical="center"/>
    </xf>
    <xf numFmtId="0" fontId="53" fillId="0" borderId="1" xfId="0" applyFont="1" applyBorder="1" applyAlignment="1">
      <alignment vertical="center"/>
    </xf>
    <xf numFmtId="0" fontId="53" fillId="0" borderId="1" xfId="0" applyFont="1" applyBorder="1" applyAlignment="1">
      <alignment vertical="center" wrapText="1"/>
    </xf>
    <xf numFmtId="0" fontId="26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7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6" fillId="0" borderId="0" xfId="2" applyFont="1" applyFill="1" applyBorder="1" applyAlignment="1">
      <alignment vertical="center"/>
    </xf>
    <xf numFmtId="0" fontId="6" fillId="0" borderId="1" xfId="3036" applyFont="1" applyBorder="1"/>
    <xf numFmtId="10" fontId="0" fillId="4" borderId="0" xfId="0" applyNumberFormat="1" applyFill="1"/>
    <xf numFmtId="0" fontId="5" fillId="4" borderId="1" xfId="2978" applyFont="1" applyFill="1" applyBorder="1"/>
    <xf numFmtId="0" fontId="4" fillId="0" borderId="1" xfId="3036" applyFont="1" applyBorder="1"/>
    <xf numFmtId="0" fontId="27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3" fillId="0" borderId="1" xfId="2978" applyFont="1" applyBorder="1"/>
    <xf numFmtId="0" fontId="3" fillId="4" borderId="1" xfId="2978" applyFont="1" applyFill="1" applyBorder="1"/>
    <xf numFmtId="0" fontId="26" fillId="3" borderId="14" xfId="2" applyFont="1" applyFill="1" applyBorder="1" applyAlignment="1">
      <alignment vertical="center"/>
    </xf>
    <xf numFmtId="0" fontId="26" fillId="0" borderId="0" xfId="2" applyFont="1" applyBorder="1" applyAlignment="1">
      <alignment vertical="center"/>
    </xf>
    <xf numFmtId="184" fontId="26" fillId="4" borderId="1" xfId="3663" quotePrefix="1" applyNumberFormat="1" applyFont="1" applyFill="1" applyBorder="1" applyAlignment="1">
      <alignment vertical="center"/>
    </xf>
    <xf numFmtId="0" fontId="2" fillId="4" borderId="1" xfId="2978" applyFont="1" applyFill="1" applyBorder="1"/>
    <xf numFmtId="0" fontId="26" fillId="0" borderId="1" xfId="2" applyFont="1" applyFill="1" applyBorder="1" applyAlignment="1">
      <alignment vertical="center"/>
    </xf>
  </cellXfs>
  <cellStyles count="3668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openxmlformats.org/officeDocument/2006/relationships/calcChain" Target="calcChain.xml"/><Relationship Id="rId14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externalLink" Target="externalLinks/externalLink1.xml"/><Relationship Id="rId10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デカルト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カグツチ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リラ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hp</v>
          </cell>
          <cell r="L1239" t="str">
            <v>体力タイプ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hp</v>
          </cell>
          <cell r="L1240" t="str">
            <v>体力タイプ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パウリR5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パウリR6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1389</v>
          </cell>
          <cell r="B1372" t="str">
            <v>ja</v>
          </cell>
          <cell r="C1372" t="str">
            <v>ユング</v>
          </cell>
          <cell r="H1372" t="str">
            <v>blue</v>
          </cell>
          <cell r="I1372">
            <v>5</v>
          </cell>
          <cell r="J1372" t="str">
            <v>PremiumSSS</v>
          </cell>
          <cell r="K1372" t="str">
            <v>balance</v>
          </cell>
          <cell r="L1372" t="str">
            <v>バランスタイプ</v>
          </cell>
          <cell r="M1372" t="str">
            <v>academia</v>
          </cell>
        </row>
        <row r="1373">
          <cell r="A1373">
            <v>1390</v>
          </cell>
          <cell r="B1373" t="str">
            <v>ja</v>
          </cell>
          <cell r="C1373" t="str">
            <v>夢誘心解の蒼翼 ユング</v>
          </cell>
          <cell r="H1373" t="str">
            <v>blue</v>
          </cell>
          <cell r="I1373">
            <v>6</v>
          </cell>
          <cell r="J1373" t="str">
            <v>PremiumSSS</v>
          </cell>
          <cell r="K1373" t="str">
            <v>balance</v>
          </cell>
          <cell r="L1373" t="str">
            <v>バランスタイプ</v>
          </cell>
          <cell r="M1373" t="str">
            <v>academia</v>
          </cell>
        </row>
        <row r="1374">
          <cell r="A1374">
            <v>1399</v>
          </cell>
          <cell r="B1374" t="str">
            <v>ja</v>
          </cell>
          <cell r="C1374" t="str">
            <v>ラヴァーズ</v>
          </cell>
          <cell r="H1374" t="str">
            <v>green</v>
          </cell>
          <cell r="I1374">
            <v>5</v>
          </cell>
          <cell r="J1374" t="str">
            <v>PremiumSSS</v>
          </cell>
          <cell r="K1374" t="str">
            <v>attack</v>
          </cell>
          <cell r="L1374" t="str">
            <v>攻撃タイプ</v>
          </cell>
          <cell r="M1374" t="str">
            <v>god</v>
          </cell>
        </row>
        <row r="1375">
          <cell r="A1375">
            <v>1400</v>
          </cell>
          <cell r="B1375" t="str">
            <v>ja</v>
          </cell>
          <cell r="C1375" t="str">
            <v>奏愛する虜籠 ラヴァーズ</v>
          </cell>
          <cell r="H1375" t="str">
            <v>green</v>
          </cell>
          <cell r="I1375">
            <v>6</v>
          </cell>
          <cell r="J1375" t="str">
            <v>PremiumSSS</v>
          </cell>
          <cell r="K1375" t="str">
            <v>attack</v>
          </cell>
          <cell r="L1375" t="str">
            <v>攻撃タイプ</v>
          </cell>
          <cell r="M1375" t="str">
            <v>god</v>
          </cell>
        </row>
        <row r="1376">
          <cell r="A1376">
            <v>1401</v>
          </cell>
          <cell r="B1376" t="str">
            <v>ja</v>
          </cell>
          <cell r="C1376" t="str">
            <v>レムリア</v>
          </cell>
          <cell r="H1376" t="str">
            <v>yellow</v>
          </cell>
          <cell r="I1376">
            <v>5</v>
          </cell>
          <cell r="J1376" t="str">
            <v>PremiumSSw</v>
          </cell>
          <cell r="K1376" t="str">
            <v>hp</v>
          </cell>
          <cell r="L1376" t="str">
            <v>体力タイプ</v>
          </cell>
          <cell r="M1376" t="str">
            <v>hero</v>
          </cell>
        </row>
        <row r="1377">
          <cell r="A1377">
            <v>1402</v>
          </cell>
          <cell r="B1377" t="str">
            <v>ja</v>
          </cell>
          <cell r="C1377" t="str">
            <v>縞彩の豊嬢 レムリア</v>
          </cell>
          <cell r="H1377" t="str">
            <v>yellow</v>
          </cell>
          <cell r="I1377">
            <v>6</v>
          </cell>
          <cell r="J1377" t="str">
            <v>PremiumSSw</v>
          </cell>
          <cell r="K1377" t="str">
            <v>hp</v>
          </cell>
          <cell r="L1377" t="str">
            <v>体力タイプ</v>
          </cell>
          <cell r="M1377" t="str">
            <v>hero</v>
          </cell>
        </row>
        <row r="1378">
          <cell r="A1378">
            <v>1403</v>
          </cell>
          <cell r="B1378" t="str">
            <v>ja</v>
          </cell>
          <cell r="C1378" t="str">
            <v>炎帝の守護獣神 朱雀</v>
          </cell>
          <cell r="H1378" t="str">
            <v>red</v>
          </cell>
          <cell r="I1378">
            <v>6</v>
          </cell>
          <cell r="J1378" t="str">
            <v>Drop2N</v>
          </cell>
          <cell r="K1378" t="str">
            <v>heal</v>
          </cell>
          <cell r="L1378" t="str">
            <v>回復タイプ</v>
          </cell>
          <cell r="M1378" t="str">
            <v>animal</v>
          </cell>
        </row>
        <row r="1379">
          <cell r="A1379">
            <v>1404</v>
          </cell>
          <cell r="B1379" t="str">
            <v>ja</v>
          </cell>
          <cell r="C1379" t="str">
            <v>玄帝の守護獣神 玄武</v>
          </cell>
          <cell r="H1379" t="str">
            <v>green</v>
          </cell>
          <cell r="I1379">
            <v>6</v>
          </cell>
          <cell r="J1379" t="str">
            <v>Drop2N</v>
          </cell>
          <cell r="K1379" t="str">
            <v>hp</v>
          </cell>
          <cell r="L1379" t="str">
            <v>体力タイプ</v>
          </cell>
          <cell r="M1379" t="str">
            <v>dragon</v>
          </cell>
        </row>
        <row r="1380">
          <cell r="A1380">
            <v>1405</v>
          </cell>
          <cell r="B1380" t="str">
            <v>ja</v>
          </cell>
          <cell r="C1380" t="str">
            <v>蒼帝の守護獣神 青龍</v>
          </cell>
          <cell r="H1380" t="str">
            <v>blue</v>
          </cell>
          <cell r="I1380">
            <v>6</v>
          </cell>
          <cell r="J1380" t="str">
            <v>Drop2N</v>
          </cell>
          <cell r="K1380" t="str">
            <v>balance</v>
          </cell>
          <cell r="L1380" t="str">
            <v>バランスタイプ</v>
          </cell>
          <cell r="M1380" t="str">
            <v>dragon</v>
          </cell>
        </row>
        <row r="1381">
          <cell r="A1381">
            <v>1406</v>
          </cell>
          <cell r="B1381" t="str">
            <v>ja</v>
          </cell>
          <cell r="C1381" t="str">
            <v>白帝の守護獣神 白虎</v>
          </cell>
          <cell r="H1381" t="str">
            <v>yellow</v>
          </cell>
          <cell r="I1381">
            <v>6</v>
          </cell>
          <cell r="J1381" t="str">
            <v>Drop2N</v>
          </cell>
          <cell r="K1381" t="str">
            <v>attack</v>
          </cell>
          <cell r="L1381" t="str">
            <v>攻撃タイプ</v>
          </cell>
          <cell r="M1381" t="str">
            <v>animal</v>
          </cell>
        </row>
        <row r="1382">
          <cell r="A1382">
            <v>1414</v>
          </cell>
          <cell r="B1382" t="str">
            <v>ja</v>
          </cell>
          <cell r="C1382" t="str">
            <v>炎のミリオンダック 7</v>
          </cell>
          <cell r="D1382" t="str">
            <v>未定</v>
          </cell>
          <cell r="E1382" t="str">
            <v>執行者</v>
          </cell>
          <cell r="F1382" t="str">
            <v>格好いい</v>
          </cell>
          <cell r="G1382" t="str">
            <v>不明</v>
          </cell>
          <cell r="H1382" t="str">
            <v>red</v>
          </cell>
          <cell r="I1382">
            <v>6</v>
          </cell>
          <cell r="J1382" t="str">
            <v>Material</v>
          </cell>
          <cell r="K1382" t="str">
            <v>exp</v>
          </cell>
          <cell r="L1382" t="str">
            <v>強化素材タイプ</v>
          </cell>
          <cell r="M1382" t="str">
            <v>unknown</v>
          </cell>
        </row>
        <row r="1383">
          <cell r="A1383">
            <v>1415</v>
          </cell>
          <cell r="B1383" t="str">
            <v>ja</v>
          </cell>
          <cell r="C1383" t="str">
            <v>森のミリオンダック 7</v>
          </cell>
          <cell r="D1383" t="str">
            <v>未定</v>
          </cell>
          <cell r="E1383" t="str">
            <v>執行者</v>
          </cell>
          <cell r="F1383" t="str">
            <v>格好いい</v>
          </cell>
          <cell r="G1383" t="str">
            <v>不明</v>
          </cell>
          <cell r="H1383" t="str">
            <v>green</v>
          </cell>
          <cell r="I1383">
            <v>6</v>
          </cell>
          <cell r="J1383" t="str">
            <v>Material</v>
          </cell>
          <cell r="K1383" t="str">
            <v>exp</v>
          </cell>
          <cell r="L1383" t="str">
            <v>強化素材タイプ</v>
          </cell>
          <cell r="M1383" t="str">
            <v>unknown</v>
          </cell>
        </row>
        <row r="1384">
          <cell r="A1384">
            <v>1416</v>
          </cell>
          <cell r="B1384" t="str">
            <v>ja</v>
          </cell>
          <cell r="C1384" t="str">
            <v>水のミリオンダック 7</v>
          </cell>
          <cell r="D1384" t="str">
            <v>未定</v>
          </cell>
          <cell r="E1384" t="str">
            <v>執行者</v>
          </cell>
          <cell r="F1384" t="str">
            <v>格好いい</v>
          </cell>
          <cell r="G1384" t="str">
            <v>不明</v>
          </cell>
          <cell r="H1384" t="str">
            <v>blue</v>
          </cell>
          <cell r="I1384">
            <v>6</v>
          </cell>
          <cell r="J1384" t="str">
            <v>Material</v>
          </cell>
          <cell r="K1384" t="str">
            <v>exp</v>
          </cell>
          <cell r="L1384" t="str">
            <v>強化素材タイプ</v>
          </cell>
          <cell r="M1384" t="str">
            <v>unknown</v>
          </cell>
        </row>
        <row r="1385">
          <cell r="A1385">
            <v>1417</v>
          </cell>
          <cell r="B1385" t="str">
            <v>ja</v>
          </cell>
          <cell r="C1385" t="str">
            <v>雷のミリオンダック 7</v>
          </cell>
          <cell r="D1385" t="str">
            <v>未定</v>
          </cell>
          <cell r="E1385" t="str">
            <v>執行者</v>
          </cell>
          <cell r="F1385" t="str">
            <v>格好いい</v>
          </cell>
          <cell r="G1385" t="str">
            <v>不明</v>
          </cell>
          <cell r="H1385" t="str">
            <v>yellow</v>
          </cell>
          <cell r="I1385">
            <v>6</v>
          </cell>
          <cell r="J1385" t="str">
            <v>Material</v>
          </cell>
          <cell r="K1385" t="str">
            <v>exp</v>
          </cell>
          <cell r="L1385" t="str">
            <v>強化素材タイプ</v>
          </cell>
          <cell r="M1385" t="str">
            <v>unknown</v>
          </cell>
        </row>
        <row r="1386">
          <cell r="A1386">
            <v>1424</v>
          </cell>
          <cell r="B1386" t="str">
            <v>ja</v>
          </cell>
          <cell r="C1386" t="str">
            <v>波打際の宴麗 フロイト</v>
          </cell>
          <cell r="H1386" t="str">
            <v>blue</v>
          </cell>
          <cell r="I1386">
            <v>6</v>
          </cell>
          <cell r="J1386" t="str">
            <v>PremiumSSS</v>
          </cell>
          <cell r="K1386" t="str">
            <v>balance</v>
          </cell>
          <cell r="L1386" t="str">
            <v>バランスタイプ</v>
          </cell>
          <cell r="M1386" t="str">
            <v>academia</v>
          </cell>
        </row>
        <row r="1387">
          <cell r="A1387">
            <v>1504</v>
          </cell>
          <cell r="B1387" t="str">
            <v>ja</v>
          </cell>
          <cell r="C1387" t="str">
            <v>magenta01</v>
          </cell>
          <cell r="H1387" t="str">
            <v>red</v>
          </cell>
          <cell r="I1387">
            <v>1</v>
          </cell>
          <cell r="J1387" t="str">
            <v>Drop1T</v>
          </cell>
          <cell r="K1387" t="str">
            <v>balance</v>
          </cell>
          <cell r="L1387" t="str">
            <v>バランスタイプ</v>
          </cell>
          <cell r="M1387" t="str">
            <v>unknown</v>
          </cell>
        </row>
        <row r="1388">
          <cell r="A1388">
            <v>1505</v>
          </cell>
          <cell r="B1388" t="str">
            <v>ja</v>
          </cell>
          <cell r="C1388" t="str">
            <v>amber01</v>
          </cell>
          <cell r="H1388" t="str">
            <v>green</v>
          </cell>
          <cell r="I1388">
            <v>1</v>
          </cell>
          <cell r="J1388" t="str">
            <v>Drop1T</v>
          </cell>
          <cell r="K1388" t="str">
            <v>hp</v>
          </cell>
          <cell r="L1388" t="str">
            <v>体力タイプ</v>
          </cell>
          <cell r="M1388" t="str">
            <v>unknown</v>
          </cell>
        </row>
        <row r="1389">
          <cell r="A1389">
            <v>1506</v>
          </cell>
          <cell r="B1389" t="str">
            <v>ja</v>
          </cell>
          <cell r="C1389" t="str">
            <v>pumpkin01</v>
          </cell>
          <cell r="H1389" t="str">
            <v>yellow</v>
          </cell>
          <cell r="I1389">
            <v>2</v>
          </cell>
          <cell r="J1389" t="str">
            <v>Drop1S</v>
          </cell>
          <cell r="K1389" t="str">
            <v>attack</v>
          </cell>
          <cell r="L1389" t="str">
            <v>攻撃タイプ</v>
          </cell>
          <cell r="M1389" t="str">
            <v>unknown</v>
          </cell>
        </row>
        <row r="1390">
          <cell r="A1390">
            <v>1507</v>
          </cell>
          <cell r="B1390" t="str">
            <v>ja</v>
          </cell>
          <cell r="C1390" t="str">
            <v>rose01</v>
          </cell>
          <cell r="H1390" t="str">
            <v>blue</v>
          </cell>
          <cell r="I1390">
            <v>3</v>
          </cell>
          <cell r="J1390" t="str">
            <v>Drop2N</v>
          </cell>
          <cell r="K1390" t="str">
            <v>technical</v>
          </cell>
          <cell r="L1390" t="str">
            <v>テクニカルタイプ</v>
          </cell>
          <cell r="M1390" t="str">
            <v>unknown</v>
          </cell>
        </row>
        <row r="1391">
          <cell r="A1391">
            <v>1508</v>
          </cell>
          <cell r="B1391" t="str">
            <v>ja</v>
          </cell>
          <cell r="C1391" t="str">
            <v>burgundy01</v>
          </cell>
          <cell r="H1391" t="str">
            <v>red</v>
          </cell>
          <cell r="I1391">
            <v>4</v>
          </cell>
          <cell r="J1391" t="str">
            <v>Drop2N</v>
          </cell>
          <cell r="K1391" t="str">
            <v>balance</v>
          </cell>
          <cell r="L1391" t="str">
            <v>バランスタイプ</v>
          </cell>
          <cell r="M1391" t="str">
            <v>unknown</v>
          </cell>
        </row>
        <row r="1392">
          <cell r="A1392">
            <v>1509</v>
          </cell>
          <cell r="B1392" t="str">
            <v>ja</v>
          </cell>
          <cell r="C1392" t="str">
            <v>cyan01</v>
          </cell>
          <cell r="H1392" t="str">
            <v>green</v>
          </cell>
          <cell r="I1392">
            <v>5</v>
          </cell>
          <cell r="J1392" t="str">
            <v>Drop2N</v>
          </cell>
          <cell r="K1392" t="str">
            <v>hp</v>
          </cell>
          <cell r="L1392" t="str">
            <v>体力タイプ</v>
          </cell>
          <cell r="M1392" t="str">
            <v>god</v>
          </cell>
        </row>
        <row r="1393">
          <cell r="A1393">
            <v>1510</v>
          </cell>
          <cell r="B1393" t="str">
            <v>ja</v>
          </cell>
          <cell r="C1393" t="str">
            <v>scarlet01</v>
          </cell>
          <cell r="H1393" t="str">
            <v>yellow</v>
          </cell>
          <cell r="I1393">
            <v>4</v>
          </cell>
          <cell r="J1393" t="str">
            <v>DropWizS</v>
          </cell>
          <cell r="K1393" t="str">
            <v>balance</v>
          </cell>
          <cell r="L1393" t="str">
            <v>バランスタイプ</v>
          </cell>
          <cell r="M1393" t="str">
            <v>god</v>
          </cell>
        </row>
        <row r="1394">
          <cell r="A1394">
            <v>1511</v>
          </cell>
          <cell r="B1394" t="str">
            <v>ja</v>
          </cell>
          <cell r="C1394" t="str">
            <v>scarlet02</v>
          </cell>
          <cell r="H1394" t="str">
            <v>yellow</v>
          </cell>
          <cell r="I1394">
            <v>5</v>
          </cell>
          <cell r="J1394" t="str">
            <v>DropWizS</v>
          </cell>
          <cell r="K1394" t="str">
            <v>balance</v>
          </cell>
          <cell r="L1394" t="str">
            <v>バランスタイプ</v>
          </cell>
          <cell r="M1394" t="str">
            <v>god</v>
          </cell>
        </row>
        <row r="1395">
          <cell r="A1395">
            <v>1512</v>
          </cell>
          <cell r="B1395" t="str">
            <v>ja</v>
          </cell>
          <cell r="C1395" t="str">
            <v>scarlet03</v>
          </cell>
          <cell r="H1395" t="str">
            <v>yellow</v>
          </cell>
          <cell r="I1395">
            <v>6</v>
          </cell>
          <cell r="J1395" t="str">
            <v>DropWizS</v>
          </cell>
          <cell r="K1395" t="str">
            <v>balance</v>
          </cell>
          <cell r="L1395" t="str">
            <v>バランスタイプ</v>
          </cell>
          <cell r="M1395" t="str">
            <v>god</v>
          </cell>
        </row>
        <row r="1396">
          <cell r="A1396">
            <v>1513</v>
          </cell>
          <cell r="B1396" t="str">
            <v>ja</v>
          </cell>
          <cell r="C1396" t="str">
            <v>gold01</v>
          </cell>
          <cell r="H1396" t="str">
            <v>yellow</v>
          </cell>
          <cell r="I1396">
            <v>4</v>
          </cell>
          <cell r="J1396" t="str">
            <v>Material</v>
          </cell>
          <cell r="K1396" t="str">
            <v>coin</v>
          </cell>
          <cell r="L1396" t="str">
            <v>コインタイプ</v>
          </cell>
          <cell r="M1396" t="str">
            <v>unknown</v>
          </cell>
        </row>
        <row r="1397">
          <cell r="A1397">
            <v>1514</v>
          </cell>
          <cell r="B1397" t="str">
            <v>ja</v>
          </cell>
          <cell r="C1397" t="str">
            <v>gold02</v>
          </cell>
          <cell r="H1397" t="str">
            <v>yellow</v>
          </cell>
          <cell r="I1397">
            <v>5</v>
          </cell>
          <cell r="J1397" t="str">
            <v>Material</v>
          </cell>
          <cell r="K1397" t="str">
            <v>coin</v>
          </cell>
          <cell r="L1397" t="str">
            <v>コインタイプ</v>
          </cell>
          <cell r="M1397" t="str">
            <v>unknown</v>
          </cell>
        </row>
        <row r="1398">
          <cell r="A1398">
            <v>1515</v>
          </cell>
          <cell r="B1398" t="str">
            <v>ja</v>
          </cell>
          <cell r="C1398" t="str">
            <v>red01</v>
          </cell>
          <cell r="H1398" t="str">
            <v>red</v>
          </cell>
          <cell r="I1398">
            <v>4</v>
          </cell>
          <cell r="J1398" t="str">
            <v>Material</v>
          </cell>
          <cell r="K1398" t="str">
            <v>exp</v>
          </cell>
          <cell r="L1398" t="str">
            <v>強化素材タイプ</v>
          </cell>
          <cell r="M1398" t="str">
            <v>unknown</v>
          </cell>
        </row>
        <row r="1399">
          <cell r="A1399">
            <v>1516</v>
          </cell>
          <cell r="B1399" t="str">
            <v>ja</v>
          </cell>
          <cell r="C1399" t="str">
            <v>red02</v>
          </cell>
          <cell r="H1399" t="str">
            <v>red</v>
          </cell>
          <cell r="I1399">
            <v>5</v>
          </cell>
          <cell r="J1399" t="str">
            <v>Material</v>
          </cell>
          <cell r="K1399" t="str">
            <v>exp</v>
          </cell>
          <cell r="L1399" t="str">
            <v>強化素材タイプ</v>
          </cell>
          <cell r="M1399" t="str">
            <v>unknown</v>
          </cell>
        </row>
        <row r="1400">
          <cell r="A1400">
            <v>1517</v>
          </cell>
          <cell r="B1400" t="str">
            <v>ja</v>
          </cell>
          <cell r="C1400" t="str">
            <v>blue01</v>
          </cell>
          <cell r="H1400" t="str">
            <v>blue</v>
          </cell>
          <cell r="I1400">
            <v>4</v>
          </cell>
          <cell r="J1400" t="str">
            <v>Material</v>
          </cell>
          <cell r="K1400" t="str">
            <v>exp</v>
          </cell>
          <cell r="L1400" t="str">
            <v>強化素材タイプ</v>
          </cell>
          <cell r="M1400" t="str">
            <v>unknown</v>
          </cell>
        </row>
        <row r="1401">
          <cell r="A1401">
            <v>1518</v>
          </cell>
          <cell r="B1401" t="str">
            <v>ja</v>
          </cell>
          <cell r="C1401" t="str">
            <v>blue02</v>
          </cell>
          <cell r="H1401" t="str">
            <v>blue</v>
          </cell>
          <cell r="I1401">
            <v>5</v>
          </cell>
          <cell r="J1401" t="str">
            <v>Material</v>
          </cell>
          <cell r="K1401" t="str">
            <v>exp</v>
          </cell>
          <cell r="L1401" t="str">
            <v>強化素材タイプ</v>
          </cell>
          <cell r="M1401" t="str">
            <v>unknown</v>
          </cell>
        </row>
        <row r="1402">
          <cell r="A1402">
            <v>1519</v>
          </cell>
          <cell r="B1402" t="str">
            <v>ja</v>
          </cell>
          <cell r="C1402" t="str">
            <v>green01</v>
          </cell>
          <cell r="H1402" t="str">
            <v>green</v>
          </cell>
          <cell r="I1402">
            <v>4</v>
          </cell>
          <cell r="J1402" t="str">
            <v>Material</v>
          </cell>
          <cell r="K1402" t="str">
            <v>exp</v>
          </cell>
          <cell r="L1402" t="str">
            <v>強化素材タイプ</v>
          </cell>
          <cell r="M1402" t="str">
            <v>unknown</v>
          </cell>
        </row>
        <row r="1403">
          <cell r="A1403">
            <v>1520</v>
          </cell>
          <cell r="B1403" t="str">
            <v>ja</v>
          </cell>
          <cell r="C1403" t="str">
            <v>green02</v>
          </cell>
          <cell r="H1403" t="str">
            <v>green</v>
          </cell>
          <cell r="I1403">
            <v>5</v>
          </cell>
          <cell r="J1403" t="str">
            <v>Material</v>
          </cell>
          <cell r="K1403" t="str">
            <v>exp</v>
          </cell>
          <cell r="L1403" t="str">
            <v>強化素材タイプ</v>
          </cell>
          <cell r="M1403" t="str">
            <v>unknown</v>
          </cell>
        </row>
        <row r="1404">
          <cell r="A1404">
            <v>1521</v>
          </cell>
          <cell r="B1404" t="str">
            <v>ja</v>
          </cell>
          <cell r="C1404" t="str">
            <v>yellow01</v>
          </cell>
          <cell r="H1404" t="str">
            <v>yellow</v>
          </cell>
          <cell r="I1404">
            <v>4</v>
          </cell>
          <cell r="J1404" t="str">
            <v>Material</v>
          </cell>
          <cell r="K1404" t="str">
            <v>exp</v>
          </cell>
          <cell r="L1404" t="str">
            <v>強化素材タイプ</v>
          </cell>
          <cell r="M1404" t="str">
            <v>unknown</v>
          </cell>
        </row>
        <row r="1405">
          <cell r="A1405">
            <v>1522</v>
          </cell>
          <cell r="B1405" t="str">
            <v>ja</v>
          </cell>
          <cell r="C1405" t="str">
            <v>yellow02</v>
          </cell>
          <cell r="H1405" t="str">
            <v>yellow</v>
          </cell>
          <cell r="I1405">
            <v>5</v>
          </cell>
          <cell r="J1405" t="str">
            <v>Material</v>
          </cell>
          <cell r="K1405" t="str">
            <v>exp</v>
          </cell>
          <cell r="L1405" t="str">
            <v>強化素材タイプ</v>
          </cell>
          <cell r="M1405" t="str">
            <v>unknown</v>
          </cell>
        </row>
        <row r="1406">
          <cell r="A1406">
            <v>1523</v>
          </cell>
          <cell r="B1406" t="str">
            <v>ja</v>
          </cell>
          <cell r="C1406" t="str">
            <v>olive01</v>
          </cell>
          <cell r="H1406" t="str">
            <v>blue</v>
          </cell>
          <cell r="I1406">
            <v>5</v>
          </cell>
          <cell r="J1406" t="str">
            <v>DropWizS</v>
          </cell>
          <cell r="K1406" t="str">
            <v>balance</v>
          </cell>
          <cell r="L1406" t="str">
            <v>バランスタイプ</v>
          </cell>
          <cell r="M1406" t="str">
            <v>animal</v>
          </cell>
        </row>
        <row r="1407">
          <cell r="A1407">
            <v>1524</v>
          </cell>
          <cell r="B1407" t="str">
            <v>ja</v>
          </cell>
          <cell r="C1407" t="str">
            <v>olive02</v>
          </cell>
          <cell r="H1407" t="str">
            <v>blue</v>
          </cell>
          <cell r="I1407">
            <v>6</v>
          </cell>
          <cell r="J1407" t="str">
            <v>DropWizS</v>
          </cell>
          <cell r="K1407" t="str">
            <v>balance</v>
          </cell>
          <cell r="L1407" t="str">
            <v>バランスタイプ</v>
          </cell>
          <cell r="M1407" t="str">
            <v>animal</v>
          </cell>
        </row>
        <row r="1408">
          <cell r="A1408">
            <v>1525</v>
          </cell>
          <cell r="B1408" t="str">
            <v>ja</v>
          </cell>
          <cell r="C1408" t="str">
            <v>white01</v>
          </cell>
          <cell r="H1408" t="str">
            <v>red</v>
          </cell>
          <cell r="I1408">
            <v>5</v>
          </cell>
          <cell r="J1408" t="str">
            <v>DropWizSS</v>
          </cell>
          <cell r="K1408" t="str">
            <v>balance</v>
          </cell>
          <cell r="L1408" t="str">
            <v>バランスタイプ</v>
          </cell>
          <cell r="M1408" t="str">
            <v>animal</v>
          </cell>
        </row>
        <row r="1409">
          <cell r="A1409">
            <v>1526</v>
          </cell>
          <cell r="B1409" t="str">
            <v>ja</v>
          </cell>
          <cell r="C1409" t="str">
            <v>white02</v>
          </cell>
          <cell r="H1409" t="str">
            <v>red</v>
          </cell>
          <cell r="I1409">
            <v>6</v>
          </cell>
          <cell r="J1409" t="str">
            <v>DropWizSS</v>
          </cell>
          <cell r="K1409" t="str">
            <v>balance</v>
          </cell>
          <cell r="L1409" t="str">
            <v>バランスタイプ</v>
          </cell>
          <cell r="M1409" t="str">
            <v>animal</v>
          </cell>
        </row>
        <row r="1410">
          <cell r="A1410">
            <v>1527</v>
          </cell>
          <cell r="B1410" t="str">
            <v>ja</v>
          </cell>
          <cell r="C1410" t="str">
            <v>violet01</v>
          </cell>
          <cell r="H1410" t="str">
            <v>red</v>
          </cell>
          <cell r="I1410">
            <v>4</v>
          </cell>
          <cell r="J1410" t="str">
            <v>PremiumS</v>
          </cell>
          <cell r="K1410" t="str">
            <v>attack</v>
          </cell>
          <cell r="L1410" t="str">
            <v>攻撃タイプ</v>
          </cell>
          <cell r="M1410" t="str">
            <v>animal</v>
          </cell>
        </row>
        <row r="1411">
          <cell r="A1411">
            <v>1528</v>
          </cell>
          <cell r="B1411" t="str">
            <v>ja</v>
          </cell>
          <cell r="C1411" t="str">
            <v>violet02</v>
          </cell>
          <cell r="H1411" t="str">
            <v>red</v>
          </cell>
          <cell r="I1411">
            <v>5</v>
          </cell>
          <cell r="J1411" t="str">
            <v>PremiumS</v>
          </cell>
          <cell r="K1411" t="str">
            <v>attack</v>
          </cell>
          <cell r="L1411" t="str">
            <v>攻撃タイプ</v>
          </cell>
          <cell r="M1411" t="str">
            <v>animal</v>
          </cell>
        </row>
        <row r="1412">
          <cell r="A1412">
            <v>1529</v>
          </cell>
          <cell r="B1412" t="str">
            <v>ja</v>
          </cell>
          <cell r="C1412" t="str">
            <v>mint01</v>
          </cell>
          <cell r="H1412" t="str">
            <v>blue</v>
          </cell>
          <cell r="I1412">
            <v>4</v>
          </cell>
          <cell r="J1412" t="str">
            <v>PremiumS</v>
          </cell>
          <cell r="K1412" t="str">
            <v>balance</v>
          </cell>
          <cell r="L1412" t="str">
            <v>バランスタイプ</v>
          </cell>
          <cell r="M1412" t="str">
            <v>unknown</v>
          </cell>
        </row>
        <row r="1413">
          <cell r="A1413">
            <v>1530</v>
          </cell>
          <cell r="B1413" t="str">
            <v>ja</v>
          </cell>
          <cell r="C1413" t="str">
            <v>mint02</v>
          </cell>
          <cell r="H1413" t="str">
            <v>blue</v>
          </cell>
          <cell r="I1413">
            <v>5</v>
          </cell>
          <cell r="J1413" t="str">
            <v>PremiumS</v>
          </cell>
          <cell r="K1413" t="str">
            <v>balance</v>
          </cell>
          <cell r="L1413" t="str">
            <v>バランスタイプ</v>
          </cell>
          <cell r="M1413" t="str">
            <v>unknown</v>
          </cell>
        </row>
        <row r="1414">
          <cell r="A1414">
            <v>1531</v>
          </cell>
          <cell r="B1414" t="str">
            <v>ja</v>
          </cell>
          <cell r="C1414" t="str">
            <v>gray01</v>
          </cell>
          <cell r="H1414" t="str">
            <v>green</v>
          </cell>
          <cell r="I1414">
            <v>4</v>
          </cell>
          <cell r="J1414" t="str">
            <v>PremiumS</v>
          </cell>
          <cell r="K1414" t="str">
            <v>technical</v>
          </cell>
          <cell r="L1414" t="str">
            <v>テクニカルタイプ</v>
          </cell>
          <cell r="M1414" t="str">
            <v>animal</v>
          </cell>
        </row>
        <row r="1415">
          <cell r="A1415">
            <v>1532</v>
          </cell>
          <cell r="B1415" t="str">
            <v>ja</v>
          </cell>
          <cell r="C1415" t="str">
            <v>gray02</v>
          </cell>
          <cell r="H1415" t="str">
            <v>green</v>
          </cell>
          <cell r="I1415">
            <v>5</v>
          </cell>
          <cell r="J1415" t="str">
            <v>PremiumS</v>
          </cell>
          <cell r="K1415" t="str">
            <v>technical</v>
          </cell>
          <cell r="L1415" t="str">
            <v>テクニカルタイプ</v>
          </cell>
          <cell r="M1415" t="str">
            <v>animal</v>
          </cell>
        </row>
        <row r="1416">
          <cell r="A1416">
            <v>1533</v>
          </cell>
          <cell r="B1416" t="str">
            <v>ja</v>
          </cell>
          <cell r="C1416" t="str">
            <v>maroon01</v>
          </cell>
          <cell r="H1416" t="str">
            <v>yellow</v>
          </cell>
          <cell r="I1416">
            <v>4</v>
          </cell>
          <cell r="J1416" t="str">
            <v>PremiumS</v>
          </cell>
          <cell r="K1416" t="str">
            <v>attack</v>
          </cell>
          <cell r="L1416" t="str">
            <v>攻撃タイプ</v>
          </cell>
          <cell r="M1416" t="str">
            <v>animal</v>
          </cell>
        </row>
        <row r="1417">
          <cell r="A1417">
            <v>1534</v>
          </cell>
          <cell r="B1417" t="str">
            <v>ja</v>
          </cell>
          <cell r="C1417" t="str">
            <v>maroon02</v>
          </cell>
          <cell r="H1417" t="str">
            <v>yellow</v>
          </cell>
          <cell r="I1417">
            <v>5</v>
          </cell>
          <cell r="J1417" t="str">
            <v>PremiumS</v>
          </cell>
          <cell r="K1417" t="str">
            <v>attack</v>
          </cell>
          <cell r="L1417" t="str">
            <v>攻撃タイプ</v>
          </cell>
          <cell r="M1417" t="str">
            <v>animal</v>
          </cell>
        </row>
        <row r="1418">
          <cell r="A1418">
            <v>1535</v>
          </cell>
          <cell r="B1418" t="str">
            <v>ja</v>
          </cell>
          <cell r="C1418" t="str">
            <v>pink01</v>
          </cell>
          <cell r="H1418" t="str">
            <v>red</v>
          </cell>
          <cell r="I1418">
            <v>5</v>
          </cell>
          <cell r="J1418" t="str">
            <v>PremiumSS</v>
          </cell>
          <cell r="K1418" t="str">
            <v>technical</v>
          </cell>
          <cell r="L1418" t="str">
            <v>テクニカルタイプ</v>
          </cell>
          <cell r="M1418" t="str">
            <v>god</v>
          </cell>
        </row>
        <row r="1419">
          <cell r="A1419">
            <v>1536</v>
          </cell>
          <cell r="B1419" t="str">
            <v>ja</v>
          </cell>
          <cell r="C1419" t="str">
            <v>pink02</v>
          </cell>
          <cell r="H1419" t="str">
            <v>red</v>
          </cell>
          <cell r="I1419">
            <v>6</v>
          </cell>
          <cell r="J1419" t="str">
            <v>PremiumSS</v>
          </cell>
          <cell r="K1419" t="str">
            <v>technical</v>
          </cell>
          <cell r="L1419" t="str">
            <v>テクニカルタイプ</v>
          </cell>
          <cell r="M1419" t="str">
            <v>god</v>
          </cell>
        </row>
        <row r="1420">
          <cell r="A1420">
            <v>1537</v>
          </cell>
          <cell r="B1420" t="str">
            <v>ja</v>
          </cell>
          <cell r="C1420" t="str">
            <v>black01</v>
          </cell>
          <cell r="H1420" t="str">
            <v>blue</v>
          </cell>
          <cell r="I1420">
            <v>5</v>
          </cell>
          <cell r="J1420" t="str">
            <v>PremiumSSS</v>
          </cell>
          <cell r="K1420" t="str">
            <v>balance</v>
          </cell>
          <cell r="L1420" t="str">
            <v>バランスタイプ</v>
          </cell>
          <cell r="M1420" t="str">
            <v>unknown</v>
          </cell>
        </row>
        <row r="1421">
          <cell r="A1421">
            <v>1538</v>
          </cell>
          <cell r="B1421" t="str">
            <v>ja</v>
          </cell>
          <cell r="C1421" t="str">
            <v>black02</v>
          </cell>
          <cell r="H1421" t="str">
            <v>blue</v>
          </cell>
          <cell r="I1421">
            <v>6</v>
          </cell>
          <cell r="J1421" t="str">
            <v>PremiumSSS</v>
          </cell>
          <cell r="K1421" t="str">
            <v>balance</v>
          </cell>
          <cell r="L1421" t="str">
            <v>バランスタイプ</v>
          </cell>
          <cell r="M1421" t="str">
            <v>unknown</v>
          </cell>
        </row>
        <row r="1422">
          <cell r="A1422">
            <v>1539</v>
          </cell>
          <cell r="B1422" t="str">
            <v>ja</v>
          </cell>
          <cell r="C1422" t="str">
            <v>brown01</v>
          </cell>
          <cell r="H1422" t="str">
            <v>yellow</v>
          </cell>
          <cell r="I1422">
            <v>5</v>
          </cell>
          <cell r="J1422" t="str">
            <v>PremiumSS</v>
          </cell>
          <cell r="K1422" t="str">
            <v>attack</v>
          </cell>
          <cell r="L1422" t="str">
            <v>攻撃タイプ</v>
          </cell>
          <cell r="M1422" t="str">
            <v>god</v>
          </cell>
        </row>
        <row r="1423">
          <cell r="A1423">
            <v>1540</v>
          </cell>
          <cell r="B1423" t="str">
            <v>ja</v>
          </cell>
          <cell r="C1423" t="str">
            <v>brown02</v>
          </cell>
          <cell r="H1423" t="str">
            <v>yellow</v>
          </cell>
          <cell r="I1423">
            <v>6</v>
          </cell>
          <cell r="J1423" t="str">
            <v>PremiumSS</v>
          </cell>
          <cell r="K1423" t="str">
            <v>attack</v>
          </cell>
          <cell r="L1423" t="str">
            <v>攻撃タイプ</v>
          </cell>
          <cell r="M1423" t="str">
            <v>god</v>
          </cell>
        </row>
        <row r="1424">
          <cell r="A1424">
            <v>1541</v>
          </cell>
          <cell r="B1424" t="str">
            <v>ja</v>
          </cell>
          <cell r="C1424" t="str">
            <v>purple01</v>
          </cell>
          <cell r="H1424" t="str">
            <v>red</v>
          </cell>
          <cell r="I1424">
            <v>5</v>
          </cell>
          <cell r="J1424" t="str">
            <v>PremiumSSS</v>
          </cell>
          <cell r="K1424" t="str">
            <v>technical</v>
          </cell>
          <cell r="L1424" t="str">
            <v>テクニカルタイプ</v>
          </cell>
          <cell r="M1424" t="str">
            <v>god</v>
          </cell>
        </row>
        <row r="1425">
          <cell r="A1425">
            <v>1542</v>
          </cell>
          <cell r="B1425" t="str">
            <v>ja</v>
          </cell>
          <cell r="C1425" t="str">
            <v>purple02</v>
          </cell>
          <cell r="H1425" t="str">
            <v>red</v>
          </cell>
          <cell r="I1425">
            <v>6</v>
          </cell>
          <cell r="J1425" t="str">
            <v>PremiumSSS</v>
          </cell>
          <cell r="K1425" t="str">
            <v>technical</v>
          </cell>
          <cell r="L1425" t="str">
            <v>テクニカルタイプ</v>
          </cell>
          <cell r="M1425" t="str">
            <v>god</v>
          </cell>
        </row>
        <row r="1426">
          <cell r="A1426">
            <v>1543</v>
          </cell>
          <cell r="B1426" t="str">
            <v>ja</v>
          </cell>
          <cell r="C1426" t="str">
            <v>vanilla01</v>
          </cell>
          <cell r="H1426" t="str">
            <v>blue</v>
          </cell>
          <cell r="I1426">
            <v>6</v>
          </cell>
          <cell r="J1426" t="str">
            <v>PremiumSSS</v>
          </cell>
          <cell r="K1426" t="str">
            <v>attack</v>
          </cell>
          <cell r="L1426" t="str">
            <v>攻撃タイプ</v>
          </cell>
          <cell r="M1426" t="str">
            <v>academia</v>
          </cell>
        </row>
        <row r="1427">
          <cell r="A1427">
            <v>1544</v>
          </cell>
          <cell r="B1427" t="str">
            <v>ja</v>
          </cell>
          <cell r="C1427" t="str">
            <v>vanilla02</v>
          </cell>
          <cell r="H1427" t="str">
            <v>blue</v>
          </cell>
          <cell r="I1427">
            <v>6</v>
          </cell>
          <cell r="J1427" t="str">
            <v>PremiumSSS</v>
          </cell>
          <cell r="K1427" t="str">
            <v>attack</v>
          </cell>
          <cell r="L1427" t="str">
            <v>攻撃タイプ</v>
          </cell>
          <cell r="M1427" t="str">
            <v>academia</v>
          </cell>
        </row>
        <row r="1428">
          <cell r="A1428">
            <v>1545</v>
          </cell>
          <cell r="B1428" t="str">
            <v>ja</v>
          </cell>
          <cell r="C1428" t="str">
            <v>silver01</v>
          </cell>
          <cell r="H1428" t="str">
            <v>green</v>
          </cell>
          <cell r="I1428">
            <v>5</v>
          </cell>
          <cell r="J1428" t="str">
            <v>PremiumSS</v>
          </cell>
          <cell r="K1428" t="str">
            <v>hp</v>
          </cell>
          <cell r="L1428" t="str">
            <v>体力タイプ</v>
          </cell>
          <cell r="M1428" t="str">
            <v>unknown</v>
          </cell>
        </row>
        <row r="1429">
          <cell r="A1429">
            <v>1546</v>
          </cell>
          <cell r="B1429" t="str">
            <v>ja</v>
          </cell>
          <cell r="C1429" t="str">
            <v>silver02</v>
          </cell>
          <cell r="H1429" t="str">
            <v>green</v>
          </cell>
          <cell r="I1429">
            <v>6</v>
          </cell>
          <cell r="J1429" t="str">
            <v>PremiumSS</v>
          </cell>
          <cell r="K1429" t="str">
            <v>hp</v>
          </cell>
          <cell r="L1429" t="str">
            <v>体力タイプ</v>
          </cell>
          <cell r="M1429" t="str">
            <v>unknown</v>
          </cell>
        </row>
        <row r="1430">
          <cell r="A1430">
            <v>1547</v>
          </cell>
          <cell r="B1430" t="str">
            <v>ja</v>
          </cell>
          <cell r="C1430" t="str">
            <v>mauve01</v>
          </cell>
          <cell r="H1430" t="str">
            <v>green</v>
          </cell>
          <cell r="I1430">
            <v>4</v>
          </cell>
          <cell r="J1430" t="str">
            <v>Drop2N</v>
          </cell>
          <cell r="K1430" t="str">
            <v>hp</v>
          </cell>
          <cell r="L1430" t="str">
            <v>体力タイプ</v>
          </cell>
          <cell r="M1430" t="str">
            <v>animal</v>
          </cell>
        </row>
        <row r="1431">
          <cell r="A1431">
            <v>1548</v>
          </cell>
          <cell r="B1431" t="str">
            <v>ja</v>
          </cell>
          <cell r="C1431" t="str">
            <v>mauve02</v>
          </cell>
          <cell r="H1431" t="str">
            <v>green</v>
          </cell>
          <cell r="I1431">
            <v>5</v>
          </cell>
          <cell r="J1431" t="str">
            <v>Drop2N</v>
          </cell>
          <cell r="K1431" t="str">
            <v>hp</v>
          </cell>
          <cell r="L1431" t="str">
            <v>体力タイプ</v>
          </cell>
          <cell r="M1431" t="str">
            <v>animal</v>
          </cell>
        </row>
        <row r="1432">
          <cell r="A1432">
            <v>1549</v>
          </cell>
          <cell r="B1432" t="str">
            <v>ja</v>
          </cell>
          <cell r="C1432" t="str">
            <v>ochre01</v>
          </cell>
          <cell r="H1432" t="str">
            <v>green</v>
          </cell>
          <cell r="I1432">
            <v>5</v>
          </cell>
          <cell r="J1432" t="str">
            <v>DropWizS</v>
          </cell>
          <cell r="K1432" t="str">
            <v>balance</v>
          </cell>
          <cell r="L1432" t="str">
            <v>バランスタイプ</v>
          </cell>
          <cell r="M1432" t="str">
            <v>unknown</v>
          </cell>
        </row>
        <row r="1433">
          <cell r="A1433">
            <v>1550</v>
          </cell>
          <cell r="B1433" t="str">
            <v>ja</v>
          </cell>
          <cell r="C1433" t="str">
            <v>ochre02</v>
          </cell>
          <cell r="H1433" t="str">
            <v>green</v>
          </cell>
          <cell r="I1433">
            <v>6</v>
          </cell>
          <cell r="J1433" t="str">
            <v>DropWizS</v>
          </cell>
          <cell r="K1433" t="str">
            <v>balance</v>
          </cell>
          <cell r="L1433" t="str">
            <v>バランスタイプ</v>
          </cell>
          <cell r="M1433" t="str">
            <v>unknown</v>
          </cell>
        </row>
        <row r="1434">
          <cell r="A1434">
            <v>5001</v>
          </cell>
          <cell r="B1434" t="str">
            <v>ja</v>
          </cell>
          <cell r="C1434" t="str">
            <v>ガルーダ</v>
          </cell>
          <cell r="D1434" t="str">
            <v>ノーマルクエスト</v>
          </cell>
          <cell r="E1434" t="str">
            <v>QoH</v>
          </cell>
          <cell r="F1434" t="str">
            <v>世界観</v>
          </cell>
          <cell r="G1434" t="str">
            <v>不明</v>
          </cell>
          <cell r="H1434" t="str">
            <v>red</v>
          </cell>
          <cell r="I1434">
            <v>5</v>
          </cell>
          <cell r="J1434" t="str">
            <v>PremiumSSw</v>
          </cell>
          <cell r="K1434" t="str">
            <v>attack</v>
          </cell>
          <cell r="L1434" t="str">
            <v>攻撃タイプ</v>
          </cell>
          <cell r="M1434" t="str">
            <v>god</v>
          </cell>
        </row>
        <row r="1435">
          <cell r="A1435">
            <v>5002</v>
          </cell>
          <cell r="B1435" t="str">
            <v>ja</v>
          </cell>
          <cell r="C1435" t="str">
            <v>ガルーダ★６</v>
          </cell>
          <cell r="D1435" t="str">
            <v>ノーマルクエスト</v>
          </cell>
          <cell r="E1435" t="str">
            <v>アバター</v>
          </cell>
          <cell r="F1435" t="str">
            <v>世界観</v>
          </cell>
          <cell r="G1435" t="str">
            <v>男性</v>
          </cell>
          <cell r="H1435" t="str">
            <v>red</v>
          </cell>
          <cell r="I1435">
            <v>6</v>
          </cell>
          <cell r="J1435" t="str">
            <v>PremiumSSw</v>
          </cell>
          <cell r="K1435" t="str">
            <v>attack</v>
          </cell>
          <cell r="L1435" t="str">
            <v>攻撃タイプ</v>
          </cell>
          <cell r="M1435" t="str">
            <v>god</v>
          </cell>
        </row>
        <row r="1436">
          <cell r="A1436">
            <v>5003</v>
          </cell>
          <cell r="B1436" t="str">
            <v>ja</v>
          </cell>
          <cell r="C1436" t="str">
            <v>ナーガ</v>
          </cell>
          <cell r="D1436" t="str">
            <v>リンクガチャ:4神</v>
          </cell>
          <cell r="E1436" t="str">
            <v>守護神</v>
          </cell>
          <cell r="F1436" t="str">
            <v>格好いい</v>
          </cell>
          <cell r="G1436" t="str">
            <v>不明</v>
          </cell>
          <cell r="H1436" t="str">
            <v>green</v>
          </cell>
          <cell r="I1436">
            <v>5</v>
          </cell>
          <cell r="J1436" t="str">
            <v>DropWizS</v>
          </cell>
          <cell r="K1436" t="str">
            <v>technical</v>
          </cell>
          <cell r="L1436" t="str">
            <v>テクニカルタイプ</v>
          </cell>
          <cell r="M1436" t="str">
            <v>animal</v>
          </cell>
        </row>
        <row r="1437">
          <cell r="A1437">
            <v>5004</v>
          </cell>
          <cell r="B1437" t="str">
            <v>ja</v>
          </cell>
          <cell r="C1437" t="str">
            <v>ナーガ★６</v>
          </cell>
          <cell r="D1437" t="str">
            <v>ノーマルクエスト</v>
          </cell>
          <cell r="E1437" t="str">
            <v>アバター</v>
          </cell>
          <cell r="F1437" t="str">
            <v>世界観</v>
          </cell>
          <cell r="G1437" t="str">
            <v>不明</v>
          </cell>
          <cell r="H1437" t="str">
            <v>green</v>
          </cell>
          <cell r="I1437">
            <v>6</v>
          </cell>
          <cell r="J1437" t="str">
            <v>DropWizS</v>
          </cell>
          <cell r="K1437" t="str">
            <v>technical</v>
          </cell>
          <cell r="L1437" t="str">
            <v>テクニカルタイプ</v>
          </cell>
          <cell r="M1437" t="str">
            <v>animal</v>
          </cell>
        </row>
        <row r="1438">
          <cell r="A1438">
            <v>5005</v>
          </cell>
          <cell r="B1438" t="str">
            <v>ja</v>
          </cell>
          <cell r="C1438" t="str">
            <v>カーミラ</v>
          </cell>
          <cell r="D1438" t="str">
            <v>ノーマルクエスト</v>
          </cell>
          <cell r="E1438" t="str">
            <v>QoH</v>
          </cell>
          <cell r="F1438" t="str">
            <v>世界観</v>
          </cell>
          <cell r="G1438" t="str">
            <v>不明</v>
          </cell>
          <cell r="H1438" t="str">
            <v>green</v>
          </cell>
          <cell r="I1438">
            <v>5</v>
          </cell>
          <cell r="J1438" t="str">
            <v>PremiumSSw</v>
          </cell>
          <cell r="K1438" t="str">
            <v>balance</v>
          </cell>
          <cell r="L1438" t="str">
            <v>バランスタイプ</v>
          </cell>
          <cell r="M1438" t="str">
            <v>demon</v>
          </cell>
        </row>
        <row r="1439">
          <cell r="A1439">
            <v>5006</v>
          </cell>
          <cell r="B1439" t="str">
            <v>ja</v>
          </cell>
          <cell r="C1439" t="str">
            <v>カーミラ★６</v>
          </cell>
          <cell r="D1439" t="str">
            <v>ノーマルクエスト</v>
          </cell>
          <cell r="E1439" t="str">
            <v>アバター</v>
          </cell>
          <cell r="F1439" t="str">
            <v>世界観</v>
          </cell>
          <cell r="G1439" t="str">
            <v>男性</v>
          </cell>
          <cell r="H1439" t="str">
            <v>green</v>
          </cell>
          <cell r="I1439">
            <v>6</v>
          </cell>
          <cell r="J1439" t="str">
            <v>PremiumSSw</v>
          </cell>
          <cell r="K1439" t="str">
            <v>balance</v>
          </cell>
          <cell r="L1439" t="str">
            <v>バランスタイプ</v>
          </cell>
          <cell r="M1439" t="str">
            <v>demon</v>
          </cell>
        </row>
        <row r="1440">
          <cell r="A1440">
            <v>5007</v>
          </cell>
          <cell r="B1440" t="str">
            <v>ja</v>
          </cell>
          <cell r="C1440" t="str">
            <v>ヘルシング</v>
          </cell>
          <cell r="D1440" t="str">
            <v>リンクガチャ:4神</v>
          </cell>
          <cell r="E1440" t="str">
            <v>守護神</v>
          </cell>
          <cell r="F1440" t="str">
            <v>格好いい</v>
          </cell>
          <cell r="G1440" t="str">
            <v>不明</v>
          </cell>
          <cell r="H1440" t="str">
            <v>yellow</v>
          </cell>
          <cell r="I1440">
            <v>5</v>
          </cell>
          <cell r="J1440" t="str">
            <v>DropWizS</v>
          </cell>
          <cell r="K1440" t="str">
            <v>attack</v>
          </cell>
          <cell r="L1440" t="str">
            <v>攻撃タイプ</v>
          </cell>
          <cell r="M1440" t="str">
            <v>human</v>
          </cell>
        </row>
        <row r="1441">
          <cell r="A1441">
            <v>5008</v>
          </cell>
          <cell r="B1441" t="str">
            <v>ja</v>
          </cell>
          <cell r="C1441" t="str">
            <v>ヘルシング★６</v>
          </cell>
          <cell r="D1441" t="str">
            <v>ノーマルクエスト</v>
          </cell>
          <cell r="E1441" t="str">
            <v>アバター</v>
          </cell>
          <cell r="F1441" t="str">
            <v>世界観</v>
          </cell>
          <cell r="G1441" t="str">
            <v>不明</v>
          </cell>
          <cell r="H1441" t="str">
            <v>yellow</v>
          </cell>
          <cell r="I1441">
            <v>6</v>
          </cell>
          <cell r="J1441" t="str">
            <v>DropWizS</v>
          </cell>
          <cell r="K1441" t="str">
            <v>attack</v>
          </cell>
          <cell r="L1441" t="str">
            <v>攻撃タイプ</v>
          </cell>
          <cell r="M1441" t="str">
            <v>human</v>
          </cell>
        </row>
        <row r="1442">
          <cell r="A1442">
            <v>6001</v>
          </cell>
          <cell r="B1442" t="str">
            <v>ja</v>
          </cell>
          <cell r="C1442" t="str">
            <v>ジェリー</v>
          </cell>
          <cell r="D1442" t="str">
            <v>ノーマルクエスト</v>
          </cell>
          <cell r="E1442" t="str">
            <v>QoH</v>
          </cell>
          <cell r="F1442" t="str">
            <v>世界観</v>
          </cell>
          <cell r="G1442" t="str">
            <v>不明</v>
          </cell>
          <cell r="H1442" t="str">
            <v>red</v>
          </cell>
          <cell r="I1442">
            <v>1</v>
          </cell>
          <cell r="J1442" t="str">
            <v>Drop1T</v>
          </cell>
          <cell r="K1442" t="str">
            <v>ra</v>
          </cell>
          <cell r="L1442" t="str">
            <v>ラグランジュチャレンジ</v>
          </cell>
          <cell r="M1442" t="str">
            <v>unknown</v>
          </cell>
        </row>
        <row r="1443">
          <cell r="A1443">
            <v>6002</v>
          </cell>
          <cell r="B1443" t="str">
            <v>ja</v>
          </cell>
          <cell r="C1443" t="str">
            <v>ヨシタカ</v>
          </cell>
          <cell r="D1443" t="str">
            <v>ノーマルクエスト</v>
          </cell>
          <cell r="E1443" t="str">
            <v>アバター</v>
          </cell>
          <cell r="F1443" t="str">
            <v>世界観</v>
          </cell>
          <cell r="G1443" t="str">
            <v>男性</v>
          </cell>
          <cell r="H1443" t="str">
            <v>red</v>
          </cell>
          <cell r="I1443">
            <v>2</v>
          </cell>
          <cell r="J1443" t="str">
            <v>Drop1N</v>
          </cell>
          <cell r="K1443" t="str">
            <v>ra</v>
          </cell>
          <cell r="L1443" t="str">
            <v>ラグランジュチャレンジ</v>
          </cell>
          <cell r="M1443" t="str">
            <v>human</v>
          </cell>
        </row>
        <row r="1444">
          <cell r="A1444">
            <v>6003</v>
          </cell>
          <cell r="B1444" t="str">
            <v>ja</v>
          </cell>
          <cell r="C1444" t="str">
            <v>朱雀</v>
          </cell>
          <cell r="D1444" t="str">
            <v>リンクガチャ:4神</v>
          </cell>
          <cell r="E1444" t="str">
            <v>守護神</v>
          </cell>
          <cell r="F1444" t="str">
            <v>格好いい</v>
          </cell>
          <cell r="G1444" t="str">
            <v>不明</v>
          </cell>
          <cell r="H1444" t="str">
            <v>red</v>
          </cell>
          <cell r="I1444">
            <v>3</v>
          </cell>
          <cell r="J1444" t="str">
            <v>Drop2N</v>
          </cell>
          <cell r="K1444" t="str">
            <v>ra</v>
          </cell>
          <cell r="L1444" t="str">
            <v>ラグランジュチャレンジ</v>
          </cell>
          <cell r="M1444" t="str">
            <v>animal</v>
          </cell>
        </row>
        <row r="1445">
          <cell r="A1445">
            <v>6004</v>
          </cell>
          <cell r="B1445" t="str">
            <v>ja</v>
          </cell>
          <cell r="C1445" t="str">
            <v>ブレット</v>
          </cell>
          <cell r="D1445" t="str">
            <v>ノーマルクエスト</v>
          </cell>
          <cell r="E1445" t="str">
            <v>アバター</v>
          </cell>
          <cell r="F1445" t="str">
            <v>世界観</v>
          </cell>
          <cell r="G1445" t="str">
            <v>不明</v>
          </cell>
          <cell r="H1445" t="str">
            <v>red</v>
          </cell>
          <cell r="I1445">
            <v>1</v>
          </cell>
          <cell r="J1445" t="str">
            <v>Drop1W</v>
          </cell>
          <cell r="K1445" t="str">
            <v>ra</v>
          </cell>
          <cell r="L1445" t="str">
            <v>ラグランジュチャレンジ</v>
          </cell>
          <cell r="M1445" t="str">
            <v>animal</v>
          </cell>
        </row>
        <row r="1446">
          <cell r="A1446">
            <v>6005</v>
          </cell>
          <cell r="B1446" t="str">
            <v>ja</v>
          </cell>
          <cell r="C1446" t="str">
            <v>孤神 テティス</v>
          </cell>
          <cell r="D1446" t="str">
            <v>初期ガチャ</v>
          </cell>
          <cell r="E1446" t="str">
            <v>管理者</v>
          </cell>
          <cell r="F1446" t="str">
            <v>美しい</v>
          </cell>
          <cell r="G1446" t="str">
            <v>女性</v>
          </cell>
          <cell r="H1446" t="str">
            <v>blue</v>
          </cell>
          <cell r="I1446">
            <v>4</v>
          </cell>
          <cell r="J1446" t="str">
            <v>PremiumN</v>
          </cell>
          <cell r="K1446" t="str">
            <v>ra</v>
          </cell>
          <cell r="L1446" t="str">
            <v>ラグランジュチャレンジ</v>
          </cell>
          <cell r="M1446" t="str">
            <v>god</v>
          </cell>
        </row>
        <row r="1447">
          <cell r="A1447">
            <v>6006</v>
          </cell>
          <cell r="B1447" t="str">
            <v>ja</v>
          </cell>
          <cell r="C1447" t="str">
            <v>海底の孤高神 テティス</v>
          </cell>
          <cell r="D1447" t="str">
            <v>初期ガチャ</v>
          </cell>
          <cell r="E1447" t="str">
            <v>管理者</v>
          </cell>
          <cell r="F1447" t="str">
            <v>美しい</v>
          </cell>
          <cell r="G1447" t="str">
            <v>女性</v>
          </cell>
          <cell r="H1447" t="str">
            <v>blue</v>
          </cell>
          <cell r="I1447">
            <v>5</v>
          </cell>
          <cell r="J1447" t="str">
            <v>PremiumN</v>
          </cell>
          <cell r="K1447" t="str">
            <v>ra</v>
          </cell>
          <cell r="L1447" t="str">
            <v>ラグランジュチャレンジ</v>
          </cell>
          <cell r="M1447" t="str">
            <v>god</v>
          </cell>
        </row>
        <row r="1448">
          <cell r="A1448">
            <v>6007</v>
          </cell>
          <cell r="B1448" t="str">
            <v>ja</v>
          </cell>
          <cell r="C1448" t="str">
            <v>番犬 ケルベロス</v>
          </cell>
          <cell r="D1448" t="str">
            <v>初期ガチャ</v>
          </cell>
          <cell r="E1448" t="str">
            <v>破界者</v>
          </cell>
          <cell r="F1448" t="str">
            <v>可愛い</v>
          </cell>
          <cell r="G1448" t="str">
            <v>女性</v>
          </cell>
          <cell r="H1448" t="str">
            <v>red</v>
          </cell>
          <cell r="I1448">
            <v>4</v>
          </cell>
          <cell r="J1448" t="str">
            <v>PremiumN</v>
          </cell>
          <cell r="K1448" t="str">
            <v>ra</v>
          </cell>
          <cell r="L1448" t="str">
            <v>ラグランジュチャレンジ</v>
          </cell>
          <cell r="M1448" t="str">
            <v>animal</v>
          </cell>
        </row>
        <row r="1449">
          <cell r="A1449">
            <v>6008</v>
          </cell>
          <cell r="B1449" t="str">
            <v>ja</v>
          </cell>
          <cell r="C1449" t="str">
            <v>焔神 プロメテウス</v>
          </cell>
          <cell r="D1449" t="str">
            <v>初期ガチャ</v>
          </cell>
          <cell r="E1449" t="str">
            <v>管理者</v>
          </cell>
          <cell r="F1449" t="str">
            <v>格好いい</v>
          </cell>
          <cell r="G1449" t="str">
            <v>男性</v>
          </cell>
          <cell r="H1449" t="str">
            <v>red</v>
          </cell>
          <cell r="I1449">
            <v>4</v>
          </cell>
          <cell r="J1449" t="str">
            <v>PremiumN</v>
          </cell>
          <cell r="K1449" t="str">
            <v>ra</v>
          </cell>
          <cell r="L1449" t="str">
            <v>ラグランジュチャレンジ</v>
          </cell>
          <cell r="M1449" t="str">
            <v>god</v>
          </cell>
        </row>
        <row r="1450">
          <cell r="A1450">
            <v>6009</v>
          </cell>
          <cell r="B1450" t="str">
            <v>ja</v>
          </cell>
          <cell r="C1450" t="str">
            <v>超越自我 ラグランジュ</v>
          </cell>
          <cell r="D1450" t="str">
            <v>ガチャ:フィーバーフェス02</v>
          </cell>
          <cell r="E1450" t="str">
            <v>執行者</v>
          </cell>
          <cell r="F1450" t="str">
            <v>格好いい</v>
          </cell>
          <cell r="G1450" t="str">
            <v>女性</v>
          </cell>
          <cell r="H1450" t="str">
            <v>red</v>
          </cell>
          <cell r="I1450">
            <v>5</v>
          </cell>
          <cell r="J1450" t="str">
            <v>PremiumSSS</v>
          </cell>
          <cell r="K1450" t="str">
            <v>ra</v>
          </cell>
          <cell r="L1450" t="str">
            <v>ラグランジュチャレンジ</v>
          </cell>
          <cell r="M1450" t="str">
            <v>human</v>
          </cell>
        </row>
        <row r="1451">
          <cell r="A1451">
            <v>6010</v>
          </cell>
          <cell r="B1451" t="str">
            <v>ja</v>
          </cell>
          <cell r="C1451" t="str">
            <v>超越凌駕 ラグランジュ</v>
          </cell>
          <cell r="D1451" t="str">
            <v>ガチャ:フィーバーフェス02</v>
          </cell>
          <cell r="E1451" t="str">
            <v>執行者</v>
          </cell>
          <cell r="F1451" t="str">
            <v>格好いい</v>
          </cell>
          <cell r="G1451" t="str">
            <v>女性</v>
          </cell>
          <cell r="H1451" t="str">
            <v>red</v>
          </cell>
          <cell r="I1451">
            <v>6</v>
          </cell>
          <cell r="J1451" t="str">
            <v>PremiumSSS</v>
          </cell>
          <cell r="K1451" t="str">
            <v>ra</v>
          </cell>
          <cell r="L1451" t="str">
            <v>ラグランジュチャレンジ</v>
          </cell>
          <cell r="M1451" t="str">
            <v>human</v>
          </cell>
        </row>
        <row r="1452">
          <cell r="A1452">
            <v>6011</v>
          </cell>
          <cell r="B1452" t="str">
            <v>ja</v>
          </cell>
          <cell r="C1452" t="str">
            <v>パトドッグリーダー ポチ</v>
          </cell>
          <cell r="D1452" t="str">
            <v>ガチャ:フィーバーフェス02</v>
          </cell>
          <cell r="E1452" t="str">
            <v>執行者</v>
          </cell>
          <cell r="F1452" t="str">
            <v>格好いい</v>
          </cell>
          <cell r="G1452" t="str">
            <v>男性</v>
          </cell>
          <cell r="H1452" t="str">
            <v>blue</v>
          </cell>
          <cell r="I1452">
            <v>2</v>
          </cell>
          <cell r="J1452" t="str">
            <v>Drop1T</v>
          </cell>
          <cell r="K1452" t="str">
            <v>ra002</v>
          </cell>
          <cell r="L1452" t="str">
            <v>ユークリッドチャレンジ</v>
          </cell>
          <cell r="M1452" t="str">
            <v>unknown</v>
          </cell>
        </row>
        <row r="1453">
          <cell r="A1453">
            <v>6012</v>
          </cell>
          <cell r="B1453" t="str">
            <v>ja</v>
          </cell>
          <cell r="C1453" t="str">
            <v>ミミ</v>
          </cell>
          <cell r="D1453" t="str">
            <v>ガチャ:フィーバーフェス02</v>
          </cell>
          <cell r="E1453" t="str">
            <v>執行者</v>
          </cell>
          <cell r="F1453" t="str">
            <v>格好いい</v>
          </cell>
          <cell r="G1453" t="str">
            <v>男性</v>
          </cell>
          <cell r="H1453" t="str">
            <v>yellow</v>
          </cell>
          <cell r="I1453">
            <v>1</v>
          </cell>
          <cell r="J1453" t="str">
            <v>Drop1W</v>
          </cell>
          <cell r="K1453" t="str">
            <v>ra002</v>
          </cell>
          <cell r="L1453" t="str">
            <v>ユークリッドチャレンジ</v>
          </cell>
          <cell r="M1453" t="str">
            <v>animal</v>
          </cell>
        </row>
        <row r="1454">
          <cell r="A1454">
            <v>6013</v>
          </cell>
          <cell r="B1454" t="str">
            <v>ja</v>
          </cell>
          <cell r="C1454" t="str">
            <v>護衛機人 スケアクロウ</v>
          </cell>
          <cell r="D1454" t="str">
            <v>ガチャ:フィーバーフェス02</v>
          </cell>
          <cell r="E1454" t="str">
            <v>執行者</v>
          </cell>
          <cell r="F1454" t="str">
            <v>格好いい</v>
          </cell>
          <cell r="G1454" t="str">
            <v>男性</v>
          </cell>
          <cell r="H1454" t="str">
            <v>blue</v>
          </cell>
          <cell r="I1454">
            <v>2</v>
          </cell>
          <cell r="J1454" t="str">
            <v>Drop1N</v>
          </cell>
          <cell r="K1454" t="str">
            <v>ra002</v>
          </cell>
          <cell r="L1454" t="str">
            <v>ユークリッドチャレンジ</v>
          </cell>
          <cell r="M1454" t="str">
            <v>machine</v>
          </cell>
        </row>
        <row r="1455">
          <cell r="A1455">
            <v>6014</v>
          </cell>
          <cell r="B1455" t="str">
            <v>ja</v>
          </cell>
          <cell r="C1455" t="str">
            <v>月下の人狼 ローレンス</v>
          </cell>
          <cell r="D1455" t="str">
            <v>ガチャ:フィーバーフェス02</v>
          </cell>
          <cell r="E1455" t="str">
            <v>執行者</v>
          </cell>
          <cell r="F1455" t="str">
            <v>格好いい</v>
          </cell>
          <cell r="G1455" t="str">
            <v>男性</v>
          </cell>
          <cell r="H1455" t="str">
            <v>blue</v>
          </cell>
          <cell r="I1455">
            <v>4</v>
          </cell>
          <cell r="J1455" t="str">
            <v>PremiumW</v>
          </cell>
          <cell r="K1455" t="str">
            <v>ra002</v>
          </cell>
          <cell r="L1455" t="str">
            <v>ユークリッドチャレンジ</v>
          </cell>
          <cell r="M1455" t="str">
            <v>animal</v>
          </cell>
        </row>
        <row r="1456">
          <cell r="A1456">
            <v>6015</v>
          </cell>
          <cell r="B1456" t="str">
            <v>ja</v>
          </cell>
          <cell r="C1456" t="str">
            <v>フレイヤ</v>
          </cell>
          <cell r="D1456" t="str">
            <v>ガチャ:フィーバーフェス02</v>
          </cell>
          <cell r="E1456" t="str">
            <v>執行者</v>
          </cell>
          <cell r="F1456" t="str">
            <v>格好いい</v>
          </cell>
          <cell r="G1456" t="str">
            <v>男性</v>
          </cell>
          <cell r="H1456" t="str">
            <v>blue</v>
          </cell>
          <cell r="I1456">
            <v>4</v>
          </cell>
          <cell r="J1456" t="str">
            <v>PremiumSS</v>
          </cell>
          <cell r="K1456" t="str">
            <v>ra002</v>
          </cell>
          <cell r="L1456" t="str">
            <v>ユークリッドチャレンジ</v>
          </cell>
          <cell r="M1456" t="str">
            <v>animal</v>
          </cell>
        </row>
        <row r="1457">
          <cell r="A1457">
            <v>6016</v>
          </cell>
          <cell r="B1457" t="str">
            <v>ja</v>
          </cell>
          <cell r="C1457" t="str">
            <v>根原論理 ユークリッド</v>
          </cell>
          <cell r="D1457" t="str">
            <v>ガチャ:フィーバーフェス02</v>
          </cell>
          <cell r="E1457" t="str">
            <v>執行者</v>
          </cell>
          <cell r="F1457" t="str">
            <v>格好いい</v>
          </cell>
          <cell r="G1457" t="str">
            <v>男性</v>
          </cell>
          <cell r="H1457" t="str">
            <v>blue</v>
          </cell>
          <cell r="I1457">
            <v>5</v>
          </cell>
          <cell r="J1457" t="str">
            <v>PremiumSSS</v>
          </cell>
          <cell r="K1457" t="str">
            <v>ra002</v>
          </cell>
          <cell r="L1457" t="str">
            <v>ユークリッドチャレンジ</v>
          </cell>
          <cell r="M1457" t="str">
            <v>human</v>
          </cell>
        </row>
        <row r="1458">
          <cell r="A1458">
            <v>6017</v>
          </cell>
          <cell r="B1458" t="str">
            <v>ja</v>
          </cell>
          <cell r="C1458" t="str">
            <v>不朽の極論 ユークリッド</v>
          </cell>
          <cell r="D1458" t="str">
            <v>ガチャ:フィーバーフェス02</v>
          </cell>
          <cell r="E1458" t="str">
            <v>執行者</v>
          </cell>
          <cell r="F1458" t="str">
            <v>格好いい</v>
          </cell>
          <cell r="G1458" t="str">
            <v>男性</v>
          </cell>
          <cell r="H1458" t="str">
            <v>blue</v>
          </cell>
          <cell r="I1458">
            <v>6</v>
          </cell>
          <cell r="J1458" t="str">
            <v>PremiumSSS</v>
          </cell>
          <cell r="K1458" t="str">
            <v>ra002</v>
          </cell>
          <cell r="L1458" t="str">
            <v>ユークリッドチャレンジ</v>
          </cell>
          <cell r="M1458" t="str">
            <v>human</v>
          </cell>
        </row>
        <row r="1459">
          <cell r="A1459">
            <v>6018</v>
          </cell>
          <cell r="B1459" t="str">
            <v>ja</v>
          </cell>
          <cell r="C1459" t="str">
            <v>ハヅル</v>
          </cell>
          <cell r="D1459" t="str">
            <v>ガチャ:フィーバーフェス02</v>
          </cell>
          <cell r="E1459" t="str">
            <v>執行者</v>
          </cell>
          <cell r="F1459" t="str">
            <v>格好いい</v>
          </cell>
          <cell r="G1459" t="str">
            <v>男性</v>
          </cell>
          <cell r="H1459" t="str">
            <v>red</v>
          </cell>
          <cell r="I1459">
            <v>4</v>
          </cell>
          <cell r="J1459" t="str">
            <v>PremiumSS</v>
          </cell>
          <cell r="K1459" t="str">
            <v>ra002</v>
          </cell>
          <cell r="L1459" t="str">
            <v>ユークリッドチャレンジ</v>
          </cell>
          <cell r="M1459" t="str">
            <v>animal</v>
          </cell>
        </row>
        <row r="1460">
          <cell r="A1460">
            <v>6019</v>
          </cell>
          <cell r="B1460" t="str">
            <v>ja</v>
          </cell>
          <cell r="C1460" t="str">
            <v>天織羽鶴 ハヅル</v>
          </cell>
          <cell r="D1460" t="str">
            <v>ガチャ:フィーバーフェス02</v>
          </cell>
          <cell r="E1460" t="str">
            <v>執行者</v>
          </cell>
          <cell r="F1460" t="str">
            <v>格好いい</v>
          </cell>
          <cell r="G1460" t="str">
            <v>男性</v>
          </cell>
          <cell r="H1460" t="str">
            <v>red</v>
          </cell>
          <cell r="I1460">
            <v>5</v>
          </cell>
          <cell r="J1460" t="str">
            <v>PremiumSS</v>
          </cell>
          <cell r="K1460" t="str">
            <v>ra002</v>
          </cell>
          <cell r="L1460" t="str">
            <v>ユークリッドチャレンジ</v>
          </cell>
          <cell r="M1460" t="str">
            <v>animal</v>
          </cell>
        </row>
        <row r="1461">
          <cell r="A1461">
            <v>6020</v>
          </cell>
          <cell r="B1461" t="str">
            <v>ja</v>
          </cell>
          <cell r="C1461" t="str">
            <v>ミズチ</v>
          </cell>
          <cell r="D1461" t="str">
            <v>ガチャ:フィーバーフェス02</v>
          </cell>
          <cell r="E1461" t="str">
            <v>執行者</v>
          </cell>
          <cell r="F1461" t="str">
            <v>格好いい</v>
          </cell>
          <cell r="G1461" t="str">
            <v>男性</v>
          </cell>
          <cell r="H1461" t="str">
            <v>blue</v>
          </cell>
          <cell r="I1461">
            <v>4</v>
          </cell>
          <cell r="J1461" t="str">
            <v>PremiumS</v>
          </cell>
          <cell r="K1461" t="str">
            <v>ra002</v>
          </cell>
          <cell r="L1461" t="str">
            <v>ユークリッドチャレンジ</v>
          </cell>
          <cell r="M1461" t="str">
            <v>dragon</v>
          </cell>
        </row>
        <row r="1462">
          <cell r="A1462">
            <v>8001</v>
          </cell>
          <cell r="B1462" t="str">
            <v>ja</v>
          </cell>
          <cell r="C1462" t="str">
            <v>媽祖</v>
          </cell>
          <cell r="D1462" t="str">
            <v>イベント:ミクコラボ01</v>
          </cell>
          <cell r="E1462" t="str">
            <v>執行者</v>
          </cell>
          <cell r="F1462" t="str">
            <v>格好いい</v>
          </cell>
          <cell r="G1462" t="str">
            <v>女性</v>
          </cell>
          <cell r="H1462" t="str">
            <v>yellow</v>
          </cell>
          <cell r="I1462">
            <v>5</v>
          </cell>
          <cell r="J1462" t="str">
            <v>PremiumSS</v>
          </cell>
          <cell r="K1462" t="str">
            <v>attack</v>
          </cell>
          <cell r="L1462" t="str">
            <v>攻撃タイプ</v>
          </cell>
          <cell r="M1462" t="str">
            <v>god</v>
          </cell>
        </row>
        <row r="1463">
          <cell r="A1463">
            <v>8002</v>
          </cell>
          <cell r="B1463" t="str">
            <v>ja</v>
          </cell>
          <cell r="C1463" t="str">
            <v>宣導する天海妃 媽祖</v>
          </cell>
          <cell r="D1463" t="str">
            <v>イベント:ミクコラボ01</v>
          </cell>
          <cell r="E1463" t="str">
            <v>執行者</v>
          </cell>
          <cell r="F1463" t="str">
            <v>格好いい</v>
          </cell>
          <cell r="G1463" t="str">
            <v>女性</v>
          </cell>
          <cell r="H1463" t="str">
            <v>yellow</v>
          </cell>
          <cell r="I1463">
            <v>6</v>
          </cell>
          <cell r="J1463" t="str">
            <v>PremiumSS</v>
          </cell>
          <cell r="K1463" t="str">
            <v>attack</v>
          </cell>
          <cell r="L1463" t="str">
            <v>攻撃タイプ</v>
          </cell>
          <cell r="M1463" t="str">
            <v>god</v>
          </cell>
        </row>
        <row r="1464">
          <cell r="A1464">
            <v>8003</v>
          </cell>
          <cell r="B1464" t="str">
            <v>ja</v>
          </cell>
          <cell r="C1464" t="str">
            <v>蛟龍</v>
          </cell>
          <cell r="D1464" t="str">
            <v>イベント:ミクコラボ01</v>
          </cell>
          <cell r="E1464" t="str">
            <v>執行者</v>
          </cell>
          <cell r="F1464" t="str">
            <v>格好いい</v>
          </cell>
          <cell r="G1464" t="str">
            <v>不明</v>
          </cell>
          <cell r="H1464" t="str">
            <v>blue</v>
          </cell>
          <cell r="I1464">
            <v>5</v>
          </cell>
          <cell r="J1464" t="str">
            <v>DropWizS</v>
          </cell>
          <cell r="K1464" t="str">
            <v>hp</v>
          </cell>
          <cell r="L1464" t="str">
            <v>体力タイプ</v>
          </cell>
          <cell r="M1464" t="str">
            <v>dragon</v>
          </cell>
        </row>
        <row r="1465">
          <cell r="A1465">
            <v>8004</v>
          </cell>
          <cell r="B1465" t="str">
            <v>ja</v>
          </cell>
          <cell r="C1465" t="str">
            <v>呼嵐の蒼棲龍 蛟龍</v>
          </cell>
          <cell r="D1465" t="str">
            <v>イベント:ミクコラボ01</v>
          </cell>
          <cell r="E1465" t="str">
            <v>執行者</v>
          </cell>
          <cell r="F1465" t="str">
            <v>格好いい</v>
          </cell>
          <cell r="G1465" t="str">
            <v>不明</v>
          </cell>
          <cell r="H1465" t="str">
            <v>blue</v>
          </cell>
          <cell r="I1465">
            <v>6</v>
          </cell>
          <cell r="J1465" t="str">
            <v>DropWizS</v>
          </cell>
          <cell r="K1465" t="str">
            <v>hp</v>
          </cell>
          <cell r="L1465" t="str">
            <v>体力タイプ</v>
          </cell>
          <cell r="M1465" t="str">
            <v>dragon</v>
          </cell>
        </row>
        <row r="1466">
          <cell r="A1466">
            <v>8005</v>
          </cell>
          <cell r="B1466" t="str">
            <v>ja</v>
          </cell>
          <cell r="C1466" t="str">
            <v>三蔵法師</v>
          </cell>
          <cell r="D1466" t="str">
            <v>イベント:ミクコラボ01</v>
          </cell>
          <cell r="E1466" t="str">
            <v>執行者</v>
          </cell>
          <cell r="F1466" t="str">
            <v>格好いい</v>
          </cell>
          <cell r="G1466" t="str">
            <v>不明</v>
          </cell>
          <cell r="H1466" t="str">
            <v>blue</v>
          </cell>
          <cell r="I1466">
            <v>5</v>
          </cell>
          <cell r="J1466" t="str">
            <v>PremiumSS</v>
          </cell>
          <cell r="K1466" t="str">
            <v>balance</v>
          </cell>
          <cell r="L1466" t="str">
            <v>バランスタイプ</v>
          </cell>
          <cell r="M1466" t="str">
            <v>human</v>
          </cell>
        </row>
        <row r="1467">
          <cell r="A1467">
            <v>8006</v>
          </cell>
          <cell r="B1467" t="str">
            <v>ja</v>
          </cell>
          <cell r="C1467" t="str">
            <v>慈戒の呪封使 三蔵法師</v>
          </cell>
          <cell r="D1467" t="str">
            <v>イベント:ミクコラボ01</v>
          </cell>
          <cell r="E1467" t="str">
            <v>執行者</v>
          </cell>
          <cell r="F1467" t="str">
            <v>格好いい</v>
          </cell>
          <cell r="G1467" t="str">
            <v>不明</v>
          </cell>
          <cell r="H1467" t="str">
            <v>blue</v>
          </cell>
          <cell r="I1467">
            <v>6</v>
          </cell>
          <cell r="J1467" t="str">
            <v>PremiumSS</v>
          </cell>
          <cell r="K1467" t="str">
            <v>balance</v>
          </cell>
          <cell r="L1467" t="str">
            <v>バランスタイプ</v>
          </cell>
          <cell r="M1467" t="str">
            <v>human</v>
          </cell>
        </row>
        <row r="1468">
          <cell r="A1468">
            <v>8007</v>
          </cell>
          <cell r="B1468" t="str">
            <v>ja</v>
          </cell>
          <cell r="C1468" t="str">
            <v>孫悟空</v>
          </cell>
          <cell r="D1468" t="str">
            <v>イベント:ミクコラボ01</v>
          </cell>
          <cell r="E1468" t="str">
            <v>執行者</v>
          </cell>
          <cell r="F1468" t="str">
            <v>格好いい</v>
          </cell>
          <cell r="G1468" t="str">
            <v>不明</v>
          </cell>
          <cell r="H1468" t="str">
            <v>red</v>
          </cell>
          <cell r="I1468">
            <v>5</v>
          </cell>
          <cell r="J1468" t="str">
            <v>DropWizS</v>
          </cell>
          <cell r="K1468" t="str">
            <v>attack</v>
          </cell>
          <cell r="L1468" t="str">
            <v>攻撃タイプ</v>
          </cell>
          <cell r="M1468" t="str">
            <v>animal</v>
          </cell>
        </row>
        <row r="1469">
          <cell r="A1469">
            <v>8008</v>
          </cell>
          <cell r="B1469" t="str">
            <v>ja</v>
          </cell>
          <cell r="C1469" t="str">
            <v>花果の天猿仙人 孫悟空</v>
          </cell>
          <cell r="D1469" t="str">
            <v>イベント:ミクコラボ01</v>
          </cell>
          <cell r="E1469" t="str">
            <v>執行者</v>
          </cell>
          <cell r="F1469" t="str">
            <v>格好いい</v>
          </cell>
          <cell r="G1469" t="str">
            <v>不明</v>
          </cell>
          <cell r="H1469" t="str">
            <v>red</v>
          </cell>
          <cell r="I1469">
            <v>6</v>
          </cell>
          <cell r="J1469" t="str">
            <v>DropWizS</v>
          </cell>
          <cell r="K1469" t="str">
            <v>attack</v>
          </cell>
          <cell r="L1469" t="str">
            <v>攻撃タイプ</v>
          </cell>
          <cell r="M1469" t="str">
            <v>animal</v>
          </cell>
        </row>
        <row r="1470">
          <cell r="A1470">
            <v>8009</v>
          </cell>
          <cell r="B1470" t="str">
            <v>ja</v>
          </cell>
          <cell r="C1470" t="str">
            <v>西王娘娘</v>
          </cell>
          <cell r="D1470" t="str">
            <v>イベント:ミクコラボ01</v>
          </cell>
          <cell r="E1470" t="str">
            <v>執行者</v>
          </cell>
          <cell r="F1470" t="str">
            <v>格好いい</v>
          </cell>
          <cell r="G1470" t="str">
            <v>不明</v>
          </cell>
          <cell r="H1470" t="str">
            <v>green</v>
          </cell>
          <cell r="I1470">
            <v>5</v>
          </cell>
          <cell r="J1470" t="str">
            <v>PremiumSS</v>
          </cell>
          <cell r="K1470" t="str">
            <v>attack</v>
          </cell>
          <cell r="L1470" t="str">
            <v>攻撃タイプ</v>
          </cell>
          <cell r="M1470" t="str">
            <v>god</v>
          </cell>
        </row>
        <row r="1471">
          <cell r="A1471">
            <v>8010</v>
          </cell>
          <cell r="B1471" t="str">
            <v>ja</v>
          </cell>
          <cell r="C1471" t="str">
            <v>極楽瑶池の聖母 西王娘娘</v>
          </cell>
          <cell r="D1471" t="str">
            <v>イベント:ミクコラボ01</v>
          </cell>
          <cell r="E1471" t="str">
            <v>執行者</v>
          </cell>
          <cell r="F1471" t="str">
            <v>格好いい</v>
          </cell>
          <cell r="G1471" t="str">
            <v>不明</v>
          </cell>
          <cell r="H1471" t="str">
            <v>green</v>
          </cell>
          <cell r="I1471">
            <v>6</v>
          </cell>
          <cell r="J1471" t="str">
            <v>PremiumSS</v>
          </cell>
          <cell r="K1471" t="str">
            <v>attack</v>
          </cell>
          <cell r="L1471" t="str">
            <v>攻撃タイプ</v>
          </cell>
          <cell r="M1471" t="str">
            <v>god</v>
          </cell>
        </row>
        <row r="1472">
          <cell r="A1472">
            <v>8011</v>
          </cell>
          <cell r="B1472" t="str">
            <v>ja</v>
          </cell>
          <cell r="C1472" t="str">
            <v>月下老人</v>
          </cell>
          <cell r="D1472" t="str">
            <v>イベント:ミクコラボ01</v>
          </cell>
          <cell r="E1472" t="str">
            <v>執行者</v>
          </cell>
          <cell r="F1472" t="str">
            <v>格好いい</v>
          </cell>
          <cell r="G1472" t="str">
            <v>女性</v>
          </cell>
          <cell r="H1472" t="str">
            <v>yellow</v>
          </cell>
          <cell r="I1472">
            <v>5</v>
          </cell>
          <cell r="J1472" t="str">
            <v>DropWizS</v>
          </cell>
          <cell r="K1472" t="str">
            <v>balance</v>
          </cell>
          <cell r="L1472" t="str">
            <v>バランスタイプ</v>
          </cell>
          <cell r="M1472" t="str">
            <v>god</v>
          </cell>
        </row>
        <row r="1473">
          <cell r="A1473">
            <v>8012</v>
          </cell>
          <cell r="B1473" t="str">
            <v>ja</v>
          </cell>
          <cell r="C1473" t="str">
            <v>破戀斬る縁剣 月下老人</v>
          </cell>
          <cell r="D1473" t="str">
            <v>イベント:ミクコラボ01</v>
          </cell>
          <cell r="E1473" t="str">
            <v>執行者</v>
          </cell>
          <cell r="F1473" t="str">
            <v>格好いい</v>
          </cell>
          <cell r="G1473" t="str">
            <v>女性</v>
          </cell>
          <cell r="H1473" t="str">
            <v>yellow</v>
          </cell>
          <cell r="I1473">
            <v>6</v>
          </cell>
          <cell r="J1473" t="str">
            <v>DropWizS</v>
          </cell>
          <cell r="K1473" t="str">
            <v>balance</v>
          </cell>
          <cell r="L1473" t="str">
            <v>バランスタイプ</v>
          </cell>
          <cell r="M1473" t="str">
            <v>god</v>
          </cell>
        </row>
        <row r="1474">
          <cell r="A1474">
            <v>8013</v>
          </cell>
          <cell r="B1474" t="str">
            <v>ja</v>
          </cell>
          <cell r="C1474" t="str">
            <v>初音ミクV3</v>
          </cell>
          <cell r="D1474" t="str">
            <v>初音ミクV3</v>
          </cell>
          <cell r="E1474" t="str">
            <v>執行者</v>
          </cell>
          <cell r="F1474" t="str">
            <v>格好いい</v>
          </cell>
          <cell r="G1474" t="str">
            <v>女性</v>
          </cell>
          <cell r="H1474" t="str">
            <v>yellow</v>
          </cell>
          <cell r="I1474">
            <v>4</v>
          </cell>
          <cell r="J1474" t="str">
            <v>DropWizS</v>
          </cell>
          <cell r="K1474" t="str">
            <v>balance</v>
          </cell>
          <cell r="L1474" t="str">
            <v>バランスタイプ</v>
          </cell>
          <cell r="M1474" t="str">
            <v>unknown</v>
          </cell>
        </row>
        <row r="1475">
          <cell r="A1475">
            <v>8014</v>
          </cell>
          <cell r="B1475" t="str">
            <v>ja</v>
          </cell>
          <cell r="C1475" t="str">
            <v>初音ミクV3</v>
          </cell>
          <cell r="D1475" t="str">
            <v>初音ミクV3</v>
          </cell>
          <cell r="E1475" t="str">
            <v>執行者</v>
          </cell>
          <cell r="F1475" t="str">
            <v>格好いい</v>
          </cell>
          <cell r="G1475" t="str">
            <v>女性</v>
          </cell>
          <cell r="H1475" t="str">
            <v>yellow</v>
          </cell>
          <cell r="I1475">
            <v>5</v>
          </cell>
          <cell r="J1475" t="str">
            <v>DropWizS</v>
          </cell>
          <cell r="K1475" t="str">
            <v>balance</v>
          </cell>
          <cell r="L1475" t="str">
            <v>バランスタイプ</v>
          </cell>
          <cell r="M1475" t="str">
            <v>unknown</v>
          </cell>
        </row>
        <row r="1476">
          <cell r="A1476">
            <v>8015</v>
          </cell>
          <cell r="B1476" t="str">
            <v>ja</v>
          </cell>
          <cell r="C1476" t="str">
            <v>初音ミク・アペンド</v>
          </cell>
          <cell r="D1476" t="str">
            <v>初音ミク・アペンド</v>
          </cell>
          <cell r="E1476" t="str">
            <v>執行者</v>
          </cell>
          <cell r="F1476" t="str">
            <v>格好いい</v>
          </cell>
          <cell r="G1476" t="str">
            <v>女性</v>
          </cell>
          <cell r="H1476" t="str">
            <v>green</v>
          </cell>
          <cell r="I1476">
            <v>4</v>
          </cell>
          <cell r="J1476" t="str">
            <v>PremiumSSS</v>
          </cell>
          <cell r="K1476" t="str">
            <v>technical</v>
          </cell>
          <cell r="L1476" t="str">
            <v>テクニカルタイプ</v>
          </cell>
          <cell r="M1476" t="str">
            <v>unknown</v>
          </cell>
        </row>
        <row r="1477">
          <cell r="A1477">
            <v>8016</v>
          </cell>
          <cell r="B1477" t="str">
            <v>ja</v>
          </cell>
          <cell r="C1477" t="str">
            <v>初音ミク・アペンド</v>
          </cell>
          <cell r="D1477" t="str">
            <v>初音ミク・アペンド</v>
          </cell>
          <cell r="E1477" t="str">
            <v>執行者</v>
          </cell>
          <cell r="F1477" t="str">
            <v>格好いい</v>
          </cell>
          <cell r="G1477" t="str">
            <v>女性</v>
          </cell>
          <cell r="H1477" t="str">
            <v>green</v>
          </cell>
          <cell r="I1477">
            <v>5</v>
          </cell>
          <cell r="J1477" t="str">
            <v>PremiumSSS</v>
          </cell>
          <cell r="K1477" t="str">
            <v>technical</v>
          </cell>
          <cell r="L1477" t="str">
            <v>テクニカルタイプ</v>
          </cell>
          <cell r="M1477" t="str">
            <v>unknown</v>
          </cell>
        </row>
        <row r="1478">
          <cell r="A1478">
            <v>8017</v>
          </cell>
          <cell r="B1478" t="str">
            <v>ja</v>
          </cell>
          <cell r="C1478" t="str">
            <v>初音ミク</v>
          </cell>
          <cell r="D1478" t="str">
            <v>初音ミク</v>
          </cell>
          <cell r="E1478" t="str">
            <v>執行者</v>
          </cell>
          <cell r="F1478" t="str">
            <v>格好いい</v>
          </cell>
          <cell r="G1478" t="str">
            <v>女性</v>
          </cell>
          <cell r="H1478" t="str">
            <v>green</v>
          </cell>
          <cell r="I1478">
            <v>4</v>
          </cell>
          <cell r="J1478" t="str">
            <v>PremiumSSS</v>
          </cell>
          <cell r="K1478" t="str">
            <v>balance</v>
          </cell>
          <cell r="L1478" t="str">
            <v>バランスタイプ</v>
          </cell>
          <cell r="M1478" t="str">
            <v>unknown</v>
          </cell>
        </row>
        <row r="1479">
          <cell r="A1479">
            <v>8018</v>
          </cell>
          <cell r="B1479" t="str">
            <v>ja</v>
          </cell>
          <cell r="C1479" t="str">
            <v>初音ミク</v>
          </cell>
          <cell r="D1479" t="str">
            <v>初音ミク</v>
          </cell>
          <cell r="E1479" t="str">
            <v>執行者</v>
          </cell>
          <cell r="F1479" t="str">
            <v>格好いい</v>
          </cell>
          <cell r="G1479" t="str">
            <v>女性</v>
          </cell>
          <cell r="H1479" t="str">
            <v>green</v>
          </cell>
          <cell r="I1479">
            <v>5</v>
          </cell>
          <cell r="J1479" t="str">
            <v>PremiumSSS</v>
          </cell>
          <cell r="K1479" t="str">
            <v>balance</v>
          </cell>
          <cell r="L1479" t="str">
            <v>バランスタイプ</v>
          </cell>
          <cell r="M1479" t="str">
            <v>unknown</v>
          </cell>
        </row>
        <row r="1480">
          <cell r="A1480">
            <v>8019</v>
          </cell>
          <cell r="B1480" t="str">
            <v>ja</v>
          </cell>
          <cell r="C1480" t="str">
            <v>鏡音リン</v>
          </cell>
          <cell r="D1480" t="str">
            <v>鏡音リン</v>
          </cell>
          <cell r="E1480" t="str">
            <v>執行者</v>
          </cell>
          <cell r="F1480" t="str">
            <v>格好いい</v>
          </cell>
          <cell r="G1480" t="str">
            <v>男性</v>
          </cell>
          <cell r="H1480" t="str">
            <v>yellow</v>
          </cell>
          <cell r="I1480">
            <v>4</v>
          </cell>
          <cell r="J1480" t="str">
            <v>PremiumSS</v>
          </cell>
          <cell r="K1480" t="str">
            <v>balance</v>
          </cell>
          <cell r="L1480" t="str">
            <v>バランスタイプ</v>
          </cell>
          <cell r="M1480" t="str">
            <v>unknown</v>
          </cell>
        </row>
        <row r="1481">
          <cell r="A1481">
            <v>8020</v>
          </cell>
          <cell r="B1481" t="str">
            <v>ja</v>
          </cell>
          <cell r="C1481" t="str">
            <v>鏡音リン</v>
          </cell>
          <cell r="D1481" t="str">
            <v>鏡音リン</v>
          </cell>
          <cell r="E1481" t="str">
            <v>執行者</v>
          </cell>
          <cell r="F1481" t="str">
            <v>格好いい</v>
          </cell>
          <cell r="G1481" t="str">
            <v>男性</v>
          </cell>
          <cell r="H1481" t="str">
            <v>yellow</v>
          </cell>
          <cell r="I1481">
            <v>5</v>
          </cell>
          <cell r="J1481" t="str">
            <v>PremiumSS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</row>
        <row r="1482">
          <cell r="A1482">
            <v>8021</v>
          </cell>
          <cell r="B1482" t="str">
            <v>ja</v>
          </cell>
          <cell r="C1482" t="str">
            <v>鏡音レン</v>
          </cell>
          <cell r="D1482" t="str">
            <v>鏡音レン</v>
          </cell>
          <cell r="E1482" t="str">
            <v>執行者</v>
          </cell>
          <cell r="F1482" t="str">
            <v>格好いい</v>
          </cell>
          <cell r="G1482" t="str">
            <v>女性</v>
          </cell>
          <cell r="H1482" t="str">
            <v>yellow</v>
          </cell>
          <cell r="I1482">
            <v>4</v>
          </cell>
          <cell r="J1482" t="str">
            <v>PremiumSS</v>
          </cell>
          <cell r="K1482" t="str">
            <v>heal</v>
          </cell>
          <cell r="L1482" t="str">
            <v>回復タイプ</v>
          </cell>
          <cell r="M1482" t="str">
            <v>unknown</v>
          </cell>
        </row>
        <row r="1483">
          <cell r="A1483">
            <v>8022</v>
          </cell>
          <cell r="B1483" t="str">
            <v>ja</v>
          </cell>
          <cell r="C1483" t="str">
            <v>鏡音レン</v>
          </cell>
          <cell r="D1483" t="str">
            <v>鏡音レン</v>
          </cell>
          <cell r="E1483" t="str">
            <v>執行者</v>
          </cell>
          <cell r="F1483" t="str">
            <v>格好いい</v>
          </cell>
          <cell r="G1483" t="str">
            <v>女性</v>
          </cell>
          <cell r="H1483" t="str">
            <v>yellow</v>
          </cell>
          <cell r="I1483">
            <v>5</v>
          </cell>
          <cell r="J1483" t="str">
            <v>PremiumSS</v>
          </cell>
          <cell r="K1483" t="str">
            <v>heal</v>
          </cell>
          <cell r="L1483" t="str">
            <v>回復タイプ</v>
          </cell>
          <cell r="M1483" t="str">
            <v>unknown</v>
          </cell>
        </row>
        <row r="1484">
          <cell r="A1484">
            <v>8023</v>
          </cell>
          <cell r="B1484" t="str">
            <v>ja</v>
          </cell>
          <cell r="C1484" t="str">
            <v>巡音ルカ</v>
          </cell>
          <cell r="D1484" t="str">
            <v>巡音ルカ</v>
          </cell>
          <cell r="E1484" t="str">
            <v>執行者</v>
          </cell>
          <cell r="F1484" t="str">
            <v>格好いい</v>
          </cell>
          <cell r="G1484" t="str">
            <v>女性</v>
          </cell>
          <cell r="H1484" t="str">
            <v>red</v>
          </cell>
          <cell r="I1484">
            <v>3</v>
          </cell>
          <cell r="J1484" t="str">
            <v>PremiumS</v>
          </cell>
          <cell r="K1484" t="str">
            <v>attack</v>
          </cell>
          <cell r="L1484" t="str">
            <v>攻撃タイプ</v>
          </cell>
          <cell r="M1484" t="str">
            <v>unknown</v>
          </cell>
        </row>
        <row r="1485">
          <cell r="A1485">
            <v>8024</v>
          </cell>
          <cell r="B1485" t="str">
            <v>ja</v>
          </cell>
          <cell r="C1485" t="str">
            <v>巡音ルカ</v>
          </cell>
          <cell r="D1485" t="str">
            <v>巡音ルカ</v>
          </cell>
          <cell r="E1485" t="str">
            <v>執行者</v>
          </cell>
          <cell r="F1485" t="str">
            <v>格好いい</v>
          </cell>
          <cell r="G1485" t="str">
            <v>女性</v>
          </cell>
          <cell r="H1485" t="str">
            <v>red</v>
          </cell>
          <cell r="I1485">
            <v>4</v>
          </cell>
          <cell r="J1485" t="str">
            <v>PremiumS</v>
          </cell>
          <cell r="K1485" t="str">
            <v>attack</v>
          </cell>
          <cell r="L1485" t="str">
            <v>攻撃タイプ</v>
          </cell>
          <cell r="M1485" t="str">
            <v>unknown</v>
          </cell>
        </row>
        <row r="1486">
          <cell r="A1486">
            <v>8025</v>
          </cell>
          <cell r="B1486" t="str">
            <v>ja</v>
          </cell>
          <cell r="C1486" t="str">
            <v>MEIKO</v>
          </cell>
          <cell r="D1486" t="str">
            <v>MEIKO</v>
          </cell>
          <cell r="E1486" t="str">
            <v>執行者</v>
          </cell>
          <cell r="F1486" t="str">
            <v>格好いい</v>
          </cell>
          <cell r="G1486" t="str">
            <v>男性</v>
          </cell>
          <cell r="H1486" t="str">
            <v>red</v>
          </cell>
          <cell r="I1486">
            <v>3</v>
          </cell>
          <cell r="J1486" t="str">
            <v>PremiumS</v>
          </cell>
          <cell r="K1486" t="str">
            <v>hp</v>
          </cell>
          <cell r="L1486" t="str">
            <v>体力タイプ</v>
          </cell>
          <cell r="M1486" t="str">
            <v>unknown</v>
          </cell>
        </row>
        <row r="1487">
          <cell r="A1487">
            <v>8026</v>
          </cell>
          <cell r="B1487" t="str">
            <v>ja</v>
          </cell>
          <cell r="C1487" t="str">
            <v>MEIKO</v>
          </cell>
          <cell r="D1487" t="str">
            <v>MEIKO</v>
          </cell>
          <cell r="E1487" t="str">
            <v>執行者</v>
          </cell>
          <cell r="F1487" t="str">
            <v>格好いい</v>
          </cell>
          <cell r="G1487" t="str">
            <v>男性</v>
          </cell>
          <cell r="H1487" t="str">
            <v>red</v>
          </cell>
          <cell r="I1487">
            <v>4</v>
          </cell>
          <cell r="J1487" t="str">
            <v>PremiumS</v>
          </cell>
          <cell r="K1487" t="str">
            <v>hp</v>
          </cell>
          <cell r="L1487" t="str">
            <v>体力タイプ</v>
          </cell>
          <cell r="M1487" t="str">
            <v>unknown</v>
          </cell>
        </row>
        <row r="1488">
          <cell r="A1488">
            <v>8027</v>
          </cell>
          <cell r="B1488" t="str">
            <v>ja</v>
          </cell>
          <cell r="C1488" t="str">
            <v>KAITO</v>
          </cell>
          <cell r="D1488" t="str">
            <v>KAITO</v>
          </cell>
          <cell r="E1488" t="str">
            <v>執行者</v>
          </cell>
          <cell r="F1488" t="str">
            <v>格好いい</v>
          </cell>
          <cell r="G1488" t="str">
            <v>女性</v>
          </cell>
          <cell r="H1488" t="str">
            <v>blue</v>
          </cell>
          <cell r="I1488">
            <v>3</v>
          </cell>
          <cell r="J1488" t="str">
            <v>PremiumS</v>
          </cell>
          <cell r="K1488" t="str">
            <v>technical</v>
          </cell>
          <cell r="L1488" t="str">
            <v>テクニカルタイプ</v>
          </cell>
          <cell r="M1488" t="str">
            <v>unknown</v>
          </cell>
        </row>
        <row r="1489">
          <cell r="A1489">
            <v>8028</v>
          </cell>
          <cell r="B1489" t="str">
            <v>ja</v>
          </cell>
          <cell r="C1489" t="str">
            <v>KAITO</v>
          </cell>
          <cell r="D1489" t="str">
            <v>KAITO</v>
          </cell>
          <cell r="E1489" t="str">
            <v>執行者</v>
          </cell>
          <cell r="F1489" t="str">
            <v>格好いい</v>
          </cell>
          <cell r="G1489" t="str">
            <v>女性</v>
          </cell>
          <cell r="H1489" t="str">
            <v>blue</v>
          </cell>
          <cell r="I1489">
            <v>4</v>
          </cell>
          <cell r="J1489" t="str">
            <v>PremiumS</v>
          </cell>
          <cell r="K1489" t="str">
            <v>technical</v>
          </cell>
          <cell r="L1489" t="str">
            <v>テクニカルタイプ</v>
          </cell>
          <cell r="M1489" t="str">
            <v>unknown</v>
          </cell>
        </row>
        <row r="1490">
          <cell r="A1490">
            <v>8029</v>
          </cell>
          <cell r="B1490" t="str">
            <v>ja</v>
          </cell>
          <cell r="C1490" t="str">
            <v>Expoミク</v>
          </cell>
          <cell r="D1490" t="str">
            <v>Expoミク</v>
          </cell>
          <cell r="E1490" t="str">
            <v>執行者</v>
          </cell>
          <cell r="F1490" t="str">
            <v>格好いい</v>
          </cell>
          <cell r="G1490" t="str">
            <v>女性</v>
          </cell>
          <cell r="H1490" t="str">
            <v>blue</v>
          </cell>
          <cell r="I1490">
            <v>4</v>
          </cell>
          <cell r="J1490" t="str">
            <v>Drop2N</v>
          </cell>
          <cell r="K1490" t="str">
            <v>heal</v>
          </cell>
          <cell r="L1490" t="str">
            <v>回復タイプ</v>
          </cell>
          <cell r="M1490" t="str">
            <v>unknown</v>
          </cell>
        </row>
        <row r="1491">
          <cell r="A1491">
            <v>8030</v>
          </cell>
          <cell r="B1491" t="str">
            <v>ja</v>
          </cell>
          <cell r="C1491" t="str">
            <v>Expoミク</v>
          </cell>
          <cell r="D1491" t="str">
            <v>Expoミク</v>
          </cell>
          <cell r="E1491" t="str">
            <v>執行者</v>
          </cell>
          <cell r="F1491" t="str">
            <v>格好いい</v>
          </cell>
          <cell r="G1491" t="str">
            <v>女性</v>
          </cell>
          <cell r="H1491" t="str">
            <v>blue</v>
          </cell>
          <cell r="I1491">
            <v>5</v>
          </cell>
          <cell r="J1491" t="str">
            <v>Drop2N</v>
          </cell>
          <cell r="K1491" t="str">
            <v>heal</v>
          </cell>
          <cell r="L1491" t="str">
            <v>回復タイプ</v>
          </cell>
          <cell r="M1491" t="str">
            <v>unknown</v>
          </cell>
        </row>
        <row r="1492">
          <cell r="A1492">
            <v>8031</v>
          </cell>
          <cell r="B1492" t="str">
            <v>ja</v>
          </cell>
          <cell r="C1492" t="str">
            <v>閻羅王</v>
          </cell>
          <cell r="D1492" t="str">
            <v>Expoミク</v>
          </cell>
          <cell r="E1492" t="str">
            <v>執行者</v>
          </cell>
          <cell r="F1492" t="str">
            <v>格好いい</v>
          </cell>
          <cell r="G1492" t="str">
            <v>女性</v>
          </cell>
          <cell r="H1492" t="str">
            <v>red</v>
          </cell>
          <cell r="I1492">
            <v>5</v>
          </cell>
          <cell r="J1492" t="str">
            <v>PremiumSS</v>
          </cell>
          <cell r="K1492" t="str">
            <v>balance</v>
          </cell>
          <cell r="L1492" t="str">
            <v>バランスタイプ</v>
          </cell>
          <cell r="M1492" t="str">
            <v>god</v>
          </cell>
        </row>
        <row r="1493">
          <cell r="A1493">
            <v>8032</v>
          </cell>
          <cell r="B1493" t="str">
            <v>ja</v>
          </cell>
          <cell r="C1493" t="str">
            <v>六道輪廻の絶獄 閻羅王</v>
          </cell>
          <cell r="D1493" t="str">
            <v>Expoミク</v>
          </cell>
          <cell r="E1493" t="str">
            <v>執行者</v>
          </cell>
          <cell r="F1493" t="str">
            <v>格好いい</v>
          </cell>
          <cell r="G1493" t="str">
            <v>女性</v>
          </cell>
          <cell r="H1493" t="str">
            <v>red</v>
          </cell>
          <cell r="I1493">
            <v>6</v>
          </cell>
          <cell r="J1493" t="str">
            <v>PremiumSS</v>
          </cell>
          <cell r="K1493" t="str">
            <v>balance</v>
          </cell>
          <cell r="L1493" t="str">
            <v>バランスタイプ</v>
          </cell>
          <cell r="M1493" t="str">
            <v>god</v>
          </cell>
        </row>
        <row r="1494">
          <cell r="A1494">
            <v>8033</v>
          </cell>
          <cell r="B1494" t="str">
            <v>ja</v>
          </cell>
          <cell r="C1494" t="str">
            <v>牛頭馬面</v>
          </cell>
          <cell r="D1494" t="str">
            <v>Expoミク</v>
          </cell>
          <cell r="E1494" t="str">
            <v>執行者</v>
          </cell>
          <cell r="F1494" t="str">
            <v>格好いい</v>
          </cell>
          <cell r="G1494" t="str">
            <v>女性</v>
          </cell>
          <cell r="H1494" t="str">
            <v>green</v>
          </cell>
          <cell r="I1494">
            <v>5</v>
          </cell>
          <cell r="J1494" t="str">
            <v>DropWizS</v>
          </cell>
          <cell r="K1494" t="str">
            <v>attack</v>
          </cell>
          <cell r="L1494" t="str">
            <v>攻撃タイプ</v>
          </cell>
          <cell r="M1494" t="str">
            <v>god</v>
          </cell>
        </row>
        <row r="1495">
          <cell r="A1495">
            <v>8034</v>
          </cell>
          <cell r="B1495" t="str">
            <v>ja</v>
          </cell>
          <cell r="C1495" t="str">
            <v>冥府狩る魂使 牛頭馬面</v>
          </cell>
          <cell r="D1495" t="str">
            <v>Expoミク</v>
          </cell>
          <cell r="E1495" t="str">
            <v>執行者</v>
          </cell>
          <cell r="F1495" t="str">
            <v>格好いい</v>
          </cell>
          <cell r="G1495" t="str">
            <v>女性</v>
          </cell>
          <cell r="H1495" t="str">
            <v>green</v>
          </cell>
          <cell r="I1495">
            <v>6</v>
          </cell>
          <cell r="J1495" t="str">
            <v>DropWizS</v>
          </cell>
          <cell r="K1495" t="str">
            <v>attack</v>
          </cell>
          <cell r="L1495" t="str">
            <v>攻撃タイプ</v>
          </cell>
          <cell r="M1495" t="str">
            <v>god</v>
          </cell>
        </row>
        <row r="1496">
          <cell r="A1496">
            <v>8035</v>
          </cell>
          <cell r="B1496" t="str">
            <v>ja</v>
          </cell>
          <cell r="C1496" t="str">
            <v>飛衛</v>
          </cell>
          <cell r="D1496" t="str">
            <v>Expoミク</v>
          </cell>
          <cell r="E1496" t="str">
            <v>執行者</v>
          </cell>
          <cell r="F1496" t="str">
            <v>格好いい</v>
          </cell>
          <cell r="G1496" t="str">
            <v>女性</v>
          </cell>
          <cell r="H1496" t="str">
            <v>blue</v>
          </cell>
          <cell r="I1496">
            <v>5</v>
          </cell>
          <cell r="J1496" t="str">
            <v>PremiumSS</v>
          </cell>
          <cell r="K1496" t="str">
            <v>heal</v>
          </cell>
          <cell r="L1496" t="str">
            <v>回復タイプ</v>
          </cell>
          <cell r="M1496" t="str">
            <v>human</v>
          </cell>
        </row>
        <row r="1497">
          <cell r="A1497">
            <v>8036</v>
          </cell>
          <cell r="B1497" t="str">
            <v>ja</v>
          </cell>
          <cell r="C1497" t="str">
            <v>レア６飛衛</v>
          </cell>
          <cell r="D1497" t="str">
            <v>Expoミク</v>
          </cell>
          <cell r="E1497" t="str">
            <v>執行者</v>
          </cell>
          <cell r="F1497" t="str">
            <v>格好いい</v>
          </cell>
          <cell r="G1497" t="str">
            <v>女性</v>
          </cell>
          <cell r="H1497" t="str">
            <v>blue</v>
          </cell>
          <cell r="I1497">
            <v>6</v>
          </cell>
          <cell r="J1497" t="str">
            <v>PremiumSS</v>
          </cell>
          <cell r="K1497" t="str">
            <v>heal</v>
          </cell>
          <cell r="L1497" t="str">
            <v>回復タイプ</v>
          </cell>
          <cell r="M1497" t="str">
            <v>human</v>
          </cell>
        </row>
        <row r="1498">
          <cell r="A1498">
            <v>8037</v>
          </cell>
          <cell r="B1498" t="str">
            <v>ja</v>
          </cell>
          <cell r="C1498" t="str">
            <v>紀昌</v>
          </cell>
          <cell r="D1498" t="str">
            <v>Expoミク</v>
          </cell>
          <cell r="E1498" t="str">
            <v>執行者</v>
          </cell>
          <cell r="F1498" t="str">
            <v>格好いい</v>
          </cell>
          <cell r="G1498" t="str">
            <v>女性</v>
          </cell>
          <cell r="H1498" t="str">
            <v>red</v>
          </cell>
          <cell r="I1498">
            <v>5</v>
          </cell>
          <cell r="J1498" t="str">
            <v>DropWizS</v>
          </cell>
          <cell r="K1498" t="str">
            <v>attack</v>
          </cell>
          <cell r="L1498" t="str">
            <v>攻撃タイプ</v>
          </cell>
          <cell r="M1498" t="str">
            <v>human</v>
          </cell>
        </row>
        <row r="1499">
          <cell r="A1499">
            <v>8038</v>
          </cell>
          <cell r="B1499" t="str">
            <v>ja</v>
          </cell>
          <cell r="C1499" t="str">
            <v>レア６紀昌</v>
          </cell>
          <cell r="D1499" t="str">
            <v>Expoミク</v>
          </cell>
          <cell r="E1499" t="str">
            <v>執行者</v>
          </cell>
          <cell r="F1499" t="str">
            <v>格好いい</v>
          </cell>
          <cell r="G1499" t="str">
            <v>女性</v>
          </cell>
          <cell r="H1499" t="str">
            <v>red</v>
          </cell>
          <cell r="I1499">
            <v>6</v>
          </cell>
          <cell r="J1499" t="str">
            <v>DropWizS</v>
          </cell>
          <cell r="K1499" t="str">
            <v>attack</v>
          </cell>
          <cell r="L1499" t="str">
            <v>攻撃タイプ</v>
          </cell>
          <cell r="M1499" t="str">
            <v>human</v>
          </cell>
        </row>
        <row r="1500">
          <cell r="A1500">
            <v>8039</v>
          </cell>
          <cell r="B1500" t="str">
            <v>ja</v>
          </cell>
          <cell r="C1500" t="str">
            <v>何仙姑</v>
          </cell>
          <cell r="D1500" t="str">
            <v>Expoミク</v>
          </cell>
          <cell r="E1500" t="str">
            <v>執行者</v>
          </cell>
          <cell r="F1500" t="str">
            <v>格好いい</v>
          </cell>
          <cell r="G1500" t="str">
            <v>女性</v>
          </cell>
          <cell r="H1500" t="str">
            <v>yellow</v>
          </cell>
          <cell r="I1500">
            <v>5</v>
          </cell>
          <cell r="J1500" t="str">
            <v>PremiumSSw</v>
          </cell>
          <cell r="K1500" t="str">
            <v>hp</v>
          </cell>
          <cell r="L1500" t="str">
            <v>体力タイプ</v>
          </cell>
          <cell r="M1500" t="str">
            <v>god</v>
          </cell>
        </row>
        <row r="1501">
          <cell r="A1501">
            <v>8040</v>
          </cell>
          <cell r="B1501" t="str">
            <v>ja</v>
          </cell>
          <cell r="C1501" t="str">
            <v>レア６何仙姑</v>
          </cell>
          <cell r="D1501" t="str">
            <v>Expoミク</v>
          </cell>
          <cell r="E1501" t="str">
            <v>執行者</v>
          </cell>
          <cell r="F1501" t="str">
            <v>格好いい</v>
          </cell>
          <cell r="G1501" t="str">
            <v>女性</v>
          </cell>
          <cell r="H1501" t="str">
            <v>yellow</v>
          </cell>
          <cell r="I1501">
            <v>6</v>
          </cell>
          <cell r="J1501" t="str">
            <v>PremiumSSw</v>
          </cell>
          <cell r="K1501" t="str">
            <v>hp</v>
          </cell>
          <cell r="L1501" t="str">
            <v>体力タイプ</v>
          </cell>
          <cell r="M1501" t="str">
            <v>god</v>
          </cell>
        </row>
        <row r="1502">
          <cell r="A1502">
            <v>8041</v>
          </cell>
          <cell r="B1502" t="str">
            <v>ja</v>
          </cell>
          <cell r="C1502" t="str">
            <v>藍采和</v>
          </cell>
          <cell r="D1502" t="str">
            <v>Expoミク</v>
          </cell>
          <cell r="E1502" t="str">
            <v>執行者</v>
          </cell>
          <cell r="F1502" t="str">
            <v>格好いい</v>
          </cell>
          <cell r="G1502" t="str">
            <v>女性</v>
          </cell>
          <cell r="H1502" t="str">
            <v>blue</v>
          </cell>
          <cell r="I1502">
            <v>5</v>
          </cell>
          <cell r="J1502" t="str">
            <v>DropWizS</v>
          </cell>
          <cell r="K1502" t="str">
            <v>balance</v>
          </cell>
          <cell r="L1502" t="str">
            <v>バランスタイプ</v>
          </cell>
          <cell r="M1502" t="str">
            <v>god</v>
          </cell>
        </row>
        <row r="1503">
          <cell r="A1503">
            <v>8042</v>
          </cell>
          <cell r="B1503" t="str">
            <v>ja</v>
          </cell>
          <cell r="C1503" t="str">
            <v>レア６藍采和</v>
          </cell>
          <cell r="D1503" t="str">
            <v>Expoミク</v>
          </cell>
          <cell r="E1503" t="str">
            <v>執行者</v>
          </cell>
          <cell r="F1503" t="str">
            <v>格好いい</v>
          </cell>
          <cell r="G1503" t="str">
            <v>女性</v>
          </cell>
          <cell r="H1503" t="str">
            <v>blue</v>
          </cell>
          <cell r="I1503">
            <v>6</v>
          </cell>
          <cell r="J1503" t="str">
            <v>DropWizS</v>
          </cell>
          <cell r="K1503" t="str">
            <v>balance</v>
          </cell>
          <cell r="L1503" t="str">
            <v>バランスタイプ</v>
          </cell>
          <cell r="M1503" t="str">
            <v>god</v>
          </cell>
        </row>
        <row r="1504">
          <cell r="A1504">
            <v>8043</v>
          </cell>
          <cell r="B1504" t="str">
            <v>ja</v>
          </cell>
          <cell r="C1504" t="str">
            <v>サンリオキャラ大集合+アザゼル</v>
          </cell>
          <cell r="D1504" t="str">
            <v>サンリオキャラ大集合+アザゼル</v>
          </cell>
          <cell r="E1504" t="str">
            <v>執行者</v>
          </cell>
          <cell r="F1504" t="str">
            <v>格好いい</v>
          </cell>
          <cell r="G1504" t="str">
            <v>女性</v>
          </cell>
          <cell r="H1504" t="str">
            <v>green</v>
          </cell>
          <cell r="I1504">
            <v>5</v>
          </cell>
          <cell r="J1504" t="str">
            <v>DropWizS</v>
          </cell>
          <cell r="K1504" t="str">
            <v>technical</v>
          </cell>
          <cell r="L1504" t="str">
            <v>テクニカルタイプ</v>
          </cell>
          <cell r="M1504" t="str">
            <v>ss</v>
          </cell>
        </row>
        <row r="1505">
          <cell r="A1505">
            <v>8044</v>
          </cell>
          <cell r="B1505" t="str">
            <v>ja</v>
          </cell>
          <cell r="C1505" t="str">
            <v>サンリオキャラ大集合+アザゼル</v>
          </cell>
          <cell r="D1505" t="str">
            <v>サンリオキャラ大集合+アザゼル</v>
          </cell>
          <cell r="E1505" t="str">
            <v>執行者</v>
          </cell>
          <cell r="F1505" t="str">
            <v>格好いい</v>
          </cell>
          <cell r="G1505" t="str">
            <v>女性</v>
          </cell>
          <cell r="H1505" t="str">
            <v>green</v>
          </cell>
          <cell r="I1505">
            <v>6</v>
          </cell>
          <cell r="J1505" t="str">
            <v>DropWizS</v>
          </cell>
          <cell r="K1505" t="str">
            <v>technical</v>
          </cell>
          <cell r="L1505" t="str">
            <v>テクニカルタイプ</v>
          </cell>
          <cell r="M1505" t="str">
            <v>ss</v>
          </cell>
        </row>
        <row r="1506">
          <cell r="A1506">
            <v>8045</v>
          </cell>
          <cell r="B1506" t="str">
            <v>ja</v>
          </cell>
          <cell r="C1506" t="str">
            <v>ニムダ_サンリオキャラ混じり</v>
          </cell>
          <cell r="D1506" t="str">
            <v>ニムダ_サンリオキャラ混じり</v>
          </cell>
          <cell r="E1506" t="str">
            <v>執行者</v>
          </cell>
          <cell r="F1506" t="str">
            <v>格好いい</v>
          </cell>
          <cell r="G1506" t="str">
            <v>女性</v>
          </cell>
          <cell r="H1506" t="str">
            <v>yellow</v>
          </cell>
          <cell r="I1506">
            <v>4</v>
          </cell>
          <cell r="J1506" t="str">
            <v>Drop2N</v>
          </cell>
          <cell r="K1506" t="str">
            <v>technical</v>
          </cell>
          <cell r="L1506" t="str">
            <v>テクニカルタイプ</v>
          </cell>
          <cell r="M1506" t="str">
            <v>ss</v>
          </cell>
        </row>
        <row r="1507">
          <cell r="A1507">
            <v>8046</v>
          </cell>
          <cell r="B1507" t="str">
            <v>ja</v>
          </cell>
          <cell r="C1507" t="str">
            <v>ニムダ_サンリオキャラ混じり</v>
          </cell>
          <cell r="D1507" t="str">
            <v>ニムダ_サンリオキャラ混じり</v>
          </cell>
          <cell r="E1507" t="str">
            <v>執行者</v>
          </cell>
          <cell r="F1507" t="str">
            <v>格好いい</v>
          </cell>
          <cell r="G1507" t="str">
            <v>女性</v>
          </cell>
          <cell r="H1507" t="str">
            <v>yellow</v>
          </cell>
          <cell r="I1507">
            <v>5</v>
          </cell>
          <cell r="J1507" t="str">
            <v>Drop2N</v>
          </cell>
          <cell r="K1507" t="str">
            <v>technical</v>
          </cell>
          <cell r="L1507" t="str">
            <v>テクニカルタイプ</v>
          </cell>
          <cell r="M1507" t="str">
            <v>ss</v>
          </cell>
        </row>
        <row r="1508">
          <cell r="A1508">
            <v>8047</v>
          </cell>
          <cell r="B1508" t="str">
            <v>ja</v>
          </cell>
          <cell r="C1508" t="str">
            <v>ハローキティ</v>
          </cell>
          <cell r="D1508" t="str">
            <v>ハローキティ</v>
          </cell>
          <cell r="E1508" t="str">
            <v>執行者</v>
          </cell>
          <cell r="F1508" t="str">
            <v>格好いい</v>
          </cell>
          <cell r="G1508" t="str">
            <v>女性</v>
          </cell>
          <cell r="H1508" t="str">
            <v>red</v>
          </cell>
          <cell r="I1508">
            <v>4</v>
          </cell>
          <cell r="J1508" t="str">
            <v>Drop2N</v>
          </cell>
          <cell r="K1508" t="str">
            <v>balance</v>
          </cell>
          <cell r="L1508" t="str">
            <v>バランスタイプ</v>
          </cell>
          <cell r="M1508" t="str">
            <v>ss</v>
          </cell>
        </row>
        <row r="1509">
          <cell r="A1509">
            <v>8048</v>
          </cell>
          <cell r="B1509" t="str">
            <v>ja</v>
          </cell>
          <cell r="C1509" t="str">
            <v>ハローキティ</v>
          </cell>
          <cell r="D1509" t="str">
            <v>ハローキティ</v>
          </cell>
          <cell r="E1509" t="str">
            <v>執行者</v>
          </cell>
          <cell r="F1509" t="str">
            <v>格好いい</v>
          </cell>
          <cell r="G1509" t="str">
            <v>女性</v>
          </cell>
          <cell r="H1509" t="str">
            <v>red</v>
          </cell>
          <cell r="I1509">
            <v>5</v>
          </cell>
          <cell r="J1509" t="str">
            <v>Drop2N</v>
          </cell>
          <cell r="K1509" t="str">
            <v>balance</v>
          </cell>
          <cell r="L1509" t="str">
            <v>バランスタイプ</v>
          </cell>
          <cell r="M1509" t="str">
            <v>ss</v>
          </cell>
        </row>
        <row r="1510">
          <cell r="A1510">
            <v>8049</v>
          </cell>
          <cell r="B1510" t="str">
            <v>ja</v>
          </cell>
          <cell r="C1510" t="str">
            <v>KIRIMIちゃん</v>
          </cell>
          <cell r="D1510" t="str">
            <v>KIRIMIちゃん</v>
          </cell>
          <cell r="E1510" t="str">
            <v>執行者</v>
          </cell>
          <cell r="F1510" t="str">
            <v>格好いい</v>
          </cell>
          <cell r="G1510" t="str">
            <v>女性</v>
          </cell>
          <cell r="H1510" t="str">
            <v>red</v>
          </cell>
          <cell r="I1510">
            <v>4</v>
          </cell>
          <cell r="J1510" t="str">
            <v>Drop2N</v>
          </cell>
          <cell r="K1510" t="str">
            <v>hp</v>
          </cell>
          <cell r="L1510" t="str">
            <v>体力タイプ</v>
          </cell>
          <cell r="M1510" t="str">
            <v>ss</v>
          </cell>
        </row>
        <row r="1511">
          <cell r="A1511">
            <v>8050</v>
          </cell>
          <cell r="B1511" t="str">
            <v>ja</v>
          </cell>
          <cell r="C1511" t="str">
            <v>KIRIMIちゃん</v>
          </cell>
          <cell r="D1511" t="str">
            <v>KIRIMIちゃん</v>
          </cell>
          <cell r="E1511" t="str">
            <v>執行者</v>
          </cell>
          <cell r="F1511" t="str">
            <v>格好いい</v>
          </cell>
          <cell r="G1511" t="str">
            <v>女性</v>
          </cell>
          <cell r="H1511" t="str">
            <v>red</v>
          </cell>
          <cell r="I1511">
            <v>5</v>
          </cell>
          <cell r="J1511" t="str">
            <v>Drop2N</v>
          </cell>
          <cell r="K1511" t="str">
            <v>hp</v>
          </cell>
          <cell r="L1511" t="str">
            <v>体力タイプ</v>
          </cell>
          <cell r="M1511" t="str">
            <v>ss</v>
          </cell>
        </row>
        <row r="1512">
          <cell r="A1512">
            <v>8051</v>
          </cell>
          <cell r="B1512" t="str">
            <v>ja</v>
          </cell>
          <cell r="C1512" t="str">
            <v>ハローキティのリボン</v>
          </cell>
          <cell r="D1512" t="str">
            <v>ハローキティのリボン</v>
          </cell>
          <cell r="E1512" t="str">
            <v>執行者</v>
          </cell>
          <cell r="F1512" t="str">
            <v>格好いい</v>
          </cell>
          <cell r="G1512" t="str">
            <v>女性</v>
          </cell>
          <cell r="H1512" t="str">
            <v>red</v>
          </cell>
          <cell r="I1512">
            <v>5</v>
          </cell>
          <cell r="J1512" t="str">
            <v>Drop2N</v>
          </cell>
          <cell r="K1512" t="str">
            <v>evolution</v>
          </cell>
          <cell r="L1512" t="str">
            <v>覚醒素材タイプ</v>
          </cell>
          <cell r="M1512" t="str">
            <v>ss</v>
          </cell>
        </row>
        <row r="1513">
          <cell r="A1513">
            <v>8052</v>
          </cell>
          <cell r="B1513" t="str">
            <v>ja</v>
          </cell>
          <cell r="C1513" t="str">
            <v>ママの作ったアップルパイ</v>
          </cell>
          <cell r="D1513" t="str">
            <v>ママの作ったアップルパイ</v>
          </cell>
          <cell r="E1513" t="str">
            <v>執行者</v>
          </cell>
          <cell r="F1513" t="str">
            <v>格好いい</v>
          </cell>
          <cell r="G1513" t="str">
            <v>女性</v>
          </cell>
          <cell r="H1513" t="str">
            <v>red</v>
          </cell>
          <cell r="I1513">
            <v>4</v>
          </cell>
          <cell r="J1513" t="str">
            <v>Drop2N</v>
          </cell>
          <cell r="K1513" t="str">
            <v>evolution</v>
          </cell>
          <cell r="L1513" t="str">
            <v>覚醒素材タイプ</v>
          </cell>
          <cell r="M1513" t="str">
            <v>ss</v>
          </cell>
        </row>
        <row r="1514">
          <cell r="A1514">
            <v>8053</v>
          </cell>
          <cell r="B1514" t="str">
            <v>ja</v>
          </cell>
          <cell r="C1514" t="str">
            <v>D.R.T.H__キティコスプレ</v>
          </cell>
          <cell r="D1514" t="str">
            <v>D.R.T.H__キティコスプレ</v>
          </cell>
          <cell r="E1514" t="str">
            <v>執行者</v>
          </cell>
          <cell r="F1514" t="str">
            <v>格好いい</v>
          </cell>
          <cell r="G1514" t="str">
            <v>女性</v>
          </cell>
          <cell r="H1514" t="str">
            <v>red</v>
          </cell>
          <cell r="I1514">
            <v>5</v>
          </cell>
          <cell r="J1514" t="str">
            <v>PremiumSS</v>
          </cell>
          <cell r="K1514" t="str">
            <v>balance</v>
          </cell>
          <cell r="L1514" t="str">
            <v>バランスタイプ</v>
          </cell>
          <cell r="M1514" t="str">
            <v>ss</v>
          </cell>
        </row>
        <row r="1515">
          <cell r="A1515">
            <v>8054</v>
          </cell>
          <cell r="B1515" t="str">
            <v>ja</v>
          </cell>
          <cell r="C1515" t="str">
            <v>D.R.T.H__キティコスプレ</v>
          </cell>
          <cell r="D1515" t="str">
            <v>D.R.T.H__キティコスプレ</v>
          </cell>
          <cell r="E1515" t="str">
            <v>執行者</v>
          </cell>
          <cell r="F1515" t="str">
            <v>格好いい</v>
          </cell>
          <cell r="G1515" t="str">
            <v>女性</v>
          </cell>
          <cell r="H1515" t="str">
            <v>red</v>
          </cell>
          <cell r="I1515">
            <v>6</v>
          </cell>
          <cell r="J1515" t="str">
            <v>PremiumSS</v>
          </cell>
          <cell r="K1515" t="str">
            <v>balance</v>
          </cell>
          <cell r="L1515" t="str">
            <v>バランスタイプ</v>
          </cell>
          <cell r="M1515" t="str">
            <v>ss</v>
          </cell>
        </row>
        <row r="1516">
          <cell r="A1516">
            <v>8055</v>
          </cell>
          <cell r="B1516" t="str">
            <v>ja</v>
          </cell>
          <cell r="C1516" t="str">
            <v>マイメロディ</v>
          </cell>
          <cell r="D1516" t="str">
            <v>マイメロディ</v>
          </cell>
          <cell r="E1516" t="str">
            <v>執行者</v>
          </cell>
          <cell r="F1516" t="str">
            <v>格好いい</v>
          </cell>
          <cell r="G1516" t="str">
            <v>女性</v>
          </cell>
          <cell r="H1516" t="str">
            <v>red</v>
          </cell>
          <cell r="I1516">
            <v>4</v>
          </cell>
          <cell r="J1516" t="str">
            <v>PremiumS</v>
          </cell>
          <cell r="K1516" t="str">
            <v>attack</v>
          </cell>
          <cell r="L1516" t="str">
            <v>攻撃タイプ</v>
          </cell>
          <cell r="M1516" t="str">
            <v>ss</v>
          </cell>
        </row>
        <row r="1517">
          <cell r="A1517">
            <v>8056</v>
          </cell>
          <cell r="B1517" t="str">
            <v>ja</v>
          </cell>
          <cell r="C1517" t="str">
            <v>マイメロディ</v>
          </cell>
          <cell r="D1517" t="str">
            <v>マイメロディ</v>
          </cell>
          <cell r="E1517" t="str">
            <v>執行者</v>
          </cell>
          <cell r="F1517" t="str">
            <v>格好いい</v>
          </cell>
          <cell r="G1517" t="str">
            <v>女性</v>
          </cell>
          <cell r="H1517" t="str">
            <v>red</v>
          </cell>
          <cell r="I1517">
            <v>5</v>
          </cell>
          <cell r="J1517" t="str">
            <v>PremiumS</v>
          </cell>
          <cell r="K1517" t="str">
            <v>attack</v>
          </cell>
          <cell r="L1517" t="str">
            <v>攻撃タイプ</v>
          </cell>
          <cell r="M1517" t="str">
            <v>ss</v>
          </cell>
        </row>
        <row r="1518">
          <cell r="A1518">
            <v>8057</v>
          </cell>
          <cell r="B1518" t="str">
            <v>ja</v>
          </cell>
          <cell r="C1518" t="str">
            <v>ニーベルゲン_シナモロールコスプレ</v>
          </cell>
          <cell r="D1518" t="str">
            <v>ニーベルゲン_シナモロールコスプレ</v>
          </cell>
          <cell r="E1518" t="str">
            <v>執行者</v>
          </cell>
          <cell r="F1518" t="str">
            <v>格好いい</v>
          </cell>
          <cell r="G1518" t="str">
            <v>女性</v>
          </cell>
          <cell r="H1518" t="str">
            <v>green</v>
          </cell>
          <cell r="I1518">
            <v>4</v>
          </cell>
          <cell r="J1518" t="str">
            <v>PremiumS</v>
          </cell>
          <cell r="K1518" t="str">
            <v>balance</v>
          </cell>
          <cell r="L1518" t="str">
            <v>バランスタイプ</v>
          </cell>
          <cell r="M1518" t="str">
            <v>ss</v>
          </cell>
        </row>
        <row r="1519">
          <cell r="A1519">
            <v>8058</v>
          </cell>
          <cell r="B1519" t="str">
            <v>ja</v>
          </cell>
          <cell r="C1519" t="str">
            <v>ニーベルゲン_シナモロールコスプレ</v>
          </cell>
          <cell r="D1519" t="str">
            <v>ニーベルゲン_シナモロールコスプレ</v>
          </cell>
          <cell r="E1519" t="str">
            <v>執行者</v>
          </cell>
          <cell r="F1519" t="str">
            <v>格好いい</v>
          </cell>
          <cell r="G1519" t="str">
            <v>女性</v>
          </cell>
          <cell r="H1519" t="str">
            <v>green</v>
          </cell>
          <cell r="I1519">
            <v>5</v>
          </cell>
          <cell r="J1519" t="str">
            <v>PremiumS</v>
          </cell>
          <cell r="K1519" t="str">
            <v>balance</v>
          </cell>
          <cell r="L1519" t="str">
            <v>バランスタイプ</v>
          </cell>
          <cell r="M1519" t="str">
            <v>ss</v>
          </cell>
        </row>
        <row r="1520">
          <cell r="A1520">
            <v>8059</v>
          </cell>
          <cell r="B1520" t="str">
            <v>ja</v>
          </cell>
          <cell r="C1520" t="str">
            <v>カカシ_マイメロディコスプレ</v>
          </cell>
          <cell r="D1520" t="str">
            <v>カカシ_マイメロディコスプレ</v>
          </cell>
          <cell r="E1520" t="str">
            <v>執行者</v>
          </cell>
          <cell r="F1520" t="str">
            <v>格好いい</v>
          </cell>
          <cell r="G1520" t="str">
            <v>女性</v>
          </cell>
          <cell r="H1520" t="str">
            <v>green</v>
          </cell>
          <cell r="I1520">
            <v>4</v>
          </cell>
          <cell r="J1520" t="str">
            <v>PremiumS</v>
          </cell>
          <cell r="K1520" t="str">
            <v>technical</v>
          </cell>
          <cell r="L1520" t="str">
            <v>テクニカルタイプ</v>
          </cell>
          <cell r="M1520" t="str">
            <v>ss</v>
          </cell>
        </row>
        <row r="1521">
          <cell r="A1521">
            <v>8060</v>
          </cell>
          <cell r="B1521" t="str">
            <v>ja</v>
          </cell>
          <cell r="C1521" t="str">
            <v>カカシ_マイメロディコスプレ</v>
          </cell>
          <cell r="D1521" t="str">
            <v>カカシ_マイメロディコスプレ</v>
          </cell>
          <cell r="E1521" t="str">
            <v>執行者</v>
          </cell>
          <cell r="F1521" t="str">
            <v>格好いい</v>
          </cell>
          <cell r="G1521" t="str">
            <v>女性</v>
          </cell>
          <cell r="H1521" t="str">
            <v>green</v>
          </cell>
          <cell r="I1521">
            <v>5</v>
          </cell>
          <cell r="J1521" t="str">
            <v>PremiumS</v>
          </cell>
          <cell r="K1521" t="str">
            <v>technical</v>
          </cell>
          <cell r="L1521" t="str">
            <v>テクニカルタイプ</v>
          </cell>
          <cell r="M1521" t="str">
            <v>ss</v>
          </cell>
        </row>
        <row r="1522">
          <cell r="A1522">
            <v>8061</v>
          </cell>
          <cell r="B1522" t="str">
            <v>ja</v>
          </cell>
          <cell r="C1522" t="str">
            <v>ケロケロけろっぴ</v>
          </cell>
          <cell r="D1522" t="str">
            <v>ケロケロけろっぴ</v>
          </cell>
          <cell r="E1522" t="str">
            <v>執行者</v>
          </cell>
          <cell r="F1522" t="str">
            <v>格好いい</v>
          </cell>
          <cell r="G1522" t="str">
            <v>女性</v>
          </cell>
          <cell r="H1522" t="str">
            <v>green</v>
          </cell>
          <cell r="I1522">
            <v>3</v>
          </cell>
          <cell r="J1522" t="str">
            <v>PremiumS</v>
          </cell>
          <cell r="K1522" t="str">
            <v>balance</v>
          </cell>
          <cell r="L1522" t="str">
            <v>バランスタイプ</v>
          </cell>
          <cell r="M1522" t="str">
            <v>ss</v>
          </cell>
        </row>
        <row r="1523">
          <cell r="A1523">
            <v>8062</v>
          </cell>
          <cell r="B1523" t="str">
            <v>ja</v>
          </cell>
          <cell r="C1523" t="str">
            <v>ケロケロけろっぴ</v>
          </cell>
          <cell r="D1523" t="str">
            <v>ケロケロけろっぴ</v>
          </cell>
          <cell r="E1523" t="str">
            <v>執行者</v>
          </cell>
          <cell r="F1523" t="str">
            <v>格好いい</v>
          </cell>
          <cell r="G1523" t="str">
            <v>女性</v>
          </cell>
          <cell r="H1523" t="str">
            <v>green</v>
          </cell>
          <cell r="I1523">
            <v>4</v>
          </cell>
          <cell r="J1523" t="str">
            <v>PremiumS</v>
          </cell>
          <cell r="K1523" t="str">
            <v>balance</v>
          </cell>
          <cell r="L1523" t="str">
            <v>バランスタイプ</v>
          </cell>
          <cell r="M1523" t="str">
            <v>ss</v>
          </cell>
        </row>
        <row r="1524">
          <cell r="A1524">
            <v>8063</v>
          </cell>
          <cell r="B1524" t="str">
            <v>ja</v>
          </cell>
          <cell r="C1524" t="str">
            <v>モルドレッド_ポムポムプリンコスプレ</v>
          </cell>
          <cell r="D1524" t="str">
            <v>モルドレッド_ポムポムプリンコスプレ</v>
          </cell>
          <cell r="E1524" t="str">
            <v>執行者</v>
          </cell>
          <cell r="F1524" t="str">
            <v>格好いい</v>
          </cell>
          <cell r="G1524" t="str">
            <v>女性</v>
          </cell>
          <cell r="H1524" t="str">
            <v>blue</v>
          </cell>
          <cell r="I1524">
            <v>5</v>
          </cell>
          <cell r="J1524" t="str">
            <v>PremiumSS</v>
          </cell>
          <cell r="K1524" t="str">
            <v>heal</v>
          </cell>
          <cell r="L1524" t="str">
            <v>回復タイプ</v>
          </cell>
          <cell r="M1524" t="str">
            <v>ss</v>
          </cell>
        </row>
        <row r="1525">
          <cell r="A1525">
            <v>8064</v>
          </cell>
          <cell r="B1525" t="str">
            <v>ja</v>
          </cell>
          <cell r="C1525" t="str">
            <v>モルドレッド_ポムポムプリンコスプレ</v>
          </cell>
          <cell r="D1525" t="str">
            <v>モルドレッド_ポムポムプリンコスプレ</v>
          </cell>
          <cell r="E1525" t="str">
            <v>執行者</v>
          </cell>
          <cell r="F1525" t="str">
            <v>格好いい</v>
          </cell>
          <cell r="G1525" t="str">
            <v>女性</v>
          </cell>
          <cell r="H1525" t="str">
            <v>blue</v>
          </cell>
          <cell r="I1525">
            <v>6</v>
          </cell>
          <cell r="J1525" t="str">
            <v>PremiumSS</v>
          </cell>
          <cell r="K1525" t="str">
            <v>heal</v>
          </cell>
          <cell r="L1525" t="str">
            <v>回復タイプ</v>
          </cell>
          <cell r="M1525" t="str">
            <v>ss</v>
          </cell>
        </row>
        <row r="1526">
          <cell r="A1526">
            <v>8065</v>
          </cell>
          <cell r="B1526" t="str">
            <v>ja</v>
          </cell>
          <cell r="C1526" t="str">
            <v>クロミ</v>
          </cell>
          <cell r="D1526" t="str">
            <v>クロミ</v>
          </cell>
          <cell r="E1526" t="str">
            <v>執行者</v>
          </cell>
          <cell r="F1526" t="str">
            <v>格好いい</v>
          </cell>
          <cell r="G1526" t="str">
            <v>女性</v>
          </cell>
          <cell r="H1526" t="str">
            <v>blue</v>
          </cell>
          <cell r="I1526">
            <v>3</v>
          </cell>
          <cell r="J1526" t="str">
            <v>PremiumS</v>
          </cell>
          <cell r="K1526" t="str">
            <v>technical</v>
          </cell>
          <cell r="L1526" t="str">
            <v>テクニカルタイプ</v>
          </cell>
          <cell r="M1526" t="str">
            <v>ss</v>
          </cell>
        </row>
        <row r="1527">
          <cell r="A1527">
            <v>8066</v>
          </cell>
          <cell r="B1527" t="str">
            <v>ja</v>
          </cell>
          <cell r="C1527" t="str">
            <v>クロミ</v>
          </cell>
          <cell r="D1527" t="str">
            <v>クロミ</v>
          </cell>
          <cell r="E1527" t="str">
            <v>執行者</v>
          </cell>
          <cell r="F1527" t="str">
            <v>格好いい</v>
          </cell>
          <cell r="G1527" t="str">
            <v>女性</v>
          </cell>
          <cell r="H1527" t="str">
            <v>blue</v>
          </cell>
          <cell r="I1527">
            <v>4</v>
          </cell>
          <cell r="J1527" t="str">
            <v>PremiumS</v>
          </cell>
          <cell r="K1527" t="str">
            <v>technical</v>
          </cell>
          <cell r="L1527" t="str">
            <v>テクニカルタイプ</v>
          </cell>
          <cell r="M1527" t="str">
            <v>ss</v>
          </cell>
        </row>
        <row r="1528">
          <cell r="A1528">
            <v>8067</v>
          </cell>
          <cell r="B1528" t="str">
            <v>ja</v>
          </cell>
          <cell r="C1528" t="str">
            <v>バッドばつ丸</v>
          </cell>
          <cell r="D1528" t="str">
            <v>バッドばつ丸</v>
          </cell>
          <cell r="E1528" t="str">
            <v>執行者</v>
          </cell>
          <cell r="F1528" t="str">
            <v>格好いい</v>
          </cell>
          <cell r="G1528" t="str">
            <v>女性</v>
          </cell>
          <cell r="H1528" t="str">
            <v>blue</v>
          </cell>
          <cell r="I1528">
            <v>3</v>
          </cell>
          <cell r="J1528" t="str">
            <v>PremiumS</v>
          </cell>
          <cell r="K1528" t="str">
            <v>attack</v>
          </cell>
          <cell r="L1528" t="str">
            <v>攻撃タイプ</v>
          </cell>
          <cell r="M1528" t="str">
            <v>ss</v>
          </cell>
        </row>
        <row r="1529">
          <cell r="A1529">
            <v>8068</v>
          </cell>
          <cell r="B1529" t="str">
            <v>ja</v>
          </cell>
          <cell r="C1529" t="str">
            <v>バッドばつ丸</v>
          </cell>
          <cell r="D1529" t="str">
            <v>バッドばつ丸</v>
          </cell>
          <cell r="E1529" t="str">
            <v>執行者</v>
          </cell>
          <cell r="F1529" t="str">
            <v>格好いい</v>
          </cell>
          <cell r="G1529" t="str">
            <v>女性</v>
          </cell>
          <cell r="H1529" t="str">
            <v>blue</v>
          </cell>
          <cell r="I1529">
            <v>4</v>
          </cell>
          <cell r="J1529" t="str">
            <v>PremiumS</v>
          </cell>
          <cell r="K1529" t="str">
            <v>attack</v>
          </cell>
          <cell r="L1529" t="str">
            <v>攻撃タイプ</v>
          </cell>
          <cell r="M1529" t="str">
            <v>ss</v>
          </cell>
        </row>
        <row r="1530">
          <cell r="A1530">
            <v>8069</v>
          </cell>
          <cell r="B1530" t="str">
            <v>ja</v>
          </cell>
          <cell r="C1530" t="str">
            <v>シナモロール</v>
          </cell>
          <cell r="D1530" t="str">
            <v>シナモロール</v>
          </cell>
          <cell r="E1530" t="str">
            <v>執行者</v>
          </cell>
          <cell r="F1530" t="str">
            <v>格好いい</v>
          </cell>
          <cell r="G1530" t="str">
            <v>女性</v>
          </cell>
          <cell r="H1530" t="str">
            <v>yellow</v>
          </cell>
          <cell r="I1530">
            <v>4</v>
          </cell>
          <cell r="J1530" t="str">
            <v>PremiumS</v>
          </cell>
          <cell r="K1530" t="str">
            <v>heal</v>
          </cell>
          <cell r="L1530" t="str">
            <v>回復タイプ</v>
          </cell>
          <cell r="M1530" t="str">
            <v>ss</v>
          </cell>
        </row>
        <row r="1531">
          <cell r="A1531">
            <v>8070</v>
          </cell>
          <cell r="B1531" t="str">
            <v>ja</v>
          </cell>
          <cell r="C1531" t="str">
            <v>シナモロール</v>
          </cell>
          <cell r="D1531" t="str">
            <v>シナモロール</v>
          </cell>
          <cell r="E1531" t="str">
            <v>執行者</v>
          </cell>
          <cell r="F1531" t="str">
            <v>格好いい</v>
          </cell>
          <cell r="G1531" t="str">
            <v>女性</v>
          </cell>
          <cell r="H1531" t="str">
            <v>yellow</v>
          </cell>
          <cell r="I1531">
            <v>5</v>
          </cell>
          <cell r="J1531" t="str">
            <v>PremiumS</v>
          </cell>
          <cell r="K1531" t="str">
            <v>heal</v>
          </cell>
          <cell r="L1531" t="str">
            <v>回復タイプ</v>
          </cell>
          <cell r="M1531" t="str">
            <v>ss</v>
          </cell>
        </row>
        <row r="1532">
          <cell r="A1532">
            <v>8071</v>
          </cell>
          <cell r="B1532" t="str">
            <v>ja</v>
          </cell>
          <cell r="C1532" t="str">
            <v>ポムポムプリン</v>
          </cell>
          <cell r="D1532" t="str">
            <v>ポムポムプリン</v>
          </cell>
          <cell r="E1532" t="str">
            <v>執行者</v>
          </cell>
          <cell r="F1532" t="str">
            <v>格好いい</v>
          </cell>
          <cell r="G1532" t="str">
            <v>女性</v>
          </cell>
          <cell r="H1532" t="str">
            <v>yellow</v>
          </cell>
          <cell r="I1532">
            <v>3</v>
          </cell>
          <cell r="J1532" t="str">
            <v>PremiumS</v>
          </cell>
          <cell r="K1532" t="str">
            <v>hp</v>
          </cell>
          <cell r="L1532" t="str">
            <v>体力タイプ</v>
          </cell>
          <cell r="M1532" t="str">
            <v>ss</v>
          </cell>
        </row>
        <row r="1533">
          <cell r="A1533">
            <v>8072</v>
          </cell>
          <cell r="B1533" t="str">
            <v>ja</v>
          </cell>
          <cell r="C1533" t="str">
            <v>ポムポムプリン</v>
          </cell>
          <cell r="D1533" t="str">
            <v>ポムポムプリン</v>
          </cell>
          <cell r="E1533" t="str">
            <v>執行者</v>
          </cell>
          <cell r="F1533" t="str">
            <v>格好いい</v>
          </cell>
          <cell r="G1533" t="str">
            <v>女性</v>
          </cell>
          <cell r="H1533" t="str">
            <v>yellow</v>
          </cell>
          <cell r="I1533">
            <v>4</v>
          </cell>
          <cell r="J1533" t="str">
            <v>PremiumS</v>
          </cell>
          <cell r="K1533" t="str">
            <v>hp</v>
          </cell>
          <cell r="L1533" t="str">
            <v>体力タイプ</v>
          </cell>
          <cell r="M1533" t="str">
            <v>ss</v>
          </cell>
        </row>
        <row r="1534">
          <cell r="A1534">
            <v>8073</v>
          </cell>
          <cell r="B1534" t="str">
            <v>ja</v>
          </cell>
          <cell r="C1534" t="str">
            <v>星海祈る天光妃 媽祖</v>
          </cell>
          <cell r="D1534" t="str">
            <v>Expoミク</v>
          </cell>
          <cell r="E1534" t="str">
            <v>執行者</v>
          </cell>
          <cell r="F1534" t="str">
            <v>格好いい</v>
          </cell>
          <cell r="G1534" t="str">
            <v>女性</v>
          </cell>
          <cell r="H1534" t="str">
            <v>yellow</v>
          </cell>
          <cell r="I1534">
            <v>6</v>
          </cell>
          <cell r="J1534" t="str">
            <v>PremiumSS</v>
          </cell>
          <cell r="K1534" t="str">
            <v>attack</v>
          </cell>
          <cell r="L1534" t="str">
            <v>攻撃タイプ</v>
          </cell>
          <cell r="M1534" t="str">
            <v>human</v>
          </cell>
        </row>
        <row r="1535">
          <cell r="A1535">
            <v>8074</v>
          </cell>
          <cell r="B1535" t="str">
            <v>ja</v>
          </cell>
          <cell r="C1535" t="str">
            <v>海戀の絶龍姫 蛟龍</v>
          </cell>
          <cell r="D1535" t="str">
            <v>Expoミク</v>
          </cell>
          <cell r="E1535" t="str">
            <v>執行者</v>
          </cell>
          <cell r="F1535" t="str">
            <v>格好いい</v>
          </cell>
          <cell r="G1535" t="str">
            <v>女性</v>
          </cell>
          <cell r="H1535" t="str">
            <v>blue</v>
          </cell>
          <cell r="I1535">
            <v>6</v>
          </cell>
          <cell r="J1535" t="str">
            <v>DropWizS</v>
          </cell>
          <cell r="K1535" t="str">
            <v>hp</v>
          </cell>
          <cell r="L1535" t="str">
            <v>体力タイプ</v>
          </cell>
          <cell r="M1535" t="str">
            <v>dragon</v>
          </cell>
        </row>
        <row r="1536">
          <cell r="A1536">
            <v>8075</v>
          </cell>
          <cell r="B1536" t="str">
            <v>ja</v>
          </cell>
          <cell r="C1536" t="str">
            <v>三蔵法師_超覚醒</v>
          </cell>
          <cell r="D1536" t="str">
            <v>Expoミク</v>
          </cell>
          <cell r="E1536" t="str">
            <v>執行者</v>
          </cell>
          <cell r="F1536" t="str">
            <v>格好いい</v>
          </cell>
          <cell r="G1536" t="str">
            <v>女性</v>
          </cell>
          <cell r="H1536" t="str">
            <v>blue</v>
          </cell>
          <cell r="I1536">
            <v>6</v>
          </cell>
          <cell r="J1536" t="str">
            <v>PremiumSS</v>
          </cell>
          <cell r="K1536" t="str">
            <v>balance</v>
          </cell>
          <cell r="L1536" t="str">
            <v>バランスタイプ</v>
          </cell>
          <cell r="M1536" t="str">
            <v>god</v>
          </cell>
        </row>
        <row r="1537">
          <cell r="A1537">
            <v>8076</v>
          </cell>
          <cell r="B1537" t="str">
            <v>ja</v>
          </cell>
          <cell r="C1537" t="str">
            <v>孫悟空_超覚醒</v>
          </cell>
          <cell r="D1537" t="str">
            <v>Expoミク</v>
          </cell>
          <cell r="E1537" t="str">
            <v>執行者</v>
          </cell>
          <cell r="F1537" t="str">
            <v>格好いい</v>
          </cell>
          <cell r="G1537" t="str">
            <v>女性</v>
          </cell>
          <cell r="H1537" t="str">
            <v>red</v>
          </cell>
          <cell r="I1537">
            <v>6</v>
          </cell>
          <cell r="J1537" t="str">
            <v>DropWizS</v>
          </cell>
          <cell r="K1537" t="str">
            <v>attack</v>
          </cell>
          <cell r="L1537" t="str">
            <v>攻撃タイプ</v>
          </cell>
          <cell r="M1537" t="str">
            <v>unknown</v>
          </cell>
        </row>
        <row r="1538">
          <cell r="A1538">
            <v>8077</v>
          </cell>
          <cell r="B1538" t="str">
            <v>ja</v>
          </cell>
          <cell r="C1538" t="str">
            <v>鄭成功</v>
          </cell>
          <cell r="D1538" t="str">
            <v>ポムポムプリン</v>
          </cell>
          <cell r="E1538" t="str">
            <v>執行者</v>
          </cell>
          <cell r="F1538" t="str">
            <v>格好いい</v>
          </cell>
          <cell r="G1538" t="str">
            <v>女性</v>
          </cell>
          <cell r="H1538" t="str">
            <v>blue</v>
          </cell>
          <cell r="I1538">
            <v>5</v>
          </cell>
          <cell r="J1538" t="str">
            <v>PremiumSS</v>
          </cell>
          <cell r="K1538" t="str">
            <v>attack</v>
          </cell>
          <cell r="L1538" t="str">
            <v>攻撃タイプ</v>
          </cell>
          <cell r="M1538" t="str">
            <v>human</v>
          </cell>
        </row>
        <row r="1539">
          <cell r="A1539">
            <v>8078</v>
          </cell>
          <cell r="B1539" t="str">
            <v>ja</v>
          </cell>
          <cell r="C1539" t="str">
            <v>レア６鄭成功</v>
          </cell>
          <cell r="D1539" t="str">
            <v>ポムポムプリン</v>
          </cell>
          <cell r="E1539" t="str">
            <v>執行者</v>
          </cell>
          <cell r="F1539" t="str">
            <v>格好いい</v>
          </cell>
          <cell r="G1539" t="str">
            <v>女性</v>
          </cell>
          <cell r="H1539" t="str">
            <v>blue</v>
          </cell>
          <cell r="I1539">
            <v>6</v>
          </cell>
          <cell r="J1539" t="str">
            <v>PremiumSS</v>
          </cell>
          <cell r="K1539" t="str">
            <v>attack</v>
          </cell>
          <cell r="L1539" t="str">
            <v>攻撃タイプ</v>
          </cell>
          <cell r="M1539" t="str">
            <v>human</v>
          </cell>
        </row>
        <row r="1540">
          <cell r="A1540">
            <v>8079</v>
          </cell>
          <cell r="B1540" t="str">
            <v>ja</v>
          </cell>
          <cell r="C1540" t="str">
            <v>赤鬼</v>
          </cell>
          <cell r="D1540" t="str">
            <v>ポムポムプリン</v>
          </cell>
          <cell r="E1540" t="str">
            <v>執行者</v>
          </cell>
          <cell r="F1540" t="str">
            <v>格好いい</v>
          </cell>
          <cell r="G1540" t="str">
            <v>女性</v>
          </cell>
          <cell r="H1540" t="str">
            <v>red</v>
          </cell>
          <cell r="I1540">
            <v>5</v>
          </cell>
          <cell r="J1540" t="str">
            <v>DropWizS</v>
          </cell>
          <cell r="K1540" t="str">
            <v>hp</v>
          </cell>
          <cell r="L1540" t="str">
            <v>体力タイプ</v>
          </cell>
          <cell r="M1540" t="str">
            <v>dragon</v>
          </cell>
        </row>
        <row r="1541">
          <cell r="A1541">
            <v>8080</v>
          </cell>
          <cell r="B1541" t="str">
            <v>ja</v>
          </cell>
          <cell r="C1541" t="str">
            <v>レア６赤鬼</v>
          </cell>
          <cell r="D1541" t="str">
            <v>ポムポムプリン</v>
          </cell>
          <cell r="E1541" t="str">
            <v>執行者</v>
          </cell>
          <cell r="F1541" t="str">
            <v>格好いい</v>
          </cell>
          <cell r="G1541" t="str">
            <v>女性</v>
          </cell>
          <cell r="H1541" t="str">
            <v>red</v>
          </cell>
          <cell r="I1541">
            <v>6</v>
          </cell>
          <cell r="J1541" t="str">
            <v>DropWizS</v>
          </cell>
          <cell r="K1541" t="str">
            <v>hp</v>
          </cell>
          <cell r="L1541" t="str">
            <v>体力タイプ</v>
          </cell>
          <cell r="M1541" t="str">
            <v>dragon</v>
          </cell>
        </row>
        <row r="1542">
          <cell r="A1542">
            <v>8081</v>
          </cell>
          <cell r="B1542" t="str">
            <v>ja</v>
          </cell>
          <cell r="C1542" t="str">
            <v>関羽</v>
          </cell>
          <cell r="H1542" t="str">
            <v>green</v>
          </cell>
          <cell r="I1542">
            <v>5</v>
          </cell>
          <cell r="J1542" t="str">
            <v>PremiumSSS</v>
          </cell>
          <cell r="K1542" t="str">
            <v>balance</v>
          </cell>
          <cell r="L1542" t="str">
            <v>バランスタイプ</v>
          </cell>
          <cell r="M1542" t="str">
            <v>samurai</v>
          </cell>
        </row>
        <row r="1543">
          <cell r="A1543">
            <v>8082</v>
          </cell>
          <cell r="B1543" t="str">
            <v>ja</v>
          </cell>
          <cell r="C1543" t="str">
            <v>★６関羽</v>
          </cell>
          <cell r="H1543" t="str">
            <v>green</v>
          </cell>
          <cell r="I1543">
            <v>6</v>
          </cell>
          <cell r="J1543" t="str">
            <v>PremiumSSS</v>
          </cell>
          <cell r="K1543" t="str">
            <v>balance</v>
          </cell>
          <cell r="L1543" t="str">
            <v>バランスタイプ</v>
          </cell>
          <cell r="M1543" t="str">
            <v>samurai</v>
          </cell>
        </row>
        <row r="1544">
          <cell r="A1544">
            <v>8083</v>
          </cell>
          <cell r="B1544" t="str">
            <v>ja</v>
          </cell>
          <cell r="C1544" t="str">
            <v>曹操</v>
          </cell>
          <cell r="H1544" t="str">
            <v>yellow</v>
          </cell>
          <cell r="I1544">
            <v>5</v>
          </cell>
          <cell r="J1544" t="str">
            <v>DropWizSS</v>
          </cell>
          <cell r="K1544" t="str">
            <v>technical</v>
          </cell>
          <cell r="L1544" t="str">
            <v>テクニカルタイプ</v>
          </cell>
          <cell r="M1544" t="str">
            <v>samurai</v>
          </cell>
        </row>
        <row r="1545">
          <cell r="A1545">
            <v>8084</v>
          </cell>
          <cell r="B1545" t="str">
            <v>ja</v>
          </cell>
          <cell r="C1545" t="str">
            <v>★６曹操</v>
          </cell>
          <cell r="H1545" t="str">
            <v>yellow</v>
          </cell>
          <cell r="I1545">
            <v>6</v>
          </cell>
          <cell r="J1545" t="str">
            <v>DropWizSS</v>
          </cell>
          <cell r="K1545" t="str">
            <v>technical</v>
          </cell>
          <cell r="L1545" t="str">
            <v>テクニカルタイプ</v>
          </cell>
          <cell r="M1545" t="str">
            <v>samurai</v>
          </cell>
        </row>
        <row r="1546">
          <cell r="A1546">
            <v>8087</v>
          </cell>
          <cell r="B1546" t="str">
            <v>ja</v>
          </cell>
          <cell r="C1546" t="str">
            <v>財神</v>
          </cell>
          <cell r="H1546" t="str">
            <v>red</v>
          </cell>
          <cell r="I1546">
            <v>5</v>
          </cell>
          <cell r="J1546" t="str">
            <v>PremiumSSS</v>
          </cell>
          <cell r="K1546" t="str">
            <v>technical</v>
          </cell>
          <cell r="L1546" t="str">
            <v>テクニカルタイプ</v>
          </cell>
          <cell r="M1546" t="str">
            <v>god</v>
          </cell>
        </row>
        <row r="1547">
          <cell r="A1547">
            <v>8088</v>
          </cell>
          <cell r="B1547" t="str">
            <v>ja</v>
          </cell>
          <cell r="C1547" t="str">
            <v>★６財神</v>
          </cell>
          <cell r="H1547" t="str">
            <v>red</v>
          </cell>
          <cell r="I1547">
            <v>6</v>
          </cell>
          <cell r="J1547" t="str">
            <v>PremiumSSS</v>
          </cell>
          <cell r="K1547" t="str">
            <v>technical</v>
          </cell>
          <cell r="L1547" t="str">
            <v>テクニカルタイプ</v>
          </cell>
          <cell r="M1547" t="str">
            <v>god</v>
          </cell>
        </row>
        <row r="1548">
          <cell r="A1548">
            <v>8089</v>
          </cell>
          <cell r="B1548" t="str">
            <v>ja</v>
          </cell>
          <cell r="C1548" t="str">
            <v>年獣</v>
          </cell>
          <cell r="H1548" t="str">
            <v>green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animal</v>
          </cell>
        </row>
        <row r="1549">
          <cell r="A1549">
            <v>8090</v>
          </cell>
          <cell r="B1549" t="str">
            <v>ja</v>
          </cell>
          <cell r="C1549" t="str">
            <v>★６年獣</v>
          </cell>
          <cell r="H1549" t="str">
            <v>green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animal</v>
          </cell>
        </row>
        <row r="1550">
          <cell r="A1550">
            <v>8095</v>
          </cell>
          <cell r="B1550" t="str">
            <v>ja</v>
          </cell>
          <cell r="C1550" t="str">
            <v>バハムートダック赤</v>
          </cell>
          <cell r="D1550" t="str">
            <v>ポムポムプリン</v>
          </cell>
          <cell r="E1550" t="str">
            <v>執行者</v>
          </cell>
          <cell r="F1550" t="str">
            <v>格好いい</v>
          </cell>
          <cell r="G1550" t="str">
            <v>女性</v>
          </cell>
          <cell r="H1550" t="str">
            <v>red</v>
          </cell>
          <cell r="I1550">
            <v>6</v>
          </cell>
          <cell r="J1550" t="str">
            <v>Material</v>
          </cell>
          <cell r="K1550" t="str">
            <v>exp</v>
          </cell>
          <cell r="L1550" t="str">
            <v>強化素材タイプ</v>
          </cell>
          <cell r="M1550" t="str">
            <v>unknown</v>
          </cell>
        </row>
        <row r="1551">
          <cell r="A1551">
            <v>8096</v>
          </cell>
          <cell r="B1551" t="str">
            <v>ja</v>
          </cell>
          <cell r="C1551" t="str">
            <v>バハムートダック緑</v>
          </cell>
          <cell r="D1551" t="str">
            <v>ポムポムプリン</v>
          </cell>
          <cell r="E1551" t="str">
            <v>執行者</v>
          </cell>
          <cell r="F1551" t="str">
            <v>格好いい</v>
          </cell>
          <cell r="G1551" t="str">
            <v>女性</v>
          </cell>
          <cell r="H1551" t="str">
            <v>green</v>
          </cell>
          <cell r="I1551">
            <v>6</v>
          </cell>
          <cell r="J1551" t="str">
            <v>Material</v>
          </cell>
          <cell r="K1551" t="str">
            <v>exp</v>
          </cell>
          <cell r="L1551" t="str">
            <v>強化素材タイプ</v>
          </cell>
          <cell r="M1551" t="str">
            <v>unknown</v>
          </cell>
        </row>
        <row r="1552">
          <cell r="A1552">
            <v>8097</v>
          </cell>
          <cell r="B1552" t="str">
            <v>ja</v>
          </cell>
          <cell r="C1552" t="str">
            <v>バハムートダック青</v>
          </cell>
          <cell r="D1552" t="str">
            <v>ポムポムプリン</v>
          </cell>
          <cell r="E1552" t="str">
            <v>執行者</v>
          </cell>
          <cell r="F1552" t="str">
            <v>格好いい</v>
          </cell>
          <cell r="G1552" t="str">
            <v>女性</v>
          </cell>
          <cell r="H1552" t="str">
            <v>blue</v>
          </cell>
          <cell r="I1552">
            <v>6</v>
          </cell>
          <cell r="J1552" t="str">
            <v>Material</v>
          </cell>
          <cell r="K1552" t="str">
            <v>exp</v>
          </cell>
          <cell r="L1552" t="str">
            <v>強化素材タイプ</v>
          </cell>
          <cell r="M1552" t="str">
            <v>unknown</v>
          </cell>
        </row>
        <row r="1553">
          <cell r="A1553">
            <v>8098</v>
          </cell>
          <cell r="B1553" t="str">
            <v>ja</v>
          </cell>
          <cell r="C1553" t="str">
            <v>バハムートダック黄</v>
          </cell>
          <cell r="D1553" t="str">
            <v>ポムポムプリン</v>
          </cell>
          <cell r="E1553" t="str">
            <v>執行者</v>
          </cell>
          <cell r="F1553" t="str">
            <v>格好いい</v>
          </cell>
          <cell r="G1553" t="str">
            <v>女性</v>
          </cell>
          <cell r="H1553" t="str">
            <v>yellow</v>
          </cell>
          <cell r="I1553">
            <v>6</v>
          </cell>
          <cell r="J1553" t="str">
            <v>Material</v>
          </cell>
          <cell r="K1553" t="str">
            <v>exp</v>
          </cell>
          <cell r="L1553" t="str">
            <v>強化素材タイプ</v>
          </cell>
          <cell r="M1553" t="str">
            <v>unknown</v>
          </cell>
        </row>
        <row r="1554">
          <cell r="A1554">
            <v>8099</v>
          </cell>
          <cell r="B1554" t="str">
            <v>ja</v>
          </cell>
          <cell r="C1554" t="str">
            <v>リトルハンプティ</v>
          </cell>
          <cell r="D1554" t="str">
            <v>各属性相性良3・黄・R455</v>
          </cell>
          <cell r="E1554" t="str">
            <v>執行者</v>
          </cell>
          <cell r="F1554" t="str">
            <v>格好いい</v>
          </cell>
          <cell r="G1554" t="str">
            <v>男性</v>
          </cell>
          <cell r="H1554" t="str">
            <v>green</v>
          </cell>
          <cell r="I1554">
            <v>6</v>
          </cell>
          <cell r="J1554" t="str">
            <v>Material</v>
          </cell>
          <cell r="K1554" t="str">
            <v>evolution</v>
          </cell>
          <cell r="L1554" t="str">
            <v>覚醒素材タイプ</v>
          </cell>
          <cell r="M1554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/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87" t="s">
        <v>241</v>
      </c>
      <c r="B2" s="61" t="s">
        <v>110</v>
      </c>
      <c r="C2" s="50" t="str">
        <f>RIGHT(F2,6)</f>
        <v>531100</v>
      </c>
      <c r="D2" s="19" t="s">
        <v>45</v>
      </c>
      <c r="E2" s="17" t="str">
        <f t="shared" ref="E2" si="0">B2&amp;C2&amp;D2</f>
        <v>gacha_select_tables_531100.tmp</v>
      </c>
      <c r="F2" s="98" t="s">
        <v>252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87" t="s">
        <v>241</v>
      </c>
      <c r="B3" s="61" t="s">
        <v>110</v>
      </c>
      <c r="C3" s="50" t="str">
        <f t="shared" ref="C3:C7" si="1">RIGHT(F3,6)</f>
        <v>531010</v>
      </c>
      <c r="D3" s="19" t="s">
        <v>45</v>
      </c>
      <c r="E3" s="17" t="str">
        <f t="shared" ref="E3:E10" si="2">B3&amp;C3&amp;D3</f>
        <v>gacha_select_tables_531010.tmp</v>
      </c>
      <c r="F3" s="98" t="s">
        <v>253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87" t="s">
        <v>241</v>
      </c>
      <c r="B4" s="93" t="s">
        <v>246</v>
      </c>
      <c r="C4" s="94" t="str">
        <f t="shared" si="1"/>
        <v>531100</v>
      </c>
      <c r="D4" s="19" t="s">
        <v>247</v>
      </c>
      <c r="E4" s="17" t="str">
        <f t="shared" si="2"/>
        <v>gacha_settle_tables_531100.tmp</v>
      </c>
      <c r="F4" s="98" t="s">
        <v>254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7" t="s">
        <v>241</v>
      </c>
      <c r="B5" s="61" t="s">
        <v>110</v>
      </c>
      <c r="C5" s="50" t="str">
        <f t="shared" si="1"/>
        <v>363104</v>
      </c>
      <c r="D5" s="19" t="s">
        <v>45</v>
      </c>
      <c r="E5" s="17" t="str">
        <f t="shared" ref="E5:E7" si="3">B5&amp;C5&amp;D5</f>
        <v>gacha_select_tables_363104.tmp</v>
      </c>
      <c r="F5" s="89" t="s">
        <v>242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7" t="s">
        <v>241</v>
      </c>
      <c r="B6" s="61" t="s">
        <v>110</v>
      </c>
      <c r="C6" s="50" t="str">
        <f t="shared" ref="C6" si="4">RIGHT(F6,6)</f>
        <v>363105</v>
      </c>
      <c r="D6" s="19" t="s">
        <v>45</v>
      </c>
      <c r="E6" s="17" t="str">
        <f t="shared" ref="E6" si="5">B6&amp;C6&amp;D6</f>
        <v>gacha_select_tables_363105.tmp</v>
      </c>
      <c r="F6" s="89" t="s">
        <v>243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7" t="s">
        <v>241</v>
      </c>
      <c r="B7" s="61" t="s">
        <v>110</v>
      </c>
      <c r="C7" s="50" t="str">
        <f t="shared" si="1"/>
        <v>363100</v>
      </c>
      <c r="D7" s="19" t="s">
        <v>45</v>
      </c>
      <c r="E7" s="17" t="str">
        <f t="shared" si="3"/>
        <v>gacha_select_tables_363100.tmp</v>
      </c>
      <c r="F7" s="89" t="s">
        <v>244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90" t="s">
        <v>245</v>
      </c>
      <c r="B8" s="27" t="s">
        <v>50</v>
      </c>
      <c r="C8" s="32">
        <v>536</v>
      </c>
      <c r="D8" s="19" t="s">
        <v>46</v>
      </c>
      <c r="E8" s="17" t="str">
        <f t="shared" si="2"/>
        <v>gacha_bonus_tables_536.tmp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90" t="s">
        <v>245</v>
      </c>
      <c r="B9" s="19" t="s">
        <v>48</v>
      </c>
      <c r="C9" s="32">
        <v>536</v>
      </c>
      <c r="D9" s="19" t="s">
        <v>46</v>
      </c>
      <c r="E9" s="17" t="str">
        <f t="shared" si="2"/>
        <v>gifts_tmp_536.tmp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90" t="s">
        <v>245</v>
      </c>
      <c r="B10" s="19" t="s">
        <v>49</v>
      </c>
      <c r="C10" s="32">
        <v>536</v>
      </c>
      <c r="D10" s="19" t="s">
        <v>46</v>
      </c>
      <c r="E10" s="17" t="str">
        <f t="shared" si="2"/>
        <v>gifts_i18n_536.tmp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51"/>
  <sheetViews>
    <sheetView workbookViewId="0">
      <selection activeCell="J10" sqref="J10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531010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>
        <v>1424</v>
      </c>
      <c r="M3" s="37" t="str">
        <f>VLOOKUP(L3,[1]characters!$A:$C,3,FALSE)</f>
        <v>波打際の宴麗 フロイト</v>
      </c>
      <c r="N3" s="63">
        <v>2E-3</v>
      </c>
      <c r="O3" s="37">
        <f>VLOOKUP(L3,[1]characters!$A:$I,9,FALSE)</f>
        <v>6</v>
      </c>
      <c r="P3" s="37" t="str">
        <f>VLOOKUP(L3,[1]characters!$A:$J,10,FALSE)</f>
        <v>PremiumSSS</v>
      </c>
      <c r="Q3" s="37" t="str">
        <f>VLOOKUP(L3,tables_531010!B:C,2,FALSE)</f>
        <v>PremiumSSS6R3less</v>
      </c>
      <c r="R3" s="62">
        <f t="shared" ref="R3:R20" si="1">N3*A$38</f>
        <v>124080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>
        <v>1047</v>
      </c>
      <c r="M4" s="37" t="str">
        <f>VLOOKUP(L4,[1]characters!$A:$C,3,FALSE)</f>
        <v>波浪の夏閃 オイラー</v>
      </c>
      <c r="N4" s="63">
        <v>2E-3</v>
      </c>
      <c r="O4" s="37">
        <f>VLOOKUP(L4,[1]characters!$A:$I,9,FALSE)</f>
        <v>6</v>
      </c>
      <c r="P4" s="37" t="str">
        <f>VLOOKUP(L4,[1]characters!$A:$J,10,FALSE)</f>
        <v>PremiumSSS</v>
      </c>
      <c r="Q4" s="37" t="str">
        <f>VLOOKUP(L4,tables_531010!B:C,2,FALSE)</f>
        <v>PremiumSSS6R3less</v>
      </c>
      <c r="R4" s="62">
        <f t="shared" si="1"/>
        <v>124080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1.3636363636363637E-3</v>
      </c>
      <c r="F5">
        <v>71</v>
      </c>
      <c r="H5" s="84">
        <v>0.01</v>
      </c>
      <c r="I5" s="31">
        <v>5</v>
      </c>
      <c r="L5" s="1">
        <v>1051</v>
      </c>
      <c r="M5" s="37" t="str">
        <f>VLOOKUP(L5,[1]characters!$A:$C,3,FALSE)</f>
        <v>嬌電の飛沫 ファラデー</v>
      </c>
      <c r="N5" s="63">
        <v>2E-3</v>
      </c>
      <c r="O5" s="37">
        <f>VLOOKUP(L5,[1]characters!$A:$I,9,FALSE)</f>
        <v>6</v>
      </c>
      <c r="P5" s="37" t="str">
        <f>VLOOKUP(L5,[1]characters!$A:$J,10,FALSE)</f>
        <v>PremiumSSS</v>
      </c>
      <c r="Q5" s="37" t="str">
        <f>VLOOKUP(L5,tables_531010!B:C,2,FALSE)</f>
        <v>PremiumSSS6R3less</v>
      </c>
      <c r="R5" s="62">
        <f t="shared" si="1"/>
        <v>124080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1-B7</f>
        <v>0.92999999999999994</v>
      </c>
      <c r="D6" t="s">
        <v>202</v>
      </c>
      <c r="E6" s="76">
        <f>(B10-H6)/(F6-I6)</f>
        <v>7.3404255319148935E-3</v>
      </c>
      <c r="F6">
        <v>98</v>
      </c>
      <c r="H6" s="88">
        <v>0.2</v>
      </c>
      <c r="I6" s="31">
        <v>4</v>
      </c>
      <c r="L6" s="1">
        <v>1046</v>
      </c>
      <c r="M6" s="37" t="str">
        <f>VLOOKUP(L6,[1]characters!$A:$C,3,FALSE)</f>
        <v>涼求の炎狼 フェンリル</v>
      </c>
      <c r="N6" s="63">
        <v>0.05</v>
      </c>
      <c r="O6" s="37">
        <f>VLOOKUP(L6,[1]characters!$A:$I,9,FALSE)</f>
        <v>5</v>
      </c>
      <c r="P6" s="37" t="str">
        <f>VLOOKUP(L6,[1]characters!$A:$J,10,FALSE)</f>
        <v>PremiumS</v>
      </c>
      <c r="Q6" s="37" t="str">
        <f>VLOOKUP(L6,tables_531010!B:C,2,FALSE)</f>
        <v>Premium5R3less</v>
      </c>
      <c r="R6" s="62">
        <f t="shared" si="1"/>
        <v>3102000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7.0000000000000007E-2</v>
      </c>
      <c r="L7" s="1">
        <v>1050</v>
      </c>
      <c r="M7" s="37" t="str">
        <f>VLOOKUP(L7,[1]characters!$A:$C,3,FALSE)</f>
        <v>廻遊の水獣宰相 ルキフグス</v>
      </c>
      <c r="N7" s="63">
        <v>0.05</v>
      </c>
      <c r="O7" s="37">
        <f>VLOOKUP(L7,[1]characters!$A:$I,9,FALSE)</f>
        <v>5</v>
      </c>
      <c r="P7" s="37" t="str">
        <f>VLOOKUP(L7,[1]characters!$A:$J,10,FALSE)</f>
        <v>PremiumS</v>
      </c>
      <c r="Q7" s="37" t="str">
        <f>VLOOKUP(L7,tables_531010!B:C,2,FALSE)</f>
        <v>Premium5R3less</v>
      </c>
      <c r="R7" s="62">
        <f t="shared" si="1"/>
        <v>3102000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1">
        <v>1049</v>
      </c>
      <c r="M8" s="37" t="str">
        <f>VLOOKUP(L8,[1]characters!$A:$C,3,FALSE)</f>
        <v>深秘の水宙 メビウス</v>
      </c>
      <c r="N8" s="63">
        <v>2E-3</v>
      </c>
      <c r="O8" s="37">
        <f>VLOOKUP(L8,[1]characters!$A:$I,9,FALSE)</f>
        <v>6</v>
      </c>
      <c r="P8" s="37" t="str">
        <f>VLOOKUP(L8,[1]characters!$A:$J,10,FALSE)</f>
        <v>PremiumSSS</v>
      </c>
      <c r="Q8" s="37" t="str">
        <f>VLOOKUP(L8,tables_531010!B:C,2,FALSE)</f>
        <v>PremiumSSS6R3less</v>
      </c>
      <c r="R8" s="62">
        <f t="shared" si="1"/>
        <v>124080</v>
      </c>
      <c r="S8">
        <v>598</v>
      </c>
      <c r="U8" s="33" t="s">
        <v>197</v>
      </c>
      <c r="V8" s="54">
        <f t="shared" si="0"/>
        <v>0.2</v>
      </c>
    </row>
    <row r="9" spans="1:22" x14ac:dyDescent="0.15">
      <c r="A9" s="35" t="s">
        <v>54</v>
      </c>
      <c r="B9" s="35"/>
      <c r="L9" s="1">
        <v>1045</v>
      </c>
      <c r="M9" s="37" t="str">
        <f>VLOOKUP(L9,[1]characters!$A:$C,3,FALSE)</f>
        <v>漂解の海原 シュレディンガー</v>
      </c>
      <c r="N9" s="63">
        <v>2E-3</v>
      </c>
      <c r="O9" s="37">
        <f>VLOOKUP(L9,[1]characters!$A:$I,9,FALSE)</f>
        <v>6</v>
      </c>
      <c r="P9" s="37" t="str">
        <f>VLOOKUP(L9,[1]characters!$A:$J,10,FALSE)</f>
        <v>PremiumSSS</v>
      </c>
      <c r="Q9" s="37" t="str">
        <f>VLOOKUP(L9,tables_531010!B:C,2,FALSE)</f>
        <v>PremiumSSS6R3less</v>
      </c>
      <c r="R9" s="62">
        <f t="shared" si="1"/>
        <v>124080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v>0.89</v>
      </c>
      <c r="C10" t="s">
        <v>208</v>
      </c>
      <c r="L10" s="1">
        <v>1048</v>
      </c>
      <c r="M10" s="37" t="str">
        <f>VLOOKUP(L10,[1]characters!$A:$C,3,FALSE)</f>
        <v>砂上の城主竜 ケツァクアトル</v>
      </c>
      <c r="N10" s="63">
        <v>0.05</v>
      </c>
      <c r="O10" s="37">
        <f>VLOOKUP(L10,[1]characters!$A:$I,9,FALSE)</f>
        <v>5</v>
      </c>
      <c r="P10" s="37" t="str">
        <f>VLOOKUP(L10,[1]characters!$A:$J,10,FALSE)</f>
        <v>PremiumS</v>
      </c>
      <c r="Q10" s="37" t="str">
        <f>VLOOKUP(L10,tables_531010!B:C,2,FALSE)</f>
        <v>Premium5R3less</v>
      </c>
      <c r="R10" s="62">
        <f t="shared" si="1"/>
        <v>3102000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0.1</v>
      </c>
      <c r="C11" t="s">
        <v>249</v>
      </c>
      <c r="L11" s="1">
        <v>1052</v>
      </c>
      <c r="M11" s="37" t="str">
        <f>VLOOKUP(L11,[1]characters!$A:$C,3,FALSE)</f>
        <v>戯魚群の潜光 バルドル</v>
      </c>
      <c r="N11" s="63">
        <v>0.05</v>
      </c>
      <c r="O11" s="37">
        <f>VLOOKUP(L11,[1]characters!$A:$I,9,FALSE)</f>
        <v>5</v>
      </c>
      <c r="P11" s="37" t="str">
        <f>VLOOKUP(L11,[1]characters!$A:$J,10,FALSE)</f>
        <v>PremiumS</v>
      </c>
      <c r="Q11" s="37" t="str">
        <f>VLOOKUP(L11,tables_531010!B:C,2,FALSE)</f>
        <v>Premium5R3less</v>
      </c>
      <c r="R11" s="62">
        <f t="shared" si="1"/>
        <v>3102000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VLOOKUP(L12,tables_531010!B:C,2,FALSE)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VLOOKUP(L13,tables_531010!B:C,2,FALSE)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VLOOKUP(L14,tables_531010!B:C,2,FALSE)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VLOOKUP(L15,tables_531010!B:C,2,FALSE)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VLOOKUP(L16,tables_531010!B:C,2,FALSE)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28" si="2">SUMIF(Q:Q,A17,N:N)</f>
        <v>0</v>
      </c>
      <c r="D17" s="74">
        <f t="shared" ref="D17:D34" si="3">B17-C17</f>
        <v>0</v>
      </c>
      <c r="E17">
        <f>COUNTIF(tables_531010!C:C,input_531010!A17)-COUNTIF(Q:Q,A17)</f>
        <v>20</v>
      </c>
      <c r="F17" s="43">
        <f>IFERROR(B17/E17,0)</f>
        <v>0</v>
      </c>
      <c r="G17">
        <f t="shared" ref="G17:G33" si="4">A$38*B17</f>
        <v>0</v>
      </c>
      <c r="H17">
        <f t="shared" ref="H17:H33" si="5">IFERROR(ROUND(G17/E17,5),0)</f>
        <v>0</v>
      </c>
      <c r="I17">
        <f t="shared" ref="I17:I33" si="6">MOD(H17,1)</f>
        <v>0</v>
      </c>
      <c r="J17">
        <f t="shared" ref="J17:J33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VLOOKUP(L17,tables_531010!B:C,2,FALSE)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E$6*E18-B17+0.01</f>
        <v>0.15680851063829787</v>
      </c>
      <c r="C18" s="85">
        <f t="shared" si="2"/>
        <v>0</v>
      </c>
      <c r="D18" s="74">
        <f t="shared" si="3"/>
        <v>0.15680851063829787</v>
      </c>
      <c r="E18">
        <f>COUNTIF(tables_531010!C:C,input_531010!A18)-COUNTIF(Q:Q,A18)</f>
        <v>20</v>
      </c>
      <c r="F18" s="43">
        <f>IFERROR(B18/E18,0)</f>
        <v>7.8404255319148939E-3</v>
      </c>
      <c r="G18">
        <f t="shared" si="4"/>
        <v>9728400</v>
      </c>
      <c r="H18">
        <f t="shared" si="5"/>
        <v>486420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VLOOKUP(L18,tables_531010!B:C,2,FALSE)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COUNTIF(tables_531010!C:C,input_531010!A19)-COUNTIF(Q:Q,A19)</f>
        <v>52</v>
      </c>
      <c r="F19" s="43">
        <f t="shared" ref="F19:F33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VLOOKUP(L19,tables_531010!B:C,2,FALSE)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2">
        <f>E20*E6-B21</f>
        <v>0.38058027079303675</v>
      </c>
      <c r="C20" s="85">
        <f t="shared" si="2"/>
        <v>0</v>
      </c>
      <c r="D20" s="74">
        <f t="shared" si="3"/>
        <v>0.38058027079303675</v>
      </c>
      <c r="E20">
        <f>COUNTIF(tables_531010!C:C,input_531010!A20)-COUNTIF(Q:Q,A20)</f>
        <v>52</v>
      </c>
      <c r="F20" s="43">
        <f t="shared" si="8"/>
        <v>7.3188513614045525E-3</v>
      </c>
      <c r="G20">
        <f t="shared" si="4"/>
        <v>23611200</v>
      </c>
      <c r="H20">
        <f t="shared" si="5"/>
        <v>454061.53846000001</v>
      </c>
      <c r="I20">
        <f t="shared" si="6"/>
        <v>0.53846000001067296</v>
      </c>
      <c r="J20">
        <f t="shared" si="7"/>
        <v>1.8571481632436555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VLOOKUP(L20,tables_531010!B:C,2,FALSE)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B7-B23-B26-B28-B29-B30</f>
        <v>1.121856866537721E-3</v>
      </c>
      <c r="C21" s="85">
        <f t="shared" si="2"/>
        <v>0</v>
      </c>
      <c r="D21" s="74">
        <f t="shared" si="3"/>
        <v>1.121856866537721E-3</v>
      </c>
      <c r="E21">
        <f>COUNTIF(tables_531010!C:C,input_531010!A21)-COUNTIF(Q:Q,A21)</f>
        <v>52</v>
      </c>
      <c r="F21" s="43">
        <f t="shared" si="8"/>
        <v>2.1574170510340788E-5</v>
      </c>
      <c r="G21">
        <f t="shared" si="4"/>
        <v>69600.000000000204</v>
      </c>
      <c r="H21">
        <f t="shared" si="5"/>
        <v>1338.46154</v>
      </c>
      <c r="I21">
        <f t="shared" si="6"/>
        <v>0.46154000000001361</v>
      </c>
      <c r="J21">
        <f t="shared" si="7"/>
        <v>2.1666594444684546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0.11979574468085107</v>
      </c>
      <c r="C22" s="85">
        <f t="shared" si="2"/>
        <v>0</v>
      </c>
      <c r="D22" s="74">
        <f t="shared" si="3"/>
        <v>0.11979574468085107</v>
      </c>
      <c r="E22">
        <f>COUNTIF(tables_531010!C:C,input_531010!A22)-COUNTIF(Q:Q,A22)</f>
        <v>18</v>
      </c>
      <c r="F22" s="43">
        <f t="shared" si="8"/>
        <v>6.6553191489361705E-3</v>
      </c>
      <c r="G22">
        <f t="shared" si="4"/>
        <v>7432128</v>
      </c>
      <c r="H22">
        <f t="shared" si="5"/>
        <v>412896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1.2331914893617024E-2</v>
      </c>
      <c r="C23" s="85">
        <f t="shared" si="2"/>
        <v>0.2</v>
      </c>
      <c r="D23" s="74">
        <f t="shared" si="3"/>
        <v>-0.187668085106383</v>
      </c>
      <c r="E23">
        <f>COUNTIF(tables_531010!C:C,input_531010!A23)-COUNTIF(Q:Q,A23)</f>
        <v>24</v>
      </c>
      <c r="F23" s="43">
        <f t="shared" si="8"/>
        <v>5.1382978723404265E-4</v>
      </c>
      <c r="G23">
        <f t="shared" si="4"/>
        <v>765072.00000000012</v>
      </c>
      <c r="H23">
        <f t="shared" si="5"/>
        <v>31878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COUNTIF(tables_531010!C:C,input_531010!A24)-COUNTIF(Q:Q,A24)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2.7306382978723402E-2</v>
      </c>
      <c r="C25" s="85">
        <f t="shared" si="2"/>
        <v>0</v>
      </c>
      <c r="D25" s="74">
        <f t="shared" si="3"/>
        <v>2.7306382978723402E-2</v>
      </c>
      <c r="E25">
        <f>COUNTIF(tables_531010!C:C,input_531010!A25)-COUNTIF(Q:Q,A25)</f>
        <v>4</v>
      </c>
      <c r="F25" s="43">
        <f t="shared" si="8"/>
        <v>6.8265957446808504E-3</v>
      </c>
      <c r="G25">
        <f t="shared" si="4"/>
        <v>1694087.9999999998</v>
      </c>
      <c r="H25">
        <f t="shared" si="5"/>
        <v>423522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2.0553191489361702E-3</v>
      </c>
      <c r="C26" s="85">
        <f t="shared" si="2"/>
        <v>0</v>
      </c>
      <c r="D26" s="74">
        <f t="shared" si="3"/>
        <v>2.0553191489361702E-3</v>
      </c>
      <c r="E26">
        <f>COUNTIF(tables_531010!C:C,input_531010!A26)-COUNTIF(Q:Q,A26)</f>
        <v>4</v>
      </c>
      <c r="F26" s="43">
        <f t="shared" si="8"/>
        <v>5.1382978723404254E-4</v>
      </c>
      <c r="G26">
        <f t="shared" si="4"/>
        <v>127512</v>
      </c>
      <c r="H26">
        <f t="shared" si="5"/>
        <v>31878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3.5509090909090907E-2</v>
      </c>
      <c r="C27" s="85">
        <f t="shared" si="2"/>
        <v>0</v>
      </c>
      <c r="D27" s="74">
        <f t="shared" si="3"/>
        <v>3.5509090909090907E-2</v>
      </c>
      <c r="E27">
        <f>COUNTIF(tables_531010!C:C,input_531010!A27)-COUNTIF(Q:Q,A27)</f>
        <v>28</v>
      </c>
      <c r="F27" s="43">
        <f>IFERROR(B27/E27,0)</f>
        <v>1.268181818181818E-3</v>
      </c>
      <c r="G27">
        <f t="shared" si="4"/>
        <v>2202984</v>
      </c>
      <c r="H27">
        <f t="shared" si="5"/>
        <v>78678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2.6727272727272732E-3</v>
      </c>
      <c r="C28" s="85">
        <f t="shared" si="2"/>
        <v>0</v>
      </c>
      <c r="D28" s="74">
        <f t="shared" si="3"/>
        <v>2.6727272727272732E-3</v>
      </c>
      <c r="E28">
        <f>COUNTIF(tables_531010!C:C,input_531010!A28)-COUNTIF(Q:Q,A28)</f>
        <v>28</v>
      </c>
      <c r="F28" s="43">
        <f t="shared" si="8"/>
        <v>9.5454545454545475E-5</v>
      </c>
      <c r="G28">
        <f t="shared" si="4"/>
        <v>165816.00000000003</v>
      </c>
      <c r="H28">
        <f t="shared" si="5"/>
        <v>5922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251</v>
      </c>
      <c r="B29" s="56">
        <f>E$5*E29</f>
        <v>0</v>
      </c>
      <c r="C29" s="85">
        <f t="shared" ref="C29:C30" si="9">SUMIF(Q:Q,A29,N:N)</f>
        <v>0</v>
      </c>
      <c r="D29" s="74"/>
      <c r="E29">
        <f>COUNTIF(tables_531010!C:C,input_531010!A29)-COUNTIF(Q:Q,A29)</f>
        <v>0</v>
      </c>
      <c r="F29" s="43">
        <f t="shared" ref="F29:F30" si="10">IFERROR(B29/E29,0)</f>
        <v>0</v>
      </c>
      <c r="G29">
        <f t="shared" ref="G29:G30" si="11">A$38*B29</f>
        <v>0</v>
      </c>
      <c r="H29">
        <f t="shared" ref="H29:H30" si="12">IFERROR(ROUND(G29/E29,5),0)</f>
        <v>0</v>
      </c>
      <c r="I29">
        <f t="shared" ref="I29:I30" si="13">MOD(H29,1)</f>
        <v>0</v>
      </c>
      <c r="J29">
        <f t="shared" ref="J29:J30" si="14">IFERROR(1/I29,1)</f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199</v>
      </c>
      <c r="B30" s="56">
        <f>E$5*E30</f>
        <v>5.1818181818181819E-2</v>
      </c>
      <c r="C30" s="85">
        <f t="shared" si="9"/>
        <v>0</v>
      </c>
      <c r="D30" s="74"/>
      <c r="E30">
        <f>COUNTIF(tables_531010!C:C,input_531010!A30)-COUNTIF(Q:Q,A30)</f>
        <v>38</v>
      </c>
      <c r="F30" s="43">
        <f t="shared" si="10"/>
        <v>1.3636363636363637E-3</v>
      </c>
      <c r="G30">
        <f t="shared" si="11"/>
        <v>3214800</v>
      </c>
      <c r="H30">
        <f t="shared" si="12"/>
        <v>84600</v>
      </c>
      <c r="I30">
        <f t="shared" si="13"/>
        <v>0</v>
      </c>
      <c r="J30">
        <f t="shared" si="14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239</v>
      </c>
      <c r="B31" s="56">
        <f>0</f>
        <v>0</v>
      </c>
      <c r="C31" s="85">
        <f>SUMIF(Q:Q,A31,N:N)</f>
        <v>0</v>
      </c>
      <c r="D31" s="74">
        <f t="shared" si="3"/>
        <v>0</v>
      </c>
      <c r="E31">
        <f>COUNTIF(tables_531010!C:C,input_531010!A31)-COUNTIF(Q:Q,A31)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3" t="s">
        <v>240</v>
      </c>
      <c r="B32" s="56">
        <v>0</v>
      </c>
      <c r="C32" s="85">
        <f>SUMIF(Q:Q,A32,N:N)</f>
        <v>0</v>
      </c>
      <c r="D32" s="74">
        <f t="shared" si="3"/>
        <v>0</v>
      </c>
      <c r="E32">
        <f>COUNTIF(tables_531010!C:C,input_531010!A32)-COUNTIF(Q:Q,A32)</f>
        <v>0</v>
      </c>
      <c r="F32" s="43">
        <f t="shared" si="8"/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L32" s="57"/>
      <c r="M32" s="57"/>
      <c r="N32" s="58"/>
      <c r="O32" s="57"/>
      <c r="P32" s="57"/>
      <c r="Q32" s="57"/>
      <c r="R32" s="59"/>
    </row>
    <row r="33" spans="1:18" x14ac:dyDescent="0.15">
      <c r="A33" s="33" t="s">
        <v>250</v>
      </c>
      <c r="B33" s="56">
        <f t="shared" ref="B33" si="15">E$5*E33</f>
        <v>0</v>
      </c>
      <c r="C33" s="85">
        <f>SUMIF(Q:Q,A33,N:N)</f>
        <v>0.01</v>
      </c>
      <c r="D33" s="74">
        <f t="shared" si="3"/>
        <v>-0.01</v>
      </c>
      <c r="E33">
        <f>COUNTIF(tables_531010!C:C,input_531010!A33)-COUNTIF(Q:Q,A33)</f>
        <v>0</v>
      </c>
      <c r="F33" s="43">
        <f t="shared" si="8"/>
        <v>0</v>
      </c>
      <c r="G33">
        <f t="shared" si="4"/>
        <v>0</v>
      </c>
      <c r="H33">
        <f t="shared" si="5"/>
        <v>0</v>
      </c>
      <c r="I33">
        <f t="shared" si="6"/>
        <v>0</v>
      </c>
      <c r="J33">
        <f t="shared" si="7"/>
        <v>1</v>
      </c>
      <c r="L33" s="57"/>
      <c r="M33" s="57"/>
      <c r="N33" s="58"/>
      <c r="O33" s="57"/>
      <c r="P33" s="57"/>
      <c r="Q33" s="57"/>
      <c r="R33" s="59"/>
    </row>
    <row r="34" spans="1:18" x14ac:dyDescent="0.15">
      <c r="A34" s="39" t="s">
        <v>59</v>
      </c>
      <c r="B34" s="40">
        <f>SUM(B17:B33)</f>
        <v>0.79000000000000026</v>
      </c>
      <c r="C34" s="41">
        <f>SUM(C19:C33)</f>
        <v>0.21000000000000002</v>
      </c>
      <c r="D34" s="42">
        <f t="shared" si="3"/>
        <v>0.58000000000000029</v>
      </c>
      <c r="L34" s="57"/>
      <c r="M34" s="57"/>
      <c r="N34" s="57"/>
      <c r="O34" s="57"/>
      <c r="P34" s="57"/>
      <c r="Q34" s="57"/>
      <c r="R34" s="59"/>
    </row>
    <row r="36" spans="1:18" x14ac:dyDescent="0.15">
      <c r="E36" s="55"/>
      <c r="F36" s="55"/>
    </row>
    <row r="37" spans="1:18" x14ac:dyDescent="0.15">
      <c r="A37" t="s">
        <v>73</v>
      </c>
    </row>
    <row r="38" spans="1:18" x14ac:dyDescent="0.15">
      <c r="A38" s="31">
        <f>LCM(F5-I5,F6-I6)*1000*2*2*5</f>
        <v>62040000</v>
      </c>
    </row>
    <row r="40" spans="1:18" x14ac:dyDescent="0.15">
      <c r="A40" s="47" t="s">
        <v>76</v>
      </c>
    </row>
    <row r="41" spans="1:18" x14ac:dyDescent="0.15">
      <c r="A41" s="33" t="s">
        <v>60</v>
      </c>
      <c r="B41" t="s">
        <v>74</v>
      </c>
      <c r="C41" t="s">
        <v>100</v>
      </c>
      <c r="E41" t="s">
        <v>101</v>
      </c>
      <c r="F41" t="s">
        <v>2</v>
      </c>
      <c r="G41" t="s">
        <v>63</v>
      </c>
    </row>
    <row r="42" spans="1:18" x14ac:dyDescent="0.15">
      <c r="A42" s="33" t="s">
        <v>103</v>
      </c>
      <c r="B42">
        <f ca="1">SUMIF(tables_531010!C:C,input_531010!A42,tables_531010!O:O)</f>
        <v>0</v>
      </c>
      <c r="C42" s="54">
        <f t="shared" ref="C42:C48" ca="1" si="16">B42/B$49</f>
        <v>0</v>
      </c>
      <c r="E42">
        <v>3</v>
      </c>
      <c r="F42">
        <f ca="1">SUMIF(tables_531010!J:J,input_531010!E42,tables_531010!O:O)</f>
        <v>0</v>
      </c>
      <c r="G42">
        <f ca="1">F42/A38</f>
        <v>0</v>
      </c>
    </row>
    <row r="43" spans="1:18" x14ac:dyDescent="0.15">
      <c r="A43" s="33" t="s">
        <v>104</v>
      </c>
      <c r="B43">
        <f ca="1">SUMIF(tables_531010!C:C,input_531010!A43,tables_531010!O:O)</f>
        <v>23611199.999920014</v>
      </c>
      <c r="C43" s="54">
        <f t="shared" ca="1" si="16"/>
        <v>0.90639395614212892</v>
      </c>
      <c r="E43">
        <v>4</v>
      </c>
      <c r="F43">
        <f ca="1">SUMIF(tables_531010!J:J,input_531010!E43,tables_531010!O:O)</f>
        <v>44668799.999920048</v>
      </c>
      <c r="G43">
        <f ca="1">F43/A38</f>
        <v>0.71999999999871123</v>
      </c>
    </row>
    <row r="44" spans="1:18" x14ac:dyDescent="0.15">
      <c r="A44" s="33" t="s">
        <v>106</v>
      </c>
      <c r="B44">
        <f ca="1">SUMIF(tables_531010!C:C,input_531010!A44,tables_531010!O:O)</f>
        <v>2202984</v>
      </c>
      <c r="C44" s="54">
        <f t="shared" ca="1" si="16"/>
        <v>8.4568822553897138E-2</v>
      </c>
      <c r="E44">
        <v>5</v>
      </c>
      <c r="F44">
        <f ca="1">SUMIF(tables_531010!J:J,input_531010!E44,tables_531010!O:O)</f>
        <v>16750800.000080001</v>
      </c>
      <c r="G44">
        <f ca="1">F44/A38</f>
        <v>0.27000000000128949</v>
      </c>
    </row>
    <row r="45" spans="1:18" x14ac:dyDescent="0.15">
      <c r="A45" s="33" t="s">
        <v>109</v>
      </c>
      <c r="B45">
        <f>SUMIF(tables_531010!C:C,input_531010!A45,tables_531010!O:O)</f>
        <v>0</v>
      </c>
      <c r="C45" s="54">
        <f t="shared" ca="1" si="16"/>
        <v>0</v>
      </c>
      <c r="F45" s="55"/>
    </row>
    <row r="46" spans="1:18" x14ac:dyDescent="0.15">
      <c r="A46" s="33" t="s">
        <v>105</v>
      </c>
      <c r="B46">
        <f ca="1">SUMIF(tables_531010!C:C,input_531010!A46,tables_531010!O:O)</f>
        <v>69600.00007999994</v>
      </c>
      <c r="C46" s="54">
        <f t="shared" ca="1" si="16"/>
        <v>2.6718260579816928E-3</v>
      </c>
      <c r="E46" t="s">
        <v>54</v>
      </c>
      <c r="F46" s="55"/>
    </row>
    <row r="47" spans="1:18" x14ac:dyDescent="0.15">
      <c r="A47" s="33" t="s">
        <v>107</v>
      </c>
      <c r="B47">
        <f ca="1">SUMIF(tables_531010!C:C,input_531010!A47,tables_531010!O:O)</f>
        <v>165816</v>
      </c>
      <c r="C47" s="54">
        <f t="shared" ca="1" si="16"/>
        <v>6.3653952459922572E-3</v>
      </c>
      <c r="E47" t="s">
        <v>204</v>
      </c>
      <c r="F47" s="55">
        <f ca="1">SUMIF(tables_531010!I:I,input_531010!E47,tables_531010!P:P)</f>
        <v>0.15989148936170217</v>
      </c>
    </row>
    <row r="48" spans="1:18" x14ac:dyDescent="0.15">
      <c r="A48" s="33" t="s">
        <v>108</v>
      </c>
      <c r="B48">
        <f>SUMIF(tables_531010!C:C,input_531010!A48,tables_531010!O:O)</f>
        <v>0</v>
      </c>
      <c r="C48" s="54">
        <f t="shared" ca="1" si="16"/>
        <v>0</v>
      </c>
      <c r="E48" t="s">
        <v>205</v>
      </c>
      <c r="F48" s="55">
        <f ca="1">SUMIF(tables_531010!I:I,input_531010!E48,tables_531010!P:P)</f>
        <v>0.14680851063829789</v>
      </c>
    </row>
    <row r="49" spans="1:7" x14ac:dyDescent="0.15">
      <c r="A49" s="39" t="s">
        <v>59</v>
      </c>
      <c r="B49">
        <f ca="1">SUM(B42:B48)</f>
        <v>26049600.000000015</v>
      </c>
      <c r="C49" s="55">
        <f ca="1">SUM(C42:C48)</f>
        <v>0.99999999999999989</v>
      </c>
      <c r="E49" t="s">
        <v>206</v>
      </c>
      <c r="F49" s="55">
        <f ca="1">SUMIF(tables_531010!I:I,input_531010!E49,tables_531010!P:P)</f>
        <v>0.59329999999999994</v>
      </c>
    </row>
    <row r="50" spans="1:7" x14ac:dyDescent="0.15">
      <c r="E50" t="s">
        <v>207</v>
      </c>
      <c r="F50" s="55">
        <f ca="1">SUMIF(tables_531010!I:I,input_531010!E50,tables_531010!P:P)</f>
        <v>8.0454545454545418E-2</v>
      </c>
      <c r="G50" s="55">
        <f ca="1">0.05-F50-F51</f>
        <v>-3.9999999999999959E-2</v>
      </c>
    </row>
    <row r="51" spans="1:7" x14ac:dyDescent="0.15">
      <c r="E51" t="s">
        <v>248</v>
      </c>
      <c r="F51" s="55">
        <f ca="1">SUMIF(tables_531010!I:I,input_531010!E51,tables_531010!P:P)</f>
        <v>9.5454545454545462E-3</v>
      </c>
      <c r="G51">
        <v>3.0000000001684664E-3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filterMode="1" enableFormatConditionsCalculation="0">
    <tabColor rgb="FF0000FF"/>
    <outlinePr summaryBelow="0" summaryRight="0"/>
  </sheetPr>
  <dimension ref="A1:V354"/>
  <sheetViews>
    <sheetView showGridLines="0" zoomScale="75" zoomScaleNormal="75" zoomScalePageLayoutView="75" workbookViewId="0">
      <pane ySplit="1" topLeftCell="A325" activePane="bottomLeft" state="frozen"/>
      <selection activeCell="H276" sqref="H276"/>
      <selection pane="bottomLeft" activeCell="O346" sqref="O34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hidden="1" customHeight="1" x14ac:dyDescent="0.15">
      <c r="A2" s="2" t="str">
        <f ca="1">input_531010!A$2</f>
        <v>531010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IFERROR(VLOOKUP(B2,input_531010!L:R,7,FALSE),VLOOKUP(tables_531010!C2,input_531010!A:H,8,FALSE))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hidden="1" customHeight="1" x14ac:dyDescent="0.15">
      <c r="A3" s="2" t="str">
        <f ca="1">input_531010!A$2</f>
        <v>531010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IFERROR(VLOOKUP(B3,input_531010!L:R,7,FALSE),VLOOKUP(tables_531010!C3,input_531010!A:H,8,FALSE))</f>
        <v>486420</v>
      </c>
      <c r="P3" s="46">
        <f t="shared" ca="1" si="1"/>
        <v>7.8404255319148939E-3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hidden="1" customHeight="1" x14ac:dyDescent="0.15">
      <c r="A4" s="2" t="str">
        <f ca="1">input_531010!A$2</f>
        <v>531010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IFERROR(VLOOKUP(B4,input_531010!L:R,7,FALSE),VLOOKUP(tables_531010!C4,input_531010!A:H,8,FALSE))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hidden="1" customHeight="1" x14ac:dyDescent="0.15">
      <c r="A5" s="2" t="str">
        <f ca="1">input_531010!A$2</f>
        <v>531010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IFERROR(VLOOKUP(B5,input_531010!L:R,7,FALSE),VLOOKUP(tables_531010!C5,input_531010!A:H,8,FALSE))</f>
        <v>486420</v>
      </c>
      <c r="P5" s="46">
        <f t="shared" ca="1" si="1"/>
        <v>7.8404255319148939E-3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hidden="1" customHeight="1" x14ac:dyDescent="0.15">
      <c r="A6" s="2" t="str">
        <f ca="1">input_531010!A$2</f>
        <v>531010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IFERROR(VLOOKUP(B6,input_531010!L:R,7,FALSE),VLOOKUP(tables_531010!C6,input_531010!A:H,8,FALSE))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hidden="1" customHeight="1" x14ac:dyDescent="0.15">
      <c r="A7" s="2" t="str">
        <f ca="1">input_531010!A$2</f>
        <v>531010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IFERROR(VLOOKUP(B7,input_531010!L:R,7,FALSE),VLOOKUP(tables_531010!C7,input_531010!A:H,8,FALSE))</f>
        <v>486420</v>
      </c>
      <c r="P7" s="46">
        <f t="shared" ca="1" si="1"/>
        <v>7.8404255319148939E-3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hidden="1" customHeight="1" x14ac:dyDescent="0.15">
      <c r="A8" s="2" t="str">
        <f ca="1">input_531010!A$2</f>
        <v>531010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IFERROR(VLOOKUP(B8,input_531010!L:R,7,FALSE),VLOOKUP(tables_531010!C8,input_531010!A:H,8,FALSE))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hidden="1" customHeight="1" x14ac:dyDescent="0.15">
      <c r="A9" s="2" t="str">
        <f ca="1">input_531010!A$2</f>
        <v>531010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IFERROR(VLOOKUP(B9,input_531010!L:R,7,FALSE),VLOOKUP(tables_531010!C9,input_531010!A:H,8,FALSE))</f>
        <v>486420</v>
      </c>
      <c r="P9" s="46">
        <f t="shared" ca="1" si="1"/>
        <v>7.8404255319148939E-3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hidden="1" customHeight="1" x14ac:dyDescent="0.15">
      <c r="A10" s="2" t="str">
        <f ca="1">input_531010!A$2</f>
        <v>531010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IFERROR(VLOOKUP(B10,input_531010!L:R,7,FALSE),VLOOKUP(tables_531010!C10,input_531010!A:H,8,FALSE))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hidden="1" customHeight="1" x14ac:dyDescent="0.15">
      <c r="A11" s="2" t="str">
        <f ca="1">input_531010!A$2</f>
        <v>531010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IFERROR(VLOOKUP(B11,input_531010!L:R,7,FALSE),VLOOKUP(tables_531010!C11,input_531010!A:H,8,FALSE))</f>
        <v>486420</v>
      </c>
      <c r="P11" s="46">
        <f t="shared" ca="1" si="1"/>
        <v>7.8404255319148939E-3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hidden="1" customHeight="1" x14ac:dyDescent="0.15">
      <c r="A12" s="2" t="str">
        <f ca="1">input_531010!A$2</f>
        <v>531010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IFERROR(VLOOKUP(B12,input_531010!L:R,7,FALSE),VLOOKUP(tables_531010!C12,input_531010!A:H,8,FALSE))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hidden="1" customHeight="1" x14ac:dyDescent="0.15">
      <c r="A13" s="2" t="str">
        <f ca="1">input_531010!A$2</f>
        <v>531010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IFERROR(VLOOKUP(B13,input_531010!L:R,7,FALSE),VLOOKUP(tables_531010!C13,input_531010!A:H,8,FALSE))</f>
        <v>486420</v>
      </c>
      <c r="P13" s="46">
        <f t="shared" ca="1" si="1"/>
        <v>7.8404255319148939E-3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hidden="1" customHeight="1" x14ac:dyDescent="0.15">
      <c r="A14" s="2" t="str">
        <f ca="1">input_531010!A$2</f>
        <v>531010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IFERROR(VLOOKUP(B14,input_531010!L:R,7,FALSE),VLOOKUP(tables_531010!C14,input_531010!A:H,8,FALSE))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hidden="1" customHeight="1" x14ac:dyDescent="0.15">
      <c r="A15" s="2" t="str">
        <f ca="1">input_531010!A$2</f>
        <v>531010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IFERROR(VLOOKUP(B15,input_531010!L:R,7,FALSE),VLOOKUP(tables_531010!C15,input_531010!A:H,8,FALSE))</f>
        <v>486420</v>
      </c>
      <c r="P15" s="46">
        <f t="shared" ca="1" si="1"/>
        <v>7.8404255319148939E-3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hidden="1" customHeight="1" x14ac:dyDescent="0.15">
      <c r="A16" s="2" t="str">
        <f ca="1">input_531010!A$2</f>
        <v>531010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IFERROR(VLOOKUP(B16,input_531010!L:R,7,FALSE),VLOOKUP(tables_531010!C16,input_531010!A:H,8,FALSE))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hidden="1" customHeight="1" x14ac:dyDescent="0.15">
      <c r="A17" s="2" t="str">
        <f ca="1">input_531010!A$2</f>
        <v>531010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IFERROR(VLOOKUP(B17,input_531010!L:R,7,FALSE),VLOOKUP(tables_531010!C17,input_531010!A:H,8,FALSE))</f>
        <v>486420</v>
      </c>
      <c r="P17" s="46">
        <f t="shared" ca="1" si="1"/>
        <v>7.8404255319148939E-3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hidden="1" customHeight="1" x14ac:dyDescent="0.15">
      <c r="A18" s="2" t="str">
        <f ca="1">input_531010!A$2</f>
        <v>531010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IFERROR(VLOOKUP(B18,input_531010!L:R,7,FALSE),VLOOKUP(tables_531010!C18,input_531010!A:H,8,FALSE))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hidden="1" customHeight="1" thickBot="1" x14ac:dyDescent="0.2">
      <c r="A19" s="2" t="str">
        <f ca="1">input_531010!A$2</f>
        <v>531010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IFERROR(VLOOKUP(B19,input_531010!L:R,7,FALSE),VLOOKUP(tables_531010!C19,input_531010!A:H,8,FALSE))</f>
        <v>486420</v>
      </c>
      <c r="P19" s="46">
        <f t="shared" ca="1" si="1"/>
        <v>7.8404255319148939E-3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hidden="1" customHeight="1" x14ac:dyDescent="0.15">
      <c r="A20" s="2" t="str">
        <f ca="1">input_531010!A$2</f>
        <v>531010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IFERROR(VLOOKUP(B20,input_531010!L:R,7,FALSE),VLOOKUP(tables_531010!C20,input_531010!A:H,8,FALSE))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hidden="1" customHeight="1" x14ac:dyDescent="0.15">
      <c r="A21" s="2" t="str">
        <f ca="1">input_531010!A$2</f>
        <v>531010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IFERROR(VLOOKUP(B21,input_531010!L:R,7,FALSE),VLOOKUP(tables_531010!C21,input_531010!A:H,8,FALSE))</f>
        <v>486420</v>
      </c>
      <c r="P21" s="46">
        <f t="shared" ca="1" si="1"/>
        <v>7.8404255319148939E-3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hidden="1" customHeight="1" x14ac:dyDescent="0.15">
      <c r="A22" s="2" t="str">
        <f ca="1">input_531010!A$2</f>
        <v>531010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IFERROR(VLOOKUP(B22,input_531010!L:R,7,FALSE),VLOOKUP(tables_531010!C22,input_531010!A:H,8,FALSE))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hidden="1" customHeight="1" x14ac:dyDescent="0.15">
      <c r="A23" s="2" t="str">
        <f ca="1">input_531010!A$2</f>
        <v>531010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IFERROR(VLOOKUP(B23,input_531010!L:R,7,FALSE),VLOOKUP(tables_531010!C23,input_531010!A:H,8,FALSE))</f>
        <v>486420</v>
      </c>
      <c r="P23" s="46">
        <f t="shared" ca="1" si="1"/>
        <v>7.8404255319148939E-3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hidden="1" customHeight="1" x14ac:dyDescent="0.15">
      <c r="A24" s="2" t="str">
        <f ca="1">input_531010!A$2</f>
        <v>531010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IFERROR(VLOOKUP(B24,input_531010!L:R,7,FALSE),VLOOKUP(tables_531010!C24,input_531010!A:H,8,FALSE))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hidden="1" customHeight="1" x14ac:dyDescent="0.15">
      <c r="A25" s="2" t="str">
        <f ca="1">input_531010!A$2</f>
        <v>531010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IFERROR(VLOOKUP(B25,input_531010!L:R,7,FALSE),VLOOKUP(tables_531010!C25,input_531010!A:H,8,FALSE))</f>
        <v>486420</v>
      </c>
      <c r="P25" s="46">
        <f t="shared" ca="1" si="1"/>
        <v>7.8404255319148939E-3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hidden="1" customHeight="1" x14ac:dyDescent="0.15">
      <c r="A26" s="2" t="str">
        <f ca="1">input_531010!A$2</f>
        <v>531010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IFERROR(VLOOKUP(B26,input_531010!L:R,7,FALSE),VLOOKUP(tables_531010!C26,input_531010!A:H,8,FALSE))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hidden="1" customHeight="1" x14ac:dyDescent="0.15">
      <c r="A27" s="2" t="str">
        <f ca="1">input_531010!A$2</f>
        <v>531010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IFERROR(VLOOKUP(B27,input_531010!L:R,7,FALSE),VLOOKUP(tables_531010!C27,input_531010!A:H,8,FALSE))</f>
        <v>486420</v>
      </c>
      <c r="P27" s="46">
        <f t="shared" ca="1" si="1"/>
        <v>7.8404255319148939E-3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hidden="1" customHeight="1" x14ac:dyDescent="0.15">
      <c r="A28" s="2" t="str">
        <f ca="1">input_531010!A$2</f>
        <v>531010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IFERROR(VLOOKUP(B28,input_531010!L:R,7,FALSE),VLOOKUP(tables_531010!C28,input_531010!A:H,8,FALSE))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hidden="1" customHeight="1" x14ac:dyDescent="0.15">
      <c r="A29" s="2" t="str">
        <f ca="1">input_531010!A$2</f>
        <v>531010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IFERROR(VLOOKUP(B29,input_531010!L:R,7,FALSE),VLOOKUP(tables_531010!C29,input_531010!A:H,8,FALSE))</f>
        <v>486420</v>
      </c>
      <c r="P29" s="46">
        <f t="shared" ca="1" si="1"/>
        <v>7.8404255319148939E-3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hidden="1" customHeight="1" x14ac:dyDescent="0.15">
      <c r="A30" s="2" t="str">
        <f ca="1">input_531010!A$2</f>
        <v>531010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IFERROR(VLOOKUP(B30,input_531010!L:R,7,FALSE),VLOOKUP(tables_531010!C30,input_531010!A:H,8,FALSE))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hidden="1" customHeight="1" x14ac:dyDescent="0.15">
      <c r="A31" s="2" t="str">
        <f ca="1">input_531010!A$2</f>
        <v>531010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IFERROR(VLOOKUP(B31,input_531010!L:R,7,FALSE),VLOOKUP(tables_531010!C31,input_531010!A:H,8,FALSE))</f>
        <v>486420</v>
      </c>
      <c r="P31" s="46">
        <f t="shared" ca="1" si="1"/>
        <v>7.8404255319148939E-3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hidden="1" customHeight="1" x14ac:dyDescent="0.15">
      <c r="A32" s="2" t="str">
        <f ca="1">input_531010!A$2</f>
        <v>531010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IFERROR(VLOOKUP(B32,input_531010!L:R,7,FALSE),VLOOKUP(tables_531010!C32,input_531010!A:H,8,FALSE))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hidden="1" customHeight="1" x14ac:dyDescent="0.15">
      <c r="A33" s="2" t="str">
        <f ca="1">input_531010!A$2</f>
        <v>531010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IFERROR(VLOOKUP(B33,input_531010!L:R,7,FALSE),VLOOKUP(tables_531010!C33,input_531010!A:H,8,FALSE))</f>
        <v>486420</v>
      </c>
      <c r="P33" s="46">
        <f t="shared" ca="1" si="1"/>
        <v>7.8404255319148939E-3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hidden="1" customHeight="1" x14ac:dyDescent="0.15">
      <c r="A34" s="2" t="str">
        <f ca="1">input_531010!A$2</f>
        <v>531010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IFERROR(VLOOKUP(B34,input_531010!L:R,7,FALSE),VLOOKUP(tables_531010!C34,input_531010!A:H,8,FALSE))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hidden="1" customHeight="1" x14ac:dyDescent="0.15">
      <c r="A35" s="2" t="str">
        <f ca="1">input_531010!A$2</f>
        <v>531010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IFERROR(VLOOKUP(B35,input_531010!L:R,7,FALSE),VLOOKUP(tables_531010!C35,input_531010!A:H,8,FALSE))</f>
        <v>486420</v>
      </c>
      <c r="P35" s="46">
        <f t="shared" ca="1" si="1"/>
        <v>7.8404255319148939E-3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hidden="1" customHeight="1" x14ac:dyDescent="0.15">
      <c r="A36" s="2" t="str">
        <f ca="1">input_531010!A$2</f>
        <v>531010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IFERROR(VLOOKUP(B36,input_531010!L:R,7,FALSE),VLOOKUP(tables_531010!C36,input_531010!A:H,8,FALSE))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hidden="1" customHeight="1" x14ac:dyDescent="0.15">
      <c r="A37" s="2" t="str">
        <f ca="1">input_531010!A$2</f>
        <v>531010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IFERROR(VLOOKUP(B37,input_531010!L:R,7,FALSE),VLOOKUP(tables_531010!C37,input_531010!A:H,8,FALSE))</f>
        <v>486420</v>
      </c>
      <c r="P37" s="46">
        <f t="shared" ca="1" si="1"/>
        <v>7.8404255319148939E-3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hidden="1" customHeight="1" x14ac:dyDescent="0.15">
      <c r="A38" s="2" t="str">
        <f ca="1">input_531010!A$2</f>
        <v>531010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IFERROR(VLOOKUP(B38,input_531010!L:R,7,FALSE),VLOOKUP(tables_531010!C38,input_531010!A:H,8,FALSE))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hidden="1" customHeight="1" x14ac:dyDescent="0.15">
      <c r="A39" s="2" t="str">
        <f ca="1">input_531010!A$2</f>
        <v>531010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IFERROR(VLOOKUP(B39,input_531010!L:R,7,FALSE),VLOOKUP(tables_531010!C39,input_531010!A:H,8,FALSE))</f>
        <v>486420</v>
      </c>
      <c r="P39" s="46">
        <f t="shared" ca="1" si="1"/>
        <v>7.8404255319148939E-3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hidden="1" customHeight="1" x14ac:dyDescent="0.15">
      <c r="A40" s="2" t="str">
        <f ca="1">input_531010!A$2</f>
        <v>531010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IFERROR(VLOOKUP(B40,input_531010!L:R,7,FALSE),VLOOKUP(tables_531010!C40,input_531010!A:H,8,FALSE))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hidden="1" customHeight="1" x14ac:dyDescent="0.15">
      <c r="A41" s="2" t="str">
        <f ca="1">input_531010!A$2</f>
        <v>531010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IFERROR(VLOOKUP(B41,input_531010!L:R,7,FALSE),VLOOKUP(tables_531010!C41,input_531010!A:H,8,FALSE))</f>
        <v>486420</v>
      </c>
      <c r="P41" s="46">
        <f t="shared" ca="1" si="1"/>
        <v>7.8404255319148939E-3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hidden="1" customHeight="1" x14ac:dyDescent="0.15">
      <c r="A42" s="2" t="str">
        <f ca="1">input_531010!A$2</f>
        <v>531010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IFERROR(VLOOKUP(B42,input_531010!L:R,7,FALSE),VLOOKUP(tables_531010!C42,input_531010!A:H,8,FALSE))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hidden="1" customHeight="1" x14ac:dyDescent="0.15">
      <c r="A43" s="2" t="str">
        <f ca="1">input_531010!A$2</f>
        <v>531010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IFERROR(VLOOKUP(B43,input_531010!L:R,7,FALSE),VLOOKUP(tables_531010!C43,input_531010!A:H,8,FALSE))</f>
        <v>423522</v>
      </c>
      <c r="P43" s="46">
        <f t="shared" ca="1" si="1"/>
        <v>6.8265957446808512E-3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input_531010!A$2</f>
        <v>531010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IFERROR(VLOOKUP(B44,input_531010!L:R,7,FALSE),VLOOKUP(tables_531010!C44,input_531010!A:H,8,FALSE))</f>
        <v>31878</v>
      </c>
      <c r="P44" s="46">
        <f t="shared" ca="1" si="1"/>
        <v>5.1382978723404254E-4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hidden="1" customHeight="1" x14ac:dyDescent="0.15">
      <c r="A45" s="2" t="str">
        <f ca="1">input_531010!A$2</f>
        <v>531010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IFERROR(VLOOKUP(B45,input_531010!L:R,7,FALSE),VLOOKUP(tables_531010!C45,input_531010!A:H,8,FALSE))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hidden="1" customHeight="1" x14ac:dyDescent="0.15">
      <c r="A46" s="2" t="str">
        <f ca="1">input_531010!A$2</f>
        <v>531010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IFERROR(VLOOKUP(B46,input_531010!L:R,7,FALSE),VLOOKUP(tables_531010!C46,input_531010!A:H,8,FALSE))</f>
        <v>423522</v>
      </c>
      <c r="P46" s="46">
        <f t="shared" ca="1" si="1"/>
        <v>6.8265957446808512E-3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input_531010!A$2</f>
        <v>531010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IFERROR(VLOOKUP(B47,input_531010!L:R,7,FALSE),VLOOKUP(tables_531010!C47,input_531010!A:H,8,FALSE))</f>
        <v>31878</v>
      </c>
      <c r="P47" s="46">
        <f t="shared" ca="1" si="1"/>
        <v>5.1382978723404254E-4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hidden="1" customHeight="1" x14ac:dyDescent="0.15">
      <c r="A48" s="2" t="str">
        <f ca="1">input_531010!A$2</f>
        <v>531010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IFERROR(VLOOKUP(B48,input_531010!L:R,7,FALSE),VLOOKUP(tables_531010!C48,input_531010!A:H,8,FALSE))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hidden="1" customHeight="1" x14ac:dyDescent="0.15">
      <c r="A49" s="2" t="str">
        <f ca="1">input_531010!A$2</f>
        <v>531010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IFERROR(VLOOKUP(B49,input_531010!L:R,7,FALSE),VLOOKUP(tables_531010!C49,input_531010!A:H,8,FALSE))</f>
        <v>423522</v>
      </c>
      <c r="P49" s="46">
        <f t="shared" ca="1" si="1"/>
        <v>6.8265957446808512E-3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input_531010!A$2</f>
        <v>531010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IFERROR(VLOOKUP(B50,input_531010!L:R,7,FALSE),VLOOKUP(tables_531010!C50,input_531010!A:H,8,FALSE))</f>
        <v>31878</v>
      </c>
      <c r="P50" s="46">
        <f t="shared" ca="1" si="1"/>
        <v>5.1382978723404254E-4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hidden="1" customHeight="1" x14ac:dyDescent="0.15">
      <c r="A51" s="2" t="str">
        <f ca="1">input_531010!A$2</f>
        <v>531010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IFERROR(VLOOKUP(B51,input_531010!L:R,7,FALSE),VLOOKUP(tables_531010!C51,input_531010!A:H,8,FALSE))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hidden="1" customHeight="1" x14ac:dyDescent="0.15">
      <c r="A52" s="2" t="str">
        <f ca="1">input_531010!A$2</f>
        <v>531010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IFERROR(VLOOKUP(B52,input_531010!L:R,7,FALSE),VLOOKUP(tables_531010!C52,input_531010!A:H,8,FALSE))</f>
        <v>454061.53846000001</v>
      </c>
      <c r="P52" s="46">
        <f t="shared" ca="1" si="1"/>
        <v>7.3188513613797555E-3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input_531010!A$2</f>
        <v>531010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IFERROR(VLOOKUP(B53,input_531010!L:R,7,FALSE),VLOOKUP(tables_531010!C53,input_531010!A:H,8,FALSE))</f>
        <v>1338.46154</v>
      </c>
      <c r="P53" s="46">
        <f t="shared" ca="1" si="1"/>
        <v>2.157417053513862E-5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hidden="1" customHeight="1" x14ac:dyDescent="0.15">
      <c r="A54" s="2" t="str">
        <f ca="1">input_531010!A$2</f>
        <v>531010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IFERROR(VLOOKUP(B54,input_531010!L:R,7,FALSE),VLOOKUP(tables_531010!C54,input_531010!A:H,8,FALSE))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hidden="1" customHeight="1" x14ac:dyDescent="0.15">
      <c r="A55" s="2" t="str">
        <f ca="1">input_531010!A$2</f>
        <v>531010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IFERROR(VLOOKUP(B55,input_531010!L:R,7,FALSE),VLOOKUP(tables_531010!C55,input_531010!A:H,8,FALSE))</f>
        <v>454061.53846000001</v>
      </c>
      <c r="P55" s="46">
        <f t="shared" ca="1" si="1"/>
        <v>7.3188513613797555E-3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input_531010!A$2</f>
        <v>531010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IFERROR(VLOOKUP(B56,input_531010!L:R,7,FALSE),VLOOKUP(tables_531010!C56,input_531010!A:H,8,FALSE))</f>
        <v>1338.46154</v>
      </c>
      <c r="P56" s="46">
        <f t="shared" ca="1" si="1"/>
        <v>2.157417053513862E-5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hidden="1" customHeight="1" x14ac:dyDescent="0.15">
      <c r="A57" s="2" t="str">
        <f ca="1">input_531010!A$2</f>
        <v>531010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IFERROR(VLOOKUP(B57,input_531010!L:R,7,FALSE),VLOOKUP(tables_531010!C57,input_531010!A:H,8,FALSE))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hidden="1" customHeight="1" x14ac:dyDescent="0.15">
      <c r="A58" s="2" t="str">
        <f ca="1">input_531010!A$2</f>
        <v>531010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IFERROR(VLOOKUP(B58,input_531010!L:R,7,FALSE),VLOOKUP(tables_531010!C58,input_531010!A:H,8,FALSE))</f>
        <v>454061.53846000001</v>
      </c>
      <c r="P58" s="46">
        <f t="shared" ca="1" si="1"/>
        <v>7.3188513613797555E-3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input_531010!A$2</f>
        <v>531010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IFERROR(VLOOKUP(B59,input_531010!L:R,7,FALSE),VLOOKUP(tables_531010!C59,input_531010!A:H,8,FALSE))</f>
        <v>1338.46154</v>
      </c>
      <c r="P59" s="46">
        <f t="shared" ca="1" si="1"/>
        <v>2.157417053513862E-5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hidden="1" customHeight="1" x14ac:dyDescent="0.15">
      <c r="A60" s="2" t="str">
        <f ca="1">input_531010!A$2</f>
        <v>531010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IFERROR(VLOOKUP(B60,input_531010!L:R,7,FALSE),VLOOKUP(tables_531010!C60,input_531010!A:H,8,FALSE))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hidden="1" customHeight="1" x14ac:dyDescent="0.15">
      <c r="A61" s="2" t="str">
        <f ca="1">input_531010!A$2</f>
        <v>531010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IFERROR(VLOOKUP(B61,input_531010!L:R,7,FALSE),VLOOKUP(tables_531010!C61,input_531010!A:H,8,FALSE))</f>
        <v>454061.53846000001</v>
      </c>
      <c r="P61" s="46">
        <f t="shared" ca="1" si="1"/>
        <v>7.3188513613797555E-3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input_531010!A$2</f>
        <v>531010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IFERROR(VLOOKUP(B62,input_531010!L:R,7,FALSE),VLOOKUP(tables_531010!C62,input_531010!A:H,8,FALSE))</f>
        <v>1338.46154</v>
      </c>
      <c r="P62" s="46">
        <f t="shared" ca="1" si="1"/>
        <v>2.157417053513862E-5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hidden="1" customHeight="1" x14ac:dyDescent="0.15">
      <c r="A63" s="2" t="str">
        <f ca="1">input_531010!A$2</f>
        <v>531010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IFERROR(VLOOKUP(B63,input_531010!L:R,7,FALSE),VLOOKUP(tables_531010!C63,input_531010!A:H,8,FALSE))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hidden="1" customHeight="1" x14ac:dyDescent="0.15">
      <c r="A64" s="2" t="str">
        <f ca="1">input_531010!A$2</f>
        <v>531010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IFERROR(VLOOKUP(B64,input_531010!L:R,7,FALSE),VLOOKUP(tables_531010!C64,input_531010!A:H,8,FALSE))</f>
        <v>454061.53846000001</v>
      </c>
      <c r="P64" s="46">
        <f t="shared" ca="1" si="1"/>
        <v>7.3188513613797555E-3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input_531010!A$2</f>
        <v>531010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IFERROR(VLOOKUP(B65,input_531010!L:R,7,FALSE),VLOOKUP(tables_531010!C65,input_531010!A:H,8,FALSE))</f>
        <v>1338.46154</v>
      </c>
      <c r="P65" s="46">
        <f t="shared" ca="1" si="1"/>
        <v>2.157417053513862E-5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hidden="1" customHeight="1" thickBot="1" x14ac:dyDescent="0.2">
      <c r="A66" s="2" t="str">
        <f ca="1">input_531010!A$2</f>
        <v>531010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IFERROR(VLOOKUP(B66,input_531010!L:R,7,FALSE),VLOOKUP(tables_531010!C66,input_531010!A:H,8,FALSE))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hidden="1" customHeight="1" x14ac:dyDescent="0.15">
      <c r="A67" s="2" t="str">
        <f ca="1">input_531010!A$2</f>
        <v>531010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IFERROR(VLOOKUP(B67,input_531010!L:R,7,FALSE),VLOOKUP(tables_531010!C67,input_531010!A:H,8,FALSE))</f>
        <v>454061.53846000001</v>
      </c>
      <c r="P67" s="46">
        <f t="shared" ca="1" si="4"/>
        <v>7.3188513613797555E-3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input_531010!A$2</f>
        <v>531010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IFERROR(VLOOKUP(B68,input_531010!L:R,7,FALSE),VLOOKUP(tables_531010!C68,input_531010!A:H,8,FALSE))</f>
        <v>1338.46154</v>
      </c>
      <c r="P68" s="46">
        <f t="shared" ca="1" si="4"/>
        <v>2.157417053513862E-5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hidden="1" customHeight="1" x14ac:dyDescent="0.15">
      <c r="A69" s="2" t="str">
        <f ca="1">input_531010!A$2</f>
        <v>531010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IFERROR(VLOOKUP(B69,input_531010!L:R,7,FALSE),VLOOKUP(tables_531010!C69,input_531010!A:H,8,FALSE))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hidden="1" customHeight="1" x14ac:dyDescent="0.15">
      <c r="A70" s="2" t="str">
        <f ca="1">input_531010!A$2</f>
        <v>531010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IFERROR(VLOOKUP(B70,input_531010!L:R,7,FALSE),VLOOKUP(tables_531010!C70,input_531010!A:H,8,FALSE))</f>
        <v>454061.53846000001</v>
      </c>
      <c r="P70" s="46">
        <f t="shared" ca="1" si="4"/>
        <v>7.3188513613797555E-3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input_531010!A$2</f>
        <v>531010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IFERROR(VLOOKUP(B71,input_531010!L:R,7,FALSE),VLOOKUP(tables_531010!C71,input_531010!A:H,8,FALSE))</f>
        <v>1338.46154</v>
      </c>
      <c r="P71" s="46">
        <f t="shared" ca="1" si="4"/>
        <v>2.157417053513862E-5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hidden="1" customHeight="1" x14ac:dyDescent="0.15">
      <c r="A72" s="2" t="str">
        <f ca="1">input_531010!A$2</f>
        <v>531010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IFERROR(VLOOKUP(B72,input_531010!L:R,7,FALSE),VLOOKUP(tables_531010!C72,input_531010!A:H,8,FALSE))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hidden="1" customHeight="1" x14ac:dyDescent="0.15">
      <c r="A73" s="2" t="str">
        <f ca="1">input_531010!A$2</f>
        <v>531010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IFERROR(VLOOKUP(B73,input_531010!L:R,7,FALSE),VLOOKUP(tables_531010!C73,input_531010!A:H,8,FALSE))</f>
        <v>454061.53846000001</v>
      </c>
      <c r="P73" s="46">
        <f t="shared" ca="1" si="4"/>
        <v>7.3188513613797555E-3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input_531010!A$2</f>
        <v>531010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IFERROR(VLOOKUP(B74,input_531010!L:R,7,FALSE),VLOOKUP(tables_531010!C74,input_531010!A:H,8,FALSE))</f>
        <v>1338.46154</v>
      </c>
      <c r="P74" s="46">
        <f t="shared" ca="1" si="4"/>
        <v>2.157417053513862E-5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hidden="1" customHeight="1" x14ac:dyDescent="0.15">
      <c r="A75" s="2" t="str">
        <f ca="1">input_531010!A$2</f>
        <v>531010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IFERROR(VLOOKUP(B75,input_531010!L:R,7,FALSE),VLOOKUP(tables_531010!C75,input_531010!A:H,8,FALSE))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hidden="1" customHeight="1" x14ac:dyDescent="0.15">
      <c r="A76" s="2" t="str">
        <f ca="1">input_531010!A$2</f>
        <v>531010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IFERROR(VLOOKUP(B76,input_531010!L:R,7,FALSE),VLOOKUP(tables_531010!C76,input_531010!A:H,8,FALSE))</f>
        <v>454061.53846000001</v>
      </c>
      <c r="P76" s="46">
        <f t="shared" ca="1" si="4"/>
        <v>7.3188513613797555E-3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input_531010!A$2</f>
        <v>531010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IFERROR(VLOOKUP(B77,input_531010!L:R,7,FALSE),VLOOKUP(tables_531010!C77,input_531010!A:H,8,FALSE))</f>
        <v>1338.46154</v>
      </c>
      <c r="P77" s="46">
        <f t="shared" ca="1" si="4"/>
        <v>2.157417053513862E-5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hidden="1" customHeight="1" x14ac:dyDescent="0.15">
      <c r="A78" s="2" t="str">
        <f ca="1">input_531010!A$2</f>
        <v>531010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IFERROR(VLOOKUP(B78,input_531010!L:R,7,FALSE),VLOOKUP(tables_531010!C78,input_531010!A:H,8,FALSE))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hidden="1" customHeight="1" x14ac:dyDescent="0.15">
      <c r="A79" s="2" t="str">
        <f ca="1">input_531010!A$2</f>
        <v>531010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IFERROR(VLOOKUP(B79,input_531010!L:R,7,FALSE),VLOOKUP(tables_531010!C79,input_531010!A:H,8,FALSE))</f>
        <v>454061.53846000001</v>
      </c>
      <c r="P79" s="46">
        <f t="shared" ca="1" si="4"/>
        <v>7.3188513613797555E-3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input_531010!A$2</f>
        <v>531010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IFERROR(VLOOKUP(B80,input_531010!L:R,7,FALSE),VLOOKUP(tables_531010!C80,input_531010!A:H,8,FALSE))</f>
        <v>1338.46154</v>
      </c>
      <c r="P80" s="46">
        <f t="shared" ca="1" si="4"/>
        <v>2.157417053513862E-5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hidden="1" customHeight="1" x14ac:dyDescent="0.15">
      <c r="A81" s="2" t="str">
        <f ca="1">input_531010!A$2</f>
        <v>531010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IFERROR(VLOOKUP(B81,input_531010!L:R,7,FALSE),VLOOKUP(tables_531010!C81,input_531010!A:H,8,FALSE))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hidden="1" customHeight="1" x14ac:dyDescent="0.15">
      <c r="A82" s="2" t="str">
        <f ca="1">input_531010!A$2</f>
        <v>531010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IFERROR(VLOOKUP(B82,input_531010!L:R,7,FALSE),VLOOKUP(tables_531010!C82,input_531010!A:H,8,FALSE))</f>
        <v>454061.53846000001</v>
      </c>
      <c r="P82" s="46">
        <f t="shared" ca="1" si="4"/>
        <v>7.3188513613797555E-3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input_531010!A$2</f>
        <v>531010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IFERROR(VLOOKUP(B83,input_531010!L:R,7,FALSE),VLOOKUP(tables_531010!C83,input_531010!A:H,8,FALSE))</f>
        <v>1338.46154</v>
      </c>
      <c r="P83" s="46">
        <f t="shared" ca="1" si="4"/>
        <v>2.157417053513862E-5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hidden="1" customHeight="1" x14ac:dyDescent="0.15">
      <c r="A84" s="2" t="str">
        <f ca="1">input_531010!A$2</f>
        <v>531010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IFERROR(VLOOKUP(B84,input_531010!L:R,7,FALSE),VLOOKUP(tables_531010!C84,input_531010!A:H,8,FALSE))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hidden="1" customHeight="1" x14ac:dyDescent="0.15">
      <c r="A85" s="2" t="str">
        <f ca="1">input_531010!A$2</f>
        <v>531010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IFERROR(VLOOKUP(B85,input_531010!L:R,7,FALSE),VLOOKUP(tables_531010!C85,input_531010!A:H,8,FALSE))</f>
        <v>454061.53846000001</v>
      </c>
      <c r="P85" s="46">
        <f t="shared" ca="1" si="4"/>
        <v>7.3188513613797555E-3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input_531010!A$2</f>
        <v>531010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IFERROR(VLOOKUP(B86,input_531010!L:R,7,FALSE),VLOOKUP(tables_531010!C86,input_531010!A:H,8,FALSE))</f>
        <v>1338.46154</v>
      </c>
      <c r="P86" s="46">
        <f t="shared" ca="1" si="4"/>
        <v>2.157417053513862E-5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hidden="1" customHeight="1" x14ac:dyDescent="0.15">
      <c r="A87" s="2" t="str">
        <f ca="1">input_531010!A$2</f>
        <v>531010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IFERROR(VLOOKUP(B87,input_531010!L:R,7,FALSE),VLOOKUP(tables_531010!C87,input_531010!A:H,8,FALSE))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hidden="1" customHeight="1" x14ac:dyDescent="0.15">
      <c r="A88" s="2" t="str">
        <f ca="1">input_531010!A$2</f>
        <v>531010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IFERROR(VLOOKUP(B88,input_531010!L:R,7,FALSE),VLOOKUP(tables_531010!C88,input_531010!A:H,8,FALSE))</f>
        <v>454061.53846000001</v>
      </c>
      <c r="P88" s="46">
        <f t="shared" ca="1" si="4"/>
        <v>7.3188513613797555E-3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input_531010!A$2</f>
        <v>531010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IFERROR(VLOOKUP(B89,input_531010!L:R,7,FALSE),VLOOKUP(tables_531010!C89,input_531010!A:H,8,FALSE))</f>
        <v>1338.46154</v>
      </c>
      <c r="P89" s="46">
        <f t="shared" ca="1" si="4"/>
        <v>2.157417053513862E-5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hidden="1" customHeight="1" x14ac:dyDescent="0.15">
      <c r="A90" s="2" t="str">
        <f ca="1">input_531010!A$2</f>
        <v>531010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IFERROR(VLOOKUP(B90,input_531010!L:R,7,FALSE),VLOOKUP(tables_531010!C90,input_531010!A:H,8,FALSE))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hidden="1" customHeight="1" x14ac:dyDescent="0.15">
      <c r="A91" s="2" t="str">
        <f ca="1">input_531010!A$2</f>
        <v>531010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IFERROR(VLOOKUP(B91,input_531010!L:R,7,FALSE),VLOOKUP(tables_531010!C91,input_531010!A:H,8,FALSE))</f>
        <v>454061.53846000001</v>
      </c>
      <c r="P91" s="46">
        <f t="shared" ca="1" si="4"/>
        <v>7.3188513613797555E-3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input_531010!A$2</f>
        <v>531010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IFERROR(VLOOKUP(B92,input_531010!L:R,7,FALSE),VLOOKUP(tables_531010!C92,input_531010!A:H,8,FALSE))</f>
        <v>1338.46154</v>
      </c>
      <c r="P92" s="46">
        <f t="shared" ca="1" si="4"/>
        <v>2.157417053513862E-5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hidden="1" customHeight="1" x14ac:dyDescent="0.15">
      <c r="A93" s="2" t="str">
        <f ca="1">input_531010!A$2</f>
        <v>531010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IFERROR(VLOOKUP(B93,input_531010!L:R,7,FALSE),VLOOKUP(tables_531010!C93,input_531010!A:H,8,FALSE))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hidden="1" customHeight="1" x14ac:dyDescent="0.15">
      <c r="A94" s="2" t="str">
        <f ca="1">input_531010!A$2</f>
        <v>531010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IFERROR(VLOOKUP(B94,input_531010!L:R,7,FALSE),VLOOKUP(tables_531010!C94,input_531010!A:H,8,FALSE))</f>
        <v>454061.53846000001</v>
      </c>
      <c r="P94" s="46">
        <f t="shared" ca="1" si="4"/>
        <v>7.3188513613797555E-3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input_531010!A$2</f>
        <v>531010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IFERROR(VLOOKUP(B95,input_531010!L:R,7,FALSE),VLOOKUP(tables_531010!C95,input_531010!A:H,8,FALSE))</f>
        <v>1338.46154</v>
      </c>
      <c r="P95" s="46">
        <f t="shared" ca="1" si="4"/>
        <v>2.157417053513862E-5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hidden="1" customHeight="1" x14ac:dyDescent="0.15">
      <c r="A96" s="2" t="str">
        <f ca="1">input_531010!A$2</f>
        <v>531010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IFERROR(VLOOKUP(B96,input_531010!L:R,7,FALSE),VLOOKUP(tables_531010!C96,input_531010!A:H,8,FALSE))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hidden="1" customHeight="1" x14ac:dyDescent="0.15">
      <c r="A97" s="2" t="str">
        <f ca="1">input_531010!A$2</f>
        <v>531010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IFERROR(VLOOKUP(B97,input_531010!L:R,7,FALSE),VLOOKUP(tables_531010!C97,input_531010!A:H,8,FALSE))</f>
        <v>454061.53846000001</v>
      </c>
      <c r="P97" s="46">
        <f t="shared" ca="1" si="4"/>
        <v>7.3188513613797555E-3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input_531010!A$2</f>
        <v>531010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IFERROR(VLOOKUP(B98,input_531010!L:R,7,FALSE),VLOOKUP(tables_531010!C98,input_531010!A:H,8,FALSE))</f>
        <v>1338.46154</v>
      </c>
      <c r="P98" s="46">
        <f t="shared" ca="1" si="4"/>
        <v>2.157417053513862E-5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hidden="1" customHeight="1" x14ac:dyDescent="0.15">
      <c r="A99" s="2" t="str">
        <f ca="1">input_531010!A$2</f>
        <v>531010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IFERROR(VLOOKUP(B99,input_531010!L:R,7,FALSE),VLOOKUP(tables_531010!C99,input_531010!A:H,8,FALSE))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hidden="1" customHeight="1" x14ac:dyDescent="0.15">
      <c r="A100" s="2" t="str">
        <f ca="1">input_531010!A$2</f>
        <v>531010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IFERROR(VLOOKUP(B100,input_531010!L:R,7,FALSE),VLOOKUP(tables_531010!C100,input_531010!A:H,8,FALSE))</f>
        <v>454061.53846000001</v>
      </c>
      <c r="P100" s="46">
        <f t="shared" ca="1" si="4"/>
        <v>7.3188513613797555E-3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input_531010!A$2</f>
        <v>531010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IFERROR(VLOOKUP(B101,input_531010!L:R,7,FALSE),VLOOKUP(tables_531010!C101,input_531010!A:H,8,FALSE))</f>
        <v>1338.46154</v>
      </c>
      <c r="P101" s="46">
        <f t="shared" ca="1" si="4"/>
        <v>2.157417053513862E-5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hidden="1" customHeight="1" x14ac:dyDescent="0.15">
      <c r="A102" s="2" t="str">
        <f ca="1">input_531010!A$2</f>
        <v>531010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IFERROR(VLOOKUP(B102,input_531010!L:R,7,FALSE),VLOOKUP(tables_531010!C102,input_531010!A:H,8,FALSE))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hidden="1" customHeight="1" x14ac:dyDescent="0.15">
      <c r="A103" s="2" t="str">
        <f ca="1">input_531010!A$2</f>
        <v>531010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IFERROR(VLOOKUP(B103,input_531010!L:R,7,FALSE),VLOOKUP(tables_531010!C103,input_531010!A:H,8,FALSE))</f>
        <v>454061.53846000001</v>
      </c>
      <c r="P103" s="46">
        <f t="shared" ca="1" si="4"/>
        <v>7.3188513613797555E-3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input_531010!A$2</f>
        <v>531010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IFERROR(VLOOKUP(B104,input_531010!L:R,7,FALSE),VLOOKUP(tables_531010!C104,input_531010!A:H,8,FALSE))</f>
        <v>1338.46154</v>
      </c>
      <c r="P104" s="46">
        <f t="shared" ca="1" si="4"/>
        <v>2.157417053513862E-5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hidden="1" customHeight="1" x14ac:dyDescent="0.15">
      <c r="A105" s="2" t="str">
        <f ca="1">input_531010!A$2</f>
        <v>531010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IFERROR(VLOOKUP(B105,input_531010!L:R,7,FALSE),VLOOKUP(tables_531010!C105,input_531010!A:H,8,FALSE))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hidden="1" customHeight="1" x14ac:dyDescent="0.15">
      <c r="A106" s="2" t="str">
        <f ca="1">input_531010!A$2</f>
        <v>531010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IFERROR(VLOOKUP(B106,input_531010!L:R,7,FALSE),VLOOKUP(tables_531010!C106,input_531010!A:H,8,FALSE))</f>
        <v>454061.53846000001</v>
      </c>
      <c r="P106" s="46">
        <f t="shared" ca="1" si="4"/>
        <v>7.3188513613797555E-3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input_531010!A$2</f>
        <v>531010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IFERROR(VLOOKUP(B107,input_531010!L:R,7,FALSE),VLOOKUP(tables_531010!C107,input_531010!A:H,8,FALSE))</f>
        <v>1338.46154</v>
      </c>
      <c r="P107" s="46">
        <f t="shared" ca="1" si="4"/>
        <v>2.157417053513862E-5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hidden="1" customHeight="1" x14ac:dyDescent="0.15">
      <c r="A108" s="2" t="str">
        <f ca="1">input_531010!A$2</f>
        <v>531010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IFERROR(VLOOKUP(B108,input_531010!L:R,7,FALSE),VLOOKUP(tables_531010!C108,input_531010!A:H,8,FALSE))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hidden="1" customHeight="1" x14ac:dyDescent="0.15">
      <c r="A109" s="2" t="str">
        <f ca="1">input_531010!A$2</f>
        <v>531010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IFERROR(VLOOKUP(B109,input_531010!L:R,7,FALSE),VLOOKUP(tables_531010!C109,input_531010!A:H,8,FALSE))</f>
        <v>454061.53846000001</v>
      </c>
      <c r="P109" s="46">
        <f t="shared" ca="1" si="4"/>
        <v>7.3188513613797555E-3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input_531010!A$2</f>
        <v>531010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IFERROR(VLOOKUP(B110,input_531010!L:R,7,FALSE),VLOOKUP(tables_531010!C110,input_531010!A:H,8,FALSE))</f>
        <v>1338.46154</v>
      </c>
      <c r="P110" s="46">
        <f t="shared" ca="1" si="4"/>
        <v>2.157417053513862E-5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hidden="1" customHeight="1" x14ac:dyDescent="0.15">
      <c r="A111" s="2" t="str">
        <f ca="1">input_531010!A$2</f>
        <v>531010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IFERROR(VLOOKUP(B111,input_531010!L:R,7,FALSE),VLOOKUP(tables_531010!C111,input_531010!A:H,8,FALSE))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hidden="1" customHeight="1" x14ac:dyDescent="0.15">
      <c r="A112" s="2" t="str">
        <f ca="1">input_531010!A$2</f>
        <v>531010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IFERROR(VLOOKUP(B112,input_531010!L:R,7,FALSE),VLOOKUP(tables_531010!C112,input_531010!A:H,8,FALSE))</f>
        <v>423522</v>
      </c>
      <c r="P112" s="46">
        <f t="shared" ca="1" si="4"/>
        <v>6.8265957446808512E-3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input_531010!A$2</f>
        <v>531010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IFERROR(VLOOKUP(B113,input_531010!L:R,7,FALSE),VLOOKUP(tables_531010!C113,input_531010!A:H,8,FALSE))</f>
        <v>31878</v>
      </c>
      <c r="P113" s="46">
        <f t="shared" ca="1" si="4"/>
        <v>5.1382978723404254E-4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hidden="1" customHeight="1" x14ac:dyDescent="0.15">
      <c r="A114" s="2" t="str">
        <f ca="1">input_531010!A$2</f>
        <v>531010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IFERROR(VLOOKUP(B114,input_531010!L:R,7,FALSE),VLOOKUP(tables_531010!C114,input_531010!A:H,8,FALSE))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hidden="1" customHeight="1" x14ac:dyDescent="0.15">
      <c r="A115" s="2" t="str">
        <f ca="1">input_531010!A$2</f>
        <v>531010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IFERROR(VLOOKUP(B115,input_531010!L:R,7,FALSE),VLOOKUP(tables_531010!C115,input_531010!A:H,8,FALSE))</f>
        <v>454061.53846000001</v>
      </c>
      <c r="P115" s="46">
        <f t="shared" ca="1" si="4"/>
        <v>7.3188513613797555E-3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input_531010!A$2</f>
        <v>531010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IFERROR(VLOOKUP(B116,input_531010!L:R,7,FALSE),VLOOKUP(tables_531010!C116,input_531010!A:H,8,FALSE))</f>
        <v>1338.46154</v>
      </c>
      <c r="P116" s="46">
        <f t="shared" ca="1" si="4"/>
        <v>2.157417053513862E-5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hidden="1" customHeight="1" x14ac:dyDescent="0.15">
      <c r="A117" s="2" t="str">
        <f ca="1">input_531010!A$2</f>
        <v>531010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IFERROR(VLOOKUP(B117,input_531010!L:R,7,FALSE),VLOOKUP(tables_531010!C117,input_531010!A:H,8,FALSE))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hidden="1" customHeight="1" x14ac:dyDescent="0.15">
      <c r="A118" s="2" t="str">
        <f ca="1">input_531010!A$2</f>
        <v>531010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IFERROR(VLOOKUP(B118,input_531010!L:R,7,FALSE),VLOOKUP(tables_531010!C118,input_531010!A:H,8,FALSE))</f>
        <v>454061.53846000001</v>
      </c>
      <c r="P118" s="46">
        <f t="shared" ca="1" si="4"/>
        <v>7.3188513613797555E-3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input_531010!A$2</f>
        <v>531010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IFERROR(VLOOKUP(B119,input_531010!L:R,7,FALSE),VLOOKUP(tables_531010!C119,input_531010!A:H,8,FALSE))</f>
        <v>1338.46154</v>
      </c>
      <c r="P119" s="46">
        <f t="shared" ca="1" si="4"/>
        <v>2.157417053513862E-5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hidden="1" customHeight="1" x14ac:dyDescent="0.15">
      <c r="A120" s="2" t="str">
        <f ca="1">input_531010!A$2</f>
        <v>531010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IFERROR(VLOOKUP(B120,input_531010!L:R,7,FALSE),VLOOKUP(tables_531010!C120,input_531010!A:H,8,FALSE))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hidden="1" customHeight="1" x14ac:dyDescent="0.15">
      <c r="A121" s="2" t="str">
        <f ca="1">input_531010!A$2</f>
        <v>531010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IFERROR(VLOOKUP(B121,input_531010!L:R,7,FALSE),VLOOKUP(tables_531010!C121,input_531010!A:H,8,FALSE))</f>
        <v>454061.53846000001</v>
      </c>
      <c r="P121" s="46">
        <f t="shared" ca="1" si="4"/>
        <v>7.3188513613797555E-3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input_531010!A$2</f>
        <v>531010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IFERROR(VLOOKUP(B122,input_531010!L:R,7,FALSE),VLOOKUP(tables_531010!C122,input_531010!A:H,8,FALSE))</f>
        <v>1338.46154</v>
      </c>
      <c r="P122" s="46">
        <f t="shared" ca="1" si="4"/>
        <v>2.157417053513862E-5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hidden="1" customHeight="1" x14ac:dyDescent="0.15">
      <c r="A123" s="2" t="str">
        <f ca="1">input_531010!A$2</f>
        <v>531010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IFERROR(VLOOKUP(B123,input_531010!L:R,7,FALSE),VLOOKUP(tables_531010!C123,input_531010!A:H,8,FALSE))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hidden="1" customHeight="1" x14ac:dyDescent="0.15">
      <c r="A124" s="2" t="str">
        <f ca="1">input_531010!A$2</f>
        <v>531010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IFERROR(VLOOKUP(B124,input_531010!L:R,7,FALSE),VLOOKUP(tables_531010!C124,input_531010!A:H,8,FALSE))</f>
        <v>454061.53846000001</v>
      </c>
      <c r="P124" s="46">
        <f t="shared" ca="1" si="4"/>
        <v>7.3188513613797555E-3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input_531010!A$2</f>
        <v>531010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IFERROR(VLOOKUP(B125,input_531010!L:R,7,FALSE),VLOOKUP(tables_531010!C125,input_531010!A:H,8,FALSE))</f>
        <v>1338.46154</v>
      </c>
      <c r="P125" s="46">
        <f t="shared" ca="1" si="4"/>
        <v>2.157417053513862E-5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hidden="1" customHeight="1" x14ac:dyDescent="0.15">
      <c r="A126" s="2" t="str">
        <f ca="1">input_531010!A$2</f>
        <v>531010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IFERROR(VLOOKUP(B126,input_531010!L:R,7,FALSE),VLOOKUP(tables_531010!C126,input_531010!A:H,8,FALSE))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hidden="1" customHeight="1" x14ac:dyDescent="0.15">
      <c r="A127" s="2" t="str">
        <f ca="1">input_531010!A$2</f>
        <v>531010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IFERROR(VLOOKUP(B127,input_531010!L:R,7,FALSE),VLOOKUP(tables_531010!C127,input_531010!A:H,8,FALSE))</f>
        <v>454061.53846000001</v>
      </c>
      <c r="P127" s="46">
        <f t="shared" ca="1" si="4"/>
        <v>7.3188513613797555E-3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input_531010!A$2</f>
        <v>531010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IFERROR(VLOOKUP(B128,input_531010!L:R,7,FALSE),VLOOKUP(tables_531010!C128,input_531010!A:H,8,FALSE))</f>
        <v>1338.46154</v>
      </c>
      <c r="P128" s="46">
        <f t="shared" ca="1" si="4"/>
        <v>2.157417053513862E-5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hidden="1" customHeight="1" x14ac:dyDescent="0.15">
      <c r="A129" s="2" t="str">
        <f ca="1">input_531010!A$2</f>
        <v>531010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IFERROR(VLOOKUP(B129,input_531010!L:R,7,FALSE),VLOOKUP(tables_531010!C129,input_531010!A:H,8,FALSE))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hidden="1" customHeight="1" x14ac:dyDescent="0.15">
      <c r="A130" s="2" t="str">
        <f ca="1">input_531010!A$2</f>
        <v>531010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IFERROR(VLOOKUP(B130,input_531010!L:R,7,FALSE),VLOOKUP(tables_531010!C130,input_531010!A:H,8,FALSE))</f>
        <v>454061.53846000001</v>
      </c>
      <c r="P130" s="46">
        <f t="shared" ref="P130:P193" ca="1" si="7">O130/SUM(O:O)</f>
        <v>7.3188513613797555E-3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input_531010!A$2</f>
        <v>531010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IFERROR(VLOOKUP(B131,input_531010!L:R,7,FALSE),VLOOKUP(tables_531010!C131,input_531010!A:H,8,FALSE))</f>
        <v>1338.46154</v>
      </c>
      <c r="P131" s="46">
        <f t="shared" ca="1" si="7"/>
        <v>2.157417053513862E-5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hidden="1" customHeight="1" x14ac:dyDescent="0.15">
      <c r="A132" s="2" t="str">
        <f ca="1">input_531010!A$2</f>
        <v>531010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IFERROR(VLOOKUP(B132,input_531010!L:R,7,FALSE),VLOOKUP(tables_531010!C132,input_531010!A:H,8,FALSE))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hidden="1" customHeight="1" x14ac:dyDescent="0.15">
      <c r="A133" s="2" t="str">
        <f ca="1">input_531010!A$2</f>
        <v>531010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IFERROR(VLOOKUP(B133,input_531010!L:R,7,FALSE),VLOOKUP(tables_531010!C133,input_531010!A:H,8,FALSE))</f>
        <v>454061.53846000001</v>
      </c>
      <c r="P133" s="46">
        <f t="shared" ca="1" si="7"/>
        <v>7.3188513613797555E-3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input_531010!A$2</f>
        <v>531010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IFERROR(VLOOKUP(B134,input_531010!L:R,7,FALSE),VLOOKUP(tables_531010!C134,input_531010!A:H,8,FALSE))</f>
        <v>1338.46154</v>
      </c>
      <c r="P134" s="46">
        <f t="shared" ca="1" si="7"/>
        <v>2.157417053513862E-5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hidden="1" customHeight="1" x14ac:dyDescent="0.15">
      <c r="A135" s="2" t="str">
        <f ca="1">input_531010!A$2</f>
        <v>531010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IFERROR(VLOOKUP(B135,input_531010!L:R,7,FALSE),VLOOKUP(tables_531010!C135,input_531010!A:H,8,FALSE))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hidden="1" customHeight="1" x14ac:dyDescent="0.15">
      <c r="A136" s="2" t="str">
        <f ca="1">input_531010!A$2</f>
        <v>531010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IFERROR(VLOOKUP(B136,input_531010!L:R,7,FALSE),VLOOKUP(tables_531010!C136,input_531010!A:H,8,FALSE))</f>
        <v>454061.53846000001</v>
      </c>
      <c r="P136" s="46">
        <f t="shared" ca="1" si="7"/>
        <v>7.3188513613797555E-3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input_531010!A$2</f>
        <v>531010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IFERROR(VLOOKUP(B137,input_531010!L:R,7,FALSE),VLOOKUP(tables_531010!C137,input_531010!A:H,8,FALSE))</f>
        <v>1338.46154</v>
      </c>
      <c r="P137" s="46">
        <f t="shared" ca="1" si="7"/>
        <v>2.157417053513862E-5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hidden="1" customHeight="1" x14ac:dyDescent="0.15">
      <c r="A138" s="2" t="str">
        <f ca="1">input_531010!A$2</f>
        <v>531010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IFERROR(VLOOKUP(B138,input_531010!L:R,7,FALSE),VLOOKUP(tables_531010!C138,input_531010!A:H,8,FALSE))</f>
        <v>78678</v>
      </c>
      <c r="P138" s="46">
        <f t="shared" ca="1" si="7"/>
        <v>1.2681818181818183E-3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input_531010!A$2</f>
        <v>531010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IFERROR(VLOOKUP(B139,input_531010!L:R,7,FALSE),VLOOKUP(tables_531010!C139,input_531010!A:H,8,FALSE))</f>
        <v>5922</v>
      </c>
      <c r="P139" s="46">
        <f t="shared" ca="1" si="7"/>
        <v>9.5454545454545461E-5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hidden="1" customHeight="1" x14ac:dyDescent="0.15">
      <c r="A140" s="2" t="str">
        <f ca="1">input_531010!A$2</f>
        <v>531010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IFERROR(VLOOKUP(B140,input_531010!L:R,7,FALSE),VLOOKUP(tables_531010!C140,input_531010!A:H,8,FALSE))</f>
        <v>78678</v>
      </c>
      <c r="P140" s="46">
        <f t="shared" ca="1" si="7"/>
        <v>1.2681818181818183E-3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input_531010!A$2</f>
        <v>531010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IFERROR(VLOOKUP(B141,input_531010!L:R,7,FALSE),VLOOKUP(tables_531010!C141,input_531010!A:H,8,FALSE))</f>
        <v>5922</v>
      </c>
      <c r="P141" s="46">
        <f t="shared" ca="1" si="7"/>
        <v>9.5454545454545461E-5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hidden="1" customHeight="1" x14ac:dyDescent="0.15">
      <c r="A142" s="2" t="str">
        <f ca="1">input_531010!A$2</f>
        <v>531010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IFERROR(VLOOKUP(B142,input_531010!L:R,7,FALSE),VLOOKUP(tables_531010!C142,input_531010!A:H,8,FALSE))</f>
        <v>78678</v>
      </c>
      <c r="P142" s="46">
        <f t="shared" ca="1" si="7"/>
        <v>1.2681818181818183E-3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input_531010!A$2</f>
        <v>531010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IFERROR(VLOOKUP(B143,input_531010!L:R,7,FALSE),VLOOKUP(tables_531010!C143,input_531010!A:H,8,FALSE))</f>
        <v>5922</v>
      </c>
      <c r="P143" s="46">
        <f t="shared" ca="1" si="7"/>
        <v>9.5454545454545461E-5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hidden="1" customHeight="1" x14ac:dyDescent="0.15">
      <c r="A144" s="2" t="str">
        <f ca="1">input_531010!A$2</f>
        <v>531010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IFERROR(VLOOKUP(B144,input_531010!L:R,7,FALSE),VLOOKUP(tables_531010!C144,input_531010!A:H,8,FALSE))</f>
        <v>78678</v>
      </c>
      <c r="P144" s="46">
        <f t="shared" ca="1" si="7"/>
        <v>1.2681818181818183E-3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input_531010!A$2</f>
        <v>531010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IFERROR(VLOOKUP(B145,input_531010!L:R,7,FALSE),VLOOKUP(tables_531010!C145,input_531010!A:H,8,FALSE))</f>
        <v>5922</v>
      </c>
      <c r="P145" s="46">
        <f t="shared" ca="1" si="7"/>
        <v>9.5454545454545461E-5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hidden="1" customHeight="1" x14ac:dyDescent="0.15">
      <c r="A146" s="2" t="str">
        <f ca="1">input_531010!A$2</f>
        <v>531010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IFERROR(VLOOKUP(B146,input_531010!L:R,7,FALSE),VLOOKUP(tables_531010!C146,input_531010!A:H,8,FALSE))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hidden="1" customHeight="1" x14ac:dyDescent="0.15">
      <c r="A147" s="2" t="str">
        <f ca="1">input_531010!A$2</f>
        <v>531010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IFERROR(VLOOKUP(B147,input_531010!L:R,7,FALSE),VLOOKUP(tables_531010!C147,input_531010!A:H,8,FALSE))</f>
        <v>454061.53846000001</v>
      </c>
      <c r="P147" s="46">
        <f t="shared" ca="1" si="7"/>
        <v>7.3188513613797555E-3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input_531010!A$2</f>
        <v>531010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IFERROR(VLOOKUP(B148,input_531010!L:R,7,FALSE),VLOOKUP(tables_531010!C148,input_531010!A:H,8,FALSE))</f>
        <v>1338.46154</v>
      </c>
      <c r="P148" s="46">
        <f t="shared" ca="1" si="7"/>
        <v>2.157417053513862E-5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hidden="1" customHeight="1" x14ac:dyDescent="0.15">
      <c r="A149" s="2" t="str">
        <f ca="1">input_531010!A$2</f>
        <v>531010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IFERROR(VLOOKUP(B149,input_531010!L:R,7,FALSE),VLOOKUP(tables_531010!C149,input_531010!A:H,8,FALSE))</f>
        <v>78678</v>
      </c>
      <c r="P149" s="46">
        <f t="shared" ca="1" si="7"/>
        <v>1.2681818181818183E-3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input_531010!A$2</f>
        <v>531010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IFERROR(VLOOKUP(B150,input_531010!L:R,7,FALSE),VLOOKUP(tables_531010!C150,input_531010!A:H,8,FALSE))</f>
        <v>5922</v>
      </c>
      <c r="P150" s="46">
        <f t="shared" ca="1" si="7"/>
        <v>9.5454545454545461E-5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hidden="1" customHeight="1" x14ac:dyDescent="0.15">
      <c r="A151" s="2" t="str">
        <f ca="1">input_531010!A$2</f>
        <v>531010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IFERROR(VLOOKUP(B151,input_531010!L:R,7,FALSE),VLOOKUP(tables_531010!C151,input_531010!A:H,8,FALSE))</f>
        <v>78678</v>
      </c>
      <c r="P151" s="46">
        <f t="shared" ca="1" si="7"/>
        <v>1.2681818181818183E-3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input_531010!A$2</f>
        <v>531010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IFERROR(VLOOKUP(B152,input_531010!L:R,7,FALSE),VLOOKUP(tables_531010!C152,input_531010!A:H,8,FALSE))</f>
        <v>5922</v>
      </c>
      <c r="P152" s="46">
        <f t="shared" ca="1" si="7"/>
        <v>9.5454545454545461E-5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hidden="1" customHeight="1" x14ac:dyDescent="0.15">
      <c r="A153" s="2" t="str">
        <f ca="1">input_531010!A$2</f>
        <v>531010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IFERROR(VLOOKUP(B153,input_531010!L:R,7,FALSE),VLOOKUP(tables_531010!C153,input_531010!A:H,8,FALSE))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hidden="1" customHeight="1" x14ac:dyDescent="0.15">
      <c r="A154" s="2" t="str">
        <f ca="1">input_531010!A$2</f>
        <v>531010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IFERROR(VLOOKUP(B154,input_531010!L:R,7,FALSE),VLOOKUP(tables_531010!C154,input_531010!A:H,8,FALSE))</f>
        <v>454061.53846000001</v>
      </c>
      <c r="P154" s="46">
        <f t="shared" ca="1" si="7"/>
        <v>7.3188513613797555E-3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input_531010!A$2</f>
        <v>531010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IFERROR(VLOOKUP(B155,input_531010!L:R,7,FALSE),VLOOKUP(tables_531010!C155,input_531010!A:H,8,FALSE))</f>
        <v>1338.46154</v>
      </c>
      <c r="P155" s="46">
        <f t="shared" ca="1" si="7"/>
        <v>2.157417053513862E-5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hidden="1" customHeight="1" x14ac:dyDescent="0.15">
      <c r="A156" s="2" t="str">
        <f ca="1">input_531010!A$2</f>
        <v>531010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IFERROR(VLOOKUP(B156,input_531010!L:R,7,FALSE),VLOOKUP(tables_531010!C156,input_531010!A:H,8,FALSE))</f>
        <v>78678</v>
      </c>
      <c r="P156" s="46">
        <f t="shared" ca="1" si="7"/>
        <v>1.2681818181818183E-3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input_531010!A$2</f>
        <v>531010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IFERROR(VLOOKUP(B157,input_531010!L:R,7,FALSE),VLOOKUP(tables_531010!C157,input_531010!A:H,8,FALSE))</f>
        <v>5922</v>
      </c>
      <c r="P157" s="46">
        <f t="shared" ca="1" si="7"/>
        <v>9.5454545454545461E-5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hidden="1" customHeight="1" x14ac:dyDescent="0.15">
      <c r="A158" s="2" t="str">
        <f ca="1">input_531010!A$2</f>
        <v>531010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IFERROR(VLOOKUP(B158,input_531010!L:R,7,FALSE),VLOOKUP(tables_531010!C158,input_531010!A:H,8,FALSE))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hidden="1" customHeight="1" x14ac:dyDescent="0.15">
      <c r="A159" s="2" t="str">
        <f ca="1">input_531010!A$2</f>
        <v>531010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IFERROR(VLOOKUP(B159,input_531010!L:R,7,FALSE),VLOOKUP(tables_531010!C159,input_531010!A:H,8,FALSE))</f>
        <v>454061.53846000001</v>
      </c>
      <c r="P159" s="46">
        <f t="shared" ca="1" si="7"/>
        <v>7.3188513613797555E-3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input_531010!A$2</f>
        <v>531010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IFERROR(VLOOKUP(B160,input_531010!L:R,7,FALSE),VLOOKUP(tables_531010!C160,input_531010!A:H,8,FALSE))</f>
        <v>1338.46154</v>
      </c>
      <c r="P160" s="46">
        <f t="shared" ca="1" si="7"/>
        <v>2.157417053513862E-5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hidden="1" customHeight="1" x14ac:dyDescent="0.15">
      <c r="A161" s="2" t="str">
        <f ca="1">input_531010!A$2</f>
        <v>531010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IFERROR(VLOOKUP(B161,input_531010!L:R,7,FALSE),VLOOKUP(tables_531010!C161,input_531010!A:H,8,FALSE))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hidden="1" customHeight="1" x14ac:dyDescent="0.15">
      <c r="A162" s="2" t="str">
        <f ca="1">input_531010!A$2</f>
        <v>531010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IFERROR(VLOOKUP(B162,input_531010!L:R,7,FALSE),VLOOKUP(tables_531010!C162,input_531010!A:H,8,FALSE))</f>
        <v>454061.53846000001</v>
      </c>
      <c r="P162" s="46">
        <f t="shared" ca="1" si="7"/>
        <v>7.3188513613797555E-3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input_531010!A$2</f>
        <v>531010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IFERROR(VLOOKUP(B163,input_531010!L:R,7,FALSE),VLOOKUP(tables_531010!C163,input_531010!A:H,8,FALSE))</f>
        <v>1338.46154</v>
      </c>
      <c r="P163" s="46">
        <f t="shared" ca="1" si="7"/>
        <v>2.157417053513862E-5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hidden="1" customHeight="1" x14ac:dyDescent="0.15">
      <c r="A164" s="2" t="str">
        <f ca="1">input_531010!A$2</f>
        <v>531010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IFERROR(VLOOKUP(B164,input_531010!L:R,7,FALSE),VLOOKUP(tables_531010!C164,input_531010!A:H,8,FALSE))</f>
        <v>78678</v>
      </c>
      <c r="P164" s="46">
        <f t="shared" ca="1" si="7"/>
        <v>1.2681818181818183E-3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input_531010!A$2</f>
        <v>531010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IFERROR(VLOOKUP(B165,input_531010!L:R,7,FALSE),VLOOKUP(tables_531010!C165,input_531010!A:H,8,FALSE))</f>
        <v>5922</v>
      </c>
      <c r="P165" s="46">
        <f t="shared" ca="1" si="7"/>
        <v>9.5454545454545461E-5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hidden="1" customHeight="1" x14ac:dyDescent="0.15">
      <c r="A166" s="2" t="str">
        <f ca="1">input_531010!A$2</f>
        <v>531010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IFERROR(VLOOKUP(B166,input_531010!L:R,7,FALSE),VLOOKUP(tables_531010!C166,input_531010!A:H,8,FALSE))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hidden="1" customHeight="1" x14ac:dyDescent="0.15">
      <c r="A167" s="2" t="str">
        <f ca="1">input_531010!A$2</f>
        <v>531010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IFERROR(VLOOKUP(B167,input_531010!L:R,7,FALSE),VLOOKUP(tables_531010!C167,input_531010!A:H,8,FALSE))</f>
        <v>454061.53846000001</v>
      </c>
      <c r="P167" s="46">
        <f t="shared" ca="1" si="7"/>
        <v>7.3188513613797555E-3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input_531010!A$2</f>
        <v>531010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IFERROR(VLOOKUP(B168,input_531010!L:R,7,FALSE),VLOOKUP(tables_531010!C168,input_531010!A:H,8,FALSE))</f>
        <v>1338.46154</v>
      </c>
      <c r="P168" s="46">
        <f t="shared" ca="1" si="7"/>
        <v>2.157417053513862E-5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hidden="1" customHeight="1" x14ac:dyDescent="0.15">
      <c r="A169" s="2" t="str">
        <f ca="1">input_531010!A$2</f>
        <v>531010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IFERROR(VLOOKUP(B169,input_531010!L:R,7,FALSE),VLOOKUP(tables_531010!C169,input_531010!A:H,8,FALSE))</f>
        <v>78678</v>
      </c>
      <c r="P169" s="46">
        <f t="shared" ca="1" si="7"/>
        <v>1.2681818181818183E-3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input_531010!A$2</f>
        <v>531010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IFERROR(VLOOKUP(B170,input_531010!L:R,7,FALSE),VLOOKUP(tables_531010!C170,input_531010!A:H,8,FALSE))</f>
        <v>5922</v>
      </c>
      <c r="P170" s="46">
        <f t="shared" ca="1" si="7"/>
        <v>9.5454545454545461E-5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hidden="1" customHeight="1" x14ac:dyDescent="0.15">
      <c r="A171" s="2" t="str">
        <f ca="1">input_531010!A$2</f>
        <v>531010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IFERROR(VLOOKUP(B171,input_531010!L:R,7,FALSE),VLOOKUP(tables_531010!C171,input_531010!A:H,8,FALSE))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hidden="1" customHeight="1" x14ac:dyDescent="0.15">
      <c r="A172" s="2" t="str">
        <f ca="1">input_531010!A$2</f>
        <v>531010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IFERROR(VLOOKUP(B172,input_531010!L:R,7,FALSE),VLOOKUP(tables_531010!C172,input_531010!A:H,8,FALSE))</f>
        <v>454061.53846000001</v>
      </c>
      <c r="P172" s="46">
        <f t="shared" ca="1" si="7"/>
        <v>7.3188513613797555E-3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input_531010!A$2</f>
        <v>531010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IFERROR(VLOOKUP(B173,input_531010!L:R,7,FALSE),VLOOKUP(tables_531010!C173,input_531010!A:H,8,FALSE))</f>
        <v>1338.46154</v>
      </c>
      <c r="P173" s="46">
        <f t="shared" ca="1" si="7"/>
        <v>2.157417053513862E-5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hidden="1" customHeight="1" x14ac:dyDescent="0.15">
      <c r="A174" s="2" t="str">
        <f ca="1">input_531010!A$2</f>
        <v>531010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IFERROR(VLOOKUP(B174,input_531010!L:R,7,FALSE),VLOOKUP(tables_531010!C174,input_531010!A:H,8,FALSE))</f>
        <v>78678</v>
      </c>
      <c r="P174" s="46">
        <f t="shared" ca="1" si="7"/>
        <v>1.2681818181818183E-3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input_531010!A$2</f>
        <v>531010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IFERROR(VLOOKUP(B175,input_531010!L:R,7,FALSE),VLOOKUP(tables_531010!C175,input_531010!A:H,8,FALSE))</f>
        <v>5922</v>
      </c>
      <c r="P175" s="46">
        <f t="shared" ca="1" si="7"/>
        <v>9.5454545454545461E-5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hidden="1" customHeight="1" x14ac:dyDescent="0.15">
      <c r="A176" s="2" t="str">
        <f ca="1">input_531010!A$2</f>
        <v>531010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IFERROR(VLOOKUP(B176,input_531010!L:R,7,FALSE),VLOOKUP(tables_531010!C176,input_531010!A:H,8,FALSE))</f>
        <v>78678</v>
      </c>
      <c r="P176" s="46">
        <f t="shared" ca="1" si="7"/>
        <v>1.2681818181818183E-3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input_531010!A$2</f>
        <v>531010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IFERROR(VLOOKUP(B177,input_531010!L:R,7,FALSE),VLOOKUP(tables_531010!C177,input_531010!A:H,8,FALSE))</f>
        <v>5922</v>
      </c>
      <c r="P177" s="46">
        <f t="shared" ca="1" si="7"/>
        <v>9.5454545454545461E-5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hidden="1" customHeight="1" x14ac:dyDescent="0.15">
      <c r="A178" s="2" t="str">
        <f ca="1">input_531010!A$2</f>
        <v>531010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IFERROR(VLOOKUP(B178,input_531010!L:R,7,FALSE),VLOOKUP(tables_531010!C178,input_531010!A:H,8,FALSE))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hidden="1" customHeight="1" x14ac:dyDescent="0.15">
      <c r="A179" s="2" t="str">
        <f ca="1">input_531010!A$2</f>
        <v>531010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IFERROR(VLOOKUP(B179,input_531010!L:R,7,FALSE),VLOOKUP(tables_531010!C179,input_531010!A:H,8,FALSE))</f>
        <v>454061.53846000001</v>
      </c>
      <c r="P179" s="46">
        <f t="shared" ca="1" si="7"/>
        <v>7.3188513613797555E-3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input_531010!A$2</f>
        <v>531010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IFERROR(VLOOKUP(B180,input_531010!L:R,7,FALSE),VLOOKUP(tables_531010!C180,input_531010!A:H,8,FALSE))</f>
        <v>1338.46154</v>
      </c>
      <c r="P180" s="46">
        <f t="shared" ca="1" si="7"/>
        <v>2.157417053513862E-5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hidden="1" customHeight="1" x14ac:dyDescent="0.15">
      <c r="A181" s="2" t="str">
        <f ca="1">input_531010!A$2</f>
        <v>531010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IFERROR(VLOOKUP(B181,input_531010!L:R,7,FALSE),VLOOKUP(tables_531010!C181,input_531010!A:H,8,FALSE))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hidden="1" customHeight="1" x14ac:dyDescent="0.15">
      <c r="A182" s="2" t="str">
        <f ca="1">input_531010!A$2</f>
        <v>531010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IFERROR(VLOOKUP(B182,input_531010!L:R,7,FALSE),VLOOKUP(tables_531010!C182,input_531010!A:H,8,FALSE))</f>
        <v>454061.53846000001</v>
      </c>
      <c r="P182" s="46">
        <f t="shared" ca="1" si="7"/>
        <v>7.3188513613797555E-3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input_531010!A$2</f>
        <v>531010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IFERROR(VLOOKUP(B183,input_531010!L:R,7,FALSE),VLOOKUP(tables_531010!C183,input_531010!A:H,8,FALSE))</f>
        <v>1338.46154</v>
      </c>
      <c r="P183" s="46">
        <f t="shared" ca="1" si="7"/>
        <v>2.157417053513862E-5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hidden="1" customHeight="1" x14ac:dyDescent="0.15">
      <c r="A184" s="2" t="str">
        <f ca="1">input_531010!A$2</f>
        <v>531010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IFERROR(VLOOKUP(B184,input_531010!L:R,7,FALSE),VLOOKUP(tables_531010!C184,input_531010!A:H,8,FALSE))</f>
        <v>78678</v>
      </c>
      <c r="P184" s="46">
        <f t="shared" ca="1" si="7"/>
        <v>1.2681818181818183E-3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input_531010!A$2</f>
        <v>531010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IFERROR(VLOOKUP(B185,input_531010!L:R,7,FALSE),VLOOKUP(tables_531010!C185,input_531010!A:H,8,FALSE))</f>
        <v>5922</v>
      </c>
      <c r="P185" s="46">
        <f t="shared" ca="1" si="7"/>
        <v>9.5454545454545461E-5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hidden="1" customHeight="1" x14ac:dyDescent="0.15">
      <c r="A186" s="2" t="str">
        <f ca="1">input_531010!A$2</f>
        <v>531010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IFERROR(VLOOKUP(B186,input_531010!L:R,7,FALSE),VLOOKUP(tables_531010!C186,input_531010!A:H,8,FALSE))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hidden="1" customHeight="1" x14ac:dyDescent="0.15">
      <c r="A187" s="2" t="str">
        <f ca="1">input_531010!A$2</f>
        <v>531010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IFERROR(VLOOKUP(B187,input_531010!L:R,7,FALSE),VLOOKUP(tables_531010!C187,input_531010!A:H,8,FALSE))</f>
        <v>454061.53846000001</v>
      </c>
      <c r="P187" s="46">
        <f t="shared" ca="1" si="7"/>
        <v>7.3188513613797555E-3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input_531010!A$2</f>
        <v>531010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IFERROR(VLOOKUP(B188,input_531010!L:R,7,FALSE),VLOOKUP(tables_531010!C188,input_531010!A:H,8,FALSE))</f>
        <v>1338.46154</v>
      </c>
      <c r="P188" s="46">
        <f t="shared" ca="1" si="7"/>
        <v>2.157417053513862E-5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hidden="1" customHeight="1" x14ac:dyDescent="0.15">
      <c r="A189" s="2" t="str">
        <f ca="1">input_531010!A$2</f>
        <v>531010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IFERROR(VLOOKUP(B189,input_531010!L:R,7,FALSE),VLOOKUP(tables_531010!C189,input_531010!A:H,8,FALSE))</f>
        <v>78678</v>
      </c>
      <c r="P189" s="46">
        <f t="shared" ca="1" si="7"/>
        <v>1.2681818181818183E-3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input_531010!A$2</f>
        <v>531010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IFERROR(VLOOKUP(B190,input_531010!L:R,7,FALSE),VLOOKUP(tables_531010!C190,input_531010!A:H,8,FALSE))</f>
        <v>5922</v>
      </c>
      <c r="P190" s="46">
        <f t="shared" ca="1" si="7"/>
        <v>9.5454545454545461E-5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hidden="1" customHeight="1" x14ac:dyDescent="0.15">
      <c r="A191" s="2" t="str">
        <f ca="1">input_531010!A$2</f>
        <v>531010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IFERROR(VLOOKUP(B191,input_531010!L:R,7,FALSE),VLOOKUP(tables_531010!C191,input_531010!A:H,8,FALSE))</f>
        <v>78678</v>
      </c>
      <c r="P191" s="46">
        <f t="shared" ca="1" si="7"/>
        <v>1.2681818181818183E-3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input_531010!A$2</f>
        <v>531010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IFERROR(VLOOKUP(B192,input_531010!L:R,7,FALSE),VLOOKUP(tables_531010!C192,input_531010!A:H,8,FALSE))</f>
        <v>5922</v>
      </c>
      <c r="P192" s="46">
        <f t="shared" ca="1" si="7"/>
        <v>9.5454545454545461E-5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hidden="1" customHeight="1" x14ac:dyDescent="0.15">
      <c r="A193" s="2" t="str">
        <f ca="1">input_531010!A$2</f>
        <v>531010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IFERROR(VLOOKUP(B193,input_531010!L:R,7,FALSE),VLOOKUP(tables_531010!C193,input_531010!A:H,8,FALSE))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hidden="1" customHeight="1" x14ac:dyDescent="0.15">
      <c r="A194" s="2" t="str">
        <f ca="1">input_531010!A$2</f>
        <v>531010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IFERROR(VLOOKUP(B194,input_531010!L:R,7,FALSE),VLOOKUP(tables_531010!C194,input_531010!A:H,8,FALSE))</f>
        <v>454061.53846000001</v>
      </c>
      <c r="P194" s="46">
        <f t="shared" ref="P194:P257" ca="1" si="10">O194/SUM(O:O)</f>
        <v>7.3188513613797555E-3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input_531010!A$2</f>
        <v>531010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IFERROR(VLOOKUP(B195,input_531010!L:R,7,FALSE),VLOOKUP(tables_531010!C195,input_531010!A:H,8,FALSE))</f>
        <v>1338.46154</v>
      </c>
      <c r="P195" s="46">
        <f t="shared" ca="1" si="10"/>
        <v>2.157417053513862E-5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hidden="1" customHeight="1" x14ac:dyDescent="0.15">
      <c r="A196" s="2" t="str">
        <f ca="1">input_531010!A$2</f>
        <v>531010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IFERROR(VLOOKUP(B196,input_531010!L:R,7,FALSE),VLOOKUP(tables_531010!C196,input_531010!A:H,8,FALSE))</f>
        <v>78678</v>
      </c>
      <c r="P196" s="46">
        <f t="shared" ca="1" si="10"/>
        <v>1.2681818181818183E-3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input_531010!A$2</f>
        <v>531010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IFERROR(VLOOKUP(B197,input_531010!L:R,7,FALSE),VLOOKUP(tables_531010!C197,input_531010!A:H,8,FALSE))</f>
        <v>5922</v>
      </c>
      <c r="P197" s="46">
        <f t="shared" ca="1" si="10"/>
        <v>9.5454545454545461E-5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hidden="1" customHeight="1" x14ac:dyDescent="0.15">
      <c r="A198" s="2" t="str">
        <f ca="1">input_531010!A$2</f>
        <v>531010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IFERROR(VLOOKUP(B198,input_531010!L:R,7,FALSE),VLOOKUP(tables_531010!C198,input_531010!A:H,8,FALSE))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hidden="1" customHeight="1" x14ac:dyDescent="0.15">
      <c r="A199" s="2" t="str">
        <f ca="1">input_531010!A$2</f>
        <v>531010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IFERROR(VLOOKUP(B199,input_531010!L:R,7,FALSE),VLOOKUP(tables_531010!C199,input_531010!A:H,8,FALSE))</f>
        <v>454061.53846000001</v>
      </c>
      <c r="P199" s="46">
        <f t="shared" ca="1" si="10"/>
        <v>7.3188513613797555E-3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input_531010!A$2</f>
        <v>531010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IFERROR(VLOOKUP(B200,input_531010!L:R,7,FALSE),VLOOKUP(tables_531010!C200,input_531010!A:H,8,FALSE))</f>
        <v>1338.46154</v>
      </c>
      <c r="P200" s="46">
        <f t="shared" ca="1" si="10"/>
        <v>2.157417053513862E-5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hidden="1" customHeight="1" x14ac:dyDescent="0.15">
      <c r="A201" s="2" t="str">
        <f ca="1">input_531010!A$2</f>
        <v>531010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IFERROR(VLOOKUP(B201,input_531010!L:R,7,FALSE),VLOOKUP(tables_531010!C201,input_531010!A:H,8,FALSE))</f>
        <v>78678</v>
      </c>
      <c r="P201" s="46">
        <f t="shared" ca="1" si="10"/>
        <v>1.2681818181818183E-3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input_531010!A$2</f>
        <v>531010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IFERROR(VLOOKUP(B202,input_531010!L:R,7,FALSE),VLOOKUP(tables_531010!C202,input_531010!A:H,8,FALSE))</f>
        <v>5922</v>
      </c>
      <c r="P202" s="46">
        <f t="shared" ca="1" si="10"/>
        <v>9.5454545454545461E-5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hidden="1" customHeight="1" x14ac:dyDescent="0.15">
      <c r="A203" s="2" t="str">
        <f ca="1">input_531010!A$2</f>
        <v>531010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IFERROR(VLOOKUP(B203,input_531010!L:R,7,FALSE),VLOOKUP(tables_531010!C203,input_531010!A:H,8,FALSE))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hidden="1" customHeight="1" x14ac:dyDescent="0.15">
      <c r="A204" s="2" t="str">
        <f ca="1">input_531010!A$2</f>
        <v>531010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IFERROR(VLOOKUP(B204,input_531010!L:R,7,FALSE),VLOOKUP(tables_531010!C204,input_531010!A:H,8,FALSE))</f>
        <v>454061.53846000001</v>
      </c>
      <c r="P204" s="46">
        <f t="shared" ca="1" si="10"/>
        <v>7.3188513613797555E-3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input_531010!A$2</f>
        <v>531010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IFERROR(VLOOKUP(B205,input_531010!L:R,7,FALSE),VLOOKUP(tables_531010!C205,input_531010!A:H,8,FALSE))</f>
        <v>1338.46154</v>
      </c>
      <c r="P205" s="46">
        <f t="shared" ca="1" si="10"/>
        <v>2.157417053513862E-5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hidden="1" customHeight="1" x14ac:dyDescent="0.15">
      <c r="A206" s="2" t="str">
        <f ca="1">input_531010!A$2</f>
        <v>531010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IFERROR(VLOOKUP(B206,input_531010!L:R,7,FALSE),VLOOKUP(tables_531010!C206,input_531010!A:H,8,FALSE))</f>
        <v>78678</v>
      </c>
      <c r="P206" s="46">
        <f t="shared" ca="1" si="10"/>
        <v>1.2681818181818183E-3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input_531010!A$2</f>
        <v>531010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IFERROR(VLOOKUP(B207,input_531010!L:R,7,FALSE),VLOOKUP(tables_531010!C207,input_531010!A:H,8,FALSE))</f>
        <v>5922</v>
      </c>
      <c r="P207" s="46">
        <f t="shared" ca="1" si="10"/>
        <v>9.5454545454545461E-5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hidden="1" customHeight="1" x14ac:dyDescent="0.15">
      <c r="A208" s="2" t="str">
        <f ca="1">input_531010!A$2</f>
        <v>531010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IFERROR(VLOOKUP(B208,input_531010!L:R,7,FALSE),VLOOKUP(tables_531010!C208,input_531010!A:H,8,FALSE))</f>
        <v>78678</v>
      </c>
      <c r="P208" s="46">
        <f t="shared" ca="1" si="10"/>
        <v>1.2681818181818183E-3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input_531010!A$2</f>
        <v>531010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IFERROR(VLOOKUP(B209,input_531010!L:R,7,FALSE),VLOOKUP(tables_531010!C209,input_531010!A:H,8,FALSE))</f>
        <v>5922</v>
      </c>
      <c r="P209" s="46">
        <f t="shared" ca="1" si="10"/>
        <v>9.5454545454545461E-5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hidden="1" customHeight="1" x14ac:dyDescent="0.15">
      <c r="A210" s="2" t="str">
        <f ca="1">input_531010!A$2</f>
        <v>531010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IFERROR(VLOOKUP(B210,input_531010!L:R,7,FALSE),VLOOKUP(tables_531010!C210,input_531010!A:H,8,FALSE))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hidden="1" customHeight="1" x14ac:dyDescent="0.15">
      <c r="A211" s="2" t="str">
        <f ca="1">input_531010!A$2</f>
        <v>531010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IFERROR(VLOOKUP(B211,input_531010!L:R,7,FALSE),VLOOKUP(tables_531010!C211,input_531010!A:H,8,FALSE))</f>
        <v>454061.53846000001</v>
      </c>
      <c r="P211" s="46">
        <f t="shared" ca="1" si="10"/>
        <v>7.3188513613797555E-3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input_531010!A$2</f>
        <v>531010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IFERROR(VLOOKUP(B212,input_531010!L:R,7,FALSE),VLOOKUP(tables_531010!C212,input_531010!A:H,8,FALSE))</f>
        <v>1338.46154</v>
      </c>
      <c r="P212" s="46">
        <f t="shared" ca="1" si="10"/>
        <v>2.157417053513862E-5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hidden="1" customHeight="1" x14ac:dyDescent="0.15">
      <c r="A213" s="2" t="str">
        <f ca="1">input_531010!A$2</f>
        <v>531010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IFERROR(VLOOKUP(B213,input_531010!L:R,7,FALSE),VLOOKUP(tables_531010!C213,input_531010!A:H,8,FALSE))</f>
        <v>78678</v>
      </c>
      <c r="P213" s="46">
        <f t="shared" ca="1" si="10"/>
        <v>1.2681818181818183E-3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input_531010!A$2</f>
        <v>531010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IFERROR(VLOOKUP(B214,input_531010!L:R,7,FALSE),VLOOKUP(tables_531010!C214,input_531010!A:H,8,FALSE))</f>
        <v>5922</v>
      </c>
      <c r="P214" s="46">
        <f t="shared" ca="1" si="10"/>
        <v>9.5454545454545461E-5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input_531010!A$2</f>
        <v>531010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IFERROR(VLOOKUP(B215,input_531010!L:R,7,FALSE),VLOOKUP(tables_531010!C215,input_531010!A:H,8,FALSE))</f>
        <v>31878</v>
      </c>
      <c r="P215" s="46">
        <f t="shared" ca="1" si="10"/>
        <v>5.1382978723404254E-4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input_531010!A$2</f>
        <v>531010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IFERROR(VLOOKUP(B216,input_531010!L:R,7,FALSE),VLOOKUP(tables_531010!C216,input_531010!A:H,8,FALSE))</f>
        <v>31878</v>
      </c>
      <c r="P216" s="46">
        <f t="shared" ca="1" si="10"/>
        <v>5.1382978723404254E-4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input_531010!A$2</f>
        <v>531010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IFERROR(VLOOKUP(B217,input_531010!L:R,7,FALSE),VLOOKUP(tables_531010!C217,input_531010!A:H,8,FALSE))</f>
        <v>31878</v>
      </c>
      <c r="P217" s="46">
        <f t="shared" ca="1" si="10"/>
        <v>5.1382978723404254E-4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input_531010!A$2</f>
        <v>531010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IFERROR(VLOOKUP(B218,input_531010!L:R,7,FALSE),VLOOKUP(tables_531010!C218,input_531010!A:H,8,FALSE))</f>
        <v>31878</v>
      </c>
      <c r="P218" s="46">
        <f t="shared" ca="1" si="10"/>
        <v>5.1382978723404254E-4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input_531010!A$2</f>
        <v>531010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IFERROR(VLOOKUP(B219,input_531010!L:R,7,FALSE),VLOOKUP(tables_531010!C219,input_531010!A:H,8,FALSE))</f>
        <v>31878</v>
      </c>
      <c r="P219" s="46">
        <f t="shared" ca="1" si="10"/>
        <v>5.1382978723404254E-4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input_531010!A$2</f>
        <v>531010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IFERROR(VLOOKUP(B220,input_531010!L:R,7,FALSE),VLOOKUP(tables_531010!C220,input_531010!A:H,8,FALSE))</f>
        <v>31878</v>
      </c>
      <c r="P220" s="46">
        <f t="shared" ca="1" si="10"/>
        <v>5.1382978723404254E-4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hidden="1" customHeight="1" x14ac:dyDescent="0.15">
      <c r="A221" s="2" t="str">
        <f ca="1">input_531010!A$2</f>
        <v>531010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IFERROR(VLOOKUP(B221,input_531010!L:R,7,FALSE),VLOOKUP(tables_531010!C221,input_531010!A:H,8,FALSE))</f>
        <v>78678</v>
      </c>
      <c r="P221" s="46">
        <f t="shared" ca="1" si="10"/>
        <v>1.2681818181818183E-3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input_531010!A$2</f>
        <v>531010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IFERROR(VLOOKUP(B222,input_531010!L:R,7,FALSE),VLOOKUP(tables_531010!C222,input_531010!A:H,8,FALSE))</f>
        <v>5922</v>
      </c>
      <c r="P222" s="46">
        <f t="shared" ca="1" si="10"/>
        <v>9.5454545454545461E-5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hidden="1" customHeight="1" x14ac:dyDescent="0.15">
      <c r="A223" s="2" t="str">
        <f ca="1">input_531010!A$2</f>
        <v>531010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IFERROR(VLOOKUP(B223,input_531010!L:R,7,FALSE),VLOOKUP(tables_531010!C223,input_531010!A:H,8,FALSE))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hidden="1" customHeight="1" x14ac:dyDescent="0.15">
      <c r="A224" s="2" t="str">
        <f ca="1">input_531010!A$2</f>
        <v>531010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IFERROR(VLOOKUP(B224,input_531010!L:R,7,FALSE),VLOOKUP(tables_531010!C224,input_531010!A:H,8,FALSE))</f>
        <v>454061.53846000001</v>
      </c>
      <c r="P224" s="46">
        <f t="shared" ca="1" si="10"/>
        <v>7.3188513613797555E-3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input_531010!A$2</f>
        <v>531010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IFERROR(VLOOKUP(B225,input_531010!L:R,7,FALSE),VLOOKUP(tables_531010!C225,input_531010!A:H,8,FALSE))</f>
        <v>1338.46154</v>
      </c>
      <c r="P225" s="46">
        <f t="shared" ca="1" si="10"/>
        <v>2.157417053513862E-5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hidden="1" customHeight="1" x14ac:dyDescent="0.15">
      <c r="A226" s="2" t="str">
        <f ca="1">input_531010!A$2</f>
        <v>531010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IFERROR(VLOOKUP(B226,input_531010!L:R,7,FALSE),VLOOKUP(tables_531010!C226,input_531010!A:H,8,FALSE))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hidden="1" customHeight="1" x14ac:dyDescent="0.15">
      <c r="A227" s="2" t="str">
        <f ca="1">input_531010!A$2</f>
        <v>531010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IFERROR(VLOOKUP(B227,input_531010!L:R,7,FALSE),VLOOKUP(tables_531010!C227,input_531010!A:H,8,FALSE))</f>
        <v>454061.53846000001</v>
      </c>
      <c r="P227" s="46">
        <f t="shared" ca="1" si="10"/>
        <v>7.3188513613797555E-3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input_531010!A$2</f>
        <v>531010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IFERROR(VLOOKUP(B228,input_531010!L:R,7,FALSE),VLOOKUP(tables_531010!C228,input_531010!A:H,8,FALSE))</f>
        <v>1338.46154</v>
      </c>
      <c r="P228" s="46">
        <f t="shared" ca="1" si="10"/>
        <v>2.157417053513862E-5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hidden="1" customHeight="1" x14ac:dyDescent="0.15">
      <c r="A229" s="2" t="str">
        <f ca="1">input_531010!A$2</f>
        <v>531010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IFERROR(VLOOKUP(B229,input_531010!L:R,7,FALSE),VLOOKUP(tables_531010!C229,input_531010!A:H,8,FALSE))</f>
        <v>78678</v>
      </c>
      <c r="P229" s="46">
        <f t="shared" ca="1" si="10"/>
        <v>1.2681818181818183E-3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input_531010!A$2</f>
        <v>531010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IFERROR(VLOOKUP(B230,input_531010!L:R,7,FALSE),VLOOKUP(tables_531010!C230,input_531010!A:H,8,FALSE))</f>
        <v>5922</v>
      </c>
      <c r="P230" s="46">
        <f t="shared" ca="1" si="10"/>
        <v>9.5454545454545461E-5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hidden="1" customHeight="1" x14ac:dyDescent="0.15">
      <c r="A231" s="2" t="str">
        <f ca="1">input_531010!A$2</f>
        <v>531010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IFERROR(VLOOKUP(B231,input_531010!L:R,7,FALSE),VLOOKUP(tables_531010!C231,input_531010!A:H,8,FALSE))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hidden="1" customHeight="1" x14ac:dyDescent="0.15">
      <c r="A232" s="2" t="str">
        <f ca="1">input_531010!A$2</f>
        <v>531010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IFERROR(VLOOKUP(B232,input_531010!L:R,7,FALSE),VLOOKUP(tables_531010!C232,input_531010!A:H,8,FALSE))</f>
        <v>454061.53846000001</v>
      </c>
      <c r="P232" s="46">
        <f t="shared" ca="1" si="10"/>
        <v>7.3188513613797555E-3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input_531010!A$2</f>
        <v>531010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IFERROR(VLOOKUP(B233,input_531010!L:R,7,FALSE),VLOOKUP(tables_531010!C233,input_531010!A:H,8,FALSE))</f>
        <v>1338.46154</v>
      </c>
      <c r="P233" s="46">
        <f t="shared" ca="1" si="10"/>
        <v>2.157417053513862E-5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hidden="1" customHeight="1" x14ac:dyDescent="0.15">
      <c r="A234" s="2" t="str">
        <f ca="1">input_531010!A$2</f>
        <v>531010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IFERROR(VLOOKUP(B234,input_531010!L:R,7,FALSE),VLOOKUP(tables_531010!C234,input_531010!A:H,8,FALSE))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hidden="1" customHeight="1" x14ac:dyDescent="0.15">
      <c r="A235" s="2" t="str">
        <f ca="1">input_531010!A$2</f>
        <v>531010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IFERROR(VLOOKUP(B235,input_531010!L:R,7,FALSE),VLOOKUP(tables_531010!C235,input_531010!A:H,8,FALSE))</f>
        <v>454061.53846000001</v>
      </c>
      <c r="P235" s="46">
        <f t="shared" ca="1" si="10"/>
        <v>7.3188513613797555E-3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input_531010!A$2</f>
        <v>531010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IFERROR(VLOOKUP(B236,input_531010!L:R,7,FALSE),VLOOKUP(tables_531010!C236,input_531010!A:H,8,FALSE))</f>
        <v>1338.46154</v>
      </c>
      <c r="P236" s="46">
        <f t="shared" ca="1" si="10"/>
        <v>2.157417053513862E-5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hidden="1" customHeight="1" x14ac:dyDescent="0.15">
      <c r="A237" s="2" t="str">
        <f ca="1">input_531010!A$2</f>
        <v>531010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IFERROR(VLOOKUP(B237,input_531010!L:R,7,FALSE),VLOOKUP(tables_531010!C237,input_531010!A:H,8,FALSE))</f>
        <v>78678</v>
      </c>
      <c r="P237" s="46">
        <f t="shared" ca="1" si="10"/>
        <v>1.2681818181818183E-3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input_531010!A$2</f>
        <v>531010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IFERROR(VLOOKUP(B238,input_531010!L:R,7,FALSE),VLOOKUP(tables_531010!C238,input_531010!A:H,8,FALSE))</f>
        <v>5922</v>
      </c>
      <c r="P238" s="46">
        <f t="shared" ca="1" si="10"/>
        <v>9.5454545454545461E-5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hidden="1" customHeight="1" x14ac:dyDescent="0.15">
      <c r="A239" s="2" t="str">
        <f ca="1">input_531010!A$2</f>
        <v>531010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IFERROR(VLOOKUP(B239,input_531010!L:R,7,FALSE),VLOOKUP(tables_531010!C239,input_531010!A:H,8,FALSE))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hidden="1" customHeight="1" x14ac:dyDescent="0.15">
      <c r="A240" s="2" t="str">
        <f ca="1">input_531010!A$2</f>
        <v>531010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IFERROR(VLOOKUP(B240,input_531010!L:R,7,FALSE),VLOOKUP(tables_531010!C240,input_531010!A:H,8,FALSE))</f>
        <v>454061.53846000001</v>
      </c>
      <c r="P240" s="46">
        <f t="shared" ca="1" si="10"/>
        <v>7.3188513613797555E-3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input_531010!A$2</f>
        <v>531010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IFERROR(VLOOKUP(B241,input_531010!L:R,7,FALSE),VLOOKUP(tables_531010!C241,input_531010!A:H,8,FALSE))</f>
        <v>1338.46154</v>
      </c>
      <c r="P241" s="46">
        <f t="shared" ca="1" si="10"/>
        <v>2.157417053513862E-5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hidden="1" customHeight="1" x14ac:dyDescent="0.15">
      <c r="A242" s="2" t="str">
        <f ca="1">input_531010!A$2</f>
        <v>531010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IFERROR(VLOOKUP(B242,input_531010!L:R,7,FALSE),VLOOKUP(tables_531010!C242,input_531010!A:H,8,FALSE))</f>
        <v>78678</v>
      </c>
      <c r="P242" s="46">
        <f t="shared" ca="1" si="10"/>
        <v>1.2681818181818183E-3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input_531010!A$2</f>
        <v>531010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IFERROR(VLOOKUP(B243,input_531010!L:R,7,FALSE),VLOOKUP(tables_531010!C243,input_531010!A:H,8,FALSE))</f>
        <v>5922</v>
      </c>
      <c r="P243" s="46">
        <f t="shared" ca="1" si="10"/>
        <v>9.5454545454545461E-5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hidden="1" customHeight="1" x14ac:dyDescent="0.15">
      <c r="A244" s="2" t="str">
        <f ca="1">input_531010!A$2</f>
        <v>531010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IFERROR(VLOOKUP(B244,input_531010!L:R,7,FALSE),VLOOKUP(tables_531010!C244,input_531010!A:H,8,FALSE))</f>
        <v>78678</v>
      </c>
      <c r="P244" s="46">
        <f t="shared" ca="1" si="10"/>
        <v>1.2681818181818183E-3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input_531010!A$2</f>
        <v>531010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IFERROR(VLOOKUP(B245,input_531010!L:R,7,FALSE),VLOOKUP(tables_531010!C245,input_531010!A:H,8,FALSE))</f>
        <v>5922</v>
      </c>
      <c r="P245" s="46">
        <f t="shared" ca="1" si="10"/>
        <v>9.5454545454545461E-5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hidden="1" customHeight="1" x14ac:dyDescent="0.15">
      <c r="A246" s="2" t="str">
        <f ca="1">input_531010!A$2</f>
        <v>531010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IFERROR(VLOOKUP(B246,input_531010!L:R,7,FALSE),VLOOKUP(tables_531010!C246,input_531010!A:H,8,FALSE))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hidden="1" customHeight="1" x14ac:dyDescent="0.15">
      <c r="A247" s="2" t="str">
        <f ca="1">input_531010!A$2</f>
        <v>531010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IFERROR(VLOOKUP(B247,input_531010!L:R,7,FALSE),VLOOKUP(tables_531010!C247,input_531010!A:H,8,FALSE))</f>
        <v>454061.53846000001</v>
      </c>
      <c r="P247" s="46">
        <f t="shared" ca="1" si="10"/>
        <v>7.3188513613797555E-3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input_531010!A$2</f>
        <v>531010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IFERROR(VLOOKUP(B248,input_531010!L:R,7,FALSE),VLOOKUP(tables_531010!C248,input_531010!A:H,8,FALSE))</f>
        <v>1338.46154</v>
      </c>
      <c r="P248" s="46">
        <f t="shared" ca="1" si="10"/>
        <v>2.157417053513862E-5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hidden="1" customHeight="1" x14ac:dyDescent="0.15">
      <c r="A249" s="2" t="str">
        <f ca="1">input_531010!A$2</f>
        <v>531010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IFERROR(VLOOKUP(B249,input_531010!L:R,7,FALSE),VLOOKUP(tables_531010!C249,input_531010!A:H,8,FALSE))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hidden="1" customHeight="1" x14ac:dyDescent="0.15">
      <c r="A250" s="2" t="str">
        <f ca="1">input_531010!A$2</f>
        <v>531010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IFERROR(VLOOKUP(B250,input_531010!L:R,7,FALSE),VLOOKUP(tables_531010!C250,input_531010!A:H,8,FALSE))</f>
        <v>454061.53846000001</v>
      </c>
      <c r="P250" s="46">
        <f t="shared" ca="1" si="10"/>
        <v>7.3188513613797555E-3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input_531010!A$2</f>
        <v>531010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IFERROR(VLOOKUP(B251,input_531010!L:R,7,FALSE),VLOOKUP(tables_531010!C251,input_531010!A:H,8,FALSE))</f>
        <v>1338.46154</v>
      </c>
      <c r="P251" s="46">
        <f t="shared" ca="1" si="10"/>
        <v>2.157417053513862E-5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hidden="1" customHeight="1" x14ac:dyDescent="0.15">
      <c r="A252" s="2" t="str">
        <f ca="1">input_531010!A$2</f>
        <v>531010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IFERROR(VLOOKUP(B252,input_531010!L:R,7,FALSE),VLOOKUP(tables_531010!C252,input_531010!A:H,8,FALSE))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hidden="1" customHeight="1" x14ac:dyDescent="0.15">
      <c r="A253" s="2" t="str">
        <f ca="1">input_531010!A$2</f>
        <v>531010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IFERROR(VLOOKUP(B253,input_531010!L:R,7,FALSE),VLOOKUP(tables_531010!C253,input_531010!A:H,8,FALSE))</f>
        <v>454061.53846000001</v>
      </c>
      <c r="P253" s="46">
        <f t="shared" ca="1" si="10"/>
        <v>7.3188513613797555E-3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input_531010!A$2</f>
        <v>531010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IFERROR(VLOOKUP(B254,input_531010!L:R,7,FALSE),VLOOKUP(tables_531010!C254,input_531010!A:H,8,FALSE))</f>
        <v>1338.46154</v>
      </c>
      <c r="P254" s="46">
        <f t="shared" ca="1" si="10"/>
        <v>2.157417053513862E-5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hidden="1" customHeight="1" x14ac:dyDescent="0.15">
      <c r="A255" s="2" t="str">
        <f ca="1">input_531010!A$2</f>
        <v>531010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IFERROR(VLOOKUP(B255,input_531010!L:R,7,FALSE),VLOOKUP(tables_531010!C255,input_531010!A:H,8,FALSE))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hidden="1" customHeight="1" x14ac:dyDescent="0.15">
      <c r="A256" s="2" t="str">
        <f ca="1">input_531010!A$2</f>
        <v>531010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IFERROR(VLOOKUP(B256,input_531010!L:R,7,FALSE),VLOOKUP(tables_531010!C256,input_531010!A:H,8,FALSE))</f>
        <v>454061.53846000001</v>
      </c>
      <c r="P256" s="46">
        <f t="shared" ca="1" si="10"/>
        <v>7.3188513613797555E-3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input_531010!A$2</f>
        <v>531010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IFERROR(VLOOKUP(B257,input_531010!L:R,7,FALSE),VLOOKUP(tables_531010!C257,input_531010!A:H,8,FALSE))</f>
        <v>1338.46154</v>
      </c>
      <c r="P257" s="46">
        <f t="shared" ca="1" si="10"/>
        <v>2.157417053513862E-5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hidden="1" customHeight="1" x14ac:dyDescent="0.15">
      <c r="A258" s="2" t="str">
        <f ca="1">input_531010!A$2</f>
        <v>531010</v>
      </c>
      <c r="B258" s="60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IFERROR(VLOOKUP(B258,input_531010!L:R,7,FALSE),VLOOKUP(tables_531010!C258,input_531010!A:H,8,FALSE))</f>
        <v>78678</v>
      </c>
      <c r="P258" s="46">
        <f t="shared" ref="P258:P321" ca="1" si="13">O258/SUM(O:O)</f>
        <v>1.2681818181818183E-3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input_531010!A$2</f>
        <v>531010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IFERROR(VLOOKUP(B259,input_531010!L:R,7,FALSE),VLOOKUP(tables_531010!C259,input_531010!A:H,8,FALSE))</f>
        <v>5922</v>
      </c>
      <c r="P259" s="46">
        <f t="shared" ca="1" si="13"/>
        <v>9.5454545454545461E-5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hidden="1" customHeight="1" x14ac:dyDescent="0.15">
      <c r="A260" s="2" t="str">
        <f ca="1">input_531010!A$2</f>
        <v>531010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IFERROR(VLOOKUP(B260,input_531010!L:R,7,FALSE),VLOOKUP(tables_531010!C260,input_531010!A:H,8,FALSE))</f>
        <v>78678</v>
      </c>
      <c r="P260" s="46">
        <f t="shared" ca="1" si="13"/>
        <v>1.2681818181818183E-3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input_531010!A$2</f>
        <v>531010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IFERROR(VLOOKUP(B261,input_531010!L:R,7,FALSE),VLOOKUP(tables_531010!C261,input_531010!A:H,8,FALSE))</f>
        <v>5922</v>
      </c>
      <c r="P261" s="46">
        <f t="shared" ca="1" si="13"/>
        <v>9.5454545454545461E-5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hidden="1" customHeight="1" x14ac:dyDescent="0.15">
      <c r="A262" s="2" t="str">
        <f ca="1">input_531010!A$2</f>
        <v>531010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IFERROR(VLOOKUP(B262,input_531010!L:R,7,FALSE),VLOOKUP(tables_531010!C262,input_531010!A:H,8,FALSE))</f>
        <v>412896</v>
      </c>
      <c r="P262" s="46">
        <f t="shared" ca="1" si="13"/>
        <v>6.6553191489361705E-3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input_531010!A$2</f>
        <v>531010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IFERROR(VLOOKUP(B263,input_531010!L:R,7,FALSE),VLOOKUP(tables_531010!C263,input_531010!A:H,8,FALSE))</f>
        <v>31878</v>
      </c>
      <c r="P263" s="46">
        <f t="shared" ca="1" si="13"/>
        <v>5.1382978723404254E-4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hidden="1" customHeight="1" x14ac:dyDescent="0.15">
      <c r="A264" s="2" t="str">
        <f ca="1">input_531010!A$2</f>
        <v>531010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IFERROR(VLOOKUP(B264,input_531010!L:R,7,FALSE),VLOOKUP(tables_531010!C264,input_531010!A:H,8,FALSE))</f>
        <v>412896</v>
      </c>
      <c r="P264" s="46">
        <f t="shared" ca="1" si="13"/>
        <v>6.6553191489361705E-3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input_531010!A$2</f>
        <v>531010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IFERROR(VLOOKUP(B265,input_531010!L:R,7,FALSE),VLOOKUP(tables_531010!C265,input_531010!A:H,8,FALSE))</f>
        <v>31878</v>
      </c>
      <c r="P265" s="46">
        <f t="shared" ca="1" si="13"/>
        <v>5.1382978723404254E-4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input_531010!A$2</f>
        <v>531010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IFERROR(VLOOKUP(B266,input_531010!L:R,7,FALSE),VLOOKUP(tables_531010!C266,input_531010!A:H,8,FALSE))</f>
        <v>84600</v>
      </c>
      <c r="P266" s="46">
        <f t="shared" ca="1" si="13"/>
        <v>1.3636363636363637E-3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input_531010!A$2</f>
        <v>531010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IFERROR(VLOOKUP(B267,input_531010!L:R,7,FALSE),VLOOKUP(tables_531010!C267,input_531010!A:H,8,FALSE))</f>
        <v>84600</v>
      </c>
      <c r="P267" s="46">
        <f t="shared" ca="1" si="13"/>
        <v>1.3636363636363637E-3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input_531010!A$2</f>
        <v>531010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IFERROR(VLOOKUP(B268,input_531010!L:R,7,FALSE),VLOOKUP(tables_531010!C268,input_531010!A:H,8,FALSE))</f>
        <v>84600</v>
      </c>
      <c r="P268" s="46">
        <f t="shared" ca="1" si="13"/>
        <v>1.3636363636363637E-3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input_531010!A$2</f>
        <v>531010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IFERROR(VLOOKUP(B269,input_531010!L:R,7,FALSE),VLOOKUP(tables_531010!C269,input_531010!A:H,8,FALSE))</f>
        <v>84600</v>
      </c>
      <c r="P269" s="46">
        <f t="shared" ca="1" si="13"/>
        <v>1.3636363636363637E-3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hidden="1" customHeight="1" x14ac:dyDescent="0.15">
      <c r="A270" s="2" t="str">
        <f ca="1">input_531010!A$2</f>
        <v>531010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IFERROR(VLOOKUP(B270,input_531010!L:R,7,FALSE),VLOOKUP(tables_531010!C270,input_531010!A:H,8,FALSE))</f>
        <v>412896</v>
      </c>
      <c r="P270" s="46">
        <f t="shared" ca="1" si="13"/>
        <v>6.6553191489361705E-3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input_531010!A$2</f>
        <v>531010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IFERROR(VLOOKUP(B271,input_531010!L:R,7,FALSE),VLOOKUP(tables_531010!C271,input_531010!A:H,8,FALSE))</f>
        <v>31878</v>
      </c>
      <c r="P271" s="46">
        <f t="shared" ca="1" si="13"/>
        <v>5.1382978723404254E-4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hidden="1" customHeight="1" x14ac:dyDescent="0.15">
      <c r="A272" s="2" t="str">
        <f ca="1">input_531010!A$2</f>
        <v>531010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IFERROR(VLOOKUP(B272,input_531010!L:R,7,FALSE),VLOOKUP(tables_531010!C272,input_531010!A:H,8,FALSE))</f>
        <v>412896</v>
      </c>
      <c r="P272" s="46">
        <f t="shared" ca="1" si="13"/>
        <v>6.6553191489361705E-3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input_531010!A$2</f>
        <v>531010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IFERROR(VLOOKUP(B273,input_531010!L:R,7,FALSE),VLOOKUP(tables_531010!C273,input_531010!A:H,8,FALSE))</f>
        <v>31878</v>
      </c>
      <c r="P273" s="46">
        <f t="shared" ca="1" si="13"/>
        <v>5.1382978723404254E-4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hidden="1" customHeight="1" x14ac:dyDescent="0.15">
      <c r="A274" s="2" t="str">
        <f ca="1">input_531010!A$2</f>
        <v>531010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IFERROR(VLOOKUP(B274,input_531010!L:R,7,FALSE),VLOOKUP(tables_531010!C274,input_531010!A:H,8,FALSE))</f>
        <v>78678</v>
      </c>
      <c r="P274" s="46">
        <f t="shared" ca="1" si="13"/>
        <v>1.2681818181818183E-3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input_531010!A$2</f>
        <v>531010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IFERROR(VLOOKUP(B275,input_531010!L:R,7,FALSE),VLOOKUP(tables_531010!C275,input_531010!A:H,8,FALSE))</f>
        <v>5922</v>
      </c>
      <c r="P275" s="46">
        <f t="shared" ca="1" si="13"/>
        <v>9.5454545454545461E-5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hidden="1" customHeight="1" x14ac:dyDescent="0.15">
      <c r="A276" s="2" t="str">
        <f ca="1">input_531010!A$2</f>
        <v>531010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IFERROR(VLOOKUP(B276,input_531010!L:R,7,FALSE),VLOOKUP(tables_531010!C276,input_531010!A:H,8,FALSE))</f>
        <v>78678</v>
      </c>
      <c r="P276" s="46">
        <f t="shared" ca="1" si="13"/>
        <v>1.2681818181818183E-3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input_531010!A$2</f>
        <v>531010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IFERROR(VLOOKUP(B277,input_531010!L:R,7,FALSE),VLOOKUP(tables_531010!C277,input_531010!A:H,8,FALSE))</f>
        <v>5922</v>
      </c>
      <c r="P277" s="46">
        <f t="shared" ca="1" si="13"/>
        <v>9.5454545454545461E-5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hidden="1" customHeight="1" x14ac:dyDescent="0.15">
      <c r="A278" s="2" t="str">
        <f ca="1">input_531010!A$2</f>
        <v>531010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IFERROR(VLOOKUP(B278,input_531010!L:R,7,FALSE),VLOOKUP(tables_531010!C278,input_531010!A:H,8,FALSE))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hidden="1" customHeight="1" x14ac:dyDescent="0.15">
      <c r="A279" s="2" t="str">
        <f ca="1">input_531010!A$2</f>
        <v>531010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IFERROR(VLOOKUP(B279,input_531010!L:R,7,FALSE),VLOOKUP(tables_531010!C279,input_531010!A:H,8,FALSE))</f>
        <v>454061.53846000001</v>
      </c>
      <c r="P279" s="46">
        <f t="shared" ca="1" si="13"/>
        <v>7.3188513613797555E-3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input_531010!A$2</f>
        <v>531010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IFERROR(VLOOKUP(B280,input_531010!L:R,7,FALSE),VLOOKUP(tables_531010!C280,input_531010!A:H,8,FALSE))</f>
        <v>1338.46154</v>
      </c>
      <c r="P280" s="46">
        <f t="shared" ca="1" si="13"/>
        <v>2.157417053513862E-5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hidden="1" customHeight="1" x14ac:dyDescent="0.15">
      <c r="A281" s="2" t="str">
        <f ca="1">input_531010!A$2</f>
        <v>531010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IFERROR(VLOOKUP(B281,input_531010!L:R,7,FALSE),VLOOKUP(tables_531010!C281,input_531010!A:H,8,FALSE))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hidden="1" customHeight="1" x14ac:dyDescent="0.15">
      <c r="A282" s="2" t="str">
        <f ca="1">input_531010!A$2</f>
        <v>531010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IFERROR(VLOOKUP(B282,input_531010!L:R,7,FALSE),VLOOKUP(tables_531010!C282,input_531010!A:H,8,FALSE))</f>
        <v>454061.53846000001</v>
      </c>
      <c r="P282" s="46">
        <f t="shared" ca="1" si="13"/>
        <v>7.3188513613797555E-3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input_531010!A$2</f>
        <v>531010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IFERROR(VLOOKUP(B283,input_531010!L:R,7,FALSE),VLOOKUP(tables_531010!C283,input_531010!A:H,8,FALSE))</f>
        <v>1338.46154</v>
      </c>
      <c r="P283" s="46">
        <f t="shared" ca="1" si="13"/>
        <v>2.157417053513862E-5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input_531010!A$2</f>
        <v>531010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IFERROR(VLOOKUP(B284,input_531010!L:R,7,FALSE),VLOOKUP(tables_531010!C284,input_531010!A:H,8,FALSE))</f>
        <v>84600</v>
      </c>
      <c r="P284" s="46">
        <f t="shared" ca="1" si="13"/>
        <v>1.3636363636363637E-3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input_531010!A$2</f>
        <v>531010</v>
      </c>
      <c r="B285" s="5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IFERROR(VLOOKUP(B285,input_531010!L:R,7,FALSE),VLOOKUP(tables_531010!C285,input_531010!A:H,8,FALSE))</f>
        <v>84600</v>
      </c>
      <c r="P285" s="46">
        <f t="shared" ca="1" si="13"/>
        <v>1.3636363636363637E-3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hidden="1" customHeight="1" x14ac:dyDescent="0.15">
      <c r="A286" s="2" t="str">
        <f ca="1">input_531010!A$2</f>
        <v>531010</v>
      </c>
      <c r="B286" s="5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IFERROR(VLOOKUP(B286,input_531010!L:R,7,FALSE),VLOOKUP(tables_531010!C286,input_531010!A:H,8,FALSE))</f>
        <v>412896</v>
      </c>
      <c r="P286" s="46">
        <f t="shared" ca="1" si="13"/>
        <v>6.6553191489361705E-3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input_531010!A$2</f>
        <v>531010</v>
      </c>
      <c r="B287" s="5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IFERROR(VLOOKUP(B287,input_531010!L:R,7,FALSE),VLOOKUP(tables_531010!C287,input_531010!A:H,8,FALSE))</f>
        <v>31878</v>
      </c>
      <c r="P287" s="46">
        <f t="shared" ca="1" si="13"/>
        <v>5.1382978723404254E-4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hidden="1" customHeight="1" x14ac:dyDescent="0.15">
      <c r="A288" s="2" t="str">
        <f ca="1">input_531010!A$2</f>
        <v>531010</v>
      </c>
      <c r="B288" s="5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IFERROR(VLOOKUP(B288,input_531010!L:R,7,FALSE),VLOOKUP(tables_531010!C288,input_531010!A:H,8,FALSE))</f>
        <v>412896</v>
      </c>
      <c r="P288" s="46">
        <f t="shared" ca="1" si="13"/>
        <v>6.6553191489361705E-3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input_531010!A$2</f>
        <v>531010</v>
      </c>
      <c r="B289" s="5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IFERROR(VLOOKUP(B289,input_531010!L:R,7,FALSE),VLOOKUP(tables_531010!C289,input_531010!A:H,8,FALSE))</f>
        <v>31878</v>
      </c>
      <c r="P289" s="46">
        <f t="shared" ca="1" si="13"/>
        <v>5.1382978723404254E-4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hidden="1" customHeight="1" x14ac:dyDescent="0.15">
      <c r="A290" s="2" t="str">
        <f ca="1">input_531010!A$2</f>
        <v>531010</v>
      </c>
      <c r="B290" s="5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IFERROR(VLOOKUP(B290,input_531010!L:R,7,FALSE),VLOOKUP(tables_531010!C290,input_531010!A:H,8,FALSE))</f>
        <v>412896</v>
      </c>
      <c r="P290" s="46">
        <f t="shared" ca="1" si="13"/>
        <v>6.6553191489361705E-3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input_531010!A$2</f>
        <v>531010</v>
      </c>
      <c r="B291" s="5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IFERROR(VLOOKUP(B291,input_531010!L:R,7,FALSE),VLOOKUP(tables_531010!C291,input_531010!A:H,8,FALSE))</f>
        <v>31878</v>
      </c>
      <c r="P291" s="46">
        <f t="shared" ca="1" si="13"/>
        <v>5.1382978723404254E-4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hidden="1" customHeight="1" x14ac:dyDescent="0.15">
      <c r="A292" s="2" t="str">
        <f ca="1">input_531010!A$2</f>
        <v>531010</v>
      </c>
      <c r="B292" s="5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IFERROR(VLOOKUP(B292,input_531010!L:R,7,FALSE),VLOOKUP(tables_531010!C292,input_531010!A:H,8,FALSE))</f>
        <v>412896</v>
      </c>
      <c r="P292" s="46">
        <f t="shared" ca="1" si="13"/>
        <v>6.6553191489361705E-3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input_531010!A$2</f>
        <v>531010</v>
      </c>
      <c r="B293" s="5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IFERROR(VLOOKUP(B293,input_531010!L:R,7,FALSE),VLOOKUP(tables_531010!C293,input_531010!A:H,8,FALSE))</f>
        <v>31878</v>
      </c>
      <c r="P293" s="46">
        <f t="shared" ca="1" si="13"/>
        <v>5.1382978723404254E-4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input_531010!A$2</f>
        <v>531010</v>
      </c>
      <c r="B294" s="5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IFERROR(VLOOKUP(B294,input_531010!L:R,7,FALSE),VLOOKUP(tables_531010!C294,input_531010!A:H,8,FALSE))</f>
        <v>84600</v>
      </c>
      <c r="P294" s="46">
        <f t="shared" ca="1" si="13"/>
        <v>1.3636363636363637E-3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input_531010!A$2</f>
        <v>531010</v>
      </c>
      <c r="B295" s="5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IFERROR(VLOOKUP(B295,input_531010!L:R,7,FALSE),VLOOKUP(tables_531010!C295,input_531010!A:H,8,FALSE))</f>
        <v>84600</v>
      </c>
      <c r="P295" s="46">
        <f t="shared" ca="1" si="13"/>
        <v>1.3636363636363637E-3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input_531010!A$2</f>
        <v>531010</v>
      </c>
      <c r="B296" s="5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IFERROR(VLOOKUP(B296,input_531010!L:R,7,FALSE),VLOOKUP(tables_531010!C296,input_531010!A:H,8,FALSE))</f>
        <v>84600</v>
      </c>
      <c r="P296" s="46">
        <f t="shared" ca="1" si="13"/>
        <v>1.3636363636363637E-3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hidden="1" customHeight="1" x14ac:dyDescent="0.15">
      <c r="A297" s="2" t="str">
        <f ca="1">input_531010!A$2</f>
        <v>531010</v>
      </c>
      <c r="B297" s="5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IFERROR(VLOOKUP(B297,input_531010!L:R,7,FALSE),VLOOKUP(tables_531010!C297,input_531010!A:H,8,FALSE))</f>
        <v>412896</v>
      </c>
      <c r="P297" s="46">
        <f t="shared" ca="1" si="13"/>
        <v>6.6553191489361705E-3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input_531010!A$2</f>
        <v>531010</v>
      </c>
      <c r="B298" s="5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IFERROR(VLOOKUP(B298,input_531010!L:R,7,FALSE),VLOOKUP(tables_531010!C298,input_531010!A:H,8,FALSE))</f>
        <v>31878</v>
      </c>
      <c r="P298" s="46">
        <f t="shared" ca="1" si="13"/>
        <v>5.1382978723404254E-4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input_531010!A$2</f>
        <v>531010</v>
      </c>
      <c r="B299" s="5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IFERROR(VLOOKUP(B299,input_531010!L:R,7,FALSE),VLOOKUP(tables_531010!C299,input_531010!A:H,8,FALSE))</f>
        <v>84600</v>
      </c>
      <c r="P299" s="46">
        <f t="shared" ca="1" si="13"/>
        <v>1.3636363636363637E-3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input_531010!A$2</f>
        <v>531010</v>
      </c>
      <c r="B300" s="5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IFERROR(VLOOKUP(B300,input_531010!L:R,7,FALSE),VLOOKUP(tables_531010!C300,input_531010!A:H,8,FALSE))</f>
        <v>84600</v>
      </c>
      <c r="P300" s="46">
        <f t="shared" ca="1" si="13"/>
        <v>1.3636363636363637E-3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input_531010!A$2</f>
        <v>531010</v>
      </c>
      <c r="B301" s="5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IFERROR(VLOOKUP(B301,input_531010!L:R,7,FALSE),VLOOKUP(tables_531010!C301,input_531010!A:H,8,FALSE))</f>
        <v>84600</v>
      </c>
      <c r="P301" s="46">
        <f t="shared" ca="1" si="13"/>
        <v>1.3636363636363637E-3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input_531010!A$2</f>
        <v>531010</v>
      </c>
      <c r="B302" s="5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IFERROR(VLOOKUP(B302,input_531010!L:R,7,FALSE),VLOOKUP(tables_531010!C302,input_531010!A:H,8,FALSE))</f>
        <v>84600</v>
      </c>
      <c r="P302" s="46">
        <f t="shared" ca="1" si="13"/>
        <v>1.3636363636363637E-3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hidden="1" customHeight="1" x14ac:dyDescent="0.15">
      <c r="A303" s="2" t="str">
        <f ca="1">input_531010!A$2</f>
        <v>531010</v>
      </c>
      <c r="B303" s="5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IFERROR(VLOOKUP(B303,input_531010!L:R,7,FALSE),VLOOKUP(tables_531010!C303,input_531010!A:H,8,FALSE))</f>
        <v>412896</v>
      </c>
      <c r="P303" s="46">
        <f t="shared" ca="1" si="13"/>
        <v>6.6553191489361705E-3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input_531010!A$2</f>
        <v>531010</v>
      </c>
      <c r="B304" s="5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IFERROR(VLOOKUP(B304,input_531010!L:R,7,FALSE),VLOOKUP(tables_531010!C304,input_531010!A:H,8,FALSE))</f>
        <v>31878</v>
      </c>
      <c r="P304" s="46">
        <f t="shared" ca="1" si="13"/>
        <v>5.1382978723404254E-4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input_531010!A$2</f>
        <v>531010</v>
      </c>
      <c r="B305" s="5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IFERROR(VLOOKUP(B305,input_531010!L:R,7,FALSE),VLOOKUP(tables_531010!C305,input_531010!A:H,8,FALSE))</f>
        <v>84600</v>
      </c>
      <c r="P305" s="46">
        <f t="shared" ca="1" si="13"/>
        <v>1.3636363636363637E-3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hidden="1" customHeight="1" x14ac:dyDescent="0.15">
      <c r="A306" s="2" t="str">
        <f ca="1">input_531010!A$2</f>
        <v>531010</v>
      </c>
      <c r="B306" s="5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IFERROR(VLOOKUP(B306,input_531010!L:R,7,FALSE),VLOOKUP(tables_531010!C306,input_531010!A:H,8,FALSE))</f>
        <v>412896</v>
      </c>
      <c r="P306" s="46">
        <f t="shared" ca="1" si="13"/>
        <v>6.6553191489361705E-3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input_531010!A$2</f>
        <v>531010</v>
      </c>
      <c r="B307" s="5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IFERROR(VLOOKUP(B307,input_531010!L:R,7,FALSE),VLOOKUP(tables_531010!C307,input_531010!A:H,8,FALSE))</f>
        <v>31878</v>
      </c>
      <c r="P307" s="46">
        <f t="shared" ca="1" si="13"/>
        <v>5.1382978723404254E-4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input_531010!A$2</f>
        <v>531010</v>
      </c>
      <c r="B308" s="5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IFERROR(VLOOKUP(B308,input_531010!L:R,7,FALSE),VLOOKUP(tables_531010!C308,input_531010!A:H,8,FALSE))</f>
        <v>84600</v>
      </c>
      <c r="P308" s="46">
        <f t="shared" ca="1" si="13"/>
        <v>1.3636363636363637E-3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input_531010!A$2</f>
        <v>531010</v>
      </c>
      <c r="B309" s="5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IFERROR(VLOOKUP(B309,input_531010!L:R,7,FALSE),VLOOKUP(tables_531010!C309,input_531010!A:H,8,FALSE))</f>
        <v>84600</v>
      </c>
      <c r="P309" s="46">
        <f t="shared" ca="1" si="13"/>
        <v>1.3636363636363637E-3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input_531010!A$2</f>
        <v>531010</v>
      </c>
      <c r="B310" s="5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IFERROR(VLOOKUP(B310,input_531010!L:R,7,FALSE),VLOOKUP(tables_531010!C310,input_531010!A:H,8,FALSE))</f>
        <v>84600</v>
      </c>
      <c r="P310" s="46">
        <f t="shared" ca="1" si="13"/>
        <v>1.3636363636363637E-3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hidden="1" customHeight="1" x14ac:dyDescent="0.15">
      <c r="A311" s="2" t="str">
        <f ca="1">input_531010!A$2</f>
        <v>531010</v>
      </c>
      <c r="B311" s="5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IFERROR(VLOOKUP(B311,input_531010!L:R,7,FALSE),VLOOKUP(tables_531010!C311,input_531010!A:H,8,FALSE))</f>
        <v>412896</v>
      </c>
      <c r="P311" s="46">
        <f t="shared" ca="1" si="13"/>
        <v>6.6553191489361705E-3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input_531010!A$2</f>
        <v>531010</v>
      </c>
      <c r="B312" s="5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IFERROR(VLOOKUP(B312,input_531010!L:R,7,FALSE),VLOOKUP(tables_531010!C312,input_531010!A:H,8,FALSE))</f>
        <v>31878</v>
      </c>
      <c r="P312" s="46">
        <f t="shared" ca="1" si="13"/>
        <v>5.1382978723404254E-4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input_531010!A$2</f>
        <v>531010</v>
      </c>
      <c r="B313" s="5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IFERROR(VLOOKUP(B313,input_531010!L:R,7,FALSE),VLOOKUP(tables_531010!C313,input_531010!A:H,8,FALSE))</f>
        <v>84600</v>
      </c>
      <c r="P313" s="46">
        <f t="shared" ca="1" si="13"/>
        <v>1.3636363636363637E-3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input_531010!A$2</f>
        <v>531010</v>
      </c>
      <c r="B314" s="5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IFERROR(VLOOKUP(B314,input_531010!L:R,7,FALSE),VLOOKUP(tables_531010!C314,input_531010!A:H,8,FALSE))</f>
        <v>84600</v>
      </c>
      <c r="P314" s="46">
        <f t="shared" ca="1" si="13"/>
        <v>1.3636363636363637E-3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input_531010!A$2</f>
        <v>531010</v>
      </c>
      <c r="B315" s="5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IFERROR(VLOOKUP(B315,input_531010!L:R,7,FALSE),VLOOKUP(tables_531010!C315,input_531010!A:H,8,FALSE))</f>
        <v>84600</v>
      </c>
      <c r="P315" s="46">
        <f t="shared" ca="1" si="13"/>
        <v>1.3636363636363637E-3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input_531010!A$2</f>
        <v>531010</v>
      </c>
      <c r="B316" s="5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IFERROR(VLOOKUP(B316,input_531010!L:R,7,FALSE),VLOOKUP(tables_531010!C316,input_531010!A:H,8,FALSE))</f>
        <v>84600</v>
      </c>
      <c r="P316" s="46">
        <f t="shared" ca="1" si="13"/>
        <v>1.3636363636363637E-3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input_531010!A$2</f>
        <v>531010</v>
      </c>
      <c r="B317" s="5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IFERROR(VLOOKUP(B317,input_531010!L:R,7,FALSE),VLOOKUP(tables_531010!C317,input_531010!A:H,8,FALSE))</f>
        <v>84600</v>
      </c>
      <c r="P317" s="46">
        <f t="shared" ca="1" si="13"/>
        <v>1.3636363636363637E-3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hidden="1" customHeight="1" x14ac:dyDescent="0.15">
      <c r="A318" s="2" t="str">
        <f ca="1">input_531010!A$2</f>
        <v>531010</v>
      </c>
      <c r="B318" s="5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IFERROR(VLOOKUP(B318,input_531010!L:R,7,FALSE),VLOOKUP(tables_531010!C318,input_531010!A:H,8,FALSE))</f>
        <v>412896</v>
      </c>
      <c r="P318" s="46">
        <f t="shared" ca="1" si="13"/>
        <v>6.6553191489361705E-3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input_531010!A$2</f>
        <v>531010</v>
      </c>
      <c r="B319" s="5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IFERROR(VLOOKUP(B319,input_531010!L:R,7,FALSE),VLOOKUP(tables_531010!C319,input_531010!A:H,8,FALSE))</f>
        <v>31878</v>
      </c>
      <c r="P319" s="46">
        <f t="shared" ca="1" si="13"/>
        <v>5.1382978723404254E-4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input_531010!A$2</f>
        <v>531010</v>
      </c>
      <c r="B320" s="5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IFERROR(VLOOKUP(B320,input_531010!L:R,7,FALSE),VLOOKUP(tables_531010!C320,input_531010!A:H,8,FALSE))</f>
        <v>84600</v>
      </c>
      <c r="P320" s="46">
        <f t="shared" ca="1" si="13"/>
        <v>1.3636363636363637E-3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input_531010!A$2</f>
        <v>531010</v>
      </c>
      <c r="B321" s="5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IFERROR(VLOOKUP(B321,input_531010!L:R,7,FALSE),VLOOKUP(tables_531010!C321,input_531010!A:H,8,FALSE))</f>
        <v>84600</v>
      </c>
      <c r="P321" s="46">
        <f t="shared" ca="1" si="13"/>
        <v>1.3636363636363637E-3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input_531010!A$2</f>
        <v>531010</v>
      </c>
      <c r="B322" s="5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IFERROR(VLOOKUP(B322,input_531010!L:R,7,FALSE),VLOOKUP(tables_531010!C322,input_531010!A:H,8,FALSE))</f>
        <v>84600</v>
      </c>
      <c r="P322" s="46">
        <f t="shared" ref="P322:P346" ca="1" si="23">O322/SUM(O:O)</f>
        <v>1.3636363636363637E-3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input_531010!A$2</f>
        <v>531010</v>
      </c>
      <c r="B323" s="5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IFERROR(VLOOKUP(B323,input_531010!L:R,7,FALSE),VLOOKUP(tables_531010!C323,input_531010!A:H,8,FALSE))</f>
        <v>84600</v>
      </c>
      <c r="P323" s="46">
        <f t="shared" ca="1" si="23"/>
        <v>1.3636363636363637E-3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hidden="1" customHeight="1" x14ac:dyDescent="0.15">
      <c r="A324" s="2" t="str">
        <f ca="1">input_531010!A$2</f>
        <v>531010</v>
      </c>
      <c r="B324" s="2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IFERROR(VLOOKUP(B324,input_531010!L:R,7,FALSE),VLOOKUP(tables_531010!C324,input_531010!A:H,8,FALSE))</f>
        <v>412896</v>
      </c>
      <c r="P324" s="46">
        <f t="shared" ca="1" si="23"/>
        <v>6.6553191489361705E-3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input_531010!A$2</f>
        <v>531010</v>
      </c>
      <c r="B325" s="2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IFERROR(VLOOKUP(B325,input_531010!L:R,7,FALSE),VLOOKUP(tables_531010!C325,input_531010!A:H,8,FALSE))</f>
        <v>31878</v>
      </c>
      <c r="P325" s="46">
        <f t="shared" ca="1" si="23"/>
        <v>5.1382978723404254E-4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hidden="1" customHeight="1" x14ac:dyDescent="0.15">
      <c r="A326" s="2" t="str">
        <f ca="1">input_531010!A$2</f>
        <v>531010</v>
      </c>
      <c r="B326" s="2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IFERROR(VLOOKUP(B326,input_531010!L:R,7,FALSE),VLOOKUP(tables_531010!C326,input_531010!A:H,8,FALSE))</f>
        <v>412896</v>
      </c>
      <c r="P326" s="46">
        <f t="shared" ca="1" si="23"/>
        <v>6.6553191489361705E-3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input_531010!A$2</f>
        <v>531010</v>
      </c>
      <c r="B327" s="2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IFERROR(VLOOKUP(B327,input_531010!L:R,7,FALSE),VLOOKUP(tables_531010!C327,input_531010!A:H,8,FALSE))</f>
        <v>31878</v>
      </c>
      <c r="P327" s="46">
        <f t="shared" ca="1" si="23"/>
        <v>5.1382978723404254E-4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input_531010!A$2</f>
        <v>531010</v>
      </c>
      <c r="B328" s="2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IFERROR(VLOOKUP(B328,input_531010!L:R,7,FALSE),VLOOKUP(tables_531010!C328,input_531010!A:H,8,FALSE))</f>
        <v>84600</v>
      </c>
      <c r="P328" s="46">
        <f t="shared" ca="1" si="23"/>
        <v>1.3636363636363637E-3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input_531010!A$2</f>
        <v>531010</v>
      </c>
      <c r="B329" s="2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IFERROR(VLOOKUP(B329,input_531010!L:R,7,FALSE),VLOOKUP(tables_531010!C329,input_531010!A:H,8,FALSE))</f>
        <v>84600</v>
      </c>
      <c r="P329" s="46">
        <f t="shared" ca="1" si="23"/>
        <v>1.3636363636363637E-3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input_531010!A$2</f>
        <v>531010</v>
      </c>
      <c r="B330" s="2">
        <v>1157</v>
      </c>
      <c r="C330" s="7" t="str">
        <f t="shared" si="25"/>
        <v>PremiumSS5R5only</v>
      </c>
      <c r="D330" s="95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IFERROR(VLOOKUP(B330,input_531010!L:R,7,FALSE),VLOOKUP(tables_531010!C330,input_531010!A:H,8,FALSE))</f>
        <v>84600</v>
      </c>
      <c r="P330" s="46">
        <f t="shared" ca="1" si="23"/>
        <v>1.3636363636363637E-3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input_531010!A$2</f>
        <v>531010</v>
      </c>
      <c r="B331" s="60">
        <v>1214</v>
      </c>
      <c r="C331" s="7" t="str">
        <f t="shared" ref="C331:C335" si="26">D331&amp;J331&amp;E331&amp;F331&amp;G331</f>
        <v>PremiumSS5R5only</v>
      </c>
      <c r="D331" s="95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IFERROR(VLOOKUP(B331,input_531010!L:R,7,FALSE),VLOOKUP(tables_531010!C331,input_531010!A:H,8,FALSE))</f>
        <v>84600</v>
      </c>
      <c r="P331" s="46">
        <f t="shared" ca="1" si="23"/>
        <v>1.3636363636363637E-3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input_531010!A$2</f>
        <v>531010</v>
      </c>
      <c r="B332" s="60">
        <v>1212</v>
      </c>
      <c r="C332" s="7" t="str">
        <f t="shared" si="26"/>
        <v>PremiumSS5R5only</v>
      </c>
      <c r="D332" s="95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IFERROR(VLOOKUP(B332,input_531010!L:R,7,FALSE),VLOOKUP(tables_531010!C332,input_531010!A:H,8,FALSE))</f>
        <v>84600</v>
      </c>
      <c r="P332" s="46">
        <f t="shared" ca="1" si="23"/>
        <v>1.3636363636363637E-3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input_531010!A$2</f>
        <v>531010</v>
      </c>
      <c r="B333" s="60">
        <v>1208</v>
      </c>
      <c r="C333" s="7" t="str">
        <f t="shared" si="26"/>
        <v>PremiumSS5R5only</v>
      </c>
      <c r="D333" s="95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IFERROR(VLOOKUP(B333,input_531010!L:R,7,FALSE),VLOOKUP(tables_531010!C333,input_531010!A:H,8,FALSE))</f>
        <v>84600</v>
      </c>
      <c r="P333" s="46">
        <f t="shared" ca="1" si="23"/>
        <v>1.3636363636363637E-3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hidden="1" customHeight="1" x14ac:dyDescent="0.15">
      <c r="A334" s="2" t="str">
        <f ca="1">input_531010!A$2</f>
        <v>531010</v>
      </c>
      <c r="B334" s="91">
        <v>1210</v>
      </c>
      <c r="C334" s="7" t="str">
        <f t="shared" si="26"/>
        <v>Premium4R3less</v>
      </c>
      <c r="D334" s="95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IFERROR(VLOOKUP(B334,input_531010!L:R,7,FALSE),VLOOKUP(tables_531010!C334,input_531010!A:H,8,FALSE))</f>
        <v>412896</v>
      </c>
      <c r="P334" s="46">
        <f t="shared" ca="1" si="23"/>
        <v>6.6553191489361705E-3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input_531010!A$2</f>
        <v>531010</v>
      </c>
      <c r="B335" s="60">
        <v>1211</v>
      </c>
      <c r="C335" s="7" t="str">
        <f t="shared" si="26"/>
        <v>Premium5R3less</v>
      </c>
      <c r="D335" s="95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IFERROR(VLOOKUP(B335,input_531010!L:R,7,FALSE),VLOOKUP(tables_531010!C335,input_531010!A:H,8,FALSE))</f>
        <v>31878</v>
      </c>
      <c r="P335" s="46">
        <f t="shared" ca="1" si="23"/>
        <v>5.1382978723404254E-4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hidden="1" customHeight="1" x14ac:dyDescent="0.15">
      <c r="A336" s="2" t="str">
        <f ca="1">input_531010!A$2</f>
        <v>531010</v>
      </c>
      <c r="B336" s="2">
        <v>1224</v>
      </c>
      <c r="C336" s="7" t="str">
        <f t="shared" ref="C336:C340" si="28">D336&amp;J336&amp;E336&amp;F336&amp;G336</f>
        <v>Premium4R3less</v>
      </c>
      <c r="D336" s="95" t="str">
        <f t="shared" ref="D336:D340" si="29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IFERROR(VLOOKUP(B336,input_531010!L:R,7,FALSE),VLOOKUP(tables_531010!C336,input_531010!A:H,8,FALSE))</f>
        <v>412896</v>
      </c>
      <c r="P336" s="46">
        <f t="shared" ca="1" si="23"/>
        <v>6.6553191489361705E-3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input_531010!A$2</f>
        <v>531010</v>
      </c>
      <c r="B337" s="2">
        <v>1225</v>
      </c>
      <c r="C337" s="7" t="str">
        <f t="shared" si="28"/>
        <v>Premium5R3less</v>
      </c>
      <c r="D337" s="95" t="str">
        <f t="shared" si="29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IFERROR(VLOOKUP(B337,input_531010!L:R,7,FALSE),VLOOKUP(tables_531010!C337,input_531010!A:H,8,FALSE))</f>
        <v>31878</v>
      </c>
      <c r="P337" s="46">
        <f t="shared" ca="1" si="23"/>
        <v>5.1382978723404254E-4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input_531010!A$2</f>
        <v>531010</v>
      </c>
      <c r="B338" s="2">
        <v>1226</v>
      </c>
      <c r="C338" s="7" t="str">
        <f t="shared" si="28"/>
        <v>PremiumSS5R5only</v>
      </c>
      <c r="D338" s="95" t="str">
        <f t="shared" si="29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IFERROR(VLOOKUP(B338,input_531010!L:R,7,FALSE),VLOOKUP(tables_531010!C338,input_531010!A:H,8,FALSE))</f>
        <v>84600</v>
      </c>
      <c r="P338" s="46">
        <f t="shared" ca="1" si="23"/>
        <v>1.3636363636363637E-3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input_531010!A$2</f>
        <v>531010</v>
      </c>
      <c r="B339" s="2">
        <v>1228</v>
      </c>
      <c r="C339" s="7" t="str">
        <f t="shared" si="28"/>
        <v>PremiumSS5R5only</v>
      </c>
      <c r="D339" s="95" t="str">
        <f t="shared" si="29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IFERROR(VLOOKUP(B339,input_531010!L:R,7,FALSE),VLOOKUP(tables_531010!C339,input_531010!A:H,8,FALSE))</f>
        <v>84600</v>
      </c>
      <c r="P339" s="46">
        <f t="shared" ca="1" si="23"/>
        <v>1.3636363636363637E-3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input_531010!A$2</f>
        <v>531010</v>
      </c>
      <c r="B340" s="2">
        <v>1230</v>
      </c>
      <c r="C340" s="7" t="str">
        <f t="shared" si="28"/>
        <v>PremiumSS5R5only</v>
      </c>
      <c r="D340" s="95" t="str">
        <f t="shared" si="29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IFERROR(VLOOKUP(B340,input_531010!L:R,7,FALSE),VLOOKUP(tables_531010!C340,input_531010!A:H,8,FALSE))</f>
        <v>84600</v>
      </c>
      <c r="P340" s="46">
        <f t="shared" ca="1" si="23"/>
        <v>1.3636363636363637E-3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input_531010!A$2</f>
        <v>531010</v>
      </c>
      <c r="B341" s="96">
        <v>1244</v>
      </c>
      <c r="C341" s="7" t="str">
        <f t="shared" ref="C341:C342" si="30">D341&amp;J341&amp;E341&amp;F341&amp;G341</f>
        <v>PremiumSS5R5only</v>
      </c>
      <c r="D341" s="95" t="str">
        <f t="shared" ref="D341:D342" si="31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IFERROR(VLOOKUP(B341,input_531010!L:R,7,FALSE),VLOOKUP(tables_531010!C341,input_531010!A:H,8,FALSE))</f>
        <v>84600</v>
      </c>
      <c r="P341" s="46">
        <f t="shared" ca="1" si="23"/>
        <v>1.3636363636363637E-3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input_531010!A$2</f>
        <v>531010</v>
      </c>
      <c r="B342" s="96">
        <v>1246</v>
      </c>
      <c r="C342" s="7" t="str">
        <f t="shared" si="30"/>
        <v>PremiumSS5R5only</v>
      </c>
      <c r="D342" s="95" t="str">
        <f t="shared" si="31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IFERROR(VLOOKUP(B342,input_531010!L:R,7,FALSE),VLOOKUP(tables_531010!C342,input_531010!A:H,8,FALSE))</f>
        <v>84600</v>
      </c>
      <c r="P342" s="46">
        <f t="shared" ca="1" si="23"/>
        <v>1.3636363636363637E-3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hidden="1" customHeight="1" x14ac:dyDescent="0.15">
      <c r="A343" s="2" t="str">
        <f ca="1">input_531010!A$2</f>
        <v>531010</v>
      </c>
      <c r="B343" s="96">
        <v>1248</v>
      </c>
      <c r="C343" s="7" t="str">
        <f t="shared" ref="C343:C345" si="32">D343&amp;J343&amp;E343&amp;F343&amp;G343</f>
        <v>Premium4R3less</v>
      </c>
      <c r="D343" s="95" t="str">
        <f t="shared" ref="D343:D345" si="33">IF(OR(I343="PremiumSS",I343="PremiumSSw"),"PremiumSS",IF(I343="PremiumSSS",I343,IF(I343="PremiumW",IF(J343=5,"premium",I343),"Premium")))</f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IFERROR(VLOOKUP(B343,input_531010!L:R,7,FALSE),VLOOKUP(tables_531010!C343,input_531010!A:H,8,FALSE))</f>
        <v>412896</v>
      </c>
      <c r="P343" s="46">
        <f t="shared" ca="1" si="23"/>
        <v>6.6553191489361705E-3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input_531010!A$2</f>
        <v>531010</v>
      </c>
      <c r="B344" s="96">
        <v>1249</v>
      </c>
      <c r="C344" s="7" t="str">
        <f t="shared" si="32"/>
        <v>Premium5R3less</v>
      </c>
      <c r="D344" s="95" t="str">
        <f t="shared" si="33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IFERROR(VLOOKUP(B344,input_531010!L:R,7,FALSE),VLOOKUP(tables_531010!C344,input_531010!A:H,8,FALSE))</f>
        <v>31878</v>
      </c>
      <c r="P344" s="46">
        <f t="shared" ca="1" si="23"/>
        <v>5.1382978723404254E-4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input_531010!A$2</f>
        <v>531010</v>
      </c>
      <c r="B345" s="96">
        <v>1250</v>
      </c>
      <c r="C345" s="7" t="str">
        <f t="shared" si="32"/>
        <v>PremiumSS5R5only</v>
      </c>
      <c r="D345" s="95" t="str">
        <f t="shared" si="33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IFERROR(VLOOKUP(B345,input_531010!L:R,7,FALSE),VLOOKUP(tables_531010!C345,input_531010!A:H,8,FALSE))</f>
        <v>84600</v>
      </c>
      <c r="P345" s="46">
        <f t="shared" ca="1" si="23"/>
        <v>1.3636363636363637E-3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input_531010!A$2</f>
        <v>531010</v>
      </c>
      <c r="B346" s="1">
        <v>1424</v>
      </c>
      <c r="C346" s="7" t="str">
        <f t="shared" ref="C346" si="34">D346&amp;J346&amp;E346&amp;F346&amp;G346</f>
        <v>PremiumSSS6R3less</v>
      </c>
      <c r="D346" s="95" t="str">
        <f t="shared" ref="D346" si="35">IF(OR(I346="PremiumSS",I346="PremiumSSw"),"PremiumSS",IF(I346="PremiumSSS",I346,IF(I346="PremiumW",IF(J346=5,"premium",I346),"Premium")))</f>
        <v>PremiumSSS</v>
      </c>
      <c r="E346" s="7" t="str">
        <f>IF(COUNTIF('R6追加前'!A:A,B346)=0,IF(OR(I346="PremiumSS",I346="PremiumSSw"),"R5only","R3less"),"")</f>
        <v>R3less</v>
      </c>
      <c r="F346" s="7" t="str">
        <f>IF(COUNTIF('R6開放'!A:A,B346)&gt;0,"R6release","")</f>
        <v/>
      </c>
      <c r="G346" s="7"/>
      <c r="H346" s="7" t="str">
        <f>VLOOKUP(B346,[1]characters!$A:$C,3,FALSE)</f>
        <v>波打際の宴麗 フロイト</v>
      </c>
      <c r="I346" s="7" t="str">
        <f>VLOOKUP(B346,[1]characters!$A:$J,10,FALSE)</f>
        <v>PremiumSSS</v>
      </c>
      <c r="J346" s="7">
        <f>VLOOKUP(B346,[1]characters!$A:$I,9,FALSE)</f>
        <v>6</v>
      </c>
      <c r="K346" s="7" t="str">
        <f>VLOOKUP(B346,[1]characters!$A:$H,8,FALSE)</f>
        <v>blue</v>
      </c>
      <c r="L346" s="7" t="str">
        <f>VLOOKUP(B346,[1]characters!$A:$K,11,FALSE)</f>
        <v>balance</v>
      </c>
      <c r="M346" s="7" t="str">
        <f>VLOOKUP(B346,[1]characters!$A:$M,13,FALSE)</f>
        <v>academia</v>
      </c>
      <c r="N346" s="7">
        <f>VLOOKUP(B346,[1]characters!$A:$G,7,FALSE)</f>
        <v>0</v>
      </c>
      <c r="O346" s="45">
        <f>IFERROR(VLOOKUP(B346,input_531010!L:R,7,FALSE),VLOOKUP(tables_531010!C346,input_531010!A:H,8,FALSE))</f>
        <v>124080</v>
      </c>
      <c r="P346" s="46">
        <f t="shared" ca="1" si="23"/>
        <v>2E-3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input_531010!A$2</f>
        <v>531010</v>
      </c>
      <c r="B347" s="1">
        <v>1047</v>
      </c>
      <c r="C347" s="7" t="str">
        <f t="shared" ref="C347:C350" si="36">D347&amp;J347&amp;E347&amp;F347&amp;G347</f>
        <v>PremiumSSS6R3less</v>
      </c>
      <c r="D347" s="95" t="str">
        <f t="shared" ref="D347:D350" si="37">IF(OR(I347="PremiumSS",I347="PremiumSSw"),"PremiumSS",IF(I347="PremiumSSS",I347,IF(I347="PremiumW",IF(J347=5,"premium",I347),"Premium")))</f>
        <v>PremiumSSS</v>
      </c>
      <c r="E347" s="7" t="str">
        <f>IF(COUNTIF('R6追加前'!A:A,B347)=0,IF(OR(I347="PremiumSS",I347="PremiumSSw"),"R5only","R3less"),"")</f>
        <v>R3less</v>
      </c>
      <c r="F347" s="7" t="str">
        <f>IF(COUNTIF('R6開放'!A:A,B347)&gt;0,"R6release","")</f>
        <v/>
      </c>
      <c r="G347" s="7"/>
      <c r="H347" s="7" t="str">
        <f>VLOOKUP(B347,[1]characters!$A:$C,3,FALSE)</f>
        <v>波浪の夏閃 オイラー</v>
      </c>
      <c r="I347" s="7" t="str">
        <f>VLOOKUP(B347,[1]characters!$A:$J,10,FALSE)</f>
        <v>PremiumSSS</v>
      </c>
      <c r="J347" s="7">
        <f>VLOOKUP(B347,[1]characters!$A:$I,9,FALSE)</f>
        <v>6</v>
      </c>
      <c r="K347" s="7" t="str">
        <f>VLOOKUP(B347,[1]characters!$A:$H,8,FALSE)</f>
        <v>blue</v>
      </c>
      <c r="L347" s="7" t="str">
        <f>VLOOKUP(B347,[1]characters!$A:$K,11,FALSE)</f>
        <v>balance</v>
      </c>
      <c r="M347" s="7" t="str">
        <f>VLOOKUP(B347,[1]characters!$A:$M,13,FALSE)</f>
        <v>academia</v>
      </c>
      <c r="N347" s="7" t="str">
        <f>VLOOKUP(B347,[1]characters!$A:$G,7,FALSE)</f>
        <v>男性</v>
      </c>
      <c r="O347" s="45">
        <f>IFERROR(VLOOKUP(B347,input_531010!L:R,7,FALSE),VLOOKUP(tables_531010!C347,input_531010!A:H,8,FALSE))</f>
        <v>124080</v>
      </c>
      <c r="P347" s="46">
        <f t="shared" ref="P347:P350" ca="1" si="38">O347/SUM(O:O)</f>
        <v>2E-3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input_531010!A$2</f>
        <v>531010</v>
      </c>
      <c r="B348" s="1">
        <v>1051</v>
      </c>
      <c r="C348" s="7" t="str">
        <f t="shared" si="36"/>
        <v>PremiumSSS6R3less</v>
      </c>
      <c r="D348" s="95" t="str">
        <f t="shared" si="37"/>
        <v>PremiumSSS</v>
      </c>
      <c r="E348" s="7" t="str">
        <f>IF(COUNTIF('R6追加前'!A:A,B348)=0,IF(OR(I348="PremiumSS",I348="PremiumSSw"),"R5only","R3less"),"")</f>
        <v>R3less</v>
      </c>
      <c r="F348" s="7" t="str">
        <f>IF(COUNTIF('R6開放'!A:A,B348)&gt;0,"R6release","")</f>
        <v/>
      </c>
      <c r="G348" s="7"/>
      <c r="H348" s="7" t="str">
        <f>VLOOKUP(B348,[1]characters!$A:$C,3,FALSE)</f>
        <v>嬌電の飛沫 ファラデー</v>
      </c>
      <c r="I348" s="7" t="str">
        <f>VLOOKUP(B348,[1]characters!$A:$J,10,FALSE)</f>
        <v>PremiumSSS</v>
      </c>
      <c r="J348" s="7">
        <f>VLOOKUP(B348,[1]characters!$A:$I,9,FALSE)</f>
        <v>6</v>
      </c>
      <c r="K348" s="7" t="str">
        <f>VLOOKUP(B348,[1]characters!$A:$H,8,FALSE)</f>
        <v>blue</v>
      </c>
      <c r="L348" s="7" t="str">
        <f>VLOOKUP(B348,[1]characters!$A:$K,11,FALSE)</f>
        <v>balance</v>
      </c>
      <c r="M348" s="7" t="str">
        <f>VLOOKUP(B348,[1]characters!$A:$M,13,FALSE)</f>
        <v>academia</v>
      </c>
      <c r="N348" s="7" t="str">
        <f>VLOOKUP(B348,[1]characters!$A:$G,7,FALSE)</f>
        <v>男性</v>
      </c>
      <c r="O348" s="45">
        <f>IFERROR(VLOOKUP(B348,input_531010!L:R,7,FALSE),VLOOKUP(tables_531010!C348,input_531010!A:H,8,FALSE))</f>
        <v>124080</v>
      </c>
      <c r="P348" s="46">
        <f t="shared" ca="1" si="38"/>
        <v>2E-3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input_531010!A$2</f>
        <v>531010</v>
      </c>
      <c r="B349" s="1">
        <v>1046</v>
      </c>
      <c r="C349" s="7" t="str">
        <f t="shared" si="36"/>
        <v>Premium5R3less</v>
      </c>
      <c r="D349" s="95" t="str">
        <f t="shared" si="37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涼求の炎狼 フェンリル</v>
      </c>
      <c r="I349" s="7" t="str">
        <f>VLOOKUP(B349,[1]characters!$A:$J,10,FALSE)</f>
        <v>PremiumS</v>
      </c>
      <c r="J349" s="7">
        <f>VLOOKUP(B349,[1]characters!$A:$I,9,FALSE)</f>
        <v>5</v>
      </c>
      <c r="K349" s="7" t="str">
        <f>VLOOKUP(B349,[1]characters!$A:$H,8,FALSE)</f>
        <v>blue</v>
      </c>
      <c r="L349" s="7" t="str">
        <f>VLOOKUP(B349,[1]characters!$A:$K,11,FALSE)</f>
        <v>attack</v>
      </c>
      <c r="M349" s="7" t="str">
        <f>VLOOKUP(B349,[1]characters!$A:$M,13,FALSE)</f>
        <v>animal</v>
      </c>
      <c r="N349" s="7" t="str">
        <f>VLOOKUP(B349,[1]characters!$A:$G,7,FALSE)</f>
        <v>男性</v>
      </c>
      <c r="O349" s="45">
        <f>IFERROR(VLOOKUP(B349,input_531010!L:R,7,FALSE),VLOOKUP(tables_531010!C349,input_531010!A:H,8,FALSE))</f>
        <v>3102000</v>
      </c>
      <c r="P349" s="46">
        <f t="shared" ca="1" si="38"/>
        <v>0.05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input_531010!A$2</f>
        <v>531010</v>
      </c>
      <c r="B350" s="1">
        <v>1050</v>
      </c>
      <c r="C350" s="7" t="str">
        <f t="shared" si="36"/>
        <v>Premium5R3less</v>
      </c>
      <c r="D350" s="95" t="str">
        <f t="shared" si="37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廻遊の水獣宰相 ルキフグス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blue</v>
      </c>
      <c r="L350" s="7" t="str">
        <f>VLOOKUP(B350,[1]characters!$A:$K,11,FALSE)</f>
        <v>balance</v>
      </c>
      <c r="M350" s="7" t="str">
        <f>VLOOKUP(B350,[1]characters!$A:$M,13,FALSE)</f>
        <v>god</v>
      </c>
      <c r="N350" s="7" t="str">
        <f>VLOOKUP(B350,[1]characters!$A:$G,7,FALSE)</f>
        <v>男性</v>
      </c>
      <c r="O350" s="45">
        <f>IFERROR(VLOOKUP(B350,input_531010!L:R,7,FALSE),VLOOKUP(tables_531010!C350,input_531010!A:H,8,FALSE))</f>
        <v>3102000</v>
      </c>
      <c r="P350" s="46">
        <f t="shared" ca="1" si="38"/>
        <v>0.05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input_531010!A$2</f>
        <v>531010</v>
      </c>
      <c r="B351" s="1">
        <v>1049</v>
      </c>
      <c r="C351" s="7" t="str">
        <f t="shared" ref="C351" si="39">D351&amp;J351&amp;E351&amp;F351&amp;G351</f>
        <v>PremiumSSS6R3less</v>
      </c>
      <c r="D351" s="95" t="str">
        <f t="shared" ref="D351" si="40">IF(OR(I351="PremiumSS",I351="PremiumSSw"),"PremiumSS",IF(I351="PremiumSSS",I351,IF(I351="PremiumW",IF(J351=5,"premium",I351),"Premium")))</f>
        <v>PremiumSSS</v>
      </c>
      <c r="E351" s="7" t="str">
        <f>IF(COUNTIF('R6追加前'!A:A,B351)=0,IF(OR(I351="PremiumSS",I351="PremiumSSw"),"R5only","R3less"),"")</f>
        <v>R3less</v>
      </c>
      <c r="F351" s="7" t="str">
        <f>IF(COUNTIF('R6開放'!A:A,B351)&gt;0,"R6release","")</f>
        <v/>
      </c>
      <c r="G351" s="7"/>
      <c r="H351" s="7" t="str">
        <f>VLOOKUP(B351,[1]characters!$A:$C,3,FALSE)</f>
        <v>深秘の水宙 メビウス</v>
      </c>
      <c r="I351" s="7" t="str">
        <f>VLOOKUP(B351,[1]characters!$A:$J,10,FALSE)</f>
        <v>PremiumSSS</v>
      </c>
      <c r="J351" s="7">
        <f>VLOOKUP(B351,[1]characters!$A:$I,9,FALSE)</f>
        <v>6</v>
      </c>
      <c r="K351" s="7" t="str">
        <f>VLOOKUP(B351,[1]characters!$A:$H,8,FALSE)</f>
        <v>blue</v>
      </c>
      <c r="L351" s="7" t="str">
        <f>VLOOKUP(B351,[1]characters!$A:$K,11,FALSE)</f>
        <v>balance</v>
      </c>
      <c r="M351" s="7" t="str">
        <f>VLOOKUP(B351,[1]characters!$A:$M,13,FALSE)</f>
        <v>academia</v>
      </c>
      <c r="N351" s="7" t="str">
        <f>VLOOKUP(B351,[1]characters!$A:$G,7,FALSE)</f>
        <v>男性</v>
      </c>
      <c r="O351" s="45">
        <f>IFERROR(VLOOKUP(B351,input_531010!L:R,7,FALSE),VLOOKUP(tables_531010!C351,input_531010!A:H,8,FALSE))</f>
        <v>124080</v>
      </c>
      <c r="P351" s="46">
        <f t="shared" ref="P351" ca="1" si="41">O351/SUM(O:O)</f>
        <v>2E-3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input_531010!A$2</f>
        <v>531010</v>
      </c>
      <c r="B352" s="1">
        <v>1045</v>
      </c>
      <c r="C352" s="7" t="str">
        <f t="shared" ref="C352:C354" si="42">D352&amp;J352&amp;E352&amp;F352&amp;G352</f>
        <v>PremiumSSS6R3less</v>
      </c>
      <c r="D352" s="95" t="str">
        <f t="shared" ref="D352:D354" si="43">IF(OR(I352="PremiumSS",I352="PremiumSSw"),"PremiumSS",IF(I352="PremiumSSS",I352,IF(I352="PremiumW",IF(J352=5,"premium",I352),"Premium")))</f>
        <v>PremiumSSS</v>
      </c>
      <c r="E352" s="7" t="str">
        <f>IF(COUNTIF('R6追加前'!A:A,B352)=0,IF(OR(I352="PremiumSS",I352="PremiumSSw"),"R5only","R3less"),"")</f>
        <v>R3less</v>
      </c>
      <c r="F352" s="7" t="str">
        <f>IF(COUNTIF('R6開放'!A:A,B352)&gt;0,"R6release","")</f>
        <v/>
      </c>
      <c r="G352" s="7"/>
      <c r="H352" s="7" t="str">
        <f>VLOOKUP(B352,[1]characters!$A:$C,3,FALSE)</f>
        <v>漂解の海原 シュレディンガー</v>
      </c>
      <c r="I352" s="7" t="str">
        <f>VLOOKUP(B352,[1]characters!$A:$J,10,FALSE)</f>
        <v>PremiumSSS</v>
      </c>
      <c r="J352" s="7">
        <f>VLOOKUP(B352,[1]characters!$A:$I,9,FALSE)</f>
        <v>6</v>
      </c>
      <c r="K352" s="7" t="str">
        <f>VLOOKUP(B352,[1]characters!$A:$H,8,FALSE)</f>
        <v>blue</v>
      </c>
      <c r="L352" s="7" t="str">
        <f>VLOOKUP(B352,[1]characters!$A:$K,11,FALSE)</f>
        <v>balance</v>
      </c>
      <c r="M352" s="7" t="str">
        <f>VLOOKUP(B352,[1]characters!$A:$M,13,FALSE)</f>
        <v>academia</v>
      </c>
      <c r="N352" s="7" t="str">
        <f>VLOOKUP(B352,[1]characters!$A:$G,7,FALSE)</f>
        <v>男性</v>
      </c>
      <c r="O352" s="45">
        <f>IFERROR(VLOOKUP(B352,input_531010!L:R,7,FALSE),VLOOKUP(tables_531010!C352,input_531010!A:H,8,FALSE))</f>
        <v>124080</v>
      </c>
      <c r="P352" s="46">
        <f t="shared" ref="P352:P354" ca="1" si="44">O352/SUM(O:O)</f>
        <v>2E-3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input_531010!A$2</f>
        <v>531010</v>
      </c>
      <c r="B353" s="1">
        <v>1048</v>
      </c>
      <c r="C353" s="7" t="str">
        <f t="shared" si="42"/>
        <v>Premium5R3less</v>
      </c>
      <c r="D353" s="95" t="str">
        <f t="shared" si="43"/>
        <v>Premium</v>
      </c>
      <c r="E353" s="7" t="str">
        <f>IF(COUNTIF('R6追加前'!A:A,B353)=0,IF(OR(I353="PremiumSS",I353="PremiumSSw"),"R5only","R3less"),"")</f>
        <v>R3less</v>
      </c>
      <c r="F353" s="7" t="str">
        <f>IF(COUNTIF('R6開放'!A:A,B353)&gt;0,"R6release","")</f>
        <v/>
      </c>
      <c r="G353" s="7"/>
      <c r="H353" s="7" t="str">
        <f>VLOOKUP(B353,[1]characters!$A:$C,3,FALSE)</f>
        <v>砂上の城主竜 ケツァクアトル</v>
      </c>
      <c r="I353" s="7" t="str">
        <f>VLOOKUP(B353,[1]characters!$A:$J,10,FALSE)</f>
        <v>PremiumS</v>
      </c>
      <c r="J353" s="7">
        <f>VLOOKUP(B353,[1]characters!$A:$I,9,FALSE)</f>
        <v>5</v>
      </c>
      <c r="K353" s="7" t="str">
        <f>VLOOKUP(B353,[1]characters!$A:$H,8,FALSE)</f>
        <v>blue</v>
      </c>
      <c r="L353" s="7" t="str">
        <f>VLOOKUP(B353,[1]characters!$A:$K,11,FALSE)</f>
        <v>hp</v>
      </c>
      <c r="M353" s="7" t="str">
        <f>VLOOKUP(B353,[1]characters!$A:$M,13,FALSE)</f>
        <v>dragon</v>
      </c>
      <c r="N353" s="7" t="str">
        <f>VLOOKUP(B353,[1]characters!$A:$G,7,FALSE)</f>
        <v>男性</v>
      </c>
      <c r="O353" s="45">
        <f>IFERROR(VLOOKUP(B353,input_531010!L:R,7,FALSE),VLOOKUP(tables_531010!C353,input_531010!A:H,8,FALSE))</f>
        <v>3102000</v>
      </c>
      <c r="P353" s="46">
        <f t="shared" ca="1" si="44"/>
        <v>0.05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input_531010!A$2</f>
        <v>531010</v>
      </c>
      <c r="B354" s="1">
        <v>1052</v>
      </c>
      <c r="C354" s="7" t="str">
        <f t="shared" si="42"/>
        <v>Premium5R3less</v>
      </c>
      <c r="D354" s="95" t="str">
        <f t="shared" si="43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戯魚群の潜光 バルドル</v>
      </c>
      <c r="I354" s="7" t="str">
        <f>VLOOKUP(B354,[1]characters!$A:$J,10,FALSE)</f>
        <v>PremiumS</v>
      </c>
      <c r="J354" s="7">
        <f>VLOOKUP(B354,[1]characters!$A:$I,9,FALSE)</f>
        <v>5</v>
      </c>
      <c r="K354" s="7" t="str">
        <f>VLOOKUP(B354,[1]characters!$A:$H,8,FALSE)</f>
        <v>blue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 t="str">
        <f>VLOOKUP(B354,[1]characters!$A:$G,7,FALSE)</f>
        <v>男性</v>
      </c>
      <c r="O354" s="45">
        <f>IFERROR(VLOOKUP(B354,input_531010!L:R,7,FALSE),VLOOKUP(tables_531010!C354,input_531010!A:H,8,FALSE))</f>
        <v>3102000</v>
      </c>
      <c r="P354" s="46">
        <f t="shared" ca="1" si="44"/>
        <v>0.05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</sheetData>
  <autoFilter ref="A1:V354">
    <filterColumn colId="9">
      <filters>
        <filter val="5"/>
        <filter val="6"/>
      </filters>
    </filterColumn>
  </autoFilter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tabSelected="1" workbookViewId="0">
      <pane ySplit="1" topLeftCell="A2" activePane="bottomLeft" state="frozen"/>
      <selection activeCell="M24" sqref="M24"/>
      <selection pane="bottomLeft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97">
        <v>536105</v>
      </c>
      <c r="B2" s="97">
        <v>5361051</v>
      </c>
      <c r="C2" s="79" t="s">
        <v>257</v>
      </c>
      <c r="D2" s="79">
        <v>612</v>
      </c>
      <c r="E2" s="79">
        <v>3</v>
      </c>
      <c r="F2" s="2">
        <v>1</v>
      </c>
      <c r="G2" s="99">
        <v>0</v>
      </c>
      <c r="H2" s="99">
        <v>0</v>
      </c>
      <c r="I2" s="99">
        <v>0</v>
      </c>
      <c r="J2" s="99">
        <v>0</v>
      </c>
      <c r="K2" s="99">
        <v>1</v>
      </c>
      <c r="L2" s="99">
        <v>1</v>
      </c>
      <c r="M2" s="99">
        <v>1</v>
      </c>
      <c r="N2" s="79" t="s">
        <v>256</v>
      </c>
      <c r="O2" s="79" t="s">
        <v>258</v>
      </c>
      <c r="P2" s="79" t="s">
        <v>255</v>
      </c>
      <c r="Q2" s="80" t="s">
        <v>259</v>
      </c>
    </row>
    <row r="3" spans="1:17" ht="21" customHeight="1" x14ac:dyDescent="0.15">
      <c r="A3" s="78"/>
      <c r="B3" s="78"/>
      <c r="G3" s="86"/>
      <c r="H3" s="86"/>
      <c r="I3" s="86"/>
      <c r="J3" s="86"/>
      <c r="K3" s="86"/>
      <c r="L3" s="86"/>
      <c r="M3" s="86"/>
      <c r="N3" s="79"/>
      <c r="O3" s="79"/>
      <c r="P3" s="79"/>
      <c r="Q3" s="80"/>
    </row>
    <row r="4" spans="1:17" ht="21" customHeight="1" x14ac:dyDescent="0.15">
      <c r="A4" s="78"/>
      <c r="B4" s="78"/>
      <c r="G4" s="86"/>
      <c r="H4" s="86"/>
      <c r="I4" s="86"/>
      <c r="J4" s="86"/>
      <c r="K4" s="86"/>
      <c r="L4" s="86"/>
      <c r="M4" s="86"/>
      <c r="N4" s="79"/>
      <c r="O4" s="79"/>
      <c r="P4" s="79"/>
      <c r="Q4" s="80"/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確率の考え方</vt:lpstr>
      <vt:lpstr>Sheet1</vt:lpstr>
      <vt:lpstr>output</vt:lpstr>
      <vt:lpstr>input_531010</vt:lpstr>
      <vt:lpstr>tables_531010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2017-02-20T06:21:32Z</dcterms:modified>
</cp:coreProperties>
</file>