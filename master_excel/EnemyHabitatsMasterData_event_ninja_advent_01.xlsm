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4100" yWindow="1300" windowWidth="23540" windowHeight="1618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9" i="10" l="1"/>
  <c r="T89" i="10"/>
  <c r="W89" i="10"/>
  <c r="V89" i="10"/>
  <c r="X89" i="10"/>
  <c r="U89" i="10"/>
  <c r="Y89" i="10"/>
  <c r="M88" i="10"/>
  <c r="T88" i="10"/>
  <c r="W88" i="10"/>
  <c r="V88" i="10"/>
  <c r="X88" i="10"/>
  <c r="U88" i="10"/>
  <c r="Y88" i="10"/>
  <c r="M87" i="10"/>
  <c r="T87" i="10"/>
  <c r="W87" i="10"/>
  <c r="V87" i="10"/>
  <c r="X87" i="10"/>
  <c r="U87" i="10"/>
  <c r="Y87" i="10"/>
  <c r="M86" i="10"/>
  <c r="T86" i="10"/>
  <c r="W86" i="10"/>
  <c r="V86" i="10"/>
  <c r="X86" i="10"/>
  <c r="U86" i="10"/>
  <c r="Y86" i="10"/>
  <c r="M85" i="10"/>
  <c r="T85" i="10"/>
  <c r="W85" i="10"/>
  <c r="V85" i="10"/>
  <c r="X85" i="10"/>
  <c r="U85" i="10"/>
  <c r="Y85" i="10"/>
  <c r="M84" i="10"/>
  <c r="T84" i="10"/>
  <c r="W84" i="10"/>
  <c r="V84" i="10"/>
  <c r="X84" i="10"/>
  <c r="U84" i="10"/>
  <c r="Y84" i="10"/>
  <c r="M83" i="10"/>
  <c r="T83" i="10"/>
  <c r="W83" i="10"/>
  <c r="V83" i="10"/>
  <c r="X83" i="10"/>
  <c r="U83" i="10"/>
  <c r="Y83" i="10"/>
  <c r="M82" i="10"/>
  <c r="T82" i="10"/>
  <c r="W82" i="10"/>
  <c r="V82" i="10"/>
  <c r="X82" i="10"/>
  <c r="U82" i="10"/>
  <c r="Y82" i="10"/>
  <c r="M81" i="10"/>
  <c r="T81" i="10"/>
  <c r="W81" i="10"/>
  <c r="V81" i="10"/>
  <c r="X81" i="10"/>
  <c r="U81" i="10"/>
  <c r="Y81" i="10"/>
  <c r="M80" i="10"/>
  <c r="T80" i="10"/>
  <c r="W80" i="10"/>
  <c r="V80" i="10"/>
  <c r="X80" i="10"/>
  <c r="U80" i="10"/>
  <c r="Y80" i="10"/>
  <c r="M79" i="10"/>
  <c r="T79" i="10"/>
  <c r="W79" i="10"/>
  <c r="V79" i="10"/>
  <c r="X79" i="10"/>
  <c r="U79" i="10"/>
  <c r="Y79" i="10"/>
  <c r="M78" i="10"/>
  <c r="T78" i="10"/>
  <c r="W78" i="10"/>
  <c r="V78" i="10"/>
  <c r="X78" i="10"/>
  <c r="U78" i="10"/>
  <c r="Y78" i="10"/>
  <c r="M77" i="10"/>
  <c r="T77" i="10"/>
  <c r="W77" i="10"/>
  <c r="V77" i="10"/>
  <c r="X77" i="10"/>
  <c r="U77" i="10"/>
  <c r="Y77" i="10"/>
  <c r="M76" i="10"/>
  <c r="T76" i="10"/>
  <c r="W76" i="10"/>
  <c r="V76" i="10"/>
  <c r="X76" i="10"/>
  <c r="U76" i="10"/>
  <c r="Y76" i="10"/>
  <c r="M75" i="10"/>
  <c r="T75" i="10"/>
  <c r="W75" i="10"/>
  <c r="V75" i="10"/>
  <c r="X75" i="10"/>
  <c r="U75" i="10"/>
  <c r="Y75" i="10"/>
  <c r="M74" i="10"/>
  <c r="T74" i="10"/>
  <c r="W74" i="10"/>
  <c r="V74" i="10"/>
  <c r="X74" i="10"/>
  <c r="U74" i="10"/>
  <c r="Y74" i="10"/>
  <c r="M73" i="10"/>
  <c r="T73" i="10"/>
  <c r="W73" i="10"/>
  <c r="V73" i="10"/>
  <c r="X73" i="10"/>
  <c r="U73" i="10"/>
  <c r="Y73" i="10"/>
  <c r="M72" i="10"/>
  <c r="T72" i="10"/>
  <c r="W72" i="10"/>
  <c r="V72" i="10"/>
  <c r="X72" i="10"/>
  <c r="U72" i="10"/>
  <c r="Y72" i="10"/>
  <c r="M71" i="10"/>
  <c r="T71" i="10"/>
  <c r="W71" i="10"/>
  <c r="V71" i="10"/>
  <c r="X71" i="10"/>
  <c r="U71" i="10"/>
  <c r="Y71" i="10"/>
  <c r="M70" i="10"/>
  <c r="T70" i="10"/>
  <c r="W70" i="10"/>
  <c r="V70" i="10"/>
  <c r="X70" i="10"/>
  <c r="U70" i="10"/>
  <c r="Y70" i="10"/>
  <c r="M69" i="10"/>
  <c r="T69" i="10"/>
  <c r="W69" i="10"/>
  <c r="V69" i="10"/>
  <c r="X69" i="10"/>
  <c r="U69" i="10"/>
  <c r="Y69" i="10"/>
  <c r="M68" i="10"/>
  <c r="T68" i="10"/>
  <c r="W68" i="10"/>
  <c r="V68" i="10"/>
  <c r="X68" i="10"/>
  <c r="U68" i="10"/>
  <c r="Y68" i="10"/>
  <c r="M67" i="10"/>
  <c r="T67" i="10"/>
  <c r="W67" i="10"/>
  <c r="V67" i="10"/>
  <c r="X67" i="10"/>
  <c r="U67" i="10"/>
  <c r="Y67" i="10"/>
  <c r="M66" i="10"/>
  <c r="T66" i="10"/>
  <c r="W66" i="10"/>
  <c r="V66" i="10"/>
  <c r="X66" i="10"/>
  <c r="U66" i="10"/>
  <c r="Y66" i="10"/>
  <c r="M65" i="10"/>
  <c r="T65" i="10"/>
  <c r="W65" i="10"/>
  <c r="V65" i="10"/>
  <c r="X65" i="10"/>
  <c r="U65" i="10"/>
  <c r="Y65" i="10"/>
  <c r="M64" i="10"/>
  <c r="T64" i="10"/>
  <c r="W64" i="10"/>
  <c r="V64" i="10"/>
  <c r="X64" i="10"/>
  <c r="U64" i="10"/>
  <c r="Y64" i="10"/>
  <c r="M63" i="10"/>
  <c r="T63" i="10"/>
  <c r="W63" i="10"/>
  <c r="V63" i="10"/>
  <c r="X63" i="10"/>
  <c r="U63" i="10"/>
  <c r="Y63" i="10"/>
  <c r="M62" i="10"/>
  <c r="T62" i="10"/>
  <c r="W62" i="10"/>
  <c r="V62" i="10"/>
  <c r="X62" i="10"/>
  <c r="U62" i="10"/>
  <c r="Y62" i="10"/>
  <c r="M61" i="10"/>
  <c r="T61" i="10"/>
  <c r="W61" i="10"/>
  <c r="V61" i="10"/>
  <c r="X61" i="10"/>
  <c r="U61" i="10"/>
  <c r="Y61" i="10"/>
  <c r="M60" i="10"/>
  <c r="T60" i="10"/>
  <c r="W60" i="10"/>
  <c r="V60" i="10"/>
  <c r="X60" i="10"/>
  <c r="U60" i="10"/>
  <c r="Y60" i="10"/>
  <c r="M59" i="10"/>
  <c r="T59" i="10"/>
  <c r="W59" i="10"/>
  <c r="V59" i="10"/>
  <c r="X59" i="10"/>
  <c r="U59" i="10"/>
  <c r="Y59" i="10"/>
  <c r="M58" i="10"/>
  <c r="T58" i="10"/>
  <c r="W58" i="10"/>
  <c r="V58" i="10"/>
  <c r="X58" i="10"/>
  <c r="U58" i="10"/>
  <c r="Y58" i="10"/>
  <c r="M57" i="10"/>
  <c r="T57" i="10"/>
  <c r="W57" i="10"/>
  <c r="V57" i="10"/>
  <c r="X57" i="10"/>
  <c r="U57" i="10"/>
  <c r="Y57" i="10"/>
  <c r="M56" i="10"/>
  <c r="T56" i="10"/>
  <c r="W56" i="10"/>
  <c r="V56" i="10"/>
  <c r="X56" i="10"/>
  <c r="U56" i="10"/>
  <c r="Y56" i="10"/>
  <c r="M55" i="10"/>
  <c r="T55" i="10"/>
  <c r="W55" i="10"/>
  <c r="V55" i="10"/>
  <c r="X55" i="10"/>
  <c r="U55" i="10"/>
  <c r="Y55" i="10"/>
  <c r="M54" i="10"/>
  <c r="T54" i="10"/>
  <c r="W54" i="10"/>
  <c r="V54" i="10"/>
  <c r="X54" i="10"/>
  <c r="U54" i="10"/>
  <c r="Y54" i="10"/>
  <c r="M53" i="10"/>
  <c r="T53" i="10"/>
  <c r="W53" i="10"/>
  <c r="V53" i="10"/>
  <c r="X53" i="10"/>
  <c r="U53" i="10"/>
  <c r="Y53" i="10"/>
  <c r="M52" i="10"/>
  <c r="T52" i="10"/>
  <c r="W52" i="10"/>
  <c r="V52" i="10"/>
  <c r="X52" i="10"/>
  <c r="U52" i="10"/>
  <c r="Y52" i="10"/>
  <c r="M51" i="10"/>
  <c r="T51" i="10"/>
  <c r="W51" i="10"/>
  <c r="V51" i="10"/>
  <c r="X51" i="10"/>
  <c r="U51" i="10"/>
  <c r="Y51" i="10"/>
  <c r="M50" i="10"/>
  <c r="T50" i="10"/>
  <c r="W50" i="10"/>
  <c r="V50" i="10"/>
  <c r="X50" i="10"/>
  <c r="U50" i="10"/>
  <c r="Y50" i="10"/>
  <c r="M49" i="10"/>
  <c r="T49" i="10"/>
  <c r="W49" i="10"/>
  <c r="V49" i="10"/>
  <c r="X49" i="10"/>
  <c r="U49" i="10"/>
  <c r="Y49" i="10"/>
  <c r="M48" i="10"/>
  <c r="T48" i="10"/>
  <c r="W48" i="10"/>
  <c r="V48" i="10"/>
  <c r="X48" i="10"/>
  <c r="U48" i="10"/>
  <c r="Y48" i="10"/>
  <c r="M47" i="10"/>
  <c r="T47" i="10"/>
  <c r="W47" i="10"/>
  <c r="V47" i="10"/>
  <c r="X47" i="10"/>
  <c r="U47" i="10"/>
  <c r="Y47" i="10"/>
  <c r="M46" i="10"/>
  <c r="T46" i="10"/>
  <c r="W46" i="10"/>
  <c r="V46" i="10"/>
  <c r="X46" i="10"/>
  <c r="U46" i="10"/>
  <c r="Y46" i="10"/>
  <c r="M45" i="10"/>
  <c r="T45" i="10"/>
  <c r="W45" i="10"/>
  <c r="V45" i="10"/>
  <c r="X45" i="10"/>
  <c r="U45" i="10"/>
  <c r="Y45" i="10"/>
  <c r="M44" i="10"/>
  <c r="T44" i="10"/>
  <c r="W44" i="10"/>
  <c r="V44" i="10"/>
  <c r="X44" i="10"/>
  <c r="U44" i="10"/>
  <c r="Y44" i="10"/>
  <c r="M43" i="10"/>
  <c r="T43" i="10"/>
  <c r="W43" i="10"/>
  <c r="V43" i="10"/>
  <c r="X43" i="10"/>
  <c r="U43" i="10"/>
  <c r="Y43" i="10"/>
  <c r="M42" i="10"/>
  <c r="T42" i="10"/>
  <c r="W42" i="10"/>
  <c r="V42" i="10"/>
  <c r="X42" i="10"/>
  <c r="U42" i="10"/>
  <c r="Y42" i="10"/>
  <c r="M41" i="10"/>
  <c r="T41" i="10"/>
  <c r="W41" i="10"/>
  <c r="V41" i="10"/>
  <c r="X41" i="10"/>
  <c r="U41" i="10"/>
  <c r="Y41" i="10"/>
  <c r="M40" i="10"/>
  <c r="T40" i="10"/>
  <c r="W40" i="10"/>
  <c r="V40" i="10"/>
  <c r="X40" i="10"/>
  <c r="U40" i="10"/>
  <c r="Y40" i="10"/>
  <c r="M39" i="10"/>
  <c r="T39" i="10"/>
  <c r="W39" i="10"/>
  <c r="V39" i="10"/>
  <c r="X39" i="10"/>
  <c r="U39" i="10"/>
  <c r="Y39" i="10"/>
  <c r="M38" i="10"/>
  <c r="T38" i="10"/>
  <c r="W38" i="10"/>
  <c r="V38" i="10"/>
  <c r="X38" i="10"/>
  <c r="U38" i="10"/>
  <c r="Y38" i="10"/>
  <c r="M37" i="10"/>
  <c r="T37" i="10"/>
  <c r="W37" i="10"/>
  <c r="V37" i="10"/>
  <c r="X37" i="10"/>
  <c r="U37" i="10"/>
  <c r="Y37" i="10"/>
  <c r="M36" i="10"/>
  <c r="T36" i="10"/>
  <c r="W36" i="10"/>
  <c r="V36" i="10"/>
  <c r="X36" i="10"/>
  <c r="U36" i="10"/>
  <c r="Y36" i="10"/>
  <c r="M35" i="10"/>
  <c r="T35" i="10"/>
  <c r="W35" i="10"/>
  <c r="V35" i="10"/>
  <c r="X35" i="10"/>
  <c r="U35" i="10"/>
  <c r="Y35" i="10"/>
  <c r="M34" i="10"/>
  <c r="T34" i="10"/>
  <c r="W34" i="10"/>
  <c r="V34" i="10"/>
  <c r="X34" i="10"/>
  <c r="U34" i="10"/>
  <c r="Y34" i="10"/>
  <c r="M33" i="10"/>
  <c r="T33" i="10"/>
  <c r="W33" i="10"/>
  <c r="V33" i="10"/>
  <c r="X33" i="10"/>
  <c r="U33" i="10"/>
  <c r="Y33" i="10"/>
  <c r="M32" i="10"/>
  <c r="T32" i="10"/>
  <c r="W32" i="10"/>
  <c r="V32" i="10"/>
  <c r="X32" i="10"/>
  <c r="U32" i="10"/>
  <c r="Y32" i="10"/>
  <c r="M31" i="10"/>
  <c r="T31" i="10"/>
  <c r="W31" i="10"/>
  <c r="V31" i="10"/>
  <c r="X31" i="10"/>
  <c r="U31" i="10"/>
  <c r="Y31" i="10"/>
  <c r="M30" i="10"/>
  <c r="T30" i="10"/>
  <c r="W30" i="10"/>
  <c r="V30" i="10"/>
  <c r="X30" i="10"/>
  <c r="U30" i="10"/>
  <c r="Y30" i="10"/>
  <c r="M29" i="10"/>
  <c r="T29" i="10"/>
  <c r="W29" i="10"/>
  <c r="V29" i="10"/>
  <c r="X29" i="10"/>
  <c r="U29" i="10"/>
  <c r="Y29" i="10"/>
  <c r="M28" i="10"/>
  <c r="T28" i="10"/>
  <c r="W28" i="10"/>
  <c r="V28" i="10"/>
  <c r="X28" i="10"/>
  <c r="U28" i="10"/>
  <c r="Y28" i="10"/>
  <c r="M27" i="10"/>
  <c r="T27" i="10"/>
  <c r="W27" i="10"/>
  <c r="V27" i="10"/>
  <c r="X27" i="10"/>
  <c r="U27" i="10"/>
  <c r="Y27" i="10"/>
  <c r="M26" i="10"/>
  <c r="T26" i="10"/>
  <c r="W26" i="10"/>
  <c r="V26" i="10"/>
  <c r="X26" i="10"/>
  <c r="U26" i="10"/>
  <c r="Y26" i="10"/>
  <c r="M25" i="10"/>
  <c r="T25" i="10"/>
  <c r="W25" i="10"/>
  <c r="V25" i="10"/>
  <c r="X25" i="10"/>
  <c r="U25" i="10"/>
  <c r="Y25" i="10"/>
  <c r="M24" i="10"/>
  <c r="T24" i="10"/>
  <c r="W24" i="10"/>
  <c r="V24" i="10"/>
  <c r="X24" i="10"/>
  <c r="U24" i="10"/>
  <c r="Y24" i="10"/>
  <c r="M23" i="10"/>
  <c r="T23" i="10"/>
  <c r="W23" i="10"/>
  <c r="V23" i="10"/>
  <c r="X23" i="10"/>
  <c r="U23" i="10"/>
  <c r="Y23" i="10"/>
  <c r="M22" i="10"/>
  <c r="T22" i="10"/>
  <c r="W22" i="10"/>
  <c r="V22" i="10"/>
  <c r="X22" i="10"/>
  <c r="U22" i="10"/>
  <c r="Y22" i="10"/>
  <c r="M21" i="10"/>
  <c r="T21" i="10"/>
  <c r="W21" i="10"/>
  <c r="V21" i="10"/>
  <c r="X21" i="10"/>
  <c r="U21" i="10"/>
  <c r="Y21" i="10"/>
  <c r="M20" i="10"/>
  <c r="T20" i="10"/>
  <c r="W20" i="10"/>
  <c r="V20" i="10"/>
  <c r="X20" i="10"/>
  <c r="U20" i="10"/>
  <c r="Y20" i="10"/>
  <c r="M19" i="10"/>
  <c r="T19" i="10"/>
  <c r="W19" i="10"/>
  <c r="V19" i="10"/>
  <c r="X19" i="10"/>
  <c r="U19" i="10"/>
  <c r="Y19" i="10"/>
  <c r="M18" i="10"/>
  <c r="T18" i="10"/>
  <c r="W18" i="10"/>
  <c r="V18" i="10"/>
  <c r="X18" i="10"/>
  <c r="U18" i="10"/>
  <c r="Y18" i="10"/>
  <c r="M17" i="10"/>
  <c r="T17" i="10"/>
  <c r="W17" i="10"/>
  <c r="V17" i="10"/>
  <c r="X17" i="10"/>
  <c r="U17" i="10"/>
  <c r="Y17" i="10"/>
  <c r="M16" i="10"/>
  <c r="T16" i="10"/>
  <c r="W16" i="10"/>
  <c r="V16" i="10"/>
  <c r="X16" i="10"/>
  <c r="U16" i="10"/>
  <c r="Y16" i="10"/>
  <c r="M15" i="10"/>
  <c r="T15" i="10"/>
  <c r="W15" i="10"/>
  <c r="V15" i="10"/>
  <c r="X15" i="10"/>
  <c r="U15" i="10"/>
  <c r="Y15" i="10"/>
  <c r="M14" i="10"/>
  <c r="T14" i="10"/>
  <c r="W14" i="10"/>
  <c r="V14" i="10"/>
  <c r="X14" i="10"/>
  <c r="U14" i="10"/>
  <c r="Y14" i="10"/>
  <c r="M13" i="10"/>
  <c r="T13" i="10"/>
  <c r="W13" i="10"/>
  <c r="V13" i="10"/>
  <c r="X13" i="10"/>
  <c r="U13" i="10"/>
  <c r="Y13" i="10"/>
  <c r="M12" i="10"/>
  <c r="T12" i="10"/>
  <c r="W12" i="10"/>
  <c r="V12" i="10"/>
  <c r="X12" i="10"/>
  <c r="U12" i="10"/>
  <c r="Y12" i="10"/>
  <c r="M11" i="10"/>
  <c r="T11" i="10"/>
  <c r="W11" i="10"/>
  <c r="V11" i="10"/>
  <c r="X11" i="10"/>
  <c r="U11" i="10"/>
  <c r="Y11" i="10"/>
  <c r="M10" i="10"/>
  <c r="T10" i="10"/>
  <c r="W10" i="10"/>
  <c r="V10" i="10"/>
  <c r="X10" i="10"/>
  <c r="U10" i="10"/>
  <c r="Y10" i="10"/>
  <c r="M9" i="10"/>
  <c r="T9" i="10"/>
  <c r="W9" i="10"/>
  <c r="V9" i="10"/>
  <c r="X9" i="10"/>
  <c r="U9" i="10"/>
  <c r="Y9" i="10"/>
  <c r="M8" i="10"/>
  <c r="T8" i="10"/>
  <c r="W8" i="10"/>
  <c r="V8" i="10"/>
  <c r="X8" i="10"/>
  <c r="U8" i="10"/>
  <c r="Y8" i="10"/>
  <c r="M7" i="10"/>
  <c r="T7" i="10"/>
  <c r="W7" i="10"/>
  <c r="V7" i="10"/>
  <c r="X7" i="10"/>
  <c r="U7" i="10"/>
  <c r="Y7" i="10"/>
  <c r="M6" i="10"/>
  <c r="T6" i="10"/>
  <c r="W6" i="10"/>
  <c r="V6" i="10"/>
  <c r="X6" i="10"/>
  <c r="U6" i="10"/>
  <c r="Y6" i="10"/>
  <c r="M5" i="10"/>
  <c r="T5" i="10"/>
  <c r="W5" i="10"/>
  <c r="V5" i="10"/>
  <c r="X5" i="10"/>
  <c r="U5" i="10"/>
  <c r="Y5" i="10"/>
  <c r="M4" i="10"/>
  <c r="T4" i="10"/>
  <c r="W4" i="10"/>
  <c r="V4" i="10"/>
  <c r="X4" i="10"/>
  <c r="U4" i="10"/>
  <c r="Y4" i="10"/>
  <c r="M3" i="10"/>
  <c r="T3" i="10"/>
  <c r="W3" i="10"/>
  <c r="V3" i="10"/>
  <c r="X3" i="10"/>
  <c r="U3" i="10"/>
  <c r="Y3" i="10"/>
  <c r="M2" i="10"/>
  <c r="T2" i="10"/>
  <c r="W2" i="10"/>
  <c r="V2" i="10"/>
  <c r="X2" i="10"/>
  <c r="U2" i="10"/>
  <c r="Y2" i="10"/>
  <c r="N89" i="10"/>
  <c r="Q89" i="10"/>
  <c r="P89" i="10"/>
  <c r="R89" i="10"/>
  <c r="O89" i="10"/>
  <c r="S89" i="10"/>
  <c r="N88" i="10"/>
  <c r="Q88" i="10"/>
  <c r="P88" i="10"/>
  <c r="R88" i="10"/>
  <c r="O88" i="10"/>
  <c r="S88" i="10"/>
  <c r="N87" i="10"/>
  <c r="Q87" i="10"/>
  <c r="P87" i="10"/>
  <c r="R87" i="10"/>
  <c r="O87" i="10"/>
  <c r="S87" i="10"/>
  <c r="N86" i="10"/>
  <c r="Q86" i="10"/>
  <c r="P86" i="10"/>
  <c r="R86" i="10"/>
  <c r="O86" i="10"/>
  <c r="S86" i="10"/>
  <c r="N85" i="10"/>
  <c r="Q85" i="10"/>
  <c r="P85" i="10"/>
  <c r="R85" i="10"/>
  <c r="O85" i="10"/>
  <c r="S85" i="10"/>
  <c r="N84" i="10"/>
  <c r="Q84" i="10"/>
  <c r="P84" i="10"/>
  <c r="R84" i="10"/>
  <c r="O84" i="10"/>
  <c r="S84" i="10"/>
  <c r="N83" i="10"/>
  <c r="Q83" i="10"/>
  <c r="P83" i="10"/>
  <c r="R83" i="10"/>
  <c r="O83" i="10"/>
  <c r="S83" i="10"/>
  <c r="N82" i="10"/>
  <c r="Q82" i="10"/>
  <c r="P82" i="10"/>
  <c r="R82" i="10"/>
  <c r="O82" i="10"/>
  <c r="S82" i="10"/>
  <c r="N81" i="10"/>
  <c r="Q81" i="10"/>
  <c r="P81" i="10"/>
  <c r="R81" i="10"/>
  <c r="O81" i="10"/>
  <c r="S81" i="10"/>
  <c r="N80" i="10"/>
  <c r="Q80" i="10"/>
  <c r="P80" i="10"/>
  <c r="R80" i="10"/>
  <c r="O80" i="10"/>
  <c r="S80" i="10"/>
  <c r="N79" i="10"/>
  <c r="Q79" i="10"/>
  <c r="P79" i="10"/>
  <c r="R79" i="10"/>
  <c r="O79" i="10"/>
  <c r="S79" i="10"/>
  <c r="N78" i="10"/>
  <c r="Q78" i="10"/>
  <c r="P78" i="10"/>
  <c r="R78" i="10"/>
  <c r="O78" i="10"/>
  <c r="S78" i="10"/>
  <c r="N77" i="10"/>
  <c r="Q77" i="10"/>
  <c r="P77" i="10"/>
  <c r="R77" i="10"/>
  <c r="O77" i="10"/>
  <c r="S77" i="10"/>
  <c r="N76" i="10"/>
  <c r="Q76" i="10"/>
  <c r="P76" i="10"/>
  <c r="R76" i="10"/>
  <c r="O76" i="10"/>
  <c r="S76" i="10"/>
  <c r="N75" i="10"/>
  <c r="Q75" i="10"/>
  <c r="P75" i="10"/>
  <c r="R75" i="10"/>
  <c r="O75" i="10"/>
  <c r="S75" i="10"/>
  <c r="N74" i="10"/>
  <c r="Q74" i="10"/>
  <c r="P74" i="10"/>
  <c r="R74" i="10"/>
  <c r="O74" i="10"/>
  <c r="S74" i="10"/>
  <c r="N73" i="10"/>
  <c r="Q73" i="10"/>
  <c r="P73" i="10"/>
  <c r="R73" i="10"/>
  <c r="O73" i="10"/>
  <c r="S73" i="10"/>
  <c r="N72" i="10"/>
  <c r="Q72" i="10"/>
  <c r="P72" i="10"/>
  <c r="R72" i="10"/>
  <c r="O72" i="10"/>
  <c r="S72" i="10"/>
  <c r="N71" i="10"/>
  <c r="Q71" i="10"/>
  <c r="P71" i="10"/>
  <c r="R71" i="10"/>
  <c r="O71" i="10"/>
  <c r="S71" i="10"/>
  <c r="N70" i="10"/>
  <c r="Q70" i="10"/>
  <c r="P70" i="10"/>
  <c r="R70" i="10"/>
  <c r="O70" i="10"/>
  <c r="S70" i="10"/>
  <c r="N69" i="10"/>
  <c r="Q69" i="10"/>
  <c r="P69" i="10"/>
  <c r="R69" i="10"/>
  <c r="O69" i="10"/>
  <c r="S69" i="10"/>
  <c r="N68" i="10"/>
  <c r="Q68" i="10"/>
  <c r="P68" i="10"/>
  <c r="R68" i="10"/>
  <c r="O68" i="10"/>
  <c r="S68" i="10"/>
  <c r="N67" i="10"/>
  <c r="Q67" i="10"/>
  <c r="P67" i="10"/>
  <c r="R67" i="10"/>
  <c r="O67" i="10"/>
  <c r="S67" i="10"/>
  <c r="N66" i="10"/>
  <c r="Q66" i="10"/>
  <c r="P66" i="10"/>
  <c r="R66" i="10"/>
  <c r="O66" i="10"/>
  <c r="S66" i="10"/>
  <c r="N65" i="10"/>
  <c r="Q65" i="10"/>
  <c r="P65" i="10"/>
  <c r="R65" i="10"/>
  <c r="O65" i="10"/>
  <c r="S65" i="10"/>
  <c r="N64" i="10"/>
  <c r="Q64" i="10"/>
  <c r="P64" i="10"/>
  <c r="R64" i="10"/>
  <c r="O64" i="10"/>
  <c r="S64" i="10"/>
  <c r="N63" i="10"/>
  <c r="Q63" i="10"/>
  <c r="P63" i="10"/>
  <c r="R63" i="10"/>
  <c r="O63" i="10"/>
  <c r="S63" i="10"/>
  <c r="N62" i="10"/>
  <c r="Q62" i="10"/>
  <c r="P62" i="10"/>
  <c r="R62" i="10"/>
  <c r="O62" i="10"/>
  <c r="S62" i="10"/>
  <c r="N61" i="10"/>
  <c r="Q61" i="10"/>
  <c r="P61" i="10"/>
  <c r="R61" i="10"/>
  <c r="O61" i="10"/>
  <c r="S61" i="10"/>
  <c r="N60" i="10"/>
  <c r="Q60" i="10"/>
  <c r="P60" i="10"/>
  <c r="R60" i="10"/>
  <c r="O60" i="10"/>
  <c r="S60" i="10"/>
  <c r="N59" i="10"/>
  <c r="Q59" i="10"/>
  <c r="P59" i="10"/>
  <c r="R59" i="10"/>
  <c r="O59" i="10"/>
  <c r="S59" i="10"/>
  <c r="N58" i="10"/>
  <c r="Q58" i="10"/>
  <c r="P58" i="10"/>
  <c r="R58" i="10"/>
  <c r="O58" i="10"/>
  <c r="S58" i="10"/>
  <c r="N57" i="10"/>
  <c r="Q57" i="10"/>
  <c r="P57" i="10"/>
  <c r="R57" i="10"/>
  <c r="O57" i="10"/>
  <c r="S57" i="10"/>
  <c r="N56" i="10"/>
  <c r="Q56" i="10"/>
  <c r="P56" i="10"/>
  <c r="R56" i="10"/>
  <c r="O56" i="10"/>
  <c r="S56" i="10"/>
  <c r="N55" i="10"/>
  <c r="Q55" i="10"/>
  <c r="P55" i="10"/>
  <c r="R55" i="10"/>
  <c r="O55" i="10"/>
  <c r="S55" i="10"/>
  <c r="N54" i="10"/>
  <c r="Q54" i="10"/>
  <c r="P54" i="10"/>
  <c r="R54" i="10"/>
  <c r="O54" i="10"/>
  <c r="S54" i="10"/>
  <c r="N53" i="10"/>
  <c r="Q53" i="10"/>
  <c r="P53" i="10"/>
  <c r="R53" i="10"/>
  <c r="O53" i="10"/>
  <c r="S53" i="10"/>
  <c r="N52" i="10"/>
  <c r="Q52" i="10"/>
  <c r="P52" i="10"/>
  <c r="R52" i="10"/>
  <c r="O52" i="10"/>
  <c r="S52" i="10"/>
  <c r="N51" i="10"/>
  <c r="Q51" i="10"/>
  <c r="P51" i="10"/>
  <c r="R51" i="10"/>
  <c r="O51" i="10"/>
  <c r="S51" i="10"/>
  <c r="N50" i="10"/>
  <c r="Q50" i="10"/>
  <c r="P50" i="10"/>
  <c r="R50" i="10"/>
  <c r="O50" i="10"/>
  <c r="S50" i="10"/>
  <c r="N49" i="10"/>
  <c r="Q49" i="10"/>
  <c r="P49" i="10"/>
  <c r="R49" i="10"/>
  <c r="O49" i="10"/>
  <c r="S49" i="10"/>
  <c r="N48" i="10"/>
  <c r="Q48" i="10"/>
  <c r="P48" i="10"/>
  <c r="R48" i="10"/>
  <c r="O48" i="10"/>
  <c r="S48" i="10"/>
  <c r="N47" i="10"/>
  <c r="Q47" i="10"/>
  <c r="P47" i="10"/>
  <c r="R47" i="10"/>
  <c r="O47" i="10"/>
  <c r="S47" i="10"/>
  <c r="N46" i="10"/>
  <c r="Q46" i="10"/>
  <c r="P46" i="10"/>
  <c r="R46" i="10"/>
  <c r="O46" i="10"/>
  <c r="S46" i="10"/>
  <c r="N45" i="10"/>
  <c r="Q45" i="10"/>
  <c r="P45" i="10"/>
  <c r="R45" i="10"/>
  <c r="O45" i="10"/>
  <c r="S45" i="10"/>
  <c r="N44" i="10"/>
  <c r="Q44" i="10"/>
  <c r="P44" i="10"/>
  <c r="R44" i="10"/>
  <c r="O44" i="10"/>
  <c r="S44" i="10"/>
  <c r="N43" i="10"/>
  <c r="Q43" i="10"/>
  <c r="P43" i="10"/>
  <c r="R43" i="10"/>
  <c r="O43" i="10"/>
  <c r="S43" i="10"/>
  <c r="N42" i="10"/>
  <c r="Q42" i="10"/>
  <c r="P42" i="10"/>
  <c r="R42" i="10"/>
  <c r="O42" i="10"/>
  <c r="S42" i="10"/>
  <c r="N41" i="10"/>
  <c r="Q41" i="10"/>
  <c r="P41" i="10"/>
  <c r="R41" i="10"/>
  <c r="O41" i="10"/>
  <c r="S41" i="10"/>
  <c r="N40" i="10"/>
  <c r="Q40" i="10"/>
  <c r="P40" i="10"/>
  <c r="R40" i="10"/>
  <c r="O40" i="10"/>
  <c r="S40" i="10"/>
  <c r="N39" i="10"/>
  <c r="Q39" i="10"/>
  <c r="P39" i="10"/>
  <c r="R39" i="10"/>
  <c r="O39" i="10"/>
  <c r="S39" i="10"/>
  <c r="N38" i="10"/>
  <c r="Q38" i="10"/>
  <c r="P38" i="10"/>
  <c r="R38" i="10"/>
  <c r="O38" i="10"/>
  <c r="S38" i="10"/>
  <c r="N37" i="10"/>
  <c r="Q37" i="10"/>
  <c r="P37" i="10"/>
  <c r="R37" i="10"/>
  <c r="O37" i="10"/>
  <c r="S37" i="10"/>
  <c r="N36" i="10"/>
  <c r="Q36" i="10"/>
  <c r="P36" i="10"/>
  <c r="R36" i="10"/>
  <c r="O36" i="10"/>
  <c r="S36" i="10"/>
  <c r="N35" i="10"/>
  <c r="Q35" i="10"/>
  <c r="P35" i="10"/>
  <c r="R35" i="10"/>
  <c r="O35" i="10"/>
  <c r="S35" i="10"/>
  <c r="N34" i="10"/>
  <c r="Q34" i="10"/>
  <c r="P34" i="10"/>
  <c r="R34" i="10"/>
  <c r="O34" i="10"/>
  <c r="S34" i="10"/>
  <c r="N33" i="10"/>
  <c r="Q33" i="10"/>
  <c r="P33" i="10"/>
  <c r="R33" i="10"/>
  <c r="O33" i="10"/>
  <c r="S33" i="10"/>
  <c r="N32" i="10"/>
  <c r="Q32" i="10"/>
  <c r="P32" i="10"/>
  <c r="R32" i="10"/>
  <c r="O32" i="10"/>
  <c r="S32" i="10"/>
  <c r="N31" i="10"/>
  <c r="Q31" i="10"/>
  <c r="P31" i="10"/>
  <c r="R31" i="10"/>
  <c r="O31" i="10"/>
  <c r="S31" i="10"/>
  <c r="N30" i="10"/>
  <c r="Q30" i="10"/>
  <c r="P30" i="10"/>
  <c r="R30" i="10"/>
  <c r="O30" i="10"/>
  <c r="S30" i="10"/>
  <c r="N29" i="10"/>
  <c r="Q29" i="10"/>
  <c r="P29" i="10"/>
  <c r="R29" i="10"/>
  <c r="O29" i="10"/>
  <c r="S29" i="10"/>
  <c r="N28" i="10"/>
  <c r="Q28" i="10"/>
  <c r="P28" i="10"/>
  <c r="R28" i="10"/>
  <c r="O28" i="10"/>
  <c r="S28" i="10"/>
  <c r="N27" i="10"/>
  <c r="Q27" i="10"/>
  <c r="P27" i="10"/>
  <c r="R27" i="10"/>
  <c r="O27" i="10"/>
  <c r="S27" i="10"/>
  <c r="N26" i="10"/>
  <c r="Q26" i="10"/>
  <c r="P26" i="10"/>
  <c r="R26" i="10"/>
  <c r="O26" i="10"/>
  <c r="S26" i="10"/>
  <c r="N25" i="10"/>
  <c r="Q25" i="10"/>
  <c r="P25" i="10"/>
  <c r="R25" i="10"/>
  <c r="O25" i="10"/>
  <c r="S25" i="10"/>
  <c r="N24" i="10"/>
  <c r="Q24" i="10"/>
  <c r="P24" i="10"/>
  <c r="R24" i="10"/>
  <c r="O24" i="10"/>
  <c r="S24" i="10"/>
  <c r="N23" i="10"/>
  <c r="Q23" i="10"/>
  <c r="P23" i="10"/>
  <c r="R23" i="10"/>
  <c r="O23" i="10"/>
  <c r="S23" i="10"/>
  <c r="N22" i="10"/>
  <c r="Q22" i="10"/>
  <c r="P22" i="10"/>
  <c r="R22" i="10"/>
  <c r="O22" i="10"/>
  <c r="S22" i="10"/>
  <c r="N21" i="10"/>
  <c r="Q21" i="10"/>
  <c r="P21" i="10"/>
  <c r="R21" i="10"/>
  <c r="O21" i="10"/>
  <c r="S21" i="10"/>
  <c r="N20" i="10"/>
  <c r="Q20" i="10"/>
  <c r="P20" i="10"/>
  <c r="R20" i="10"/>
  <c r="O20" i="10"/>
  <c r="S20" i="10"/>
  <c r="N19" i="10"/>
  <c r="Q19" i="10"/>
  <c r="P19" i="10"/>
  <c r="R19" i="10"/>
  <c r="O19" i="10"/>
  <c r="S19" i="10"/>
  <c r="N18" i="10"/>
  <c r="Q18" i="10"/>
  <c r="P18" i="10"/>
  <c r="R18" i="10"/>
  <c r="O18" i="10"/>
  <c r="S18" i="10"/>
  <c r="N17" i="10"/>
  <c r="Q17" i="10"/>
  <c r="P17" i="10"/>
  <c r="R17" i="10"/>
  <c r="O17" i="10"/>
  <c r="S17" i="10"/>
  <c r="N16" i="10"/>
  <c r="Q16" i="10"/>
  <c r="P16" i="10"/>
  <c r="R16" i="10"/>
  <c r="O16" i="10"/>
  <c r="S16" i="10"/>
  <c r="N15" i="10"/>
  <c r="Q15" i="10"/>
  <c r="P15" i="10"/>
  <c r="R15" i="10"/>
  <c r="O15" i="10"/>
  <c r="S15" i="10"/>
  <c r="N14" i="10"/>
  <c r="Q14" i="10"/>
  <c r="P14" i="10"/>
  <c r="R14" i="10"/>
  <c r="O14" i="10"/>
  <c r="S14" i="10"/>
  <c r="N13" i="10"/>
  <c r="Q13" i="10"/>
  <c r="P13" i="10"/>
  <c r="R13" i="10"/>
  <c r="O13" i="10"/>
  <c r="S13" i="10"/>
  <c r="N12" i="10"/>
  <c r="Q12" i="10"/>
  <c r="P12" i="10"/>
  <c r="R12" i="10"/>
  <c r="O12" i="10"/>
  <c r="S12" i="10"/>
  <c r="N11" i="10"/>
  <c r="Q11" i="10"/>
  <c r="P11" i="10"/>
  <c r="R11" i="10"/>
  <c r="O11" i="10"/>
  <c r="S11" i="10"/>
  <c r="N10" i="10"/>
  <c r="Q10" i="10"/>
  <c r="P10" i="10"/>
  <c r="R10" i="10"/>
  <c r="O10" i="10"/>
  <c r="S10" i="10"/>
  <c r="N9" i="10"/>
  <c r="Q9" i="10"/>
  <c r="P9" i="10"/>
  <c r="R9" i="10"/>
  <c r="O9" i="10"/>
  <c r="S9" i="10"/>
  <c r="N8" i="10"/>
  <c r="Q8" i="10"/>
  <c r="P8" i="10"/>
  <c r="R8" i="10"/>
  <c r="O8" i="10"/>
  <c r="S8" i="10"/>
  <c r="N7" i="10"/>
  <c r="Q7" i="10"/>
  <c r="P7" i="10"/>
  <c r="R7" i="10"/>
  <c r="O7" i="10"/>
  <c r="S7" i="10"/>
  <c r="N6" i="10"/>
  <c r="Q6" i="10"/>
  <c r="P6" i="10"/>
  <c r="R6" i="10"/>
  <c r="O6" i="10"/>
  <c r="S6" i="10"/>
  <c r="N5" i="10"/>
  <c r="Q5" i="10"/>
  <c r="P5" i="10"/>
  <c r="R5" i="10"/>
  <c r="O5" i="10"/>
  <c r="S5" i="10"/>
  <c r="N4" i="10"/>
  <c r="Q4" i="10"/>
  <c r="P4" i="10"/>
  <c r="R4" i="10"/>
  <c r="O4" i="10"/>
  <c r="S4" i="10"/>
  <c r="N3" i="10"/>
  <c r="Q3" i="10"/>
  <c r="P3" i="10"/>
  <c r="R3" i="10"/>
  <c r="O3" i="10"/>
  <c r="S3" i="10"/>
  <c r="N2" i="10"/>
  <c r="Q2" i="10"/>
  <c r="P2" i="10"/>
  <c r="R2" i="10"/>
  <c r="O2" i="10"/>
  <c r="S2" i="10"/>
  <c r="G89" i="10"/>
  <c r="J89" i="10"/>
  <c r="I89" i="10"/>
  <c r="K89" i="10"/>
  <c r="H89" i="10"/>
  <c r="L89" i="10"/>
  <c r="G88" i="10"/>
  <c r="J88" i="10"/>
  <c r="I88" i="10"/>
  <c r="K88" i="10"/>
  <c r="H88" i="10"/>
  <c r="L88" i="10"/>
  <c r="G87" i="10"/>
  <c r="J87" i="10"/>
  <c r="I87" i="10"/>
  <c r="K87" i="10"/>
  <c r="H87" i="10"/>
  <c r="L87" i="10"/>
  <c r="G86" i="10"/>
  <c r="J86" i="10"/>
  <c r="I86" i="10"/>
  <c r="K86" i="10"/>
  <c r="H86" i="10"/>
  <c r="L86" i="10"/>
  <c r="G85" i="10"/>
  <c r="J85" i="10"/>
  <c r="I85" i="10"/>
  <c r="K85" i="10"/>
  <c r="H85" i="10"/>
  <c r="L85" i="10"/>
  <c r="G84" i="10"/>
  <c r="J84" i="10"/>
  <c r="I84" i="10"/>
  <c r="K84" i="10"/>
  <c r="H84" i="10"/>
  <c r="L84" i="10"/>
  <c r="G83" i="10"/>
  <c r="J83" i="10"/>
  <c r="I83" i="10"/>
  <c r="K83" i="10"/>
  <c r="H83" i="10"/>
  <c r="L83" i="10"/>
  <c r="G82" i="10"/>
  <c r="J82" i="10"/>
  <c r="I82" i="10"/>
  <c r="K82" i="10"/>
  <c r="H82" i="10"/>
  <c r="L82" i="10"/>
  <c r="G81" i="10"/>
  <c r="J81" i="10"/>
  <c r="I81" i="10"/>
  <c r="K81" i="10"/>
  <c r="H81" i="10"/>
  <c r="L81" i="10"/>
  <c r="G80" i="10"/>
  <c r="J80" i="10"/>
  <c r="I80" i="10"/>
  <c r="K80" i="10"/>
  <c r="H80" i="10"/>
  <c r="L80" i="10"/>
  <c r="G79" i="10"/>
  <c r="J79" i="10"/>
  <c r="I79" i="10"/>
  <c r="K79" i="10"/>
  <c r="H79" i="10"/>
  <c r="L79" i="10"/>
  <c r="G78" i="10"/>
  <c r="J78" i="10"/>
  <c r="I78" i="10"/>
  <c r="K78" i="10"/>
  <c r="H78" i="10"/>
  <c r="L78" i="10"/>
  <c r="G77" i="10"/>
  <c r="J77" i="10"/>
  <c r="I77" i="10"/>
  <c r="K77" i="10"/>
  <c r="H77" i="10"/>
  <c r="L77" i="10"/>
  <c r="G76" i="10"/>
  <c r="J76" i="10"/>
  <c r="I76" i="10"/>
  <c r="K76" i="10"/>
  <c r="H76" i="10"/>
  <c r="L76" i="10"/>
  <c r="G75" i="10"/>
  <c r="J75" i="10"/>
  <c r="I75" i="10"/>
  <c r="K75" i="10"/>
  <c r="H75" i="10"/>
  <c r="L75" i="10"/>
  <c r="G74" i="10"/>
  <c r="J74" i="10"/>
  <c r="I74" i="10"/>
  <c r="K74" i="10"/>
  <c r="H74" i="10"/>
  <c r="L74" i="10"/>
  <c r="G73" i="10"/>
  <c r="J73" i="10"/>
  <c r="I73" i="10"/>
  <c r="K73" i="10"/>
  <c r="H73" i="10"/>
  <c r="L73" i="10"/>
  <c r="G72" i="10"/>
  <c r="J72" i="10"/>
  <c r="I72" i="10"/>
  <c r="K72" i="10"/>
  <c r="H72" i="10"/>
  <c r="L72" i="10"/>
  <c r="G71" i="10"/>
  <c r="J71" i="10"/>
  <c r="I71" i="10"/>
  <c r="K71" i="10"/>
  <c r="H71" i="10"/>
  <c r="L71" i="10"/>
  <c r="G70" i="10"/>
  <c r="J70" i="10"/>
  <c r="I70" i="10"/>
  <c r="K70" i="10"/>
  <c r="H70" i="10"/>
  <c r="L70" i="10"/>
  <c r="G69" i="10"/>
  <c r="J69" i="10"/>
  <c r="I69" i="10"/>
  <c r="K69" i="10"/>
  <c r="H69" i="10"/>
  <c r="L69" i="10"/>
  <c r="G68" i="10"/>
  <c r="J68" i="10"/>
  <c r="I68" i="10"/>
  <c r="K68" i="10"/>
  <c r="H68" i="10"/>
  <c r="L68" i="10"/>
  <c r="G67" i="10"/>
  <c r="J67" i="10"/>
  <c r="I67" i="10"/>
  <c r="K67" i="10"/>
  <c r="H67" i="10"/>
  <c r="L67" i="10"/>
  <c r="G66" i="10"/>
  <c r="J66" i="10"/>
  <c r="I66" i="10"/>
  <c r="K66" i="10"/>
  <c r="H66" i="10"/>
  <c r="L66" i="10"/>
  <c r="G65" i="10"/>
  <c r="J65" i="10"/>
  <c r="I65" i="10"/>
  <c r="K65" i="10"/>
  <c r="H65" i="10"/>
  <c r="L65" i="10"/>
  <c r="G64" i="10"/>
  <c r="J64" i="10"/>
  <c r="I64" i="10"/>
  <c r="K64" i="10"/>
  <c r="H64" i="10"/>
  <c r="L64" i="10"/>
  <c r="G63" i="10"/>
  <c r="J63" i="10"/>
  <c r="I63" i="10"/>
  <c r="K63" i="10"/>
  <c r="H63" i="10"/>
  <c r="L63" i="10"/>
  <c r="G62" i="10"/>
  <c r="J62" i="10"/>
  <c r="I62" i="10"/>
  <c r="K62" i="10"/>
  <c r="H62" i="10"/>
  <c r="L62" i="10"/>
  <c r="G61" i="10"/>
  <c r="J61" i="10"/>
  <c r="I61" i="10"/>
  <c r="K61" i="10"/>
  <c r="H61" i="10"/>
  <c r="L61" i="10"/>
  <c r="G60" i="10"/>
  <c r="J60" i="10"/>
  <c r="I60" i="10"/>
  <c r="K60" i="10"/>
  <c r="H60" i="10"/>
  <c r="L60" i="10"/>
  <c r="G59" i="10"/>
  <c r="J59" i="10"/>
  <c r="I59" i="10"/>
  <c r="K59" i="10"/>
  <c r="H59" i="10"/>
  <c r="L59" i="10"/>
  <c r="G58" i="10"/>
  <c r="J58" i="10"/>
  <c r="I58" i="10"/>
  <c r="K58" i="10"/>
  <c r="H58" i="10"/>
  <c r="L58" i="10"/>
  <c r="G57" i="10"/>
  <c r="J57" i="10"/>
  <c r="I57" i="10"/>
  <c r="K57" i="10"/>
  <c r="H57" i="10"/>
  <c r="L57" i="10"/>
  <c r="G56" i="10"/>
  <c r="J56" i="10"/>
  <c r="I56" i="10"/>
  <c r="K56" i="10"/>
  <c r="H56" i="10"/>
  <c r="L56" i="10"/>
  <c r="G55" i="10"/>
  <c r="J55" i="10"/>
  <c r="I55" i="10"/>
  <c r="K55" i="10"/>
  <c r="H55" i="10"/>
  <c r="L55" i="10"/>
  <c r="G54" i="10"/>
  <c r="J54" i="10"/>
  <c r="I54" i="10"/>
  <c r="K54" i="10"/>
  <c r="H54" i="10"/>
  <c r="L54" i="10"/>
  <c r="G53" i="10"/>
  <c r="J53" i="10"/>
  <c r="I53" i="10"/>
  <c r="K53" i="10"/>
  <c r="H53" i="10"/>
  <c r="L53" i="10"/>
  <c r="G52" i="10"/>
  <c r="J52" i="10"/>
  <c r="I52" i="10"/>
  <c r="K52" i="10"/>
  <c r="H52" i="10"/>
  <c r="L52" i="10"/>
  <c r="G51" i="10"/>
  <c r="J51" i="10"/>
  <c r="I51" i="10"/>
  <c r="K51" i="10"/>
  <c r="H51" i="10"/>
  <c r="L51" i="10"/>
  <c r="G50" i="10"/>
  <c r="J50" i="10"/>
  <c r="I50" i="10"/>
  <c r="K50" i="10"/>
  <c r="H50" i="10"/>
  <c r="L50" i="10"/>
  <c r="G49" i="10"/>
  <c r="J49" i="10"/>
  <c r="I49" i="10"/>
  <c r="K49" i="10"/>
  <c r="H49" i="10"/>
  <c r="L49" i="10"/>
  <c r="G48" i="10"/>
  <c r="J48" i="10"/>
  <c r="I48" i="10"/>
  <c r="K48" i="10"/>
  <c r="H48" i="10"/>
  <c r="L48" i="10"/>
  <c r="G47" i="10"/>
  <c r="J47" i="10"/>
  <c r="I47" i="10"/>
  <c r="K47" i="10"/>
  <c r="H47" i="10"/>
  <c r="L47" i="10"/>
  <c r="G46" i="10"/>
  <c r="J46" i="10"/>
  <c r="I46" i="10"/>
  <c r="K46" i="10"/>
  <c r="H46" i="10"/>
  <c r="L46" i="10"/>
  <c r="G45" i="10"/>
  <c r="J45" i="10"/>
  <c r="I45" i="10"/>
  <c r="K45" i="10"/>
  <c r="H45" i="10"/>
  <c r="L45" i="10"/>
  <c r="G44" i="10"/>
  <c r="J44" i="10"/>
  <c r="I44" i="10"/>
  <c r="K44" i="10"/>
  <c r="H44" i="10"/>
  <c r="L44" i="10"/>
  <c r="G43" i="10"/>
  <c r="J43" i="10"/>
  <c r="I43" i="10"/>
  <c r="K43" i="10"/>
  <c r="H43" i="10"/>
  <c r="L43" i="10"/>
  <c r="G42" i="10"/>
  <c r="J42" i="10"/>
  <c r="I42" i="10"/>
  <c r="K42" i="10"/>
  <c r="H42" i="10"/>
  <c r="L42" i="10"/>
  <c r="G41" i="10"/>
  <c r="J41" i="10"/>
  <c r="I41" i="10"/>
  <c r="K41" i="10"/>
  <c r="H41" i="10"/>
  <c r="L41" i="10"/>
  <c r="G40" i="10"/>
  <c r="J40" i="10"/>
  <c r="I40" i="10"/>
  <c r="K40" i="10"/>
  <c r="H40" i="10"/>
  <c r="L40" i="10"/>
  <c r="G39" i="10"/>
  <c r="J39" i="10"/>
  <c r="I39" i="10"/>
  <c r="K39" i="10"/>
  <c r="H39" i="10"/>
  <c r="L39" i="10"/>
  <c r="G38" i="10"/>
  <c r="J38" i="10"/>
  <c r="I38" i="10"/>
  <c r="K38" i="10"/>
  <c r="H38" i="10"/>
  <c r="L38" i="10"/>
  <c r="G37" i="10"/>
  <c r="J37" i="10"/>
  <c r="I37" i="10"/>
  <c r="K37" i="10"/>
  <c r="H37" i="10"/>
  <c r="L37" i="10"/>
  <c r="G36" i="10"/>
  <c r="J36" i="10"/>
  <c r="I36" i="10"/>
  <c r="K36" i="10"/>
  <c r="H36" i="10"/>
  <c r="L36" i="10"/>
  <c r="G35" i="10"/>
  <c r="J35" i="10"/>
  <c r="I35" i="10"/>
  <c r="K35" i="10"/>
  <c r="H35" i="10"/>
  <c r="L35" i="10"/>
  <c r="G34" i="10"/>
  <c r="J34" i="10"/>
  <c r="I34" i="10"/>
  <c r="K34" i="10"/>
  <c r="H34" i="10"/>
  <c r="L34" i="10"/>
  <c r="G33" i="10"/>
  <c r="J33" i="10"/>
  <c r="I33" i="10"/>
  <c r="K33" i="10"/>
  <c r="H33" i="10"/>
  <c r="L33" i="10"/>
  <c r="G32" i="10"/>
  <c r="J32" i="10"/>
  <c r="I32" i="10"/>
  <c r="K32" i="10"/>
  <c r="H32" i="10"/>
  <c r="L32" i="10"/>
  <c r="G31" i="10"/>
  <c r="J31" i="10"/>
  <c r="I31" i="10"/>
  <c r="K31" i="10"/>
  <c r="H31" i="10"/>
  <c r="L31" i="10"/>
  <c r="G30" i="10"/>
  <c r="J30" i="10"/>
  <c r="I30" i="10"/>
  <c r="K30" i="10"/>
  <c r="H30" i="10"/>
  <c r="L30" i="10"/>
  <c r="G29" i="10"/>
  <c r="J29" i="10"/>
  <c r="I29" i="10"/>
  <c r="K29" i="10"/>
  <c r="H29" i="10"/>
  <c r="L29" i="10"/>
  <c r="G28" i="10"/>
  <c r="J28" i="10"/>
  <c r="I28" i="10"/>
  <c r="K28" i="10"/>
  <c r="H28" i="10"/>
  <c r="L28" i="10"/>
  <c r="G27" i="10"/>
  <c r="J27" i="10"/>
  <c r="I27" i="10"/>
  <c r="K27" i="10"/>
  <c r="H27" i="10"/>
  <c r="L27" i="10"/>
  <c r="G26" i="10"/>
  <c r="J26" i="10"/>
  <c r="I26" i="10"/>
  <c r="K26" i="10"/>
  <c r="H26" i="10"/>
  <c r="L26" i="10"/>
  <c r="G25" i="10"/>
  <c r="J25" i="10"/>
  <c r="I25" i="10"/>
  <c r="K25" i="10"/>
  <c r="H25" i="10"/>
  <c r="L25" i="10"/>
  <c r="G24" i="10"/>
  <c r="J24" i="10"/>
  <c r="I24" i="10"/>
  <c r="K24" i="10"/>
  <c r="H24" i="10"/>
  <c r="L24" i="10"/>
  <c r="G23" i="10"/>
  <c r="J23" i="10"/>
  <c r="I23" i="10"/>
  <c r="K23" i="10"/>
  <c r="H23" i="10"/>
  <c r="L23" i="10"/>
  <c r="G22" i="10"/>
  <c r="J22" i="10"/>
  <c r="I22" i="10"/>
  <c r="K22" i="10"/>
  <c r="H22" i="10"/>
  <c r="L22" i="10"/>
  <c r="G21" i="10"/>
  <c r="J21" i="10"/>
  <c r="I21" i="10"/>
  <c r="K21" i="10"/>
  <c r="H21" i="10"/>
  <c r="L21" i="10"/>
  <c r="G20" i="10"/>
  <c r="J20" i="10"/>
  <c r="I20" i="10"/>
  <c r="K20" i="10"/>
  <c r="H20" i="10"/>
  <c r="L20" i="10"/>
  <c r="G19" i="10"/>
  <c r="J19" i="10"/>
  <c r="I19" i="10"/>
  <c r="K19" i="10"/>
  <c r="H19" i="10"/>
  <c r="L19" i="10"/>
  <c r="G18" i="10"/>
  <c r="J18" i="10"/>
  <c r="I18" i="10"/>
  <c r="K18" i="10"/>
  <c r="H18" i="10"/>
  <c r="L18" i="10"/>
  <c r="G17" i="10"/>
  <c r="J17" i="10"/>
  <c r="I17" i="10"/>
  <c r="K17" i="10"/>
  <c r="H17" i="10"/>
  <c r="L17" i="10"/>
  <c r="G16" i="10"/>
  <c r="J16" i="10"/>
  <c r="I16" i="10"/>
  <c r="K16" i="10"/>
  <c r="H16" i="10"/>
  <c r="L16" i="10"/>
  <c r="G15" i="10"/>
  <c r="J15" i="10"/>
  <c r="I15" i="10"/>
  <c r="K15" i="10"/>
  <c r="H15" i="10"/>
  <c r="L15" i="10"/>
  <c r="G14" i="10"/>
  <c r="J14" i="10"/>
  <c r="I14" i="10"/>
  <c r="K14" i="10"/>
  <c r="H14" i="10"/>
  <c r="L14" i="10"/>
  <c r="G13" i="10"/>
  <c r="J13" i="10"/>
  <c r="I13" i="10"/>
  <c r="K13" i="10"/>
  <c r="H13" i="10"/>
  <c r="L13" i="10"/>
  <c r="G12" i="10"/>
  <c r="J12" i="10"/>
  <c r="I12" i="10"/>
  <c r="K12" i="10"/>
  <c r="H12" i="10"/>
  <c r="L12" i="10"/>
  <c r="G11" i="10"/>
  <c r="J11" i="10"/>
  <c r="I11" i="10"/>
  <c r="K11" i="10"/>
  <c r="H11" i="10"/>
  <c r="L11" i="10"/>
  <c r="G10" i="10"/>
  <c r="J10" i="10"/>
  <c r="I10" i="10"/>
  <c r="K10" i="10"/>
  <c r="H10" i="10"/>
  <c r="L10" i="10"/>
  <c r="G9" i="10"/>
  <c r="J9" i="10"/>
  <c r="I9" i="10"/>
  <c r="K9" i="10"/>
  <c r="H9" i="10"/>
  <c r="L9" i="10"/>
  <c r="G8" i="10"/>
  <c r="J8" i="10"/>
  <c r="I8" i="10"/>
  <c r="K8" i="10"/>
  <c r="H8" i="10"/>
  <c r="L8" i="10"/>
  <c r="G7" i="10"/>
  <c r="J7" i="10"/>
  <c r="I7" i="10"/>
  <c r="K7" i="10"/>
  <c r="H7" i="10"/>
  <c r="L7" i="10"/>
  <c r="G6" i="10"/>
  <c r="J6" i="10"/>
  <c r="I6" i="10"/>
  <c r="K6" i="10"/>
  <c r="H6" i="10"/>
  <c r="L6" i="10"/>
  <c r="G5" i="10"/>
  <c r="J5" i="10"/>
  <c r="I5" i="10"/>
  <c r="K5" i="10"/>
  <c r="H5" i="10"/>
  <c r="L5" i="10"/>
  <c r="G4" i="10"/>
  <c r="J4" i="10"/>
  <c r="I4" i="10"/>
  <c r="K4" i="10"/>
  <c r="H4" i="10"/>
  <c r="L4" i="10"/>
  <c r="G3" i="10"/>
  <c r="J3" i="10"/>
  <c r="I3" i="10"/>
  <c r="K3" i="10"/>
  <c r="H3" i="10"/>
  <c r="L3" i="10"/>
  <c r="G2" i="10"/>
  <c r="J2" i="10"/>
  <c r="I2" i="10"/>
  <c r="K2" i="10"/>
  <c r="H2" i="10"/>
  <c r="L2" i="10"/>
  <c r="W5" i="7"/>
  <c r="U5" i="7"/>
  <c r="W4" i="7"/>
  <c r="U4" i="7"/>
  <c r="W3" i="7"/>
  <c r="U3" i="7"/>
  <c r="W2" i="7"/>
  <c r="U2" i="7"/>
  <c r="V11" i="1"/>
  <c r="T11" i="1"/>
  <c r="V10" i="1"/>
  <c r="T10" i="1"/>
  <c r="V9" i="1"/>
  <c r="T9" i="1"/>
  <c r="V8" i="1"/>
  <c r="T8" i="1"/>
  <c r="V7" i="1"/>
  <c r="T7" i="1"/>
  <c r="V6" i="1"/>
  <c r="T6" i="1"/>
  <c r="V5" i="1"/>
  <c r="T5" i="1"/>
  <c r="V4" i="1"/>
  <c r="T4" i="1"/>
  <c r="V3" i="1"/>
  <c r="T3" i="1"/>
  <c r="V2" i="1"/>
  <c r="T2" i="1"/>
  <c r="N3" i="22"/>
  <c r="N2" i="22"/>
  <c r="P5" i="7"/>
  <c r="P4" i="7"/>
  <c r="P3" i="7"/>
  <c r="P2" i="7"/>
  <c r="AD11" i="1"/>
  <c r="AG11" i="1"/>
  <c r="AF11" i="1"/>
  <c r="AE11" i="1"/>
  <c r="AD10" i="1"/>
  <c r="AG10" i="1"/>
  <c r="AF10" i="1"/>
  <c r="AE10" i="1"/>
  <c r="AD9" i="1"/>
  <c r="AG9" i="1"/>
  <c r="AF9" i="1"/>
  <c r="AE9" i="1"/>
  <c r="AG8" i="1"/>
  <c r="AF8" i="1"/>
  <c r="AE8" i="1"/>
  <c r="AG7" i="1"/>
  <c r="AF7" i="1"/>
  <c r="AE7" i="1"/>
  <c r="AD6" i="1"/>
  <c r="AG6" i="1"/>
  <c r="AF6" i="1"/>
  <c r="AE6" i="1"/>
  <c r="AD5" i="1"/>
  <c r="AG5" i="1"/>
  <c r="AF5" i="1"/>
  <c r="AE5" i="1"/>
  <c r="AD4" i="1"/>
  <c r="AG4" i="1"/>
  <c r="AF4" i="1"/>
  <c r="AE4" i="1"/>
  <c r="AG3" i="1"/>
  <c r="AF3" i="1"/>
  <c r="AE3" i="1"/>
  <c r="AG2" i="1"/>
  <c r="AF2" i="1"/>
  <c r="AE2" i="1"/>
  <c r="O11" i="1"/>
  <c r="O10" i="1"/>
  <c r="O9" i="1"/>
  <c r="O8" i="1"/>
  <c r="O7" i="1"/>
  <c r="O6" i="1"/>
  <c r="O5" i="1"/>
  <c r="O4" i="1"/>
  <c r="O3" i="1"/>
  <c r="O2" i="1"/>
  <c r="R5" i="7"/>
  <c r="Q5" i="7"/>
  <c r="O5" i="7"/>
  <c r="N5" i="7"/>
  <c r="R4" i="7"/>
  <c r="Q4" i="7"/>
  <c r="O4" i="7"/>
  <c r="N4" i="7"/>
  <c r="R3" i="7"/>
  <c r="Q3" i="7"/>
  <c r="O3" i="7"/>
  <c r="N3" i="7"/>
  <c r="R2" i="7"/>
  <c r="Q2" i="7"/>
  <c r="O2" i="7"/>
  <c r="N2" i="7"/>
  <c r="Q11" i="1"/>
  <c r="P11" i="1"/>
  <c r="N11" i="1"/>
  <c r="M11" i="1"/>
  <c r="Q10" i="1"/>
  <c r="P10" i="1"/>
  <c r="N10" i="1"/>
  <c r="M10" i="1"/>
  <c r="Q9" i="1"/>
  <c r="P9" i="1"/>
  <c r="N9" i="1"/>
  <c r="M9" i="1"/>
  <c r="Q8" i="1"/>
  <c r="P8" i="1"/>
  <c r="N8" i="1"/>
  <c r="M8" i="1"/>
  <c r="Q7" i="1"/>
  <c r="P7" i="1"/>
  <c r="N7" i="1"/>
  <c r="M7" i="1"/>
  <c r="Q6" i="1"/>
  <c r="P6" i="1"/>
  <c r="N6" i="1"/>
  <c r="M6" i="1"/>
  <c r="Q5" i="1"/>
  <c r="P5" i="1"/>
  <c r="N5" i="1"/>
  <c r="M5" i="1"/>
  <c r="Q4" i="1"/>
  <c r="P4" i="1"/>
  <c r="N4" i="1"/>
  <c r="M4" i="1"/>
  <c r="Q3" i="1"/>
  <c r="P3" i="1"/>
  <c r="N3" i="1"/>
  <c r="M3" i="1"/>
  <c r="Q2" i="1"/>
  <c r="P2" i="1"/>
  <c r="N2" i="1"/>
  <c r="M2" i="1"/>
  <c r="G3" i="22"/>
  <c r="F3" i="22"/>
  <c r="G2" i="22"/>
  <c r="F2" i="22"/>
  <c r="B13" i="21"/>
  <c r="G13" i="21"/>
  <c r="F13" i="21"/>
  <c r="B12" i="21"/>
  <c r="G12" i="21"/>
  <c r="F12" i="21"/>
  <c r="B11" i="21"/>
  <c r="G11" i="21"/>
  <c r="F11" i="21"/>
  <c r="B10" i="21"/>
  <c r="G10" i="21"/>
  <c r="F10" i="21"/>
  <c r="B9" i="21"/>
  <c r="G9" i="21"/>
  <c r="F9" i="21"/>
  <c r="B8" i="21"/>
  <c r="G8" i="21"/>
  <c r="F8" i="21"/>
  <c r="B7" i="21"/>
  <c r="G7" i="21"/>
  <c r="F7" i="21"/>
  <c r="B6" i="21"/>
  <c r="G6" i="21"/>
  <c r="F6" i="21"/>
  <c r="B5" i="21"/>
  <c r="G5" i="21"/>
  <c r="F5" i="21"/>
  <c r="B4" i="21"/>
  <c r="G4" i="21"/>
  <c r="F4" i="21"/>
  <c r="B3" i="21"/>
  <c r="G3" i="21"/>
  <c r="F3" i="21"/>
  <c r="B2" i="21"/>
  <c r="G2" i="21"/>
  <c r="F2" i="21"/>
  <c r="A2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D5" i="7"/>
  <c r="F5" i="7"/>
  <c r="D4" i="7"/>
  <c r="F4" i="7"/>
  <c r="D3" i="7"/>
  <c r="F3" i="7"/>
  <c r="D2" i="7"/>
  <c r="F2" i="7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G7" i="2"/>
  <c r="H7" i="2"/>
  <c r="G6" i="2"/>
  <c r="H6" i="2"/>
  <c r="G5" i="2"/>
  <c r="H5" i="2"/>
  <c r="G4" i="2"/>
  <c r="H4" i="2"/>
  <c r="G3" i="2"/>
  <c r="H3" i="2"/>
  <c r="G2" i="2"/>
  <c r="H2" i="2"/>
  <c r="D3" i="22"/>
  <c r="C3" i="22"/>
  <c r="D2" i="22"/>
  <c r="C2" i="22"/>
  <c r="D13" i="21"/>
  <c r="C13" i="21"/>
  <c r="D12" i="21"/>
  <c r="C12" i="21"/>
  <c r="D11" i="21"/>
  <c r="C11" i="21"/>
  <c r="D10" i="21"/>
  <c r="C10" i="21"/>
  <c r="D9" i="21"/>
  <c r="C9" i="21"/>
  <c r="D8" i="21"/>
  <c r="C8" i="21"/>
  <c r="D7" i="21"/>
  <c r="C7" i="21"/>
  <c r="D6" i="21"/>
  <c r="C6" i="21"/>
  <c r="D5" i="21"/>
  <c r="C5" i="21"/>
  <c r="D4" i="21"/>
  <c r="C4" i="21"/>
  <c r="D3" i="21"/>
  <c r="C3" i="21"/>
  <c r="D2" i="21"/>
  <c r="C2" i="21"/>
  <c r="E5" i="7"/>
  <c r="E4" i="7"/>
  <c r="E3" i="7"/>
  <c r="E2" i="7"/>
  <c r="E11" i="1"/>
  <c r="E10" i="1"/>
  <c r="E9" i="1"/>
  <c r="E8" i="1"/>
  <c r="E7" i="1"/>
  <c r="E6" i="1"/>
  <c r="E5" i="1"/>
  <c r="E4" i="1"/>
  <c r="E3" i="1"/>
  <c r="E2" i="1"/>
  <c r="E7" i="2"/>
  <c r="D7" i="2"/>
  <c r="E6" i="2"/>
  <c r="D6" i="2"/>
  <c r="E5" i="2"/>
  <c r="D5" i="2"/>
  <c r="E4" i="2"/>
  <c r="D4" i="2"/>
  <c r="E3" i="2"/>
  <c r="D3" i="2"/>
  <c r="E2" i="2"/>
  <c r="D2" i="2"/>
  <c r="J48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47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46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45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44" i="11"/>
  <c r="O99" i="9"/>
  <c r="N99" i="9"/>
  <c r="M99" i="9"/>
  <c r="L99" i="9"/>
  <c r="K99" i="9"/>
  <c r="J99" i="9"/>
  <c r="I99" i="9"/>
  <c r="H99" i="9"/>
  <c r="G99" i="9"/>
  <c r="E99" i="9"/>
  <c r="D99" i="9"/>
  <c r="A99" i="9"/>
  <c r="J43" i="11"/>
  <c r="O98" i="9"/>
  <c r="N98" i="9"/>
  <c r="M98" i="9"/>
  <c r="L98" i="9"/>
  <c r="K98" i="9"/>
  <c r="J98" i="9"/>
  <c r="I98" i="9"/>
  <c r="H98" i="9"/>
  <c r="G98" i="9"/>
  <c r="E98" i="9"/>
  <c r="D98" i="9"/>
  <c r="A98" i="9"/>
  <c r="J42" i="11"/>
  <c r="O97" i="9"/>
  <c r="N97" i="9"/>
  <c r="M97" i="9"/>
  <c r="L97" i="9"/>
  <c r="K97" i="9"/>
  <c r="J97" i="9"/>
  <c r="I97" i="9"/>
  <c r="H97" i="9"/>
  <c r="G97" i="9"/>
  <c r="E97" i="9"/>
  <c r="D97" i="9"/>
  <c r="A97" i="9"/>
  <c r="J41" i="11"/>
  <c r="O96" i="9"/>
  <c r="N96" i="9"/>
  <c r="M96" i="9"/>
  <c r="L96" i="9"/>
  <c r="K96" i="9"/>
  <c r="J96" i="9"/>
  <c r="I96" i="9"/>
  <c r="H96" i="9"/>
  <c r="G96" i="9"/>
  <c r="E96" i="9"/>
  <c r="D96" i="9"/>
  <c r="A96" i="9"/>
  <c r="J40" i="11"/>
  <c r="O95" i="9"/>
  <c r="N95" i="9"/>
  <c r="M95" i="9"/>
  <c r="L95" i="9"/>
  <c r="K95" i="9"/>
  <c r="J95" i="9"/>
  <c r="I95" i="9"/>
  <c r="H95" i="9"/>
  <c r="G95" i="9"/>
  <c r="E95" i="9"/>
  <c r="D95" i="9"/>
  <c r="A95" i="9"/>
  <c r="J39" i="11"/>
  <c r="O94" i="9"/>
  <c r="N94" i="9"/>
  <c r="M94" i="9"/>
  <c r="L94" i="9"/>
  <c r="K94" i="9"/>
  <c r="J94" i="9"/>
  <c r="I94" i="9"/>
  <c r="H94" i="9"/>
  <c r="G94" i="9"/>
  <c r="E94" i="9"/>
  <c r="D94" i="9"/>
  <c r="A94" i="9"/>
  <c r="J38" i="11"/>
  <c r="O93" i="9"/>
  <c r="N93" i="9"/>
  <c r="M93" i="9"/>
  <c r="L93" i="9"/>
  <c r="K93" i="9"/>
  <c r="J93" i="9"/>
  <c r="I93" i="9"/>
  <c r="H93" i="9"/>
  <c r="G93" i="9"/>
  <c r="E93" i="9"/>
  <c r="D93" i="9"/>
  <c r="A93" i="9"/>
  <c r="J37" i="11"/>
  <c r="O92" i="9"/>
  <c r="N92" i="9"/>
  <c r="M92" i="9"/>
  <c r="L92" i="9"/>
  <c r="K92" i="9"/>
  <c r="J92" i="9"/>
  <c r="I92" i="9"/>
  <c r="H92" i="9"/>
  <c r="G92" i="9"/>
  <c r="E92" i="9"/>
  <c r="D92" i="9"/>
  <c r="A92" i="9"/>
  <c r="J36" i="11"/>
  <c r="O91" i="9"/>
  <c r="N91" i="9"/>
  <c r="M91" i="9"/>
  <c r="L91" i="9"/>
  <c r="K91" i="9"/>
  <c r="J91" i="9"/>
  <c r="I91" i="9"/>
  <c r="H91" i="9"/>
  <c r="G91" i="9"/>
  <c r="E91" i="9"/>
  <c r="D91" i="9"/>
  <c r="A91" i="9"/>
  <c r="J35" i="11"/>
  <c r="O90" i="9"/>
  <c r="N90" i="9"/>
  <c r="M90" i="9"/>
  <c r="L90" i="9"/>
  <c r="K90" i="9"/>
  <c r="J90" i="9"/>
  <c r="I90" i="9"/>
  <c r="H90" i="9"/>
  <c r="G90" i="9"/>
  <c r="E90" i="9"/>
  <c r="D90" i="9"/>
  <c r="A90" i="9"/>
  <c r="J34" i="11"/>
  <c r="O89" i="9"/>
  <c r="N89" i="9"/>
  <c r="M89" i="9"/>
  <c r="L89" i="9"/>
  <c r="K89" i="9"/>
  <c r="J89" i="9"/>
  <c r="I89" i="9"/>
  <c r="H89" i="9"/>
  <c r="G89" i="9"/>
  <c r="E89" i="9"/>
  <c r="D89" i="9"/>
  <c r="A89" i="9"/>
  <c r="J33" i="11"/>
  <c r="O88" i="9"/>
  <c r="N88" i="9"/>
  <c r="M88" i="9"/>
  <c r="L88" i="9"/>
  <c r="K88" i="9"/>
  <c r="J88" i="9"/>
  <c r="I88" i="9"/>
  <c r="H88" i="9"/>
  <c r="G88" i="9"/>
  <c r="E88" i="9"/>
  <c r="D88" i="9"/>
  <c r="A88" i="9"/>
  <c r="J32" i="11"/>
  <c r="O87" i="9"/>
  <c r="N87" i="9"/>
  <c r="M87" i="9"/>
  <c r="L87" i="9"/>
  <c r="K87" i="9"/>
  <c r="J87" i="9"/>
  <c r="I87" i="9"/>
  <c r="H87" i="9"/>
  <c r="G87" i="9"/>
  <c r="E87" i="9"/>
  <c r="D87" i="9"/>
  <c r="A87" i="9"/>
  <c r="J31" i="11"/>
  <c r="O86" i="9"/>
  <c r="N86" i="9"/>
  <c r="M86" i="9"/>
  <c r="L86" i="9"/>
  <c r="K86" i="9"/>
  <c r="J86" i="9"/>
  <c r="I86" i="9"/>
  <c r="H86" i="9"/>
  <c r="G86" i="9"/>
  <c r="E86" i="9"/>
  <c r="D86" i="9"/>
  <c r="A86" i="9"/>
  <c r="J30" i="11"/>
  <c r="O85" i="9"/>
  <c r="N85" i="9"/>
  <c r="M85" i="9"/>
  <c r="L85" i="9"/>
  <c r="K85" i="9"/>
  <c r="J85" i="9"/>
  <c r="I85" i="9"/>
  <c r="H85" i="9"/>
  <c r="G85" i="9"/>
  <c r="E85" i="9"/>
  <c r="D85" i="9"/>
  <c r="A85" i="9"/>
  <c r="J29" i="11"/>
  <c r="O84" i="9"/>
  <c r="N84" i="9"/>
  <c r="M84" i="9"/>
  <c r="L84" i="9"/>
  <c r="K84" i="9"/>
  <c r="J84" i="9"/>
  <c r="I84" i="9"/>
  <c r="H84" i="9"/>
  <c r="G84" i="9"/>
  <c r="E84" i="9"/>
  <c r="D84" i="9"/>
  <c r="A84" i="9"/>
  <c r="J28" i="11"/>
  <c r="O83" i="9"/>
  <c r="N83" i="9"/>
  <c r="M83" i="9"/>
  <c r="L83" i="9"/>
  <c r="K83" i="9"/>
  <c r="J83" i="9"/>
  <c r="I83" i="9"/>
  <c r="H83" i="9"/>
  <c r="G83" i="9"/>
  <c r="E83" i="9"/>
  <c r="D83" i="9"/>
  <c r="A83" i="9"/>
  <c r="J27" i="11"/>
  <c r="O82" i="9"/>
  <c r="N82" i="9"/>
  <c r="M82" i="9"/>
  <c r="L82" i="9"/>
  <c r="K82" i="9"/>
  <c r="J82" i="9"/>
  <c r="I82" i="9"/>
  <c r="H82" i="9"/>
  <c r="G82" i="9"/>
  <c r="E82" i="9"/>
  <c r="D82" i="9"/>
  <c r="A82" i="9"/>
  <c r="J26" i="11"/>
  <c r="O81" i="9"/>
  <c r="N81" i="9"/>
  <c r="M81" i="9"/>
  <c r="L81" i="9"/>
  <c r="K81" i="9"/>
  <c r="J81" i="9"/>
  <c r="I81" i="9"/>
  <c r="H81" i="9"/>
  <c r="G81" i="9"/>
  <c r="E81" i="9"/>
  <c r="D81" i="9"/>
  <c r="A81" i="9"/>
  <c r="J25" i="11"/>
  <c r="O80" i="9"/>
  <c r="N80" i="9"/>
  <c r="M80" i="9"/>
  <c r="L80" i="9"/>
  <c r="K80" i="9"/>
  <c r="J80" i="9"/>
  <c r="I80" i="9"/>
  <c r="H80" i="9"/>
  <c r="G80" i="9"/>
  <c r="E80" i="9"/>
  <c r="D80" i="9"/>
  <c r="A80" i="9"/>
  <c r="J24" i="11"/>
  <c r="O79" i="9"/>
  <c r="N79" i="9"/>
  <c r="M79" i="9"/>
  <c r="L79" i="9"/>
  <c r="K79" i="9"/>
  <c r="J79" i="9"/>
  <c r="I79" i="9"/>
  <c r="H79" i="9"/>
  <c r="G79" i="9"/>
  <c r="E79" i="9"/>
  <c r="D79" i="9"/>
  <c r="A79" i="9"/>
  <c r="J23" i="11"/>
  <c r="O78" i="9"/>
  <c r="N78" i="9"/>
  <c r="M78" i="9"/>
  <c r="L78" i="9"/>
  <c r="K78" i="9"/>
  <c r="J78" i="9"/>
  <c r="I78" i="9"/>
  <c r="H78" i="9"/>
  <c r="G78" i="9"/>
  <c r="E78" i="9"/>
  <c r="D78" i="9"/>
  <c r="A78" i="9"/>
  <c r="J22" i="11"/>
  <c r="O77" i="9"/>
  <c r="N77" i="9"/>
  <c r="M77" i="9"/>
  <c r="L77" i="9"/>
  <c r="K77" i="9"/>
  <c r="J77" i="9"/>
  <c r="I77" i="9"/>
  <c r="H77" i="9"/>
  <c r="G77" i="9"/>
  <c r="E77" i="9"/>
  <c r="D77" i="9"/>
  <c r="A77" i="9"/>
  <c r="J50" i="11"/>
  <c r="O76" i="9"/>
  <c r="N76" i="9"/>
  <c r="M76" i="9"/>
  <c r="L76" i="9"/>
  <c r="K76" i="9"/>
  <c r="J76" i="9"/>
  <c r="I76" i="9"/>
  <c r="H76" i="9"/>
  <c r="G76" i="9"/>
  <c r="E76" i="9"/>
  <c r="D76" i="9"/>
  <c r="A76" i="9"/>
  <c r="J21" i="11"/>
  <c r="O75" i="9"/>
  <c r="N75" i="9"/>
  <c r="M75" i="9"/>
  <c r="L75" i="9"/>
  <c r="K75" i="9"/>
  <c r="J75" i="9"/>
  <c r="I75" i="9"/>
  <c r="H75" i="9"/>
  <c r="G75" i="9"/>
  <c r="E75" i="9"/>
  <c r="D75" i="9"/>
  <c r="A75" i="9"/>
  <c r="J20" i="11"/>
  <c r="O74" i="9"/>
  <c r="N74" i="9"/>
  <c r="M74" i="9"/>
  <c r="L74" i="9"/>
  <c r="K74" i="9"/>
  <c r="J74" i="9"/>
  <c r="I74" i="9"/>
  <c r="H74" i="9"/>
  <c r="G74" i="9"/>
  <c r="E74" i="9"/>
  <c r="D74" i="9"/>
  <c r="A74" i="9"/>
  <c r="J19" i="11"/>
  <c r="O73" i="9"/>
  <c r="N73" i="9"/>
  <c r="M73" i="9"/>
  <c r="L73" i="9"/>
  <c r="K73" i="9"/>
  <c r="J73" i="9"/>
  <c r="I73" i="9"/>
  <c r="H73" i="9"/>
  <c r="G73" i="9"/>
  <c r="E73" i="9"/>
  <c r="D73" i="9"/>
  <c r="A73" i="9"/>
  <c r="J18" i="11"/>
  <c r="O72" i="9"/>
  <c r="N72" i="9"/>
  <c r="M72" i="9"/>
  <c r="L72" i="9"/>
  <c r="K72" i="9"/>
  <c r="J72" i="9"/>
  <c r="I72" i="9"/>
  <c r="H72" i="9"/>
  <c r="G72" i="9"/>
  <c r="E72" i="9"/>
  <c r="D72" i="9"/>
  <c r="A72" i="9"/>
  <c r="J17" i="11"/>
  <c r="O71" i="9"/>
  <c r="N71" i="9"/>
  <c r="M71" i="9"/>
  <c r="L71" i="9"/>
  <c r="K71" i="9"/>
  <c r="J71" i="9"/>
  <c r="I71" i="9"/>
  <c r="H71" i="9"/>
  <c r="G71" i="9"/>
  <c r="E71" i="9"/>
  <c r="D71" i="9"/>
  <c r="A71" i="9"/>
  <c r="J16" i="11"/>
  <c r="O70" i="9"/>
  <c r="N70" i="9"/>
  <c r="M70" i="9"/>
  <c r="L70" i="9"/>
  <c r="K70" i="9"/>
  <c r="J70" i="9"/>
  <c r="I70" i="9"/>
  <c r="H70" i="9"/>
  <c r="G70" i="9"/>
  <c r="E70" i="9"/>
  <c r="D70" i="9"/>
  <c r="A70" i="9"/>
  <c r="J15" i="11"/>
  <c r="O69" i="9"/>
  <c r="N69" i="9"/>
  <c r="M69" i="9"/>
  <c r="L69" i="9"/>
  <c r="K69" i="9"/>
  <c r="J69" i="9"/>
  <c r="I69" i="9"/>
  <c r="H69" i="9"/>
  <c r="G69" i="9"/>
  <c r="E69" i="9"/>
  <c r="D69" i="9"/>
  <c r="A69" i="9"/>
  <c r="J52" i="11"/>
  <c r="O68" i="9"/>
  <c r="N68" i="9"/>
  <c r="M68" i="9"/>
  <c r="L68" i="9"/>
  <c r="K68" i="9"/>
  <c r="J68" i="9"/>
  <c r="I68" i="9"/>
  <c r="H68" i="9"/>
  <c r="G68" i="9"/>
  <c r="E68" i="9"/>
  <c r="D68" i="9"/>
  <c r="A68" i="9"/>
  <c r="J49" i="11"/>
  <c r="O67" i="9"/>
  <c r="N67" i="9"/>
  <c r="M67" i="9"/>
  <c r="L67" i="9"/>
  <c r="K67" i="9"/>
  <c r="J67" i="9"/>
  <c r="I67" i="9"/>
  <c r="H67" i="9"/>
  <c r="G67" i="9"/>
  <c r="E67" i="9"/>
  <c r="D67" i="9"/>
  <c r="A67" i="9"/>
  <c r="J14" i="11"/>
  <c r="O66" i="9"/>
  <c r="N66" i="9"/>
  <c r="M66" i="9"/>
  <c r="L66" i="9"/>
  <c r="K66" i="9"/>
  <c r="J66" i="9"/>
  <c r="I66" i="9"/>
  <c r="H66" i="9"/>
  <c r="G66" i="9"/>
  <c r="E66" i="9"/>
  <c r="D66" i="9"/>
  <c r="A66" i="9"/>
  <c r="J13" i="11"/>
  <c r="O65" i="9"/>
  <c r="N65" i="9"/>
  <c r="M65" i="9"/>
  <c r="L65" i="9"/>
  <c r="K65" i="9"/>
  <c r="J65" i="9"/>
  <c r="I65" i="9"/>
  <c r="H65" i="9"/>
  <c r="G65" i="9"/>
  <c r="E65" i="9"/>
  <c r="D65" i="9"/>
  <c r="A65" i="9"/>
  <c r="J12" i="11"/>
  <c r="O64" i="9"/>
  <c r="N64" i="9"/>
  <c r="M64" i="9"/>
  <c r="L64" i="9"/>
  <c r="K64" i="9"/>
  <c r="J64" i="9"/>
  <c r="I64" i="9"/>
  <c r="H64" i="9"/>
  <c r="G64" i="9"/>
  <c r="E64" i="9"/>
  <c r="D64" i="9"/>
  <c r="A64" i="9"/>
  <c r="J11" i="11"/>
  <c r="O63" i="9"/>
  <c r="N63" i="9"/>
  <c r="M63" i="9"/>
  <c r="L63" i="9"/>
  <c r="K63" i="9"/>
  <c r="J63" i="9"/>
  <c r="I63" i="9"/>
  <c r="H63" i="9"/>
  <c r="G63" i="9"/>
  <c r="E63" i="9"/>
  <c r="D63" i="9"/>
  <c r="A63" i="9"/>
  <c r="J10" i="11"/>
  <c r="O62" i="9"/>
  <c r="N62" i="9"/>
  <c r="M62" i="9"/>
  <c r="L62" i="9"/>
  <c r="K62" i="9"/>
  <c r="J62" i="9"/>
  <c r="I62" i="9"/>
  <c r="H62" i="9"/>
  <c r="G62" i="9"/>
  <c r="E62" i="9"/>
  <c r="D62" i="9"/>
  <c r="A62" i="9"/>
  <c r="J9" i="11"/>
  <c r="O61" i="9"/>
  <c r="N61" i="9"/>
  <c r="M61" i="9"/>
  <c r="L61" i="9"/>
  <c r="K61" i="9"/>
  <c r="J61" i="9"/>
  <c r="I61" i="9"/>
  <c r="H61" i="9"/>
  <c r="G61" i="9"/>
  <c r="E61" i="9"/>
  <c r="D61" i="9"/>
  <c r="A61" i="9"/>
  <c r="J8" i="11"/>
  <c r="O60" i="9"/>
  <c r="N60" i="9"/>
  <c r="M60" i="9"/>
  <c r="L60" i="9"/>
  <c r="K60" i="9"/>
  <c r="J60" i="9"/>
  <c r="I60" i="9"/>
  <c r="H60" i="9"/>
  <c r="G60" i="9"/>
  <c r="E60" i="9"/>
  <c r="D60" i="9"/>
  <c r="A60" i="9"/>
  <c r="J51" i="11"/>
  <c r="O59" i="9"/>
  <c r="N59" i="9"/>
  <c r="M59" i="9"/>
  <c r="L59" i="9"/>
  <c r="K59" i="9"/>
  <c r="J59" i="9"/>
  <c r="I59" i="9"/>
  <c r="H59" i="9"/>
  <c r="G59" i="9"/>
  <c r="E59" i="9"/>
  <c r="D59" i="9"/>
  <c r="A59" i="9"/>
  <c r="J7" i="11"/>
  <c r="O58" i="9"/>
  <c r="N58" i="9"/>
  <c r="M58" i="9"/>
  <c r="L58" i="9"/>
  <c r="K58" i="9"/>
  <c r="J58" i="9"/>
  <c r="I58" i="9"/>
  <c r="H58" i="9"/>
  <c r="G58" i="9"/>
  <c r="E58" i="9"/>
  <c r="D58" i="9"/>
  <c r="A58" i="9"/>
  <c r="J6" i="11"/>
  <c r="O57" i="9"/>
  <c r="N57" i="9"/>
  <c r="M57" i="9"/>
  <c r="L57" i="9"/>
  <c r="K57" i="9"/>
  <c r="J57" i="9"/>
  <c r="I57" i="9"/>
  <c r="H57" i="9"/>
  <c r="G57" i="9"/>
  <c r="E57" i="9"/>
  <c r="D57" i="9"/>
  <c r="A57" i="9"/>
  <c r="J5" i="11"/>
  <c r="O56" i="9"/>
  <c r="N56" i="9"/>
  <c r="M56" i="9"/>
  <c r="L56" i="9"/>
  <c r="K56" i="9"/>
  <c r="J56" i="9"/>
  <c r="I56" i="9"/>
  <c r="H56" i="9"/>
  <c r="G56" i="9"/>
  <c r="E56" i="9"/>
  <c r="D56" i="9"/>
  <c r="A56" i="9"/>
  <c r="J4" i="11"/>
  <c r="O55" i="9"/>
  <c r="N55" i="9"/>
  <c r="M55" i="9"/>
  <c r="L55" i="9"/>
  <c r="K55" i="9"/>
  <c r="J55" i="9"/>
  <c r="I55" i="9"/>
  <c r="H55" i="9"/>
  <c r="G55" i="9"/>
  <c r="E55" i="9"/>
  <c r="D55" i="9"/>
  <c r="A55" i="9"/>
  <c r="J3" i="11"/>
  <c r="O54" i="9"/>
  <c r="N54" i="9"/>
  <c r="M54" i="9"/>
  <c r="L54" i="9"/>
  <c r="K54" i="9"/>
  <c r="J54" i="9"/>
  <c r="I54" i="9"/>
  <c r="H54" i="9"/>
  <c r="G54" i="9"/>
  <c r="E54" i="9"/>
  <c r="D54" i="9"/>
  <c r="A54" i="9"/>
  <c r="J2" i="11"/>
  <c r="O53" i="9"/>
  <c r="N53" i="9"/>
  <c r="M53" i="9"/>
  <c r="L53" i="9"/>
  <c r="K53" i="9"/>
  <c r="J53" i="9"/>
  <c r="I53" i="9"/>
  <c r="H53" i="9"/>
  <c r="G53" i="9"/>
  <c r="E53" i="9"/>
  <c r="D53" i="9"/>
  <c r="A53" i="9"/>
  <c r="E40" i="9"/>
  <c r="Y5" i="7"/>
  <c r="E35" i="9"/>
  <c r="Y4" i="7"/>
  <c r="Y3" i="7"/>
  <c r="Y2" i="7"/>
  <c r="E26" i="9"/>
  <c r="X11" i="1"/>
  <c r="E17" i="9"/>
  <c r="X10" i="1"/>
  <c r="E8" i="9"/>
  <c r="X9" i="1"/>
  <c r="E5" i="9"/>
  <c r="X8" i="1"/>
  <c r="E2" i="9"/>
  <c r="X7" i="1"/>
  <c r="X6" i="1"/>
  <c r="X5" i="1"/>
  <c r="X4" i="1"/>
  <c r="X3" i="1"/>
  <c r="X2" i="1"/>
  <c r="O17" i="9"/>
  <c r="N17" i="9"/>
  <c r="M17" i="9"/>
  <c r="L17" i="9"/>
  <c r="K17" i="9"/>
  <c r="J17" i="9"/>
  <c r="I17" i="9"/>
  <c r="H17" i="9"/>
  <c r="G17" i="9"/>
  <c r="D17" i="9"/>
  <c r="A17" i="9"/>
  <c r="O8" i="9"/>
  <c r="N8" i="9"/>
  <c r="M8" i="9"/>
  <c r="L8" i="9"/>
  <c r="K8" i="9"/>
  <c r="J8" i="9"/>
  <c r="I8" i="9"/>
  <c r="H8" i="9"/>
  <c r="G8" i="9"/>
  <c r="D8" i="9"/>
  <c r="A8" i="9"/>
  <c r="A16" i="9"/>
  <c r="D16" i="9"/>
  <c r="E16" i="9"/>
  <c r="G16" i="9"/>
  <c r="H16" i="9"/>
  <c r="I16" i="9"/>
  <c r="J16" i="9"/>
  <c r="K16" i="9"/>
  <c r="L16" i="9"/>
  <c r="M16" i="9"/>
  <c r="N16" i="9"/>
  <c r="O16" i="9"/>
  <c r="A25" i="9"/>
  <c r="D25" i="9"/>
  <c r="E25" i="9"/>
  <c r="G25" i="9"/>
  <c r="H25" i="9"/>
  <c r="I25" i="9"/>
  <c r="J25" i="9"/>
  <c r="K25" i="9"/>
  <c r="L25" i="9"/>
  <c r="M25" i="9"/>
  <c r="N25" i="9"/>
  <c r="O25" i="9"/>
  <c r="A51" i="9"/>
  <c r="D51" i="9"/>
  <c r="E51" i="9"/>
  <c r="G51" i="9"/>
  <c r="H51" i="9"/>
  <c r="I51" i="9"/>
  <c r="J51" i="9"/>
  <c r="K51" i="9"/>
  <c r="L51" i="9"/>
  <c r="M51" i="9"/>
  <c r="N51" i="9"/>
  <c r="O51" i="9"/>
  <c r="A49" i="9"/>
  <c r="D49" i="9"/>
  <c r="E49" i="9"/>
  <c r="G49" i="9"/>
  <c r="H49" i="9"/>
  <c r="I49" i="9"/>
  <c r="J49" i="9"/>
  <c r="K49" i="9"/>
  <c r="L49" i="9"/>
  <c r="M49" i="9"/>
  <c r="N49" i="9"/>
  <c r="O49" i="9"/>
  <c r="A29" i="9"/>
  <c r="D29" i="9"/>
  <c r="E29" i="9"/>
  <c r="G29" i="9"/>
  <c r="H29" i="9"/>
  <c r="I29" i="9"/>
  <c r="J29" i="9"/>
  <c r="K29" i="9"/>
  <c r="L29" i="9"/>
  <c r="M29" i="9"/>
  <c r="N29" i="9"/>
  <c r="O29" i="9"/>
  <c r="A27" i="9"/>
  <c r="D27" i="9"/>
  <c r="E27" i="9"/>
  <c r="G27" i="9"/>
  <c r="H27" i="9"/>
  <c r="I27" i="9"/>
  <c r="J27" i="9"/>
  <c r="K27" i="9"/>
  <c r="L27" i="9"/>
  <c r="M27" i="9"/>
  <c r="N27" i="9"/>
  <c r="O27" i="9"/>
  <c r="A7" i="9"/>
  <c r="D7" i="9"/>
  <c r="E7" i="9"/>
  <c r="G7" i="9"/>
  <c r="H7" i="9"/>
  <c r="I7" i="9"/>
  <c r="J7" i="9"/>
  <c r="K7" i="9"/>
  <c r="L7" i="9"/>
  <c r="M7" i="9"/>
  <c r="N7" i="9"/>
  <c r="O7" i="9"/>
  <c r="A4" i="9"/>
  <c r="D4" i="9"/>
  <c r="E4" i="9"/>
  <c r="G4" i="9"/>
  <c r="H4" i="9"/>
  <c r="I4" i="9"/>
  <c r="J4" i="9"/>
  <c r="K4" i="9"/>
  <c r="L4" i="9"/>
  <c r="M4" i="9"/>
  <c r="N4" i="9"/>
  <c r="O4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6" i="9"/>
  <c r="D26" i="9"/>
  <c r="G26" i="9"/>
  <c r="H26" i="9"/>
  <c r="I26" i="9"/>
  <c r="J26" i="9"/>
  <c r="K26" i="9"/>
  <c r="L26" i="9"/>
  <c r="M26" i="9"/>
  <c r="N26" i="9"/>
  <c r="O26" i="9"/>
  <c r="A28" i="9"/>
  <c r="D28" i="9"/>
  <c r="E28" i="9"/>
  <c r="G28" i="9"/>
  <c r="H28" i="9"/>
  <c r="I28" i="9"/>
  <c r="J28" i="9"/>
  <c r="K28" i="9"/>
  <c r="L28" i="9"/>
  <c r="M28" i="9"/>
  <c r="N28" i="9"/>
  <c r="O28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50" i="9"/>
  <c r="D50" i="9"/>
  <c r="E50" i="9"/>
  <c r="G50" i="9"/>
  <c r="H50" i="9"/>
  <c r="I50" i="9"/>
  <c r="J50" i="9"/>
  <c r="K50" i="9"/>
  <c r="L50" i="9"/>
  <c r="M50" i="9"/>
  <c r="N50" i="9"/>
  <c r="O50" i="9"/>
  <c r="A52" i="9"/>
  <c r="D52" i="9"/>
  <c r="E52" i="9"/>
  <c r="G52" i="9"/>
  <c r="H52" i="9"/>
  <c r="I52" i="9"/>
  <c r="J52" i="9"/>
  <c r="K52" i="9"/>
  <c r="L52" i="9"/>
  <c r="M52" i="9"/>
  <c r="N52" i="9"/>
  <c r="O52" i="9"/>
  <c r="AI2" i="1"/>
  <c r="AI3" i="1"/>
  <c r="C3" i="16"/>
  <c r="E3" i="16"/>
  <c r="A12" i="9"/>
  <c r="D12" i="9"/>
  <c r="E12" i="9"/>
  <c r="G12" i="9"/>
  <c r="H12" i="9"/>
  <c r="I12" i="9"/>
  <c r="J12" i="9"/>
  <c r="K12" i="9"/>
  <c r="L12" i="9"/>
  <c r="M12" i="9"/>
  <c r="N12" i="9"/>
  <c r="O12" i="9"/>
  <c r="A3" i="9"/>
  <c r="D3" i="9"/>
  <c r="E3" i="9"/>
  <c r="G3" i="9"/>
  <c r="H3" i="9"/>
  <c r="I3" i="9"/>
  <c r="J3" i="9"/>
  <c r="K3" i="9"/>
  <c r="L3" i="9"/>
  <c r="M3" i="9"/>
  <c r="N3" i="9"/>
  <c r="O3" i="9"/>
  <c r="A5" i="9"/>
  <c r="D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2" i="22"/>
  <c r="A3" i="22"/>
  <c r="I13" i="21"/>
  <c r="J13" i="21"/>
  <c r="I3" i="21"/>
  <c r="J3" i="21"/>
  <c r="I4" i="21"/>
  <c r="J4" i="21"/>
  <c r="I5" i="21"/>
  <c r="J5" i="21"/>
  <c r="I6" i="21"/>
  <c r="J6" i="21"/>
  <c r="I7" i="21"/>
  <c r="J7" i="21"/>
  <c r="I8" i="21"/>
  <c r="J8" i="21"/>
  <c r="I9" i="21"/>
  <c r="J9" i="21"/>
  <c r="I10" i="21"/>
  <c r="J10" i="21"/>
  <c r="I11" i="21"/>
  <c r="J11" i="21"/>
  <c r="I12" i="21"/>
  <c r="J12" i="21"/>
  <c r="A3" i="7"/>
  <c r="H3" i="7"/>
  <c r="A2" i="2"/>
  <c r="A3" i="2"/>
  <c r="A4" i="2"/>
  <c r="A5" i="2"/>
  <c r="A6" i="2"/>
  <c r="A7" i="2"/>
  <c r="I3" i="7"/>
  <c r="J3" i="7"/>
  <c r="A4" i="7"/>
  <c r="H4" i="7"/>
  <c r="I4" i="7"/>
  <c r="J4" i="7"/>
  <c r="A5" i="7"/>
  <c r="H5" i="7"/>
  <c r="I5" i="7"/>
  <c r="J5" i="7"/>
  <c r="A3" i="1"/>
  <c r="H3" i="1"/>
  <c r="I3" i="1"/>
  <c r="J3" i="1"/>
  <c r="A4" i="1"/>
  <c r="H4" i="1"/>
  <c r="I4" i="1"/>
  <c r="J4" i="1"/>
  <c r="AI4" i="1"/>
  <c r="A5" i="1"/>
  <c r="H5" i="1"/>
  <c r="I5" i="1"/>
  <c r="J5" i="1"/>
  <c r="AI5" i="1"/>
  <c r="A6" i="1"/>
  <c r="H6" i="1"/>
  <c r="I6" i="1"/>
  <c r="J6" i="1"/>
  <c r="AI6" i="1"/>
  <c r="A7" i="1"/>
  <c r="H7" i="1"/>
  <c r="I7" i="1"/>
  <c r="J7" i="1"/>
  <c r="AI7" i="1"/>
  <c r="A8" i="1"/>
  <c r="H8" i="1"/>
  <c r="I8" i="1"/>
  <c r="J8" i="1"/>
  <c r="AI8" i="1"/>
  <c r="A9" i="1"/>
  <c r="H9" i="1"/>
  <c r="I9" i="1"/>
  <c r="J9" i="1"/>
  <c r="AI9" i="1"/>
  <c r="A10" i="1"/>
  <c r="H10" i="1"/>
  <c r="I10" i="1"/>
  <c r="J10" i="1"/>
  <c r="AI10" i="1"/>
  <c r="A11" i="1"/>
  <c r="H11" i="1"/>
  <c r="I11" i="1"/>
  <c r="J11" i="1"/>
  <c r="AI11" i="1"/>
  <c r="H2" i="1"/>
  <c r="B3" i="2"/>
  <c r="B4" i="2"/>
  <c r="B5" i="2"/>
  <c r="B6" i="2"/>
  <c r="B7" i="2"/>
  <c r="C13" i="16"/>
  <c r="E13" i="16"/>
  <c r="C12" i="16"/>
  <c r="I2" i="21"/>
  <c r="J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E9" i="16"/>
  <c r="H2" i="7"/>
  <c r="J2" i="7"/>
  <c r="E8" i="16"/>
  <c r="E7" i="16"/>
  <c r="E6" i="16"/>
  <c r="E5" i="16"/>
  <c r="E4" i="16"/>
  <c r="E2" i="16"/>
  <c r="A2" i="1"/>
  <c r="A2" i="9"/>
  <c r="A2" i="7"/>
  <c r="I2" i="7"/>
  <c r="J2" i="1"/>
  <c r="I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<sst xmlns="http://schemas.openxmlformats.org/spreadsheetml/2006/main" count="1022" uniqueCount="434">
  <si>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</si>
  <si>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</si>
  <si>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</si>
  <si>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</si>
  <si>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</si>
  <si>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</si>
  <si>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</si>
  <si>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</si>
  <si>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</si>
  <si>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</si>
  <si>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</si>
  <si>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</si>
  <si>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</si>
  <si>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</si>
  <si>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</si>
  <si>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</si>
  <si>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</si>
  <si>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</si>
  <si>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</si>
  <si>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</si>
  <si>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</si>
  <si>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</si>
  <si>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</si>
  <si>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</si>
  <si>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</si>
  <si>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</si>
  <si>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</si>
  <si>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</si>
  <si>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</si>
  <si>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</si>
  <si>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</si>
  <si>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</si>
  <si>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</si>
  <si>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</si>
  <si>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</si>
  <si>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</si>
  <si>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</si>
  <si>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</si>
  <si>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</si>
  <si>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</si>
  <si>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</si>
  <si>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</si>
  <si>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</si>
  <si>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</si>
  <si>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</si>
  <si>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</si>
  <si>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</si>
  <si>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</si>
  <si>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</si>
  <si>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</si>
  <si>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</si>
  <si>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</si>
  <si>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</si>
  <si>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</si>
  <si>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</si>
  <si>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</si>
  <si>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</si>
  <si>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</si>
  <si>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</si>
  <si>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</si>
  <si>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</si>
  <si>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</si>
  <si>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</si>
  <si>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</si>
  <si>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</si>
  <si>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</si>
  <si>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</si>
  <si>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</si>
  <si>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</si>
  <si>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</si>
  <si>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</si>
  <si>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</si>
  <si>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</si>
  <si>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</si>
  <si>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</si>
  <si>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</si>
  <si>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</si>
  <si>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</si>
  <si>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</si>
  <si>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</si>
  <si>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</si>
  <si>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</si>
  <si>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</si>
  <si>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</si>
  <si>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</si>
  <si>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</si>
  <si>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</si>
  <si>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</si>
  <si>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</si>
  <si>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</si>
  <si>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</si>
  <si>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</si>
  <si>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</si>
  <si>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</si>
  <si>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</si>
  <si>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</si>
  <si>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</si>
  <si>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</si>
  <si>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</si>
  <si>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</si>
  <si>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</si>
  <si>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</si>
  <si>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</si>
  <si>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</si>
  <si>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</si>
  <si>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</si>
  <si>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</si>
  <si>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</si>
  <si>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</si>
  <si>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</si>
  <si>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</si>
  <si>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</si>
  <si>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</si>
  <si>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</si>
  <si>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</si>
  <si>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</si>
  <si>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</si>
  <si>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</si>
  <si>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</si>
  <si>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</si>
  <si>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</si>
  <si>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</si>
  <si>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</si>
  <si>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</si>
  <si>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</si>
  <si>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</si>
  <si>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</si>
  <si>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</si>
  <si>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</si>
  <si>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</si>
  <si>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</si>
  <si>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</si>
  <si>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</si>
  <si>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</si>
  <si>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</si>
  <si>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</si>
  <si>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</si>
  <si>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</si>
  <si>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</si>
  <si>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</si>
  <si>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</si>
  <si>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</si>
  <si>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</si>
  <si>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</si>
  <si>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</si>
  <si>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</si>
  <si>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</si>
  <si>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</si>
  <si>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</si>
  <si>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</si>
  <si>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</si>
  <si>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</si>
  <si>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</si>
  <si>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</si>
  <si>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</si>
  <si>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</si>
  <si>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</si>
  <si>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</si>
  <si>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</si>
  <si>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</si>
  <si>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</si>
  <si>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</si>
  <si>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</si>
  <si>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</si>
  <si>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</si>
  <si>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</si>
  <si>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</si>
  <si>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</si>
  <si>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</si>
  <si>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</si>
  <si>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</si>
  <si>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</si>
  <si>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</si>
  <si>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</si>
  <si>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</si>
  <si>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</si>
  <si>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</si>
  <si>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</si>
  <si>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</si>
  <si>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</si>
  <si>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</si>
  <si>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</si>
  <si>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</si>
  <si>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</si>
  <si>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</si>
  <si>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</si>
  <si>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</si>
  <si>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</si>
  <si>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</si>
  <si>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</si>
  <si>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</si>
  <si>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</si>
  <si>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</si>
  <si>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</si>
  <si>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</si>
  <si>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</si>
  <si>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</si>
  <si>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</si>
  <si>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</si>
  <si>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</si>
  <si>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</si>
  <si>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</si>
  <si>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</si>
  <si>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</si>
  <si>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</si>
  <si>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</si>
  <si>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</si>
  <si>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</si>
  <si>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</si>
  <si>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</si>
  <si>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</si>
  <si>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</si>
  <si>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</si>
  <si>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</si>
  <si>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</si>
  <si>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</si>
  <si>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</si>
  <si>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</si>
  <si>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</si>
  <si>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</si>
  <si>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</si>
  <si>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</si>
  <si>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</si>
  <si>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</si>
  <si>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</si>
  <si>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</si>
  <si>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</si>
  <si>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</si>
  <si>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</si>
  <si>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</si>
  <si>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</si>
  <si>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</si>
  <si>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</si>
  <si>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</si>
  <si>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</si>
  <si>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</si>
  <si>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</si>
  <si>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</si>
  <si>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</si>
  <si>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</si>
  <si>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</si>
  <si>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</si>
  <si>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</si>
  <si>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</si>
  <si>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</si>
  <si>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</si>
  <si>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</si>
  <si>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</si>
  <si>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</si>
  <si>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</si>
  <si>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</si>
  <si>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</si>
  <si>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</si>
  <si>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</si>
  <si>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</si>
  <si>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</si>
  <si>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full_member</t>
    <phoneticPr fontId="5"/>
  </si>
  <si>
    <t>old</t>
  </si>
  <si>
    <t>次はないぜ？</t>
    <rPh sb="0" eb="1">
      <t>ツギハナイゼ</t>
    </rPh>
    <phoneticPr fontId="5"/>
  </si>
  <si>
    <t>この程度では半兵衛きゅんに
面会する資格はないな</t>
    <rPh sb="2" eb="4">
      <t>テイド</t>
    </rPh>
    <phoneticPr fontId="5"/>
  </si>
  <si>
    <t>殿？作戦中止？今から！？
もう間に合いませんよ！</t>
    <rPh sb="2" eb="4">
      <t>サクセンヘンコウ</t>
    </rPh>
    <rPh sb="4" eb="6">
      <t>チュウシ</t>
    </rPh>
    <rPh sb="7" eb="8">
      <t>イマカラ</t>
    </rPh>
    <rPh sb="15" eb="16">
      <t>マニアイ</t>
    </rPh>
    <phoneticPr fontId="5"/>
  </si>
  <si>
    <t>まとめて★どっかーん</t>
    <phoneticPr fontId="5"/>
  </si>
  <si>
    <t>ゆきむー？作戦を中止しろ？
もう！今更止められないよ！</t>
    <rPh sb="5" eb="7">
      <t>サクセン</t>
    </rPh>
    <rPh sb="8" eb="10">
      <t>チュウシ</t>
    </rPh>
    <rPh sb="17" eb="19">
      <t>イマサラ</t>
    </rPh>
    <rPh sb="19" eb="20">
      <t>トメラレナイ</t>
    </rPh>
    <phoneticPr fontId="5"/>
  </si>
  <si>
    <t>null</t>
    <phoneticPr fontId="5"/>
  </si>
  <si>
    <t>影丸殿の分身術は
見事なものですね</t>
    <rPh sb="0" eb="2">
      <t>カゲマル</t>
    </rPh>
    <rPh sb="2" eb="3">
      <t>ドノ</t>
    </rPh>
    <rPh sb="4" eb="6">
      <t>ブンシｎ</t>
    </rPh>
    <rPh sb="6" eb="7">
      <t>ジュツ</t>
    </rPh>
    <rPh sb="9" eb="11">
      <t>ミゴト</t>
    </rPh>
    <phoneticPr fontId="5"/>
  </si>
  <si>
    <t>全体攻撃+1ターン暗闇</t>
    <rPh sb="0" eb="4">
      <t>ゼンタイコウゲキ</t>
    </rPh>
    <rPh sb="9" eb="11">
      <t>クラヤミ</t>
    </rPh>
    <phoneticPr fontId="5"/>
  </si>
  <si>
    <t>ダメージパネルを吸収して全体攻撃</t>
    <rPh sb="12" eb="14">
      <t>ゼンタイ</t>
    </rPh>
    <phoneticPr fontId="5"/>
  </si>
  <si>
    <t>次はないぞ？</t>
    <rPh sb="0" eb="1">
      <t>ツギハナイゼ</t>
    </rPh>
    <phoneticPr fontId="5"/>
  </si>
  <si>
    <t>link</t>
  </si>
  <si>
    <t>unit</t>
  </si>
  <si>
    <t>強力なAIを手にいれるんだ</t>
    <rPh sb="0" eb="2">
      <t>キョウリョク</t>
    </rPh>
    <rPh sb="6" eb="7">
      <t>テニイレル</t>
    </rPh>
    <phoneticPr fontId="5"/>
  </si>
  <si>
    <t>強力なAIたちを迎え入れるんだ</t>
    <rPh sb="0" eb="2">
      <t>キョウリョクナ</t>
    </rPh>
    <rPh sb="8" eb="9">
      <t>ムカエイレルンダ</t>
    </rPh>
    <phoneticPr fontId="5"/>
  </si>
  <si>
    <t>これも陣営のためだからね</t>
    <rPh sb="3" eb="5">
      <t>ジンエイ</t>
    </rPh>
    <phoneticPr fontId="5"/>
  </si>
  <si>
    <t>さぁさぁ盛大にどうぞ！</t>
    <rPh sb="4" eb="6">
      <t>セイダイニ</t>
    </rPh>
    <phoneticPr fontId="5"/>
  </si>
  <si>
    <t>管理AIクラス…
支配下に組み入れたいなぁ</t>
    <rPh sb="0" eb="2">
      <t>カンリ</t>
    </rPh>
    <rPh sb="9" eb="11">
      <t>シハイカイ</t>
    </rPh>
    <rPh sb="11" eb="12">
      <t>カ</t>
    </rPh>
    <rPh sb="13" eb="14">
      <t>クミイレタイ</t>
    </rPh>
    <phoneticPr fontId="5"/>
  </si>
  <si>
    <t>もっとまとめて★どっかーん</t>
    <phoneticPr fontId="5"/>
  </si>
  <si>
    <t>忍法：雲隠れ</t>
    <rPh sb="0" eb="2">
      <t>ニンポウ</t>
    </rPh>
    <rPh sb="3" eb="5">
      <t>クモガクレ</t>
    </rPh>
    <phoneticPr fontId="5"/>
  </si>
  <si>
    <t>忍法：黄泉返し！</t>
    <rPh sb="0" eb="2">
      <t>ニンポウ</t>
    </rPh>
    <rPh sb="3" eb="5">
      <t>ヨミガエリ</t>
    </rPh>
    <rPh sb="5" eb="6">
      <t>ガエシ</t>
    </rPh>
    <phoneticPr fontId="5"/>
  </si>
  <si>
    <t>これ以上の情報は得られなさそうだ</t>
    <rPh sb="5" eb="7">
      <t>ジョウホウ</t>
    </rPh>
    <rPh sb="8" eb="9">
      <t>エラレナサソウダ</t>
    </rPh>
    <phoneticPr fontId="5"/>
  </si>
  <si>
    <t>バビロニア・タワーは
ボクたち豊臣勢が調査中だよ★</t>
    <rPh sb="15" eb="17">
      <t>トヨトミグｎ</t>
    </rPh>
    <rPh sb="17" eb="18">
      <t>ゼイ</t>
    </rPh>
    <rPh sb="19" eb="22">
      <t>チョウサチュウ</t>
    </rPh>
    <phoneticPr fontId="5"/>
  </si>
  <si>
    <t>null</t>
    <phoneticPr fontId="5"/>
  </si>
  <si>
    <t>忍法：鼓舞羅</t>
    <rPh sb="0" eb="2">
      <t>ニンポウ</t>
    </rPh>
    <rPh sb="3" eb="5">
      <t>コブ</t>
    </rPh>
    <rPh sb="5" eb="6">
      <t>ラ</t>
    </rPh>
    <phoneticPr fontId="5"/>
  </si>
  <si>
    <t>ボクが立てた作戦だからね
投げ出したりしないよ！</t>
    <rPh sb="3" eb="4">
      <t>タテタ</t>
    </rPh>
    <rPh sb="6" eb="8">
      <t>サクセｎ</t>
    </rPh>
    <rPh sb="13" eb="14">
      <t>ナゲダシタリ</t>
    </rPh>
    <phoneticPr fontId="5"/>
  </si>
  <si>
    <t>信長サンも認めたアレでいくよ！</t>
    <rPh sb="0" eb="2">
      <t>ノブナガサン</t>
    </rPh>
    <rPh sb="5" eb="6">
      <t>ミトメタ</t>
    </rPh>
    <phoneticPr fontId="5"/>
  </si>
  <si>
    <t>邪魔しないでねっ！</t>
    <rPh sb="0" eb="2">
      <t>ジャマ</t>
    </rPh>
    <phoneticPr fontId="5"/>
  </si>
  <si>
    <t>忍法：封爆陣・凍心</t>
    <rPh sb="0" eb="2">
      <t>ニンポウ</t>
    </rPh>
    <rPh sb="3" eb="4">
      <t>フウ</t>
    </rPh>
    <rPh sb="4" eb="5">
      <t>バク</t>
    </rPh>
    <rPh sb="7" eb="8">
      <t>コオル</t>
    </rPh>
    <phoneticPr fontId="5"/>
  </si>
  <si>
    <t>忍法：封爆陣・烈波</t>
    <rPh sb="0" eb="2">
      <t>ニンポウ</t>
    </rPh>
    <rPh sb="3" eb="4">
      <t>フウ</t>
    </rPh>
    <rPh sb="4" eb="5">
      <t>バク</t>
    </rPh>
    <rPh sb="7" eb="8">
      <t>レップウ</t>
    </rPh>
    <rPh sb="8" eb="9">
      <t>ナミ</t>
    </rPh>
    <phoneticPr fontId="5"/>
  </si>
  <si>
    <t>忍法：封爆陣・烈火</t>
    <rPh sb="0" eb="2">
      <t>ニンポウ</t>
    </rPh>
    <rPh sb="3" eb="4">
      <t>フウ</t>
    </rPh>
    <rPh sb="4" eb="5">
      <t>バク</t>
    </rPh>
    <rPh sb="7" eb="9">
      <t>rekka</t>
    </rPh>
    <phoneticPr fontId="5"/>
  </si>
  <si>
    <t>忍法：封爆陣・烈風</t>
    <rPh sb="0" eb="2">
      <t>ニンポウ</t>
    </rPh>
    <rPh sb="3" eb="4">
      <t>フウ</t>
    </rPh>
    <rPh sb="4" eb="5">
      <t>バク</t>
    </rPh>
    <rPh sb="7" eb="9">
      <t>レップウ</t>
    </rPh>
    <phoneticPr fontId="5"/>
  </si>
  <si>
    <t>邪魔するなら排除するよ！</t>
    <rPh sb="0" eb="2">
      <t>ジャマスルナラ</t>
    </rPh>
    <rPh sb="6" eb="8">
      <t>ハイジョ</t>
    </rPh>
    <phoneticPr fontId="5"/>
  </si>
  <si>
    <t>防衛陣地構築！急いで！</t>
    <rPh sb="0" eb="4">
      <t>ボウエイジンチ</t>
    </rPh>
    <rPh sb="4" eb="6">
      <t>コウチク</t>
    </rPh>
    <rPh sb="7" eb="8">
      <t>イソイデ</t>
    </rPh>
    <phoneticPr fontId="5"/>
  </si>
  <si>
    <t>信長サンが取りこぼした
天下ってやつをさ</t>
    <rPh sb="0" eb="2">
      <t>ノブナガサン</t>
    </rPh>
    <rPh sb="5" eb="6">
      <t>トリキレナカッタ</t>
    </rPh>
    <rPh sb="12" eb="14">
      <t>テンカ</t>
    </rPh>
    <phoneticPr fontId="5"/>
  </si>
  <si>
    <t>殿といっしょに取りに行くんだ</t>
    <rPh sb="0" eb="1">
      <t>トノ</t>
    </rPh>
    <rPh sb="7" eb="8">
      <t>トリニイクンダ</t>
    </rPh>
    <phoneticPr fontId="5"/>
  </si>
  <si>
    <t>くらえ！十面埋伏陣っ！</t>
    <rPh sb="4" eb="9">
      <t>ジュウメンマイフクジン</t>
    </rPh>
    <phoneticPr fontId="5"/>
  </si>
  <si>
    <t>この程度も看破できぬ者には
お引き取り願おうか</t>
    <rPh sb="10" eb="11">
      <t>モノ</t>
    </rPh>
    <phoneticPr fontId="5"/>
  </si>
  <si>
    <t>分身を同時に撃破できれば
復活できないでしょうな</t>
    <rPh sb="0" eb="2">
      <t>ブンシｎ</t>
    </rPh>
    <rPh sb="3" eb="5">
      <t>ドウジ</t>
    </rPh>
    <rPh sb="6" eb="8">
      <t>ゲキハ</t>
    </rPh>
    <rPh sb="13" eb="15">
      <t>フッカツソシ</t>
    </rPh>
    <phoneticPr fontId="5"/>
  </si>
  <si>
    <t>どちらが本体なのか
まったくわかりませんな</t>
    <rPh sb="4" eb="6">
      <t>ホンタイ</t>
    </rPh>
    <phoneticPr fontId="5"/>
  </si>
  <si>
    <t>影丸殿の分身術を破る
方法が思いつきません</t>
    <rPh sb="0" eb="2">
      <t>カゲマル</t>
    </rPh>
    <rPh sb="2" eb="3">
      <t>ドノ</t>
    </rPh>
    <rPh sb="4" eb="6">
      <t>ブンシｎ</t>
    </rPh>
    <rPh sb="6" eb="7">
      <t>ジュツ</t>
    </rPh>
    <rPh sb="8" eb="9">
      <t>ヤブレル</t>
    </rPh>
    <rPh sb="11" eb="13">
      <t>ホウホウ</t>
    </rPh>
    <rPh sb="14" eb="15">
      <t>オモイツキマセン</t>
    </rPh>
    <phoneticPr fontId="5"/>
  </si>
  <si>
    <t>竹中半兵衛はダメージパネル吸収攻撃を
してきますので回復をしながら
少しずつ処理していきましょう</t>
    <rPh sb="0" eb="5">
      <t>タケナカハンベエ</t>
    </rPh>
    <rPh sb="15" eb="17">
      <t>コウゲキ</t>
    </rPh>
    <rPh sb="26" eb="28">
      <t>カイフク</t>
    </rPh>
    <rPh sb="34" eb="35">
      <t>スコシズツ</t>
    </rPh>
    <rPh sb="38" eb="40">
      <t>ショリ</t>
    </rPh>
    <phoneticPr fontId="5"/>
  </si>
  <si>
    <t>影丸の分身は互いが倒されると
各3回まで復活を使いますが
4回目は超強力な全体攻撃を放ちます
その前に同時に倒しましょう</t>
    <rPh sb="0" eb="2">
      <t>カゲマル</t>
    </rPh>
    <rPh sb="3" eb="5">
      <t>ブンシン</t>
    </rPh>
    <rPh sb="6" eb="7">
      <t>tagai</t>
    </rPh>
    <rPh sb="9" eb="10">
      <t>タオサレルト</t>
    </rPh>
    <rPh sb="17" eb="18">
      <t>カイ</t>
    </rPh>
    <rPh sb="20" eb="22">
      <t>フッカツ</t>
    </rPh>
    <rPh sb="23" eb="24">
      <t>ツカイマス</t>
    </rPh>
    <rPh sb="30" eb="32">
      <t>カイメ</t>
    </rPh>
    <rPh sb="33" eb="36">
      <t>チョウキョウリョク</t>
    </rPh>
    <rPh sb="37" eb="41">
      <t>ゼンタイコウゲキ</t>
    </rPh>
    <rPh sb="42" eb="43">
      <t>ハナチマス</t>
    </rPh>
    <rPh sb="51" eb="53">
      <t>ドウジ</t>
    </rPh>
    <rPh sb="54" eb="55">
      <t>タオシキリマショウ</t>
    </rPh>
    <phoneticPr fontId="5"/>
  </si>
  <si>
    <t>半兵衛は秀吉本人の熱心な勧誘で
チーム入りしたこともあり
「秀吉の天下取り」を最優先し
手段の是非を問わない傾向があります</t>
    <rPh sb="0" eb="3">
      <t>ハンベエトヒデヨシ</t>
    </rPh>
    <rPh sb="6" eb="8">
      <t>ホンニｎ</t>
    </rPh>
    <rPh sb="9" eb="11">
      <t>ネッシｎ</t>
    </rPh>
    <rPh sb="12" eb="14">
      <t>カンユウ</t>
    </rPh>
    <rPh sb="30" eb="32">
      <t>ヒデヨシ</t>
    </rPh>
    <rPh sb="33" eb="35">
      <t>テンカトリ</t>
    </rPh>
    <rPh sb="35" eb="36">
      <t>トリ</t>
    </rPh>
    <rPh sb="39" eb="42">
      <t>サイユウセｎ</t>
    </rPh>
    <rPh sb="44" eb="46">
      <t>シュダｎ</t>
    </rPh>
    <rPh sb="47" eb="49">
      <t>ゼヒ</t>
    </rPh>
    <rPh sb="50" eb="51">
      <t>トワナイトコロガアリマス</t>
    </rPh>
    <rPh sb="54" eb="56">
      <t>ケイコウ</t>
    </rPh>
    <phoneticPr fontId="5"/>
  </si>
  <si>
    <t>ともに豊臣秀吉のチームに属していますが
性格の違いからか作戦方針について
幸村が半兵衛に抗議するのは
日常の光景のようです</t>
    <rPh sb="3" eb="7">
      <t>トヨトミヒデヨシ</t>
    </rPh>
    <rPh sb="12" eb="13">
      <t>ゾクシテイマス</t>
    </rPh>
    <rPh sb="20" eb="22">
      <t>セイカク</t>
    </rPh>
    <rPh sb="23" eb="24">
      <t>チガイ</t>
    </rPh>
    <rPh sb="28" eb="30">
      <t>サクセｎ</t>
    </rPh>
    <rPh sb="30" eb="32">
      <t>ホウシｎ</t>
    </rPh>
    <rPh sb="37" eb="39">
      <t>ユキムラ</t>
    </rPh>
    <rPh sb="40" eb="43">
      <t>ハンベエ</t>
    </rPh>
    <rPh sb="44" eb="46">
      <t>コウギ</t>
    </rPh>
    <rPh sb="51" eb="53">
      <t>ニチジョウ</t>
    </rPh>
    <rPh sb="54" eb="56">
      <t>コウケイ</t>
    </rPh>
    <phoneticPr fontId="5"/>
  </si>
  <si>
    <t>竹中半兵衛と真田幸村</t>
    <rPh sb="0" eb="2">
      <t>タケナカ</t>
    </rPh>
    <rPh sb="2" eb="5">
      <t>ハンベエ</t>
    </rPh>
    <rPh sb="6" eb="8">
      <t>サナダ</t>
    </rPh>
    <rPh sb="8" eb="10">
      <t>ユキムラ</t>
    </rPh>
    <phoneticPr fontId="5"/>
  </si>
  <si>
    <t>殿の天下のために！</t>
    <rPh sb="0" eb="1">
      <t>トノノ</t>
    </rPh>
    <rPh sb="2" eb="4">
      <t>テンカ</t>
    </rPh>
    <phoneticPr fontId="5"/>
  </si>
  <si>
    <t>バランサーと書いて苦労人と読む</t>
    <rPh sb="9" eb="12">
      <t>クロウニｎ</t>
    </rPh>
    <phoneticPr fontId="5"/>
  </si>
  <si>
    <t>くっ……ゆきむー……</t>
    <phoneticPr fontId="5"/>
  </si>
  <si>
    <t>さすが殿……</t>
    <rPh sb="3" eb="4">
      <t>トノ</t>
    </rPh>
    <phoneticPr fontId="5"/>
  </si>
  <si>
    <t>キミ達は殿の邪魔になるッ！</t>
    <rPh sb="2" eb="3">
      <t>タチ</t>
    </rPh>
    <rPh sb="4" eb="5">
      <t>トノ</t>
    </rPh>
    <rPh sb="6" eb="8">
      <t>ジャマニ</t>
    </rPh>
    <phoneticPr fontId="5"/>
  </si>
  <si>
    <t>殿を……殿をお守りしないとっ……</t>
    <rPh sb="0" eb="1">
      <t>トノ</t>
    </rPh>
    <rPh sb="4" eb="5">
      <t>トノ</t>
    </rPh>
    <phoneticPr fontId="5"/>
  </si>
  <si>
    <t>秀吉グループの構成メンバーが
他のメンバーについて噂話をしている……</t>
    <rPh sb="0" eb="2">
      <t>ヒデヨシ</t>
    </rPh>
    <rPh sb="7" eb="9">
      <t>コウセイ</t>
    </rPh>
    <rPh sb="15" eb="16">
      <t>ホカ</t>
    </rPh>
    <rPh sb="25" eb="26">
      <t>ウワサ</t>
    </rPh>
    <rPh sb="26" eb="27">
      <t>バナシ</t>
    </rPh>
    <phoneticPr fontId="5"/>
  </si>
  <si>
    <t>見逃してくれたようだ</t>
    <rPh sb="0" eb="2">
      <t>ミノガシテクレタ</t>
    </rPh>
    <phoneticPr fontId="5"/>
  </si>
  <si>
    <t>その熱意に免じて通してやる</t>
    <rPh sb="8" eb="9">
      <t>トオシテヤロウ</t>
    </rPh>
    <phoneticPr fontId="5"/>
  </si>
  <si>
    <t>殿を……頼んだよ……</t>
    <rPh sb="0" eb="1">
      <t>トノ</t>
    </rPh>
    <rPh sb="4" eb="5">
      <t>タノンダヨ</t>
    </rPh>
    <phoneticPr fontId="5"/>
  </si>
  <si>
    <t>忍法：影分身！</t>
    <rPh sb="0" eb="2">
      <t>ニンポウ</t>
    </rPh>
    <rPh sb="3" eb="6">
      <t>カゲブンシン</t>
    </rPh>
    <phoneticPr fontId="5"/>
  </si>
  <si>
    <t>『お前に見破れるか！』</t>
    <rPh sb="4" eb="6">
      <t>ミヤブレルカ</t>
    </rPh>
    <phoneticPr fontId="5"/>
  </si>
  <si>
    <t xml:space="preserve">[effect:spread, val:0.5],[effect:dark, target:unit_all, turn:1, animation:enemy_dark]    </t>
    <phoneticPr fontId="5"/>
  </si>
  <si>
    <t xml:space="preserve">[effect:spread, val:0.5],[effect:enhance_enemy, target:enemy_all, turn:3, status:attack, val:1000, calc:add, animation:enemy_enhance_attack]    </t>
    <phoneticPr fontId="5"/>
  </si>
  <si>
    <t>ボクが！殿を！
天下人にするんだっ！</t>
    <rPh sb="4" eb="5">
      <t>トノヲ</t>
    </rPh>
    <rPh sb="8" eb="10">
      <t>tenka</t>
    </rPh>
    <rPh sb="10" eb="11">
      <t>ビト</t>
    </rPh>
    <phoneticPr fontId="5"/>
  </si>
  <si>
    <t>[effect:enemy_message, val1:1, val2:0],[effect:fix_speed, target:enemy_all, turn:1]</t>
    <phoneticPr fontId="5"/>
  </si>
  <si>
    <t xml:space="preserve">[effect:spread, val:0.25],[effect:dark, target:unit_all, turn:1, animation:enemy_dark]    </t>
    <phoneticPr fontId="5"/>
  </si>
  <si>
    <t>黄パネルプロテクト+
2ターン黄パネルはプロテクトされてドロップ</t>
    <rPh sb="15" eb="16">
      <t>キ</t>
    </rPh>
    <phoneticPr fontId="5"/>
  </si>
  <si>
    <t xml:space="preserve">[effect:spread, val:0.25],[effect:enhance_enemy, target:enemy_all, turn:1, status:attack, val:1000, calc:add, animation:enemy_enhance_attack]    </t>
    <phoneticPr fontId="5"/>
  </si>
  <si>
    <t>黄パネルプロテクト(最大4個)+
1ターン黄パネルはプロテクトされてドロップ</t>
    <rPh sb="21" eb="22">
      <t>キ</t>
    </rPh>
    <phoneticPr fontId="5"/>
  </si>
  <si>
    <t>HP30%で敵単体が復活+敵全体の攻撃力UP+
ランダムで緑のダメージパネルに1個変換</t>
    <rPh sb="6" eb="7">
      <t>teki</t>
    </rPh>
    <rPh sb="7" eb="9">
      <t>タンタイ</t>
    </rPh>
    <rPh sb="10" eb="12">
      <t>フッカツ</t>
    </rPh>
    <rPh sb="13" eb="16">
      <t>テキゼンタイ</t>
    </rPh>
    <rPh sb="29" eb="30">
      <t>ミドリ</t>
    </rPh>
    <phoneticPr fontId="5"/>
  </si>
  <si>
    <t>HP40%で敵単体が復活+敵全体の攻撃力UP+
ランダムで黄のダメージパネルに1個変換</t>
    <rPh sb="6" eb="7">
      <t>teki</t>
    </rPh>
    <rPh sb="7" eb="9">
      <t>タンタイ</t>
    </rPh>
    <rPh sb="10" eb="12">
      <t>フッカツ</t>
    </rPh>
    <rPh sb="13" eb="16">
      <t>テキゼンタイ</t>
    </rPh>
    <rPh sb="29" eb="30">
      <t>キ</t>
    </rPh>
    <phoneticPr fontId="5"/>
  </si>
  <si>
    <t>赤パネルプロテクト+
ランダムで青のダメージパネルに1個変換</t>
    <rPh sb="0" eb="1">
      <t>アカ</t>
    </rPh>
    <rPh sb="16" eb="17">
      <t>アオ</t>
    </rPh>
    <phoneticPr fontId="5"/>
  </si>
  <si>
    <t>緑パネルプロテクト+
ランダムで青のダメージパネルに1個変換</t>
    <rPh sb="0" eb="1">
      <t>ミドリ</t>
    </rPh>
    <rPh sb="16" eb="17">
      <t>アオ</t>
    </rPh>
    <phoneticPr fontId="5"/>
  </si>
  <si>
    <t>HP30%で敵単体が復活+敵全体の防御力UP+
ランダムで緑のダメージパネルに1個変換</t>
    <rPh sb="6" eb="7">
      <t>teki</t>
    </rPh>
    <rPh sb="7" eb="9">
      <t>タンタイ</t>
    </rPh>
    <rPh sb="10" eb="12">
      <t>フッカツ</t>
    </rPh>
    <rPh sb="13" eb="16">
      <t>テキゼンタイ</t>
    </rPh>
    <rPh sb="17" eb="19">
      <t>ボウギョ</t>
    </rPh>
    <rPh sb="29" eb="30">
      <t>ミドリ</t>
    </rPh>
    <phoneticPr fontId="5"/>
  </si>
  <si>
    <t>HP40%で敵単体が復活+敵全体の防御力UP+
ランダムで黄のダメージパネルに1個変換</t>
    <rPh sb="6" eb="7">
      <t>teki</t>
    </rPh>
    <rPh sb="7" eb="9">
      <t>タンタイ</t>
    </rPh>
    <rPh sb="10" eb="12">
      <t>フッカツ</t>
    </rPh>
    <rPh sb="29" eb="30">
      <t>キ</t>
    </rPh>
    <phoneticPr fontId="5"/>
  </si>
  <si>
    <t>HP50%で敵単体が復活+敵全体の防御力大UP+
ランダムで赤のダメージパネルに1個変換</t>
    <rPh sb="6" eb="7">
      <t>teki</t>
    </rPh>
    <rPh sb="7" eb="9">
      <t>タンタイ</t>
    </rPh>
    <rPh sb="10" eb="12">
      <t>フッカツ</t>
    </rPh>
    <rPh sb="20" eb="21">
      <t>ダイ</t>
    </rPh>
    <rPh sb="30" eb="31">
      <t>アカ</t>
    </rPh>
    <phoneticPr fontId="5"/>
  </si>
  <si>
    <t>HP50%で敵単体が復活+敵全体の攻撃力大UP+
ランダムで赤のダメージパネルに1個変換</t>
    <rPh sb="6" eb="7">
      <t>teki</t>
    </rPh>
    <rPh sb="7" eb="9">
      <t>タンタイ</t>
    </rPh>
    <rPh sb="10" eb="12">
      <t>フッカツ</t>
    </rPh>
    <rPh sb="13" eb="16">
      <t>テキゼンタイ</t>
    </rPh>
    <rPh sb="20" eb="21">
      <t>ダイ</t>
    </rPh>
    <rPh sb="30" eb="31">
      <t>アカ</t>
    </rPh>
    <phoneticPr fontId="5"/>
  </si>
  <si>
    <t>全体攻撃+3ターン敵全体の攻撃力UP</t>
    <rPh sb="0" eb="4">
      <t>ゼンタイコウゲキ</t>
    </rPh>
    <rPh sb="9" eb="10">
      <t>teki</t>
    </rPh>
    <rPh sb="10" eb="12">
      <t>ゼンタイ</t>
    </rPh>
    <rPh sb="13" eb="16">
      <t>コウゲキリョク</t>
    </rPh>
    <phoneticPr fontId="5"/>
  </si>
  <si>
    <t>ハートパネルプロテクト+
ランダムで青のダメージパネルに1個変換</t>
    <phoneticPr fontId="5"/>
  </si>
  <si>
    <t>青パネルプロテクト+
ランダムで青のダメージパネルに1個変換</t>
    <rPh sb="0" eb="1">
      <t>アオ</t>
    </rPh>
    <phoneticPr fontId="5"/>
  </si>
  <si>
    <t>2回連続攻撃+
ランダムで青のダメージパネルに1個変換</t>
    <rPh sb="1" eb="2">
      <t>カイ</t>
    </rPh>
    <phoneticPr fontId="5"/>
  </si>
  <si>
    <t>2回連続攻撃+
残りHPが多いほど威力UP</t>
    <rPh sb="1" eb="6">
      <t>カイレンゾクコウゲキ</t>
    </rPh>
    <rPh sb="13" eb="14">
      <t>オオイ</t>
    </rPh>
    <phoneticPr fontId="5"/>
  </si>
  <si>
    <t>緑パネルを赤パネルに変換(最大10個)</t>
    <rPh sb="0" eb="1">
      <t>ミドリ</t>
    </rPh>
    <rPh sb="5" eb="6">
      <t>アカ</t>
    </rPh>
    <phoneticPr fontId="5"/>
  </si>
  <si>
    <t>赤パネルを赤のダメージパネルに変換(最大5個)</t>
    <phoneticPr fontId="5"/>
  </si>
  <si>
    <t>赤パネルを赤のダメージパネルに変換(最大5個)+
青パネルを青のボムパネル(大)に変換(最大1個)+
自己回復</t>
    <rPh sb="25" eb="26">
      <t>アオ</t>
    </rPh>
    <rPh sb="30" eb="31">
      <t>アオ</t>
    </rPh>
    <rPh sb="38" eb="39">
      <t>ダイ</t>
    </rPh>
    <rPh sb="51" eb="53">
      <t>ziko</t>
    </rPh>
    <phoneticPr fontId="5"/>
  </si>
  <si>
    <t>全体攻撃+ランダムで青のダメージパネルに3個変換</t>
    <phoneticPr fontId="5"/>
  </si>
  <si>
    <t>2回連続攻撃+ランダムで青のダメージパネルに3個変換</t>
    <phoneticPr fontId="5"/>
  </si>
  <si>
    <t>ダメージパネルを吸収して全体攻撃</t>
    <phoneticPr fontId="5"/>
  </si>
  <si>
    <t>10回連続攻撃+Cパネルプロテクト+
2ターンユニット全体の攻撃をカウンター+
青&amp;赤パネルを青のダメージパネルに変換(最大10個)</t>
    <rPh sb="30" eb="32">
      <t>コウゲキ</t>
    </rPh>
    <rPh sb="40" eb="41">
      <t>アオ</t>
    </rPh>
    <rPh sb="47" eb="48">
      <t>アオ</t>
    </rPh>
    <phoneticPr fontId="5"/>
  </si>
  <si>
    <t>赤パネルプロテクト(最大4個)+
ランダムで青のダメージパネルに1個変換</t>
    <phoneticPr fontId="5"/>
  </si>
  <si>
    <t>緑パネルプロテクト(最大4個)+
ランダムで青のダメージパネルに1個変換</t>
    <rPh sb="0" eb="1">
      <t>ミドリ</t>
    </rPh>
    <phoneticPr fontId="5"/>
  </si>
  <si>
    <t>全体攻撃+1ターン敵全体の攻撃力UP</t>
    <rPh sb="0" eb="4">
      <t>ゼンタイコウゲキ</t>
    </rPh>
    <rPh sb="9" eb="10">
      <t>teki</t>
    </rPh>
    <rPh sb="10" eb="12">
      <t>ゼンタイ</t>
    </rPh>
    <rPh sb="13" eb="16">
      <t>コウゲキリョク</t>
    </rPh>
    <phoneticPr fontId="5"/>
  </si>
  <si>
    <t>ハートパネルプロテクト(最大4個)+
ランダムで青のダメージパネルに1個変換</t>
    <phoneticPr fontId="5"/>
  </si>
  <si>
    <t>青パネルプロテクト(最大4個)+
ランダムで青のダメージパネルに1個変換</t>
    <rPh sb="0" eb="1">
      <t>アオ</t>
    </rPh>
    <phoneticPr fontId="5"/>
  </si>
  <si>
    <t>ハートパネルプロテクト+
2ターン属性パネルは確率でプロテクトされてドロップ+
次のターン強力な攻撃</t>
    <phoneticPr fontId="5"/>
  </si>
  <si>
    <t>赤パネルを赤のダメージパネルに変換(最大3個)</t>
    <phoneticPr fontId="5"/>
  </si>
  <si>
    <t>赤パネルを赤のダメージパネルに変換(最大3個)+
青パネルを青のボムパネル(大)に変換(最大1個)</t>
    <rPh sb="25" eb="26">
      <t>アオ</t>
    </rPh>
    <rPh sb="30" eb="31">
      <t>アオ</t>
    </rPh>
    <rPh sb="38" eb="39">
      <t>ダイ</t>
    </rPh>
    <phoneticPr fontId="5"/>
  </si>
  <si>
    <t>全体攻撃+ランダムで青のダメージパネルに2個変換</t>
    <phoneticPr fontId="5"/>
  </si>
  <si>
    <t>2回連続攻撃+ランダムで青のダメージパネルに2個変換</t>
    <phoneticPr fontId="5"/>
  </si>
  <si>
    <t>ハートパネルプロテクト(最大4個)+
1ターン属性パネルは確率でプロテクトされてドロップ+
次のターン強力な攻撃</t>
    <phoneticPr fontId="5"/>
  </si>
  <si>
    <t>10回連続攻撃+Cパネルプロテクト(最大4個)+
2ターンユニット全体の攻撃をカウンター+
青&amp;赤パネルを青のダメージパネルに変換(最大6個)</t>
    <phoneticPr fontId="5"/>
  </si>
  <si>
    <t>赤属性スキルダメージ50%軽減</t>
    <rPh sb="0" eb="1">
      <t>アカ</t>
    </rPh>
    <phoneticPr fontId="5"/>
  </si>
  <si>
    <t>赤属性スキルダメージ75%軽減+
属性パネルは確率でプロテクトされてドロップ</t>
    <rPh sb="17" eb="19">
      <t>ゾクセイ</t>
    </rPh>
    <phoneticPr fontId="5"/>
  </si>
  <si>
    <t>赤属性スキルダメージ10%反射+
9ターン属性パネルは確率でプロテクトされてドロップ</t>
    <rPh sb="13" eb="15">
      <t>ハンシャ</t>
    </rPh>
    <phoneticPr fontId="5"/>
  </si>
  <si>
    <t>赤属性スキルダメージ75%軽減+
3ターン属性パネルは確率でプロテクトされてドロップ</t>
    <rPh sb="0" eb="1">
      <t>アカ</t>
    </rPh>
    <phoneticPr fontId="5"/>
  </si>
  <si>
    <t>赤属性スキルダメージ10%反射+
3ターン属性パネルは確率でプロテクトされてドロップ</t>
    <phoneticPr fontId="5"/>
  </si>
  <si>
    <t>危険だから★触っちゃダメだよ？</t>
    <rPh sb="6" eb="7">
      <t>サワッチャダメダヨ</t>
    </rPh>
    <phoneticPr fontId="5"/>
  </si>
  <si>
    <t>ボクも天下取りに……連れて行って……</t>
    <rPh sb="3" eb="6">
      <t>tenkaトリ</t>
    </rPh>
    <rPh sb="10" eb="11">
      <t>ツレテイッテ</t>
    </rPh>
    <phoneticPr fontId="5"/>
  </si>
  <si>
    <t xml:space="preserve">[effect:enemy_message, val1:1, val2:1.8, dead_type:suicide]    </t>
    <phoneticPr fontId="5"/>
  </si>
  <si>
    <t>さぁ……我が忍法の極致</t>
    <rPh sb="4" eb="5">
      <t>ワガニンポウノ</t>
    </rPh>
    <rPh sb="9" eb="11">
      <t>キョクチ</t>
    </rPh>
    <phoneticPr fontId="5"/>
  </si>
  <si>
    <t>[effect:enemy_message, val1:2.4, val2:1.8],[effect:fix_speed, target:myself, turn:1]</t>
    <phoneticPr fontId="5"/>
  </si>
  <si>
    <t>[effect:enemy_message, val1:2.8, val2:1.8],[effect:fix_speed, target:myself, turn:1]</t>
    <phoneticPr fontId="5"/>
  </si>
  <si>
    <t>[effect:enemy_message, val1:2.8, val2:1.8],[effect:fix_speed, target:myself, turn:2],[effect:barrier_attack_skill_color, target:myself, option:guard, color:red, turn:-1, val:0.5, animation:crash_panel_reduce04_unit02]</t>
    <phoneticPr fontId="5"/>
  </si>
  <si>
    <t xml:space="preserve">[effect:enemy_message, val1:1.4, val2:2.8],[effect:fix_speed, target:myself, turn:1],[effect:barrier_attack_skill_color, target:myself, option:guard, color:red, turn:-1, val:0.75, animation:crash_panel_reduce04_unit02],[effect:drop_freeze, turn:-1, block_type:normal, frozen_count:1, rate:0.15, animation:drop_protect]    </t>
    <phoneticPr fontId="5"/>
  </si>
  <si>
    <t>HP100%で敵単体が復活+大ダメージの全体攻撃</t>
    <rPh sb="14" eb="15">
      <t>ダイダメージノ</t>
    </rPh>
    <rPh sb="20" eb="24">
      <t>ゼンタイコウゲキ</t>
    </rPh>
    <phoneticPr fontId="5"/>
  </si>
  <si>
    <t>[effect:enemy_message, val1:2.4, val2:2.2],[effect:enemy_resurrection, target:enemy_all, val:1, rate:1, animation:enemy_resurrection],[effect:damage_fix_absolute, target:unit_all, val:250000]</t>
    <phoneticPr fontId="5"/>
  </si>
  <si>
    <t>[effect:enemy_message, val1:2.8, val2:2.2],[effect:enemy_resurrection, target:enemy_all, val:1, rate:1, animation:enemy_resurrection],[effect:damage_fix_absolute, target:unit_all, val:250000]</t>
    <phoneticPr fontId="5"/>
  </si>
  <si>
    <t xml:space="preserve">[effect:enemy_message, val1:1.4, val2:3.8],[effect:force_change_block, new_block:damage, target:block_red, ignore01:crash, ignore02:crack_bomb, ignore03:color_break, color:block_red, count:5, val:0.1, animation:change_block],[effect:force_change_block, new_block:crack_bomb, target:block_blue, ignore01:crash, ignore02:crack_bomb, ignore03:color_break, color:block_blue, count:1, val:24, animation:change_block],[effect:heal, target:myself, val:0.2, animation:enemy_heal]    </t>
    <phoneticPr fontId="5"/>
  </si>
  <si>
    <t xml:space="preserve">[effect:enemy_message, val1:1.4, val2:1.8],[effect:break_attack_fix, target:unit_all, val:1500, lowest_val:1000, count:-1, color:blue, block01:damage]    </t>
    <phoneticPr fontId="5"/>
  </si>
  <si>
    <t>[effect:enemy_message, val1:2.4, val2:3],[effect:fix_speed, target:myself, turn:1],[effect:barrier_attack_skill_color, target:myself, option:reflect, color:red, turn:-1, val:0.1, animation:crash_panel_reduce04_unit02],[effect:drop_freeze, turn:9, block_type:normal, frozen_count:1, rate:0.15, animation:drop_protect]</t>
    <phoneticPr fontId="5"/>
  </si>
  <si>
    <t xml:space="preserve">[effect:enemy_message, val1:1.8, val2:2.6],[effect:panel_freeze, target:normal, color:block_yellow, count:-1],[effect:drop_freeze, turn:2, block_type:normal, block_color:block_yellow, frozen_count:1, rate:1, animation:drop_protect]    </t>
    <phoneticPr fontId="5"/>
  </si>
  <si>
    <t xml:space="preserve">[effect:enemy_message, val1:1.8, val2:1.8],[effect:panel_freeze, target:damage, count:-1]    </t>
    <phoneticPr fontId="5"/>
  </si>
  <si>
    <t xml:space="preserve">[effect:enemy_message, val1:1.8, val2:1.8],[effect:break_attack_fix, target:unit_all, val:2000, lowest_val:1000, count:-1, color:blue, block01:damage]    </t>
    <phoneticPr fontId="5"/>
  </si>
  <si>
    <t xml:space="preserve">[effect:enemy_message, val1:1.8, val2:3.6],[effect:panel_freeze, target:normal, color:block_heart, count:-1],[effect:drop_freeze, turn:2, block_type:normal, frozen_count:1, rate:0.5, animation:drop_protect]    </t>
    <phoneticPr fontId="5"/>
  </si>
  <si>
    <t>[effect:enemy_message, val1:1.4, val2:4.2],[effect:rush, count:10, val:0.17],[effect:panel_freeze, target:crash, count:-1],[effect:enemy_counter, target:myself, invoke_condition:unit_all, counter_target:attacker, turn:2, val:0.32, animation:enemy_counter],[effect:force_change_block, new_block:damage, target:block_blue, ignore01:crash, ignore02:crack_bomb, ignore03:color_break, color:block_blue, count:5, val:0.1, animation:change_block],[effect:force_change_block, new_block:damage, target:block_red, ignore01:crash, ignore02:crack_bomb, ignore03:color_break, color:block_blue, count:5, val:0.1, animation:change_block]</t>
    <phoneticPr fontId="5"/>
  </si>
  <si>
    <t xml:space="preserve">[effect:enemy_message, val1:1.4, val2:1.8, dead_type:suicide]    </t>
    <phoneticPr fontId="5"/>
  </si>
  <si>
    <t xml:space="preserve">[effect:enemy_message, val1:1.8, val2:1.8],[effect:suicide, target:enemy_all, val:1, dead_type:escape]    </t>
    <phoneticPr fontId="5"/>
  </si>
  <si>
    <t>[effect:enemy_message, val1:1.4, val2:1.8]</t>
    <phoneticPr fontId="5"/>
  </si>
  <si>
    <t>[effect:enemy_message, val1:2.4, val2:2.2],[effect:enemy_resurrection, target:enemy_all, val:1, rate:1, animation:enemy_resurrection],[effect:damage_fix_absolute, target:unit_all, val:7000]</t>
    <phoneticPr fontId="5"/>
  </si>
  <si>
    <t>[effect:enemy_message, val1:1.4, val2:2.2],[effect:rush, count:2, val:0.75]</t>
    <phoneticPr fontId="5"/>
  </si>
  <si>
    <t>[effect:enemy_message, val1:1.8, val2:2.2],[effect:rush, count:2, val:0.5]</t>
    <phoneticPr fontId="5"/>
  </si>
  <si>
    <t>[effect:enemy_message, val1:1.4, val2:2.2],[effect:rush, count:2, val:0.25]</t>
    <phoneticPr fontId="5"/>
  </si>
  <si>
    <t>ダメージパネルをプロテクト</t>
    <phoneticPr fontId="5"/>
  </si>
  <si>
    <t>柔軟な性格の秀吉と規律に厳しい千利休や
浮気に厳しい寧々がうまくやっていけるのは
間に半兵衛がいるからだと言われています</t>
    <rPh sb="0" eb="2">
      <t>ジュウナン</t>
    </rPh>
    <rPh sb="3" eb="5">
      <t>セイカク</t>
    </rPh>
    <rPh sb="6" eb="8">
      <t>ヒデヨシ</t>
    </rPh>
    <rPh sb="20" eb="22">
      <t>ウワキ</t>
    </rPh>
    <rPh sb="23" eb="24">
      <t>キビシイ</t>
    </rPh>
    <rPh sb="26" eb="27">
      <t>ネネ</t>
    </rPh>
    <rPh sb="41" eb="42">
      <t>アイダ</t>
    </rPh>
    <rPh sb="43" eb="46">
      <t>ハンベエ</t>
    </rPh>
    <rPh sb="53" eb="54">
      <t>イワレテイマス</t>
    </rPh>
    <phoneticPr fontId="5"/>
  </si>
  <si>
    <t xml:space="preserve">[effect:enemy_message, val1:1.4, val2:2.8],[effect:fix_speed, target:myself, turn:1],[effect:barrier_attack_skill_color, target:myself, option:guard, color:red, turn:-1, val:0.75, animation:crash_panel_reduce04_unit02],[effect:drop_freeze, turn:3, block_type:normal, frozen_count:1, rate:0.15, animation:drop_protect]    </t>
    <phoneticPr fontId="5"/>
  </si>
  <si>
    <t>[effect:enemy_message, val1:1.4, val2:3.4],[effect:force_change_block, new_block:damage, target:block_red, ignore01:crash, ignore02:crack_bomb, ignore03:color_break, color:block_red, count:3, val:0.1, animation:change_block],[effect:force_change_block, new_block:crack_bomb, target:block_blue, ignore01:crash, ignore02:crack_bomb, ignore03:color_break, color:block_blue, count:1, val:24, animation:change_block]</t>
    <phoneticPr fontId="5"/>
  </si>
  <si>
    <t xml:space="preserve">[effect:enemy_message, val1:1.4, val2:1.8],[effect:break_attack_fix, target:unit_all, val:1000, lowest_val:1000, count:-1, color:blue, block01:damage]    </t>
    <phoneticPr fontId="5"/>
  </si>
  <si>
    <t>[effect:enemy_message, val1:2.4, val2:3],[effect:fix_speed, target:myself, turn:1],[effect:barrier_attack_skill_color, target:myself, option:reflect, color:red, turn:-1, val:0.1, animation:crash_panel_reduce04_unit02],[effect:drop_freeze, turn:3, block_type:normal, frozen_count:1, rate:0.15, animation:drop_protect]</t>
    <phoneticPr fontId="5"/>
  </si>
  <si>
    <t xml:space="preserve">[effect:enemy_message, val1:1.8, val2:2.8],[effect:panel_freeze, target:normal, color:block_yellow, count:4],[effect:drop_freeze, turn:1, block_type:normal, block_color:block_yellow, frozen_count:1, rate:1, animation:drop_protect]    </t>
    <phoneticPr fontId="5"/>
  </si>
  <si>
    <t xml:space="preserve">[effect:enemy_message, val1:1.8, val2:1.8],[effect:panel_freeze, target:damage, count:-1]    </t>
    <phoneticPr fontId="5"/>
  </si>
  <si>
    <t xml:space="preserve">[effect:enemy_message, val1:1.8, val2:1.8],[effect:break_attack_fix, target:unit_all, val:1500, lowest_val:1000, count:-1, color:blue, block01:damage]    </t>
    <phoneticPr fontId="5"/>
  </si>
  <si>
    <t>[effect:enemy_message, val1:1.8, val2:3.8],[effect:panel_freeze, target:normal, color:block_heart, count:4],[effect:drop_freeze, turn:1, block_type:normal, frozen_count:1, rate:0.5, animation:drop_protect]</t>
    <phoneticPr fontId="5"/>
  </si>
  <si>
    <t>[effect:enemy_message, val1:1.4, val2:4.4],[effect:rush, count:10, val:0.17],[effect:enemy_counter, target:myself, invoke_condition:unit_all, counter_target:attacker, turn:2, val:0.32, animation:enemy_counter],[effect:panel_freeze, target:crash, count:4],[effect:force_change_block, new_block:damage, target:block_blue, ignore01:crash, ignore02:crack_bomb, ignore03:color_break, color:block_blue, count:3, val:0.1, animation:change_block],[effect:force_change_block, new_block:damage, target:block_red, ignore01:crash, ignore02:crack_bomb, ignore03:color_break, color:block_blue, count:3, val:0.1, animation:change_block]</t>
    <phoneticPr fontId="5"/>
  </si>
  <si>
    <t xml:space="preserve">[effect:enemy_message, val1:1.4, val2:1.8, dead_type:suicide]    </t>
    <phoneticPr fontId="5"/>
  </si>
  <si>
    <t xml:space="preserve">[effect:enemy_message, val1:1.8, val2:1.8],[effect:suicide, target:enemy_all, val:1, dead_type:escape]    </t>
    <phoneticPr fontId="5"/>
  </si>
  <si>
    <t>[effect:enemy_message, val1:1.4, val2:1.8]</t>
    <phoneticPr fontId="5"/>
  </si>
  <si>
    <t>[effect:enemy_message, val1:2, val2:2.4],[effect:fix_speed, target:myself, turn:1]</t>
    <phoneticPr fontId="5"/>
  </si>
  <si>
    <t>[effect:enemy_message, val1:2.4, val2:2.4],[effect:fix_speed, target:myself, turn:1]</t>
    <phoneticPr fontId="5"/>
  </si>
  <si>
    <t xml:space="preserve">[effect:enemy_message, val1:1.8, val2:1.8, dead_type:suicide]    </t>
    <phoneticPr fontId="5"/>
  </si>
  <si>
    <t>どうしても勝てない場合は
ユニットを強化したり
属性の相性を考慮してパーティを
見直しましょう</t>
    <phoneticPr fontId="5"/>
  </si>
  <si>
    <t>[effect:enemy_message, val1:1, val2:3],[effect:enemy_resurrection, target:enemy_all, val:0.3, rate:1, animation:enemy_resurrection],[effect:enhance_enemy, target:enemy_all, turn:-1, status:attack, val:500, calc:add, animation:enemy_enhance_attack],[effect:force_change_block, new_block:damage, target:block_all, ignore01:block_positive, ignore02:block_negative, color:block_green, count:1, val:0.2, animation:change_block]</t>
  </si>
  <si>
    <t>[effect:enemy_message, val1:1, val2:3],[effect:enemy_resurrection, target:enemy_all, val:0.4, rate:1, animation:enemy_resurrection],[effect:enhance_enemy, target:enemy_all, turn:-1, status:attack, val:1000, calc:add, animation:enemy_enhance_attack],[effect:force_change_block, new_block:damage, target:block_all, ignore01:block_positive, ignore02:block_negative, color:block_yellow, count:1, val:0.2, animation:change_block]</t>
  </si>
  <si>
    <t>[effect:enemy_message, val1:1, val2:3],[effect:enemy_resurrection, target:enemy_all, val:0.5, rate:1, animation:enemy_resurrection],[effect:enhance_enemy, target:enemy_all, turn:-1, status:attack, val:2000, calc:add, animation:enemy_enhance_attack],[effect:force_change_block, new_block:damage, target:block_all, ignore01:block_positive, ignore02:block_negative, color:block_red, count:1, val:0.2, animation:change_block]</t>
  </si>
  <si>
    <t>[effect:enemy_message, val1:1, val2:2.6],[effect:panel_freeze, target:normal, color:block_red, count:-1],[effect:force_change_block, new_block:damage, target:block_all, ignore01:block_positive, ignore02:block_negative, color:block_blue, count:1, val:0.2, animation:change_block]</t>
  </si>
  <si>
    <t>[effect:enemy_message, val1:1, val2:2.6],[effect:panel_freeze, target:normal, color:block_green, count:-1],[effect:force_change_block, new_block:damage, target:block_all, ignore01:block_positive, ignore02:block_negative, color:block_blue, count:1, val:0.2, animation:change_block]</t>
  </si>
  <si>
    <t>[effect:enemy_message, val1:1, val2:3],[effect:enemy_resurrection, target:enemy_all, val:0.3, rate:1, animation:enemy_resurrection],[effect:enhance_enemy, target:enemy_all, turn:-1, status:defense, val:1000, calc:add, animation:enemy_enhance_defense],[effect:force_change_block, new_block:damage, target:block_all, ignore01:block_positive, ignore02:block_negative, color:block_green, count:1, val:0.2, animation:change_block]</t>
  </si>
  <si>
    <t>[effect:enemy_message, val1:1, val2:3],[effect:enemy_resurrection, target:enemy_all, val:0.5, rate:1, animation:enemy_resurrection],[effect:enhance_enemy, target:enemy_all, turn:-1, status:defense, val:5000, calc:add, animation:enemy_enhance_defense],[effect:force_change_block, new_block:damage, target:block_all, ignore01:block_positive, ignore02:block_negative, color:block_red, count:1, val:0.2, animation:change_block]</t>
  </si>
  <si>
    <t>[effect:enemy_message, val1:1, val2:2.6],[effect:panel_freeze, target:normal, color:block_heart, count:-1],[effect:force_change_block, new_block:damage, target:block_all, ignore01:block_positive, ignore02:block_negative, color:block_blue, count:1, val:0.2, animation:change_block]</t>
  </si>
  <si>
    <t>[effect:enemy_message, val1:1, val2:2.6],[effect:panel_freeze, target:normal, color:block_blue, count:-1],[effect:force_change_block, new_block:damage, target:block_all, ignore01:block_positive, ignore02:block_negative, color:block_blue, count:1, val:0.2, animation:change_block]</t>
  </si>
  <si>
    <t xml:space="preserve">[effect:enemy_message, val1:2.8, val2:2.4],[effect:rush, count:2, val:0.6],[effect:force_change_block, new_block:damage, target:block_all, ignore01:block_positive, ignore02:block_negative, color:block_blue, count:1, val:0.2, animation:change_block]   </t>
  </si>
  <si>
    <t xml:space="preserve">[effect:enemy_message, val1:2, val2:2.2],[effect:spread, val:0.18],[effect:force_change_block, new_block:damage, target:block_all, ignore01:block_positive, ignore02:block_negative, color:block_blue, count:3, val:0.1, animation:change_block]   </t>
  </si>
  <si>
    <t xml:space="preserve">[effect:enemy_message, val1:1, val2:2.2],[effect:rush, count:2, val:0.4],[effect:force_change_block, new_block:damage, target:block_all, ignore01:block_positive, ignore02:block_negative, color:block_blue, count:3, val:0.1, animation:change_block]   </t>
  </si>
  <si>
    <t>[effect:enemy_message, val1:1, val2:3],[effect:enemy_resurrection, target:enemy_all, val:0.3, rate:1, animation:enemy_resurrection],[effect:enhance_enemy, target:enemy_all, turn:-1, status:attack, val:500, calc:add, animation:enemy_enhance_attack],[effect:force_change_block, new_block:damage, target:block_all, ignore01:block_positive, ignore02:block_negative, color:block_green, count:1, val:0.2, animation:change_block]</t>
    <phoneticPr fontId="5"/>
  </si>
  <si>
    <t>[effect:enemy_message, val1:1, val2:3],[effect:enemy_resurrection, target:enemy_all, val:0.4, rate:1, animation:enemy_resurrection],[effect:enhance_enemy, target:enemy_all, turn:-1, status:attack, val:1000, calc:add, animation:enemy_enhance_attack],[effect:force_change_block, new_block:damage, target:block_all, ignore01:block_positive, ignore02:block_negative, color:block_yellow, count:1, val:0.2, animation:change_block]</t>
    <phoneticPr fontId="5"/>
  </si>
  <si>
    <t>[effect:enemy_message, val1:1, val2:3],[effect:enemy_resurrection, target:enemy_all, val:0.5, rate:1, animation:enemy_resurrection],[effect:enhance_enemy, target:enemy_all, turn:-1, status:attack, val:2000, calc:add, animation:enemy_enhance_attack],[effect:force_change_block, new_block:damage, target:block_all, ignore01:block_positive, ignore02:block_negative, color:block_red, count:1, val:0.2, animation:change_block]</t>
    <phoneticPr fontId="5"/>
  </si>
  <si>
    <t>[effect:enemy_message, val1:1, val2:2.8],[effect:panel_freeze, target:normal, color:block_red, count:4],[effect:force_change_block, new_block:damage, target:block_all, ignore01:block_positive, ignore02:block_negative, color:block_blue, count:1, val:0.2, animation:change_block]</t>
    <phoneticPr fontId="5"/>
  </si>
  <si>
    <t>[effect:enemy_message, val1:1, val2:2.8],[effect:panel_freeze, target:normal, color:block_green, count:4],[effect:force_change_block, new_block:damage, target:block_all, ignore01:block_positive, ignore02:block_negative, color:block_blue, count:1, val:0.2, animation:change_block]</t>
    <phoneticPr fontId="5"/>
  </si>
  <si>
    <t>[effect:enemy_message, val1:1, val2:3],[effect:enemy_resurrection, target:enemy_all, val:0.3, rate:1, animation:enemy_resurrection],[effect:enhance_enemy, target:enemy_all, turn:-1, status:defense, val:1000, calc:add, animation:enemy_enhance_defense],[effect:force_change_block, new_block:damage, target:block_all, ignore01:block_positive, ignore02:block_negative, color:block_green, count:1, val:0.2, animation:change_block]</t>
    <phoneticPr fontId="5"/>
  </si>
  <si>
    <t>[effect:enemy_message, val1:1, val2:3],[effect:enemy_resurrection, target:enemy_all, val:0.5, rate:1, animation:enemy_resurrection],[effect:enhance_enemy, target:enemy_all, turn:-1, status:defense, val:5000, calc:add, animation:enemy_enhance_defense],[effect:force_change_block, new_block:damage, target:block_all, ignore01:block_positive, ignore02:block_negative, color:block_red, count:1, val:0.2, animation:change_block]</t>
    <phoneticPr fontId="5"/>
  </si>
  <si>
    <t>[effect:enemy_message, val1:1, val2:2.8],[effect:panel_freeze, target:normal, color:block_heart, count:4],[effect:force_change_block, new_block:damage, target:block_all, ignore01:block_positive, ignore02:block_negative, color:block_blue, count:1, val:0.2, animation:change_block]</t>
    <phoneticPr fontId="5"/>
  </si>
  <si>
    <t>[effect:enemy_message, val1:1, val2:2.8],[effect:panel_freeze, target:normal, color:block_blue, count:4],[effect:force_change_block, new_block:damage, target:block_all, ignore01:block_positive, ignore02:block_negative, color:block_blue, count:1, val:0.2, animation:change_block]</t>
    <phoneticPr fontId="5"/>
  </si>
  <si>
    <t xml:space="preserve">[effect:enemy_message, val1:2.8, val2:2.4],[effect:rush, count:2, val:0.6],[effect:force_change_block, new_block:damage, target:block_all, ignore01:block_positive, ignore02:block_negative, color:block_blue, count:1, val:0.2, animation:change_block]   </t>
    <phoneticPr fontId="5"/>
  </si>
  <si>
    <t xml:space="preserve">[effect:enemy_message, val1:2, val2:2.2],[effect:spread, val:0.18],[effect:force_change_block, new_block:damage, target:block_all, ignore01:block_positive, ignore02:block_negative, color:block_blue, count:2, val:0.1, animation:change_block]   </t>
    <phoneticPr fontId="5"/>
  </si>
  <si>
    <t xml:space="preserve">[effect:enemy_message, val1:1, val2:2.2],[effect:rush, count:2, val:0.4],[effect:force_change_block, new_block:damage, target:block_all, ignore01:block_positive, ignore02:block_negative, color:block_blue, count:2, val:0.1, animation:change_block]   </t>
    <phoneticPr fontId="5"/>
  </si>
  <si>
    <t>[effect:enemy_message, val1:1, val2:3],[effect:enemy_resurrection, target:enemy_all, val:0.4, rate:1, animation:enemy_resurrection],[effect:enhance_enemy, target:enemy_all, turn:-1, status:defense, val:2000, calc:add, animation:enemy_enhance_defense],[effect:force_change_block, new_block:damage, target:block_all, ignore01:block_positive, ignore02:block_negative, color:block_yellow, count:1, val:0.2, animation:change_block]</t>
    <phoneticPr fontId="5"/>
  </si>
  <si>
    <t>[effect:enemy_message, val1:1, val2:3],[effect:enemy_resurrection, target:enemy_all, val:0.4, rate:1, animation:enemy_resurrection],[effect:enhance_enemy, target:enemy_all, turn:-1, status:defense, val:2000, calc:add, animation:enemy_enhance_defense],[effect:force_change_block, new_block:damage, target:block_all, ignore01:block_positive, ignore02:block_negative, color:block_yellow, count:1, val:0.2, animation:change_block]</t>
    <phoneticPr fontId="5"/>
  </si>
  <si>
    <t xml:space="preserve">[effect:enemy_message, val1:2.4, val2:1.8],[effect:force_change_block, new_block:block_red, target:block_green, count:10, val:0, animation:change_block]    </t>
    <phoneticPr fontId="5"/>
  </si>
  <si>
    <t xml:space="preserve">[effect:enemy_message, val1:1.8, val2:2.2],[effect:force_change_block, new_block:damage, target:block_red, color:block_red, count:3, val:0.1, animation:change_block]    </t>
    <phoneticPr fontId="5"/>
  </si>
  <si>
    <t xml:space="preserve">[effect:enemy_message, val1:2.4, val2:1.8],[effect:force_change_block, new_block:block_red, target:block_green, count:10, val:0, animation:change_block]    </t>
    <phoneticPr fontId="5"/>
  </si>
  <si>
    <t xml:space="preserve">[effect:enemy_message, val1:1.8, val2:2.2],[effect:force_change_block, new_block:damage, target:block_red, color:block_red, count:5, val:0.1, animation:change_block]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</si>
</sst>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vertical="center" wrapText="1"/>
    </xf>
    <xf numFmtId="0" fontId="16" fillId="0" borderId="0" xfId="0" applyFont="1" applyFill="1" applyAlignment="1">
      <alignment vertical="center" wrapText="1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13" borderId="7" xfId="0" applyFont="1" applyFill="1" applyBorder="1" applyAlignment="1">
      <alignment horizontal="left" vertical="center" wrapText="1"/>
    </xf>
    <xf numFmtId="0" fontId="16" fillId="30" borderId="7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41001</v>
          </cell>
        </row>
        <row r="254">
          <cell r="A254">
            <v>41002</v>
          </cell>
        </row>
        <row r="255">
          <cell r="A255">
            <v>41003</v>
          </cell>
        </row>
        <row r="256">
          <cell r="A256">
            <v>41004</v>
          </cell>
        </row>
        <row r="257">
          <cell r="A257">
            <v>41005</v>
          </cell>
        </row>
        <row r="258">
          <cell r="A258">
            <v>41006</v>
          </cell>
        </row>
        <row r="259">
          <cell r="A259">
            <v>41007</v>
          </cell>
        </row>
        <row r="260">
          <cell r="A260">
            <v>41008</v>
          </cell>
        </row>
        <row r="261">
          <cell r="A261">
            <v>41009</v>
          </cell>
        </row>
        <row r="262">
          <cell r="A262">
            <v>41010</v>
          </cell>
        </row>
        <row r="263">
          <cell r="A263">
            <v>41011</v>
          </cell>
        </row>
        <row r="264">
          <cell r="A264">
            <v>41012</v>
          </cell>
        </row>
        <row r="265">
          <cell r="A265">
            <v>41013</v>
          </cell>
        </row>
        <row r="266">
          <cell r="A266">
            <v>41014</v>
          </cell>
        </row>
        <row r="267">
          <cell r="A267">
            <v>41015</v>
          </cell>
        </row>
        <row r="268">
          <cell r="A268">
            <v>47001</v>
          </cell>
        </row>
        <row r="269">
          <cell r="A269">
            <v>47002</v>
          </cell>
        </row>
        <row r="270">
          <cell r="A270">
            <v>47003</v>
          </cell>
        </row>
        <row r="271">
          <cell r="A271">
            <v>47004</v>
          </cell>
        </row>
        <row r="272">
          <cell r="A272">
            <v>47005</v>
          </cell>
        </row>
        <row r="273">
          <cell r="A273">
            <v>47006</v>
          </cell>
        </row>
        <row r="274">
          <cell r="A274">
            <v>47007</v>
          </cell>
        </row>
        <row r="275">
          <cell r="A275">
            <v>47008</v>
          </cell>
        </row>
        <row r="276">
          <cell r="A276">
            <v>47009</v>
          </cell>
        </row>
        <row r="277">
          <cell r="A277">
            <v>47010</v>
          </cell>
        </row>
        <row r="278">
          <cell r="A278">
            <v>47011</v>
          </cell>
        </row>
        <row r="279">
          <cell r="A279">
            <v>47012</v>
          </cell>
        </row>
        <row r="280">
          <cell r="A280">
            <v>49001</v>
          </cell>
        </row>
        <row r="281">
          <cell r="A281">
            <v>49002</v>
          </cell>
        </row>
        <row r="282">
          <cell r="A282">
            <v>49003</v>
          </cell>
        </row>
        <row r="283">
          <cell r="A283">
            <v>49004</v>
          </cell>
        </row>
        <row r="284">
          <cell r="A284">
            <v>49005</v>
          </cell>
        </row>
        <row r="285">
          <cell r="A285">
            <v>49006</v>
          </cell>
        </row>
        <row r="286">
          <cell r="A286">
            <v>49007</v>
          </cell>
        </row>
        <row r="287">
          <cell r="A287">
            <v>49008</v>
          </cell>
        </row>
        <row r="288">
          <cell r="A288">
            <v>49009</v>
          </cell>
        </row>
        <row r="289">
          <cell r="A289">
            <v>49010</v>
          </cell>
        </row>
        <row r="290">
          <cell r="A290">
            <v>49011</v>
          </cell>
        </row>
        <row r="291">
          <cell r="A291">
            <v>49012</v>
          </cell>
        </row>
        <row r="292">
          <cell r="A292">
            <v>49013</v>
          </cell>
        </row>
        <row r="293">
          <cell r="A293">
            <v>49014</v>
          </cell>
        </row>
        <row r="294">
          <cell r="A294">
            <v>49015</v>
          </cell>
        </row>
        <row r="295">
          <cell r="A295">
            <v>50001</v>
          </cell>
        </row>
        <row r="296">
          <cell r="A296">
            <v>50002</v>
          </cell>
        </row>
        <row r="297">
          <cell r="A297">
            <v>50003</v>
          </cell>
        </row>
        <row r="298">
          <cell r="A298">
            <v>50004</v>
          </cell>
        </row>
        <row r="299">
          <cell r="A299">
            <v>50005</v>
          </cell>
        </row>
        <row r="300">
          <cell r="A300">
            <v>50006</v>
          </cell>
        </row>
        <row r="301">
          <cell r="A301">
            <v>50007</v>
          </cell>
        </row>
        <row r="302">
          <cell r="A302">
            <v>50008</v>
          </cell>
        </row>
        <row r="303">
          <cell r="A303">
            <v>50009</v>
          </cell>
        </row>
        <row r="304">
          <cell r="A304">
            <v>50010</v>
          </cell>
        </row>
        <row r="305">
          <cell r="A305">
            <v>50011</v>
          </cell>
        </row>
        <row r="306">
          <cell r="A306">
            <v>50012</v>
          </cell>
        </row>
        <row r="307">
          <cell r="A307">
            <v>50013</v>
          </cell>
        </row>
        <row r="308">
          <cell r="A308">
            <v>50014</v>
          </cell>
        </row>
        <row r="309">
          <cell r="A309">
            <v>50015</v>
          </cell>
        </row>
        <row r="310">
          <cell r="A310">
            <v>51001</v>
          </cell>
        </row>
        <row r="311">
          <cell r="A311">
            <v>51002</v>
          </cell>
        </row>
        <row r="312">
          <cell r="A312">
            <v>58001</v>
          </cell>
        </row>
        <row r="313">
          <cell r="A313">
            <v>59001</v>
          </cell>
        </row>
        <row r="314">
          <cell r="A314">
            <v>59002</v>
          </cell>
        </row>
        <row r="315">
          <cell r="A315">
            <v>60001</v>
          </cell>
        </row>
        <row r="316">
          <cell r="A316">
            <v>60002</v>
          </cell>
        </row>
        <row r="317">
          <cell r="A317">
            <v>60003</v>
          </cell>
        </row>
        <row r="318">
          <cell r="A318">
            <v>60004</v>
          </cell>
        </row>
        <row r="319">
          <cell r="A319">
            <v>60005</v>
          </cell>
        </row>
        <row r="320">
          <cell r="A320">
            <v>60006</v>
          </cell>
        </row>
        <row r="321">
          <cell r="A321">
            <v>60007</v>
          </cell>
        </row>
        <row r="322">
          <cell r="A322">
            <v>60010</v>
          </cell>
        </row>
        <row r="323">
          <cell r="A323">
            <v>60011</v>
          </cell>
        </row>
        <row r="324">
          <cell r="A324">
            <v>61011</v>
          </cell>
        </row>
        <row r="325">
          <cell r="A325">
            <v>60012</v>
          </cell>
        </row>
        <row r="326">
          <cell r="A326">
            <v>60013</v>
          </cell>
        </row>
        <row r="327">
          <cell r="A327">
            <v>60014</v>
          </cell>
        </row>
        <row r="328">
          <cell r="A328">
            <v>60015</v>
          </cell>
        </row>
        <row r="329">
          <cell r="A329">
            <v>60016</v>
          </cell>
        </row>
        <row r="330">
          <cell r="A330">
            <v>60017</v>
          </cell>
        </row>
        <row r="331">
          <cell r="A331">
            <v>60018</v>
          </cell>
        </row>
        <row r="332">
          <cell r="A332">
            <v>60019</v>
          </cell>
        </row>
        <row r="333">
          <cell r="A333">
            <v>60020</v>
          </cell>
        </row>
        <row r="334">
          <cell r="A334">
            <v>60025</v>
          </cell>
        </row>
        <row r="335">
          <cell r="A335">
            <v>60026</v>
          </cell>
        </row>
        <row r="336">
          <cell r="A336">
            <v>60027</v>
          </cell>
        </row>
        <row r="337">
          <cell r="A337">
            <v>60028</v>
          </cell>
        </row>
        <row r="338">
          <cell r="A338">
            <v>60029</v>
          </cell>
        </row>
        <row r="339">
          <cell r="A339">
            <v>65525</v>
          </cell>
        </row>
        <row r="340">
          <cell r="A340">
            <v>65526</v>
          </cell>
        </row>
        <row r="341">
          <cell r="A341">
            <v>65527</v>
          </cell>
        </row>
        <row r="342">
          <cell r="A342">
            <v>65528</v>
          </cell>
        </row>
        <row r="343">
          <cell r="A343">
            <v>65529</v>
          </cell>
        </row>
        <row r="344">
          <cell r="A344">
            <v>65530</v>
          </cell>
        </row>
        <row r="345">
          <cell r="A345">
            <v>65531</v>
          </cell>
        </row>
        <row r="346">
          <cell r="A346">
            <v>65532</v>
          </cell>
        </row>
        <row r="347">
          <cell r="A347">
            <v>65533</v>
          </cell>
        </row>
        <row r="348">
          <cell r="A348">
            <v>65534</v>
          </cell>
        </row>
        <row r="349">
          <cell r="A349">
            <v>65535</v>
          </cell>
        </row>
        <row r="350">
          <cell r="A350">
            <v>60021</v>
          </cell>
        </row>
        <row r="351">
          <cell r="A351">
            <v>60022</v>
          </cell>
        </row>
        <row r="352">
          <cell r="A352">
            <v>60023</v>
          </cell>
        </row>
        <row r="353">
          <cell r="A35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49001_1</v>
          </cell>
        </row>
        <row r="891">
          <cell r="A891" t="str">
            <v>49002_1</v>
          </cell>
        </row>
        <row r="892">
          <cell r="A892" t="str">
            <v>49002_2</v>
          </cell>
        </row>
        <row r="893">
          <cell r="A893" t="str">
            <v>49003_1</v>
          </cell>
        </row>
        <row r="894">
          <cell r="A894" t="str">
            <v>49003_2</v>
          </cell>
        </row>
        <row r="895">
          <cell r="A895" t="str">
            <v>49004_1</v>
          </cell>
        </row>
        <row r="896">
          <cell r="A896" t="str">
            <v>49004_2</v>
          </cell>
        </row>
        <row r="897">
          <cell r="A897" t="str">
            <v>49004_3</v>
          </cell>
        </row>
        <row r="898">
          <cell r="A898" t="str">
            <v>49005_1</v>
          </cell>
        </row>
        <row r="899">
          <cell r="A899" t="str">
            <v>49006_1</v>
          </cell>
        </row>
        <row r="900">
          <cell r="A900" t="str">
            <v>49006_2</v>
          </cell>
        </row>
        <row r="901">
          <cell r="A901" t="str">
            <v>49007_1</v>
          </cell>
        </row>
        <row r="902">
          <cell r="A902" t="str">
            <v>49007_2</v>
          </cell>
        </row>
        <row r="903">
          <cell r="A903" t="str">
            <v>49007_3</v>
          </cell>
        </row>
        <row r="904">
          <cell r="A904" t="str">
            <v>49008_1</v>
          </cell>
        </row>
        <row r="905">
          <cell r="A905" t="str">
            <v>49009_1</v>
          </cell>
        </row>
        <row r="906">
          <cell r="A906" t="str">
            <v>49010_1</v>
          </cell>
        </row>
        <row r="907">
          <cell r="A907" t="str">
            <v>49011_1</v>
          </cell>
        </row>
        <row r="908">
          <cell r="A908" t="str">
            <v>49012_1</v>
          </cell>
        </row>
        <row r="909">
          <cell r="A909" t="str">
            <v>49013_1</v>
          </cell>
        </row>
        <row r="910">
          <cell r="A910" t="str">
            <v>49014_1</v>
          </cell>
        </row>
        <row r="911">
          <cell r="A911" t="str">
            <v>49014_2</v>
          </cell>
        </row>
        <row r="912">
          <cell r="A912" t="str">
            <v>49015_1</v>
          </cell>
        </row>
        <row r="913">
          <cell r="A913" t="str">
            <v>49015_2</v>
          </cell>
        </row>
        <row r="914">
          <cell r="A914" t="str">
            <v>49015_3</v>
          </cell>
        </row>
        <row r="915">
          <cell r="A915" t="str">
            <v>50001_1</v>
          </cell>
        </row>
        <row r="916">
          <cell r="A916" t="str">
            <v>50002_1</v>
          </cell>
        </row>
        <row r="917">
          <cell r="A917" t="str">
            <v>50003_1</v>
          </cell>
        </row>
        <row r="918">
          <cell r="A918" t="str">
            <v>50004_1</v>
          </cell>
        </row>
        <row r="919">
          <cell r="A919" t="str">
            <v>50005_1</v>
          </cell>
        </row>
        <row r="920">
          <cell r="A920" t="str">
            <v>50006_1</v>
          </cell>
        </row>
        <row r="921">
          <cell r="A921" t="str">
            <v>50007_1</v>
          </cell>
        </row>
        <row r="922">
          <cell r="A922" t="str">
            <v>50008_1</v>
          </cell>
        </row>
        <row r="923">
          <cell r="A923" t="str">
            <v>50009_1</v>
          </cell>
        </row>
        <row r="924">
          <cell r="A924" t="str">
            <v>50010_1</v>
          </cell>
        </row>
        <row r="925">
          <cell r="A925" t="str">
            <v>50011_1</v>
          </cell>
        </row>
        <row r="926">
          <cell r="A926" t="str">
            <v>50012_1</v>
          </cell>
        </row>
        <row r="927">
          <cell r="A927" t="str">
            <v>50013_1</v>
          </cell>
        </row>
        <row r="928">
          <cell r="A928" t="str">
            <v>50014_1</v>
          </cell>
        </row>
        <row r="929">
          <cell r="A929" t="str">
            <v>50015_1</v>
          </cell>
        </row>
        <row r="930">
          <cell r="A930" t="str">
            <v>51001_1</v>
          </cell>
        </row>
        <row r="931">
          <cell r="A931" t="str">
            <v>51002_1</v>
          </cell>
        </row>
        <row r="932">
          <cell r="A932" t="str">
            <v>58001_1</v>
          </cell>
        </row>
        <row r="933">
          <cell r="A933" t="str">
            <v>59001_1</v>
          </cell>
        </row>
        <row r="934">
          <cell r="A934" t="str">
            <v>59002_1</v>
          </cell>
        </row>
        <row r="935">
          <cell r="A935" t="str">
            <v>60001_1</v>
          </cell>
        </row>
        <row r="936">
          <cell r="A936" t="str">
            <v>60002_1</v>
          </cell>
        </row>
        <row r="937">
          <cell r="A937" t="str">
            <v>60002_2</v>
          </cell>
        </row>
        <row r="938">
          <cell r="A938" t="str">
            <v>60003_1</v>
          </cell>
        </row>
        <row r="939">
          <cell r="A939" t="str">
            <v>60003_2</v>
          </cell>
        </row>
        <row r="940">
          <cell r="A940" t="str">
            <v>60003_3</v>
          </cell>
        </row>
        <row r="941">
          <cell r="A941" t="str">
            <v>60004_1</v>
          </cell>
        </row>
        <row r="942">
          <cell r="A942" t="str">
            <v>60005_1</v>
          </cell>
        </row>
        <row r="943">
          <cell r="A943" t="str">
            <v>60006_1</v>
          </cell>
        </row>
        <row r="944">
          <cell r="A944" t="str">
            <v>60006_2</v>
          </cell>
        </row>
        <row r="945">
          <cell r="A945" t="str">
            <v>60006_3</v>
          </cell>
        </row>
        <row r="946">
          <cell r="A946" t="str">
            <v>60007_1</v>
          </cell>
        </row>
        <row r="947">
          <cell r="A947" t="str">
            <v>60007_2</v>
          </cell>
        </row>
        <row r="948">
          <cell r="A948" t="str">
            <v>60007_3</v>
          </cell>
        </row>
        <row r="949">
          <cell r="A949" t="str">
            <v>60010_1</v>
          </cell>
        </row>
        <row r="950">
          <cell r="A950" t="str">
            <v>60011_1</v>
          </cell>
        </row>
        <row r="951">
          <cell r="A951" t="str">
            <v>60011_2</v>
          </cell>
        </row>
        <row r="952">
          <cell r="A952" t="str">
            <v>60012_1</v>
          </cell>
        </row>
        <row r="953">
          <cell r="A953" t="str">
            <v>60013_1</v>
          </cell>
        </row>
        <row r="954">
          <cell r="A954" t="str">
            <v>60013_2</v>
          </cell>
        </row>
        <row r="955">
          <cell r="A955" t="str">
            <v>60013_3</v>
          </cell>
        </row>
        <row r="956">
          <cell r="A956" t="str">
            <v>60014_1</v>
          </cell>
        </row>
        <row r="957">
          <cell r="A957" t="str">
            <v>60015_1</v>
          </cell>
        </row>
        <row r="958">
          <cell r="A958" t="str">
            <v>60016_1</v>
          </cell>
        </row>
        <row r="959">
          <cell r="A959" t="str">
            <v>60017_1</v>
          </cell>
        </row>
        <row r="960">
          <cell r="A960" t="str">
            <v>60018_1</v>
          </cell>
        </row>
        <row r="961">
          <cell r="A961" t="str">
            <v>60019_1</v>
          </cell>
        </row>
        <row r="962">
          <cell r="A962" t="str">
            <v>60020_1</v>
          </cell>
        </row>
        <row r="963">
          <cell r="A963" t="str">
            <v>60021_3</v>
          </cell>
        </row>
        <row r="964">
          <cell r="A964" t="str">
            <v>60022_3</v>
          </cell>
        </row>
        <row r="965">
          <cell r="A965" t="str">
            <v>60023_3</v>
          </cell>
        </row>
        <row r="966">
          <cell r="A966" t="str">
            <v>60024_3</v>
          </cell>
        </row>
        <row r="967">
          <cell r="A967" t="str">
            <v>60025_1</v>
          </cell>
        </row>
        <row r="968">
          <cell r="A968" t="str">
            <v>60026_1</v>
          </cell>
        </row>
        <row r="969">
          <cell r="A969" t="str">
            <v>61011_1</v>
          </cell>
        </row>
        <row r="970">
          <cell r="A970" t="str">
            <v>60027_1</v>
          </cell>
        </row>
        <row r="971">
          <cell r="A971" t="str">
            <v>60028_1</v>
          </cell>
        </row>
        <row r="972">
          <cell r="A972" t="str">
            <v>60029_1</v>
          </cell>
        </row>
        <row r="973">
          <cell r="A973" t="str">
            <v>65525_1</v>
          </cell>
        </row>
        <row r="974">
          <cell r="A974" t="str">
            <v>65526_1</v>
          </cell>
        </row>
        <row r="975">
          <cell r="A975" t="str">
            <v>65526_2</v>
          </cell>
        </row>
        <row r="976">
          <cell r="A976" t="str">
            <v>65527_1</v>
          </cell>
        </row>
        <row r="977">
          <cell r="A977" t="str">
            <v>65528_1</v>
          </cell>
        </row>
        <row r="978">
          <cell r="A978" t="str">
            <v>65529_1</v>
          </cell>
        </row>
        <row r="979">
          <cell r="A979" t="str">
            <v>65530_1</v>
          </cell>
        </row>
        <row r="980">
          <cell r="A980" t="str">
            <v>65531_1</v>
          </cell>
        </row>
        <row r="981">
          <cell r="A981" t="str">
            <v>65531_2</v>
          </cell>
        </row>
        <row r="982">
          <cell r="A982" t="str">
            <v>65532_1</v>
          </cell>
        </row>
        <row r="983">
          <cell r="A983" t="str">
            <v>65532_2</v>
          </cell>
        </row>
        <row r="984">
          <cell r="A984" t="str">
            <v>65533_1</v>
          </cell>
        </row>
        <row r="985">
          <cell r="A985" t="str">
            <v>65533_2</v>
          </cell>
        </row>
        <row r="986">
          <cell r="A986" t="str">
            <v>65534_1</v>
          </cell>
        </row>
        <row r="987">
          <cell r="A987" t="str">
            <v>65534_2</v>
          </cell>
        </row>
        <row r="988">
          <cell r="A988" t="str">
            <v>65535_1</v>
          </cell>
        </row>
        <row r="989">
          <cell r="A989" t="str">
            <v>65535_2</v>
          </cell>
        </row>
        <row r="990">
          <cell r="A990" t="str">
            <v>65535_3</v>
          </cell>
        </row>
        <row r="991">
          <cell r="A991" t="str">
            <v>65535_4</v>
          </cell>
        </row>
        <row r="992">
          <cell r="A992" t="str">
            <v>65535_5</v>
          </cell>
        </row>
        <row r="993">
          <cell r="A993" t="str">
            <v>65535_6</v>
          </cell>
        </row>
        <row r="994">
          <cell r="A994" t="str">
            <v>65535_7</v>
          </cell>
        </row>
        <row r="995">
          <cell r="A995" t="str">
            <v>65535_8</v>
          </cell>
        </row>
        <row r="996">
          <cell r="A996" t="str">
            <v>65535_9</v>
          </cell>
        </row>
        <row r="997">
          <cell r="A99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18" sqref="E1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257</v>
      </c>
      <c r="B2" s="57" t="s">
        <v>107</v>
      </c>
      <c r="C2" s="62">
        <v>40040</v>
      </c>
      <c r="D2" s="57" t="s">
        <v>108</v>
      </c>
      <c r="E2" s="56" t="str">
        <f>B2&amp;C2&amp;D2</f>
        <v>floors_40040.tmp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257</v>
      </c>
      <c r="B3" s="57" t="s">
        <v>110</v>
      </c>
      <c r="C3" s="62">
        <f>C$2</f>
        <v>40040</v>
      </c>
      <c r="D3" s="57" t="s">
        <v>108</v>
      </c>
      <c r="E3" s="56" t="str">
        <f>B3&amp;C3&amp;D3</f>
        <v>enemy_habitats_40040.tmp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 x14ac:dyDescent="0.15">
      <c r="A4" s="61" t="s">
        <v>257</v>
      </c>
      <c r="B4" s="57" t="s">
        <v>112</v>
      </c>
      <c r="C4" s="62">
        <f t="shared" ref="C4:C13" si="0">C$2</f>
        <v>40040</v>
      </c>
      <c r="D4" s="57" t="s">
        <v>108</v>
      </c>
      <c r="E4" s="56" t="str">
        <f>B4&amp;C4&amp;D4</f>
        <v>enemy_habitat_S_40040.tmp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257</v>
      </c>
      <c r="B5" s="57" t="s">
        <v>114</v>
      </c>
      <c r="C5" s="62">
        <f t="shared" si="0"/>
        <v>40040</v>
      </c>
      <c r="D5" s="57" t="s">
        <v>108</v>
      </c>
      <c r="E5" s="56" t="str">
        <f>B5&amp;C5&amp;D5</f>
        <v>enemy_skill_sets_40040.tmp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257</v>
      </c>
      <c r="B6" s="57" t="s">
        <v>116</v>
      </c>
      <c r="C6" s="62">
        <f t="shared" si="0"/>
        <v>40040</v>
      </c>
      <c r="D6" s="57" t="s">
        <v>117</v>
      </c>
      <c r="E6" s="56" t="str">
        <f t="shared" ref="E6:E10" si="1">B6&amp;C6&amp;D6</f>
        <v>enemy_skills_tmp_40040.tmp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257</v>
      </c>
      <c r="B7" s="57" t="s">
        <v>118</v>
      </c>
      <c r="C7" s="62">
        <f t="shared" si="0"/>
        <v>40040</v>
      </c>
      <c r="D7" s="57" t="s">
        <v>108</v>
      </c>
      <c r="E7" s="56" t="str">
        <f>B7&amp;C7&amp;D7</f>
        <v>enemy_skills_i18n_40040.tmp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257</v>
      </c>
      <c r="B8" s="57" t="s">
        <v>120</v>
      </c>
      <c r="C8" s="62">
        <f t="shared" si="0"/>
        <v>40040</v>
      </c>
      <c r="D8" s="57" t="s">
        <v>121</v>
      </c>
      <c r="E8" s="56" t="str">
        <f t="shared" si="1"/>
        <v>enemy_skill_triggers_40040.tmp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257</v>
      </c>
      <c r="B9" s="67" t="s">
        <v>179</v>
      </c>
      <c r="C9" s="62">
        <f t="shared" si="0"/>
        <v>40040</v>
      </c>
      <c r="D9" s="67" t="s">
        <v>173</v>
      </c>
      <c r="E9" s="68" t="str">
        <f t="shared" si="1"/>
        <v>stage_bug_bonuses_40040.tmp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257</v>
      </c>
      <c r="B10" s="67" t="s">
        <v>203</v>
      </c>
      <c r="C10" s="62">
        <f>C$2</f>
        <v>40040</v>
      </c>
      <c r="D10" s="67" t="s">
        <v>182</v>
      </c>
      <c r="E10" s="68" t="str">
        <f t="shared" si="1"/>
        <v>stage_hints_data_c_40040.tmp</v>
      </c>
      <c r="F10" s="67" t="s">
        <v>211</v>
      </c>
      <c r="G10" s="72" t="s">
        <v>183</v>
      </c>
      <c r="H10" s="72" t="s">
        <v>175</v>
      </c>
      <c r="I10" s="73" t="s">
        <v>184</v>
      </c>
      <c r="J10" s="66" t="s">
        <v>185</v>
      </c>
      <c r="K10" s="66" t="s">
        <v>186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1" t="s">
        <v>257</v>
      </c>
      <c r="B11" s="67" t="s">
        <v>204</v>
      </c>
      <c r="C11" s="62">
        <f t="shared" si="0"/>
        <v>40040</v>
      </c>
      <c r="D11" s="67" t="s">
        <v>173</v>
      </c>
      <c r="E11" s="68" t="str">
        <f t="shared" ref="E11:E13" si="2">B11&amp;C11&amp;D11</f>
        <v>stage_hints_data_f_40040.tmp</v>
      </c>
      <c r="F11" s="67" t="s">
        <v>212</v>
      </c>
      <c r="G11" s="72" t="s">
        <v>183</v>
      </c>
      <c r="H11" s="72" t="s">
        <v>175</v>
      </c>
      <c r="I11" s="73" t="s">
        <v>184</v>
      </c>
      <c r="J11" s="66" t="s">
        <v>185</v>
      </c>
      <c r="K11" s="66" t="s">
        <v>186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1" t="s">
        <v>257</v>
      </c>
      <c r="B12" s="67" t="s">
        <v>205</v>
      </c>
      <c r="C12" s="62">
        <f t="shared" si="0"/>
        <v>40040</v>
      </c>
      <c r="D12" s="67" t="s">
        <v>173</v>
      </c>
      <c r="E12" s="68" t="str">
        <f t="shared" si="2"/>
        <v>stage_hints_i18n_40040.tmp</v>
      </c>
      <c r="F12" s="67" t="s">
        <v>213</v>
      </c>
      <c r="G12" s="73" t="s">
        <v>206</v>
      </c>
      <c r="H12" s="92" t="s">
        <v>207</v>
      </c>
      <c r="I12" s="72" t="s">
        <v>208</v>
      </c>
      <c r="J12" s="100" t="s">
        <v>209</v>
      </c>
      <c r="K12" s="66" t="s">
        <v>210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1" t="s">
        <v>257</v>
      </c>
      <c r="B13" s="67" t="s">
        <v>253</v>
      </c>
      <c r="C13" s="62">
        <f t="shared" si="0"/>
        <v>40040</v>
      </c>
      <c r="D13" s="67" t="s">
        <v>234</v>
      </c>
      <c r="E13" s="68" t="str">
        <f t="shared" si="2"/>
        <v>stage_bonuses_40040.tmp</v>
      </c>
      <c r="F13" s="67" t="s">
        <v>233</v>
      </c>
      <c r="G13" s="72" t="s">
        <v>235</v>
      </c>
      <c r="H13" s="72" t="s">
        <v>236</v>
      </c>
      <c r="I13" s="72" t="s">
        <v>237</v>
      </c>
      <c r="J13" s="72" t="s">
        <v>238</v>
      </c>
      <c r="K13" s="72" t="s">
        <v>239</v>
      </c>
      <c r="L13" s="72" t="s">
        <v>240</v>
      </c>
      <c r="M13" s="72" t="s">
        <v>241</v>
      </c>
      <c r="N13" s="72" t="s">
        <v>242</v>
      </c>
      <c r="O13" s="72" t="s">
        <v>243</v>
      </c>
      <c r="P13" s="72" t="s">
        <v>244</v>
      </c>
      <c r="Q13" s="72" t="s">
        <v>245</v>
      </c>
      <c r="R13" s="72" t="s">
        <v>246</v>
      </c>
      <c r="S13" s="72" t="s">
        <v>247</v>
      </c>
      <c r="T13" s="72" t="s">
        <v>248</v>
      </c>
      <c r="U13" s="72" t="s">
        <v>249</v>
      </c>
      <c r="V13" s="72" t="s">
        <v>250</v>
      </c>
      <c r="W13" s="72" t="s">
        <v>251</v>
      </c>
      <c r="X13" s="72" t="s">
        <v>252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H13" sqref="H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40040_1-1</v>
      </c>
      <c r="B2" s="16" t="str">
        <f>IF(COUNTIF(enemy_habitats!$H:$H,A2),"OK","NG")</f>
        <v>OK</v>
      </c>
      <c r="C2" s="7">
        <v>40040</v>
      </c>
      <c r="D2" s="11" t="str">
        <f ca="1">VLOOKUP($C2,OFFSET([2]quests!$A$1,0,0,COUNTA([2]quests!$A:$A),MATCH(D$1,[2]quests!$1:$1,0)-MATCH($C$1,[2]quests!$1:$1,0)+1),MATCH(D$1,[2]quests!$1:$1,0)-MATCH($C$1,[2]quests!$1:$1,0)+1,FALSE)</f>
        <v>竹中半兵衛襲来！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降臨40</v>
      </c>
      <c r="F2" s="21">
        <v>1</v>
      </c>
      <c r="G2" s="23" t="str">
        <f>C2&amp;"_"&amp;F2</f>
        <v>40040_1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【超絶級】竹中半兵衛襲来</v>
      </c>
      <c r="I2" s="21">
        <v>1</v>
      </c>
      <c r="J2" s="12">
        <v>40</v>
      </c>
      <c r="K2" s="12">
        <v>40</v>
      </c>
    </row>
    <row r="3" spans="1:11" ht="21" customHeight="1" x14ac:dyDescent="0.15">
      <c r="A3" s="16" t="str">
        <f t="shared" ref="A3:A7" si="0">G3&amp;"-"&amp;I3</f>
        <v>40040_1-2</v>
      </c>
      <c r="B3" s="16" t="str">
        <f>IF(COUNTIF(enemy_habitats!$H:$H,A3),"OK","NG")</f>
        <v>OK</v>
      </c>
      <c r="C3" s="7">
        <v>40040</v>
      </c>
      <c r="D3" s="11" t="str">
        <f ca="1">VLOOKUP($C3,OFFSET([2]quests!$A$1,0,0,COUNTA([2]quests!$A:$A),MATCH(D$1,[2]quests!$1:$1,0)-MATCH($C$1,[2]quests!$1:$1,0)+1),MATCH(D$1,[2]quests!$1:$1,0)-MATCH($C$1,[2]quests!$1:$1,0)+1,FALSE)</f>
        <v>竹中半兵衛襲来！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降臨40</v>
      </c>
      <c r="F3" s="21">
        <v>1</v>
      </c>
      <c r="G3" s="23" t="str">
        <f t="shared" ref="G3:G7" si="1">C3&amp;"_"&amp;F3</f>
        <v>40040_1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【超絶級】竹中半兵衛襲来</v>
      </c>
      <c r="I3" s="21">
        <v>2</v>
      </c>
      <c r="J3" s="12">
        <v>40</v>
      </c>
      <c r="K3" s="12">
        <v>40</v>
      </c>
    </row>
    <row r="4" spans="1:11" ht="21" customHeight="1" x14ac:dyDescent="0.15">
      <c r="A4" s="16" t="str">
        <f t="shared" si="0"/>
        <v>40040_1-3</v>
      </c>
      <c r="B4" s="16" t="str">
        <f>IF(COUNTIF(enemy_habitats!$H:$H,A4),"OK","NG")</f>
        <v>OK</v>
      </c>
      <c r="C4" s="7">
        <v>40040</v>
      </c>
      <c r="D4" s="11" t="str">
        <f ca="1">VLOOKUP($C4,OFFSET([2]quests!$A$1,0,0,COUNTA([2]quests!$A:$A),MATCH(D$1,[2]quests!$1:$1,0)-MATCH($C$1,[2]quests!$1:$1,0)+1),MATCH(D$1,[2]quests!$1:$1,0)-MATCH($C$1,[2]quests!$1:$1,0)+1,FALSE)</f>
        <v>竹中半兵衛襲来！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降臨40</v>
      </c>
      <c r="F4" s="21">
        <v>1</v>
      </c>
      <c r="G4" s="23" t="str">
        <f t="shared" si="1"/>
        <v>40040_1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【超絶級】竹中半兵衛襲来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40040_2-1</v>
      </c>
      <c r="B5" s="16" t="str">
        <f>IF(COUNTIF(enemy_habitats!$H:$H,A5),"OK","NG")</f>
        <v>OK</v>
      </c>
      <c r="C5" s="7">
        <v>40040</v>
      </c>
      <c r="D5" s="11" t="str">
        <f ca="1">VLOOKUP($C5,OFFSET([2]quests!$A$1,0,0,COUNTA([2]quests!$A:$A),MATCH(D$1,[2]quests!$1:$1,0)-MATCH($C$1,[2]quests!$1:$1,0)+1),MATCH(D$1,[2]quests!$1:$1,0)-MATCH($C$1,[2]quests!$1:$1,0)+1,FALSE)</f>
        <v>竹中半兵衛襲来！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降臨40</v>
      </c>
      <c r="F5" s="21">
        <v>2</v>
      </c>
      <c r="G5" s="23" t="str">
        <f t="shared" si="1"/>
        <v>40040_2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【ウィザード級】竹中半兵衛襲来</v>
      </c>
      <c r="I5" s="21">
        <v>1</v>
      </c>
      <c r="J5" s="12">
        <v>40</v>
      </c>
      <c r="K5" s="12">
        <v>40</v>
      </c>
    </row>
    <row r="6" spans="1:11" ht="21" customHeight="1" x14ac:dyDescent="0.15">
      <c r="A6" s="16" t="str">
        <f t="shared" si="0"/>
        <v>40040_2-2</v>
      </c>
      <c r="B6" s="16" t="str">
        <f>IF(COUNTIF(enemy_habitats!$H:$H,A6),"OK","NG")</f>
        <v>OK</v>
      </c>
      <c r="C6" s="7">
        <v>40040</v>
      </c>
      <c r="D6" s="11" t="str">
        <f ca="1">VLOOKUP($C6,OFFSET([2]quests!$A$1,0,0,COUNTA([2]quests!$A:$A),MATCH(D$1,[2]quests!$1:$1,0)-MATCH($C$1,[2]quests!$1:$1,0)+1),MATCH(D$1,[2]quests!$1:$1,0)-MATCH($C$1,[2]quests!$1:$1,0)+1,FALSE)</f>
        <v>竹中半兵衛襲来！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降臨40</v>
      </c>
      <c r="F6" s="21">
        <v>2</v>
      </c>
      <c r="G6" s="23" t="str">
        <f t="shared" si="1"/>
        <v>40040_2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【ウィザード級】竹中半兵衛襲来</v>
      </c>
      <c r="I6" s="21">
        <v>2</v>
      </c>
      <c r="J6" s="12">
        <v>40</v>
      </c>
      <c r="K6" s="12">
        <v>40</v>
      </c>
    </row>
    <row r="7" spans="1:11" ht="21" customHeight="1" x14ac:dyDescent="0.15">
      <c r="A7" s="16" t="str">
        <f t="shared" si="0"/>
        <v>40040_2-3</v>
      </c>
      <c r="B7" s="16" t="str">
        <f>IF(COUNTIF(enemy_habitats!$H:$H,A7),"OK","NG")</f>
        <v>OK</v>
      </c>
      <c r="C7" s="7">
        <v>40040</v>
      </c>
      <c r="D7" s="11" t="str">
        <f ca="1">VLOOKUP($C7,OFFSET([2]quests!$A$1,0,0,COUNTA([2]quests!$A:$A),MATCH(D$1,[2]quests!$1:$1,0)-MATCH($C$1,[2]quests!$1:$1,0)+1),MATCH(D$1,[2]quests!$1:$1,0)-MATCH($C$1,[2]quests!$1:$1,0)+1,FALSE)</f>
        <v>竹中半兵衛襲来！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降臨40</v>
      </c>
      <c r="F7" s="21">
        <v>2</v>
      </c>
      <c r="G7" s="23" t="str">
        <f t="shared" si="1"/>
        <v>40040_2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【ウィザード級】竹中半兵衛襲来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C13" sqref="C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8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2.332031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254</v>
      </c>
      <c r="U1" s="26" t="s">
        <v>50</v>
      </c>
      <c r="V1" s="101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>B2&amp;"_"&amp;C2&amp;"-"&amp;G2&amp;"/"&amp;L2&amp;"&lt;lv"&amp;R2&amp;"&gt;s"&amp;AC2</f>
        <v>40040_1-1/46&lt;lv60&gt;s1</v>
      </c>
      <c r="B2" s="22">
        <v>40040</v>
      </c>
      <c r="C2" s="21">
        <v>1</v>
      </c>
      <c r="D2" s="2" t="str">
        <f>B2&amp;"_"&amp;C2</f>
        <v>40040_1</v>
      </c>
      <c r="E2" s="4" t="str">
        <f ca="1">VLOOKUP($B2,OFFSET([2]quests!$A$1,0,0,COUNTA([2]quests!$A:$A),MATCH(E$1,[2]quests!$1:$1,0)-MATCH($B$1,[2]quests!$1:$1,0)+1),MATCH(E$1,[2]quests!$1:$1,0)-MATCH($B$1,[2]quests!$1:$1,0)+1,FALSE)</f>
        <v>竹中半兵衛襲来！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【超絶級】竹中半兵衛襲来</v>
      </c>
      <c r="G2" s="21">
        <v>1</v>
      </c>
      <c r="H2" s="15" t="str">
        <f>B2&amp;"_"&amp;C2&amp;"-"&amp;G2</f>
        <v>40040_1-1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 t="s">
        <v>53</v>
      </c>
      <c r="L2" s="20">
        <v>46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微笑みの筆跡 ショウイン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60</v>
      </c>
      <c r="S2" s="25">
        <v>0.8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47084.800000000003</v>
      </c>
      <c r="U2" s="25">
        <v>0.5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2840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秀吉グループの構成メンバーが_x000D_他のメンバーについて噂話をしている……</v>
      </c>
      <c r="Y2" s="47">
        <v>40040007</v>
      </c>
      <c r="Z2" s="6">
        <v>1</v>
      </c>
      <c r="AA2" s="6">
        <v>100</v>
      </c>
      <c r="AB2" s="6">
        <v>0</v>
      </c>
      <c r="AC2" s="116">
        <v>1</v>
      </c>
      <c r="AD2" s="24">
        <v>45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ca="1">AF2</f>
        <v>2</v>
      </c>
      <c r="AJ2" s="8">
        <v>50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11" si="0">B3&amp;"_"&amp;C3&amp;"-"&amp;G3&amp;"/"&amp;L3&amp;"&lt;lv"&amp;R3&amp;"&gt;s"&amp;AC3</f>
        <v>40040_1-1/62&lt;lv60&gt;s1</v>
      </c>
      <c r="B3" s="22">
        <v>40040</v>
      </c>
      <c r="C3" s="21">
        <v>1</v>
      </c>
      <c r="D3" s="2" t="str">
        <f t="shared" ref="D3:D11" si="1">B3&amp;"_"&amp;C3</f>
        <v>40040_1</v>
      </c>
      <c r="E3" s="4" t="str">
        <f ca="1">VLOOKUP($B3,OFFSET([2]quests!$A$1,0,0,COUNTA([2]quests!$A:$A),MATCH(E$1,[2]quests!$1:$1,0)-MATCH($B$1,[2]quests!$1:$1,0)+1),MATCH(E$1,[2]quests!$1:$1,0)-MATCH($B$1,[2]quests!$1:$1,0)+1,FALSE)</f>
        <v>竹中半兵衛襲来！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【超絶級】竹中半兵衛襲来</v>
      </c>
      <c r="G3" s="21">
        <v>1</v>
      </c>
      <c r="H3" s="15" t="str">
        <f t="shared" ref="H3:H11" si="2">B3&amp;"_"&amp;C3&amp;"-"&amp;G3</f>
        <v>40040_1-1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 t="s">
        <v>53</v>
      </c>
      <c r="L3" s="20">
        <v>62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脈動旋律のクロウ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60</v>
      </c>
      <c r="S3" s="25">
        <v>1.5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48708</v>
      </c>
      <c r="U3" s="25">
        <v>0.7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3649.1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これ以上の情報は得られなさそうだ</v>
      </c>
      <c r="Y3" s="47">
        <v>40040008</v>
      </c>
      <c r="Z3" s="6">
        <v>1</v>
      </c>
      <c r="AA3" s="6">
        <v>100</v>
      </c>
      <c r="AB3" s="6">
        <v>1</v>
      </c>
      <c r="AC3" s="116">
        <v>1</v>
      </c>
      <c r="AD3" s="24">
        <v>61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ref="AI3:AI11" ca="1" si="3">AF3</f>
        <v>2</v>
      </c>
      <c r="AJ3" s="8">
        <v>50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40040_1-2/375&lt;lv60&gt;s1</v>
      </c>
      <c r="B4" s="22">
        <v>40040</v>
      </c>
      <c r="C4" s="21">
        <v>1</v>
      </c>
      <c r="D4" s="2" t="str">
        <f t="shared" si="1"/>
        <v>40040_1</v>
      </c>
      <c r="E4" s="4" t="str">
        <f ca="1">VLOOKUP($B4,OFFSET([2]quests!$A$1,0,0,COUNTA([2]quests!$A:$A),MATCH(E$1,[2]quests!$1:$1,0)-MATCH($B$1,[2]quests!$1:$1,0)+1),MATCH(E$1,[2]quests!$1:$1,0)-MATCH($B$1,[2]quests!$1:$1,0)+1,FALSE)</f>
        <v>竹中半兵衛襲来！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【超絶級】竹中半兵衛襲来</v>
      </c>
      <c r="G4" s="21">
        <v>2</v>
      </c>
      <c r="H4" s="15" t="str">
        <f t="shared" si="2"/>
        <v>40040_1-2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 t="s">
        <v>53</v>
      </c>
      <c r="L4" s="20">
        <v>375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蒼術兎忍 影丸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60</v>
      </c>
      <c r="S4" s="25">
        <v>12.3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149777.1</v>
      </c>
      <c r="U4" s="25">
        <v>1.4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6014.4</v>
      </c>
      <c r="W4" s="5">
        <v>0</v>
      </c>
      <c r="X4" s="4">
        <f ca="1">VLOOKUP($Y4,OFFSET(enemy_skill_sets!$B$1,0,0,COUNTA(enemy_skill_sets!$B:$B),MATCH(M$1,enemy_skill_sets!$1:$1,0)-MATCH($Y$1,enemy_skill_sets!$1:$1,0)+2),MATCH(M$1,enemy_skill_sets!$1:$1,0)-MATCH($Y$1,enemy_skill_sets!$1:$1,0)+2,FALSE)</f>
        <v>0</v>
      </c>
      <c r="Y4" s="47">
        <v>40040009</v>
      </c>
      <c r="Z4" s="6">
        <v>1</v>
      </c>
      <c r="AA4" s="6">
        <v>100</v>
      </c>
      <c r="AB4" s="6">
        <v>0</v>
      </c>
      <c r="AC4" s="116">
        <v>1</v>
      </c>
      <c r="AD4" s="24">
        <f t="shared" ref="AD4:AD11" si="4">L4</f>
        <v>375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蒼術兎忍 影丸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3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40040_1-2/375&lt;lv61&gt;s1</v>
      </c>
      <c r="B5" s="22">
        <v>40040</v>
      </c>
      <c r="C5" s="21">
        <v>1</v>
      </c>
      <c r="D5" s="2" t="str">
        <f t="shared" si="1"/>
        <v>40040_1</v>
      </c>
      <c r="E5" s="4" t="str">
        <f ca="1">VLOOKUP($B5,OFFSET([2]quests!$A$1,0,0,COUNTA([2]quests!$A:$A),MATCH(E$1,[2]quests!$1:$1,0)-MATCH($B$1,[2]quests!$1:$1,0)+1),MATCH(E$1,[2]quests!$1:$1,0)-MATCH($B$1,[2]quests!$1:$1,0)+1,FALSE)</f>
        <v>竹中半兵衛襲来！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【超絶級】竹中半兵衛襲来</v>
      </c>
      <c r="G5" s="21">
        <v>2</v>
      </c>
      <c r="H5" s="15" t="str">
        <f t="shared" si="2"/>
        <v>40040_1-2</v>
      </c>
      <c r="I5" s="4">
        <f ca="1">VLOOKUP($H5,OFFSET(floors!$A$1,0,0,COUNTA(floors!$A:$A),MATCH(I$1,floors!$1:$1,0)-MATCH($H$1,floors!$1:$1,0)+1),MATCH(I$1,floors!$1:$1,0)-MATCH($H$1,floors!$1:$1,0)+1,FALSE)</f>
        <v>40</v>
      </c>
      <c r="J5" s="4">
        <f ca="1">VLOOKUP($H5,OFFSET(floors!$A$1,0,0,COUNTA(floors!$A:$A),MATCH(J$1,floors!$1:$1,0)-MATCH($H$1,floors!$1:$1,0)+1),MATCH(J$1,floors!$1:$1,0)-MATCH($H$1,floors!$1:$1,0)+1,FALSE)</f>
        <v>40</v>
      </c>
      <c r="K5" s="38" t="s">
        <v>53</v>
      </c>
      <c r="L5" s="20">
        <v>375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蒼術兎忍 影丸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61</v>
      </c>
      <c r="S5" s="25">
        <v>12.1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149737.5</v>
      </c>
      <c r="U5" s="25">
        <v>1.4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6112.4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『お前に見破れるか！』</v>
      </c>
      <c r="Y5" s="47">
        <v>40040010</v>
      </c>
      <c r="Z5" s="6">
        <v>1</v>
      </c>
      <c r="AA5" s="6">
        <v>100</v>
      </c>
      <c r="AB5" s="6">
        <v>1</v>
      </c>
      <c r="AC5" s="116">
        <v>1</v>
      </c>
      <c r="AD5" s="24">
        <f t="shared" si="4"/>
        <v>375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蒼術兎忍 影丸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3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40040_1-3/1240&lt;lv60&gt;s2</v>
      </c>
      <c r="B6" s="22">
        <v>40040</v>
      </c>
      <c r="C6" s="21">
        <v>1</v>
      </c>
      <c r="D6" s="2" t="str">
        <f t="shared" si="1"/>
        <v>40040_1</v>
      </c>
      <c r="E6" s="4" t="str">
        <f ca="1">VLOOKUP($B6,OFFSET([2]quests!$A$1,0,0,COUNTA([2]quests!$A:$A),MATCH(E$1,[2]quests!$1:$1,0)-MATCH($B$1,[2]quests!$1:$1,0)+1),MATCH(E$1,[2]quests!$1:$1,0)-MATCH($B$1,[2]quests!$1:$1,0)+1,FALSE)</f>
        <v>竹中半兵衛襲来！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【超絶級】竹中半兵衛襲来</v>
      </c>
      <c r="G6" s="21">
        <v>3</v>
      </c>
      <c r="H6" s="15" t="str">
        <f t="shared" si="2"/>
        <v>40040_1-3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1240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竹中半兵衛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60</v>
      </c>
      <c r="S6" s="25">
        <v>2.14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304954.28000000003</v>
      </c>
      <c r="U6" s="25">
        <v>1.25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6922.5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赤属性スキルダメージ50%軽減</v>
      </c>
      <c r="Y6" s="47">
        <v>40040011</v>
      </c>
      <c r="Z6" s="6">
        <v>1</v>
      </c>
      <c r="AA6" s="6">
        <v>100</v>
      </c>
      <c r="AB6" s="6">
        <v>1</v>
      </c>
      <c r="AC6" s="116">
        <v>2</v>
      </c>
      <c r="AD6" s="24">
        <f t="shared" si="4"/>
        <v>1240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竹中半兵衛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3"/>
        <v>5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40040_2-1/46&lt;lv70&gt;s1</v>
      </c>
      <c r="B7" s="22">
        <v>40040</v>
      </c>
      <c r="C7" s="21">
        <v>2</v>
      </c>
      <c r="D7" s="2" t="str">
        <f t="shared" si="1"/>
        <v>40040_2</v>
      </c>
      <c r="E7" s="4" t="str">
        <f ca="1">VLOOKUP($B7,OFFSET([2]quests!$A$1,0,0,COUNTA([2]quests!$A:$A),MATCH(E$1,[2]quests!$1:$1,0)-MATCH($B$1,[2]quests!$1:$1,0)+1),MATCH(E$1,[2]quests!$1:$1,0)-MATCH($B$1,[2]quests!$1:$1,0)+1,FALSE)</f>
        <v>竹中半兵衛襲来！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【ウィザード級】竹中半兵衛襲来</v>
      </c>
      <c r="G7" s="21">
        <v>1</v>
      </c>
      <c r="H7" s="15" t="str">
        <f t="shared" si="2"/>
        <v>40040_2-1</v>
      </c>
      <c r="I7" s="4">
        <f ca="1">VLOOKUP($H7,OFFSET(floors!$A$1,0,0,COUNTA(floors!$A:$A),MATCH(I$1,floors!$1:$1,0)-MATCH($H$1,floors!$1:$1,0)+1),MATCH(I$1,floors!$1:$1,0)-MATCH($H$1,floors!$1:$1,0)+1,FALSE)</f>
        <v>40</v>
      </c>
      <c r="J7" s="4">
        <f ca="1">VLOOKUP($H7,OFFSET(floors!$A$1,0,0,COUNTA(floors!$A:$A),MATCH(J$1,floors!$1:$1,0)-MATCH($H$1,floors!$1:$1,0)+1),MATCH(J$1,floors!$1:$1,0)-MATCH($H$1,floors!$1:$1,0)+1,FALSE)</f>
        <v>40</v>
      </c>
      <c r="K7" s="38" t="s">
        <v>53</v>
      </c>
      <c r="L7" s="20">
        <v>46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微笑みの筆跡 ショウイン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70</v>
      </c>
      <c r="S7" s="25">
        <v>1.2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82111.199999999997</v>
      </c>
      <c r="U7" s="25">
        <v>0.6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3962.3999999999996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秀吉グループの構成メンバーが_x000D_他のメンバーについて噂話をしている……</v>
      </c>
      <c r="Y7" s="47">
        <v>40040000</v>
      </c>
      <c r="Z7" s="6">
        <v>1</v>
      </c>
      <c r="AA7" s="6">
        <v>100</v>
      </c>
      <c r="AB7" s="6">
        <v>0</v>
      </c>
      <c r="AC7" s="116">
        <v>1</v>
      </c>
      <c r="AD7" s="24">
        <v>45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7">
        <v>1</v>
      </c>
      <c r="AI7" s="24">
        <f t="shared" ca="1" si="3"/>
        <v>2</v>
      </c>
      <c r="AJ7" s="8">
        <v>50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40040_2-1/62&lt;lv70&gt;s1</v>
      </c>
      <c r="B8" s="22">
        <v>40040</v>
      </c>
      <c r="C8" s="21">
        <v>2</v>
      </c>
      <c r="D8" s="2" t="str">
        <f t="shared" si="1"/>
        <v>40040_2</v>
      </c>
      <c r="E8" s="4" t="str">
        <f ca="1">VLOOKUP($B8,OFFSET([2]quests!$A$1,0,0,COUNTA([2]quests!$A:$A),MATCH(E$1,[2]quests!$1:$1,0)-MATCH($B$1,[2]quests!$1:$1,0)+1),MATCH(E$1,[2]quests!$1:$1,0)-MATCH($B$1,[2]quests!$1:$1,0)+1,FALSE)</f>
        <v>竹中半兵衛襲来！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【ウィザード級】竹中半兵衛襲来</v>
      </c>
      <c r="G8" s="21">
        <v>1</v>
      </c>
      <c r="H8" s="15" t="str">
        <f t="shared" si="2"/>
        <v>40040_2-1</v>
      </c>
      <c r="I8" s="4">
        <f ca="1">VLOOKUP($H8,OFFSET(floors!$A$1,0,0,COUNTA(floors!$A:$A),MATCH(I$1,floors!$1:$1,0)-MATCH($H$1,floors!$1:$1,0)+1),MATCH(I$1,floors!$1:$1,0)-MATCH($H$1,floors!$1:$1,0)+1,FALSE)</f>
        <v>40</v>
      </c>
      <c r="J8" s="4">
        <f ca="1">VLOOKUP($H8,OFFSET(floors!$A$1,0,0,COUNTA(floors!$A:$A),MATCH(J$1,floors!$1:$1,0)-MATCH($H$1,floors!$1:$1,0)+1),MATCH(J$1,floors!$1:$1,0)-MATCH($H$1,floors!$1:$1,0)+1,FALSE)</f>
        <v>40</v>
      </c>
      <c r="K8" s="38" t="s">
        <v>53</v>
      </c>
      <c r="L8" s="20">
        <v>62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脈動旋律のクロウ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70</v>
      </c>
      <c r="S8" s="25">
        <v>2.2000000000000002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83054.400000000009</v>
      </c>
      <c r="U8" s="25">
        <v>0.8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4848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これ以上の情報は得られなさそうだ</v>
      </c>
      <c r="Y8" s="47">
        <v>40040001</v>
      </c>
      <c r="Z8" s="6">
        <v>1</v>
      </c>
      <c r="AA8" s="6">
        <v>100</v>
      </c>
      <c r="AB8" s="6">
        <v>1</v>
      </c>
      <c r="AC8" s="116">
        <v>1</v>
      </c>
      <c r="AD8" s="24">
        <v>61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7">
        <v>1</v>
      </c>
      <c r="AI8" s="24">
        <f t="shared" ca="1" si="3"/>
        <v>2</v>
      </c>
      <c r="AJ8" s="8">
        <v>50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40040_2-2/375&lt;lv70&gt;s1</v>
      </c>
      <c r="B9" s="22">
        <v>40040</v>
      </c>
      <c r="C9" s="21">
        <v>2</v>
      </c>
      <c r="D9" s="2" t="str">
        <f t="shared" si="1"/>
        <v>40040_2</v>
      </c>
      <c r="E9" s="4" t="str">
        <f ca="1">VLOOKUP($B9,OFFSET([2]quests!$A$1,0,0,COUNTA([2]quests!$A:$A),MATCH(E$1,[2]quests!$1:$1,0)-MATCH($B$1,[2]quests!$1:$1,0)+1),MATCH(E$1,[2]quests!$1:$1,0)-MATCH($B$1,[2]quests!$1:$1,0)+1,FALSE)</f>
        <v>竹中半兵衛襲来！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【ウィザード級】竹中半兵衛襲来</v>
      </c>
      <c r="G9" s="21">
        <v>2</v>
      </c>
      <c r="H9" s="15" t="str">
        <f t="shared" si="2"/>
        <v>40040_2-2</v>
      </c>
      <c r="I9" s="4">
        <f ca="1">VLOOKUP($H9,OFFSET(floors!$A$1,0,0,COUNTA(floors!$A:$A),MATCH(I$1,floors!$1:$1,0)-MATCH($H$1,floors!$1:$1,0)+1),MATCH(I$1,floors!$1:$1,0)-MATCH($H$1,floors!$1:$1,0)+1,FALSE)</f>
        <v>40</v>
      </c>
      <c r="J9" s="4">
        <f ca="1">VLOOKUP($H9,OFFSET(floors!$A$1,0,0,COUNTA(floors!$A:$A),MATCH(J$1,floors!$1:$1,0)-MATCH($H$1,floors!$1:$1,0)+1),MATCH(J$1,floors!$1:$1,0)-MATCH($H$1,floors!$1:$1,0)+1,FALSE)</f>
        <v>40</v>
      </c>
      <c r="K9" s="38" t="s">
        <v>53</v>
      </c>
      <c r="L9" s="20">
        <v>375</v>
      </c>
      <c r="M9" s="17" t="str">
        <f ca="1">VLOOKUP($L9,OFFSET([3]enemies!$A$1,0,0,COUNTA([3]enemies!$A:$A),MATCH(M$1,[3]enemies!$1:$1,0)-MATCH($L$1,[3]enemies!$1:$1,0)+1),MATCH(M$1,[3]enemies!$1:$1,0)-MATCH($L$1,[3]enemies!$1:$1,0)+1,FALSE)</f>
        <v>蒼術兎忍 影丸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70</v>
      </c>
      <c r="S9" s="25">
        <v>21.2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300128.39999999997</v>
      </c>
      <c r="U9" s="25">
        <v>1.2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5994</v>
      </c>
      <c r="W9" s="5">
        <v>0</v>
      </c>
      <c r="X9" s="4">
        <f ca="1">VLOOKUP($Y9,OFFSET(enemy_skill_sets!$B$1,0,0,COUNTA(enemy_skill_sets!$B:$B),MATCH(M$1,enemy_skill_sets!$1:$1,0)-MATCH($Y$1,enemy_skill_sets!$1:$1,0)+2),MATCH(M$1,enemy_skill_sets!$1:$1,0)-MATCH($Y$1,enemy_skill_sets!$1:$1,0)+2,FALSE)</f>
        <v>0</v>
      </c>
      <c r="Y9" s="117">
        <v>40040002</v>
      </c>
      <c r="Z9" s="6">
        <v>1</v>
      </c>
      <c r="AA9" s="6">
        <v>100</v>
      </c>
      <c r="AB9" s="6">
        <v>0</v>
      </c>
      <c r="AC9" s="116">
        <v>1</v>
      </c>
      <c r="AD9" s="24">
        <f t="shared" si="4"/>
        <v>375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蒼術兎忍 影丸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ca="1" si="3"/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40040_2-2/375&lt;lv71&gt;s1</v>
      </c>
      <c r="B10" s="22">
        <v>40040</v>
      </c>
      <c r="C10" s="21">
        <v>2</v>
      </c>
      <c r="D10" s="2" t="str">
        <f t="shared" si="1"/>
        <v>40040_2</v>
      </c>
      <c r="E10" s="4" t="str">
        <f ca="1">VLOOKUP($B10,OFFSET([2]quests!$A$1,0,0,COUNTA([2]quests!$A:$A),MATCH(E$1,[2]quests!$1:$1,0)-MATCH($B$1,[2]quests!$1:$1,0)+1),MATCH(E$1,[2]quests!$1:$1,0)-MATCH($B$1,[2]quests!$1:$1,0)+1,FALSE)</f>
        <v>竹中半兵衛襲来！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【ウィザード級】竹中半兵衛襲来</v>
      </c>
      <c r="G10" s="21">
        <v>2</v>
      </c>
      <c r="H10" s="15" t="str">
        <f t="shared" si="2"/>
        <v>40040_2-2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 t="s">
        <v>53</v>
      </c>
      <c r="L10" s="20">
        <v>375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蒼術兎忍 影丸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71</v>
      </c>
      <c r="S10" s="25">
        <v>20.9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300019.5</v>
      </c>
      <c r="U10" s="25">
        <v>1.2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6076.8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『お前に見破れるか！』</v>
      </c>
      <c r="Y10" s="117">
        <v>40040003</v>
      </c>
      <c r="Z10" s="6">
        <v>1</v>
      </c>
      <c r="AA10" s="6">
        <v>100</v>
      </c>
      <c r="AB10" s="6">
        <v>1</v>
      </c>
      <c r="AC10" s="116">
        <v>1</v>
      </c>
      <c r="AD10" s="24">
        <f t="shared" si="4"/>
        <v>375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蒼術兎忍 影丸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7">
        <v>1</v>
      </c>
      <c r="AI10" s="24">
        <f t="shared" ca="1" si="3"/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40040_2-3/1240&lt;lv70&gt;s2</v>
      </c>
      <c r="B11" s="22">
        <v>40040</v>
      </c>
      <c r="C11" s="21">
        <v>2</v>
      </c>
      <c r="D11" s="2" t="str">
        <f t="shared" si="1"/>
        <v>40040_2</v>
      </c>
      <c r="E11" s="4" t="str">
        <f ca="1">VLOOKUP($B11,OFFSET([2]quests!$A$1,0,0,COUNTA([2]quests!$A:$A),MATCH(E$1,[2]quests!$1:$1,0)-MATCH($B$1,[2]quests!$1:$1,0)+1),MATCH(E$1,[2]quests!$1:$1,0)-MATCH($B$1,[2]quests!$1:$1,0)+1,FALSE)</f>
        <v>竹中半兵衛襲来！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【ウィザード級】竹中半兵衛襲来</v>
      </c>
      <c r="G11" s="21">
        <v>3</v>
      </c>
      <c r="H11" s="15" t="str">
        <f t="shared" si="2"/>
        <v>40040_2-3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2</v>
      </c>
      <c r="L11" s="20">
        <v>1240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竹中半兵衛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70</v>
      </c>
      <c r="S11" s="25">
        <v>2.415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400100.29499999998</v>
      </c>
      <c r="U11" s="25">
        <v>1.5649999999999999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10077.035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赤属性スキルダメージ50%軽減</v>
      </c>
      <c r="Y11" s="117">
        <v>40040004</v>
      </c>
      <c r="Z11" s="6">
        <v>1</v>
      </c>
      <c r="AA11" s="6">
        <v>100</v>
      </c>
      <c r="AB11" s="6">
        <v>1</v>
      </c>
      <c r="AC11" s="116">
        <v>2</v>
      </c>
      <c r="AD11" s="24">
        <f t="shared" si="4"/>
        <v>1240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竹中半兵衛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3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3" sqref="T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254</v>
      </c>
      <c r="V1" s="26" t="s">
        <v>50</v>
      </c>
      <c r="W1" s="101" t="s">
        <v>255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40040_1-3/1241&lt;lv60&gt;sq1st2</v>
      </c>
      <c r="B2" s="22">
        <v>40040</v>
      </c>
      <c r="C2" s="21">
        <v>1</v>
      </c>
      <c r="D2" s="2" t="str">
        <f>B2&amp;"_"&amp;C2</f>
        <v>40040_1</v>
      </c>
      <c r="E2" s="4" t="str">
        <f ca="1">VLOOKUP($B2,OFFSET([2]quests!$A$1,0,0,COUNTA([2]quests!$A:$A),MATCH(E$1,[2]quests!$1:$1,0)-MATCH($B$1,[2]quests!$1:$1,0)+1),MATCH(E$1,[2]quests!$1:$1,0)-MATCH($B$1,[2]quests!$1:$1,0)+1,FALSE)</f>
        <v>竹中半兵衛襲来！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【超絶級】竹中半兵衛襲来</v>
      </c>
      <c r="G2" s="21">
        <v>3</v>
      </c>
      <c r="H2" s="15" t="str">
        <f>B2&amp;"_"&amp;C2&amp;"-"&amp;G2</f>
        <v>40040_1-3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1241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巧妙なる嬢舌 竹中半兵衛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2.83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403280.66000000003</v>
      </c>
      <c r="V2" s="25">
        <v>1.41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7808.58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赤属性スキルダメージ75%軽減+_x000D_3ターン属性パネルは確率でプロテクトされてドロップ</v>
      </c>
      <c r="Z2" s="47">
        <v>40040012</v>
      </c>
      <c r="AA2" s="118">
        <v>1</v>
      </c>
    </row>
    <row r="3" spans="1:27" ht="21" customHeight="1" x14ac:dyDescent="0.15">
      <c r="A3" s="16" t="str">
        <f t="shared" ref="A3:A5" si="0">B3&amp;"_"&amp;C3&amp;"-"&amp;G3&amp;"/"&amp;M3&amp;"&lt;lv"&amp;S3&amp;"&gt;sq"&amp;K3&amp;"st"&amp;L3</f>
        <v>40040_1-3/1241&lt;lv60&gt;sq1st3</v>
      </c>
      <c r="B3" s="22">
        <v>40040</v>
      </c>
      <c r="C3" s="21">
        <v>1</v>
      </c>
      <c r="D3" s="2" t="str">
        <f t="shared" ref="D3:D5" si="1">B3&amp;"_"&amp;C3</f>
        <v>40040_1</v>
      </c>
      <c r="E3" s="4" t="str">
        <f ca="1">VLOOKUP($B3,OFFSET([2]quests!$A$1,0,0,COUNTA([2]quests!$A:$A),MATCH(E$1,[2]quests!$1:$1,0)-MATCH($B$1,[2]quests!$1:$1,0)+1),MATCH(E$1,[2]quests!$1:$1,0)-MATCH($B$1,[2]quests!$1:$1,0)+1,FALSE)</f>
        <v>竹中半兵衛襲来！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【超絶級】竹中半兵衛襲来</v>
      </c>
      <c r="G3" s="21">
        <v>3</v>
      </c>
      <c r="H3" s="15" t="str">
        <f t="shared" ref="H3:H5" si="2">B3&amp;"_"&amp;C3&amp;"-"&amp;G3</f>
        <v>40040_1-3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1241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巧妙なる嬢舌 竹中半兵衛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5">
        <v>2.83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403280.66000000003</v>
      </c>
      <c r="V3" s="25">
        <v>1.5620000000000001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8650.3559999999998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赤属性スキルダメージ10%反射+_x000D_3ターン属性パネルは確率でプロテクトされてドロップ</v>
      </c>
      <c r="Z3" s="47">
        <v>40040013</v>
      </c>
      <c r="AA3" s="118">
        <v>1</v>
      </c>
    </row>
    <row r="4" spans="1:27" ht="21" customHeight="1" x14ac:dyDescent="0.15">
      <c r="A4" s="16" t="str">
        <f t="shared" si="0"/>
        <v>40040_2-3/1241&lt;lv70&gt;sq2st2</v>
      </c>
      <c r="B4" s="22">
        <v>40040</v>
      </c>
      <c r="C4" s="21">
        <v>2</v>
      </c>
      <c r="D4" s="2" t="str">
        <f t="shared" si="1"/>
        <v>40040_2</v>
      </c>
      <c r="E4" s="4" t="str">
        <f ca="1">VLOOKUP($B4,OFFSET([2]quests!$A$1,0,0,COUNTA([2]quests!$A:$A),MATCH(E$1,[2]quests!$1:$1,0)-MATCH($B$1,[2]quests!$1:$1,0)+1),MATCH(E$1,[2]quests!$1:$1,0)-MATCH($B$1,[2]quests!$1:$1,0)+1,FALSE)</f>
        <v>竹中半兵衛襲来！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【ウィザード級】竹中半兵衛襲来</v>
      </c>
      <c r="G4" s="21">
        <v>3</v>
      </c>
      <c r="H4" s="15" t="str">
        <f t="shared" si="2"/>
        <v>40040_2-3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2</v>
      </c>
      <c r="M4" s="20">
        <v>1241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巧妙なる嬢舌 竹中半兵衛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25">
        <v>3.64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603049.72</v>
      </c>
      <c r="V4" s="25">
        <v>1.5649999999999999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10077.035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赤属性スキルダメージ75%軽減+_x000D_属性パネルは確率でプロテクトされてドロップ</v>
      </c>
      <c r="Z4" s="47">
        <v>40040005</v>
      </c>
      <c r="AA4" s="118">
        <v>1</v>
      </c>
    </row>
    <row r="5" spans="1:27" ht="21" customHeight="1" x14ac:dyDescent="0.15">
      <c r="A5" s="16" t="str">
        <f t="shared" si="0"/>
        <v>40040_2-3/1241&lt;lv70&gt;sq2st3</v>
      </c>
      <c r="B5" s="22">
        <v>40040</v>
      </c>
      <c r="C5" s="21">
        <v>2</v>
      </c>
      <c r="D5" s="2" t="str">
        <f t="shared" si="1"/>
        <v>40040_2</v>
      </c>
      <c r="E5" s="4" t="str">
        <f ca="1">VLOOKUP($B5,OFFSET([2]quests!$A$1,0,0,COUNTA([2]quests!$A:$A),MATCH(E$1,[2]quests!$1:$1,0)-MATCH($B$1,[2]quests!$1:$1,0)+1),MATCH(E$1,[2]quests!$1:$1,0)-MATCH($B$1,[2]quests!$1:$1,0)+1,FALSE)</f>
        <v>竹中半兵衛襲来！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【ウィザード級】竹中半兵衛襲来</v>
      </c>
      <c r="G5" s="21">
        <v>3</v>
      </c>
      <c r="H5" s="15" t="str">
        <f t="shared" si="2"/>
        <v>40040_2-3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3</v>
      </c>
      <c r="M5" s="20">
        <v>1241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巧妙なる嬢舌 竹中半兵衛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70</v>
      </c>
      <c r="T5" s="25">
        <v>3.32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550034.36</v>
      </c>
      <c r="V5" s="25">
        <v>1.8779999999999999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12092.441999999999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赤属性スキルダメージ10%反射+_x000D_9ターン属性パネルは確率でプロテクトされてドロップ</v>
      </c>
      <c r="Z5" s="47">
        <v>40040006</v>
      </c>
      <c r="AA5" s="118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9"/>
  <sheetViews>
    <sheetView showGridLines="0" tabSelected="1" workbookViewId="0">
      <pane ySplit="1" topLeftCell="A28" activePane="bottomLeft" state="frozenSplit"/>
      <selection pane="bottomLeft" activeCell="B29" sqref="B29"/>
    </sheetView>
  </sheetViews>
  <sheetFormatPr baseColWidth="12" defaultColWidth="12.83203125" defaultRowHeight="14" outlineLevelCol="1" x14ac:dyDescent="0.15"/>
  <cols>
    <col min="1" max="1" width="12.83203125" style="49"/>
    <col min="2" max="2" width="67.1640625" style="106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x14ac:dyDescent="0.15">
      <c r="A1" s="40" t="s">
        <v>79</v>
      </c>
      <c r="B1" s="104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8" x14ac:dyDescent="0.15">
      <c r="A2" s="112">
        <v>40040300</v>
      </c>
      <c r="B2" s="105" t="s">
        <v>400</v>
      </c>
      <c r="C2" s="50">
        <v>3</v>
      </c>
      <c r="D2" s="50" t="s">
        <v>128</v>
      </c>
      <c r="E2" s="51" t="s">
        <v>264</v>
      </c>
      <c r="F2" s="51" t="s">
        <v>309</v>
      </c>
      <c r="G2" s="63" t="str">
        <f t="shared" ref="G2:G9" si="0">IFERROR(LEFT(B2,FIND("],",B2)),B2)</f>
        <v>[effect:enemy_message, val1:2, val2:2.4]</v>
      </c>
      <c r="H2" s="63">
        <f t="shared" ref="H2:H42" si="1">FIND("effect:",G2)+7</f>
        <v>9</v>
      </c>
      <c r="I2" s="63">
        <f t="shared" ref="I2:I9" si="2">IFERROR(FIND(",",G2),LEN(G2))</f>
        <v>22</v>
      </c>
      <c r="J2" s="63" t="e">
        <f t="shared" ref="J2:J9" si="3">FIND("target:",G2)+7</f>
        <v>#VALUE!</v>
      </c>
      <c r="K2" s="63">
        <f t="shared" ref="K2:K9" si="4">FIND(",",G2,I2+1)</f>
        <v>30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 t="shared" ref="M2:M9" si="5">IFERROR(RIGHT(B2,LEN(B2)-FIND("],",B2)-1),"none")</f>
        <v>[effect:fix_speed, target:myself, turn:1]</v>
      </c>
      <c r="N2" s="48" t="str">
        <f t="shared" ref="N2:N9" si="6">IFERROR(LEFT(M2,FIND("],",M2)+S12),M2)</f>
        <v>[effect:fix_speed, target:myself, turn:1]</v>
      </c>
      <c r="O2" s="63">
        <f t="shared" ref="O2:O42" si="7">FIND("effect:",N2)+7</f>
        <v>9</v>
      </c>
      <c r="P2" s="63">
        <f t="shared" ref="P2:P9" si="8">IFERROR(FIND(",",N2),LEN(N2))</f>
        <v>18</v>
      </c>
      <c r="Q2" s="63">
        <f t="shared" ref="Q2:Q9" si="9">FIND("target:",N2)+7</f>
        <v>27</v>
      </c>
      <c r="R2" s="63">
        <f t="shared" ref="R2:R9" si="10"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9" si="11">IFERROR(RIGHT(M2,LEN(M2)-FIND("],",M2)-1),"none")</f>
        <v>none</v>
      </c>
      <c r="U2" s="63" t="e">
        <f t="shared" ref="U2:U42" si="12">FIND("effect:",T2)+7</f>
        <v>#VALUE!</v>
      </c>
      <c r="V2" s="63">
        <f t="shared" ref="V2:V9" si="13">IFERROR(FIND(",",T2),LEN(T2))</f>
        <v>4</v>
      </c>
      <c r="W2" s="63" t="e">
        <f t="shared" ref="W2:W9" si="14">FIND("target:",T2)+7</f>
        <v>#VALUE!</v>
      </c>
      <c r="X2" s="63" t="e">
        <f t="shared" ref="X2:X9" si="15"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8" x14ac:dyDescent="0.15">
      <c r="A3" s="112">
        <v>40040301</v>
      </c>
      <c r="B3" s="105" t="s">
        <v>401</v>
      </c>
      <c r="C3" s="50">
        <v>3</v>
      </c>
      <c r="D3" s="50" t="s">
        <v>128</v>
      </c>
      <c r="E3" s="51" t="s">
        <v>297</v>
      </c>
      <c r="F3" s="51" t="s">
        <v>309</v>
      </c>
      <c r="G3" s="63" t="str">
        <f t="shared" si="0"/>
        <v>[effect:enemy_message, val1:2.4, val2:2.4]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si="5"/>
        <v>[effect:fix_speed, target:myself, turn:1]</v>
      </c>
      <c r="N3" s="48" t="str">
        <f t="shared" si="6"/>
        <v>[effect:fix_speed, target:myself, turn:1]</v>
      </c>
      <c r="O3" s="63">
        <f t="shared" si="7"/>
        <v>9</v>
      </c>
      <c r="P3" s="63">
        <f t="shared" si="8"/>
        <v>18</v>
      </c>
      <c r="Q3" s="63">
        <f t="shared" si="9"/>
        <v>27</v>
      </c>
      <c r="R3" s="63">
        <f t="shared" si="10"/>
        <v>33</v>
      </c>
      <c r="S3" s="63" t="str">
        <f>IFERROR(VLOOKUP(MID(N3,Q3,R3-Q3),[5]skilldef!$C:$D,2,FALSE),"-") &amp; " / " &amp; IFERROR(VLOOKUP(MID(N3,O3,P3-O3),[5]skilldef!$A:$B,2,FALSE),"-")</f>
        <v>自分自身に / 行動値設定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8" x14ac:dyDescent="0.15">
      <c r="A4" s="112">
        <v>40040302</v>
      </c>
      <c r="B4" s="105" t="s">
        <v>364</v>
      </c>
      <c r="C4" s="50">
        <v>3</v>
      </c>
      <c r="D4" s="50" t="s">
        <v>128</v>
      </c>
      <c r="E4" s="51" t="s">
        <v>296</v>
      </c>
      <c r="F4" s="51" t="s">
        <v>278</v>
      </c>
      <c r="G4" s="63" t="str">
        <f t="shared" si="0"/>
        <v>[effect:enemy_message, val1:2.4, val2:1.8]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[effect:fix_speed, target:myself, turn:1]</v>
      </c>
      <c r="N4" s="48" t="str">
        <f t="shared" si="6"/>
        <v>[effect:fix_speed, target:myself, turn:1]</v>
      </c>
      <c r="O4" s="63">
        <f t="shared" si="7"/>
        <v>9</v>
      </c>
      <c r="P4" s="63">
        <f t="shared" si="8"/>
        <v>18</v>
      </c>
      <c r="Q4" s="63">
        <f t="shared" si="9"/>
        <v>27</v>
      </c>
      <c r="R4" s="63">
        <f t="shared" si="10"/>
        <v>33</v>
      </c>
      <c r="S4" s="63" t="str">
        <f>IFERROR(VLOOKUP(MID(N4,Q4,R4-Q4),[5]skilldef!$C:$D,2,FALSE),"-") &amp; " / " &amp; IFERROR(VLOOKUP(MID(N4,O4,P4-O4),[5]skilldef!$A:$B,2,FALSE),"-")</f>
        <v>自分自身に / 行動値設定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8" x14ac:dyDescent="0.15">
      <c r="A5" s="112">
        <v>40040303</v>
      </c>
      <c r="B5" s="105" t="s">
        <v>365</v>
      </c>
      <c r="C5" s="50">
        <v>3</v>
      </c>
      <c r="D5" s="50" t="s">
        <v>128</v>
      </c>
      <c r="E5" s="51" t="s">
        <v>295</v>
      </c>
      <c r="F5" s="51" t="s">
        <v>278</v>
      </c>
      <c r="G5" s="63" t="str">
        <f t="shared" si="0"/>
        <v>[effect:enemy_message, val1:2.8, val2:1.8]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>[effect:fix_speed, target:myself, turn:1]</v>
      </c>
      <c r="N5" s="48" t="str">
        <f t="shared" si="6"/>
        <v>[effect:fix_speed, target:myself, turn:1]</v>
      </c>
      <c r="O5" s="63">
        <f t="shared" si="7"/>
        <v>9</v>
      </c>
      <c r="P5" s="63">
        <f t="shared" si="8"/>
        <v>18</v>
      </c>
      <c r="Q5" s="63">
        <f t="shared" si="9"/>
        <v>27</v>
      </c>
      <c r="R5" s="63">
        <f t="shared" si="10"/>
        <v>33</v>
      </c>
      <c r="S5" s="63" t="str">
        <f>IFERROR(VLOOKUP(MID(N5,Q5,R5-Q5),[5]skilldef!$C:$D,2,FALSE),"-") &amp; " / " &amp; IFERROR(VLOOKUP(MID(N5,O5,P5-O5),[5]skilldef!$A:$B,2,FALSE),"-")</f>
        <v>自分自身に / 行動値設定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116" customHeight="1" x14ac:dyDescent="0.15">
      <c r="A6" s="112">
        <v>40040304</v>
      </c>
      <c r="B6" s="105" t="s">
        <v>404</v>
      </c>
      <c r="C6" s="50">
        <v>3</v>
      </c>
      <c r="D6" s="50" t="s">
        <v>128</v>
      </c>
      <c r="E6" s="51" t="s">
        <v>277</v>
      </c>
      <c r="F6" s="51" t="s">
        <v>323</v>
      </c>
      <c r="G6" s="63" t="str">
        <f t="shared" si="0"/>
        <v>[effect:enemy_message, val1:1, val2:3]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30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5"/>
        <v>[effect:enemy_resurrection, target:enemy_all, val:0.3, rate:1, animation:enemy_resurrection],[effect:enhance_enemy, target:enemy_all, turn:-1, status:attack, val:500, calc:add, animation:enemy_enhance_attack],[effect:force_change_block, new_block:damage, target:block_all, ignore01:block_positive, ignore02:block_negative, color:block_green, count:1, val:0.2, animation:change_block]</v>
      </c>
      <c r="N6" s="48" t="str">
        <f t="shared" si="6"/>
        <v>[effect:enemy_resurrection, target:enemy_all, val:0.3, rate:1, animation:enemy_resurrection],[effect:enhance_enemy, target:enemy_all, turn:-1, status:attack, val:500, calc:add, animation:enemy_enhance_attack],[effect:force_change_block, new_block:damage, target:block_all, ignore01:block_positive, ignore02:block_negative, color:block_green, count:1, val:0.2, animation:change_block]</v>
      </c>
      <c r="O6" s="63">
        <f t="shared" si="7"/>
        <v>9</v>
      </c>
      <c r="P6" s="63">
        <f t="shared" si="8"/>
        <v>27</v>
      </c>
      <c r="Q6" s="63">
        <f t="shared" si="9"/>
        <v>36</v>
      </c>
      <c r="R6" s="63">
        <f t="shared" si="10"/>
        <v>45</v>
      </c>
      <c r="S6" s="63" t="str">
        <f>IFERROR(VLOOKUP(MID(N6,Q6,R6-Q6),[5]skilldef!$C:$D,2,FALSE),"-") &amp; " / " &amp; IFERROR(VLOOKUP(MID(N6,O6,P6-O6),[5]skilldef!$A:$B,2,FALSE),"-")</f>
        <v>敵全体に / -</v>
      </c>
      <c r="T6" s="48" t="str">
        <f t="shared" si="11"/>
        <v>[effect:enhance_enemy, target:enemy_all, turn:-1, status:attack, val:500, calc:add, animation:enemy_enhance_attack],[effect:force_change_block, new_block:damage, target:block_all, ignore01:block_positive, ignore02:block_negative, color:block_green, count:1, val:0.2, animation:change_block]</v>
      </c>
      <c r="U6" s="63">
        <f t="shared" si="12"/>
        <v>9</v>
      </c>
      <c r="V6" s="63">
        <f t="shared" si="13"/>
        <v>22</v>
      </c>
      <c r="W6" s="63">
        <f t="shared" si="14"/>
        <v>31</v>
      </c>
      <c r="X6" s="63">
        <f t="shared" si="15"/>
        <v>40</v>
      </c>
      <c r="Y6" s="63" t="str">
        <f>IFERROR(VLOOKUP(MID(T6,W6,X6-W6),[5]skilldef!$C:$D,2,FALSE),"-") &amp; " / " &amp; IFERROR(VLOOKUP(MID(T6,U6,V6-U6),[5]skilldef!$A:$B,2,FALSE),"-")</f>
        <v>敵全体に / ステータス強化</v>
      </c>
      <c r="Z6" s="50"/>
      <c r="AA6" s="52"/>
      <c r="AB6" s="50"/>
    </row>
    <row r="7" spans="1:28" ht="116" customHeight="1" x14ac:dyDescent="0.15">
      <c r="A7" s="112">
        <v>40040305</v>
      </c>
      <c r="B7" s="105" t="s">
        <v>405</v>
      </c>
      <c r="C7" s="50">
        <v>3</v>
      </c>
      <c r="D7" s="50" t="s">
        <v>128</v>
      </c>
      <c r="E7" s="51" t="s">
        <v>277</v>
      </c>
      <c r="F7" s="51" t="s">
        <v>324</v>
      </c>
      <c r="G7" s="63" t="str">
        <f t="shared" si="0"/>
        <v>[effect:enemy_message, val1:1, val2:3]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30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[effect:enemy_resurrection, target:enemy_all, val:0.4, rate:1, animation:enemy_resurrection],[effect:enhance_enemy, target:enemy_all, turn:-1, status:attack, val:1000, calc:add, animation:enemy_enhance_attack],[effect:force_change_block, new_block:damage, target:block_all, ignore01:block_positive, ignore02:block_negative, color:block_yellow, count:1, val:0.2, animation:change_block]</v>
      </c>
      <c r="N7" s="48" t="str">
        <f t="shared" si="6"/>
        <v>[effect:enemy_resurrection, target:enemy_all, val:0.4, rate:1, animation:enemy_resurrection],[effect:enhance_enemy, target:enemy_all, turn:-1, status:attack, val:1000, calc:add, animation:enemy_enhance_attack],[effect:force_change_block, new_block:damage, target:block_all, ignore01:block_positive, ignore02:block_negative, color:block_yellow, count:1, val:0.2, animation:change_block]</v>
      </c>
      <c r="O7" s="63">
        <f t="shared" si="7"/>
        <v>9</v>
      </c>
      <c r="P7" s="63">
        <f t="shared" si="8"/>
        <v>27</v>
      </c>
      <c r="Q7" s="63">
        <f t="shared" si="9"/>
        <v>36</v>
      </c>
      <c r="R7" s="63">
        <f t="shared" si="10"/>
        <v>45</v>
      </c>
      <c r="S7" s="63" t="str">
        <f>IFERROR(VLOOKUP(MID(N7,Q7,R7-Q7),[5]skilldef!$C:$D,2,FALSE),"-") &amp; " / " &amp; IFERROR(VLOOKUP(MID(N7,O7,P7-O7),[5]skilldef!$A:$B,2,FALSE),"-")</f>
        <v>敵全体に / -</v>
      </c>
      <c r="T7" s="48" t="str">
        <f t="shared" si="11"/>
        <v>[effect:enhance_enemy, target:enemy_all, turn:-1, status:attack, val:1000, calc:add, animation:enemy_enhance_attack],[effect:force_change_block, new_block:damage, target:block_all, ignore01:block_positive, ignore02:block_negative, color:block_yellow, count:1, val:0.2, animation:change_block]</v>
      </c>
      <c r="U7" s="63">
        <f t="shared" si="12"/>
        <v>9</v>
      </c>
      <c r="V7" s="63">
        <f t="shared" si="13"/>
        <v>22</v>
      </c>
      <c r="W7" s="63">
        <f t="shared" si="14"/>
        <v>31</v>
      </c>
      <c r="X7" s="63">
        <f t="shared" si="15"/>
        <v>40</v>
      </c>
      <c r="Y7" s="63" t="str">
        <f>IFERROR(VLOOKUP(MID(T7,W7,X7-W7),[5]skilldef!$C:$D,2,FALSE),"-") &amp; " / " &amp; IFERROR(VLOOKUP(MID(T7,U7,V7-U7),[5]skilldef!$A:$B,2,FALSE),"-")</f>
        <v>敵全体に / ステータス強化</v>
      </c>
      <c r="Z7" s="50"/>
      <c r="AA7" s="52"/>
      <c r="AB7" s="50"/>
    </row>
    <row r="8" spans="1:28" ht="116" customHeight="1" x14ac:dyDescent="0.15">
      <c r="A8" s="112">
        <v>40040306</v>
      </c>
      <c r="B8" s="105" t="s">
        <v>406</v>
      </c>
      <c r="C8" s="50">
        <v>3</v>
      </c>
      <c r="D8" s="50" t="s">
        <v>128</v>
      </c>
      <c r="E8" s="51" t="s">
        <v>267</v>
      </c>
      <c r="F8" s="51" t="s">
        <v>330</v>
      </c>
      <c r="G8" s="63" t="str">
        <f t="shared" si="0"/>
        <v>[effect:enemy_message, val1:1, val2:3]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30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>[effect:enemy_resurrection, target:enemy_all, val:0.5, rate:1, animation:enemy_resurrection],[effect:enhance_enemy, target:enemy_all, turn:-1, status:attack, val:2000, calc:add, animation:enemy_enhance_attack],[effect:force_change_block, new_block:damage, target:block_all, ignore01:block_positive, ignore02:block_negative, color:block_red, count:1, val:0.2, animation:change_block]</v>
      </c>
      <c r="N8" s="48" t="str">
        <f t="shared" si="6"/>
        <v>[effect:enemy_resurrection, target:enemy_all, val:0.5, rate:1, animation:enemy_resurrection],[effect:enhance_enemy, target:enemy_all, turn:-1, status:attack, val:2000, calc:add, animation:enemy_enhance_attack],[effect:force_change_block, new_block:damage, target:block_all, ignore01:block_positive, ignore02:block_negative, color:block_red, count:1, val:0.2, animation:change_block]</v>
      </c>
      <c r="O8" s="63">
        <f t="shared" si="7"/>
        <v>9</v>
      </c>
      <c r="P8" s="63">
        <f t="shared" si="8"/>
        <v>27</v>
      </c>
      <c r="Q8" s="63">
        <f t="shared" si="9"/>
        <v>36</v>
      </c>
      <c r="R8" s="63">
        <f t="shared" si="10"/>
        <v>45</v>
      </c>
      <c r="S8" s="63" t="str">
        <f>IFERROR(VLOOKUP(MID(N8,Q8,R8-Q8),[5]skilldef!$C:$D,2,FALSE),"-") &amp; " / " &amp; IFERROR(VLOOKUP(MID(N8,O8,P8-O8),[5]skilldef!$A:$B,2,FALSE),"-")</f>
        <v>敵全体に / -</v>
      </c>
      <c r="T8" s="48" t="str">
        <f t="shared" si="11"/>
        <v>[effect:enhance_enemy, target:enemy_all, turn:-1, status:attack, val:2000, calc:add, animation:enemy_enhance_attack],[effect:force_change_block, new_block:damage, target:block_all, ignore01:block_positive, ignore02:block_negative, color:block_red, count:1, val:0.2, animation:change_block]</v>
      </c>
      <c r="U8" s="63">
        <f t="shared" si="12"/>
        <v>9</v>
      </c>
      <c r="V8" s="63">
        <f t="shared" si="13"/>
        <v>22</v>
      </c>
      <c r="W8" s="63">
        <f t="shared" si="14"/>
        <v>31</v>
      </c>
      <c r="X8" s="63">
        <f t="shared" si="15"/>
        <v>40</v>
      </c>
      <c r="Y8" s="63" t="str">
        <f>IFERROR(VLOOKUP(MID(T8,W8,X8-W8),[5]skilldef!$C:$D,2,FALSE),"-") &amp; " / " &amp; IFERROR(VLOOKUP(MID(T8,U8,V8-U8),[5]skilldef!$A:$B,2,FALSE),"-")</f>
        <v>敵全体に / ステータス強化</v>
      </c>
      <c r="Z8" s="50"/>
      <c r="AA8" s="52"/>
      <c r="AB8" s="50"/>
    </row>
    <row r="9" spans="1:28" ht="70" x14ac:dyDescent="0.15">
      <c r="A9" s="112">
        <v>40040307</v>
      </c>
      <c r="B9" s="105" t="s">
        <v>369</v>
      </c>
      <c r="C9" s="50">
        <v>3</v>
      </c>
      <c r="D9" s="50" t="s">
        <v>128</v>
      </c>
      <c r="E9" s="51" t="s">
        <v>294</v>
      </c>
      <c r="F9" s="51" t="s">
        <v>368</v>
      </c>
      <c r="G9" s="63" t="str">
        <f t="shared" si="0"/>
        <v>[effect:enemy_message, val1:2.4, val2:2.2]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5"/>
        <v>[effect:enemy_resurrection, target:enemy_all, val:1, rate:1, animation:enemy_resurrection],[effect:damage_fix_absolute, target:unit_all, val:250000]</v>
      </c>
      <c r="N9" s="48" t="str">
        <f t="shared" si="6"/>
        <v>[effect:enemy_resurrection, target:enemy_all, val:1, rate:1, animation:enemy_resurrection],[effect:damage_fix_absolute, target:unit_all, val:250000]</v>
      </c>
      <c r="O9" s="63">
        <f t="shared" si="7"/>
        <v>9</v>
      </c>
      <c r="P9" s="63">
        <f t="shared" si="8"/>
        <v>27</v>
      </c>
      <c r="Q9" s="63">
        <f t="shared" si="9"/>
        <v>36</v>
      </c>
      <c r="R9" s="63">
        <f t="shared" si="10"/>
        <v>45</v>
      </c>
      <c r="S9" s="63" t="str">
        <f>IFERROR(VLOOKUP(MID(N9,Q9,R9-Q9),[5]skilldef!$C:$D,2,FALSE),"-") &amp; " / " &amp; IFERROR(VLOOKUP(MID(N9,O9,P9-O9),[5]skilldef!$A:$B,2,FALSE),"-")</f>
        <v>敵全体に / -</v>
      </c>
      <c r="T9" s="48" t="str">
        <f t="shared" si="11"/>
        <v>[effect:damage_fix_absolute, target:unit_all, val:250000]</v>
      </c>
      <c r="U9" s="63">
        <f t="shared" si="12"/>
        <v>9</v>
      </c>
      <c r="V9" s="63">
        <f t="shared" si="13"/>
        <v>28</v>
      </c>
      <c r="W9" s="63">
        <f t="shared" si="14"/>
        <v>37</v>
      </c>
      <c r="X9" s="63">
        <f t="shared" si="15"/>
        <v>45</v>
      </c>
      <c r="Y9" s="63" t="str">
        <f>IFERROR(VLOOKUP(MID(T9,W9,X9-W9),[5]skilldef!$C:$D,2,FALSE),"-") &amp; " / " &amp; IFERROR(VLOOKUP(MID(T9,U9,V9-U9),[5]skilldef!$A:$B,2,FALSE),"-")</f>
        <v>味方全体に / -</v>
      </c>
      <c r="Z9" s="50"/>
      <c r="AA9" s="52"/>
      <c r="AB9" s="50"/>
    </row>
    <row r="10" spans="1:28" ht="74" customHeight="1" x14ac:dyDescent="0.15">
      <c r="A10" s="112">
        <v>40040308</v>
      </c>
      <c r="B10" s="105" t="s">
        <v>315</v>
      </c>
      <c r="C10" s="50">
        <v>3</v>
      </c>
      <c r="D10" s="50" t="s">
        <v>128</v>
      </c>
      <c r="E10" s="51" t="s">
        <v>276</v>
      </c>
      <c r="F10" s="51" t="s">
        <v>265</v>
      </c>
      <c r="G10" s="63" t="str">
        <f t="shared" ref="G10:G30" si="16">IFERROR(LEFT(B10,FIND("],",B10)),B10)</f>
        <v>[effect:spread, val:0.5]</v>
      </c>
      <c r="H10" s="63">
        <f t="shared" si="1"/>
        <v>9</v>
      </c>
      <c r="I10" s="63">
        <f t="shared" ref="I10:I30" si="17">IFERROR(FIND(",",G10),LEN(G10))</f>
        <v>15</v>
      </c>
      <c r="J10" s="63" t="e">
        <f t="shared" ref="J10:J30" si="18">FIND("target:",G10)+7</f>
        <v>#VALUE!</v>
      </c>
      <c r="K10" s="63" t="e">
        <f t="shared" ref="K10:K30" si="19">FIND(",",G10,I10+1)</f>
        <v>#VALUE!</v>
      </c>
      <c r="L10" s="63" t="str">
        <f>IFERROR(VLOOKUP(MID(G10,J10,K10-J10),[5]skilldef!$C:$D,2,FALSE),"-") &amp; " / " &amp; IFERROR(VLOOKUP(MID(G10,H10,I10-H10),[5]skilldef!$A:$B,2,FALSE),"-")</f>
        <v>- / 全体攻撃</v>
      </c>
      <c r="M10" s="63" t="str">
        <f t="shared" ref="M10:M30" si="20">IFERROR(RIGHT(B10,LEN(B10)-FIND("],",B10)-1),"none")</f>
        <v xml:space="preserve">[effect:dark, target:unit_all, turn:1, animation:enemy_dark]    </v>
      </c>
      <c r="N10" s="48" t="str">
        <f t="shared" ref="N10:N30" si="21">IFERROR(LEFT(M10,FIND("],",M10)+S20),M10)</f>
        <v xml:space="preserve">[effect:dark, target:unit_all, turn:1, animation:enemy_dark]    </v>
      </c>
      <c r="O10" s="63">
        <f t="shared" si="7"/>
        <v>9</v>
      </c>
      <c r="P10" s="63">
        <f t="shared" ref="P10:P30" si="22">IFERROR(FIND(",",N10),LEN(N10))</f>
        <v>13</v>
      </c>
      <c r="Q10" s="63">
        <f t="shared" ref="Q10:Q30" si="23">FIND("target:",N10)+7</f>
        <v>22</v>
      </c>
      <c r="R10" s="63">
        <f t="shared" ref="R10:R30" si="24">FIND(",",N10,P10+1)</f>
        <v>30</v>
      </c>
      <c r="S10" s="63" t="str">
        <f>IFERROR(VLOOKUP(MID(N10,Q10,R10-Q10),[5]skilldef!$C:$D,2,FALSE),"-") &amp; " / " &amp; IFERROR(VLOOKUP(MID(N10,O10,P10-O10),[5]skilldef!$A:$B,2,FALSE),"-")</f>
        <v>味方全体に / 暗黒</v>
      </c>
      <c r="T10" s="48" t="str">
        <f t="shared" ref="T10:T30" si="25">IFERROR(RIGHT(M10,LEN(M10)-FIND("],",M10)-1),"none")</f>
        <v>none</v>
      </c>
      <c r="U10" s="63" t="e">
        <f t="shared" si="12"/>
        <v>#VALUE!</v>
      </c>
      <c r="V10" s="63">
        <f t="shared" ref="V10:V30" si="26">IFERROR(FIND(",",T10),LEN(T10))</f>
        <v>4</v>
      </c>
      <c r="W10" s="63" t="e">
        <f t="shared" ref="W10:W30" si="27">FIND("target:",T10)+7</f>
        <v>#VALUE!</v>
      </c>
      <c r="X10" s="63" t="e">
        <f t="shared" ref="X10:X30" si="28">FIND(",",T10,V10+1)</f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74" customHeight="1" x14ac:dyDescent="0.15">
      <c r="A11" s="112">
        <v>40040309</v>
      </c>
      <c r="B11" s="105" t="s">
        <v>407</v>
      </c>
      <c r="C11" s="50">
        <v>3</v>
      </c>
      <c r="D11" s="50" t="s">
        <v>128</v>
      </c>
      <c r="E11" s="51" t="s">
        <v>287</v>
      </c>
      <c r="F11" s="51" t="s">
        <v>325</v>
      </c>
      <c r="G11" s="63" t="str">
        <f t="shared" si="16"/>
        <v>[effect:enemy_message, val1:1, val2:2.6]</v>
      </c>
      <c r="H11" s="63">
        <f t="shared" si="1"/>
        <v>9</v>
      </c>
      <c r="I11" s="63">
        <f t="shared" si="17"/>
        <v>22</v>
      </c>
      <c r="J11" s="63" t="e">
        <f t="shared" si="18"/>
        <v>#VALUE!</v>
      </c>
      <c r="K11" s="63">
        <f t="shared" si="19"/>
        <v>30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20"/>
        <v>[effect:panel_freeze, target:normal, color:block_red, count:-1],[effect:force_change_block, new_block:damage, target:block_all, ignore01:block_positive, ignore02:block_negative, color:block_blue, count:1, val:0.2, animation:change_block]</v>
      </c>
      <c r="N11" s="48" t="str">
        <f t="shared" si="21"/>
        <v>[effect:panel_freeze, target:normal, color:block_red, count:-1],[effect:force_change_block, new_block:damage, target:block_all, ignore01:block_positive, ignore02:block_negative, color:block_blue, count:1, val:0.2, animation:change_block]</v>
      </c>
      <c r="O11" s="63">
        <f t="shared" si="7"/>
        <v>9</v>
      </c>
      <c r="P11" s="63">
        <f t="shared" si="22"/>
        <v>21</v>
      </c>
      <c r="Q11" s="63">
        <f t="shared" si="23"/>
        <v>30</v>
      </c>
      <c r="R11" s="63">
        <f t="shared" si="24"/>
        <v>36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25"/>
        <v>[effect:force_change_block, new_block:damage, target:block_all, ignore01:block_positive, ignore02:block_negative, color:block_blue, count:1, val:0.2, animation:change_block]</v>
      </c>
      <c r="U11" s="63">
        <f t="shared" si="12"/>
        <v>9</v>
      </c>
      <c r="V11" s="63">
        <f t="shared" si="26"/>
        <v>27</v>
      </c>
      <c r="W11" s="63">
        <f t="shared" si="27"/>
        <v>54</v>
      </c>
      <c r="X11" s="63">
        <f t="shared" si="28"/>
        <v>45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74" customHeight="1" x14ac:dyDescent="0.15">
      <c r="A12" s="112">
        <v>40040310</v>
      </c>
      <c r="B12" s="105" t="s">
        <v>408</v>
      </c>
      <c r="C12" s="50">
        <v>3</v>
      </c>
      <c r="D12" s="50" t="s">
        <v>128</v>
      </c>
      <c r="E12" s="51" t="s">
        <v>288</v>
      </c>
      <c r="F12" s="51" t="s">
        <v>326</v>
      </c>
      <c r="G12" s="63" t="str">
        <f t="shared" si="16"/>
        <v>[effect:enemy_message, val1:1, val2:2.6]</v>
      </c>
      <c r="H12" s="63">
        <f t="shared" si="1"/>
        <v>9</v>
      </c>
      <c r="I12" s="63">
        <f t="shared" si="17"/>
        <v>22</v>
      </c>
      <c r="J12" s="63" t="e">
        <f t="shared" si="18"/>
        <v>#VALUE!</v>
      </c>
      <c r="K12" s="63">
        <f t="shared" si="19"/>
        <v>30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20"/>
        <v>[effect:panel_freeze, target:normal, color:block_green, count:-1],[effect:force_change_block, new_block:damage, target:block_all, ignore01:block_positive, ignore02:block_negative, color:block_blue, count:1, val:0.2, animation:change_block]</v>
      </c>
      <c r="N12" s="48" t="str">
        <f t="shared" si="21"/>
        <v>[effect:panel_freeze, target:normal, color:block_green, count:-1],[effect:force_change_block, new_block:damage, target:block_all, ignore01:block_positive, ignore02:block_negative, color:block_blue, count:1, val:0.2, animation:change_block]</v>
      </c>
      <c r="O12" s="63">
        <f t="shared" si="7"/>
        <v>9</v>
      </c>
      <c r="P12" s="63">
        <f t="shared" si="22"/>
        <v>21</v>
      </c>
      <c r="Q12" s="63">
        <f t="shared" si="23"/>
        <v>30</v>
      </c>
      <c r="R12" s="63">
        <f t="shared" si="24"/>
        <v>36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si="25"/>
        <v>[effect:force_change_block, new_block:damage, target:block_all, ignore01:block_positive, ignore02:block_negative, color:block_blue, count:1, val:0.2, animation:change_block]</v>
      </c>
      <c r="U12" s="63">
        <f t="shared" si="12"/>
        <v>9</v>
      </c>
      <c r="V12" s="63">
        <f t="shared" si="26"/>
        <v>27</v>
      </c>
      <c r="W12" s="63">
        <f t="shared" si="27"/>
        <v>54</v>
      </c>
      <c r="X12" s="63">
        <f t="shared" si="28"/>
        <v>45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0" x14ac:dyDescent="0.15">
      <c r="A13" s="112">
        <v>40040311</v>
      </c>
      <c r="B13" s="105" t="s">
        <v>409</v>
      </c>
      <c r="C13" s="50">
        <v>3</v>
      </c>
      <c r="D13" s="50" t="s">
        <v>128</v>
      </c>
      <c r="E13" s="51" t="s">
        <v>277</v>
      </c>
      <c r="F13" s="51" t="s">
        <v>327</v>
      </c>
      <c r="G13" s="63" t="str">
        <f t="shared" si="16"/>
        <v>[effect:enemy_message, val1:1, val2:3]</v>
      </c>
      <c r="H13" s="63">
        <f t="shared" si="1"/>
        <v>9</v>
      </c>
      <c r="I13" s="63">
        <f t="shared" si="17"/>
        <v>22</v>
      </c>
      <c r="J13" s="63" t="e">
        <f t="shared" si="18"/>
        <v>#VALUE!</v>
      </c>
      <c r="K13" s="63">
        <f t="shared" si="19"/>
        <v>30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20"/>
        <v>[effect:enemy_resurrection, target:enemy_all, val:0.3, rate:1, animation:enemy_resurrection],[effect:enhance_enemy, target:enemy_all, turn:-1, status:defense, val:1000, calc:add, animation:enemy_enhance_defense],[effect:force_change_block, new_block:damage, target:block_all, ignore01:block_positive, ignore02:block_negative, color:block_green, count:1, val:0.2, animation:change_block]</v>
      </c>
      <c r="N13" s="48" t="str">
        <f t="shared" si="21"/>
        <v>[effect:enemy_resurrection, target:enemy_all, val:0.3, rate:1, animation:enemy_resurrection],[effect:enhance_enemy, target:enemy_all, turn:-1, status:defense, val:1000, calc:add, animation:enemy_enhance_defense],[effect:force_change_block, new_block:damage, target:block_all, ignore01:block_positive, ignore02:block_negative, color:block_green, count:1, val:0.2, animation:change_block]</v>
      </c>
      <c r="O13" s="63">
        <f t="shared" si="7"/>
        <v>9</v>
      </c>
      <c r="P13" s="63">
        <f t="shared" si="22"/>
        <v>27</v>
      </c>
      <c r="Q13" s="63">
        <f t="shared" si="23"/>
        <v>36</v>
      </c>
      <c r="R13" s="63">
        <f t="shared" si="24"/>
        <v>45</v>
      </c>
      <c r="S13" s="63" t="str">
        <f>IFERROR(VLOOKUP(MID(N13,Q13,R13-Q13),[5]skilldef!$C:$D,2,FALSE),"-") &amp; " / " &amp; IFERROR(VLOOKUP(MID(N13,O13,P13-O13),[5]skilldef!$A:$B,2,FALSE),"-")</f>
        <v>敵全体に / -</v>
      </c>
      <c r="T13" s="48" t="str">
        <f t="shared" si="25"/>
        <v>[effect:enhance_enemy, target:enemy_all, turn:-1, status:defense, val:1000, calc:add, animation:enemy_enhance_defense],[effect:force_change_block, new_block:damage, target:block_all, ignore01:block_positive, ignore02:block_negative, color:block_green, count:1, val:0.2, animation:change_block]</v>
      </c>
      <c r="U13" s="63">
        <f t="shared" si="12"/>
        <v>9</v>
      </c>
      <c r="V13" s="63">
        <f t="shared" si="26"/>
        <v>22</v>
      </c>
      <c r="W13" s="63">
        <f t="shared" si="27"/>
        <v>31</v>
      </c>
      <c r="X13" s="63">
        <f t="shared" si="28"/>
        <v>40</v>
      </c>
      <c r="Y13" s="63" t="str">
        <f>IFERROR(VLOOKUP(MID(T13,W13,X13-W13),[5]skilldef!$C:$D,2,FALSE),"-") &amp; " / " &amp; IFERROR(VLOOKUP(MID(T13,U13,V13-U13),[5]skilldef!$A:$B,2,FALSE),"-")</f>
        <v>敵全体に / ステータス強化</v>
      </c>
      <c r="Z13" s="50"/>
      <c r="AA13" s="52"/>
      <c r="AB13" s="50"/>
    </row>
    <row r="14" spans="1:28" ht="210" x14ac:dyDescent="0.15">
      <c r="A14" s="112">
        <v>40040312</v>
      </c>
      <c r="B14" s="105" t="s">
        <v>428</v>
      </c>
      <c r="C14" s="50">
        <v>3</v>
      </c>
      <c r="D14" s="50" t="s">
        <v>128</v>
      </c>
      <c r="E14" s="51" t="s">
        <v>277</v>
      </c>
      <c r="F14" s="51" t="s">
        <v>328</v>
      </c>
      <c r="G14" s="63" t="str">
        <f t="shared" si="16"/>
        <v>[effect:enemy_message, val1:1, val2:3]</v>
      </c>
      <c r="H14" s="63">
        <f t="shared" si="1"/>
        <v>9</v>
      </c>
      <c r="I14" s="63">
        <f t="shared" si="17"/>
        <v>22</v>
      </c>
      <c r="J14" s="63" t="e">
        <f t="shared" si="18"/>
        <v>#VALUE!</v>
      </c>
      <c r="K14" s="63">
        <f t="shared" si="19"/>
        <v>30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20"/>
        <v>[effect:enemy_resurrection, target:enemy_all, val:0.4, rate:1, animation:enemy_resurrection],[effect:enhance_enemy, target:enemy_all, turn:-1, status:defense, val:2000, calc:add, animation:enemy_enhance_defense],[effect:force_change_block, new_block:damage, target:block_all, ignore01:block_positive, ignore02:block_negative, color:block_yellow, count:1, val:0.2, animation:change_block]</v>
      </c>
      <c r="N14" s="48" t="str">
        <f t="shared" si="21"/>
        <v>[effect:enemy_resurrection, target:enemy_all, val:0.4, rate:1, animation:enemy_resurrection],[effect:enhance_enemy, target:enemy_all, turn:-1, status:defense, val:2000, calc:add, animation:enemy_enhance_defense],[effect:force_change_block, new_block:damage, target:block_all, ignore01:block_positive, ignore02:block_negative, color:block_yellow, count:1, val:0.2, animation:change_block]</v>
      </c>
      <c r="O14" s="63">
        <f t="shared" si="7"/>
        <v>9</v>
      </c>
      <c r="P14" s="63">
        <f t="shared" si="22"/>
        <v>27</v>
      </c>
      <c r="Q14" s="63">
        <f t="shared" si="23"/>
        <v>36</v>
      </c>
      <c r="R14" s="63">
        <f t="shared" si="24"/>
        <v>45</v>
      </c>
      <c r="S14" s="63" t="str">
        <f>IFERROR(VLOOKUP(MID(N14,Q14,R14-Q14),[5]skilldef!$C:$D,2,FALSE),"-") &amp; " / " &amp; IFERROR(VLOOKUP(MID(N14,O14,P14-O14),[5]skilldef!$A:$B,2,FALSE),"-")</f>
        <v>敵全体に / -</v>
      </c>
      <c r="T14" s="48" t="str">
        <f t="shared" si="25"/>
        <v>[effect:enhance_enemy, target:enemy_all, turn:-1, status:defense, val:2000, calc:add, animation:enemy_enhance_defense],[effect:force_change_block, new_block:damage, target:block_all, ignore01:block_positive, ignore02:block_negative, color:block_yellow, count:1, val:0.2, animation:change_block]</v>
      </c>
      <c r="U14" s="63">
        <f t="shared" si="12"/>
        <v>9</v>
      </c>
      <c r="V14" s="63">
        <f t="shared" si="26"/>
        <v>22</v>
      </c>
      <c r="W14" s="63">
        <f t="shared" si="27"/>
        <v>31</v>
      </c>
      <c r="X14" s="63">
        <f t="shared" si="28"/>
        <v>40</v>
      </c>
      <c r="Y14" s="63" t="str">
        <f>IFERROR(VLOOKUP(MID(T14,W14,X14-W14),[5]skilldef!$C:$D,2,FALSE),"-") &amp; " / " &amp; IFERROR(VLOOKUP(MID(T14,U14,V14-U14),[5]skilldef!$A:$B,2,FALSE),"-")</f>
        <v>敵全体に / ステータス強化</v>
      </c>
      <c r="Z14" s="50"/>
      <c r="AA14" s="52"/>
      <c r="AB14" s="50"/>
    </row>
    <row r="15" spans="1:28" ht="210" x14ac:dyDescent="0.15">
      <c r="A15" s="112">
        <v>40040313</v>
      </c>
      <c r="B15" s="105" t="s">
        <v>410</v>
      </c>
      <c r="C15" s="50">
        <v>3</v>
      </c>
      <c r="D15" s="50" t="s">
        <v>128</v>
      </c>
      <c r="E15" s="51" t="s">
        <v>258</v>
      </c>
      <c r="F15" s="51" t="s">
        <v>329</v>
      </c>
      <c r="G15" s="63" t="str">
        <f t="shared" si="16"/>
        <v>[effect:enemy_message, val1:1, val2:3]</v>
      </c>
      <c r="H15" s="63">
        <f t="shared" si="1"/>
        <v>9</v>
      </c>
      <c r="I15" s="63">
        <f t="shared" si="17"/>
        <v>22</v>
      </c>
      <c r="J15" s="63" t="e">
        <f t="shared" si="18"/>
        <v>#VALUE!</v>
      </c>
      <c r="K15" s="63">
        <f t="shared" si="19"/>
        <v>30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20"/>
        <v>[effect:enemy_resurrection, target:enemy_all, val:0.5, rate:1, animation:enemy_resurrection],[effect:enhance_enemy, target:enemy_all, turn:-1, status:defense, val:5000, calc:add, animation:enemy_enhance_defense],[effect:force_change_block, new_block:damage, target:block_all, ignore01:block_positive, ignore02:block_negative, color:block_red, count:1, val:0.2, animation:change_block]</v>
      </c>
      <c r="N15" s="48" t="str">
        <f t="shared" si="21"/>
        <v>[effect:enemy_resurrection, target:enemy_all, val:0.5, rate:1, animation:enemy_resurrection],[effect:enhance_enemy, target:enemy_all, turn:-1, status:defense, val:5000, calc:add, animation:enemy_enhance_defense],[effect:force_change_block, new_block:damage, target:block_all, ignore01:block_positive, ignore02:block_negative, color:block_red, count:1, val:0.2, animation:change_block]</v>
      </c>
      <c r="O15" s="63">
        <f t="shared" si="7"/>
        <v>9</v>
      </c>
      <c r="P15" s="63">
        <f t="shared" si="22"/>
        <v>27</v>
      </c>
      <c r="Q15" s="63">
        <f t="shared" si="23"/>
        <v>36</v>
      </c>
      <c r="R15" s="63">
        <f t="shared" si="24"/>
        <v>45</v>
      </c>
      <c r="S15" s="63" t="str">
        <f>IFERROR(VLOOKUP(MID(N15,Q15,R15-Q15),[5]skilldef!$C:$D,2,FALSE),"-") &amp; " / " &amp; IFERROR(VLOOKUP(MID(N15,O15,P15-O15),[5]skilldef!$A:$B,2,FALSE),"-")</f>
        <v>敵全体に / -</v>
      </c>
      <c r="T15" s="48" t="str">
        <f t="shared" si="25"/>
        <v>[effect:enhance_enemy, target:enemy_all, turn:-1, status:defense, val:5000, calc:add, animation:enemy_enhance_defense],[effect:force_change_block, new_block:damage, target:block_all, ignore01:block_positive, ignore02:block_negative, color:block_red, count:1, val:0.2, animation:change_block]</v>
      </c>
      <c r="U15" s="63">
        <f t="shared" si="12"/>
        <v>9</v>
      </c>
      <c r="V15" s="63">
        <f t="shared" si="26"/>
        <v>22</v>
      </c>
      <c r="W15" s="63">
        <f t="shared" si="27"/>
        <v>31</v>
      </c>
      <c r="X15" s="63">
        <f t="shared" si="28"/>
        <v>40</v>
      </c>
      <c r="Y15" s="63" t="str">
        <f>IFERROR(VLOOKUP(MID(T15,W15,X15-W15),[5]skilldef!$C:$D,2,FALSE),"-") &amp; " / " &amp; IFERROR(VLOOKUP(MID(T15,U15,V15-U15),[5]skilldef!$A:$B,2,FALSE),"-")</f>
        <v>敵全体に / ステータス強化</v>
      </c>
      <c r="Z15" s="50"/>
      <c r="AA15" s="52"/>
      <c r="AB15" s="50"/>
    </row>
    <row r="16" spans="1:28" ht="70" x14ac:dyDescent="0.15">
      <c r="A16" s="112">
        <v>40040314</v>
      </c>
      <c r="B16" s="105" t="s">
        <v>370</v>
      </c>
      <c r="C16" s="50">
        <v>3</v>
      </c>
      <c r="D16" s="50" t="s">
        <v>128</v>
      </c>
      <c r="E16" s="51" t="s">
        <v>259</v>
      </c>
      <c r="F16" s="51" t="s">
        <v>368</v>
      </c>
      <c r="G16" s="63" t="str">
        <f t="shared" si="16"/>
        <v>[effect:enemy_message, val1:2.8, val2:2.2]</v>
      </c>
      <c r="H16" s="63">
        <f t="shared" si="1"/>
        <v>9</v>
      </c>
      <c r="I16" s="63">
        <f t="shared" si="17"/>
        <v>22</v>
      </c>
      <c r="J16" s="63" t="e">
        <f t="shared" si="18"/>
        <v>#VALUE!</v>
      </c>
      <c r="K16" s="63">
        <f t="shared" si="19"/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si="20"/>
        <v>[effect:enemy_resurrection, target:enemy_all, val:1, rate:1, animation:enemy_resurrection],[effect:damage_fix_absolute, target:unit_all, val:250000]</v>
      </c>
      <c r="N16" s="48" t="str">
        <f t="shared" si="21"/>
        <v>[effect:enemy_resurrection, target:enemy_all, val:1, rate:1, animation:enemy_resurrection],[effect:damage_fix_absolute, target:unit_all, val:250000]</v>
      </c>
      <c r="O16" s="63">
        <f t="shared" si="7"/>
        <v>9</v>
      </c>
      <c r="P16" s="63">
        <f t="shared" si="22"/>
        <v>27</v>
      </c>
      <c r="Q16" s="63">
        <f t="shared" si="23"/>
        <v>36</v>
      </c>
      <c r="R16" s="63">
        <f t="shared" si="24"/>
        <v>45</v>
      </c>
      <c r="S16" s="63" t="str">
        <f>IFERROR(VLOOKUP(MID(N16,Q16,R16-Q16),[5]skilldef!$C:$D,2,FALSE),"-") &amp; " / " &amp; IFERROR(VLOOKUP(MID(N16,O16,P16-O16),[5]skilldef!$A:$B,2,FALSE),"-")</f>
        <v>敵全体に / -</v>
      </c>
      <c r="T16" s="48" t="str">
        <f t="shared" si="25"/>
        <v>[effect:damage_fix_absolute, target:unit_all, val:250000]</v>
      </c>
      <c r="U16" s="63">
        <f t="shared" si="12"/>
        <v>9</v>
      </c>
      <c r="V16" s="63">
        <f t="shared" si="26"/>
        <v>28</v>
      </c>
      <c r="W16" s="63">
        <f t="shared" si="27"/>
        <v>37</v>
      </c>
      <c r="X16" s="63">
        <f t="shared" si="28"/>
        <v>45</v>
      </c>
      <c r="Y16" s="63" t="str">
        <f>IFERROR(VLOOKUP(MID(T16,W16,X16-W16),[5]skilldef!$C:$D,2,FALSE),"-") &amp; " / " &amp; IFERROR(VLOOKUP(MID(T16,U16,V16-U16),[5]skilldef!$A:$B,2,FALSE),"-")</f>
        <v>味方全体に / -</v>
      </c>
      <c r="Z16" s="50"/>
      <c r="AA16" s="52"/>
      <c r="AB16" s="50"/>
    </row>
    <row r="17" spans="1:28" ht="70" x14ac:dyDescent="0.15">
      <c r="A17" s="112">
        <v>40040315</v>
      </c>
      <c r="B17" s="105" t="s">
        <v>316</v>
      </c>
      <c r="C17" s="50">
        <v>3</v>
      </c>
      <c r="D17" s="50" t="s">
        <v>128</v>
      </c>
      <c r="E17" s="51" t="s">
        <v>281</v>
      </c>
      <c r="F17" s="51" t="s">
        <v>331</v>
      </c>
      <c r="G17" s="63" t="str">
        <f t="shared" si="16"/>
        <v>[effect:spread, val:0.5]</v>
      </c>
      <c r="H17" s="63">
        <f t="shared" si="1"/>
        <v>9</v>
      </c>
      <c r="I17" s="63">
        <f t="shared" si="17"/>
        <v>15</v>
      </c>
      <c r="J17" s="63" t="e">
        <f t="shared" si="18"/>
        <v>#VALUE!</v>
      </c>
      <c r="K17" s="63" t="e">
        <f t="shared" si="19"/>
        <v>#VALUE!</v>
      </c>
      <c r="L17" s="63" t="str">
        <f>IFERROR(VLOOKUP(MID(G17,J17,K17-J17),[5]skilldef!$C:$D,2,FALSE),"-") &amp; " / " &amp; IFERROR(VLOOKUP(MID(G17,H17,I17-H17),[5]skilldef!$A:$B,2,FALSE),"-")</f>
        <v>- / 全体攻撃</v>
      </c>
      <c r="M17" s="63" t="str">
        <f t="shared" si="20"/>
        <v xml:space="preserve">[effect:enhance_enemy, target:enemy_all, turn:3, status:attack, val:1000, calc:add, animation:enemy_enhance_attack]    </v>
      </c>
      <c r="N17" s="48" t="str">
        <f t="shared" si="21"/>
        <v xml:space="preserve">[effect:enhance_enemy, target:enemy_all, turn:3, status:attack, val:1000, calc:add, animation:enemy_enhance_attack]    </v>
      </c>
      <c r="O17" s="63">
        <f t="shared" si="7"/>
        <v>9</v>
      </c>
      <c r="P17" s="63">
        <f t="shared" si="22"/>
        <v>22</v>
      </c>
      <c r="Q17" s="63">
        <f t="shared" si="23"/>
        <v>31</v>
      </c>
      <c r="R17" s="63">
        <f t="shared" si="24"/>
        <v>40</v>
      </c>
      <c r="S17" s="63" t="str">
        <f>IFERROR(VLOOKUP(MID(N17,Q17,R17-Q17),[5]skilldef!$C:$D,2,FALSE),"-") &amp; " / " &amp; IFERROR(VLOOKUP(MID(N17,O17,P17-O17),[5]skilldef!$A:$B,2,FALSE),"-")</f>
        <v>敵全体に / ステータス強化</v>
      </c>
      <c r="T17" s="48" t="str">
        <f t="shared" si="25"/>
        <v>none</v>
      </c>
      <c r="U17" s="63" t="e">
        <f t="shared" si="12"/>
        <v>#VALUE!</v>
      </c>
      <c r="V17" s="63">
        <f t="shared" si="26"/>
        <v>4</v>
      </c>
      <c r="W17" s="63" t="e">
        <f t="shared" si="27"/>
        <v>#VALUE!</v>
      </c>
      <c r="X17" s="63" t="e">
        <f t="shared" si="28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140" x14ac:dyDescent="0.15">
      <c r="A18" s="112">
        <v>40040316</v>
      </c>
      <c r="B18" s="105" t="s">
        <v>411</v>
      </c>
      <c r="C18" s="50">
        <v>3</v>
      </c>
      <c r="D18" s="50" t="s">
        <v>128</v>
      </c>
      <c r="E18" s="51" t="s">
        <v>285</v>
      </c>
      <c r="F18" s="51" t="s">
        <v>332</v>
      </c>
      <c r="G18" s="63" t="str">
        <f t="shared" si="16"/>
        <v>[effect:enemy_message, val1:1, val2:2.6]</v>
      </c>
      <c r="H18" s="63">
        <f t="shared" si="1"/>
        <v>9</v>
      </c>
      <c r="I18" s="63">
        <f t="shared" si="17"/>
        <v>22</v>
      </c>
      <c r="J18" s="63" t="e">
        <f t="shared" si="18"/>
        <v>#VALUE!</v>
      </c>
      <c r="K18" s="63">
        <f t="shared" si="19"/>
        <v>30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20"/>
        <v>[effect:panel_freeze, target:normal, color:block_heart, count:-1],[effect:force_change_block, new_block:damage, target:block_all, ignore01:block_positive, ignore02:block_negative, color:block_blue, count:1, val:0.2, animation:change_block]</v>
      </c>
      <c r="N18" s="48" t="str">
        <f t="shared" si="21"/>
        <v>[effect:panel_freeze, target:normal, color:block_heart, count:-1],[effect:force_change_block, new_block:damage, target:block_all, ignore01:block_positive, ignore02:block_negative, color:block_blue, count:1, val:0.2, animation:change_block]</v>
      </c>
      <c r="O18" s="63">
        <f t="shared" si="7"/>
        <v>9</v>
      </c>
      <c r="P18" s="63">
        <f t="shared" si="22"/>
        <v>21</v>
      </c>
      <c r="Q18" s="63">
        <f t="shared" si="23"/>
        <v>30</v>
      </c>
      <c r="R18" s="63">
        <f t="shared" si="24"/>
        <v>36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25"/>
        <v>[effect:force_change_block, new_block:damage, target:block_all, ignore01:block_positive, ignore02:block_negative, color:block_blue, count:1, val:0.2, animation:change_block]</v>
      </c>
      <c r="U18" s="63">
        <f t="shared" si="12"/>
        <v>9</v>
      </c>
      <c r="V18" s="63">
        <f t="shared" si="26"/>
        <v>27</v>
      </c>
      <c r="W18" s="63">
        <f t="shared" si="27"/>
        <v>54</v>
      </c>
      <c r="X18" s="63">
        <f t="shared" si="28"/>
        <v>45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140" x14ac:dyDescent="0.15">
      <c r="A19" s="112">
        <v>40040317</v>
      </c>
      <c r="B19" s="105" t="s">
        <v>412</v>
      </c>
      <c r="C19" s="50">
        <v>3</v>
      </c>
      <c r="D19" s="50" t="s">
        <v>128</v>
      </c>
      <c r="E19" s="51" t="s">
        <v>286</v>
      </c>
      <c r="F19" s="51" t="s">
        <v>333</v>
      </c>
      <c r="G19" s="63" t="str">
        <f t="shared" si="16"/>
        <v>[effect:enemy_message, val1:1, val2:2.6]</v>
      </c>
      <c r="H19" s="63">
        <f t="shared" si="1"/>
        <v>9</v>
      </c>
      <c r="I19" s="63">
        <f t="shared" si="17"/>
        <v>22</v>
      </c>
      <c r="J19" s="63" t="e">
        <f t="shared" si="18"/>
        <v>#VALUE!</v>
      </c>
      <c r="K19" s="63">
        <f t="shared" si="19"/>
        <v>30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20"/>
        <v>[effect:panel_freeze, target:normal, color:block_blue, count:-1],[effect:force_change_block, new_block:damage, target:block_all, ignore01:block_positive, ignore02:block_negative, color:block_blue, count:1, val:0.2, animation:change_block]</v>
      </c>
      <c r="N19" s="48" t="str">
        <f t="shared" si="21"/>
        <v>[effect:panel_freeze, target:normal, color:block_blue, count:-1],[effect:force_change_block, new_block:damage, target:block_all, ignore01:block_positive, ignore02:block_negative, color:block_blue, count:1, val:0.2, animation:change_block]</v>
      </c>
      <c r="O19" s="63">
        <f t="shared" si="7"/>
        <v>9</v>
      </c>
      <c r="P19" s="63">
        <f t="shared" si="22"/>
        <v>21</v>
      </c>
      <c r="Q19" s="63">
        <f t="shared" si="23"/>
        <v>30</v>
      </c>
      <c r="R19" s="63">
        <f t="shared" si="24"/>
        <v>36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25"/>
        <v>[effect:force_change_block, new_block:damage, target:block_all, ignore01:block_positive, ignore02:block_negative, color:block_blue, count:1, val:0.2, animation:change_block]</v>
      </c>
      <c r="U19" s="63">
        <f t="shared" si="12"/>
        <v>9</v>
      </c>
      <c r="V19" s="63">
        <f t="shared" si="26"/>
        <v>27</v>
      </c>
      <c r="W19" s="63">
        <f t="shared" si="27"/>
        <v>54</v>
      </c>
      <c r="X19" s="63">
        <f t="shared" si="28"/>
        <v>45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84" x14ac:dyDescent="0.15">
      <c r="A20" s="112">
        <v>40040318</v>
      </c>
      <c r="B20" s="105" t="s">
        <v>366</v>
      </c>
      <c r="C20" s="50">
        <v>3</v>
      </c>
      <c r="D20" s="50" t="s">
        <v>128</v>
      </c>
      <c r="E20" s="51" t="s">
        <v>262</v>
      </c>
      <c r="F20" s="51" t="s">
        <v>355</v>
      </c>
      <c r="G20" s="63" t="str">
        <f t="shared" si="16"/>
        <v>[effect:enemy_message, val1:2.8, val2:1.8]</v>
      </c>
      <c r="H20" s="63">
        <f t="shared" si="1"/>
        <v>9</v>
      </c>
      <c r="I20" s="63">
        <f t="shared" si="17"/>
        <v>22</v>
      </c>
      <c r="J20" s="63" t="e">
        <f t="shared" si="18"/>
        <v>#VALUE!</v>
      </c>
      <c r="K20" s="63">
        <f t="shared" si="19"/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si="20"/>
        <v>[effect:fix_speed, target:myself, turn:2],[effect:barrier_attack_skill_color, target:myself, option:guard, color:red, turn:-1, val:0.5, animation:crash_panel_reduce04_unit02]</v>
      </c>
      <c r="N20" s="48" t="str">
        <f t="shared" si="21"/>
        <v>[effect:fix_speed, target:myself, turn:2],[effect:barrier_attack_skill_color, target:myself, option:guard, color:red, turn:-1, val:0.5, animation:crash_panel_reduce04_unit02]</v>
      </c>
      <c r="O20" s="63">
        <f t="shared" si="7"/>
        <v>9</v>
      </c>
      <c r="P20" s="63">
        <f t="shared" si="22"/>
        <v>18</v>
      </c>
      <c r="Q20" s="63">
        <f t="shared" si="23"/>
        <v>27</v>
      </c>
      <c r="R20" s="63">
        <f t="shared" si="24"/>
        <v>33</v>
      </c>
      <c r="S20" s="63" t="str">
        <f>IFERROR(VLOOKUP(MID(N20,Q20,R20-Q20),[5]skilldef!$C:$D,2,FALSE),"-") &amp; " / " &amp; IFERROR(VLOOKUP(MID(N20,O20,P20-O20),[5]skilldef!$A:$B,2,FALSE),"-")</f>
        <v>自分自身に / 行動値設定</v>
      </c>
      <c r="T20" s="48" t="str">
        <f t="shared" si="25"/>
        <v>[effect:barrier_attack_skill_color, target:myself, option:guard, color:red, turn:-1, val:0.5, animation:crash_panel_reduce04_unit02]</v>
      </c>
      <c r="U20" s="63">
        <f t="shared" si="12"/>
        <v>9</v>
      </c>
      <c r="V20" s="63">
        <f t="shared" si="26"/>
        <v>35</v>
      </c>
      <c r="W20" s="63">
        <f t="shared" si="27"/>
        <v>44</v>
      </c>
      <c r="X20" s="63">
        <f t="shared" si="28"/>
        <v>50</v>
      </c>
      <c r="Y20" s="63" t="str">
        <f>IFERROR(VLOOKUP(MID(T20,W20,X20-W20),[5]skilldef!$C:$D,2,FALSE),"-") &amp; " / " &amp; IFERROR(VLOOKUP(MID(T20,U20,V20-U20),[5]skilldef!$A:$B,2,FALSE),"-")</f>
        <v>自分自身に / 一定ターン特定属性のユニットの攻撃スキルダメージを軽減／無効／反射</v>
      </c>
      <c r="Z20" s="50"/>
      <c r="AA20" s="52"/>
      <c r="AB20" s="50"/>
    </row>
    <row r="21" spans="1:28" ht="84" x14ac:dyDescent="0.15">
      <c r="A21" s="112">
        <v>40040319</v>
      </c>
      <c r="B21" s="105" t="s">
        <v>366</v>
      </c>
      <c r="C21" s="50">
        <v>3</v>
      </c>
      <c r="D21" s="50" t="s">
        <v>128</v>
      </c>
      <c r="E21" s="51" t="s">
        <v>260</v>
      </c>
      <c r="F21" s="51" t="s">
        <v>355</v>
      </c>
      <c r="G21" s="63" t="str">
        <f t="shared" si="16"/>
        <v>[effect:enemy_message, val1:2.8, val2:1.8]</v>
      </c>
      <c r="H21" s="63">
        <f t="shared" si="1"/>
        <v>9</v>
      </c>
      <c r="I21" s="63">
        <f t="shared" si="17"/>
        <v>22</v>
      </c>
      <c r="J21" s="63" t="e">
        <f t="shared" si="18"/>
        <v>#VALUE!</v>
      </c>
      <c r="K21" s="63">
        <f t="shared" si="19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20"/>
        <v>[effect:fix_speed, target:myself, turn:2],[effect:barrier_attack_skill_color, target:myself, option:guard, color:red, turn:-1, val:0.5, animation:crash_panel_reduce04_unit02]</v>
      </c>
      <c r="N21" s="48" t="str">
        <f t="shared" si="21"/>
        <v>[effect:fix_speed, target:myself, turn:2],[effect:barrier_attack_skill_color, target:myself, option:guard, color:red, turn:-1, val:0.5, animation:crash_panel_reduce04_unit02]</v>
      </c>
      <c r="O21" s="63">
        <f t="shared" si="7"/>
        <v>9</v>
      </c>
      <c r="P21" s="63">
        <f t="shared" si="22"/>
        <v>18</v>
      </c>
      <c r="Q21" s="63">
        <f t="shared" si="23"/>
        <v>27</v>
      </c>
      <c r="R21" s="63">
        <f t="shared" si="24"/>
        <v>33</v>
      </c>
      <c r="S21" s="63" t="str">
        <f>IFERROR(VLOOKUP(MID(N21,Q21,R21-Q21),[5]skilldef!$C:$D,2,FALSE),"-") &amp; " / " &amp; IFERROR(VLOOKUP(MID(N21,O21,P21-O21),[5]skilldef!$A:$B,2,FALSE),"-")</f>
        <v>自分自身に / 行動値設定</v>
      </c>
      <c r="T21" s="48" t="str">
        <f t="shared" si="25"/>
        <v>[effect:barrier_attack_skill_color, target:myself, option:guard, color:red, turn:-1, val:0.5, animation:crash_panel_reduce04_unit02]</v>
      </c>
      <c r="U21" s="63">
        <f t="shared" si="12"/>
        <v>9</v>
      </c>
      <c r="V21" s="63">
        <f t="shared" si="26"/>
        <v>35</v>
      </c>
      <c r="W21" s="63">
        <f t="shared" si="27"/>
        <v>44</v>
      </c>
      <c r="X21" s="63">
        <f t="shared" si="28"/>
        <v>50</v>
      </c>
      <c r="Y21" s="63" t="str">
        <f>IFERROR(VLOOKUP(MID(T21,W21,X21-W21),[5]skilldef!$C:$D,2,FALSE),"-") &amp; " / " &amp; IFERROR(VLOOKUP(MID(T21,U21,V21-U21),[5]skilldef!$A:$B,2,FALSE),"-")</f>
        <v>自分自身に / 一定ターン特定属性のユニットの攻撃スキルダメージを軽減／無効／反射</v>
      </c>
      <c r="Z21" s="50"/>
      <c r="AA21" s="52"/>
      <c r="AB21" s="50"/>
    </row>
    <row r="22" spans="1:28" ht="84" x14ac:dyDescent="0.15">
      <c r="A22" s="112">
        <v>40040320</v>
      </c>
      <c r="B22" s="105" t="s">
        <v>366</v>
      </c>
      <c r="C22" s="50">
        <v>3</v>
      </c>
      <c r="D22" s="50" t="s">
        <v>128</v>
      </c>
      <c r="E22" s="51" t="s">
        <v>279</v>
      </c>
      <c r="F22" s="51" t="s">
        <v>355</v>
      </c>
      <c r="G22" s="63" t="str">
        <f t="shared" si="16"/>
        <v>[effect:enemy_message, val1:2.8, val2:1.8]</v>
      </c>
      <c r="H22" s="63">
        <f t="shared" si="1"/>
        <v>9</v>
      </c>
      <c r="I22" s="63">
        <f t="shared" si="17"/>
        <v>22</v>
      </c>
      <c r="J22" s="63" t="e">
        <f t="shared" si="18"/>
        <v>#VALUE!</v>
      </c>
      <c r="K22" s="63">
        <f t="shared" si="19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20"/>
        <v>[effect:fix_speed, target:myself, turn:2],[effect:barrier_attack_skill_color, target:myself, option:guard, color:red, turn:-1, val:0.5, animation:crash_panel_reduce04_unit02]</v>
      </c>
      <c r="N22" s="48" t="str">
        <f t="shared" si="21"/>
        <v>[effect:fix_speed, target:myself, turn:2],[effect:barrier_attack_skill_color, target:myself, option:guard, color:red, turn:-1, val:0.5, animation:crash_panel_reduce04_unit02]</v>
      </c>
      <c r="O22" s="63">
        <f t="shared" si="7"/>
        <v>9</v>
      </c>
      <c r="P22" s="63">
        <f t="shared" si="22"/>
        <v>18</v>
      </c>
      <c r="Q22" s="63">
        <f t="shared" si="23"/>
        <v>27</v>
      </c>
      <c r="R22" s="63">
        <f t="shared" si="24"/>
        <v>33</v>
      </c>
      <c r="S22" s="63" t="str">
        <f>IFERROR(VLOOKUP(MID(N22,Q22,R22-Q22),[5]skilldef!$C:$D,2,FALSE),"-") &amp; " / " &amp; IFERROR(VLOOKUP(MID(N22,O22,P22-O22),[5]skilldef!$A:$B,2,FALSE),"-")</f>
        <v>自分自身に / 行動値設定</v>
      </c>
      <c r="T22" s="48" t="str">
        <f t="shared" si="25"/>
        <v>[effect:barrier_attack_skill_color, target:myself, option:guard, color:red, turn:-1, val:0.5, animation:crash_panel_reduce04_unit02]</v>
      </c>
      <c r="U22" s="63">
        <f t="shared" si="12"/>
        <v>9</v>
      </c>
      <c r="V22" s="63">
        <f t="shared" si="26"/>
        <v>35</v>
      </c>
      <c r="W22" s="63">
        <f t="shared" si="27"/>
        <v>44</v>
      </c>
      <c r="X22" s="63">
        <f t="shared" si="28"/>
        <v>50</v>
      </c>
      <c r="Y22" s="63" t="str">
        <f>IFERROR(VLOOKUP(MID(T22,W22,X22-W22),[5]skilldef!$C:$D,2,FALSE),"-") &amp; " / " &amp; IFERROR(VLOOKUP(MID(T22,U22,V22-U22),[5]skilldef!$A:$B,2,FALSE),"-")</f>
        <v>自分自身に / 一定ターン特定属性のユニットの攻撃スキルダメージを軽減／無効／反射</v>
      </c>
      <c r="Z22" s="50"/>
      <c r="AA22" s="52"/>
      <c r="AB22" s="50"/>
    </row>
    <row r="23" spans="1:28" ht="112" x14ac:dyDescent="0.15">
      <c r="A23" s="112">
        <v>40040321</v>
      </c>
      <c r="B23" s="105" t="s">
        <v>413</v>
      </c>
      <c r="C23" s="50">
        <v>3</v>
      </c>
      <c r="D23" s="50" t="s">
        <v>128</v>
      </c>
      <c r="E23" s="51" t="s">
        <v>282</v>
      </c>
      <c r="F23" s="51" t="s">
        <v>334</v>
      </c>
      <c r="G23" s="63" t="str">
        <f t="shared" si="16"/>
        <v>[effect:enemy_message, val1:2.8, val2:2.4]</v>
      </c>
      <c r="H23" s="63">
        <f t="shared" si="1"/>
        <v>9</v>
      </c>
      <c r="I23" s="63">
        <f t="shared" si="17"/>
        <v>22</v>
      </c>
      <c r="J23" s="63" t="e">
        <f t="shared" si="18"/>
        <v>#VALUE!</v>
      </c>
      <c r="K23" s="63">
        <f t="shared" si="19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20"/>
        <v xml:space="preserve">[effect:rush, count:2, val:0.6],[effect:force_change_block, new_block:damage, target:block_all, ignore01:block_positive, ignore02:block_negative, color:block_blue, count:1, val:0.2, animation:change_block]   </v>
      </c>
      <c r="N23" s="48" t="str">
        <f t="shared" si="21"/>
        <v xml:space="preserve">[effect:rush, count:2, val:0.6],[effect:force_change_block, new_block:damage, target:block_all, ignore01:block_positive, ignore02:block_negative, color:block_blue, count:1, val:0.2, animation:change_block]   </v>
      </c>
      <c r="O23" s="63">
        <f t="shared" si="7"/>
        <v>9</v>
      </c>
      <c r="P23" s="63">
        <f t="shared" si="22"/>
        <v>13</v>
      </c>
      <c r="Q23" s="63">
        <f t="shared" si="23"/>
        <v>86</v>
      </c>
      <c r="R23" s="63">
        <f t="shared" si="24"/>
        <v>22</v>
      </c>
      <c r="S23" s="63" t="str">
        <f>IFERROR(VLOOKUP(MID(N23,Q23,R23-Q23),[5]skilldef!$C:$D,2,FALSE),"-") &amp; " / " &amp; IFERROR(VLOOKUP(MID(N23,O23,P23-O23),[5]skilldef!$A:$B,2,FALSE),"-")</f>
        <v>- / 連続攻撃</v>
      </c>
      <c r="T23" s="48" t="str">
        <f t="shared" si="25"/>
        <v xml:space="preserve">[effect:force_change_block, new_block:damage, target:block_all, ignore01:block_positive, ignore02:block_negative, color:block_blue, count:1, val:0.2, animation:change_block]   </v>
      </c>
      <c r="U23" s="63">
        <f t="shared" si="12"/>
        <v>9</v>
      </c>
      <c r="V23" s="63">
        <f t="shared" si="26"/>
        <v>27</v>
      </c>
      <c r="W23" s="63">
        <f t="shared" si="27"/>
        <v>54</v>
      </c>
      <c r="X23" s="63">
        <f t="shared" si="28"/>
        <v>45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8" x14ac:dyDescent="0.15">
      <c r="A24" s="112">
        <v>40040322</v>
      </c>
      <c r="B24" s="105" t="s">
        <v>383</v>
      </c>
      <c r="C24" s="50">
        <v>3</v>
      </c>
      <c r="D24" s="50" t="s">
        <v>128</v>
      </c>
      <c r="E24" s="51" t="s">
        <v>272</v>
      </c>
      <c r="F24" s="51" t="s">
        <v>335</v>
      </c>
      <c r="G24" s="63" t="str">
        <f t="shared" si="16"/>
        <v>[effect:enemy_message, val1:1.4, val2:2.2]</v>
      </c>
      <c r="H24" s="63">
        <f t="shared" si="1"/>
        <v>9</v>
      </c>
      <c r="I24" s="63">
        <f t="shared" si="17"/>
        <v>22</v>
      </c>
      <c r="J24" s="63" t="e">
        <f t="shared" si="18"/>
        <v>#VALUE!</v>
      </c>
      <c r="K24" s="63">
        <f t="shared" si="19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20"/>
        <v>[effect:rush, count:2, val:0.75]</v>
      </c>
      <c r="N24" s="48" t="str">
        <f t="shared" si="21"/>
        <v>[effect:rush, count:2, val:0.75]</v>
      </c>
      <c r="O24" s="63">
        <f t="shared" si="7"/>
        <v>9</v>
      </c>
      <c r="P24" s="63">
        <f t="shared" si="22"/>
        <v>13</v>
      </c>
      <c r="Q24" s="63" t="e">
        <f t="shared" si="23"/>
        <v>#VALUE!</v>
      </c>
      <c r="R24" s="63">
        <f t="shared" si="24"/>
        <v>22</v>
      </c>
      <c r="S24" s="63" t="str">
        <f>IFERROR(VLOOKUP(MID(N24,Q24,R24-Q24),[5]skilldef!$C:$D,2,FALSE),"-") &amp; " / " &amp; IFERROR(VLOOKUP(MID(N24,O24,P24-O24),[5]skilldef!$A:$B,2,FALSE),"-")</f>
        <v>- / 連続攻撃</v>
      </c>
      <c r="T24" s="48" t="str">
        <f t="shared" si="25"/>
        <v>none</v>
      </c>
      <c r="U24" s="63" t="e">
        <f t="shared" si="12"/>
        <v>#VALUE!</v>
      </c>
      <c r="V24" s="63">
        <f t="shared" si="26"/>
        <v>4</v>
      </c>
      <c r="W24" s="63" t="e">
        <f t="shared" si="27"/>
        <v>#VALUE!</v>
      </c>
      <c r="X24" s="63" t="e">
        <f t="shared" si="28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8" x14ac:dyDescent="0.15">
      <c r="A25" s="112">
        <v>40040323</v>
      </c>
      <c r="B25" s="105" t="s">
        <v>384</v>
      </c>
      <c r="C25" s="50">
        <v>3</v>
      </c>
      <c r="D25" s="50" t="s">
        <v>128</v>
      </c>
      <c r="E25" s="51" t="s">
        <v>271</v>
      </c>
      <c r="F25" s="51" t="s">
        <v>335</v>
      </c>
      <c r="G25" s="63" t="str">
        <f t="shared" si="16"/>
        <v>[effect:enemy_message, val1:1.8, val2:2.2]</v>
      </c>
      <c r="H25" s="63">
        <f t="shared" si="1"/>
        <v>9</v>
      </c>
      <c r="I25" s="63">
        <f t="shared" si="17"/>
        <v>22</v>
      </c>
      <c r="J25" s="63" t="e">
        <f t="shared" si="18"/>
        <v>#VALUE!</v>
      </c>
      <c r="K25" s="63">
        <f t="shared" si="19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20"/>
        <v>[effect:rush, count:2, val:0.5]</v>
      </c>
      <c r="N25" s="48" t="str">
        <f t="shared" si="21"/>
        <v>[effect:rush, count:2, val:0.5]</v>
      </c>
      <c r="O25" s="63">
        <f t="shared" si="7"/>
        <v>9</v>
      </c>
      <c r="P25" s="63">
        <f t="shared" si="22"/>
        <v>13</v>
      </c>
      <c r="Q25" s="63" t="e">
        <f t="shared" si="23"/>
        <v>#VALUE!</v>
      </c>
      <c r="R25" s="63">
        <f t="shared" si="24"/>
        <v>22</v>
      </c>
      <c r="S25" s="63" t="str">
        <f>IFERROR(VLOOKUP(MID(N25,Q25,R25-Q25),[5]skilldef!$C:$D,2,FALSE),"-") &amp; " / " &amp; IFERROR(VLOOKUP(MID(N25,O25,P25-O25),[5]skilldef!$A:$B,2,FALSE),"-")</f>
        <v>- / 連続攻撃</v>
      </c>
      <c r="T25" s="48" t="str">
        <f t="shared" si="25"/>
        <v>none</v>
      </c>
      <c r="U25" s="63" t="e">
        <f t="shared" si="12"/>
        <v>#VALUE!</v>
      </c>
      <c r="V25" s="63">
        <f t="shared" si="26"/>
        <v>4</v>
      </c>
      <c r="W25" s="63" t="e">
        <f t="shared" si="27"/>
        <v>#VALUE!</v>
      </c>
      <c r="X25" s="63" t="e">
        <f t="shared" si="28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8" x14ac:dyDescent="0.15">
      <c r="A26" s="112">
        <v>40040324</v>
      </c>
      <c r="B26" s="105" t="s">
        <v>385</v>
      </c>
      <c r="C26" s="50">
        <v>3</v>
      </c>
      <c r="D26" s="50" t="s">
        <v>128</v>
      </c>
      <c r="E26" s="51" t="s">
        <v>289</v>
      </c>
      <c r="F26" s="51" t="s">
        <v>335</v>
      </c>
      <c r="G26" s="63" t="str">
        <f t="shared" si="16"/>
        <v>[effect:enemy_message, val1:1.4, val2:2.2]</v>
      </c>
      <c r="H26" s="63">
        <f t="shared" si="1"/>
        <v>9</v>
      </c>
      <c r="I26" s="63">
        <f t="shared" si="17"/>
        <v>22</v>
      </c>
      <c r="J26" s="63" t="e">
        <f t="shared" si="18"/>
        <v>#VALUE!</v>
      </c>
      <c r="K26" s="63">
        <f t="shared" si="19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20"/>
        <v>[effect:rush, count:2, val:0.25]</v>
      </c>
      <c r="N26" s="48" t="str">
        <f t="shared" si="21"/>
        <v>[effect:rush, count:2, val:0.25]</v>
      </c>
      <c r="O26" s="63">
        <f t="shared" si="7"/>
        <v>9</v>
      </c>
      <c r="P26" s="63">
        <f t="shared" si="22"/>
        <v>13</v>
      </c>
      <c r="Q26" s="63" t="e">
        <f t="shared" si="23"/>
        <v>#VALUE!</v>
      </c>
      <c r="R26" s="63">
        <f t="shared" si="24"/>
        <v>22</v>
      </c>
      <c r="S26" s="63" t="str">
        <f>IFERROR(VLOOKUP(MID(N26,Q26,R26-Q26),[5]skilldef!$C:$D,2,FALSE),"-") &amp; " / " &amp; IFERROR(VLOOKUP(MID(N26,O26,P26-O26),[5]skilldef!$A:$B,2,FALSE),"-")</f>
        <v>- / 連続攻撃</v>
      </c>
      <c r="T26" s="48" t="str">
        <f t="shared" si="25"/>
        <v>none</v>
      </c>
      <c r="U26" s="63" t="e">
        <f t="shared" si="12"/>
        <v>#VALUE!</v>
      </c>
      <c r="V26" s="63">
        <f t="shared" si="26"/>
        <v>4</v>
      </c>
      <c r="W26" s="63" t="e">
        <f t="shared" si="27"/>
        <v>#VALUE!</v>
      </c>
      <c r="X26" s="63" t="e">
        <f t="shared" si="28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126" x14ac:dyDescent="0.15">
      <c r="A27" s="112">
        <v>40040325</v>
      </c>
      <c r="B27" s="105" t="s">
        <v>367</v>
      </c>
      <c r="C27" s="50">
        <v>3</v>
      </c>
      <c r="D27" s="50" t="s">
        <v>128</v>
      </c>
      <c r="E27" s="51" t="s">
        <v>290</v>
      </c>
      <c r="F27" s="51" t="s">
        <v>356</v>
      </c>
      <c r="G27" s="63" t="str">
        <f t="shared" si="16"/>
        <v>[effect:enemy_message, val1:1.4, val2:2.8]</v>
      </c>
      <c r="H27" s="63">
        <f t="shared" si="1"/>
        <v>9</v>
      </c>
      <c r="I27" s="63">
        <f t="shared" si="17"/>
        <v>22</v>
      </c>
      <c r="J27" s="63" t="e">
        <f t="shared" si="18"/>
        <v>#VALUE!</v>
      </c>
      <c r="K27" s="63">
        <f t="shared" si="19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20"/>
        <v xml:space="preserve">[effect:fix_speed, target:myself, turn:1],[effect:barrier_attack_skill_color, target:myself, option:guard, color:red, turn:-1, val:0.75, animation:crash_panel_reduce04_unit02],[effect:drop_freeze, turn:-1, block_type:normal, frozen_count:1, rate:0.15, animation:drop_protect]    </v>
      </c>
      <c r="N27" s="48" t="str">
        <f t="shared" si="21"/>
        <v xml:space="preserve">[effect:fix_speed, target:myself, turn:1],[effect:barrier_attack_skill_color, target:myself, option:guard, color:red, turn:-1, val:0.75, animation:crash_panel_reduce04_unit02],[effect:drop_freeze, turn:-1, block_type:normal, frozen_count:1, rate:0.15, animation:drop_protect]    </v>
      </c>
      <c r="O27" s="63">
        <f t="shared" si="7"/>
        <v>9</v>
      </c>
      <c r="P27" s="63">
        <f t="shared" si="22"/>
        <v>18</v>
      </c>
      <c r="Q27" s="63">
        <f t="shared" si="23"/>
        <v>27</v>
      </c>
      <c r="R27" s="63">
        <f t="shared" si="24"/>
        <v>33</v>
      </c>
      <c r="S27" s="63" t="str">
        <f>IFERROR(VLOOKUP(MID(N27,Q27,R27-Q27),[5]skilldef!$C:$D,2,FALSE),"-") &amp; " / " &amp; IFERROR(VLOOKUP(MID(N27,O27,P27-O27),[5]skilldef!$A:$B,2,FALSE),"-")</f>
        <v>自分自身に / 行動値設定</v>
      </c>
      <c r="T27" s="48" t="str">
        <f t="shared" si="25"/>
        <v xml:space="preserve">[effect:barrier_attack_skill_color, target:myself, option:guard, color:red, turn:-1, val:0.75, animation:crash_panel_reduce04_unit02],[effect:drop_freeze, turn:-1, block_type:normal, frozen_count:1, rate:0.15, animation:drop_protect]    </v>
      </c>
      <c r="U27" s="63">
        <f t="shared" si="12"/>
        <v>9</v>
      </c>
      <c r="V27" s="63">
        <f t="shared" si="26"/>
        <v>35</v>
      </c>
      <c r="W27" s="63">
        <f t="shared" si="27"/>
        <v>44</v>
      </c>
      <c r="X27" s="63">
        <f t="shared" si="28"/>
        <v>50</v>
      </c>
      <c r="Y27" s="63" t="str">
        <f>IFERROR(VLOOKUP(MID(T27,W27,X27-W27),[5]skilldef!$C:$D,2,FALSE),"-") &amp; " / " &amp; IFERROR(VLOOKUP(MID(T27,U27,V27-U27),[5]skilldef!$A:$B,2,FALSE),"-")</f>
        <v>自分自身に / 一定ターン特定属性のユニットの攻撃スキルダメージを軽減／無効／反射</v>
      </c>
      <c r="Z27" s="50"/>
      <c r="AA27" s="52"/>
      <c r="AB27" s="50"/>
    </row>
    <row r="28" spans="1:28" ht="98" x14ac:dyDescent="0.15">
      <c r="A28" s="112">
        <v>40040326</v>
      </c>
      <c r="B28" s="105" t="s">
        <v>432</v>
      </c>
      <c r="C28" s="50">
        <v>3</v>
      </c>
      <c r="D28" s="50" t="s">
        <v>128</v>
      </c>
      <c r="E28" s="51" t="s">
        <v>291</v>
      </c>
      <c r="F28" s="51" t="s">
        <v>336</v>
      </c>
      <c r="G28" s="63" t="str">
        <f t="shared" si="16"/>
        <v>[effect:enemy_message, val1:2.4, val2:1.8]</v>
      </c>
      <c r="H28" s="63">
        <f t="shared" si="1"/>
        <v>9</v>
      </c>
      <c r="I28" s="63">
        <f t="shared" si="17"/>
        <v>22</v>
      </c>
      <c r="J28" s="63" t="e">
        <f t="shared" si="18"/>
        <v>#VALUE!</v>
      </c>
      <c r="K28" s="63">
        <f t="shared" si="19"/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20"/>
        <v xml:space="preserve">[effect:force_change_block, new_block:block_red, target:block_green, count:10, val:0, animation:change_block]    </v>
      </c>
      <c r="N28" s="48" t="str">
        <f t="shared" si="21"/>
        <v xml:space="preserve">[effect:force_change_block, new_block:block_red, target:block_green, count:10, val:0, animation:change_block]    </v>
      </c>
      <c r="O28" s="63">
        <f t="shared" si="7"/>
        <v>9</v>
      </c>
      <c r="P28" s="63">
        <f t="shared" si="22"/>
        <v>27</v>
      </c>
      <c r="Q28" s="63">
        <f t="shared" si="23"/>
        <v>57</v>
      </c>
      <c r="R28" s="63">
        <f t="shared" si="24"/>
        <v>48</v>
      </c>
      <c r="S28" s="63" t="str">
        <f>IFERROR(VLOOKUP(MID(N28,Q28,R28-Q28),[5]skilldef!$C:$D,2,FALSE),"-") &amp; " / " &amp; IFERROR(VLOOKUP(MID(N28,O28,P28-O28),[5]skilldef!$A:$B,2,FALSE),"-")</f>
        <v>- / -</v>
      </c>
      <c r="T28" s="48" t="str">
        <f t="shared" si="25"/>
        <v>none</v>
      </c>
      <c r="U28" s="63" t="e">
        <f t="shared" si="12"/>
        <v>#VALUE!</v>
      </c>
      <c r="V28" s="63">
        <f t="shared" si="26"/>
        <v>4</v>
      </c>
      <c r="W28" s="63" t="e">
        <f t="shared" si="27"/>
        <v>#VALUE!</v>
      </c>
      <c r="X28" s="63" t="e">
        <f t="shared" si="28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98" x14ac:dyDescent="0.15">
      <c r="A29" s="112">
        <v>40040327</v>
      </c>
      <c r="B29" s="105" t="s">
        <v>433</v>
      </c>
      <c r="C29" s="50">
        <v>3</v>
      </c>
      <c r="D29" s="50" t="s">
        <v>128</v>
      </c>
      <c r="E29" s="51" t="s">
        <v>292</v>
      </c>
      <c r="F29" s="51" t="s">
        <v>337</v>
      </c>
      <c r="G29" s="63" t="str">
        <f t="shared" si="16"/>
        <v>[effect:enemy_message, val1:1.8, val2:2.2]</v>
      </c>
      <c r="H29" s="63">
        <f t="shared" si="1"/>
        <v>9</v>
      </c>
      <c r="I29" s="63">
        <f t="shared" si="17"/>
        <v>22</v>
      </c>
      <c r="J29" s="63" t="e">
        <f t="shared" si="18"/>
        <v>#VALUE!</v>
      </c>
      <c r="K29" s="63">
        <f t="shared" si="19"/>
        <v>32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si="20"/>
        <v xml:space="preserve">[effect:force_change_block, new_block:damage, target:block_red, color:block_red, count:5, val:0.1, animation:change_block]    </v>
      </c>
      <c r="N29" s="48" t="str">
        <f t="shared" si="21"/>
        <v xml:space="preserve">[effect:force_change_block, new_block:damage, target:block_red, color:block_red, count:5, val:0.1, animation:change_block]    </v>
      </c>
      <c r="O29" s="63">
        <f t="shared" si="7"/>
        <v>9</v>
      </c>
      <c r="P29" s="63">
        <f t="shared" si="22"/>
        <v>27</v>
      </c>
      <c r="Q29" s="63">
        <f t="shared" si="23"/>
        <v>54</v>
      </c>
      <c r="R29" s="63">
        <f t="shared" si="24"/>
        <v>45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25"/>
        <v>none</v>
      </c>
      <c r="U29" s="63" t="e">
        <f t="shared" si="12"/>
        <v>#VALUE!</v>
      </c>
      <c r="V29" s="63">
        <f t="shared" si="26"/>
        <v>4</v>
      </c>
      <c r="W29" s="63" t="e">
        <f t="shared" si="27"/>
        <v>#VALUE!</v>
      </c>
      <c r="X29" s="63" t="e">
        <f t="shared" si="28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24" x14ac:dyDescent="0.15">
      <c r="A30" s="112">
        <v>40040328</v>
      </c>
      <c r="B30" s="105" t="s">
        <v>371</v>
      </c>
      <c r="C30" s="50">
        <v>3</v>
      </c>
      <c r="D30" s="50" t="s">
        <v>128</v>
      </c>
      <c r="E30" s="51" t="s">
        <v>273</v>
      </c>
      <c r="F30" s="51" t="s">
        <v>338</v>
      </c>
      <c r="G30" s="63" t="str">
        <f t="shared" si="16"/>
        <v>[effect:enemy_message, val1:1.4, val2:3.8]</v>
      </c>
      <c r="H30" s="63">
        <f t="shared" si="1"/>
        <v>9</v>
      </c>
      <c r="I30" s="63">
        <f t="shared" si="17"/>
        <v>22</v>
      </c>
      <c r="J30" s="63" t="e">
        <f t="shared" si="18"/>
        <v>#VALUE!</v>
      </c>
      <c r="K30" s="63">
        <f t="shared" si="19"/>
        <v>32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si="20"/>
        <v xml:space="preserve">[effect:force_change_block, new_block:damage, target:block_red, ignore01:crash, ignore02:crack_bomb, ignore03:color_break, color:block_red, count:5, val:0.1, animation:change_block],[effect:force_change_block, new_block:crack_bomb, target:block_blue, ignore01:crash, ignore02:crack_bomb, ignore03:color_break, color:block_blue, count:1, val:24, animation:change_block],[effect:heal, target:myself, val:0.2, animation:enemy_heal]    </v>
      </c>
      <c r="N30" s="48" t="str">
        <f t="shared" si="21"/>
        <v xml:space="preserve">[effect:force_change_block, new_block:damage, target:block_red, ignore01:crash, ignore02:crack_bomb, ignore03:color_break, color:block_red, count:5, val:0.1, animation:change_block],[effect:force_change_block, new_block:crack_bomb, target:block_blue, ignore01:crash, ignore02:crack_bomb, ignore03:color_break, color:block_blue, count:1, val:24, animation:change_block],[effect:heal, target:myself, val:0.2, animation:enemy_heal]    </v>
      </c>
      <c r="O30" s="63">
        <f t="shared" si="7"/>
        <v>9</v>
      </c>
      <c r="P30" s="63">
        <f t="shared" si="22"/>
        <v>27</v>
      </c>
      <c r="Q30" s="63">
        <f t="shared" si="23"/>
        <v>54</v>
      </c>
      <c r="R30" s="63">
        <f t="shared" si="24"/>
        <v>45</v>
      </c>
      <c r="S30" s="63" t="str">
        <f>IFERROR(VLOOKUP(MID(N30,Q30,R30-Q30),[5]skilldef!$C:$D,2,FALSE),"-") &amp; " / " &amp; IFERROR(VLOOKUP(MID(N30,O30,P30-O30),[5]skilldef!$A:$B,2,FALSE),"-")</f>
        <v>- / -</v>
      </c>
      <c r="T30" s="48" t="str">
        <f t="shared" si="25"/>
        <v xml:space="preserve">[effect:force_change_block, new_block:crack_bomb, target:block_blue, ignore01:crash, ignore02:crack_bomb, ignore03:color_break, color:block_blue, count:1, val:24, animation:change_block],[effect:heal, target:myself, val:0.2, animation:enemy_heal]    </v>
      </c>
      <c r="U30" s="63">
        <f t="shared" si="12"/>
        <v>9</v>
      </c>
      <c r="V30" s="63">
        <f t="shared" si="26"/>
        <v>27</v>
      </c>
      <c r="W30" s="63">
        <f t="shared" si="27"/>
        <v>58</v>
      </c>
      <c r="X30" s="63">
        <f t="shared" si="28"/>
        <v>49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56" x14ac:dyDescent="0.15">
      <c r="A31" s="112">
        <v>40040329</v>
      </c>
      <c r="B31" s="105" t="s">
        <v>372</v>
      </c>
      <c r="C31" s="50">
        <v>3</v>
      </c>
      <c r="D31" s="50" t="s">
        <v>128</v>
      </c>
      <c r="E31" s="51" t="s">
        <v>261</v>
      </c>
      <c r="F31" s="51" t="s">
        <v>266</v>
      </c>
      <c r="G31" s="63" t="str">
        <f t="shared" ref="G31:G42" si="29">IFERROR(LEFT(B31,FIND("],",B31)),B31)</f>
        <v>[effect:enemy_message, val1:1.4, val2:1.8]</v>
      </c>
      <c r="H31" s="63">
        <f t="shared" si="1"/>
        <v>9</v>
      </c>
      <c r="I31" s="63">
        <f t="shared" ref="I31:I42" si="30">IFERROR(FIND(",",G31),LEN(G31))</f>
        <v>22</v>
      </c>
      <c r="J31" s="63" t="e">
        <f t="shared" ref="J31:J42" si="31">FIND("target:",G31)+7</f>
        <v>#VALUE!</v>
      </c>
      <c r="K31" s="63">
        <f t="shared" ref="K31:K42" si="32">FIND(",",G31,I31+1)</f>
        <v>32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ref="M31:M42" si="33">IFERROR(RIGHT(B31,LEN(B31)-FIND("],",B31)-1),"none")</f>
        <v xml:space="preserve">[effect:break_attack_fix, target:unit_all, val:1500, lowest_val:1000, count:-1, color:blue, block01:damage]    </v>
      </c>
      <c r="N31" s="48" t="str">
        <f t="shared" ref="N31:N33" si="34">IFERROR(LEFT(M31,FIND("],",M31)+S41),M31)</f>
        <v xml:space="preserve">[effect:break_attack_fix, target:unit_all, val:1500, lowest_val:1000, count:-1, color:blue, block01:damage]    </v>
      </c>
      <c r="O31" s="63">
        <f t="shared" si="7"/>
        <v>9</v>
      </c>
      <c r="P31" s="63">
        <f t="shared" ref="P31:P42" si="35">IFERROR(FIND(",",N31),LEN(N31))</f>
        <v>25</v>
      </c>
      <c r="Q31" s="63">
        <f t="shared" ref="Q31:Q42" si="36">FIND("target:",N31)+7</f>
        <v>34</v>
      </c>
      <c r="R31" s="63">
        <f t="shared" ref="R31:R42" si="37">FIND(",",N31,P31+1)</f>
        <v>42</v>
      </c>
      <c r="S31" s="63" t="str">
        <f>IFERROR(VLOOKUP(MID(N31,Q31,R31-Q31),[5]skilldef!$C:$D,2,FALSE),"-") &amp; " / " &amp; IFERROR(VLOOKUP(MID(N31,O31,P31-O31),[5]skilldef!$A:$B,2,FALSE),"-")</f>
        <v>味方全体に / -</v>
      </c>
      <c r="T31" s="48" t="str">
        <f t="shared" ref="T31:T42" si="38">IFERROR(RIGHT(M31,LEN(M31)-FIND("],",M31)-1),"none")</f>
        <v>none</v>
      </c>
      <c r="U31" s="63" t="e">
        <f t="shared" si="12"/>
        <v>#VALUE!</v>
      </c>
      <c r="V31" s="63">
        <f t="shared" ref="V31:V42" si="39">IFERROR(FIND(",",T31),LEN(T31))</f>
        <v>4</v>
      </c>
      <c r="W31" s="63" t="e">
        <f t="shared" ref="W31:W42" si="40">FIND("target:",T31)+7</f>
        <v>#VALUE!</v>
      </c>
      <c r="X31" s="63" t="e">
        <f t="shared" ref="X31:X42" si="41">FIND(",",T31,V31+1)</f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140" x14ac:dyDescent="0.15">
      <c r="A32" s="112">
        <v>40040330</v>
      </c>
      <c r="B32" s="105" t="s">
        <v>373</v>
      </c>
      <c r="C32" s="50">
        <v>3</v>
      </c>
      <c r="D32" s="50" t="s">
        <v>128</v>
      </c>
      <c r="E32" s="51" t="s">
        <v>274</v>
      </c>
      <c r="F32" s="51" t="s">
        <v>357</v>
      </c>
      <c r="G32" s="63" t="str">
        <f t="shared" si="29"/>
        <v>[effect:enemy_message, val1:2.4, val2:3]</v>
      </c>
      <c r="H32" s="63">
        <f t="shared" si="1"/>
        <v>9</v>
      </c>
      <c r="I32" s="63">
        <f t="shared" si="30"/>
        <v>22</v>
      </c>
      <c r="J32" s="63" t="e">
        <f t="shared" si="31"/>
        <v>#VALUE!</v>
      </c>
      <c r="K32" s="63">
        <f t="shared" si="32"/>
        <v>32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si="33"/>
        <v>[effect:fix_speed, target:myself, turn:1],[effect:barrier_attack_skill_color, target:myself, option:reflect, color:red, turn:-1, val:0.1, animation:crash_panel_reduce04_unit02],[effect:drop_freeze, turn:9, block_type:normal, frozen_count:1, rate:0.15, animation:drop_protect]</v>
      </c>
      <c r="N32" s="48" t="str">
        <f t="shared" si="34"/>
        <v>[effect:fix_speed, target:myself, turn:1],[effect:barrier_attack_skill_color, target:myself, option:reflect, color:red, turn:-1, val:0.1, animation:crash_panel_reduce04_unit02],[effect:drop_freeze, turn:9, block_type:normal, frozen_count:1, rate:0.15, animation:drop_protect]</v>
      </c>
      <c r="O32" s="63">
        <f t="shared" si="7"/>
        <v>9</v>
      </c>
      <c r="P32" s="63">
        <f t="shared" si="35"/>
        <v>18</v>
      </c>
      <c r="Q32" s="63">
        <f t="shared" si="36"/>
        <v>27</v>
      </c>
      <c r="R32" s="63">
        <f t="shared" si="37"/>
        <v>33</v>
      </c>
      <c r="S32" s="63" t="str">
        <f>IFERROR(VLOOKUP(MID(N32,Q32,R32-Q32),[5]skilldef!$C:$D,2,FALSE),"-") &amp; " / " &amp; IFERROR(VLOOKUP(MID(N32,O32,P32-O32),[5]skilldef!$A:$B,2,FALSE),"-")</f>
        <v>自分自身に / 行動値設定</v>
      </c>
      <c r="T32" s="48" t="str">
        <f t="shared" si="38"/>
        <v>[effect:barrier_attack_skill_color, target:myself, option:reflect, color:red, turn:-1, val:0.1, animation:crash_panel_reduce04_unit02],[effect:drop_freeze, turn:9, block_type:normal, frozen_count:1, rate:0.15, animation:drop_protect]</v>
      </c>
      <c r="U32" s="63">
        <f t="shared" si="12"/>
        <v>9</v>
      </c>
      <c r="V32" s="63">
        <f t="shared" si="39"/>
        <v>35</v>
      </c>
      <c r="W32" s="63">
        <f t="shared" si="40"/>
        <v>44</v>
      </c>
      <c r="X32" s="63">
        <f t="shared" si="41"/>
        <v>50</v>
      </c>
      <c r="Y32" s="63" t="str">
        <f>IFERROR(VLOOKUP(MID(T32,W32,X32-W32),[5]skilldef!$C:$D,2,FALSE),"-") &amp; " / " &amp; IFERROR(VLOOKUP(MID(T32,U32,V32-U32),[5]skilldef!$A:$B,2,FALSE),"-")</f>
        <v>自分自身に / 一定ターン特定属性のユニットの攻撃スキルダメージを軽減／無効／反射</v>
      </c>
      <c r="Z32" s="50"/>
      <c r="AA32" s="52"/>
      <c r="AB32" s="50"/>
    </row>
    <row r="33" spans="1:28" ht="112" x14ac:dyDescent="0.15">
      <c r="A33" s="112">
        <v>40040331</v>
      </c>
      <c r="B33" s="105" t="s">
        <v>414</v>
      </c>
      <c r="C33" s="50">
        <v>3</v>
      </c>
      <c r="D33" s="50" t="s">
        <v>128</v>
      </c>
      <c r="E33" s="51" t="s">
        <v>317</v>
      </c>
      <c r="F33" s="51" t="s">
        <v>339</v>
      </c>
      <c r="G33" s="63" t="str">
        <f t="shared" si="29"/>
        <v>[effect:enemy_message, val1:2, val2:2.2]</v>
      </c>
      <c r="H33" s="63">
        <f t="shared" si="1"/>
        <v>9</v>
      </c>
      <c r="I33" s="63">
        <f t="shared" si="30"/>
        <v>22</v>
      </c>
      <c r="J33" s="63" t="e">
        <f t="shared" si="31"/>
        <v>#VALUE!</v>
      </c>
      <c r="K33" s="63">
        <f t="shared" si="32"/>
        <v>30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33"/>
        <v xml:space="preserve">[effect:spread, val:0.18],[effect:force_change_block, new_block:damage, target:block_all, ignore01:block_positive, ignore02:block_negative, color:block_blue, count:3, val:0.1, animation:change_block]   </v>
      </c>
      <c r="N33" s="48" t="str">
        <f t="shared" si="34"/>
        <v xml:space="preserve">[effect:spread, val:0.18],[effect:force_change_block, new_block:damage, target:block_all, ignore01:block_positive, ignore02:block_negative, color:block_blue, count:3, val:0.1, animation:change_block]   </v>
      </c>
      <c r="O33" s="63">
        <f t="shared" si="7"/>
        <v>9</v>
      </c>
      <c r="P33" s="63">
        <f t="shared" si="35"/>
        <v>15</v>
      </c>
      <c r="Q33" s="63">
        <f t="shared" si="36"/>
        <v>80</v>
      </c>
      <c r="R33" s="63">
        <f t="shared" si="37"/>
        <v>26</v>
      </c>
      <c r="S33" s="63" t="str">
        <f>IFERROR(VLOOKUP(MID(N33,Q33,R33-Q33),[5]skilldef!$C:$D,2,FALSE),"-") &amp; " / " &amp; IFERROR(VLOOKUP(MID(N33,O33,P33-O33),[5]skilldef!$A:$B,2,FALSE),"-")</f>
        <v>- / 全体攻撃</v>
      </c>
      <c r="T33" s="48" t="str">
        <f t="shared" si="38"/>
        <v xml:space="preserve">[effect:force_change_block, new_block:damage, target:block_all, ignore01:block_positive, ignore02:block_negative, color:block_blue, count:3, val:0.1, animation:change_block]   </v>
      </c>
      <c r="U33" s="63">
        <f t="shared" si="12"/>
        <v>9</v>
      </c>
      <c r="V33" s="63">
        <f t="shared" si="39"/>
        <v>27</v>
      </c>
      <c r="W33" s="63">
        <f t="shared" si="40"/>
        <v>54</v>
      </c>
      <c r="X33" s="63">
        <f t="shared" si="41"/>
        <v>45</v>
      </c>
      <c r="Y33" s="63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112" x14ac:dyDescent="0.15">
      <c r="A34" s="112">
        <v>40040332</v>
      </c>
      <c r="B34" s="105" t="s">
        <v>415</v>
      </c>
      <c r="C34" s="50">
        <v>3</v>
      </c>
      <c r="D34" s="50" t="s">
        <v>128</v>
      </c>
      <c r="E34" s="51" t="s">
        <v>284</v>
      </c>
      <c r="F34" s="51" t="s">
        <v>340</v>
      </c>
      <c r="G34" s="63" t="str">
        <f t="shared" si="29"/>
        <v>[effect:enemy_message, val1:1, val2:2.2]</v>
      </c>
      <c r="H34" s="63">
        <f t="shared" si="1"/>
        <v>9</v>
      </c>
      <c r="I34" s="63">
        <f t="shared" si="30"/>
        <v>22</v>
      </c>
      <c r="J34" s="63" t="e">
        <f t="shared" si="31"/>
        <v>#VALUE!</v>
      </c>
      <c r="K34" s="63">
        <f t="shared" si="32"/>
        <v>30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si="33"/>
        <v xml:space="preserve">[effect:rush, count:2, val:0.4],[effect:force_change_block, new_block:damage, target:block_all, ignore01:block_positive, ignore02:block_negative, color:block_blue, count:3, val:0.1, animation:change_block]   </v>
      </c>
      <c r="N34" s="48" t="str">
        <f>IFERROR(LEFT(M34,FIND("],",M34)+S44),M34)</f>
        <v xml:space="preserve">[effect:rush, count:2, val:0.4],[effect:force_change_block, new_block:damage, target:block_all, ignore01:block_positive, ignore02:block_negative, color:block_blue, count:3, val:0.1, animation:change_block]   </v>
      </c>
      <c r="O34" s="63">
        <f t="shared" si="7"/>
        <v>9</v>
      </c>
      <c r="P34" s="63">
        <f t="shared" si="35"/>
        <v>13</v>
      </c>
      <c r="Q34" s="63">
        <f t="shared" si="36"/>
        <v>86</v>
      </c>
      <c r="R34" s="63">
        <f t="shared" si="37"/>
        <v>22</v>
      </c>
      <c r="S34" s="63" t="str">
        <f>IFERROR(VLOOKUP(MID(N34,Q34,R34-Q34),[5]skilldef!$C:$D,2,FALSE),"-") &amp; " / " &amp; IFERROR(VLOOKUP(MID(N34,O34,P34-O34),[5]skilldef!$A:$B,2,FALSE),"-")</f>
        <v>- / 連続攻撃</v>
      </c>
      <c r="T34" s="48" t="str">
        <f t="shared" si="38"/>
        <v xml:space="preserve">[effect:force_change_block, new_block:damage, target:block_all, ignore01:block_positive, ignore02:block_negative, color:block_blue, count:3, val:0.1, animation:change_block]   </v>
      </c>
      <c r="U34" s="63">
        <f t="shared" si="12"/>
        <v>9</v>
      </c>
      <c r="V34" s="63">
        <f t="shared" si="39"/>
        <v>27</v>
      </c>
      <c r="W34" s="63">
        <f t="shared" si="40"/>
        <v>54</v>
      </c>
      <c r="X34" s="63">
        <f t="shared" si="41"/>
        <v>45</v>
      </c>
      <c r="Y34" s="63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98" x14ac:dyDescent="0.15">
      <c r="A35" s="112">
        <v>40040333</v>
      </c>
      <c r="B35" s="105" t="s">
        <v>374</v>
      </c>
      <c r="C35" s="50">
        <v>3</v>
      </c>
      <c r="D35" s="50" t="s">
        <v>128</v>
      </c>
      <c r="E35" s="51" t="s">
        <v>270</v>
      </c>
      <c r="F35" s="51" t="s">
        <v>320</v>
      </c>
      <c r="G35" s="63" t="str">
        <f t="shared" si="29"/>
        <v>[effect:enemy_message, val1:1.8, val2:2.6]</v>
      </c>
      <c r="H35" s="63">
        <f t="shared" si="1"/>
        <v>9</v>
      </c>
      <c r="I35" s="63">
        <f t="shared" si="30"/>
        <v>22</v>
      </c>
      <c r="J35" s="63" t="e">
        <f t="shared" si="31"/>
        <v>#VALUE!</v>
      </c>
      <c r="K35" s="63">
        <f t="shared" si="32"/>
        <v>32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si="33"/>
        <v xml:space="preserve">[effect:panel_freeze, target:normal, color:block_yellow, count:-1],[effect:drop_freeze, turn:2, block_type:normal, block_color:block_yellow, frozen_count:1, rate:1, animation:drop_protect]    </v>
      </c>
      <c r="N35" s="48" t="str">
        <f>IFERROR(LEFT(M35,FIND("],",M35)+#REF!),M35)</f>
        <v xml:space="preserve">[effect:panel_freeze, target:normal, color:block_yellow, count:-1],[effect:drop_freeze, turn:2, block_type:normal, block_color:block_yellow, frozen_count:1, rate:1, animation:drop_protect]    </v>
      </c>
      <c r="O35" s="63">
        <f t="shared" si="7"/>
        <v>9</v>
      </c>
      <c r="P35" s="63">
        <f t="shared" si="35"/>
        <v>21</v>
      </c>
      <c r="Q35" s="63">
        <f t="shared" si="36"/>
        <v>30</v>
      </c>
      <c r="R35" s="63">
        <f t="shared" si="37"/>
        <v>36</v>
      </c>
      <c r="S35" s="63" t="str">
        <f>IFERROR(VLOOKUP(MID(N35,Q35,R35-Q35),[5]skilldef!$C:$D,2,FALSE),"-") &amp; " / " &amp; IFERROR(VLOOKUP(MID(N35,O35,P35-O35),[5]skilldef!$A:$B,2,FALSE),"-")</f>
        <v>- / -</v>
      </c>
      <c r="T35" s="48" t="str">
        <f t="shared" si="38"/>
        <v xml:space="preserve">[effect:drop_freeze, turn:2, block_type:normal, block_color:block_yellow, frozen_count:1, rate:1, animation:drop_protect]    </v>
      </c>
      <c r="U35" s="63">
        <f t="shared" si="12"/>
        <v>9</v>
      </c>
      <c r="V35" s="63">
        <f t="shared" si="39"/>
        <v>20</v>
      </c>
      <c r="W35" s="63" t="e">
        <f t="shared" si="40"/>
        <v>#VALUE!</v>
      </c>
      <c r="X35" s="63">
        <f t="shared" si="41"/>
        <v>28</v>
      </c>
      <c r="Y35" s="63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8" x14ac:dyDescent="0.15">
      <c r="A36" s="112">
        <v>40040334</v>
      </c>
      <c r="B36" s="105" t="s">
        <v>375</v>
      </c>
      <c r="C36" s="50">
        <v>3</v>
      </c>
      <c r="D36" s="50" t="s">
        <v>128</v>
      </c>
      <c r="E36" s="51" t="s">
        <v>360</v>
      </c>
      <c r="F36" s="51" t="s">
        <v>386</v>
      </c>
      <c r="G36" s="63" t="str">
        <f t="shared" si="29"/>
        <v>[effect:enemy_message, val1:1.8, val2:1.8]</v>
      </c>
      <c r="H36" s="63">
        <f t="shared" si="1"/>
        <v>9</v>
      </c>
      <c r="I36" s="63">
        <f t="shared" si="30"/>
        <v>22</v>
      </c>
      <c r="J36" s="63" t="e">
        <f t="shared" si="31"/>
        <v>#VALUE!</v>
      </c>
      <c r="K36" s="63">
        <f t="shared" si="32"/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si="33"/>
        <v xml:space="preserve">[effect:panel_freeze, target:damage, count:-1]    </v>
      </c>
      <c r="N36" s="48" t="str">
        <f t="shared" ref="N36:N44" si="42">IFERROR(LEFT(M36,FIND("],",M36)+S46),M36)</f>
        <v xml:space="preserve">[effect:panel_freeze, target:damage, count:-1]    </v>
      </c>
      <c r="O36" s="63">
        <f t="shared" si="7"/>
        <v>9</v>
      </c>
      <c r="P36" s="63">
        <f t="shared" si="35"/>
        <v>21</v>
      </c>
      <c r="Q36" s="63">
        <f t="shared" si="36"/>
        <v>30</v>
      </c>
      <c r="R36" s="63">
        <f t="shared" si="37"/>
        <v>36</v>
      </c>
      <c r="S36" s="63" t="str">
        <f>IFERROR(VLOOKUP(MID(N36,Q36,R36-Q36),[5]skilldef!$C:$D,2,FALSE),"-") &amp; " / " &amp; IFERROR(VLOOKUP(MID(N36,O36,P36-O36),[5]skilldef!$A:$B,2,FALSE),"-")</f>
        <v>- / -</v>
      </c>
      <c r="T36" s="48" t="str">
        <f t="shared" si="38"/>
        <v>none</v>
      </c>
      <c r="U36" s="63" t="e">
        <f t="shared" si="12"/>
        <v>#VALUE!</v>
      </c>
      <c r="V36" s="63">
        <f t="shared" si="39"/>
        <v>4</v>
      </c>
      <c r="W36" s="63" t="e">
        <f t="shared" si="40"/>
        <v>#VALUE!</v>
      </c>
      <c r="X36" s="63" t="e">
        <f t="shared" si="41"/>
        <v>#VALUE!</v>
      </c>
      <c r="Y36" s="63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56" x14ac:dyDescent="0.15">
      <c r="A37" s="112">
        <v>40040335</v>
      </c>
      <c r="B37" s="105" t="s">
        <v>376</v>
      </c>
      <c r="C37" s="50">
        <v>3</v>
      </c>
      <c r="D37" s="50" t="s">
        <v>128</v>
      </c>
      <c r="E37" s="51" t="s">
        <v>275</v>
      </c>
      <c r="F37" s="51" t="s">
        <v>341</v>
      </c>
      <c r="G37" s="63" t="str">
        <f t="shared" si="29"/>
        <v>[effect:enemy_message, val1:1.8, val2:1.8]</v>
      </c>
      <c r="H37" s="63">
        <f t="shared" si="1"/>
        <v>9</v>
      </c>
      <c r="I37" s="63">
        <f t="shared" si="30"/>
        <v>22</v>
      </c>
      <c r="J37" s="63" t="e">
        <f t="shared" si="31"/>
        <v>#VALUE!</v>
      </c>
      <c r="K37" s="63">
        <f t="shared" si="32"/>
        <v>32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33"/>
        <v xml:space="preserve">[effect:break_attack_fix, target:unit_all, val:2000, lowest_val:1000, count:-1, color:blue, block01:damage]    </v>
      </c>
      <c r="N37" s="48" t="str">
        <f t="shared" si="42"/>
        <v xml:space="preserve">[effect:break_attack_fix, target:unit_all, val:2000, lowest_val:1000, count:-1, color:blue, block01:damage]    </v>
      </c>
      <c r="O37" s="63">
        <f t="shared" si="7"/>
        <v>9</v>
      </c>
      <c r="P37" s="63">
        <f t="shared" si="35"/>
        <v>25</v>
      </c>
      <c r="Q37" s="63">
        <f t="shared" si="36"/>
        <v>34</v>
      </c>
      <c r="R37" s="63">
        <f t="shared" si="37"/>
        <v>42</v>
      </c>
      <c r="S37" s="63" t="str">
        <f>IFERROR(VLOOKUP(MID(N37,Q37,R37-Q37),[5]skilldef!$C:$D,2,FALSE),"-") &amp; " / " &amp; IFERROR(VLOOKUP(MID(N37,O37,P37-O37),[5]skilldef!$A:$B,2,FALSE),"-")</f>
        <v>味方全体に / -</v>
      </c>
      <c r="T37" s="48" t="str">
        <f t="shared" si="38"/>
        <v>none</v>
      </c>
      <c r="U37" s="63" t="e">
        <f t="shared" si="12"/>
        <v>#VALUE!</v>
      </c>
      <c r="V37" s="63">
        <f t="shared" si="39"/>
        <v>4</v>
      </c>
      <c r="W37" s="63" t="e">
        <f t="shared" si="40"/>
        <v>#VALUE!</v>
      </c>
      <c r="X37" s="63" t="e">
        <f t="shared" si="41"/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84" x14ac:dyDescent="0.15">
      <c r="A38" s="112">
        <v>40040336</v>
      </c>
      <c r="B38" s="105" t="s">
        <v>377</v>
      </c>
      <c r="C38" s="50">
        <v>3</v>
      </c>
      <c r="D38" s="50" t="s">
        <v>128</v>
      </c>
      <c r="E38" s="51" t="s">
        <v>283</v>
      </c>
      <c r="F38" s="51" t="s">
        <v>348</v>
      </c>
      <c r="G38" s="63" t="str">
        <f t="shared" si="29"/>
        <v>[effect:enemy_message, val1:1.8, val2:3.6]</v>
      </c>
      <c r="H38" s="63">
        <f t="shared" si="1"/>
        <v>9</v>
      </c>
      <c r="I38" s="63">
        <f t="shared" si="30"/>
        <v>22</v>
      </c>
      <c r="J38" s="63" t="e">
        <f t="shared" si="31"/>
        <v>#VALUE!</v>
      </c>
      <c r="K38" s="63">
        <f t="shared" si="32"/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33"/>
        <v xml:space="preserve">[effect:panel_freeze, target:normal, color:block_heart, count:-1],[effect:drop_freeze, turn:2, block_type:normal, frozen_count:1, rate:0.5, animation:drop_protect]    </v>
      </c>
      <c r="N38" s="48" t="str">
        <f t="shared" si="42"/>
        <v xml:space="preserve">[effect:panel_freeze, target:normal, color:block_heart, count:-1],[effect:drop_freeze, turn:2, block_type:normal, frozen_count:1, rate:0.5, animation:drop_protect]    </v>
      </c>
      <c r="O38" s="63">
        <f t="shared" si="7"/>
        <v>9</v>
      </c>
      <c r="P38" s="63">
        <f t="shared" si="35"/>
        <v>21</v>
      </c>
      <c r="Q38" s="63">
        <f t="shared" si="36"/>
        <v>30</v>
      </c>
      <c r="R38" s="63">
        <f t="shared" si="37"/>
        <v>36</v>
      </c>
      <c r="S38" s="63" t="str">
        <f>IFERROR(VLOOKUP(MID(N38,Q38,R38-Q38),[5]skilldef!$C:$D,2,FALSE),"-") &amp; " / " &amp; IFERROR(VLOOKUP(MID(N38,O38,P38-O38),[5]skilldef!$A:$B,2,FALSE),"-")</f>
        <v>- / -</v>
      </c>
      <c r="T38" s="48" t="str">
        <f t="shared" si="38"/>
        <v xml:space="preserve">[effect:drop_freeze, turn:2, block_type:normal, frozen_count:1, rate:0.5, animation:drop_protect]    </v>
      </c>
      <c r="U38" s="63">
        <f t="shared" si="12"/>
        <v>9</v>
      </c>
      <c r="V38" s="63">
        <f t="shared" si="39"/>
        <v>20</v>
      </c>
      <c r="W38" s="63" t="e">
        <f t="shared" si="40"/>
        <v>#VALUE!</v>
      </c>
      <c r="X38" s="63">
        <f t="shared" si="41"/>
        <v>28</v>
      </c>
      <c r="Y38" s="63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322" x14ac:dyDescent="0.15">
      <c r="A39" s="112">
        <v>40040337</v>
      </c>
      <c r="B39" s="105" t="s">
        <v>378</v>
      </c>
      <c r="C39" s="50">
        <v>3</v>
      </c>
      <c r="D39" s="50" t="s">
        <v>128</v>
      </c>
      <c r="E39" s="51" t="s">
        <v>293</v>
      </c>
      <c r="F39" s="51" t="s">
        <v>342</v>
      </c>
      <c r="G39" s="63" t="str">
        <f t="shared" si="29"/>
        <v>[effect:enemy_message, val1:1.4, val2:4.2]</v>
      </c>
      <c r="H39" s="63">
        <f t="shared" si="1"/>
        <v>9</v>
      </c>
      <c r="I39" s="63">
        <f t="shared" si="30"/>
        <v>22</v>
      </c>
      <c r="J39" s="63" t="e">
        <f t="shared" si="31"/>
        <v>#VALUE!</v>
      </c>
      <c r="K39" s="63">
        <f t="shared" si="32"/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si="33"/>
        <v>[effect:rush, count:10, val:0.17],[effect:panel_freeze, target:crash, count:-1],[effect:enemy_counter, target:myself, invoke_condition:unit_all, counter_target:attacker, turn:2, val:0.32, animation:enemy_counter],[effect:force_change_block, new_block:damage, target:block_blue, ignore01:crash, ignore02:crack_bomb, ignore03:color_break, color:block_blue, count:5, val:0.1, animation:change_block],[effect:force_change_block, new_block:damage, target:block_red, ignore01:crash, ignore02:crack_bomb, ignore03:color_break, color:block_blue, count:5, val:0.1, animation:change_block]</v>
      </c>
      <c r="N39" s="48" t="str">
        <f t="shared" si="42"/>
        <v>[effect:rush, count:10, val:0.17],[effect:panel_freeze, target:crash, count:-1],[effect:enemy_counter, target:myself, invoke_condition:unit_all, counter_target:attacker, turn:2, val:0.32, animation:enemy_counter],[effect:force_change_block, new_block:damage, target:block_blue, ignore01:crash, ignore02:crack_bomb, ignore03:color_break, color:block_blue, count:5, val:0.1, animation:change_block],[effect:force_change_block, new_block:damage, target:block_red, ignore01:crash, ignore02:crack_bomb, ignore03:color_break, color:block_blue, count:5, val:0.1, animation:change_block]</v>
      </c>
      <c r="O39" s="63">
        <f t="shared" si="7"/>
        <v>9</v>
      </c>
      <c r="P39" s="63">
        <f t="shared" si="35"/>
        <v>13</v>
      </c>
      <c r="Q39" s="63">
        <f t="shared" si="36"/>
        <v>64</v>
      </c>
      <c r="R39" s="63">
        <f t="shared" si="37"/>
        <v>23</v>
      </c>
      <c r="S39" s="63" t="str">
        <f>IFERROR(VLOOKUP(MID(N39,Q39,R39-Q39),[5]skilldef!$C:$D,2,FALSE),"-") &amp; " / " &amp; IFERROR(VLOOKUP(MID(N39,O39,P39-O39),[5]skilldef!$A:$B,2,FALSE),"-")</f>
        <v>- / 連続攻撃</v>
      </c>
      <c r="T39" s="48" t="str">
        <f t="shared" si="38"/>
        <v>[effect:panel_freeze, target:crash, count:-1],[effect:enemy_counter, target:myself, invoke_condition:unit_all, counter_target:attacker, turn:2, val:0.32, animation:enemy_counter],[effect:force_change_block, new_block:damage, target:block_blue, ignore01:crash, ignore02:crack_bomb, ignore03:color_break, color:block_blue, count:5, val:0.1, animation:change_block],[effect:force_change_block, new_block:damage, target:block_red, ignore01:crash, ignore02:crack_bomb, ignore03:color_break, color:block_blue, count:5, val:0.1, animation:change_block]</v>
      </c>
      <c r="U39" s="63">
        <f t="shared" si="12"/>
        <v>9</v>
      </c>
      <c r="V39" s="63">
        <f t="shared" si="39"/>
        <v>21</v>
      </c>
      <c r="W39" s="63">
        <f t="shared" si="40"/>
        <v>30</v>
      </c>
      <c r="X39" s="63">
        <f t="shared" si="41"/>
        <v>35</v>
      </c>
      <c r="Y39" s="63" t="str">
        <f>IFERROR(VLOOKUP(MID(T39,W39,X39-W39),[5]skilldef!$C:$D,2,FALSE),"-") &amp; " / " &amp; IFERROR(VLOOKUP(MID(T39,U39,V39-U39),[5]skilldef!$A:$B,2,FALSE),"-")</f>
        <v>- / -</v>
      </c>
      <c r="Z39" s="50"/>
      <c r="AA39" s="52"/>
      <c r="AB39" s="50"/>
    </row>
    <row r="40" spans="1:28" x14ac:dyDescent="0.15">
      <c r="A40" s="112">
        <v>40040338</v>
      </c>
      <c r="B40" s="105" t="s">
        <v>379</v>
      </c>
      <c r="C40" s="50">
        <v>3</v>
      </c>
      <c r="D40" s="50" t="s">
        <v>128</v>
      </c>
      <c r="E40" s="114" t="s">
        <v>305</v>
      </c>
      <c r="F40" s="114" t="s">
        <v>312</v>
      </c>
      <c r="G40" s="63" t="str">
        <f t="shared" si="29"/>
        <v xml:space="preserve">[effect:enemy_message, val1:1.4, val2:1.8, dead_type:suicide]    </v>
      </c>
      <c r="H40" s="63">
        <f t="shared" si="1"/>
        <v>9</v>
      </c>
      <c r="I40" s="63">
        <f t="shared" si="30"/>
        <v>22</v>
      </c>
      <c r="J40" s="63" t="e">
        <f t="shared" si="31"/>
        <v>#VALUE!</v>
      </c>
      <c r="K40" s="63">
        <f t="shared" si="32"/>
        <v>32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si="33"/>
        <v>none</v>
      </c>
      <c r="N40" s="48" t="str">
        <f t="shared" si="42"/>
        <v>none</v>
      </c>
      <c r="O40" s="63" t="e">
        <f t="shared" si="7"/>
        <v>#VALUE!</v>
      </c>
      <c r="P40" s="63">
        <f t="shared" si="35"/>
        <v>4</v>
      </c>
      <c r="Q40" s="63" t="e">
        <f t="shared" si="36"/>
        <v>#VALUE!</v>
      </c>
      <c r="R40" s="63" t="e">
        <f t="shared" si="37"/>
        <v>#VALUE!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38"/>
        <v>none</v>
      </c>
      <c r="U40" s="63" t="e">
        <f t="shared" si="12"/>
        <v>#VALUE!</v>
      </c>
      <c r="V40" s="63">
        <f t="shared" si="39"/>
        <v>4</v>
      </c>
      <c r="W40" s="63" t="e">
        <f t="shared" si="40"/>
        <v>#VALUE!</v>
      </c>
      <c r="X40" s="63" t="e">
        <f t="shared" si="41"/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x14ac:dyDescent="0.15">
      <c r="A41" s="112">
        <v>40040339</v>
      </c>
      <c r="B41" s="105" t="s">
        <v>362</v>
      </c>
      <c r="C41" s="50">
        <v>3</v>
      </c>
      <c r="D41" s="50" t="s">
        <v>128</v>
      </c>
      <c r="E41" s="114" t="s">
        <v>306</v>
      </c>
      <c r="F41" s="114" t="s">
        <v>361</v>
      </c>
      <c r="G41" s="63" t="str">
        <f t="shared" si="29"/>
        <v xml:space="preserve">[effect:enemy_message, val1:1, val2:1.8, dead_type:suicide]    </v>
      </c>
      <c r="H41" s="63">
        <f t="shared" si="1"/>
        <v>9</v>
      </c>
      <c r="I41" s="63">
        <f t="shared" si="30"/>
        <v>22</v>
      </c>
      <c r="J41" s="63" t="e">
        <f t="shared" si="31"/>
        <v>#VALUE!</v>
      </c>
      <c r="K41" s="63">
        <f t="shared" si="32"/>
        <v>30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si="33"/>
        <v>none</v>
      </c>
      <c r="N41" s="48" t="str">
        <f t="shared" si="42"/>
        <v>none</v>
      </c>
      <c r="O41" s="63" t="e">
        <f t="shared" si="7"/>
        <v>#VALUE!</v>
      </c>
      <c r="P41" s="63">
        <f t="shared" si="35"/>
        <v>4</v>
      </c>
      <c r="Q41" s="63" t="e">
        <f t="shared" si="36"/>
        <v>#VALUE!</v>
      </c>
      <c r="R41" s="63" t="e">
        <f t="shared" si="37"/>
        <v>#VALUE!</v>
      </c>
      <c r="S41" s="63" t="str">
        <f>IFERROR(VLOOKUP(MID(N41,Q41,R41-Q41),[5]skilldef!$C:$D,2,FALSE),"-") &amp; " / " &amp; IFERROR(VLOOKUP(MID(N41,O41,P41-O41),[5]skilldef!$A:$B,2,FALSE),"-")</f>
        <v>- / -</v>
      </c>
      <c r="T41" s="48" t="str">
        <f t="shared" si="38"/>
        <v>none</v>
      </c>
      <c r="U41" s="63" t="e">
        <f t="shared" si="12"/>
        <v>#VALUE!</v>
      </c>
      <c r="V41" s="63">
        <f t="shared" si="39"/>
        <v>4</v>
      </c>
      <c r="W41" s="63" t="e">
        <f t="shared" si="40"/>
        <v>#VALUE!</v>
      </c>
      <c r="X41" s="63" t="e">
        <f t="shared" si="41"/>
        <v>#VALUE!</v>
      </c>
      <c r="Y41" s="63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x14ac:dyDescent="0.15">
      <c r="A42" s="112">
        <v>40040340</v>
      </c>
      <c r="B42" s="105" t="s">
        <v>402</v>
      </c>
      <c r="C42" s="50">
        <v>3</v>
      </c>
      <c r="D42" s="50" t="s">
        <v>128</v>
      </c>
      <c r="E42" s="114" t="s">
        <v>307</v>
      </c>
      <c r="F42" s="114" t="s">
        <v>308</v>
      </c>
      <c r="G42" s="63" t="str">
        <f t="shared" si="29"/>
        <v xml:space="preserve">[effect:enemy_message, val1:1.8, val2:1.8, dead_type:suicide]    </v>
      </c>
      <c r="H42" s="63">
        <f t="shared" si="1"/>
        <v>9</v>
      </c>
      <c r="I42" s="63">
        <f t="shared" si="30"/>
        <v>22</v>
      </c>
      <c r="J42" s="63" t="e">
        <f t="shared" si="31"/>
        <v>#VALUE!</v>
      </c>
      <c r="K42" s="63">
        <f t="shared" si="32"/>
        <v>32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si="33"/>
        <v>none</v>
      </c>
      <c r="N42" s="48" t="str">
        <f t="shared" si="42"/>
        <v>none</v>
      </c>
      <c r="O42" s="63" t="e">
        <f t="shared" si="7"/>
        <v>#VALUE!</v>
      </c>
      <c r="P42" s="63">
        <f t="shared" si="35"/>
        <v>4</v>
      </c>
      <c r="Q42" s="63" t="e">
        <f t="shared" si="36"/>
        <v>#VALUE!</v>
      </c>
      <c r="R42" s="63" t="e">
        <f t="shared" si="37"/>
        <v>#VALUE!</v>
      </c>
      <c r="S42" s="63" t="str">
        <f>IFERROR(VLOOKUP(MID(N42,Q42,R42-Q42),[5]skilldef!$C:$D,2,FALSE),"-") &amp; " / " &amp; IFERROR(VLOOKUP(MID(N42,O42,P42-O42),[5]skilldef!$A:$B,2,FALSE),"-")</f>
        <v>- / -</v>
      </c>
      <c r="T42" s="48" t="str">
        <f t="shared" si="38"/>
        <v>none</v>
      </c>
      <c r="U42" s="63" t="e">
        <f t="shared" si="12"/>
        <v>#VALUE!</v>
      </c>
      <c r="V42" s="63">
        <f t="shared" si="39"/>
        <v>4</v>
      </c>
      <c r="W42" s="63" t="e">
        <f t="shared" si="40"/>
        <v>#VALUE!</v>
      </c>
      <c r="X42" s="63" t="e">
        <f t="shared" si="41"/>
        <v>#VALUE!</v>
      </c>
      <c r="Y42" s="63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8" x14ac:dyDescent="0.15">
      <c r="A43" s="112">
        <v>40040341</v>
      </c>
      <c r="B43" s="105" t="s">
        <v>380</v>
      </c>
      <c r="C43" s="50">
        <v>3</v>
      </c>
      <c r="D43" s="50" t="s">
        <v>128</v>
      </c>
      <c r="E43" s="114" t="s">
        <v>311</v>
      </c>
      <c r="F43" s="114" t="s">
        <v>310</v>
      </c>
      <c r="G43" s="63" t="str">
        <f t="shared" ref="G43:G86" si="43">IFERROR(LEFT(B43,FIND("],",B43)),B43)</f>
        <v>[effect:enemy_message, val1:1.8, val2:1.8]</v>
      </c>
      <c r="H43" s="63">
        <f t="shared" ref="H43:H86" si="44">FIND("effect:",G43)+7</f>
        <v>9</v>
      </c>
      <c r="I43" s="63">
        <f t="shared" ref="I43:I86" si="45">IFERROR(FIND(",",G43),LEN(G43))</f>
        <v>22</v>
      </c>
      <c r="J43" s="63" t="e">
        <f t="shared" ref="J43:J86" si="46">FIND("target:",G43)+7</f>
        <v>#VALUE!</v>
      </c>
      <c r="K43" s="63">
        <f t="shared" ref="K43:K86" si="47">FIND(",",G43,I43+1)</f>
        <v>32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ref="M43:M86" si="48">IFERROR(RIGHT(B43,LEN(B43)-FIND("],",B43)-1),"none")</f>
        <v xml:space="preserve">[effect:suicide, target:enemy_all, val:1, dead_type:escape]    </v>
      </c>
      <c r="N43" s="48" t="str">
        <f t="shared" si="42"/>
        <v xml:space="preserve">[effect:suicide, target:enemy_all, val:1, dead_type:escape]    </v>
      </c>
      <c r="O43" s="63">
        <f t="shared" ref="O43:O86" si="49">FIND("effect:",N43)+7</f>
        <v>9</v>
      </c>
      <c r="P43" s="63">
        <f t="shared" ref="P43:P86" si="50">IFERROR(FIND(",",N43),LEN(N43))</f>
        <v>16</v>
      </c>
      <c r="Q43" s="63">
        <f t="shared" ref="Q43:Q86" si="51">FIND("target:",N43)+7</f>
        <v>25</v>
      </c>
      <c r="R43" s="63">
        <f t="shared" ref="R43:R86" si="52">FIND(",",N43,P43+1)</f>
        <v>34</v>
      </c>
      <c r="S43" s="63" t="str">
        <f>IFERROR(VLOOKUP(MID(N43,Q43,R43-Q43),[5]skilldef!$C:$D,2,FALSE),"-") &amp; " / " &amp; IFERROR(VLOOKUP(MID(N43,O43,P43-O43),[5]skilldef!$A:$B,2,FALSE),"-")</f>
        <v>敵全体に / -</v>
      </c>
      <c r="T43" s="48" t="str">
        <f t="shared" ref="T43:T86" si="53">IFERROR(RIGHT(M43,LEN(M43)-FIND("],",M43)-1),"none")</f>
        <v>none</v>
      </c>
      <c r="U43" s="63" t="e">
        <f t="shared" ref="U43:U86" si="54">FIND("effect:",T43)+7</f>
        <v>#VALUE!</v>
      </c>
      <c r="V43" s="63">
        <f t="shared" ref="V43:V86" si="55">IFERROR(FIND(",",T43),LEN(T43))</f>
        <v>4</v>
      </c>
      <c r="W43" s="63" t="e">
        <f t="shared" ref="W43:W86" si="56">FIND("target:",T43)+7</f>
        <v>#VALUE!</v>
      </c>
      <c r="X43" s="63" t="e">
        <f t="shared" ref="X43:X86" si="57">FIND(",",T43,V43+1)</f>
        <v>#VALUE!</v>
      </c>
      <c r="Y43" s="63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8" x14ac:dyDescent="0.15">
      <c r="A44" s="112">
        <v>40040342</v>
      </c>
      <c r="B44" s="105" t="s">
        <v>318</v>
      </c>
      <c r="C44" s="50">
        <v>3</v>
      </c>
      <c r="D44" s="50" t="s">
        <v>128</v>
      </c>
      <c r="E44" s="114" t="s">
        <v>313</v>
      </c>
      <c r="F44" s="114"/>
      <c r="G44" s="63" t="str">
        <f t="shared" ref="G44" si="58">IFERROR(LEFT(B44,FIND("],",B44)),B44)</f>
        <v>[effect:enemy_message, val1:1, val2:0]</v>
      </c>
      <c r="H44" s="63">
        <f t="shared" ref="H44" si="59">FIND("effect:",G44)+7</f>
        <v>9</v>
      </c>
      <c r="I44" s="63">
        <f t="shared" ref="I44" si="60">IFERROR(FIND(",",G44),LEN(G44))</f>
        <v>22</v>
      </c>
      <c r="J44" s="63" t="e">
        <f t="shared" ref="J44" si="61">FIND("target:",G44)+7</f>
        <v>#VALUE!</v>
      </c>
      <c r="K44" s="63">
        <f t="shared" ref="K44" si="62">FIND(",",G44,I44+1)</f>
        <v>30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ref="M44" si="63">IFERROR(RIGHT(B44,LEN(B44)-FIND("],",B44)-1),"none")</f>
        <v>[effect:fix_speed, target:enemy_all, turn:1]</v>
      </c>
      <c r="N44" s="48" t="str">
        <f t="shared" si="42"/>
        <v>[effect:fix_speed, target:enemy_all, turn:1]</v>
      </c>
      <c r="O44" s="63">
        <f t="shared" ref="O44" si="64">FIND("effect:",N44)+7</f>
        <v>9</v>
      </c>
      <c r="P44" s="63">
        <f t="shared" ref="P44" si="65">IFERROR(FIND(",",N44),LEN(N44))</f>
        <v>18</v>
      </c>
      <c r="Q44" s="63">
        <f t="shared" ref="Q44" si="66">FIND("target:",N44)+7</f>
        <v>27</v>
      </c>
      <c r="R44" s="63">
        <f t="shared" ref="R44" si="67">FIND(",",N44,P44+1)</f>
        <v>36</v>
      </c>
      <c r="S44" s="63" t="str">
        <f>IFERROR(VLOOKUP(MID(N44,Q44,R44-Q44),[5]skilldef!$C:$D,2,FALSE),"-") &amp; " / " &amp; IFERROR(VLOOKUP(MID(N44,O44,P44-O44),[5]skilldef!$A:$B,2,FALSE),"-")</f>
        <v>敵全体に / 行動値設定</v>
      </c>
      <c r="T44" s="48" t="str">
        <f t="shared" ref="T44" si="68">IFERROR(RIGHT(M44,LEN(M44)-FIND("],",M44)-1),"none")</f>
        <v>none</v>
      </c>
      <c r="U44" s="63" t="e">
        <f t="shared" ref="U44" si="69">FIND("effect:",T44)+7</f>
        <v>#VALUE!</v>
      </c>
      <c r="V44" s="63">
        <f t="shared" ref="V44" si="70">IFERROR(FIND(",",T44),LEN(T44))</f>
        <v>4</v>
      </c>
      <c r="W44" s="63" t="e">
        <f t="shared" ref="W44" si="71">FIND("target:",T44)+7</f>
        <v>#VALUE!</v>
      </c>
      <c r="X44" s="63" t="e">
        <f t="shared" ref="X44" si="72">FIND(",",T44,V44+1)</f>
        <v>#VALUE!</v>
      </c>
      <c r="Y44" s="63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x14ac:dyDescent="0.15">
      <c r="A45" s="112">
        <v>40040343</v>
      </c>
      <c r="B45" s="105" t="s">
        <v>381</v>
      </c>
      <c r="C45" s="50">
        <v>3</v>
      </c>
      <c r="D45" s="50" t="s">
        <v>128</v>
      </c>
      <c r="E45" s="114" t="s">
        <v>363</v>
      </c>
      <c r="F45" s="114" t="s">
        <v>314</v>
      </c>
      <c r="G45" s="63" t="str">
        <f t="shared" si="43"/>
        <v>[effect:enemy_message, val1:1.4, val2:1.8]</v>
      </c>
      <c r="H45" s="63">
        <f t="shared" si="44"/>
        <v>9</v>
      </c>
      <c r="I45" s="63">
        <f t="shared" si="45"/>
        <v>22</v>
      </c>
      <c r="J45" s="63" t="e">
        <f t="shared" si="46"/>
        <v>#VALUE!</v>
      </c>
      <c r="K45" s="63">
        <f t="shared" si="47"/>
        <v>32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48"/>
        <v>none</v>
      </c>
      <c r="N45" s="48" t="str">
        <f>IFERROR(LEFT(M45,FIND("],",M45)+S53),M45)</f>
        <v>none</v>
      </c>
      <c r="O45" s="63" t="e">
        <f t="shared" si="49"/>
        <v>#VALUE!</v>
      </c>
      <c r="P45" s="63">
        <f t="shared" si="50"/>
        <v>4</v>
      </c>
      <c r="Q45" s="63" t="e">
        <f t="shared" si="51"/>
        <v>#VALUE!</v>
      </c>
      <c r="R45" s="63" t="e">
        <f t="shared" si="52"/>
        <v>#VALUE!</v>
      </c>
      <c r="S45" s="63" t="str">
        <f>IFERROR(VLOOKUP(MID(N45,Q45,R45-Q45),[5]skilldef!$C:$D,2,FALSE),"-") &amp; " / " &amp; IFERROR(VLOOKUP(MID(N45,O45,P45-O45),[5]skilldef!$A:$B,2,FALSE),"-")</f>
        <v>- / -</v>
      </c>
      <c r="T45" s="48" t="str">
        <f t="shared" si="53"/>
        <v>none</v>
      </c>
      <c r="U45" s="63" t="e">
        <f t="shared" si="54"/>
        <v>#VALUE!</v>
      </c>
      <c r="V45" s="63">
        <f t="shared" si="55"/>
        <v>4</v>
      </c>
      <c r="W45" s="63" t="e">
        <f t="shared" si="56"/>
        <v>#VALUE!</v>
      </c>
      <c r="X45" s="63" t="e">
        <f t="shared" si="57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8" x14ac:dyDescent="0.15">
      <c r="A46" s="119">
        <v>40040344</v>
      </c>
      <c r="B46" s="105" t="s">
        <v>400</v>
      </c>
      <c r="C46" s="50">
        <v>3</v>
      </c>
      <c r="D46" s="50" t="s">
        <v>128</v>
      </c>
      <c r="E46" s="51" t="s">
        <v>264</v>
      </c>
      <c r="F46" s="51" t="s">
        <v>309</v>
      </c>
      <c r="G46" s="63" t="str">
        <f t="shared" si="43"/>
        <v>[effect:enemy_message, val1:2, val2:2.4]</v>
      </c>
      <c r="H46" s="63">
        <f t="shared" si="44"/>
        <v>9</v>
      </c>
      <c r="I46" s="63">
        <f t="shared" si="45"/>
        <v>22</v>
      </c>
      <c r="J46" s="63" t="e">
        <f t="shared" si="46"/>
        <v>#VALUE!</v>
      </c>
      <c r="K46" s="63">
        <f t="shared" si="47"/>
        <v>30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si="48"/>
        <v>[effect:fix_speed, target:myself, turn:1]</v>
      </c>
      <c r="N46" s="48" t="str">
        <f t="shared" ref="N46:N77" si="73">IFERROR(LEFT(M46,FIND("],",M46)+S56),M46)</f>
        <v>[effect:fix_speed, target:myself, turn:1]</v>
      </c>
      <c r="O46" s="63">
        <f t="shared" si="49"/>
        <v>9</v>
      </c>
      <c r="P46" s="63">
        <f t="shared" si="50"/>
        <v>18</v>
      </c>
      <c r="Q46" s="63">
        <f t="shared" si="51"/>
        <v>27</v>
      </c>
      <c r="R46" s="63">
        <f t="shared" si="52"/>
        <v>33</v>
      </c>
      <c r="S46" s="63" t="str">
        <f>IFERROR(VLOOKUP(MID(N46,Q46,R46-Q46),[5]skilldef!$C:$D,2,FALSE),"-") &amp; " / " &amp; IFERROR(VLOOKUP(MID(N46,O46,P46-O46),[5]skilldef!$A:$B,2,FALSE),"-")</f>
        <v>自分自身に / 行動値設定</v>
      </c>
      <c r="T46" s="48" t="str">
        <f t="shared" si="53"/>
        <v>none</v>
      </c>
      <c r="U46" s="63" t="e">
        <f t="shared" si="54"/>
        <v>#VALUE!</v>
      </c>
      <c r="V46" s="63">
        <f t="shared" si="55"/>
        <v>4</v>
      </c>
      <c r="W46" s="63" t="e">
        <f t="shared" si="56"/>
        <v>#VALUE!</v>
      </c>
      <c r="X46" s="63" t="e">
        <f t="shared" si="57"/>
        <v>#VALUE!</v>
      </c>
      <c r="Y46" s="63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ht="28" x14ac:dyDescent="0.15">
      <c r="A47" s="119">
        <v>40040345</v>
      </c>
      <c r="B47" s="105" t="s">
        <v>401</v>
      </c>
      <c r="C47" s="50">
        <v>3</v>
      </c>
      <c r="D47" s="50" t="s">
        <v>128</v>
      </c>
      <c r="E47" s="51" t="s">
        <v>297</v>
      </c>
      <c r="F47" s="51" t="s">
        <v>309</v>
      </c>
      <c r="G47" s="63" t="str">
        <f t="shared" si="43"/>
        <v>[effect:enemy_message, val1:2.4, val2:2.4]</v>
      </c>
      <c r="H47" s="63">
        <f t="shared" si="44"/>
        <v>9</v>
      </c>
      <c r="I47" s="63">
        <f t="shared" si="45"/>
        <v>22</v>
      </c>
      <c r="J47" s="63" t="e">
        <f t="shared" si="46"/>
        <v>#VALUE!</v>
      </c>
      <c r="K47" s="63">
        <f t="shared" si="47"/>
        <v>32</v>
      </c>
      <c r="L47" s="63" t="str">
        <f>IFERROR(VLOOKUP(MID(G47,J47,K47-J47),[5]skilldef!$C:$D,2,FALSE),"-") &amp; " / " &amp; IFERROR(VLOOKUP(MID(G47,H47,I47-H47),[5]skilldef!$A:$B,2,FALSE),"-")</f>
        <v>- / -</v>
      </c>
      <c r="M47" s="63" t="str">
        <f t="shared" si="48"/>
        <v>[effect:fix_speed, target:myself, turn:1]</v>
      </c>
      <c r="N47" s="48" t="str">
        <f t="shared" si="73"/>
        <v>[effect:fix_speed, target:myself, turn:1]</v>
      </c>
      <c r="O47" s="63">
        <f t="shared" si="49"/>
        <v>9</v>
      </c>
      <c r="P47" s="63">
        <f t="shared" si="50"/>
        <v>18</v>
      </c>
      <c r="Q47" s="63">
        <f t="shared" si="51"/>
        <v>27</v>
      </c>
      <c r="R47" s="63">
        <f t="shared" si="52"/>
        <v>33</v>
      </c>
      <c r="S47" s="63" t="str">
        <f>IFERROR(VLOOKUP(MID(N47,Q47,R47-Q47),[5]skilldef!$C:$D,2,FALSE),"-") &amp; " / " &amp; IFERROR(VLOOKUP(MID(N47,O47,P47-O47),[5]skilldef!$A:$B,2,FALSE),"-")</f>
        <v>自分自身に / 行動値設定</v>
      </c>
      <c r="T47" s="48" t="str">
        <f t="shared" si="53"/>
        <v>none</v>
      </c>
      <c r="U47" s="63" t="e">
        <f t="shared" si="54"/>
        <v>#VALUE!</v>
      </c>
      <c r="V47" s="63">
        <f t="shared" si="55"/>
        <v>4</v>
      </c>
      <c r="W47" s="63" t="e">
        <f t="shared" si="56"/>
        <v>#VALUE!</v>
      </c>
      <c r="X47" s="63" t="e">
        <f t="shared" si="57"/>
        <v>#VALUE!</v>
      </c>
      <c r="Y47" s="63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8" x14ac:dyDescent="0.15">
      <c r="A48" s="119">
        <v>40040346</v>
      </c>
      <c r="B48" s="105" t="s">
        <v>364</v>
      </c>
      <c r="C48" s="50">
        <v>3</v>
      </c>
      <c r="D48" s="50" t="s">
        <v>128</v>
      </c>
      <c r="E48" s="51" t="s">
        <v>296</v>
      </c>
      <c r="F48" s="51" t="s">
        <v>278</v>
      </c>
      <c r="G48" s="63" t="str">
        <f t="shared" si="43"/>
        <v>[effect:enemy_message, val1:2.4, val2:1.8]</v>
      </c>
      <c r="H48" s="63">
        <f t="shared" si="44"/>
        <v>9</v>
      </c>
      <c r="I48" s="63">
        <f t="shared" si="45"/>
        <v>22</v>
      </c>
      <c r="J48" s="63" t="e">
        <f t="shared" si="46"/>
        <v>#VALUE!</v>
      </c>
      <c r="K48" s="63">
        <f t="shared" si="47"/>
        <v>32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si="48"/>
        <v>[effect:fix_speed, target:myself, turn:1]</v>
      </c>
      <c r="N48" s="48" t="str">
        <f t="shared" si="73"/>
        <v>[effect:fix_speed, target:myself, turn:1]</v>
      </c>
      <c r="O48" s="63">
        <f t="shared" si="49"/>
        <v>9</v>
      </c>
      <c r="P48" s="63">
        <f t="shared" si="50"/>
        <v>18</v>
      </c>
      <c r="Q48" s="63">
        <f t="shared" si="51"/>
        <v>27</v>
      </c>
      <c r="R48" s="63">
        <f t="shared" si="52"/>
        <v>33</v>
      </c>
      <c r="S48" s="63" t="str">
        <f>IFERROR(VLOOKUP(MID(N48,Q48,R48-Q48),[5]skilldef!$C:$D,2,FALSE),"-") &amp; " / " &amp; IFERROR(VLOOKUP(MID(N48,O48,P48-O48),[5]skilldef!$A:$B,2,FALSE),"-")</f>
        <v>自分自身に / 行動値設定</v>
      </c>
      <c r="T48" s="48" t="str">
        <f t="shared" si="53"/>
        <v>none</v>
      </c>
      <c r="U48" s="63" t="e">
        <f t="shared" si="54"/>
        <v>#VALUE!</v>
      </c>
      <c r="V48" s="63">
        <f t="shared" si="55"/>
        <v>4</v>
      </c>
      <c r="W48" s="63" t="e">
        <f t="shared" si="56"/>
        <v>#VALUE!</v>
      </c>
      <c r="X48" s="63" t="e">
        <f t="shared" si="57"/>
        <v>#VALUE!</v>
      </c>
      <c r="Y48" s="63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8" x14ac:dyDescent="0.15">
      <c r="A49" s="119">
        <v>40040347</v>
      </c>
      <c r="B49" s="105" t="s">
        <v>365</v>
      </c>
      <c r="C49" s="50">
        <v>3</v>
      </c>
      <c r="D49" s="50" t="s">
        <v>128</v>
      </c>
      <c r="E49" s="51" t="s">
        <v>295</v>
      </c>
      <c r="F49" s="51" t="s">
        <v>278</v>
      </c>
      <c r="G49" s="63" t="str">
        <f t="shared" si="43"/>
        <v>[effect:enemy_message, val1:2.8, val2:1.8]</v>
      </c>
      <c r="H49" s="63">
        <f t="shared" si="44"/>
        <v>9</v>
      </c>
      <c r="I49" s="63">
        <f t="shared" si="45"/>
        <v>22</v>
      </c>
      <c r="J49" s="63" t="e">
        <f t="shared" si="46"/>
        <v>#VALUE!</v>
      </c>
      <c r="K49" s="63">
        <f t="shared" si="47"/>
        <v>32</v>
      </c>
      <c r="L49" s="63" t="str">
        <f>IFERROR(VLOOKUP(MID(G49,J49,K49-J49),[5]skilldef!$C:$D,2,FALSE),"-") &amp; " / " &amp; IFERROR(VLOOKUP(MID(G49,H49,I49-H49),[5]skilldef!$A:$B,2,FALSE),"-")</f>
        <v>- / -</v>
      </c>
      <c r="M49" s="63" t="str">
        <f t="shared" si="48"/>
        <v>[effect:fix_speed, target:myself, turn:1]</v>
      </c>
      <c r="N49" s="48" t="str">
        <f t="shared" si="73"/>
        <v>[effect:fix_speed, target:myself, turn:1]</v>
      </c>
      <c r="O49" s="63">
        <f t="shared" si="49"/>
        <v>9</v>
      </c>
      <c r="P49" s="63">
        <f t="shared" si="50"/>
        <v>18</v>
      </c>
      <c r="Q49" s="63">
        <f t="shared" si="51"/>
        <v>27</v>
      </c>
      <c r="R49" s="63">
        <f t="shared" si="52"/>
        <v>33</v>
      </c>
      <c r="S49" s="63" t="str">
        <f>IFERROR(VLOOKUP(MID(N49,Q49,R49-Q49),[5]skilldef!$C:$D,2,FALSE),"-") &amp; " / " &amp; IFERROR(VLOOKUP(MID(N49,O49,P49-O49),[5]skilldef!$A:$B,2,FALSE),"-")</f>
        <v>自分自身に / 行動値設定</v>
      </c>
      <c r="T49" s="48" t="str">
        <f t="shared" si="53"/>
        <v>none</v>
      </c>
      <c r="U49" s="63" t="e">
        <f t="shared" si="54"/>
        <v>#VALUE!</v>
      </c>
      <c r="V49" s="63">
        <f t="shared" si="55"/>
        <v>4</v>
      </c>
      <c r="W49" s="63" t="e">
        <f t="shared" si="56"/>
        <v>#VALUE!</v>
      </c>
      <c r="X49" s="63" t="e">
        <f t="shared" si="57"/>
        <v>#VALUE!</v>
      </c>
      <c r="Y49" s="63" t="str">
        <f>IFERROR(VLOOKUP(MID(T49,W49,X49-W49),[5]skilldef!$C:$D,2,FALSE),"-") &amp; " / " &amp; IFERROR(VLOOKUP(MID(T49,U49,V49-U49),[5]skilldef!$A:$B,2,FALSE),"-")</f>
        <v>- / -</v>
      </c>
      <c r="Z49" s="50"/>
      <c r="AA49" s="52"/>
      <c r="AB49" s="50"/>
    </row>
    <row r="50" spans="1:28" ht="116" customHeight="1" x14ac:dyDescent="0.15">
      <c r="A50" s="119">
        <v>40040348</v>
      </c>
      <c r="B50" s="105" t="s">
        <v>416</v>
      </c>
      <c r="C50" s="50">
        <v>3</v>
      </c>
      <c r="D50" s="50" t="s">
        <v>128</v>
      </c>
      <c r="E50" s="51" t="s">
        <v>277</v>
      </c>
      <c r="F50" s="51" t="s">
        <v>323</v>
      </c>
      <c r="G50" s="63" t="str">
        <f t="shared" si="43"/>
        <v>[effect:enemy_message, val1:1, val2:3]</v>
      </c>
      <c r="H50" s="63">
        <f t="shared" si="44"/>
        <v>9</v>
      </c>
      <c r="I50" s="63">
        <f t="shared" si="45"/>
        <v>22</v>
      </c>
      <c r="J50" s="63" t="e">
        <f t="shared" si="46"/>
        <v>#VALUE!</v>
      </c>
      <c r="K50" s="63">
        <f t="shared" si="47"/>
        <v>30</v>
      </c>
      <c r="L50" s="63" t="str">
        <f>IFERROR(VLOOKUP(MID(G50,J50,K50-J50),[5]skilldef!$C:$D,2,FALSE),"-") &amp; " / " &amp; IFERROR(VLOOKUP(MID(G50,H50,I50-H50),[5]skilldef!$A:$B,2,FALSE),"-")</f>
        <v>- / -</v>
      </c>
      <c r="M50" s="63" t="str">
        <f t="shared" si="48"/>
        <v>[effect:enemy_resurrection, target:enemy_all, val:0.3, rate:1, animation:enemy_resurrection],[effect:enhance_enemy, target:enemy_all, turn:-1, status:attack, val:500, calc:add, animation:enemy_enhance_attack],[effect:force_change_block, new_block:damage, target:block_all, ignore01:block_positive, ignore02:block_negative, color:block_green, count:1, val:0.2, animation:change_block]</v>
      </c>
      <c r="N50" s="48" t="str">
        <f t="shared" si="73"/>
        <v>[effect:enemy_resurrection, target:enemy_all, val:0.3, rate:1, animation:enemy_resurrection],[effect:enhance_enemy, target:enemy_all, turn:-1, status:attack, val:500, calc:add, animation:enemy_enhance_attack],[effect:force_change_block, new_block:damage, target:block_all, ignore01:block_positive, ignore02:block_negative, color:block_green, count:1, val:0.2, animation:change_block]</v>
      </c>
      <c r="O50" s="63">
        <f t="shared" si="49"/>
        <v>9</v>
      </c>
      <c r="P50" s="63">
        <f t="shared" si="50"/>
        <v>27</v>
      </c>
      <c r="Q50" s="63">
        <f t="shared" si="51"/>
        <v>36</v>
      </c>
      <c r="R50" s="63">
        <f t="shared" si="52"/>
        <v>45</v>
      </c>
      <c r="S50" s="63" t="str">
        <f>IFERROR(VLOOKUP(MID(N50,Q50,R50-Q50),[5]skilldef!$C:$D,2,FALSE),"-") &amp; " / " &amp; IFERROR(VLOOKUP(MID(N50,O50,P50-O50),[5]skilldef!$A:$B,2,FALSE),"-")</f>
        <v>敵全体に / -</v>
      </c>
      <c r="T50" s="48" t="str">
        <f t="shared" si="53"/>
        <v>[effect:enhance_enemy, target:enemy_all, turn:-1, status:attack, val:500, calc:add, animation:enemy_enhance_attack],[effect:force_change_block, new_block:damage, target:block_all, ignore01:block_positive, ignore02:block_negative, color:block_green, count:1, val:0.2, animation:change_block]</v>
      </c>
      <c r="U50" s="63">
        <f t="shared" si="54"/>
        <v>9</v>
      </c>
      <c r="V50" s="63">
        <f t="shared" si="55"/>
        <v>22</v>
      </c>
      <c r="W50" s="63">
        <f t="shared" si="56"/>
        <v>31</v>
      </c>
      <c r="X50" s="63">
        <f t="shared" si="57"/>
        <v>40</v>
      </c>
      <c r="Y50" s="63" t="str">
        <f>IFERROR(VLOOKUP(MID(T50,W50,X50-W50),[5]skilldef!$C:$D,2,FALSE),"-") &amp; " / " &amp; IFERROR(VLOOKUP(MID(T50,U50,V50-U50),[5]skilldef!$A:$B,2,FALSE),"-")</f>
        <v>敵全体に / ステータス強化</v>
      </c>
      <c r="Z50" s="50"/>
      <c r="AA50" s="52"/>
      <c r="AB50" s="50"/>
    </row>
    <row r="51" spans="1:28" ht="116" customHeight="1" x14ac:dyDescent="0.15">
      <c r="A51" s="119">
        <v>40040349</v>
      </c>
      <c r="B51" s="105" t="s">
        <v>417</v>
      </c>
      <c r="C51" s="50">
        <v>3</v>
      </c>
      <c r="D51" s="50" t="s">
        <v>128</v>
      </c>
      <c r="E51" s="51" t="s">
        <v>277</v>
      </c>
      <c r="F51" s="51" t="s">
        <v>324</v>
      </c>
      <c r="G51" s="63" t="str">
        <f t="shared" si="43"/>
        <v>[effect:enemy_message, val1:1, val2:3]</v>
      </c>
      <c r="H51" s="63">
        <f t="shared" si="44"/>
        <v>9</v>
      </c>
      <c r="I51" s="63">
        <f t="shared" si="45"/>
        <v>22</v>
      </c>
      <c r="J51" s="63" t="e">
        <f t="shared" si="46"/>
        <v>#VALUE!</v>
      </c>
      <c r="K51" s="63">
        <f t="shared" si="47"/>
        <v>30</v>
      </c>
      <c r="L51" s="63" t="str">
        <f>IFERROR(VLOOKUP(MID(G51,J51,K51-J51),[5]skilldef!$C:$D,2,FALSE),"-") &amp; " / " &amp; IFERROR(VLOOKUP(MID(G51,H51,I51-H51),[5]skilldef!$A:$B,2,FALSE),"-")</f>
        <v>- / -</v>
      </c>
      <c r="M51" s="63" t="str">
        <f t="shared" si="48"/>
        <v>[effect:enemy_resurrection, target:enemy_all, val:0.4, rate:1, animation:enemy_resurrection],[effect:enhance_enemy, target:enemy_all, turn:-1, status:attack, val:1000, calc:add, animation:enemy_enhance_attack],[effect:force_change_block, new_block:damage, target:block_all, ignore01:block_positive, ignore02:block_negative, color:block_yellow, count:1, val:0.2, animation:change_block]</v>
      </c>
      <c r="N51" s="48" t="str">
        <f t="shared" si="73"/>
        <v>[effect:enemy_resurrection, target:enemy_all, val:0.4, rate:1, animation:enemy_resurrection],[effect:enhance_enemy, target:enemy_all, turn:-1, status:attack, val:1000, calc:add, animation:enemy_enhance_attack],[effect:force_change_block, new_block:damage, target:block_all, ignore01:block_positive, ignore02:block_negative, color:block_yellow, count:1, val:0.2, animation:change_block]</v>
      </c>
      <c r="O51" s="63">
        <f t="shared" si="49"/>
        <v>9</v>
      </c>
      <c r="P51" s="63">
        <f t="shared" si="50"/>
        <v>27</v>
      </c>
      <c r="Q51" s="63">
        <f t="shared" si="51"/>
        <v>36</v>
      </c>
      <c r="R51" s="63">
        <f t="shared" si="52"/>
        <v>45</v>
      </c>
      <c r="S51" s="63" t="str">
        <f>IFERROR(VLOOKUP(MID(N51,Q51,R51-Q51),[5]skilldef!$C:$D,2,FALSE),"-") &amp; " / " &amp; IFERROR(VLOOKUP(MID(N51,O51,P51-O51),[5]skilldef!$A:$B,2,FALSE),"-")</f>
        <v>敵全体に / -</v>
      </c>
      <c r="T51" s="48" t="str">
        <f t="shared" si="53"/>
        <v>[effect:enhance_enemy, target:enemy_all, turn:-1, status:attack, val:1000, calc:add, animation:enemy_enhance_attack],[effect:force_change_block, new_block:damage, target:block_all, ignore01:block_positive, ignore02:block_negative, color:block_yellow, count:1, val:0.2, animation:change_block]</v>
      </c>
      <c r="U51" s="63">
        <f t="shared" si="54"/>
        <v>9</v>
      </c>
      <c r="V51" s="63">
        <f t="shared" si="55"/>
        <v>22</v>
      </c>
      <c r="W51" s="63">
        <f t="shared" si="56"/>
        <v>31</v>
      </c>
      <c r="X51" s="63">
        <f t="shared" si="57"/>
        <v>40</v>
      </c>
      <c r="Y51" s="63" t="str">
        <f>IFERROR(VLOOKUP(MID(T51,W51,X51-W51),[5]skilldef!$C:$D,2,FALSE),"-") &amp; " / " &amp; IFERROR(VLOOKUP(MID(T51,U51,V51-U51),[5]skilldef!$A:$B,2,FALSE),"-")</f>
        <v>敵全体に / ステータス強化</v>
      </c>
      <c r="Z51" s="50"/>
      <c r="AA51" s="52"/>
      <c r="AB51" s="50"/>
    </row>
    <row r="52" spans="1:28" ht="116" customHeight="1" x14ac:dyDescent="0.15">
      <c r="A52" s="119">
        <v>40040350</v>
      </c>
      <c r="B52" s="105" t="s">
        <v>418</v>
      </c>
      <c r="C52" s="50">
        <v>3</v>
      </c>
      <c r="D52" s="50" t="s">
        <v>128</v>
      </c>
      <c r="E52" s="51" t="s">
        <v>267</v>
      </c>
      <c r="F52" s="51" t="s">
        <v>330</v>
      </c>
      <c r="G52" s="63" t="str">
        <f t="shared" si="43"/>
        <v>[effect:enemy_message, val1:1, val2:3]</v>
      </c>
      <c r="H52" s="63">
        <f t="shared" si="44"/>
        <v>9</v>
      </c>
      <c r="I52" s="63">
        <f t="shared" si="45"/>
        <v>22</v>
      </c>
      <c r="J52" s="63" t="e">
        <f t="shared" si="46"/>
        <v>#VALUE!</v>
      </c>
      <c r="K52" s="63">
        <f t="shared" si="47"/>
        <v>30</v>
      </c>
      <c r="L52" s="63" t="str">
        <f>IFERROR(VLOOKUP(MID(G52,J52,K52-J52),[5]skilldef!$C:$D,2,FALSE),"-") &amp; " / " &amp; IFERROR(VLOOKUP(MID(G52,H52,I52-H52),[5]skilldef!$A:$B,2,FALSE),"-")</f>
        <v>- / -</v>
      </c>
      <c r="M52" s="63" t="str">
        <f t="shared" si="48"/>
        <v>[effect:enemy_resurrection, target:enemy_all, val:0.5, rate:1, animation:enemy_resurrection],[effect:enhance_enemy, target:enemy_all, turn:-1, status:attack, val:2000, calc:add, animation:enemy_enhance_attack],[effect:force_change_block, new_block:damage, target:block_all, ignore01:block_positive, ignore02:block_negative, color:block_red, count:1, val:0.2, animation:change_block]</v>
      </c>
      <c r="N52" s="48" t="str">
        <f t="shared" si="73"/>
        <v>[effect:enemy_resurrection, target:enemy_all, val:0.5, rate:1, animation:enemy_resurrection],[effect:enhance_enemy, target:enemy_all, turn:-1, status:attack, val:2000, calc:add, animation:enemy_enhance_attack],[effect:force_change_block, new_block:damage, target:block_all, ignore01:block_positive, ignore02:block_negative, color:block_red, count:1, val:0.2, animation:change_block]</v>
      </c>
      <c r="O52" s="63">
        <f t="shared" si="49"/>
        <v>9</v>
      </c>
      <c r="P52" s="63">
        <f t="shared" si="50"/>
        <v>27</v>
      </c>
      <c r="Q52" s="63">
        <f t="shared" si="51"/>
        <v>36</v>
      </c>
      <c r="R52" s="63">
        <f t="shared" si="52"/>
        <v>45</v>
      </c>
      <c r="S52" s="63" t="str">
        <f>IFERROR(VLOOKUP(MID(N52,Q52,R52-Q52),[5]skilldef!$C:$D,2,FALSE),"-") &amp; " / " &amp; IFERROR(VLOOKUP(MID(N52,O52,P52-O52),[5]skilldef!$A:$B,2,FALSE),"-")</f>
        <v>敵全体に / -</v>
      </c>
      <c r="T52" s="48" t="str">
        <f t="shared" si="53"/>
        <v>[effect:enhance_enemy, target:enemy_all, turn:-1, status:attack, val:2000, calc:add, animation:enemy_enhance_attack],[effect:force_change_block, new_block:damage, target:block_all, ignore01:block_positive, ignore02:block_negative, color:block_red, count:1, val:0.2, animation:change_block]</v>
      </c>
      <c r="U52" s="63">
        <f t="shared" si="54"/>
        <v>9</v>
      </c>
      <c r="V52" s="63">
        <f t="shared" si="55"/>
        <v>22</v>
      </c>
      <c r="W52" s="63">
        <f t="shared" si="56"/>
        <v>31</v>
      </c>
      <c r="X52" s="63">
        <f t="shared" si="57"/>
        <v>40</v>
      </c>
      <c r="Y52" s="63" t="str">
        <f>IFERROR(VLOOKUP(MID(T52,W52,X52-W52),[5]skilldef!$C:$D,2,FALSE),"-") &amp; " / " &amp; IFERROR(VLOOKUP(MID(T52,U52,V52-U52),[5]skilldef!$A:$B,2,FALSE),"-")</f>
        <v>敵全体に / ステータス強化</v>
      </c>
      <c r="Z52" s="50"/>
      <c r="AA52" s="52"/>
      <c r="AB52" s="50"/>
    </row>
    <row r="53" spans="1:28" ht="70" x14ac:dyDescent="0.15">
      <c r="A53" s="119">
        <v>40040351</v>
      </c>
      <c r="B53" s="105" t="s">
        <v>382</v>
      </c>
      <c r="C53" s="50">
        <v>3</v>
      </c>
      <c r="D53" s="50" t="s">
        <v>128</v>
      </c>
      <c r="E53" s="51" t="s">
        <v>294</v>
      </c>
      <c r="F53" s="51" t="s">
        <v>368</v>
      </c>
      <c r="G53" s="63" t="str">
        <f t="shared" si="43"/>
        <v>[effect:enemy_message, val1:2.4, val2:2.2]</v>
      </c>
      <c r="H53" s="63">
        <f t="shared" si="44"/>
        <v>9</v>
      </c>
      <c r="I53" s="63">
        <f t="shared" si="45"/>
        <v>22</v>
      </c>
      <c r="J53" s="63" t="e">
        <f t="shared" si="46"/>
        <v>#VALUE!</v>
      </c>
      <c r="K53" s="63">
        <f t="shared" si="47"/>
        <v>32</v>
      </c>
      <c r="L53" s="63" t="str">
        <f>IFERROR(VLOOKUP(MID(G53,J53,K53-J53),[5]skilldef!$C:$D,2,FALSE),"-") &amp; " / " &amp; IFERROR(VLOOKUP(MID(G53,H53,I53-H53),[5]skilldef!$A:$B,2,FALSE),"-")</f>
        <v>- / -</v>
      </c>
      <c r="M53" s="63" t="str">
        <f t="shared" si="48"/>
        <v>[effect:enemy_resurrection, target:enemy_all, val:1, rate:1, animation:enemy_resurrection],[effect:damage_fix_absolute, target:unit_all, val:7000]</v>
      </c>
      <c r="N53" s="48" t="str">
        <f t="shared" si="73"/>
        <v>[effect:enemy_resurrection, target:enemy_all, val:1, rate:1, animation:enemy_resurrection],[effect:damage_fix_absolute, target:unit_all, val:7000]</v>
      </c>
      <c r="O53" s="63">
        <f t="shared" si="49"/>
        <v>9</v>
      </c>
      <c r="P53" s="63">
        <f t="shared" si="50"/>
        <v>27</v>
      </c>
      <c r="Q53" s="63">
        <f t="shared" si="51"/>
        <v>36</v>
      </c>
      <c r="R53" s="63">
        <f t="shared" si="52"/>
        <v>45</v>
      </c>
      <c r="S53" s="63" t="str">
        <f>IFERROR(VLOOKUP(MID(N53,Q53,R53-Q53),[5]skilldef!$C:$D,2,FALSE),"-") &amp; " / " &amp; IFERROR(VLOOKUP(MID(N53,O53,P53-O53),[5]skilldef!$A:$B,2,FALSE),"-")</f>
        <v>敵全体に / -</v>
      </c>
      <c r="T53" s="48" t="str">
        <f t="shared" si="53"/>
        <v>[effect:damage_fix_absolute, target:unit_all, val:7000]</v>
      </c>
      <c r="U53" s="63">
        <f t="shared" si="54"/>
        <v>9</v>
      </c>
      <c r="V53" s="63">
        <f t="shared" si="55"/>
        <v>28</v>
      </c>
      <c r="W53" s="63">
        <f t="shared" si="56"/>
        <v>37</v>
      </c>
      <c r="X53" s="63">
        <f t="shared" si="57"/>
        <v>45</v>
      </c>
      <c r="Y53" s="63" t="str">
        <f>IFERROR(VLOOKUP(MID(T53,W53,X53-W53),[5]skilldef!$C:$D,2,FALSE),"-") &amp; " / " &amp; IFERROR(VLOOKUP(MID(T53,U53,V53-U53),[5]skilldef!$A:$B,2,FALSE),"-")</f>
        <v>味方全体に / -</v>
      </c>
      <c r="Z53" s="50"/>
      <c r="AA53" s="52"/>
      <c r="AB53" s="50"/>
    </row>
    <row r="54" spans="1:28" ht="74" customHeight="1" x14ac:dyDescent="0.15">
      <c r="A54" s="119">
        <v>40040352</v>
      </c>
      <c r="B54" s="105" t="s">
        <v>319</v>
      </c>
      <c r="C54" s="50">
        <v>3</v>
      </c>
      <c r="D54" s="50" t="s">
        <v>128</v>
      </c>
      <c r="E54" s="51" t="s">
        <v>276</v>
      </c>
      <c r="F54" s="51" t="s">
        <v>265</v>
      </c>
      <c r="G54" s="63" t="str">
        <f t="shared" si="43"/>
        <v>[effect:spread, val:0.25]</v>
      </c>
      <c r="H54" s="63">
        <f t="shared" si="44"/>
        <v>9</v>
      </c>
      <c r="I54" s="63">
        <f t="shared" si="45"/>
        <v>15</v>
      </c>
      <c r="J54" s="63" t="e">
        <f t="shared" si="46"/>
        <v>#VALUE!</v>
      </c>
      <c r="K54" s="63" t="e">
        <f t="shared" si="47"/>
        <v>#VALUE!</v>
      </c>
      <c r="L54" s="63" t="str">
        <f>IFERROR(VLOOKUP(MID(G54,J54,K54-J54),[5]skilldef!$C:$D,2,FALSE),"-") &amp; " / " &amp; IFERROR(VLOOKUP(MID(G54,H54,I54-H54),[5]skilldef!$A:$B,2,FALSE),"-")</f>
        <v>- / 全体攻撃</v>
      </c>
      <c r="M54" s="63" t="str">
        <f t="shared" si="48"/>
        <v xml:space="preserve">[effect:dark, target:unit_all, turn:1, animation:enemy_dark]    </v>
      </c>
      <c r="N54" s="48" t="str">
        <f t="shared" si="73"/>
        <v xml:space="preserve">[effect:dark, target:unit_all, turn:1, animation:enemy_dark]    </v>
      </c>
      <c r="O54" s="63">
        <f t="shared" si="49"/>
        <v>9</v>
      </c>
      <c r="P54" s="63">
        <f t="shared" si="50"/>
        <v>13</v>
      </c>
      <c r="Q54" s="63">
        <f t="shared" si="51"/>
        <v>22</v>
      </c>
      <c r="R54" s="63">
        <f t="shared" si="52"/>
        <v>30</v>
      </c>
      <c r="S54" s="63" t="str">
        <f>IFERROR(VLOOKUP(MID(N54,Q54,R54-Q54),[5]skilldef!$C:$D,2,FALSE),"-") &amp; " / " &amp; IFERROR(VLOOKUP(MID(N54,O54,P54-O54),[5]skilldef!$A:$B,2,FALSE),"-")</f>
        <v>味方全体に / 暗黒</v>
      </c>
      <c r="T54" s="48" t="str">
        <f t="shared" si="53"/>
        <v>none</v>
      </c>
      <c r="U54" s="63" t="e">
        <f t="shared" si="54"/>
        <v>#VALUE!</v>
      </c>
      <c r="V54" s="63">
        <f t="shared" si="55"/>
        <v>4</v>
      </c>
      <c r="W54" s="63" t="e">
        <f t="shared" si="56"/>
        <v>#VALUE!</v>
      </c>
      <c r="X54" s="63" t="e">
        <f t="shared" si="57"/>
        <v>#VALUE!</v>
      </c>
      <c r="Y54" s="63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74" customHeight="1" x14ac:dyDescent="0.15">
      <c r="A55" s="119">
        <v>40040353</v>
      </c>
      <c r="B55" s="105" t="s">
        <v>419</v>
      </c>
      <c r="C55" s="50">
        <v>3</v>
      </c>
      <c r="D55" s="50" t="s">
        <v>128</v>
      </c>
      <c r="E55" s="51" t="s">
        <v>287</v>
      </c>
      <c r="F55" s="51" t="s">
        <v>343</v>
      </c>
      <c r="G55" s="63" t="str">
        <f t="shared" si="43"/>
        <v>[effect:enemy_message, val1:1, val2:2.8]</v>
      </c>
      <c r="H55" s="63">
        <f t="shared" si="44"/>
        <v>9</v>
      </c>
      <c r="I55" s="63">
        <f t="shared" si="45"/>
        <v>22</v>
      </c>
      <c r="J55" s="63" t="e">
        <f t="shared" si="46"/>
        <v>#VALUE!</v>
      </c>
      <c r="K55" s="63">
        <f t="shared" si="47"/>
        <v>30</v>
      </c>
      <c r="L55" s="63" t="str">
        <f>IFERROR(VLOOKUP(MID(G55,J55,K55-J55),[5]skilldef!$C:$D,2,FALSE),"-") &amp; " / " &amp; IFERROR(VLOOKUP(MID(G55,H55,I55-H55),[5]skilldef!$A:$B,2,FALSE),"-")</f>
        <v>- / -</v>
      </c>
      <c r="M55" s="63" t="str">
        <f t="shared" si="48"/>
        <v>[effect:panel_freeze, target:normal, color:block_red, count:4],[effect:force_change_block, new_block:damage, target:block_all, ignore01:block_positive, ignore02:block_negative, color:block_blue, count:1, val:0.2, animation:change_block]</v>
      </c>
      <c r="N55" s="48" t="str">
        <f t="shared" si="73"/>
        <v>[effect:panel_freeze, target:normal, color:block_red, count:4],[effect:force_change_block, new_block:damage, target:block_all, ignore01:block_positive, ignore02:block_negative, color:block_blue, count:1, val:0.2, animation:change_block]</v>
      </c>
      <c r="O55" s="63">
        <f t="shared" si="49"/>
        <v>9</v>
      </c>
      <c r="P55" s="63">
        <f t="shared" si="50"/>
        <v>21</v>
      </c>
      <c r="Q55" s="63">
        <f t="shared" si="51"/>
        <v>30</v>
      </c>
      <c r="R55" s="63">
        <f t="shared" si="52"/>
        <v>36</v>
      </c>
      <c r="S55" s="63" t="str">
        <f>IFERROR(VLOOKUP(MID(N55,Q55,R55-Q55),[5]skilldef!$C:$D,2,FALSE),"-") &amp; " / " &amp; IFERROR(VLOOKUP(MID(N55,O55,P55-O55),[5]skilldef!$A:$B,2,FALSE),"-")</f>
        <v>- / -</v>
      </c>
      <c r="T55" s="48" t="str">
        <f t="shared" si="53"/>
        <v>[effect:force_change_block, new_block:damage, target:block_all, ignore01:block_positive, ignore02:block_negative, color:block_blue, count:1, val:0.2, animation:change_block]</v>
      </c>
      <c r="U55" s="63">
        <f t="shared" si="54"/>
        <v>9</v>
      </c>
      <c r="V55" s="63">
        <f t="shared" si="55"/>
        <v>27</v>
      </c>
      <c r="W55" s="63">
        <f t="shared" si="56"/>
        <v>54</v>
      </c>
      <c r="X55" s="63">
        <f t="shared" si="57"/>
        <v>45</v>
      </c>
      <c r="Y55" s="63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74" customHeight="1" x14ac:dyDescent="0.15">
      <c r="A56" s="119">
        <v>40040354</v>
      </c>
      <c r="B56" s="105" t="s">
        <v>420</v>
      </c>
      <c r="C56" s="50">
        <v>3</v>
      </c>
      <c r="D56" s="50" t="s">
        <v>128</v>
      </c>
      <c r="E56" s="51" t="s">
        <v>288</v>
      </c>
      <c r="F56" s="51" t="s">
        <v>344</v>
      </c>
      <c r="G56" s="63" t="str">
        <f t="shared" si="43"/>
        <v>[effect:enemy_message, val1:1, val2:2.8]</v>
      </c>
      <c r="H56" s="63">
        <f t="shared" si="44"/>
        <v>9</v>
      </c>
      <c r="I56" s="63">
        <f t="shared" si="45"/>
        <v>22</v>
      </c>
      <c r="J56" s="63" t="e">
        <f t="shared" si="46"/>
        <v>#VALUE!</v>
      </c>
      <c r="K56" s="63">
        <f t="shared" si="47"/>
        <v>30</v>
      </c>
      <c r="L56" s="63" t="str">
        <f>IFERROR(VLOOKUP(MID(G56,J56,K56-J56),[5]skilldef!$C:$D,2,FALSE),"-") &amp; " / " &amp; IFERROR(VLOOKUP(MID(G56,H56,I56-H56),[5]skilldef!$A:$B,2,FALSE),"-")</f>
        <v>- / -</v>
      </c>
      <c r="M56" s="63" t="str">
        <f t="shared" si="48"/>
        <v>[effect:panel_freeze, target:normal, color:block_green, count:4],[effect:force_change_block, new_block:damage, target:block_all, ignore01:block_positive, ignore02:block_negative, color:block_blue, count:1, val:0.2, animation:change_block]</v>
      </c>
      <c r="N56" s="48" t="str">
        <f t="shared" si="73"/>
        <v>[effect:panel_freeze, target:normal, color:block_green, count:4],[effect:force_change_block, new_block:damage, target:block_all, ignore01:block_positive, ignore02:block_negative, color:block_blue, count:1, val:0.2, animation:change_block]</v>
      </c>
      <c r="O56" s="63">
        <f t="shared" si="49"/>
        <v>9</v>
      </c>
      <c r="P56" s="63">
        <f t="shared" si="50"/>
        <v>21</v>
      </c>
      <c r="Q56" s="63">
        <f t="shared" si="51"/>
        <v>30</v>
      </c>
      <c r="R56" s="63">
        <f t="shared" si="52"/>
        <v>36</v>
      </c>
      <c r="S56" s="63" t="str">
        <f>IFERROR(VLOOKUP(MID(N56,Q56,R56-Q56),[5]skilldef!$C:$D,2,FALSE),"-") &amp; " / " &amp; IFERROR(VLOOKUP(MID(N56,O56,P56-O56),[5]skilldef!$A:$B,2,FALSE),"-")</f>
        <v>- / -</v>
      </c>
      <c r="T56" s="48" t="str">
        <f t="shared" si="53"/>
        <v>[effect:force_change_block, new_block:damage, target:block_all, ignore01:block_positive, ignore02:block_negative, color:block_blue, count:1, val:0.2, animation:change_block]</v>
      </c>
      <c r="U56" s="63">
        <f t="shared" si="54"/>
        <v>9</v>
      </c>
      <c r="V56" s="63">
        <f t="shared" si="55"/>
        <v>27</v>
      </c>
      <c r="W56" s="63">
        <f t="shared" si="56"/>
        <v>54</v>
      </c>
      <c r="X56" s="63">
        <f t="shared" si="57"/>
        <v>45</v>
      </c>
      <c r="Y56" s="63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210" x14ac:dyDescent="0.15">
      <c r="A57" s="119">
        <v>40040355</v>
      </c>
      <c r="B57" s="105" t="s">
        <v>421</v>
      </c>
      <c r="C57" s="50">
        <v>3</v>
      </c>
      <c r="D57" s="50" t="s">
        <v>128</v>
      </c>
      <c r="E57" s="51" t="s">
        <v>277</v>
      </c>
      <c r="F57" s="51" t="s">
        <v>327</v>
      </c>
      <c r="G57" s="63" t="str">
        <f t="shared" si="43"/>
        <v>[effect:enemy_message, val1:1, val2:3]</v>
      </c>
      <c r="H57" s="63">
        <f t="shared" si="44"/>
        <v>9</v>
      </c>
      <c r="I57" s="63">
        <f t="shared" si="45"/>
        <v>22</v>
      </c>
      <c r="J57" s="63" t="e">
        <f t="shared" si="46"/>
        <v>#VALUE!</v>
      </c>
      <c r="K57" s="63">
        <f t="shared" si="47"/>
        <v>30</v>
      </c>
      <c r="L57" s="63" t="str">
        <f>IFERROR(VLOOKUP(MID(G57,J57,K57-J57),[5]skilldef!$C:$D,2,FALSE),"-") &amp; " / " &amp; IFERROR(VLOOKUP(MID(G57,H57,I57-H57),[5]skilldef!$A:$B,2,FALSE),"-")</f>
        <v>- / -</v>
      </c>
      <c r="M57" s="63" t="str">
        <f t="shared" si="48"/>
        <v>[effect:enemy_resurrection, target:enemy_all, val:0.3, rate:1, animation:enemy_resurrection],[effect:enhance_enemy, target:enemy_all, turn:-1, status:defense, val:1000, calc:add, animation:enemy_enhance_defense],[effect:force_change_block, new_block:damage, target:block_all, ignore01:block_positive, ignore02:block_negative, color:block_green, count:1, val:0.2, animation:change_block]</v>
      </c>
      <c r="N57" s="48" t="str">
        <f t="shared" si="73"/>
        <v>[effect:enemy_resurrection, target:enemy_all, val:0.3, rate:1, animation:enemy_resurrection],[effect:enhance_enemy, target:enemy_all, turn:-1, status:defense, val:1000, calc:add, animation:enemy_enhance_defense],[effect:force_change_block, new_block:damage, target:block_all, ignore01:block_positive, ignore02:block_negative, color:block_green, count:1, val:0.2, animation:change_block]</v>
      </c>
      <c r="O57" s="63">
        <f t="shared" si="49"/>
        <v>9</v>
      </c>
      <c r="P57" s="63">
        <f t="shared" si="50"/>
        <v>27</v>
      </c>
      <c r="Q57" s="63">
        <f t="shared" si="51"/>
        <v>36</v>
      </c>
      <c r="R57" s="63">
        <f t="shared" si="52"/>
        <v>45</v>
      </c>
      <c r="S57" s="63" t="str">
        <f>IFERROR(VLOOKUP(MID(N57,Q57,R57-Q57),[5]skilldef!$C:$D,2,FALSE),"-") &amp; " / " &amp; IFERROR(VLOOKUP(MID(N57,O57,P57-O57),[5]skilldef!$A:$B,2,FALSE),"-")</f>
        <v>敵全体に / -</v>
      </c>
      <c r="T57" s="48" t="str">
        <f t="shared" si="53"/>
        <v>[effect:enhance_enemy, target:enemy_all, turn:-1, status:defense, val:1000, calc:add, animation:enemy_enhance_defense],[effect:force_change_block, new_block:damage, target:block_all, ignore01:block_positive, ignore02:block_negative, color:block_green, count:1, val:0.2, animation:change_block]</v>
      </c>
      <c r="U57" s="63">
        <f t="shared" si="54"/>
        <v>9</v>
      </c>
      <c r="V57" s="63">
        <f t="shared" si="55"/>
        <v>22</v>
      </c>
      <c r="W57" s="63">
        <f t="shared" si="56"/>
        <v>31</v>
      </c>
      <c r="X57" s="63">
        <f t="shared" si="57"/>
        <v>40</v>
      </c>
      <c r="Y57" s="63" t="str">
        <f>IFERROR(VLOOKUP(MID(T57,W57,X57-W57),[5]skilldef!$C:$D,2,FALSE),"-") &amp; " / " &amp; IFERROR(VLOOKUP(MID(T57,U57,V57-U57),[5]skilldef!$A:$B,2,FALSE),"-")</f>
        <v>敵全体に / ステータス強化</v>
      </c>
      <c r="Z57" s="50"/>
      <c r="AA57" s="52"/>
      <c r="AB57" s="50"/>
    </row>
    <row r="58" spans="1:28" ht="210" x14ac:dyDescent="0.15">
      <c r="A58" s="119">
        <v>40040356</v>
      </c>
      <c r="B58" s="105" t="s">
        <v>429</v>
      </c>
      <c r="C58" s="50">
        <v>3</v>
      </c>
      <c r="D58" s="50" t="s">
        <v>128</v>
      </c>
      <c r="E58" s="51" t="s">
        <v>277</v>
      </c>
      <c r="F58" s="51" t="s">
        <v>328</v>
      </c>
      <c r="G58" s="63" t="str">
        <f t="shared" si="43"/>
        <v>[effect:enemy_message, val1:1, val2:3]</v>
      </c>
      <c r="H58" s="63">
        <f t="shared" si="44"/>
        <v>9</v>
      </c>
      <c r="I58" s="63">
        <f t="shared" si="45"/>
        <v>22</v>
      </c>
      <c r="J58" s="63" t="e">
        <f t="shared" si="46"/>
        <v>#VALUE!</v>
      </c>
      <c r="K58" s="63">
        <f t="shared" si="47"/>
        <v>30</v>
      </c>
      <c r="L58" s="63" t="str">
        <f>IFERROR(VLOOKUP(MID(G58,J58,K58-J58),[5]skilldef!$C:$D,2,FALSE),"-") &amp; " / " &amp; IFERROR(VLOOKUP(MID(G58,H58,I58-H58),[5]skilldef!$A:$B,2,FALSE),"-")</f>
        <v>- / -</v>
      </c>
      <c r="M58" s="63" t="str">
        <f t="shared" si="48"/>
        <v>[effect:enemy_resurrection, target:enemy_all, val:0.4, rate:1, animation:enemy_resurrection],[effect:enhance_enemy, target:enemy_all, turn:-1, status:defense, val:2000, calc:add, animation:enemy_enhance_defense],[effect:force_change_block, new_block:damage, target:block_all, ignore01:block_positive, ignore02:block_negative, color:block_yellow, count:1, val:0.2, animation:change_block]</v>
      </c>
      <c r="N58" s="48" t="str">
        <f t="shared" si="73"/>
        <v>[effect:enemy_resurrection, target:enemy_all, val:0.4, rate:1, animation:enemy_resurrection],[effect:enhance_enemy, target:enemy_all, turn:-1, status:defense, val:2000, calc:add, animation:enemy_enhance_defense],[effect:force_change_block, new_block:damage, target:block_all, ignore01:block_positive, ignore02:block_negative, color:block_yellow, count:1, val:0.2, animation:change_block]</v>
      </c>
      <c r="O58" s="63">
        <f t="shared" si="49"/>
        <v>9</v>
      </c>
      <c r="P58" s="63">
        <f t="shared" si="50"/>
        <v>27</v>
      </c>
      <c r="Q58" s="63">
        <f t="shared" si="51"/>
        <v>36</v>
      </c>
      <c r="R58" s="63">
        <f t="shared" si="52"/>
        <v>45</v>
      </c>
      <c r="S58" s="63" t="str">
        <f>IFERROR(VLOOKUP(MID(N58,Q58,R58-Q58),[5]skilldef!$C:$D,2,FALSE),"-") &amp; " / " &amp; IFERROR(VLOOKUP(MID(N58,O58,P58-O58),[5]skilldef!$A:$B,2,FALSE),"-")</f>
        <v>敵全体に / -</v>
      </c>
      <c r="T58" s="48" t="str">
        <f t="shared" si="53"/>
        <v>[effect:enhance_enemy, target:enemy_all, turn:-1, status:defense, val:2000, calc:add, animation:enemy_enhance_defense],[effect:force_change_block, new_block:damage, target:block_all, ignore01:block_positive, ignore02:block_negative, color:block_yellow, count:1, val:0.2, animation:change_block]</v>
      </c>
      <c r="U58" s="63">
        <f t="shared" si="54"/>
        <v>9</v>
      </c>
      <c r="V58" s="63">
        <f t="shared" si="55"/>
        <v>22</v>
      </c>
      <c r="W58" s="63">
        <f t="shared" si="56"/>
        <v>31</v>
      </c>
      <c r="X58" s="63">
        <f t="shared" si="57"/>
        <v>40</v>
      </c>
      <c r="Y58" s="63" t="str">
        <f>IFERROR(VLOOKUP(MID(T58,W58,X58-W58),[5]skilldef!$C:$D,2,FALSE),"-") &amp; " / " &amp; IFERROR(VLOOKUP(MID(T58,U58,V58-U58),[5]skilldef!$A:$B,2,FALSE),"-")</f>
        <v>敵全体に / ステータス強化</v>
      </c>
      <c r="Z58" s="50"/>
      <c r="AA58" s="52"/>
      <c r="AB58" s="50"/>
    </row>
    <row r="59" spans="1:28" ht="210" x14ac:dyDescent="0.15">
      <c r="A59" s="119">
        <v>40040357</v>
      </c>
      <c r="B59" s="105" t="s">
        <v>422</v>
      </c>
      <c r="C59" s="50">
        <v>3</v>
      </c>
      <c r="D59" s="50" t="s">
        <v>128</v>
      </c>
      <c r="E59" s="51" t="s">
        <v>258</v>
      </c>
      <c r="F59" s="51" t="s">
        <v>329</v>
      </c>
      <c r="G59" s="63" t="str">
        <f t="shared" si="43"/>
        <v>[effect:enemy_message, val1:1, val2:3]</v>
      </c>
      <c r="H59" s="63">
        <f t="shared" si="44"/>
        <v>9</v>
      </c>
      <c r="I59" s="63">
        <f t="shared" si="45"/>
        <v>22</v>
      </c>
      <c r="J59" s="63" t="e">
        <f t="shared" si="46"/>
        <v>#VALUE!</v>
      </c>
      <c r="K59" s="63">
        <f t="shared" si="47"/>
        <v>30</v>
      </c>
      <c r="L59" s="63" t="str">
        <f>IFERROR(VLOOKUP(MID(G59,J59,K59-J59),[5]skilldef!$C:$D,2,FALSE),"-") &amp; " / " &amp; IFERROR(VLOOKUP(MID(G59,H59,I59-H59),[5]skilldef!$A:$B,2,FALSE),"-")</f>
        <v>- / -</v>
      </c>
      <c r="M59" s="63" t="str">
        <f t="shared" si="48"/>
        <v>[effect:enemy_resurrection, target:enemy_all, val:0.5, rate:1, animation:enemy_resurrection],[effect:enhance_enemy, target:enemy_all, turn:-1, status:defense, val:5000, calc:add, animation:enemy_enhance_defense],[effect:force_change_block, new_block:damage, target:block_all, ignore01:block_positive, ignore02:block_negative, color:block_red, count:1, val:0.2, animation:change_block]</v>
      </c>
      <c r="N59" s="48" t="str">
        <f t="shared" si="73"/>
        <v>[effect:enemy_resurrection, target:enemy_all, val:0.5, rate:1, animation:enemy_resurrection],[effect:enhance_enemy, target:enemy_all, turn:-1, status:defense, val:5000, calc:add, animation:enemy_enhance_defense],[effect:force_change_block, new_block:damage, target:block_all, ignore01:block_positive, ignore02:block_negative, color:block_red, count:1, val:0.2, animation:change_block]</v>
      </c>
      <c r="O59" s="63">
        <f t="shared" si="49"/>
        <v>9</v>
      </c>
      <c r="P59" s="63">
        <f t="shared" si="50"/>
        <v>27</v>
      </c>
      <c r="Q59" s="63">
        <f t="shared" si="51"/>
        <v>36</v>
      </c>
      <c r="R59" s="63">
        <f t="shared" si="52"/>
        <v>45</v>
      </c>
      <c r="S59" s="63" t="str">
        <f>IFERROR(VLOOKUP(MID(N59,Q59,R59-Q59),[5]skilldef!$C:$D,2,FALSE),"-") &amp; " / " &amp; IFERROR(VLOOKUP(MID(N59,O59,P59-O59),[5]skilldef!$A:$B,2,FALSE),"-")</f>
        <v>敵全体に / -</v>
      </c>
      <c r="T59" s="48" t="str">
        <f t="shared" si="53"/>
        <v>[effect:enhance_enemy, target:enemy_all, turn:-1, status:defense, val:5000, calc:add, animation:enemy_enhance_defense],[effect:force_change_block, new_block:damage, target:block_all, ignore01:block_positive, ignore02:block_negative, color:block_red, count:1, val:0.2, animation:change_block]</v>
      </c>
      <c r="U59" s="63">
        <f t="shared" si="54"/>
        <v>9</v>
      </c>
      <c r="V59" s="63">
        <f t="shared" si="55"/>
        <v>22</v>
      </c>
      <c r="W59" s="63">
        <f t="shared" si="56"/>
        <v>31</v>
      </c>
      <c r="X59" s="63">
        <f t="shared" si="57"/>
        <v>40</v>
      </c>
      <c r="Y59" s="63" t="str">
        <f>IFERROR(VLOOKUP(MID(T59,W59,X59-W59),[5]skilldef!$C:$D,2,FALSE),"-") &amp; " / " &amp; IFERROR(VLOOKUP(MID(T59,U59,V59-U59),[5]skilldef!$A:$B,2,FALSE),"-")</f>
        <v>敵全体に / ステータス強化</v>
      </c>
      <c r="Z59" s="50"/>
      <c r="AA59" s="52"/>
      <c r="AB59" s="50"/>
    </row>
    <row r="60" spans="1:28" ht="70" x14ac:dyDescent="0.15">
      <c r="A60" s="119">
        <v>40040358</v>
      </c>
      <c r="B60" s="105" t="s">
        <v>370</v>
      </c>
      <c r="C60" s="50">
        <v>3</v>
      </c>
      <c r="D60" s="50" t="s">
        <v>128</v>
      </c>
      <c r="E60" s="51" t="s">
        <v>259</v>
      </c>
      <c r="F60" s="51" t="s">
        <v>368</v>
      </c>
      <c r="G60" s="63" t="str">
        <f t="shared" si="43"/>
        <v>[effect:enemy_message, val1:2.8, val2:2.2]</v>
      </c>
      <c r="H60" s="63">
        <f t="shared" si="44"/>
        <v>9</v>
      </c>
      <c r="I60" s="63">
        <f t="shared" si="45"/>
        <v>22</v>
      </c>
      <c r="J60" s="63" t="e">
        <f t="shared" si="46"/>
        <v>#VALUE!</v>
      </c>
      <c r="K60" s="63">
        <f t="shared" si="47"/>
        <v>32</v>
      </c>
      <c r="L60" s="63" t="str">
        <f>IFERROR(VLOOKUP(MID(G60,J60,K60-J60),[5]skilldef!$C:$D,2,FALSE),"-") &amp; " / " &amp; IFERROR(VLOOKUP(MID(G60,H60,I60-H60),[5]skilldef!$A:$B,2,FALSE),"-")</f>
        <v>- / -</v>
      </c>
      <c r="M60" s="63" t="str">
        <f t="shared" si="48"/>
        <v>[effect:enemy_resurrection, target:enemy_all, val:1, rate:1, animation:enemy_resurrection],[effect:damage_fix_absolute, target:unit_all, val:250000]</v>
      </c>
      <c r="N60" s="48" t="str">
        <f t="shared" si="73"/>
        <v>[effect:enemy_resurrection, target:enemy_all, val:1, rate:1, animation:enemy_resurrection],[effect:damage_fix_absolute, target:unit_all, val:250000]</v>
      </c>
      <c r="O60" s="63">
        <f t="shared" si="49"/>
        <v>9</v>
      </c>
      <c r="P60" s="63">
        <f t="shared" si="50"/>
        <v>27</v>
      </c>
      <c r="Q60" s="63">
        <f t="shared" si="51"/>
        <v>36</v>
      </c>
      <c r="R60" s="63">
        <f t="shared" si="52"/>
        <v>45</v>
      </c>
      <c r="S60" s="63" t="str">
        <f>IFERROR(VLOOKUP(MID(N60,Q60,R60-Q60),[5]skilldef!$C:$D,2,FALSE),"-") &amp; " / " &amp; IFERROR(VLOOKUP(MID(N60,O60,P60-O60),[5]skilldef!$A:$B,2,FALSE),"-")</f>
        <v>敵全体に / -</v>
      </c>
      <c r="T60" s="48" t="str">
        <f t="shared" si="53"/>
        <v>[effect:damage_fix_absolute, target:unit_all, val:250000]</v>
      </c>
      <c r="U60" s="63">
        <f t="shared" si="54"/>
        <v>9</v>
      </c>
      <c r="V60" s="63">
        <f t="shared" si="55"/>
        <v>28</v>
      </c>
      <c r="W60" s="63">
        <f t="shared" si="56"/>
        <v>37</v>
      </c>
      <c r="X60" s="63">
        <f t="shared" si="57"/>
        <v>45</v>
      </c>
      <c r="Y60" s="63" t="str">
        <f>IFERROR(VLOOKUP(MID(T60,W60,X60-W60),[5]skilldef!$C:$D,2,FALSE),"-") &amp; " / " &amp; IFERROR(VLOOKUP(MID(T60,U60,V60-U60),[5]skilldef!$A:$B,2,FALSE),"-")</f>
        <v>味方全体に / -</v>
      </c>
      <c r="Z60" s="50"/>
      <c r="AA60" s="52"/>
      <c r="AB60" s="50"/>
    </row>
    <row r="61" spans="1:28" ht="70" x14ac:dyDescent="0.15">
      <c r="A61" s="119">
        <v>40040359</v>
      </c>
      <c r="B61" s="105" t="s">
        <v>321</v>
      </c>
      <c r="C61" s="50">
        <v>3</v>
      </c>
      <c r="D61" s="50" t="s">
        <v>128</v>
      </c>
      <c r="E61" s="51" t="s">
        <v>281</v>
      </c>
      <c r="F61" s="51" t="s">
        <v>345</v>
      </c>
      <c r="G61" s="63" t="str">
        <f t="shared" si="43"/>
        <v>[effect:spread, val:0.25]</v>
      </c>
      <c r="H61" s="63">
        <f t="shared" si="44"/>
        <v>9</v>
      </c>
      <c r="I61" s="63">
        <f t="shared" si="45"/>
        <v>15</v>
      </c>
      <c r="J61" s="63" t="e">
        <f t="shared" si="46"/>
        <v>#VALUE!</v>
      </c>
      <c r="K61" s="63" t="e">
        <f t="shared" si="47"/>
        <v>#VALUE!</v>
      </c>
      <c r="L61" s="63" t="str">
        <f>IFERROR(VLOOKUP(MID(G61,J61,K61-J61),[5]skilldef!$C:$D,2,FALSE),"-") &amp; " / " &amp; IFERROR(VLOOKUP(MID(G61,H61,I61-H61),[5]skilldef!$A:$B,2,FALSE),"-")</f>
        <v>- / 全体攻撃</v>
      </c>
      <c r="M61" s="63" t="str">
        <f t="shared" si="48"/>
        <v xml:space="preserve">[effect:enhance_enemy, target:enemy_all, turn:1, status:attack, val:1000, calc:add, animation:enemy_enhance_attack]    </v>
      </c>
      <c r="N61" s="48" t="str">
        <f t="shared" si="73"/>
        <v xml:space="preserve">[effect:enhance_enemy, target:enemy_all, turn:1, status:attack, val:1000, calc:add, animation:enemy_enhance_attack]    </v>
      </c>
      <c r="O61" s="63">
        <f t="shared" si="49"/>
        <v>9</v>
      </c>
      <c r="P61" s="63">
        <f t="shared" si="50"/>
        <v>22</v>
      </c>
      <c r="Q61" s="63">
        <f t="shared" si="51"/>
        <v>31</v>
      </c>
      <c r="R61" s="63">
        <f t="shared" si="52"/>
        <v>40</v>
      </c>
      <c r="S61" s="63" t="str">
        <f>IFERROR(VLOOKUP(MID(N61,Q61,R61-Q61),[5]skilldef!$C:$D,2,FALSE),"-") &amp; " / " &amp; IFERROR(VLOOKUP(MID(N61,O61,P61-O61),[5]skilldef!$A:$B,2,FALSE),"-")</f>
        <v>敵全体に / ステータス強化</v>
      </c>
      <c r="T61" s="48" t="str">
        <f t="shared" si="53"/>
        <v>none</v>
      </c>
      <c r="U61" s="63" t="e">
        <f t="shared" si="54"/>
        <v>#VALUE!</v>
      </c>
      <c r="V61" s="63">
        <f t="shared" si="55"/>
        <v>4</v>
      </c>
      <c r="W61" s="63" t="e">
        <f t="shared" si="56"/>
        <v>#VALUE!</v>
      </c>
      <c r="X61" s="63" t="e">
        <f t="shared" si="57"/>
        <v>#VALUE!</v>
      </c>
      <c r="Y61" s="63" t="str">
        <f>IFERROR(VLOOKUP(MID(T61,W61,X61-W61),[5]skilldef!$C:$D,2,FALSE),"-") &amp; " / " &amp; IFERROR(VLOOKUP(MID(T61,U61,V61-U61),[5]skilldef!$A:$B,2,FALSE),"-")</f>
        <v>- / -</v>
      </c>
      <c r="Z61" s="50"/>
      <c r="AA61" s="52"/>
      <c r="AB61" s="50"/>
    </row>
    <row r="62" spans="1:28" ht="126" x14ac:dyDescent="0.15">
      <c r="A62" s="119">
        <v>40040360</v>
      </c>
      <c r="B62" s="105" t="s">
        <v>423</v>
      </c>
      <c r="C62" s="50">
        <v>3</v>
      </c>
      <c r="D62" s="50" t="s">
        <v>128</v>
      </c>
      <c r="E62" s="51" t="s">
        <v>285</v>
      </c>
      <c r="F62" s="51" t="s">
        <v>346</v>
      </c>
      <c r="G62" s="63" t="str">
        <f t="shared" si="43"/>
        <v>[effect:enemy_message, val1:1, val2:2.8]</v>
      </c>
      <c r="H62" s="63">
        <f t="shared" si="44"/>
        <v>9</v>
      </c>
      <c r="I62" s="63">
        <f t="shared" si="45"/>
        <v>22</v>
      </c>
      <c r="J62" s="63" t="e">
        <f t="shared" si="46"/>
        <v>#VALUE!</v>
      </c>
      <c r="K62" s="63">
        <f t="shared" si="47"/>
        <v>30</v>
      </c>
      <c r="L62" s="63" t="str">
        <f>IFERROR(VLOOKUP(MID(G62,J62,K62-J62),[5]skilldef!$C:$D,2,FALSE),"-") &amp; " / " &amp; IFERROR(VLOOKUP(MID(G62,H62,I62-H62),[5]skilldef!$A:$B,2,FALSE),"-")</f>
        <v>- / -</v>
      </c>
      <c r="M62" s="63" t="str">
        <f t="shared" si="48"/>
        <v>[effect:panel_freeze, target:normal, color:block_heart, count:4],[effect:force_change_block, new_block:damage, target:block_all, ignore01:block_positive, ignore02:block_negative, color:block_blue, count:1, val:0.2, animation:change_block]</v>
      </c>
      <c r="N62" s="48" t="str">
        <f t="shared" si="73"/>
        <v>[effect:panel_freeze, target:normal, color:block_heart, count:4],[effect:force_change_block, new_block:damage, target:block_all, ignore01:block_positive, ignore02:block_negative, color:block_blue, count:1, val:0.2, animation:change_block]</v>
      </c>
      <c r="O62" s="63">
        <f t="shared" si="49"/>
        <v>9</v>
      </c>
      <c r="P62" s="63">
        <f t="shared" si="50"/>
        <v>21</v>
      </c>
      <c r="Q62" s="63">
        <f t="shared" si="51"/>
        <v>30</v>
      </c>
      <c r="R62" s="63">
        <f t="shared" si="52"/>
        <v>36</v>
      </c>
      <c r="S62" s="63" t="str">
        <f>IFERROR(VLOOKUP(MID(N62,Q62,R62-Q62),[5]skilldef!$C:$D,2,FALSE),"-") &amp; " / " &amp; IFERROR(VLOOKUP(MID(N62,O62,P62-O62),[5]skilldef!$A:$B,2,FALSE),"-")</f>
        <v>- / -</v>
      </c>
      <c r="T62" s="48" t="str">
        <f t="shared" si="53"/>
        <v>[effect:force_change_block, new_block:damage, target:block_all, ignore01:block_positive, ignore02:block_negative, color:block_blue, count:1, val:0.2, animation:change_block]</v>
      </c>
      <c r="U62" s="63">
        <f t="shared" si="54"/>
        <v>9</v>
      </c>
      <c r="V62" s="63">
        <f t="shared" si="55"/>
        <v>27</v>
      </c>
      <c r="W62" s="63">
        <f t="shared" si="56"/>
        <v>54</v>
      </c>
      <c r="X62" s="63">
        <f t="shared" si="57"/>
        <v>45</v>
      </c>
      <c r="Y62" s="63" t="str">
        <f>IFERROR(VLOOKUP(MID(T62,W62,X62-W62),[5]skilldef!$C:$D,2,FALSE),"-") &amp; " / " &amp; IFERROR(VLOOKUP(MID(T62,U62,V62-U62),[5]skilldef!$A:$B,2,FALSE),"-")</f>
        <v>- / -</v>
      </c>
      <c r="Z62" s="50"/>
      <c r="AA62" s="52"/>
      <c r="AB62" s="50"/>
    </row>
    <row r="63" spans="1:28" ht="126" x14ac:dyDescent="0.15">
      <c r="A63" s="119">
        <v>40040361</v>
      </c>
      <c r="B63" s="105" t="s">
        <v>424</v>
      </c>
      <c r="C63" s="50">
        <v>3</v>
      </c>
      <c r="D63" s="50" t="s">
        <v>128</v>
      </c>
      <c r="E63" s="51" t="s">
        <v>286</v>
      </c>
      <c r="F63" s="51" t="s">
        <v>347</v>
      </c>
      <c r="G63" s="63" t="str">
        <f t="shared" si="43"/>
        <v>[effect:enemy_message, val1:1, val2:2.8]</v>
      </c>
      <c r="H63" s="63">
        <f t="shared" si="44"/>
        <v>9</v>
      </c>
      <c r="I63" s="63">
        <f t="shared" si="45"/>
        <v>22</v>
      </c>
      <c r="J63" s="63" t="e">
        <f t="shared" si="46"/>
        <v>#VALUE!</v>
      </c>
      <c r="K63" s="63">
        <f t="shared" si="47"/>
        <v>30</v>
      </c>
      <c r="L63" s="63" t="str">
        <f>IFERROR(VLOOKUP(MID(G63,J63,K63-J63),[5]skilldef!$C:$D,2,FALSE),"-") &amp; " / " &amp; IFERROR(VLOOKUP(MID(G63,H63,I63-H63),[5]skilldef!$A:$B,2,FALSE),"-")</f>
        <v>- / -</v>
      </c>
      <c r="M63" s="63" t="str">
        <f t="shared" si="48"/>
        <v>[effect:panel_freeze, target:normal, color:block_blue, count:4],[effect:force_change_block, new_block:damage, target:block_all, ignore01:block_positive, ignore02:block_negative, color:block_blue, count:1, val:0.2, animation:change_block]</v>
      </c>
      <c r="N63" s="48" t="str">
        <f t="shared" si="73"/>
        <v>[effect:panel_freeze, target:normal, color:block_blue, count:4],[effect:force_change_block, new_block:damage, target:block_all, ignore01:block_positive, ignore02:block_negative, color:block_blue, count:1, val:0.2, animation:change_block]</v>
      </c>
      <c r="O63" s="63">
        <f t="shared" si="49"/>
        <v>9</v>
      </c>
      <c r="P63" s="63">
        <f t="shared" si="50"/>
        <v>21</v>
      </c>
      <c r="Q63" s="63">
        <f t="shared" si="51"/>
        <v>30</v>
      </c>
      <c r="R63" s="63">
        <f t="shared" si="52"/>
        <v>36</v>
      </c>
      <c r="S63" s="63" t="str">
        <f>IFERROR(VLOOKUP(MID(N63,Q63,R63-Q63),[5]skilldef!$C:$D,2,FALSE),"-") &amp; " / " &amp; IFERROR(VLOOKUP(MID(N63,O63,P63-O63),[5]skilldef!$A:$B,2,FALSE),"-")</f>
        <v>- / -</v>
      </c>
      <c r="T63" s="48" t="str">
        <f t="shared" si="53"/>
        <v>[effect:force_change_block, new_block:damage, target:block_all, ignore01:block_positive, ignore02:block_negative, color:block_blue, count:1, val:0.2, animation:change_block]</v>
      </c>
      <c r="U63" s="63">
        <f t="shared" si="54"/>
        <v>9</v>
      </c>
      <c r="V63" s="63">
        <f t="shared" si="55"/>
        <v>27</v>
      </c>
      <c r="W63" s="63">
        <f t="shared" si="56"/>
        <v>54</v>
      </c>
      <c r="X63" s="63">
        <f t="shared" si="57"/>
        <v>45</v>
      </c>
      <c r="Y63" s="63" t="str">
        <f>IFERROR(VLOOKUP(MID(T63,W63,X63-W63),[5]skilldef!$C:$D,2,FALSE),"-") &amp; " / " &amp; IFERROR(VLOOKUP(MID(T63,U63,V63-U63),[5]skilldef!$A:$B,2,FALSE),"-")</f>
        <v>- / -</v>
      </c>
      <c r="Z63" s="50"/>
      <c r="AA63" s="52"/>
      <c r="AB63" s="50"/>
    </row>
    <row r="64" spans="1:28" ht="84" x14ac:dyDescent="0.15">
      <c r="A64" s="119">
        <v>40040362</v>
      </c>
      <c r="B64" s="105" t="s">
        <v>366</v>
      </c>
      <c r="C64" s="50">
        <v>3</v>
      </c>
      <c r="D64" s="50" t="s">
        <v>128</v>
      </c>
      <c r="E64" s="51" t="s">
        <v>262</v>
      </c>
      <c r="F64" s="51" t="s">
        <v>355</v>
      </c>
      <c r="G64" s="63" t="str">
        <f t="shared" si="43"/>
        <v>[effect:enemy_message, val1:2.8, val2:1.8]</v>
      </c>
      <c r="H64" s="63">
        <f t="shared" si="44"/>
        <v>9</v>
      </c>
      <c r="I64" s="63">
        <f t="shared" si="45"/>
        <v>22</v>
      </c>
      <c r="J64" s="63" t="e">
        <f t="shared" si="46"/>
        <v>#VALUE!</v>
      </c>
      <c r="K64" s="63">
        <f t="shared" si="47"/>
        <v>32</v>
      </c>
      <c r="L64" s="63" t="str">
        <f>IFERROR(VLOOKUP(MID(G64,J64,K64-J64),[5]skilldef!$C:$D,2,FALSE),"-") &amp; " / " &amp; IFERROR(VLOOKUP(MID(G64,H64,I64-H64),[5]skilldef!$A:$B,2,FALSE),"-")</f>
        <v>- / -</v>
      </c>
      <c r="M64" s="63" t="str">
        <f t="shared" si="48"/>
        <v>[effect:fix_speed, target:myself, turn:2],[effect:barrier_attack_skill_color, target:myself, option:guard, color:red, turn:-1, val:0.5, animation:crash_panel_reduce04_unit02]</v>
      </c>
      <c r="N64" s="48" t="str">
        <f t="shared" si="73"/>
        <v>[effect:fix_speed, target:myself, turn:2],[effect:barrier_attack_skill_color, target:myself, option:guard, color:red, turn:-1, val:0.5, animation:crash_panel_reduce04_unit02]</v>
      </c>
      <c r="O64" s="63">
        <f t="shared" si="49"/>
        <v>9</v>
      </c>
      <c r="P64" s="63">
        <f t="shared" si="50"/>
        <v>18</v>
      </c>
      <c r="Q64" s="63">
        <f t="shared" si="51"/>
        <v>27</v>
      </c>
      <c r="R64" s="63">
        <f t="shared" si="52"/>
        <v>33</v>
      </c>
      <c r="S64" s="63" t="str">
        <f>IFERROR(VLOOKUP(MID(N64,Q64,R64-Q64),[5]skilldef!$C:$D,2,FALSE),"-") &amp; " / " &amp; IFERROR(VLOOKUP(MID(N64,O64,P64-O64),[5]skilldef!$A:$B,2,FALSE),"-")</f>
        <v>自分自身に / 行動値設定</v>
      </c>
      <c r="T64" s="48" t="str">
        <f t="shared" si="53"/>
        <v>[effect:barrier_attack_skill_color, target:myself, option:guard, color:red, turn:-1, val:0.5, animation:crash_panel_reduce04_unit02]</v>
      </c>
      <c r="U64" s="63">
        <f t="shared" si="54"/>
        <v>9</v>
      </c>
      <c r="V64" s="63">
        <f t="shared" si="55"/>
        <v>35</v>
      </c>
      <c r="W64" s="63">
        <f t="shared" si="56"/>
        <v>44</v>
      </c>
      <c r="X64" s="63">
        <f t="shared" si="57"/>
        <v>50</v>
      </c>
      <c r="Y64" s="63" t="str">
        <f>IFERROR(VLOOKUP(MID(T64,W64,X64-W64),[5]skilldef!$C:$D,2,FALSE),"-") &amp; " / " &amp; IFERROR(VLOOKUP(MID(T64,U64,V64-U64),[5]skilldef!$A:$B,2,FALSE),"-")</f>
        <v>自分自身に / 一定ターン特定属性のユニットの攻撃スキルダメージを軽減／無効／反射</v>
      </c>
      <c r="Z64" s="50"/>
      <c r="AA64" s="52"/>
      <c r="AB64" s="50"/>
    </row>
    <row r="65" spans="1:28" ht="84" x14ac:dyDescent="0.15">
      <c r="A65" s="119">
        <v>40040363</v>
      </c>
      <c r="B65" s="105" t="s">
        <v>366</v>
      </c>
      <c r="C65" s="50">
        <v>3</v>
      </c>
      <c r="D65" s="50" t="s">
        <v>128</v>
      </c>
      <c r="E65" s="51" t="s">
        <v>260</v>
      </c>
      <c r="F65" s="51" t="s">
        <v>355</v>
      </c>
      <c r="G65" s="63" t="str">
        <f t="shared" si="43"/>
        <v>[effect:enemy_message, val1:2.8, val2:1.8]</v>
      </c>
      <c r="H65" s="63">
        <f t="shared" si="44"/>
        <v>9</v>
      </c>
      <c r="I65" s="63">
        <f t="shared" si="45"/>
        <v>22</v>
      </c>
      <c r="J65" s="63" t="e">
        <f t="shared" si="46"/>
        <v>#VALUE!</v>
      </c>
      <c r="K65" s="63">
        <f t="shared" si="47"/>
        <v>32</v>
      </c>
      <c r="L65" s="63" t="str">
        <f>IFERROR(VLOOKUP(MID(G65,J65,K65-J65),[5]skilldef!$C:$D,2,FALSE),"-") &amp; " / " &amp; IFERROR(VLOOKUP(MID(G65,H65,I65-H65),[5]skilldef!$A:$B,2,FALSE),"-")</f>
        <v>- / -</v>
      </c>
      <c r="M65" s="63" t="str">
        <f t="shared" si="48"/>
        <v>[effect:fix_speed, target:myself, turn:2],[effect:barrier_attack_skill_color, target:myself, option:guard, color:red, turn:-1, val:0.5, animation:crash_panel_reduce04_unit02]</v>
      </c>
      <c r="N65" s="48" t="str">
        <f t="shared" si="73"/>
        <v>[effect:fix_speed, target:myself, turn:2],[effect:barrier_attack_skill_color, target:myself, option:guard, color:red, turn:-1, val:0.5, animation:crash_panel_reduce04_unit02]</v>
      </c>
      <c r="O65" s="63">
        <f t="shared" si="49"/>
        <v>9</v>
      </c>
      <c r="P65" s="63">
        <f t="shared" si="50"/>
        <v>18</v>
      </c>
      <c r="Q65" s="63">
        <f t="shared" si="51"/>
        <v>27</v>
      </c>
      <c r="R65" s="63">
        <f t="shared" si="52"/>
        <v>33</v>
      </c>
      <c r="S65" s="63" t="str">
        <f>IFERROR(VLOOKUP(MID(N65,Q65,R65-Q65),[5]skilldef!$C:$D,2,FALSE),"-") &amp; " / " &amp; IFERROR(VLOOKUP(MID(N65,O65,P65-O65),[5]skilldef!$A:$B,2,FALSE),"-")</f>
        <v>自分自身に / 行動値設定</v>
      </c>
      <c r="T65" s="48" t="str">
        <f t="shared" si="53"/>
        <v>[effect:barrier_attack_skill_color, target:myself, option:guard, color:red, turn:-1, val:0.5, animation:crash_panel_reduce04_unit02]</v>
      </c>
      <c r="U65" s="63">
        <f t="shared" si="54"/>
        <v>9</v>
      </c>
      <c r="V65" s="63">
        <f t="shared" si="55"/>
        <v>35</v>
      </c>
      <c r="W65" s="63">
        <f t="shared" si="56"/>
        <v>44</v>
      </c>
      <c r="X65" s="63">
        <f t="shared" si="57"/>
        <v>50</v>
      </c>
      <c r="Y65" s="63" t="str">
        <f>IFERROR(VLOOKUP(MID(T65,W65,X65-W65),[5]skilldef!$C:$D,2,FALSE),"-") &amp; " / " &amp; IFERROR(VLOOKUP(MID(T65,U65,V65-U65),[5]skilldef!$A:$B,2,FALSE),"-")</f>
        <v>自分自身に / 一定ターン特定属性のユニットの攻撃スキルダメージを軽減／無効／反射</v>
      </c>
      <c r="Z65" s="50"/>
      <c r="AA65" s="52"/>
      <c r="AB65" s="50"/>
    </row>
    <row r="66" spans="1:28" ht="84" x14ac:dyDescent="0.15">
      <c r="A66" s="119">
        <v>40040364</v>
      </c>
      <c r="B66" s="105" t="s">
        <v>366</v>
      </c>
      <c r="C66" s="50">
        <v>3</v>
      </c>
      <c r="D66" s="50" t="s">
        <v>128</v>
      </c>
      <c r="E66" s="51" t="s">
        <v>279</v>
      </c>
      <c r="F66" s="51" t="s">
        <v>355</v>
      </c>
      <c r="G66" s="63" t="str">
        <f t="shared" si="43"/>
        <v>[effect:enemy_message, val1:2.8, val2:1.8]</v>
      </c>
      <c r="H66" s="63">
        <f t="shared" si="44"/>
        <v>9</v>
      </c>
      <c r="I66" s="63">
        <f t="shared" si="45"/>
        <v>22</v>
      </c>
      <c r="J66" s="63" t="e">
        <f t="shared" si="46"/>
        <v>#VALUE!</v>
      </c>
      <c r="K66" s="63">
        <f t="shared" si="47"/>
        <v>32</v>
      </c>
      <c r="L66" s="63" t="str">
        <f>IFERROR(VLOOKUP(MID(G66,J66,K66-J66),[5]skilldef!$C:$D,2,FALSE),"-") &amp; " / " &amp; IFERROR(VLOOKUP(MID(G66,H66,I66-H66),[5]skilldef!$A:$B,2,FALSE),"-")</f>
        <v>- / -</v>
      </c>
      <c r="M66" s="63" t="str">
        <f t="shared" si="48"/>
        <v>[effect:fix_speed, target:myself, turn:2],[effect:barrier_attack_skill_color, target:myself, option:guard, color:red, turn:-1, val:0.5, animation:crash_panel_reduce04_unit02]</v>
      </c>
      <c r="N66" s="48" t="str">
        <f t="shared" si="73"/>
        <v>[effect:fix_speed, target:myself, turn:2],[effect:barrier_attack_skill_color, target:myself, option:guard, color:red, turn:-1, val:0.5, animation:crash_panel_reduce04_unit02]</v>
      </c>
      <c r="O66" s="63">
        <f t="shared" si="49"/>
        <v>9</v>
      </c>
      <c r="P66" s="63">
        <f t="shared" si="50"/>
        <v>18</v>
      </c>
      <c r="Q66" s="63">
        <f t="shared" si="51"/>
        <v>27</v>
      </c>
      <c r="R66" s="63">
        <f t="shared" si="52"/>
        <v>33</v>
      </c>
      <c r="S66" s="63" t="str">
        <f>IFERROR(VLOOKUP(MID(N66,Q66,R66-Q66),[5]skilldef!$C:$D,2,FALSE),"-") &amp; " / " &amp; IFERROR(VLOOKUP(MID(N66,O66,P66-O66),[5]skilldef!$A:$B,2,FALSE),"-")</f>
        <v>自分自身に / 行動値設定</v>
      </c>
      <c r="T66" s="48" t="str">
        <f t="shared" si="53"/>
        <v>[effect:barrier_attack_skill_color, target:myself, option:guard, color:red, turn:-1, val:0.5, animation:crash_panel_reduce04_unit02]</v>
      </c>
      <c r="U66" s="63">
        <f t="shared" si="54"/>
        <v>9</v>
      </c>
      <c r="V66" s="63">
        <f t="shared" si="55"/>
        <v>35</v>
      </c>
      <c r="W66" s="63">
        <f t="shared" si="56"/>
        <v>44</v>
      </c>
      <c r="X66" s="63">
        <f t="shared" si="57"/>
        <v>50</v>
      </c>
      <c r="Y66" s="63" t="str">
        <f>IFERROR(VLOOKUP(MID(T66,W66,X66-W66),[5]skilldef!$C:$D,2,FALSE),"-") &amp; " / " &amp; IFERROR(VLOOKUP(MID(T66,U66,V66-U66),[5]skilldef!$A:$B,2,FALSE),"-")</f>
        <v>自分自身に / 一定ターン特定属性のユニットの攻撃スキルダメージを軽減／無効／反射</v>
      </c>
      <c r="Z66" s="50"/>
      <c r="AA66" s="52"/>
      <c r="AB66" s="50"/>
    </row>
    <row r="67" spans="1:28" ht="112" x14ac:dyDescent="0.15">
      <c r="A67" s="119">
        <v>40040365</v>
      </c>
      <c r="B67" s="105" t="s">
        <v>425</v>
      </c>
      <c r="C67" s="50">
        <v>3</v>
      </c>
      <c r="D67" s="50" t="s">
        <v>128</v>
      </c>
      <c r="E67" s="51" t="s">
        <v>282</v>
      </c>
      <c r="F67" s="51" t="s">
        <v>334</v>
      </c>
      <c r="G67" s="63" t="str">
        <f t="shared" si="43"/>
        <v>[effect:enemy_message, val1:2.8, val2:2.4]</v>
      </c>
      <c r="H67" s="63">
        <f t="shared" si="44"/>
        <v>9</v>
      </c>
      <c r="I67" s="63">
        <f t="shared" si="45"/>
        <v>22</v>
      </c>
      <c r="J67" s="63" t="e">
        <f t="shared" si="46"/>
        <v>#VALUE!</v>
      </c>
      <c r="K67" s="63">
        <f t="shared" si="47"/>
        <v>32</v>
      </c>
      <c r="L67" s="63" t="str">
        <f>IFERROR(VLOOKUP(MID(G67,J67,K67-J67),[5]skilldef!$C:$D,2,FALSE),"-") &amp; " / " &amp; IFERROR(VLOOKUP(MID(G67,H67,I67-H67),[5]skilldef!$A:$B,2,FALSE),"-")</f>
        <v>- / -</v>
      </c>
      <c r="M67" s="63" t="str">
        <f t="shared" si="48"/>
        <v xml:space="preserve">[effect:rush, count:2, val:0.6],[effect:force_change_block, new_block:damage, target:block_all, ignore01:block_positive, ignore02:block_negative, color:block_blue, count:1, val:0.2, animation:change_block]   </v>
      </c>
      <c r="N67" s="48" t="str">
        <f t="shared" si="73"/>
        <v xml:space="preserve">[effect:rush, count:2, val:0.6],[effect:force_change_block, new_block:damage, target:block_all, ignore01:block_positive, ignore02:block_negative, color:block_blue, count:1, val:0.2, animation:change_block]   </v>
      </c>
      <c r="O67" s="63">
        <f t="shared" si="49"/>
        <v>9</v>
      </c>
      <c r="P67" s="63">
        <f t="shared" si="50"/>
        <v>13</v>
      </c>
      <c r="Q67" s="63">
        <f t="shared" si="51"/>
        <v>86</v>
      </c>
      <c r="R67" s="63">
        <f t="shared" si="52"/>
        <v>22</v>
      </c>
      <c r="S67" s="63" t="str">
        <f>IFERROR(VLOOKUP(MID(N67,Q67,R67-Q67),[5]skilldef!$C:$D,2,FALSE),"-") &amp; " / " &amp; IFERROR(VLOOKUP(MID(N67,O67,P67-O67),[5]skilldef!$A:$B,2,FALSE),"-")</f>
        <v>- / 連続攻撃</v>
      </c>
      <c r="T67" s="48" t="str">
        <f t="shared" si="53"/>
        <v xml:space="preserve">[effect:force_change_block, new_block:damage, target:block_all, ignore01:block_positive, ignore02:block_negative, color:block_blue, count:1, val:0.2, animation:change_block]   </v>
      </c>
      <c r="U67" s="63">
        <f t="shared" si="54"/>
        <v>9</v>
      </c>
      <c r="V67" s="63">
        <f t="shared" si="55"/>
        <v>27</v>
      </c>
      <c r="W67" s="63">
        <f t="shared" si="56"/>
        <v>54</v>
      </c>
      <c r="X67" s="63">
        <f t="shared" si="57"/>
        <v>45</v>
      </c>
      <c r="Y67" s="63" t="str">
        <f>IFERROR(VLOOKUP(MID(T67,W67,X67-W67),[5]skilldef!$C:$D,2,FALSE),"-") &amp; " / " &amp; IFERROR(VLOOKUP(MID(T67,U67,V67-U67),[5]skilldef!$A:$B,2,FALSE),"-")</f>
        <v>- / -</v>
      </c>
      <c r="Z67" s="50"/>
      <c r="AA67" s="52"/>
      <c r="AB67" s="50"/>
    </row>
    <row r="68" spans="1:28" ht="28" x14ac:dyDescent="0.15">
      <c r="A68" s="119">
        <v>40040366</v>
      </c>
      <c r="B68" s="105" t="s">
        <v>383</v>
      </c>
      <c r="C68" s="50">
        <v>3</v>
      </c>
      <c r="D68" s="50" t="s">
        <v>128</v>
      </c>
      <c r="E68" s="51" t="s">
        <v>272</v>
      </c>
      <c r="F68" s="51" t="s">
        <v>335</v>
      </c>
      <c r="G68" s="63" t="str">
        <f t="shared" si="43"/>
        <v>[effect:enemy_message, val1:1.4, val2:2.2]</v>
      </c>
      <c r="H68" s="63">
        <f t="shared" si="44"/>
        <v>9</v>
      </c>
      <c r="I68" s="63">
        <f t="shared" si="45"/>
        <v>22</v>
      </c>
      <c r="J68" s="63" t="e">
        <f t="shared" si="46"/>
        <v>#VALUE!</v>
      </c>
      <c r="K68" s="63">
        <f t="shared" si="47"/>
        <v>32</v>
      </c>
      <c r="L68" s="63" t="str">
        <f>IFERROR(VLOOKUP(MID(G68,J68,K68-J68),[5]skilldef!$C:$D,2,FALSE),"-") &amp; " / " &amp; IFERROR(VLOOKUP(MID(G68,H68,I68-H68),[5]skilldef!$A:$B,2,FALSE),"-")</f>
        <v>- / -</v>
      </c>
      <c r="M68" s="63" t="str">
        <f t="shared" si="48"/>
        <v>[effect:rush, count:2, val:0.75]</v>
      </c>
      <c r="N68" s="48" t="str">
        <f t="shared" si="73"/>
        <v>[effect:rush, count:2, val:0.75]</v>
      </c>
      <c r="O68" s="63">
        <f t="shared" si="49"/>
        <v>9</v>
      </c>
      <c r="P68" s="63">
        <f t="shared" si="50"/>
        <v>13</v>
      </c>
      <c r="Q68" s="63" t="e">
        <f t="shared" si="51"/>
        <v>#VALUE!</v>
      </c>
      <c r="R68" s="63">
        <f t="shared" si="52"/>
        <v>22</v>
      </c>
      <c r="S68" s="63" t="str">
        <f>IFERROR(VLOOKUP(MID(N68,Q68,R68-Q68),[5]skilldef!$C:$D,2,FALSE),"-") &amp; " / " &amp; IFERROR(VLOOKUP(MID(N68,O68,P68-O68),[5]skilldef!$A:$B,2,FALSE),"-")</f>
        <v>- / 連続攻撃</v>
      </c>
      <c r="T68" s="48" t="str">
        <f t="shared" si="53"/>
        <v>none</v>
      </c>
      <c r="U68" s="63" t="e">
        <f t="shared" si="54"/>
        <v>#VALUE!</v>
      </c>
      <c r="V68" s="63">
        <f t="shared" si="55"/>
        <v>4</v>
      </c>
      <c r="W68" s="63" t="e">
        <f t="shared" si="56"/>
        <v>#VALUE!</v>
      </c>
      <c r="X68" s="63" t="e">
        <f t="shared" si="57"/>
        <v>#VALUE!</v>
      </c>
      <c r="Y68" s="63" t="str">
        <f>IFERROR(VLOOKUP(MID(T68,W68,X68-W68),[5]skilldef!$C:$D,2,FALSE),"-") &amp; " / " &amp; IFERROR(VLOOKUP(MID(T68,U68,V68-U68),[5]skilldef!$A:$B,2,FALSE),"-")</f>
        <v>- / -</v>
      </c>
      <c r="Z68" s="50"/>
      <c r="AA68" s="52"/>
      <c r="AB68" s="50"/>
    </row>
    <row r="69" spans="1:28" ht="28" x14ac:dyDescent="0.15">
      <c r="A69" s="119">
        <v>40040367</v>
      </c>
      <c r="B69" s="105" t="s">
        <v>384</v>
      </c>
      <c r="C69" s="50">
        <v>3</v>
      </c>
      <c r="D69" s="50" t="s">
        <v>128</v>
      </c>
      <c r="E69" s="51" t="s">
        <v>271</v>
      </c>
      <c r="F69" s="51" t="s">
        <v>335</v>
      </c>
      <c r="G69" s="63" t="str">
        <f t="shared" si="43"/>
        <v>[effect:enemy_message, val1:1.8, val2:2.2]</v>
      </c>
      <c r="H69" s="63">
        <f t="shared" si="44"/>
        <v>9</v>
      </c>
      <c r="I69" s="63">
        <f t="shared" si="45"/>
        <v>22</v>
      </c>
      <c r="J69" s="63" t="e">
        <f t="shared" si="46"/>
        <v>#VALUE!</v>
      </c>
      <c r="K69" s="63">
        <f t="shared" si="47"/>
        <v>32</v>
      </c>
      <c r="L69" s="63" t="str">
        <f>IFERROR(VLOOKUP(MID(G69,J69,K69-J69),[5]skilldef!$C:$D,2,FALSE),"-") &amp; " / " &amp; IFERROR(VLOOKUP(MID(G69,H69,I69-H69),[5]skilldef!$A:$B,2,FALSE),"-")</f>
        <v>- / -</v>
      </c>
      <c r="M69" s="63" t="str">
        <f t="shared" si="48"/>
        <v>[effect:rush, count:2, val:0.5]</v>
      </c>
      <c r="N69" s="48" t="str">
        <f t="shared" si="73"/>
        <v>[effect:rush, count:2, val:0.5]</v>
      </c>
      <c r="O69" s="63">
        <f t="shared" si="49"/>
        <v>9</v>
      </c>
      <c r="P69" s="63">
        <f t="shared" si="50"/>
        <v>13</v>
      </c>
      <c r="Q69" s="63" t="e">
        <f t="shared" si="51"/>
        <v>#VALUE!</v>
      </c>
      <c r="R69" s="63">
        <f t="shared" si="52"/>
        <v>22</v>
      </c>
      <c r="S69" s="63" t="str">
        <f>IFERROR(VLOOKUP(MID(N69,Q69,R69-Q69),[5]skilldef!$C:$D,2,FALSE),"-") &amp; " / " &amp; IFERROR(VLOOKUP(MID(N69,O69,P69-O69),[5]skilldef!$A:$B,2,FALSE),"-")</f>
        <v>- / 連続攻撃</v>
      </c>
      <c r="T69" s="48" t="str">
        <f t="shared" si="53"/>
        <v>none</v>
      </c>
      <c r="U69" s="63" t="e">
        <f t="shared" si="54"/>
        <v>#VALUE!</v>
      </c>
      <c r="V69" s="63">
        <f t="shared" si="55"/>
        <v>4</v>
      </c>
      <c r="W69" s="63" t="e">
        <f t="shared" si="56"/>
        <v>#VALUE!</v>
      </c>
      <c r="X69" s="63" t="e">
        <f t="shared" si="57"/>
        <v>#VALUE!</v>
      </c>
      <c r="Y69" s="63" t="str">
        <f>IFERROR(VLOOKUP(MID(T69,W69,X69-W69),[5]skilldef!$C:$D,2,FALSE),"-") &amp; " / " &amp; IFERROR(VLOOKUP(MID(T69,U69,V69-U69),[5]skilldef!$A:$B,2,FALSE),"-")</f>
        <v>- / -</v>
      </c>
      <c r="Z69" s="50"/>
      <c r="AA69" s="52"/>
      <c r="AB69" s="50"/>
    </row>
    <row r="70" spans="1:28" ht="28" x14ac:dyDescent="0.15">
      <c r="A70" s="119">
        <v>40040368</v>
      </c>
      <c r="B70" s="105" t="s">
        <v>385</v>
      </c>
      <c r="C70" s="50">
        <v>3</v>
      </c>
      <c r="D70" s="50" t="s">
        <v>128</v>
      </c>
      <c r="E70" s="51" t="s">
        <v>289</v>
      </c>
      <c r="F70" s="51" t="s">
        <v>335</v>
      </c>
      <c r="G70" s="63" t="str">
        <f t="shared" si="43"/>
        <v>[effect:enemy_message, val1:1.4, val2:2.2]</v>
      </c>
      <c r="H70" s="63">
        <f t="shared" si="44"/>
        <v>9</v>
      </c>
      <c r="I70" s="63">
        <f t="shared" si="45"/>
        <v>22</v>
      </c>
      <c r="J70" s="63" t="e">
        <f t="shared" si="46"/>
        <v>#VALUE!</v>
      </c>
      <c r="K70" s="63">
        <f t="shared" si="47"/>
        <v>32</v>
      </c>
      <c r="L70" s="63" t="str">
        <f>IFERROR(VLOOKUP(MID(G70,J70,K70-J70),[5]skilldef!$C:$D,2,FALSE),"-") &amp; " / " &amp; IFERROR(VLOOKUP(MID(G70,H70,I70-H70),[5]skilldef!$A:$B,2,FALSE),"-")</f>
        <v>- / -</v>
      </c>
      <c r="M70" s="63" t="str">
        <f t="shared" si="48"/>
        <v>[effect:rush, count:2, val:0.25]</v>
      </c>
      <c r="N70" s="48" t="str">
        <f t="shared" si="73"/>
        <v>[effect:rush, count:2, val:0.25]</v>
      </c>
      <c r="O70" s="63">
        <f t="shared" si="49"/>
        <v>9</v>
      </c>
      <c r="P70" s="63">
        <f t="shared" si="50"/>
        <v>13</v>
      </c>
      <c r="Q70" s="63" t="e">
        <f t="shared" si="51"/>
        <v>#VALUE!</v>
      </c>
      <c r="R70" s="63">
        <f t="shared" si="52"/>
        <v>22</v>
      </c>
      <c r="S70" s="63" t="str">
        <f>IFERROR(VLOOKUP(MID(N70,Q70,R70-Q70),[5]skilldef!$C:$D,2,FALSE),"-") &amp; " / " &amp; IFERROR(VLOOKUP(MID(N70,O70,P70-O70),[5]skilldef!$A:$B,2,FALSE),"-")</f>
        <v>- / 連続攻撃</v>
      </c>
      <c r="T70" s="48" t="str">
        <f t="shared" si="53"/>
        <v>none</v>
      </c>
      <c r="U70" s="63" t="e">
        <f t="shared" si="54"/>
        <v>#VALUE!</v>
      </c>
      <c r="V70" s="63">
        <f t="shared" si="55"/>
        <v>4</v>
      </c>
      <c r="W70" s="63" t="e">
        <f t="shared" si="56"/>
        <v>#VALUE!</v>
      </c>
      <c r="X70" s="63" t="e">
        <f t="shared" si="57"/>
        <v>#VALUE!</v>
      </c>
      <c r="Y70" s="63" t="str">
        <f>IFERROR(VLOOKUP(MID(T70,W70,X70-W70),[5]skilldef!$C:$D,2,FALSE),"-") &amp; " / " &amp; IFERROR(VLOOKUP(MID(T70,U70,V70-U70),[5]skilldef!$A:$B,2,FALSE),"-")</f>
        <v>- / -</v>
      </c>
      <c r="Z70" s="50"/>
      <c r="AA70" s="52"/>
      <c r="AB70" s="50"/>
    </row>
    <row r="71" spans="1:28" ht="126" x14ac:dyDescent="0.15">
      <c r="A71" s="119">
        <v>40040369</v>
      </c>
      <c r="B71" s="105" t="s">
        <v>388</v>
      </c>
      <c r="C71" s="50">
        <v>3</v>
      </c>
      <c r="D71" s="50" t="s">
        <v>128</v>
      </c>
      <c r="E71" s="51" t="s">
        <v>290</v>
      </c>
      <c r="F71" s="51" t="s">
        <v>358</v>
      </c>
      <c r="G71" s="63" t="str">
        <f t="shared" si="43"/>
        <v>[effect:enemy_message, val1:1.4, val2:2.8]</v>
      </c>
      <c r="H71" s="63">
        <f t="shared" si="44"/>
        <v>9</v>
      </c>
      <c r="I71" s="63">
        <f t="shared" si="45"/>
        <v>22</v>
      </c>
      <c r="J71" s="63" t="e">
        <f t="shared" si="46"/>
        <v>#VALUE!</v>
      </c>
      <c r="K71" s="63">
        <f t="shared" si="47"/>
        <v>32</v>
      </c>
      <c r="L71" s="63" t="str">
        <f>IFERROR(VLOOKUP(MID(G71,J71,K71-J71),[5]skilldef!$C:$D,2,FALSE),"-") &amp; " / " &amp; IFERROR(VLOOKUP(MID(G71,H71,I71-H71),[5]skilldef!$A:$B,2,FALSE),"-")</f>
        <v>- / -</v>
      </c>
      <c r="M71" s="63" t="str">
        <f t="shared" si="48"/>
        <v xml:space="preserve">[effect:fix_speed, target:myself, turn:1],[effect:barrier_attack_skill_color, target:myself, option:guard, color:red, turn:-1, val:0.75, animation:crash_panel_reduce04_unit02],[effect:drop_freeze, turn:3, block_type:normal, frozen_count:1, rate:0.15, animation:drop_protect]    </v>
      </c>
      <c r="N71" s="48" t="str">
        <f t="shared" si="73"/>
        <v xml:space="preserve">[effect:fix_speed, target:myself, turn:1],[effect:barrier_attack_skill_color, target:myself, option:guard, color:red, turn:-1, val:0.75, animation:crash_panel_reduce04_unit02],[effect:drop_freeze, turn:3, block_type:normal, frozen_count:1, rate:0.15, animation:drop_protect]    </v>
      </c>
      <c r="O71" s="63">
        <f t="shared" si="49"/>
        <v>9</v>
      </c>
      <c r="P71" s="63">
        <f t="shared" si="50"/>
        <v>18</v>
      </c>
      <c r="Q71" s="63">
        <f t="shared" si="51"/>
        <v>27</v>
      </c>
      <c r="R71" s="63">
        <f t="shared" si="52"/>
        <v>33</v>
      </c>
      <c r="S71" s="63" t="str">
        <f>IFERROR(VLOOKUP(MID(N71,Q71,R71-Q71),[5]skilldef!$C:$D,2,FALSE),"-") &amp; " / " &amp; IFERROR(VLOOKUP(MID(N71,O71,P71-O71),[5]skilldef!$A:$B,2,FALSE),"-")</f>
        <v>自分自身に / 行動値設定</v>
      </c>
      <c r="T71" s="48" t="str">
        <f t="shared" si="53"/>
        <v xml:space="preserve">[effect:barrier_attack_skill_color, target:myself, option:guard, color:red, turn:-1, val:0.75, animation:crash_panel_reduce04_unit02],[effect:drop_freeze, turn:3, block_type:normal, frozen_count:1, rate:0.15, animation:drop_protect]    </v>
      </c>
      <c r="U71" s="63">
        <f t="shared" si="54"/>
        <v>9</v>
      </c>
      <c r="V71" s="63">
        <f t="shared" si="55"/>
        <v>35</v>
      </c>
      <c r="W71" s="63">
        <f t="shared" si="56"/>
        <v>44</v>
      </c>
      <c r="X71" s="63">
        <f t="shared" si="57"/>
        <v>50</v>
      </c>
      <c r="Y71" s="63" t="str">
        <f>IFERROR(VLOOKUP(MID(T71,W71,X71-W71),[5]skilldef!$C:$D,2,FALSE),"-") &amp; " / " &amp; IFERROR(VLOOKUP(MID(T71,U71,V71-U71),[5]skilldef!$A:$B,2,FALSE),"-")</f>
        <v>自分自身に / 一定ターン特定属性のユニットの攻撃スキルダメージを軽減／無効／反射</v>
      </c>
      <c r="Z71" s="50"/>
      <c r="AA71" s="52"/>
      <c r="AB71" s="50"/>
    </row>
    <row r="72" spans="1:28" ht="98" x14ac:dyDescent="0.15">
      <c r="A72" s="119">
        <v>40040370</v>
      </c>
      <c r="B72" s="105" t="s">
        <v>430</v>
      </c>
      <c r="C72" s="50">
        <v>3</v>
      </c>
      <c r="D72" s="50" t="s">
        <v>128</v>
      </c>
      <c r="E72" s="51" t="s">
        <v>291</v>
      </c>
      <c r="F72" s="51" t="s">
        <v>336</v>
      </c>
      <c r="G72" s="63" t="str">
        <f t="shared" si="43"/>
        <v>[effect:enemy_message, val1:2.4, val2:1.8]</v>
      </c>
      <c r="H72" s="63">
        <f t="shared" si="44"/>
        <v>9</v>
      </c>
      <c r="I72" s="63">
        <f t="shared" si="45"/>
        <v>22</v>
      </c>
      <c r="J72" s="63" t="e">
        <f t="shared" si="46"/>
        <v>#VALUE!</v>
      </c>
      <c r="K72" s="63">
        <f t="shared" si="47"/>
        <v>32</v>
      </c>
      <c r="L72" s="63" t="str">
        <f>IFERROR(VLOOKUP(MID(G72,J72,K72-J72),[5]skilldef!$C:$D,2,FALSE),"-") &amp; " / " &amp; IFERROR(VLOOKUP(MID(G72,H72,I72-H72),[5]skilldef!$A:$B,2,FALSE),"-")</f>
        <v>- / -</v>
      </c>
      <c r="M72" s="63" t="str">
        <f t="shared" si="48"/>
        <v xml:space="preserve">[effect:force_change_block, new_block:block_red, target:block_green, count:10, val:0, animation:change_block]    </v>
      </c>
      <c r="N72" s="48" t="str">
        <f t="shared" si="73"/>
        <v xml:space="preserve">[effect:force_change_block, new_block:block_red, target:block_green, count:10, val:0, animation:change_block]    </v>
      </c>
      <c r="O72" s="63">
        <f t="shared" si="49"/>
        <v>9</v>
      </c>
      <c r="P72" s="63">
        <f t="shared" si="50"/>
        <v>27</v>
      </c>
      <c r="Q72" s="63">
        <f t="shared" si="51"/>
        <v>57</v>
      </c>
      <c r="R72" s="63">
        <f t="shared" si="52"/>
        <v>48</v>
      </c>
      <c r="S72" s="63" t="str">
        <f>IFERROR(VLOOKUP(MID(N72,Q72,R72-Q72),[5]skilldef!$C:$D,2,FALSE),"-") &amp; " / " &amp; IFERROR(VLOOKUP(MID(N72,O72,P72-O72),[5]skilldef!$A:$B,2,FALSE),"-")</f>
        <v>- / -</v>
      </c>
      <c r="T72" s="48" t="str">
        <f t="shared" si="53"/>
        <v>none</v>
      </c>
      <c r="U72" s="63" t="e">
        <f t="shared" si="54"/>
        <v>#VALUE!</v>
      </c>
      <c r="V72" s="63">
        <f t="shared" si="55"/>
        <v>4</v>
      </c>
      <c r="W72" s="63" t="e">
        <f t="shared" si="56"/>
        <v>#VALUE!</v>
      </c>
      <c r="X72" s="63" t="e">
        <f t="shared" si="57"/>
        <v>#VALUE!</v>
      </c>
      <c r="Y72" s="63" t="str">
        <f>IFERROR(VLOOKUP(MID(T72,W72,X72-W72),[5]skilldef!$C:$D,2,FALSE),"-") &amp; " / " &amp; IFERROR(VLOOKUP(MID(T72,U72,V72-U72),[5]skilldef!$A:$B,2,FALSE),"-")</f>
        <v>- / -</v>
      </c>
      <c r="Z72" s="50"/>
      <c r="AA72" s="52"/>
      <c r="AB72" s="50"/>
    </row>
    <row r="73" spans="1:28" ht="98" x14ac:dyDescent="0.15">
      <c r="A73" s="119">
        <v>40040371</v>
      </c>
      <c r="B73" s="105" t="s">
        <v>431</v>
      </c>
      <c r="C73" s="50">
        <v>3</v>
      </c>
      <c r="D73" s="50" t="s">
        <v>128</v>
      </c>
      <c r="E73" s="51" t="s">
        <v>292</v>
      </c>
      <c r="F73" s="51" t="s">
        <v>349</v>
      </c>
      <c r="G73" s="63" t="str">
        <f t="shared" si="43"/>
        <v>[effect:enemy_message, val1:1.8, val2:2.2]</v>
      </c>
      <c r="H73" s="63">
        <f t="shared" si="44"/>
        <v>9</v>
      </c>
      <c r="I73" s="63">
        <f t="shared" si="45"/>
        <v>22</v>
      </c>
      <c r="J73" s="63" t="e">
        <f t="shared" si="46"/>
        <v>#VALUE!</v>
      </c>
      <c r="K73" s="63">
        <f t="shared" si="47"/>
        <v>32</v>
      </c>
      <c r="L73" s="63" t="str">
        <f>IFERROR(VLOOKUP(MID(G73,J73,K73-J73),[5]skilldef!$C:$D,2,FALSE),"-") &amp; " / " &amp; IFERROR(VLOOKUP(MID(G73,H73,I73-H73),[5]skilldef!$A:$B,2,FALSE),"-")</f>
        <v>- / -</v>
      </c>
      <c r="M73" s="63" t="str">
        <f t="shared" si="48"/>
        <v xml:space="preserve">[effect:force_change_block, new_block:damage, target:block_red, color:block_red, count:3, val:0.1, animation:change_block]    </v>
      </c>
      <c r="N73" s="48" t="str">
        <f t="shared" si="73"/>
        <v xml:space="preserve">[effect:force_change_block, new_block:damage, target:block_red, color:block_red, count:3, val:0.1, animation:change_block]    </v>
      </c>
      <c r="O73" s="63">
        <f t="shared" si="49"/>
        <v>9</v>
      </c>
      <c r="P73" s="63">
        <f t="shared" si="50"/>
        <v>27</v>
      </c>
      <c r="Q73" s="63">
        <f t="shared" si="51"/>
        <v>54</v>
      </c>
      <c r="R73" s="63">
        <f t="shared" si="52"/>
        <v>45</v>
      </c>
      <c r="S73" s="63" t="str">
        <f>IFERROR(VLOOKUP(MID(N73,Q73,R73-Q73),[5]skilldef!$C:$D,2,FALSE),"-") &amp; " / " &amp; IFERROR(VLOOKUP(MID(N73,O73,P73-O73),[5]skilldef!$A:$B,2,FALSE),"-")</f>
        <v>- / -</v>
      </c>
      <c r="T73" s="48" t="str">
        <f t="shared" si="53"/>
        <v>none</v>
      </c>
      <c r="U73" s="63" t="e">
        <f t="shared" si="54"/>
        <v>#VALUE!</v>
      </c>
      <c r="V73" s="63">
        <f t="shared" si="55"/>
        <v>4</v>
      </c>
      <c r="W73" s="63" t="e">
        <f t="shared" si="56"/>
        <v>#VALUE!</v>
      </c>
      <c r="X73" s="63" t="e">
        <f t="shared" si="57"/>
        <v>#VALUE!</v>
      </c>
      <c r="Y73" s="63" t="str">
        <f>IFERROR(VLOOKUP(MID(T73,W73,X73-W73),[5]skilldef!$C:$D,2,FALSE),"-") &amp; " / " &amp; IFERROR(VLOOKUP(MID(T73,U73,V73-U73),[5]skilldef!$A:$B,2,FALSE),"-")</f>
        <v>- / -</v>
      </c>
      <c r="Z73" s="50"/>
      <c r="AA73" s="52"/>
      <c r="AB73" s="50"/>
    </row>
    <row r="74" spans="1:28" ht="196" x14ac:dyDescent="0.15">
      <c r="A74" s="119">
        <v>40040372</v>
      </c>
      <c r="B74" s="105" t="s">
        <v>389</v>
      </c>
      <c r="C74" s="50">
        <v>3</v>
      </c>
      <c r="D74" s="50" t="s">
        <v>128</v>
      </c>
      <c r="E74" s="51" t="s">
        <v>273</v>
      </c>
      <c r="F74" s="51" t="s">
        <v>350</v>
      </c>
      <c r="G74" s="63" t="str">
        <f t="shared" si="43"/>
        <v>[effect:enemy_message, val1:1.4, val2:3.4]</v>
      </c>
      <c r="H74" s="63">
        <f t="shared" si="44"/>
        <v>9</v>
      </c>
      <c r="I74" s="63">
        <f t="shared" si="45"/>
        <v>22</v>
      </c>
      <c r="J74" s="63" t="e">
        <f t="shared" si="46"/>
        <v>#VALUE!</v>
      </c>
      <c r="K74" s="63">
        <f t="shared" si="47"/>
        <v>32</v>
      </c>
      <c r="L74" s="63" t="str">
        <f>IFERROR(VLOOKUP(MID(G74,J74,K74-J74),[5]skilldef!$C:$D,2,FALSE),"-") &amp; " / " &amp; IFERROR(VLOOKUP(MID(G74,H74,I74-H74),[5]skilldef!$A:$B,2,FALSE),"-")</f>
        <v>- / -</v>
      </c>
      <c r="M74" s="63" t="str">
        <f t="shared" si="48"/>
        <v>[effect:force_change_block, new_block:damage, target:block_red, ignore01:crash, ignore02:crack_bomb, ignore03:color_break, color:block_red, count:3, val:0.1, animation:change_block],[effect:force_change_block, new_block:crack_bomb, target:block_blue, ignore01:crash, ignore02:crack_bomb, ignore03:color_break, color:block_blue, count:1, val:24, animation:change_block]</v>
      </c>
      <c r="N74" s="48" t="str">
        <f t="shared" si="73"/>
        <v>[effect:force_change_block, new_block:damage, target:block_red, ignore01:crash, ignore02:crack_bomb, ignore03:color_break, color:block_red, count:3, val:0.1, animation:change_block],[effect:force_change_block, new_block:crack_bomb, target:block_blue, ignore01:crash, ignore02:crack_bomb, ignore03:color_break, color:block_blue, count:1, val:24, animation:change_block]</v>
      </c>
      <c r="O74" s="63">
        <f t="shared" si="49"/>
        <v>9</v>
      </c>
      <c r="P74" s="63">
        <f t="shared" si="50"/>
        <v>27</v>
      </c>
      <c r="Q74" s="63">
        <f t="shared" si="51"/>
        <v>54</v>
      </c>
      <c r="R74" s="63">
        <f t="shared" si="52"/>
        <v>45</v>
      </c>
      <c r="S74" s="63" t="str">
        <f>IFERROR(VLOOKUP(MID(N74,Q74,R74-Q74),[5]skilldef!$C:$D,2,FALSE),"-") &amp; " / " &amp; IFERROR(VLOOKUP(MID(N74,O74,P74-O74),[5]skilldef!$A:$B,2,FALSE),"-")</f>
        <v>- / -</v>
      </c>
      <c r="T74" s="48" t="str">
        <f t="shared" si="53"/>
        <v>[effect:force_change_block, new_block:crack_bomb, target:block_blue, ignore01:crash, ignore02:crack_bomb, ignore03:color_break, color:block_blue, count:1, val:24, animation:change_block]</v>
      </c>
      <c r="U74" s="63">
        <f t="shared" si="54"/>
        <v>9</v>
      </c>
      <c r="V74" s="63">
        <f t="shared" si="55"/>
        <v>27</v>
      </c>
      <c r="W74" s="63">
        <f t="shared" si="56"/>
        <v>58</v>
      </c>
      <c r="X74" s="63">
        <f t="shared" si="57"/>
        <v>49</v>
      </c>
      <c r="Y74" s="63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</row>
    <row r="75" spans="1:28" ht="56" x14ac:dyDescent="0.15">
      <c r="A75" s="119">
        <v>40040373</v>
      </c>
      <c r="B75" s="105" t="s">
        <v>390</v>
      </c>
      <c r="C75" s="50">
        <v>3</v>
      </c>
      <c r="D75" s="50" t="s">
        <v>128</v>
      </c>
      <c r="E75" s="51" t="s">
        <v>261</v>
      </c>
      <c r="F75" s="51" t="s">
        <v>266</v>
      </c>
      <c r="G75" s="63" t="str">
        <f t="shared" si="43"/>
        <v>[effect:enemy_message, val1:1.4, val2:1.8]</v>
      </c>
      <c r="H75" s="63">
        <f t="shared" si="44"/>
        <v>9</v>
      </c>
      <c r="I75" s="63">
        <f t="shared" si="45"/>
        <v>22</v>
      </c>
      <c r="J75" s="63" t="e">
        <f t="shared" si="46"/>
        <v>#VALUE!</v>
      </c>
      <c r="K75" s="63">
        <f t="shared" si="47"/>
        <v>32</v>
      </c>
      <c r="L75" s="63" t="str">
        <f>IFERROR(VLOOKUP(MID(G75,J75,K75-J75),[5]skilldef!$C:$D,2,FALSE),"-") &amp; " / " &amp; IFERROR(VLOOKUP(MID(G75,H75,I75-H75),[5]skilldef!$A:$B,2,FALSE),"-")</f>
        <v>- / -</v>
      </c>
      <c r="M75" s="63" t="str">
        <f t="shared" si="48"/>
        <v xml:space="preserve">[effect:break_attack_fix, target:unit_all, val:1000, lowest_val:1000, count:-1, color:blue, block01:damage]    </v>
      </c>
      <c r="N75" s="48" t="str">
        <f t="shared" si="73"/>
        <v xml:space="preserve">[effect:break_attack_fix, target:unit_all, val:1000, lowest_val:1000, count:-1, color:blue, block01:damage]    </v>
      </c>
      <c r="O75" s="63">
        <f t="shared" si="49"/>
        <v>9</v>
      </c>
      <c r="P75" s="63">
        <f t="shared" si="50"/>
        <v>25</v>
      </c>
      <c r="Q75" s="63">
        <f t="shared" si="51"/>
        <v>34</v>
      </c>
      <c r="R75" s="63">
        <f t="shared" si="52"/>
        <v>42</v>
      </c>
      <c r="S75" s="63" t="str">
        <f>IFERROR(VLOOKUP(MID(N75,Q75,R75-Q75),[5]skilldef!$C:$D,2,FALSE),"-") &amp; " / " &amp; IFERROR(VLOOKUP(MID(N75,O75,P75-O75),[5]skilldef!$A:$B,2,FALSE),"-")</f>
        <v>味方全体に / -</v>
      </c>
      <c r="T75" s="48" t="str">
        <f t="shared" si="53"/>
        <v>none</v>
      </c>
      <c r="U75" s="63" t="e">
        <f t="shared" si="54"/>
        <v>#VALUE!</v>
      </c>
      <c r="V75" s="63">
        <f t="shared" si="55"/>
        <v>4</v>
      </c>
      <c r="W75" s="63" t="e">
        <f t="shared" si="56"/>
        <v>#VALUE!</v>
      </c>
      <c r="X75" s="63" t="e">
        <f t="shared" si="57"/>
        <v>#VALUE!</v>
      </c>
      <c r="Y75" s="63" t="str">
        <f>IFERROR(VLOOKUP(MID(T75,W75,X75-W75),[5]skilldef!$C:$D,2,FALSE),"-") &amp; " / " &amp; IFERROR(VLOOKUP(MID(T75,U75,V75-U75),[5]skilldef!$A:$B,2,FALSE),"-")</f>
        <v>- / -</v>
      </c>
      <c r="Z75" s="50"/>
      <c r="AA75" s="52"/>
      <c r="AB75" s="50"/>
    </row>
    <row r="76" spans="1:28" ht="140" x14ac:dyDescent="0.15">
      <c r="A76" s="119">
        <v>40040374</v>
      </c>
      <c r="B76" s="105" t="s">
        <v>391</v>
      </c>
      <c r="C76" s="50">
        <v>3</v>
      </c>
      <c r="D76" s="50" t="s">
        <v>128</v>
      </c>
      <c r="E76" s="51" t="s">
        <v>274</v>
      </c>
      <c r="F76" s="51" t="s">
        <v>359</v>
      </c>
      <c r="G76" s="63" t="str">
        <f t="shared" si="43"/>
        <v>[effect:enemy_message, val1:2.4, val2:3]</v>
      </c>
      <c r="H76" s="63">
        <f t="shared" si="44"/>
        <v>9</v>
      </c>
      <c r="I76" s="63">
        <f t="shared" si="45"/>
        <v>22</v>
      </c>
      <c r="J76" s="63" t="e">
        <f t="shared" si="46"/>
        <v>#VALUE!</v>
      </c>
      <c r="K76" s="63">
        <f t="shared" si="47"/>
        <v>32</v>
      </c>
      <c r="L76" s="63" t="str">
        <f>IFERROR(VLOOKUP(MID(G76,J76,K76-J76),[5]skilldef!$C:$D,2,FALSE),"-") &amp; " / " &amp; IFERROR(VLOOKUP(MID(G76,H76,I76-H76),[5]skilldef!$A:$B,2,FALSE),"-")</f>
        <v>- / -</v>
      </c>
      <c r="M76" s="63" t="str">
        <f t="shared" si="48"/>
        <v>[effect:fix_speed, target:myself, turn:1],[effect:barrier_attack_skill_color, target:myself, option:reflect, color:red, turn:-1, val:0.1, animation:crash_panel_reduce04_unit02],[effect:drop_freeze, turn:3, block_type:normal, frozen_count:1, rate:0.15, animation:drop_protect]</v>
      </c>
      <c r="N76" s="48" t="str">
        <f t="shared" si="73"/>
        <v>[effect:fix_speed, target:myself, turn:1],[effect:barrier_attack_skill_color, target:myself, option:reflect, color:red, turn:-1, val:0.1, animation:crash_panel_reduce04_unit02],[effect:drop_freeze, turn:3, block_type:normal, frozen_count:1, rate:0.15, animation:drop_protect]</v>
      </c>
      <c r="O76" s="63">
        <f t="shared" si="49"/>
        <v>9</v>
      </c>
      <c r="P76" s="63">
        <f t="shared" si="50"/>
        <v>18</v>
      </c>
      <c r="Q76" s="63">
        <f t="shared" si="51"/>
        <v>27</v>
      </c>
      <c r="R76" s="63">
        <f t="shared" si="52"/>
        <v>33</v>
      </c>
      <c r="S76" s="63" t="str">
        <f>IFERROR(VLOOKUP(MID(N76,Q76,R76-Q76),[5]skilldef!$C:$D,2,FALSE),"-") &amp; " / " &amp; IFERROR(VLOOKUP(MID(N76,O76,P76-O76),[5]skilldef!$A:$B,2,FALSE),"-")</f>
        <v>自分自身に / 行動値設定</v>
      </c>
      <c r="T76" s="48" t="str">
        <f t="shared" si="53"/>
        <v>[effect:barrier_attack_skill_color, target:myself, option:reflect, color:red, turn:-1, val:0.1, animation:crash_panel_reduce04_unit02],[effect:drop_freeze, turn:3, block_type:normal, frozen_count:1, rate:0.15, animation:drop_protect]</v>
      </c>
      <c r="U76" s="63">
        <f t="shared" si="54"/>
        <v>9</v>
      </c>
      <c r="V76" s="63">
        <f t="shared" si="55"/>
        <v>35</v>
      </c>
      <c r="W76" s="63">
        <f t="shared" si="56"/>
        <v>44</v>
      </c>
      <c r="X76" s="63">
        <f t="shared" si="57"/>
        <v>50</v>
      </c>
      <c r="Y76" s="63" t="str">
        <f>IFERROR(VLOOKUP(MID(T76,W76,X76-W76),[5]skilldef!$C:$D,2,FALSE),"-") &amp; " / " &amp; IFERROR(VLOOKUP(MID(T76,U76,V76-U76),[5]skilldef!$A:$B,2,FALSE),"-")</f>
        <v>自分自身に / 一定ターン特定属性のユニットの攻撃スキルダメージを軽減／無効／反射</v>
      </c>
      <c r="Z76" s="50"/>
      <c r="AA76" s="52"/>
      <c r="AB76" s="50"/>
    </row>
    <row r="77" spans="1:28" ht="112" x14ac:dyDescent="0.15">
      <c r="A77" s="119">
        <v>40040375</v>
      </c>
      <c r="B77" s="105" t="s">
        <v>426</v>
      </c>
      <c r="C77" s="50">
        <v>3</v>
      </c>
      <c r="D77" s="50" t="s">
        <v>128</v>
      </c>
      <c r="E77" s="51" t="s">
        <v>317</v>
      </c>
      <c r="F77" s="51" t="s">
        <v>351</v>
      </c>
      <c r="G77" s="63" t="str">
        <f t="shared" si="43"/>
        <v>[effect:enemy_message, val1:2, val2:2.2]</v>
      </c>
      <c r="H77" s="63">
        <f t="shared" si="44"/>
        <v>9</v>
      </c>
      <c r="I77" s="63">
        <f t="shared" si="45"/>
        <v>22</v>
      </c>
      <c r="J77" s="63" t="e">
        <f t="shared" si="46"/>
        <v>#VALUE!</v>
      </c>
      <c r="K77" s="63">
        <f t="shared" si="47"/>
        <v>30</v>
      </c>
      <c r="L77" s="63" t="str">
        <f>IFERROR(VLOOKUP(MID(G77,J77,K77-J77),[5]skilldef!$C:$D,2,FALSE),"-") &amp; " / " &amp; IFERROR(VLOOKUP(MID(G77,H77,I77-H77),[5]skilldef!$A:$B,2,FALSE),"-")</f>
        <v>- / -</v>
      </c>
      <c r="M77" s="63" t="str">
        <f t="shared" si="48"/>
        <v xml:space="preserve">[effect:spread, val:0.18],[effect:force_change_block, new_block:damage, target:block_all, ignore01:block_positive, ignore02:block_negative, color:block_blue, count:2, val:0.1, animation:change_block]   </v>
      </c>
      <c r="N77" s="48" t="str">
        <f t="shared" si="73"/>
        <v xml:space="preserve">[effect:spread, val:0.18],[effect:force_change_block, new_block:damage, target:block_all, ignore01:block_positive, ignore02:block_negative, color:block_blue, count:2, val:0.1, animation:change_block]   </v>
      </c>
      <c r="O77" s="63">
        <f t="shared" si="49"/>
        <v>9</v>
      </c>
      <c r="P77" s="63">
        <f t="shared" si="50"/>
        <v>15</v>
      </c>
      <c r="Q77" s="63">
        <f t="shared" si="51"/>
        <v>80</v>
      </c>
      <c r="R77" s="63">
        <f t="shared" si="52"/>
        <v>26</v>
      </c>
      <c r="S77" s="63" t="str">
        <f>IFERROR(VLOOKUP(MID(N77,Q77,R77-Q77),[5]skilldef!$C:$D,2,FALSE),"-") &amp; " / " &amp; IFERROR(VLOOKUP(MID(N77,O77,P77-O77),[5]skilldef!$A:$B,2,FALSE),"-")</f>
        <v>- / 全体攻撃</v>
      </c>
      <c r="T77" s="48" t="str">
        <f t="shared" si="53"/>
        <v xml:space="preserve">[effect:force_change_block, new_block:damage, target:block_all, ignore01:block_positive, ignore02:block_negative, color:block_blue, count:2, val:0.1, animation:change_block]   </v>
      </c>
      <c r="U77" s="63">
        <f t="shared" si="54"/>
        <v>9</v>
      </c>
      <c r="V77" s="63">
        <f t="shared" si="55"/>
        <v>27</v>
      </c>
      <c r="W77" s="63">
        <f t="shared" si="56"/>
        <v>54</v>
      </c>
      <c r="X77" s="63">
        <f t="shared" si="57"/>
        <v>45</v>
      </c>
      <c r="Y77" s="63" t="str">
        <f>IFERROR(VLOOKUP(MID(T77,W77,X77-W77),[5]skilldef!$C:$D,2,FALSE),"-") &amp; " / " &amp; IFERROR(VLOOKUP(MID(T77,U77,V77-U77),[5]skilldef!$A:$B,2,FALSE),"-")</f>
        <v>- / -</v>
      </c>
      <c r="Z77" s="50"/>
      <c r="AA77" s="52"/>
      <c r="AB77" s="50"/>
    </row>
    <row r="78" spans="1:28" ht="112" x14ac:dyDescent="0.15">
      <c r="A78" s="119">
        <v>40040376</v>
      </c>
      <c r="B78" s="105" t="s">
        <v>427</v>
      </c>
      <c r="C78" s="50">
        <v>3</v>
      </c>
      <c r="D78" s="50" t="s">
        <v>128</v>
      </c>
      <c r="E78" s="51" t="s">
        <v>284</v>
      </c>
      <c r="F78" s="51" t="s">
        <v>352</v>
      </c>
      <c r="G78" s="63" t="str">
        <f t="shared" si="43"/>
        <v>[effect:enemy_message, val1:1, val2:2.2]</v>
      </c>
      <c r="H78" s="63">
        <f t="shared" si="44"/>
        <v>9</v>
      </c>
      <c r="I78" s="63">
        <f t="shared" si="45"/>
        <v>22</v>
      </c>
      <c r="J78" s="63" t="e">
        <f t="shared" si="46"/>
        <v>#VALUE!</v>
      </c>
      <c r="K78" s="63">
        <f t="shared" si="47"/>
        <v>30</v>
      </c>
      <c r="L78" s="63" t="str">
        <f>IFERROR(VLOOKUP(MID(G78,J78,K78-J78),[5]skilldef!$C:$D,2,FALSE),"-") &amp; " / " &amp; IFERROR(VLOOKUP(MID(G78,H78,I78-H78),[5]skilldef!$A:$B,2,FALSE),"-")</f>
        <v>- / -</v>
      </c>
      <c r="M78" s="63" t="str">
        <f t="shared" si="48"/>
        <v xml:space="preserve">[effect:rush, count:2, val:0.4],[effect:force_change_block, new_block:damage, target:block_all, ignore01:block_positive, ignore02:block_negative, color:block_blue, count:2, val:0.1, animation:change_block]   </v>
      </c>
      <c r="N78" s="48" t="str">
        <f>IFERROR(LEFT(M78,FIND("],",M78)+S88),M78)</f>
        <v xml:space="preserve">[effect:rush, count:2, val:0.4],[effect:force_change_block, new_block:damage, target:block_all, ignore01:block_positive, ignore02:block_negative, color:block_blue, count:2, val:0.1, animation:change_block]   </v>
      </c>
      <c r="O78" s="63">
        <f t="shared" si="49"/>
        <v>9</v>
      </c>
      <c r="P78" s="63">
        <f t="shared" si="50"/>
        <v>13</v>
      </c>
      <c r="Q78" s="63">
        <f t="shared" si="51"/>
        <v>86</v>
      </c>
      <c r="R78" s="63">
        <f t="shared" si="52"/>
        <v>22</v>
      </c>
      <c r="S78" s="63" t="str">
        <f>IFERROR(VLOOKUP(MID(N78,Q78,R78-Q78),[5]skilldef!$C:$D,2,FALSE),"-") &amp; " / " &amp; IFERROR(VLOOKUP(MID(N78,O78,P78-O78),[5]skilldef!$A:$B,2,FALSE),"-")</f>
        <v>- / 連続攻撃</v>
      </c>
      <c r="T78" s="48" t="str">
        <f t="shared" si="53"/>
        <v xml:space="preserve">[effect:force_change_block, new_block:damage, target:block_all, ignore01:block_positive, ignore02:block_negative, color:block_blue, count:2, val:0.1, animation:change_block]   </v>
      </c>
      <c r="U78" s="63">
        <f t="shared" si="54"/>
        <v>9</v>
      </c>
      <c r="V78" s="63">
        <f t="shared" si="55"/>
        <v>27</v>
      </c>
      <c r="W78" s="63">
        <f t="shared" si="56"/>
        <v>54</v>
      </c>
      <c r="X78" s="63">
        <f t="shared" si="57"/>
        <v>45</v>
      </c>
      <c r="Y78" s="63" t="str">
        <f>IFERROR(VLOOKUP(MID(T78,W78,X78-W78),[5]skilldef!$C:$D,2,FALSE),"-") &amp; " / " &amp; IFERROR(VLOOKUP(MID(T78,U78,V78-U78),[5]skilldef!$A:$B,2,FALSE),"-")</f>
        <v>- / -</v>
      </c>
      <c r="Z78" s="50"/>
      <c r="AA78" s="52"/>
      <c r="AB78" s="50"/>
    </row>
    <row r="79" spans="1:28" ht="98" x14ac:dyDescent="0.15">
      <c r="A79" s="119">
        <v>40040377</v>
      </c>
      <c r="B79" s="105" t="s">
        <v>392</v>
      </c>
      <c r="C79" s="50">
        <v>3</v>
      </c>
      <c r="D79" s="50" t="s">
        <v>128</v>
      </c>
      <c r="E79" s="51" t="s">
        <v>270</v>
      </c>
      <c r="F79" s="51" t="s">
        <v>322</v>
      </c>
      <c r="G79" s="63" t="str">
        <f t="shared" si="43"/>
        <v>[effect:enemy_message, val1:1.8, val2:2.8]</v>
      </c>
      <c r="H79" s="63">
        <f t="shared" si="44"/>
        <v>9</v>
      </c>
      <c r="I79" s="63">
        <f t="shared" si="45"/>
        <v>22</v>
      </c>
      <c r="J79" s="63" t="e">
        <f t="shared" si="46"/>
        <v>#VALUE!</v>
      </c>
      <c r="K79" s="63">
        <f t="shared" si="47"/>
        <v>32</v>
      </c>
      <c r="L79" s="63" t="str">
        <f>IFERROR(VLOOKUP(MID(G79,J79,K79-J79),[5]skilldef!$C:$D,2,FALSE),"-") &amp; " / " &amp; IFERROR(VLOOKUP(MID(G79,H79,I79-H79),[5]skilldef!$A:$B,2,FALSE),"-")</f>
        <v>- / -</v>
      </c>
      <c r="M79" s="63" t="str">
        <f t="shared" si="48"/>
        <v xml:space="preserve">[effect:panel_freeze, target:normal, color:block_yellow, count:4],[effect:drop_freeze, turn:1, block_type:normal, block_color:block_yellow, frozen_count:1, rate:1, animation:drop_protect]    </v>
      </c>
      <c r="N79" s="48" t="str">
        <f>IFERROR(LEFT(M79,FIND("],",M79)+#REF!),M79)</f>
        <v xml:space="preserve">[effect:panel_freeze, target:normal, color:block_yellow, count:4],[effect:drop_freeze, turn:1, block_type:normal, block_color:block_yellow, frozen_count:1, rate:1, animation:drop_protect]    </v>
      </c>
      <c r="O79" s="63">
        <f t="shared" si="49"/>
        <v>9</v>
      </c>
      <c r="P79" s="63">
        <f t="shared" si="50"/>
        <v>21</v>
      </c>
      <c r="Q79" s="63">
        <f t="shared" si="51"/>
        <v>30</v>
      </c>
      <c r="R79" s="63">
        <f t="shared" si="52"/>
        <v>36</v>
      </c>
      <c r="S79" s="63" t="str">
        <f>IFERROR(VLOOKUP(MID(N79,Q79,R79-Q79),[5]skilldef!$C:$D,2,FALSE),"-") &amp; " / " &amp; IFERROR(VLOOKUP(MID(N79,O79,P79-O79),[5]skilldef!$A:$B,2,FALSE),"-")</f>
        <v>- / -</v>
      </c>
      <c r="T79" s="48" t="str">
        <f t="shared" si="53"/>
        <v xml:space="preserve">[effect:drop_freeze, turn:1, block_type:normal, block_color:block_yellow, frozen_count:1, rate:1, animation:drop_protect]    </v>
      </c>
      <c r="U79" s="63">
        <f t="shared" si="54"/>
        <v>9</v>
      </c>
      <c r="V79" s="63">
        <f t="shared" si="55"/>
        <v>20</v>
      </c>
      <c r="W79" s="63" t="e">
        <f t="shared" si="56"/>
        <v>#VALUE!</v>
      </c>
      <c r="X79" s="63">
        <f t="shared" si="57"/>
        <v>28</v>
      </c>
      <c r="Y79" s="63" t="str">
        <f>IFERROR(VLOOKUP(MID(T79,W79,X79-W79),[5]skilldef!$C:$D,2,FALSE),"-") &amp; " / " &amp; IFERROR(VLOOKUP(MID(T79,U79,V79-U79),[5]skilldef!$A:$B,2,FALSE),"-")</f>
        <v>- / -</v>
      </c>
      <c r="Z79" s="50"/>
      <c r="AA79" s="52"/>
      <c r="AB79" s="50"/>
    </row>
    <row r="80" spans="1:28" ht="28" x14ac:dyDescent="0.15">
      <c r="A80" s="119">
        <v>40040378</v>
      </c>
      <c r="B80" s="105" t="s">
        <v>393</v>
      </c>
      <c r="C80" s="50">
        <v>3</v>
      </c>
      <c r="D80" s="50" t="s">
        <v>128</v>
      </c>
      <c r="E80" s="51" t="s">
        <v>360</v>
      </c>
      <c r="F80" s="51" t="s">
        <v>386</v>
      </c>
      <c r="G80" s="63" t="str">
        <f t="shared" si="43"/>
        <v>[effect:enemy_message, val1:1.8, val2:1.8]</v>
      </c>
      <c r="H80" s="63">
        <f t="shared" si="44"/>
        <v>9</v>
      </c>
      <c r="I80" s="63">
        <f t="shared" si="45"/>
        <v>22</v>
      </c>
      <c r="J80" s="63" t="e">
        <f t="shared" si="46"/>
        <v>#VALUE!</v>
      </c>
      <c r="K80" s="63">
        <f t="shared" si="47"/>
        <v>32</v>
      </c>
      <c r="L80" s="63" t="str">
        <f>IFERROR(VLOOKUP(MID(G80,J80,K80-J80),[5]skilldef!$C:$D,2,FALSE),"-") &amp; " / " &amp; IFERROR(VLOOKUP(MID(G80,H80,I80-H80),[5]skilldef!$A:$B,2,FALSE),"-")</f>
        <v>- / -</v>
      </c>
      <c r="M80" s="63" t="str">
        <f t="shared" si="48"/>
        <v xml:space="preserve">[effect:panel_freeze, target:damage, count:-1]    </v>
      </c>
      <c r="N80" s="48" t="str">
        <f t="shared" ref="N80:N88" si="74">IFERROR(LEFT(M80,FIND("],",M80)+S90),M80)</f>
        <v xml:space="preserve">[effect:panel_freeze, target:damage, count:-1]    </v>
      </c>
      <c r="O80" s="63">
        <f t="shared" si="49"/>
        <v>9</v>
      </c>
      <c r="P80" s="63">
        <f t="shared" si="50"/>
        <v>21</v>
      </c>
      <c r="Q80" s="63">
        <f t="shared" si="51"/>
        <v>30</v>
      </c>
      <c r="R80" s="63">
        <f t="shared" si="52"/>
        <v>36</v>
      </c>
      <c r="S80" s="63" t="str">
        <f>IFERROR(VLOOKUP(MID(N80,Q80,R80-Q80),[5]skilldef!$C:$D,2,FALSE),"-") &amp; " / " &amp; IFERROR(VLOOKUP(MID(N80,O80,P80-O80),[5]skilldef!$A:$B,2,FALSE),"-")</f>
        <v>- / -</v>
      </c>
      <c r="T80" s="48" t="str">
        <f t="shared" si="53"/>
        <v>none</v>
      </c>
      <c r="U80" s="63" t="e">
        <f t="shared" si="54"/>
        <v>#VALUE!</v>
      </c>
      <c r="V80" s="63">
        <f t="shared" si="55"/>
        <v>4</v>
      </c>
      <c r="W80" s="63" t="e">
        <f t="shared" si="56"/>
        <v>#VALUE!</v>
      </c>
      <c r="X80" s="63" t="e">
        <f t="shared" si="57"/>
        <v>#VALUE!</v>
      </c>
      <c r="Y80" s="63" t="str">
        <f>IFERROR(VLOOKUP(MID(T80,W80,X80-W80),[5]skilldef!$C:$D,2,FALSE),"-") &amp; " / " &amp; IFERROR(VLOOKUP(MID(T80,U80,V80-U80),[5]skilldef!$A:$B,2,FALSE),"-")</f>
        <v>- / -</v>
      </c>
      <c r="Z80" s="50"/>
      <c r="AA80" s="52"/>
      <c r="AB80" s="50"/>
    </row>
    <row r="81" spans="1:28" ht="56" x14ac:dyDescent="0.15">
      <c r="A81" s="119">
        <v>40040379</v>
      </c>
      <c r="B81" s="105" t="s">
        <v>394</v>
      </c>
      <c r="C81" s="50">
        <v>3</v>
      </c>
      <c r="D81" s="50" t="s">
        <v>128</v>
      </c>
      <c r="E81" s="51" t="s">
        <v>275</v>
      </c>
      <c r="F81" s="51" t="s">
        <v>266</v>
      </c>
      <c r="G81" s="63" t="str">
        <f t="shared" si="43"/>
        <v>[effect:enemy_message, val1:1.8, val2:1.8]</v>
      </c>
      <c r="H81" s="63">
        <f t="shared" si="44"/>
        <v>9</v>
      </c>
      <c r="I81" s="63">
        <f t="shared" si="45"/>
        <v>22</v>
      </c>
      <c r="J81" s="63" t="e">
        <f t="shared" si="46"/>
        <v>#VALUE!</v>
      </c>
      <c r="K81" s="63">
        <f t="shared" si="47"/>
        <v>32</v>
      </c>
      <c r="L81" s="63" t="str">
        <f>IFERROR(VLOOKUP(MID(G81,J81,K81-J81),[5]skilldef!$C:$D,2,FALSE),"-") &amp; " / " &amp; IFERROR(VLOOKUP(MID(G81,H81,I81-H81),[5]skilldef!$A:$B,2,FALSE),"-")</f>
        <v>- / -</v>
      </c>
      <c r="M81" s="63" t="str">
        <f t="shared" si="48"/>
        <v xml:space="preserve">[effect:break_attack_fix, target:unit_all, val:1500, lowest_val:1000, count:-1, color:blue, block01:damage]    </v>
      </c>
      <c r="N81" s="48" t="str">
        <f t="shared" si="74"/>
        <v xml:space="preserve">[effect:break_attack_fix, target:unit_all, val:1500, lowest_val:1000, count:-1, color:blue, block01:damage]    </v>
      </c>
      <c r="O81" s="63">
        <f t="shared" si="49"/>
        <v>9</v>
      </c>
      <c r="P81" s="63">
        <f t="shared" si="50"/>
        <v>25</v>
      </c>
      <c r="Q81" s="63">
        <f t="shared" si="51"/>
        <v>34</v>
      </c>
      <c r="R81" s="63">
        <f t="shared" si="52"/>
        <v>42</v>
      </c>
      <c r="S81" s="63" t="str">
        <f>IFERROR(VLOOKUP(MID(N81,Q81,R81-Q81),[5]skilldef!$C:$D,2,FALSE),"-") &amp; " / " &amp; IFERROR(VLOOKUP(MID(N81,O81,P81-O81),[5]skilldef!$A:$B,2,FALSE),"-")</f>
        <v>味方全体に / -</v>
      </c>
      <c r="T81" s="48" t="str">
        <f t="shared" si="53"/>
        <v>none</v>
      </c>
      <c r="U81" s="63" t="e">
        <f t="shared" si="54"/>
        <v>#VALUE!</v>
      </c>
      <c r="V81" s="63">
        <f t="shared" si="55"/>
        <v>4</v>
      </c>
      <c r="W81" s="63" t="e">
        <f t="shared" si="56"/>
        <v>#VALUE!</v>
      </c>
      <c r="X81" s="63" t="e">
        <f t="shared" si="57"/>
        <v>#VALUE!</v>
      </c>
      <c r="Y81" s="63" t="str">
        <f>IFERROR(VLOOKUP(MID(T81,W81,X81-W81),[5]skilldef!$C:$D,2,FALSE),"-") &amp; " / " &amp; IFERROR(VLOOKUP(MID(T81,U81,V81-U81),[5]skilldef!$A:$B,2,FALSE),"-")</f>
        <v>- / -</v>
      </c>
      <c r="Z81" s="50"/>
      <c r="AA81" s="52"/>
      <c r="AB81" s="50"/>
    </row>
    <row r="82" spans="1:28" ht="84" x14ac:dyDescent="0.15">
      <c r="A82" s="119">
        <v>40040380</v>
      </c>
      <c r="B82" s="105" t="s">
        <v>395</v>
      </c>
      <c r="C82" s="50">
        <v>3</v>
      </c>
      <c r="D82" s="50" t="s">
        <v>128</v>
      </c>
      <c r="E82" s="51" t="s">
        <v>283</v>
      </c>
      <c r="F82" s="51" t="s">
        <v>353</v>
      </c>
      <c r="G82" s="63" t="str">
        <f t="shared" si="43"/>
        <v>[effect:enemy_message, val1:1.8, val2:3.8]</v>
      </c>
      <c r="H82" s="63">
        <f t="shared" si="44"/>
        <v>9</v>
      </c>
      <c r="I82" s="63">
        <f t="shared" si="45"/>
        <v>22</v>
      </c>
      <c r="J82" s="63" t="e">
        <f t="shared" si="46"/>
        <v>#VALUE!</v>
      </c>
      <c r="K82" s="63">
        <f t="shared" si="47"/>
        <v>32</v>
      </c>
      <c r="L82" s="63" t="str">
        <f>IFERROR(VLOOKUP(MID(G82,J82,K82-J82),[5]skilldef!$C:$D,2,FALSE),"-") &amp; " / " &amp; IFERROR(VLOOKUP(MID(G82,H82,I82-H82),[5]skilldef!$A:$B,2,FALSE),"-")</f>
        <v>- / -</v>
      </c>
      <c r="M82" s="63" t="str">
        <f t="shared" si="48"/>
        <v>[effect:panel_freeze, target:normal, color:block_heart, count:4],[effect:drop_freeze, turn:1, block_type:normal, frozen_count:1, rate:0.5, animation:drop_protect]</v>
      </c>
      <c r="N82" s="48" t="str">
        <f t="shared" si="74"/>
        <v>[effect:panel_freeze, target:normal, color:block_heart, count:4]</v>
      </c>
      <c r="O82" s="63">
        <f t="shared" si="49"/>
        <v>9</v>
      </c>
      <c r="P82" s="63">
        <f t="shared" si="50"/>
        <v>21</v>
      </c>
      <c r="Q82" s="63">
        <f t="shared" si="51"/>
        <v>30</v>
      </c>
      <c r="R82" s="63">
        <f t="shared" si="52"/>
        <v>36</v>
      </c>
      <c r="S82" s="63" t="str">
        <f>IFERROR(VLOOKUP(MID(N82,Q82,R82-Q82),[5]skilldef!$C:$D,2,FALSE),"-") &amp; " / " &amp; IFERROR(VLOOKUP(MID(N82,O82,P82-O82),[5]skilldef!$A:$B,2,FALSE),"-")</f>
        <v>- / -</v>
      </c>
      <c r="T82" s="48" t="str">
        <f t="shared" si="53"/>
        <v>[effect:drop_freeze, turn:1, block_type:normal, frozen_count:1, rate:0.5, animation:drop_protect]</v>
      </c>
      <c r="U82" s="63">
        <f t="shared" si="54"/>
        <v>9</v>
      </c>
      <c r="V82" s="63">
        <f t="shared" si="55"/>
        <v>20</v>
      </c>
      <c r="W82" s="63" t="e">
        <f t="shared" si="56"/>
        <v>#VALUE!</v>
      </c>
      <c r="X82" s="63">
        <f t="shared" si="57"/>
        <v>28</v>
      </c>
      <c r="Y82" s="63" t="str">
        <f>IFERROR(VLOOKUP(MID(T82,W82,X82-W82),[5]skilldef!$C:$D,2,FALSE),"-") &amp; " / " &amp; IFERROR(VLOOKUP(MID(T82,U82,V82-U82),[5]skilldef!$A:$B,2,FALSE),"-")</f>
        <v>- / -</v>
      </c>
      <c r="Z82" s="50"/>
      <c r="AA82" s="52"/>
      <c r="AB82" s="50"/>
    </row>
    <row r="83" spans="1:28" ht="308" x14ac:dyDescent="0.15">
      <c r="A83" s="119">
        <v>40040381</v>
      </c>
      <c r="B83" s="105" t="s">
        <v>396</v>
      </c>
      <c r="C83" s="50">
        <v>3</v>
      </c>
      <c r="D83" s="50" t="s">
        <v>128</v>
      </c>
      <c r="E83" s="51" t="s">
        <v>293</v>
      </c>
      <c r="F83" s="51" t="s">
        <v>354</v>
      </c>
      <c r="G83" s="63" t="str">
        <f t="shared" si="43"/>
        <v>[effect:enemy_message, val1:1.4, val2:4.4]</v>
      </c>
      <c r="H83" s="63">
        <f t="shared" si="44"/>
        <v>9</v>
      </c>
      <c r="I83" s="63">
        <f t="shared" si="45"/>
        <v>22</v>
      </c>
      <c r="J83" s="63" t="e">
        <f t="shared" si="46"/>
        <v>#VALUE!</v>
      </c>
      <c r="K83" s="63">
        <f t="shared" si="47"/>
        <v>32</v>
      </c>
      <c r="L83" s="63" t="str">
        <f>IFERROR(VLOOKUP(MID(G83,J83,K83-J83),[5]skilldef!$C:$D,2,FALSE),"-") &amp; " / " &amp; IFERROR(VLOOKUP(MID(G83,H83,I83-H83),[5]skilldef!$A:$B,2,FALSE),"-")</f>
        <v>- / -</v>
      </c>
      <c r="M83" s="63" t="str">
        <f t="shared" si="48"/>
        <v>[effect:rush, count:10, val:0.17],[effect:enemy_counter, target:myself, invoke_condition:unit_all, counter_target:attacker, turn:2, val:0.32, animation:enemy_counter],[effect:panel_freeze, target:crash, count:4],[effect:force_change_block, new_block:damage, target:block_blue, ignore01:crash, ignore02:crack_bomb, ignore03:color_break, color:block_blue, count:3, val:0.1, animation:change_block],[effect:force_change_block, new_block:damage, target:block_red, ignore01:crash, ignore02:crack_bomb, ignore03:color_break, color:block_blue, count:3, val:0.1, animation:change_block]</v>
      </c>
      <c r="N83" s="48" t="str">
        <f t="shared" si="74"/>
        <v>[effect:rush, count:10, val:0.17]</v>
      </c>
      <c r="O83" s="63">
        <f t="shared" si="49"/>
        <v>9</v>
      </c>
      <c r="P83" s="63">
        <f t="shared" si="50"/>
        <v>13</v>
      </c>
      <c r="Q83" s="63" t="e">
        <f t="shared" si="51"/>
        <v>#VALUE!</v>
      </c>
      <c r="R83" s="63">
        <f t="shared" si="52"/>
        <v>23</v>
      </c>
      <c r="S83" s="63" t="str">
        <f>IFERROR(VLOOKUP(MID(N83,Q83,R83-Q83),[5]skilldef!$C:$D,2,FALSE),"-") &amp; " / " &amp; IFERROR(VLOOKUP(MID(N83,O83,P83-O83),[5]skilldef!$A:$B,2,FALSE),"-")</f>
        <v>- / 連続攻撃</v>
      </c>
      <c r="T83" s="48" t="str">
        <f t="shared" si="53"/>
        <v>[effect:enemy_counter, target:myself, invoke_condition:unit_all, counter_target:attacker, turn:2, val:0.32, animation:enemy_counter],[effect:panel_freeze, target:crash, count:4],[effect:force_change_block, new_block:damage, target:block_blue, ignore01:crash, ignore02:crack_bomb, ignore03:color_break, color:block_blue, count:3, val:0.1, animation:change_block],[effect:force_change_block, new_block:damage, target:block_red, ignore01:crash, ignore02:crack_bomb, ignore03:color_break, color:block_blue, count:3, val:0.1, animation:change_block]</v>
      </c>
      <c r="U83" s="63">
        <f t="shared" si="54"/>
        <v>9</v>
      </c>
      <c r="V83" s="63">
        <f t="shared" si="55"/>
        <v>22</v>
      </c>
      <c r="W83" s="63">
        <f t="shared" si="56"/>
        <v>31</v>
      </c>
      <c r="X83" s="63">
        <f t="shared" si="57"/>
        <v>37</v>
      </c>
      <c r="Y83" s="63" t="str">
        <f>IFERROR(VLOOKUP(MID(T83,W83,X83-W83),[5]skilldef!$C:$D,2,FALSE),"-") &amp; " / " &amp; IFERROR(VLOOKUP(MID(T83,U83,V83-U83),[5]skilldef!$A:$B,2,FALSE),"-")</f>
        <v>自分自身に / カウンター</v>
      </c>
      <c r="Z83" s="50"/>
      <c r="AA83" s="52"/>
      <c r="AB83" s="50"/>
    </row>
    <row r="84" spans="1:28" x14ac:dyDescent="0.15">
      <c r="A84" s="119">
        <v>40040382</v>
      </c>
      <c r="B84" s="105" t="s">
        <v>397</v>
      </c>
      <c r="C84" s="50">
        <v>3</v>
      </c>
      <c r="D84" s="50" t="s">
        <v>128</v>
      </c>
      <c r="E84" s="114" t="s">
        <v>305</v>
      </c>
      <c r="F84" s="114" t="s">
        <v>312</v>
      </c>
      <c r="G84" s="63" t="str">
        <f t="shared" si="43"/>
        <v xml:space="preserve">[effect:enemy_message, val1:1.4, val2:1.8, dead_type:suicide]    </v>
      </c>
      <c r="H84" s="63">
        <f t="shared" si="44"/>
        <v>9</v>
      </c>
      <c r="I84" s="63">
        <f t="shared" si="45"/>
        <v>22</v>
      </c>
      <c r="J84" s="63" t="e">
        <f t="shared" si="46"/>
        <v>#VALUE!</v>
      </c>
      <c r="K84" s="63">
        <f t="shared" si="47"/>
        <v>32</v>
      </c>
      <c r="L84" s="63" t="str">
        <f>IFERROR(VLOOKUP(MID(G84,J84,K84-J84),[5]skilldef!$C:$D,2,FALSE),"-") &amp; " / " &amp; IFERROR(VLOOKUP(MID(G84,H84,I84-H84),[5]skilldef!$A:$B,2,FALSE),"-")</f>
        <v>- / -</v>
      </c>
      <c r="M84" s="63" t="str">
        <f t="shared" si="48"/>
        <v>none</v>
      </c>
      <c r="N84" s="48" t="str">
        <f t="shared" si="74"/>
        <v>none</v>
      </c>
      <c r="O84" s="63" t="e">
        <f t="shared" si="49"/>
        <v>#VALUE!</v>
      </c>
      <c r="P84" s="63">
        <f t="shared" si="50"/>
        <v>4</v>
      </c>
      <c r="Q84" s="63" t="e">
        <f t="shared" si="51"/>
        <v>#VALUE!</v>
      </c>
      <c r="R84" s="63" t="e">
        <f t="shared" si="52"/>
        <v>#VALUE!</v>
      </c>
      <c r="S84" s="63" t="str">
        <f>IFERROR(VLOOKUP(MID(N84,Q84,R84-Q84),[5]skilldef!$C:$D,2,FALSE),"-") &amp; " / " &amp; IFERROR(VLOOKUP(MID(N84,O84,P84-O84),[5]skilldef!$A:$B,2,FALSE),"-")</f>
        <v>- / -</v>
      </c>
      <c r="T84" s="48" t="str">
        <f t="shared" si="53"/>
        <v>none</v>
      </c>
      <c r="U84" s="63" t="e">
        <f t="shared" si="54"/>
        <v>#VALUE!</v>
      </c>
      <c r="V84" s="63">
        <f t="shared" si="55"/>
        <v>4</v>
      </c>
      <c r="W84" s="63" t="e">
        <f t="shared" si="56"/>
        <v>#VALUE!</v>
      </c>
      <c r="X84" s="63" t="e">
        <f t="shared" si="57"/>
        <v>#VALUE!</v>
      </c>
      <c r="Y84" s="63" t="str">
        <f>IFERROR(VLOOKUP(MID(T84,W84,X84-W84),[5]skilldef!$C:$D,2,FALSE),"-") &amp; " / " &amp; IFERROR(VLOOKUP(MID(T84,U84,V84-U84),[5]skilldef!$A:$B,2,FALSE),"-")</f>
        <v>- / -</v>
      </c>
      <c r="Z84" s="50"/>
      <c r="AA84" s="52"/>
      <c r="AB84" s="50"/>
    </row>
    <row r="85" spans="1:28" x14ac:dyDescent="0.15">
      <c r="A85" s="119">
        <v>40040383</v>
      </c>
      <c r="B85" s="105" t="s">
        <v>362</v>
      </c>
      <c r="C85" s="50">
        <v>3</v>
      </c>
      <c r="D85" s="50" t="s">
        <v>128</v>
      </c>
      <c r="E85" s="114" t="s">
        <v>306</v>
      </c>
      <c r="F85" s="114" t="s">
        <v>361</v>
      </c>
      <c r="G85" s="63" t="str">
        <f t="shared" si="43"/>
        <v xml:space="preserve">[effect:enemy_message, val1:1, val2:1.8, dead_type:suicide]    </v>
      </c>
      <c r="H85" s="63">
        <f t="shared" si="44"/>
        <v>9</v>
      </c>
      <c r="I85" s="63">
        <f t="shared" si="45"/>
        <v>22</v>
      </c>
      <c r="J85" s="63" t="e">
        <f t="shared" si="46"/>
        <v>#VALUE!</v>
      </c>
      <c r="K85" s="63">
        <f t="shared" si="47"/>
        <v>30</v>
      </c>
      <c r="L85" s="63" t="str">
        <f>IFERROR(VLOOKUP(MID(G85,J85,K85-J85),[5]skilldef!$C:$D,2,FALSE),"-") &amp; " / " &amp; IFERROR(VLOOKUP(MID(G85,H85,I85-H85),[5]skilldef!$A:$B,2,FALSE),"-")</f>
        <v>- / -</v>
      </c>
      <c r="M85" s="63" t="str">
        <f t="shared" si="48"/>
        <v>none</v>
      </c>
      <c r="N85" s="48" t="str">
        <f t="shared" si="74"/>
        <v>none</v>
      </c>
      <c r="O85" s="63" t="e">
        <f t="shared" si="49"/>
        <v>#VALUE!</v>
      </c>
      <c r="P85" s="63">
        <f t="shared" si="50"/>
        <v>4</v>
      </c>
      <c r="Q85" s="63" t="e">
        <f t="shared" si="51"/>
        <v>#VALUE!</v>
      </c>
      <c r="R85" s="63" t="e">
        <f t="shared" si="52"/>
        <v>#VALUE!</v>
      </c>
      <c r="S85" s="63" t="str">
        <f>IFERROR(VLOOKUP(MID(N85,Q85,R85-Q85),[5]skilldef!$C:$D,2,FALSE),"-") &amp; " / " &amp; IFERROR(VLOOKUP(MID(N85,O85,P85-O85),[5]skilldef!$A:$B,2,FALSE),"-")</f>
        <v>- / -</v>
      </c>
      <c r="T85" s="48" t="str">
        <f t="shared" si="53"/>
        <v>none</v>
      </c>
      <c r="U85" s="63" t="e">
        <f t="shared" si="54"/>
        <v>#VALUE!</v>
      </c>
      <c r="V85" s="63">
        <f t="shared" si="55"/>
        <v>4</v>
      </c>
      <c r="W85" s="63" t="e">
        <f t="shared" si="56"/>
        <v>#VALUE!</v>
      </c>
      <c r="X85" s="63" t="e">
        <f t="shared" si="57"/>
        <v>#VALUE!</v>
      </c>
      <c r="Y85" s="63" t="str">
        <f>IFERROR(VLOOKUP(MID(T85,W85,X85-W85),[5]skilldef!$C:$D,2,FALSE),"-") &amp; " / " &amp; IFERROR(VLOOKUP(MID(T85,U85,V85-U85),[5]skilldef!$A:$B,2,FALSE),"-")</f>
        <v>- / -</v>
      </c>
      <c r="Z85" s="50"/>
      <c r="AA85" s="52"/>
      <c r="AB85" s="50"/>
    </row>
    <row r="86" spans="1:28" x14ac:dyDescent="0.15">
      <c r="A86" s="119">
        <v>40040384</v>
      </c>
      <c r="B86" s="105" t="s">
        <v>402</v>
      </c>
      <c r="C86" s="50">
        <v>3</v>
      </c>
      <c r="D86" s="50" t="s">
        <v>128</v>
      </c>
      <c r="E86" s="114" t="s">
        <v>307</v>
      </c>
      <c r="F86" s="114" t="s">
        <v>308</v>
      </c>
      <c r="G86" s="63" t="str">
        <f t="shared" si="43"/>
        <v xml:space="preserve">[effect:enemy_message, val1:1.8, val2:1.8, dead_type:suicide]    </v>
      </c>
      <c r="H86" s="63">
        <f t="shared" si="44"/>
        <v>9</v>
      </c>
      <c r="I86" s="63">
        <f t="shared" si="45"/>
        <v>22</v>
      </c>
      <c r="J86" s="63" t="e">
        <f t="shared" si="46"/>
        <v>#VALUE!</v>
      </c>
      <c r="K86" s="63">
        <f t="shared" si="47"/>
        <v>32</v>
      </c>
      <c r="L86" s="63" t="str">
        <f>IFERROR(VLOOKUP(MID(G86,J86,K86-J86),[5]skilldef!$C:$D,2,FALSE),"-") &amp; " / " &amp; IFERROR(VLOOKUP(MID(G86,H86,I86-H86),[5]skilldef!$A:$B,2,FALSE),"-")</f>
        <v>- / -</v>
      </c>
      <c r="M86" s="63" t="str">
        <f t="shared" si="48"/>
        <v>none</v>
      </c>
      <c r="N86" s="48" t="str">
        <f t="shared" si="74"/>
        <v>none</v>
      </c>
      <c r="O86" s="63" t="e">
        <f t="shared" si="49"/>
        <v>#VALUE!</v>
      </c>
      <c r="P86" s="63">
        <f t="shared" si="50"/>
        <v>4</v>
      </c>
      <c r="Q86" s="63" t="e">
        <f t="shared" si="51"/>
        <v>#VALUE!</v>
      </c>
      <c r="R86" s="63" t="e">
        <f t="shared" si="52"/>
        <v>#VALUE!</v>
      </c>
      <c r="S86" s="63" t="str">
        <f>IFERROR(VLOOKUP(MID(N86,Q86,R86-Q86),[5]skilldef!$C:$D,2,FALSE),"-") &amp; " / " &amp; IFERROR(VLOOKUP(MID(N86,O86,P86-O86),[5]skilldef!$A:$B,2,FALSE),"-")</f>
        <v>- / -</v>
      </c>
      <c r="T86" s="48" t="str">
        <f t="shared" si="53"/>
        <v>none</v>
      </c>
      <c r="U86" s="63" t="e">
        <f t="shared" si="54"/>
        <v>#VALUE!</v>
      </c>
      <c r="V86" s="63">
        <f t="shared" si="55"/>
        <v>4</v>
      </c>
      <c r="W86" s="63" t="e">
        <f t="shared" si="56"/>
        <v>#VALUE!</v>
      </c>
      <c r="X86" s="63" t="e">
        <f t="shared" si="57"/>
        <v>#VALUE!</v>
      </c>
      <c r="Y86" s="63" t="str">
        <f>IFERROR(VLOOKUP(MID(T86,W86,X86-W86),[5]skilldef!$C:$D,2,FALSE),"-") &amp; " / " &amp; IFERROR(VLOOKUP(MID(T86,U86,V86-U86),[5]skilldef!$A:$B,2,FALSE),"-")</f>
        <v>- / -</v>
      </c>
      <c r="Z86" s="50"/>
      <c r="AA86" s="52"/>
      <c r="AB86" s="50"/>
    </row>
    <row r="87" spans="1:28" ht="28" x14ac:dyDescent="0.15">
      <c r="A87" s="119">
        <v>40040385</v>
      </c>
      <c r="B87" s="105" t="s">
        <v>398</v>
      </c>
      <c r="C87" s="50">
        <v>3</v>
      </c>
      <c r="D87" s="50" t="s">
        <v>128</v>
      </c>
      <c r="E87" s="114" t="s">
        <v>311</v>
      </c>
      <c r="F87" s="114" t="s">
        <v>310</v>
      </c>
      <c r="G87" s="63" t="str">
        <f t="shared" ref="G87:G89" si="75">IFERROR(LEFT(B87,FIND("],",B87)),B87)</f>
        <v>[effect:enemy_message, val1:1.8, val2:1.8]</v>
      </c>
      <c r="H87" s="63">
        <f t="shared" ref="H87:H89" si="76">FIND("effect:",G87)+7</f>
        <v>9</v>
      </c>
      <c r="I87" s="63">
        <f t="shared" ref="I87:I89" si="77">IFERROR(FIND(",",G87),LEN(G87))</f>
        <v>22</v>
      </c>
      <c r="J87" s="63" t="e">
        <f t="shared" ref="J87:J89" si="78">FIND("target:",G87)+7</f>
        <v>#VALUE!</v>
      </c>
      <c r="K87" s="63">
        <f t="shared" ref="K87:K89" si="79">FIND(",",G87,I87+1)</f>
        <v>32</v>
      </c>
      <c r="L87" s="63" t="str">
        <f>IFERROR(VLOOKUP(MID(G87,J87,K87-J87),[5]skilldef!$C:$D,2,FALSE),"-") &amp; " / " &amp; IFERROR(VLOOKUP(MID(G87,H87,I87-H87),[5]skilldef!$A:$B,2,FALSE),"-")</f>
        <v>- / -</v>
      </c>
      <c r="M87" s="63" t="str">
        <f t="shared" ref="M87:M89" si="80">IFERROR(RIGHT(B87,LEN(B87)-FIND("],",B87)-1),"none")</f>
        <v xml:space="preserve">[effect:suicide, target:enemy_all, val:1, dead_type:escape]    </v>
      </c>
      <c r="N87" s="48" t="str">
        <f t="shared" si="74"/>
        <v xml:space="preserve">[effect:suicide, target:enemy_all, val:1, dead_type:escape]    </v>
      </c>
      <c r="O87" s="63">
        <f t="shared" ref="O87:O89" si="81">FIND("effect:",N87)+7</f>
        <v>9</v>
      </c>
      <c r="P87" s="63">
        <f t="shared" ref="P87:P89" si="82">IFERROR(FIND(",",N87),LEN(N87))</f>
        <v>16</v>
      </c>
      <c r="Q87" s="63">
        <f t="shared" ref="Q87:Q89" si="83">FIND("target:",N87)+7</f>
        <v>25</v>
      </c>
      <c r="R87" s="63">
        <f t="shared" ref="R87:R89" si="84">FIND(",",N87,P87+1)</f>
        <v>34</v>
      </c>
      <c r="S87" s="63" t="str">
        <f>IFERROR(VLOOKUP(MID(N87,Q87,R87-Q87),[5]skilldef!$C:$D,2,FALSE),"-") &amp; " / " &amp; IFERROR(VLOOKUP(MID(N87,O87,P87-O87),[5]skilldef!$A:$B,2,FALSE),"-")</f>
        <v>敵全体に / -</v>
      </c>
      <c r="T87" s="48" t="str">
        <f t="shared" ref="T87:T89" si="85">IFERROR(RIGHT(M87,LEN(M87)-FIND("],",M87)-1),"none")</f>
        <v>none</v>
      </c>
      <c r="U87" s="63" t="e">
        <f t="shared" ref="U87:U89" si="86">FIND("effect:",T87)+7</f>
        <v>#VALUE!</v>
      </c>
      <c r="V87" s="63">
        <f t="shared" ref="V87:V89" si="87">IFERROR(FIND(",",T87),LEN(T87))</f>
        <v>4</v>
      </c>
      <c r="W87" s="63" t="e">
        <f t="shared" ref="W87:W89" si="88">FIND("target:",T87)+7</f>
        <v>#VALUE!</v>
      </c>
      <c r="X87" s="63" t="e">
        <f t="shared" ref="X87:X89" si="89">FIND(",",T87,V87+1)</f>
        <v>#VALUE!</v>
      </c>
      <c r="Y87" s="63" t="str">
        <f>IFERROR(VLOOKUP(MID(T87,W87,X87-W87),[5]skilldef!$C:$D,2,FALSE),"-") &amp; " / " &amp; IFERROR(VLOOKUP(MID(T87,U87,V87-U87),[5]skilldef!$A:$B,2,FALSE),"-")</f>
        <v>- / -</v>
      </c>
      <c r="Z87" s="50"/>
      <c r="AA87" s="52"/>
      <c r="AB87" s="50"/>
    </row>
    <row r="88" spans="1:28" ht="28" x14ac:dyDescent="0.15">
      <c r="A88" s="119">
        <v>40040386</v>
      </c>
      <c r="B88" s="105" t="s">
        <v>318</v>
      </c>
      <c r="C88" s="50">
        <v>3</v>
      </c>
      <c r="D88" s="50" t="s">
        <v>128</v>
      </c>
      <c r="E88" s="114" t="s">
        <v>313</v>
      </c>
      <c r="F88" s="114"/>
      <c r="G88" s="63" t="str">
        <f t="shared" si="75"/>
        <v>[effect:enemy_message, val1:1, val2:0]</v>
      </c>
      <c r="H88" s="63">
        <f t="shared" si="76"/>
        <v>9</v>
      </c>
      <c r="I88" s="63">
        <f t="shared" si="77"/>
        <v>22</v>
      </c>
      <c r="J88" s="63" t="e">
        <f t="shared" si="78"/>
        <v>#VALUE!</v>
      </c>
      <c r="K88" s="63">
        <f t="shared" si="79"/>
        <v>30</v>
      </c>
      <c r="L88" s="63" t="str">
        <f>IFERROR(VLOOKUP(MID(G88,J88,K88-J88),[5]skilldef!$C:$D,2,FALSE),"-") &amp; " / " &amp; IFERROR(VLOOKUP(MID(G88,H88,I88-H88),[5]skilldef!$A:$B,2,FALSE),"-")</f>
        <v>- / -</v>
      </c>
      <c r="M88" s="63" t="str">
        <f t="shared" si="80"/>
        <v>[effect:fix_speed, target:enemy_all, turn:1]</v>
      </c>
      <c r="N88" s="48" t="str">
        <f t="shared" si="74"/>
        <v>[effect:fix_speed, target:enemy_all, turn:1]</v>
      </c>
      <c r="O88" s="63">
        <f t="shared" si="81"/>
        <v>9</v>
      </c>
      <c r="P88" s="63">
        <f t="shared" si="82"/>
        <v>18</v>
      </c>
      <c r="Q88" s="63">
        <f t="shared" si="83"/>
        <v>27</v>
      </c>
      <c r="R88" s="63">
        <f t="shared" si="84"/>
        <v>36</v>
      </c>
      <c r="S88" s="63" t="str">
        <f>IFERROR(VLOOKUP(MID(N88,Q88,R88-Q88),[5]skilldef!$C:$D,2,FALSE),"-") &amp; " / " &amp; IFERROR(VLOOKUP(MID(N88,O88,P88-O88),[5]skilldef!$A:$B,2,FALSE),"-")</f>
        <v>敵全体に / 行動値設定</v>
      </c>
      <c r="T88" s="48" t="str">
        <f t="shared" si="85"/>
        <v>none</v>
      </c>
      <c r="U88" s="63" t="e">
        <f t="shared" si="86"/>
        <v>#VALUE!</v>
      </c>
      <c r="V88" s="63">
        <f t="shared" si="87"/>
        <v>4</v>
      </c>
      <c r="W88" s="63" t="e">
        <f t="shared" si="88"/>
        <v>#VALUE!</v>
      </c>
      <c r="X88" s="63" t="e">
        <f t="shared" si="89"/>
        <v>#VALUE!</v>
      </c>
      <c r="Y88" s="63" t="str">
        <f>IFERROR(VLOOKUP(MID(T88,W88,X88-W88),[5]skilldef!$C:$D,2,FALSE),"-") &amp; " / " &amp; IFERROR(VLOOKUP(MID(T88,U88,V88-U88),[5]skilldef!$A:$B,2,FALSE),"-")</f>
        <v>- / -</v>
      </c>
      <c r="Z88" s="50"/>
      <c r="AA88" s="52"/>
      <c r="AB88" s="50"/>
    </row>
    <row r="89" spans="1:28" x14ac:dyDescent="0.15">
      <c r="A89" s="119">
        <v>40040387</v>
      </c>
      <c r="B89" s="105" t="s">
        <v>399</v>
      </c>
      <c r="C89" s="50">
        <v>3</v>
      </c>
      <c r="D89" s="50" t="s">
        <v>128</v>
      </c>
      <c r="E89" s="114" t="s">
        <v>363</v>
      </c>
      <c r="F89" s="114" t="s">
        <v>314</v>
      </c>
      <c r="G89" s="63" t="str">
        <f t="shared" si="75"/>
        <v>[effect:enemy_message, val1:1.4, val2:1.8]</v>
      </c>
      <c r="H89" s="63">
        <f t="shared" si="76"/>
        <v>9</v>
      </c>
      <c r="I89" s="63">
        <f t="shared" si="77"/>
        <v>22</v>
      </c>
      <c r="J89" s="63" t="e">
        <f t="shared" si="78"/>
        <v>#VALUE!</v>
      </c>
      <c r="K89" s="63">
        <f t="shared" si="79"/>
        <v>32</v>
      </c>
      <c r="L89" s="63" t="str">
        <f>IFERROR(VLOOKUP(MID(G89,J89,K89-J89),[5]skilldef!$C:$D,2,FALSE),"-") &amp; " / " &amp; IFERROR(VLOOKUP(MID(G89,H89,I89-H89),[5]skilldef!$A:$B,2,FALSE),"-")</f>
        <v>- / -</v>
      </c>
      <c r="M89" s="63" t="str">
        <f t="shared" si="80"/>
        <v>none</v>
      </c>
      <c r="N89" s="48" t="str">
        <f>IFERROR(LEFT(M89,FIND("],",M89)+S97),M89)</f>
        <v>none</v>
      </c>
      <c r="O89" s="63" t="e">
        <f t="shared" si="81"/>
        <v>#VALUE!</v>
      </c>
      <c r="P89" s="63">
        <f t="shared" si="82"/>
        <v>4</v>
      </c>
      <c r="Q89" s="63" t="e">
        <f t="shared" si="83"/>
        <v>#VALUE!</v>
      </c>
      <c r="R89" s="63" t="e">
        <f t="shared" si="84"/>
        <v>#VALUE!</v>
      </c>
      <c r="S89" s="63" t="str">
        <f>IFERROR(VLOOKUP(MID(N89,Q89,R89-Q89),[5]skilldef!$C:$D,2,FALSE),"-") &amp; " / " &amp; IFERROR(VLOOKUP(MID(N89,O89,P89-O89),[5]skilldef!$A:$B,2,FALSE),"-")</f>
        <v>- / -</v>
      </c>
      <c r="T89" s="48" t="str">
        <f t="shared" si="85"/>
        <v>none</v>
      </c>
      <c r="U89" s="63" t="e">
        <f t="shared" si="86"/>
        <v>#VALUE!</v>
      </c>
      <c r="V89" s="63">
        <f t="shared" si="87"/>
        <v>4</v>
      </c>
      <c r="W89" s="63" t="e">
        <f t="shared" si="88"/>
        <v>#VALUE!</v>
      </c>
      <c r="X89" s="63" t="e">
        <f t="shared" si="89"/>
        <v>#VALUE!</v>
      </c>
      <c r="Y89" s="63" t="str">
        <f>IFERROR(VLOOKUP(MID(T89,W89,X89-W89),[5]skilldef!$C:$D,2,FALSE),"-") &amp; " / " &amp; IFERROR(VLOOKUP(MID(T89,U89,V89-U89),[5]skilldef!$A:$B,2,FALSE),"-")</f>
        <v>- / -</v>
      </c>
      <c r="Z89" s="50"/>
      <c r="AA89" s="52"/>
      <c r="AB8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2"/>
  <sheetViews>
    <sheetView showGridLines="0" workbookViewId="0">
      <pane ySplit="1" topLeftCell="A2" activePane="bottomLeft" state="frozenSplit"/>
      <selection pane="bottomLeft" activeCell="F30" sqref="F30"/>
    </sheetView>
  </sheetViews>
  <sheetFormatPr baseColWidth="12" defaultColWidth="12.83203125" defaultRowHeight="14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x14ac:dyDescent="0.15">
      <c r="A2" s="111">
        <v>40040600</v>
      </c>
      <c r="B2" s="111">
        <v>1</v>
      </c>
      <c r="C2" s="111">
        <v>98</v>
      </c>
      <c r="D2" s="111">
        <v>100</v>
      </c>
      <c r="E2" s="111" t="s">
        <v>89</v>
      </c>
      <c r="F2" s="111" t="s">
        <v>90</v>
      </c>
      <c r="G2" s="111">
        <v>1</v>
      </c>
      <c r="H2" s="111" t="s">
        <v>90</v>
      </c>
      <c r="I2" s="111" t="s">
        <v>53</v>
      </c>
      <c r="J2" s="115">
        <f t="shared" ref="J2" si="0">D2</f>
        <v>100</v>
      </c>
    </row>
    <row r="3" spans="1:11" x14ac:dyDescent="0.15">
      <c r="A3" s="111">
        <v>40040601</v>
      </c>
      <c r="B3" s="111">
        <v>1</v>
      </c>
      <c r="C3" s="111">
        <v>99</v>
      </c>
      <c r="D3" s="111">
        <v>100</v>
      </c>
      <c r="E3" s="111" t="s">
        <v>53</v>
      </c>
      <c r="F3" s="111" t="s">
        <v>90</v>
      </c>
      <c r="G3" s="111">
        <v>1</v>
      </c>
      <c r="H3" s="111" t="s">
        <v>90</v>
      </c>
      <c r="I3" s="111">
        <v>1250</v>
      </c>
      <c r="J3" s="115">
        <f t="shared" ref="J3:J48" si="1">D3</f>
        <v>100</v>
      </c>
    </row>
    <row r="4" spans="1:11" x14ac:dyDescent="0.15">
      <c r="A4" s="111">
        <v>40040602</v>
      </c>
      <c r="B4" s="111">
        <v>1</v>
      </c>
      <c r="C4" s="111">
        <v>100</v>
      </c>
      <c r="D4" s="111">
        <v>100</v>
      </c>
      <c r="E4" s="111" t="s">
        <v>53</v>
      </c>
      <c r="F4" s="111" t="s">
        <v>90</v>
      </c>
      <c r="G4" s="111">
        <v>1</v>
      </c>
      <c r="H4" s="111" t="s">
        <v>90</v>
      </c>
      <c r="I4" s="111">
        <v>1251</v>
      </c>
      <c r="J4" s="115">
        <f t="shared" ref="J4" si="2">D4</f>
        <v>100</v>
      </c>
    </row>
    <row r="5" spans="1:11" x14ac:dyDescent="0.15">
      <c r="A5" s="111">
        <v>40040603</v>
      </c>
      <c r="B5" s="111">
        <v>1</v>
      </c>
      <c r="C5" s="111">
        <v>98</v>
      </c>
      <c r="D5" s="111">
        <v>100</v>
      </c>
      <c r="E5" s="111" t="s">
        <v>53</v>
      </c>
      <c r="F5" s="111" t="s">
        <v>90</v>
      </c>
      <c r="G5" s="111">
        <v>1</v>
      </c>
      <c r="H5" s="111" t="s">
        <v>90</v>
      </c>
      <c r="I5" s="111" t="s">
        <v>263</v>
      </c>
      <c r="J5" s="115">
        <f t="shared" si="1"/>
        <v>100</v>
      </c>
    </row>
    <row r="6" spans="1:11" x14ac:dyDescent="0.15">
      <c r="A6" s="111">
        <v>40040604</v>
      </c>
      <c r="B6" s="111">
        <v>1</v>
      </c>
      <c r="C6" s="111">
        <v>99</v>
      </c>
      <c r="D6" s="111">
        <v>100</v>
      </c>
      <c r="E6" s="111" t="s">
        <v>53</v>
      </c>
      <c r="F6" s="111" t="s">
        <v>90</v>
      </c>
      <c r="G6" s="111">
        <v>1</v>
      </c>
      <c r="H6" s="111" t="s">
        <v>90</v>
      </c>
      <c r="I6" s="111">
        <v>1250</v>
      </c>
      <c r="J6" s="115">
        <f t="shared" ref="J6" si="3">D6</f>
        <v>100</v>
      </c>
    </row>
    <row r="7" spans="1:11" x14ac:dyDescent="0.15">
      <c r="A7" s="111">
        <v>40040605</v>
      </c>
      <c r="B7" s="111">
        <v>1</v>
      </c>
      <c r="C7" s="111">
        <v>100</v>
      </c>
      <c r="D7" s="111">
        <v>100</v>
      </c>
      <c r="E7" s="111" t="s">
        <v>53</v>
      </c>
      <c r="F7" s="111" t="s">
        <v>90</v>
      </c>
      <c r="G7" s="111">
        <v>1</v>
      </c>
      <c r="H7" s="111" t="s">
        <v>90</v>
      </c>
      <c r="I7" s="111">
        <v>1251</v>
      </c>
      <c r="J7" s="115">
        <f t="shared" si="1"/>
        <v>100</v>
      </c>
    </row>
    <row r="8" spans="1:11" x14ac:dyDescent="0.15">
      <c r="A8" s="111">
        <v>40040606</v>
      </c>
      <c r="B8" s="108">
        <v>0</v>
      </c>
      <c r="C8" s="108">
        <v>100</v>
      </c>
      <c r="D8" s="108">
        <v>100</v>
      </c>
      <c r="E8" s="108" t="s">
        <v>53</v>
      </c>
      <c r="F8" s="108" t="s">
        <v>90</v>
      </c>
      <c r="G8" s="108">
        <v>1</v>
      </c>
      <c r="H8" s="108" t="s">
        <v>90</v>
      </c>
      <c r="I8" s="108">
        <v>375</v>
      </c>
      <c r="J8" s="115">
        <f t="shared" si="1"/>
        <v>100</v>
      </c>
    </row>
    <row r="9" spans="1:11" x14ac:dyDescent="0.15">
      <c r="A9" s="111">
        <v>40040607</v>
      </c>
      <c r="B9" s="108">
        <v>0</v>
      </c>
      <c r="C9" s="108">
        <v>99</v>
      </c>
      <c r="D9" s="108">
        <v>100</v>
      </c>
      <c r="E9" s="108" t="s">
        <v>53</v>
      </c>
      <c r="F9" s="108" t="s">
        <v>90</v>
      </c>
      <c r="G9" s="108">
        <v>1</v>
      </c>
      <c r="H9" s="108" t="s">
        <v>90</v>
      </c>
      <c r="I9" s="108">
        <v>375</v>
      </c>
      <c r="J9" s="115">
        <f t="shared" si="1"/>
        <v>100</v>
      </c>
    </row>
    <row r="10" spans="1:11" x14ac:dyDescent="0.15">
      <c r="A10" s="111">
        <v>40040608</v>
      </c>
      <c r="B10" s="108">
        <v>0</v>
      </c>
      <c r="C10" s="108">
        <v>98</v>
      </c>
      <c r="D10" s="108">
        <v>100</v>
      </c>
      <c r="E10" s="108" t="s">
        <v>53</v>
      </c>
      <c r="F10" s="108" t="s">
        <v>90</v>
      </c>
      <c r="G10" s="108">
        <v>1</v>
      </c>
      <c r="H10" s="108" t="s">
        <v>90</v>
      </c>
      <c r="I10" s="108">
        <v>375</v>
      </c>
      <c r="J10" s="115">
        <f t="shared" si="1"/>
        <v>100</v>
      </c>
    </row>
    <row r="11" spans="1:11" x14ac:dyDescent="0.15">
      <c r="A11" s="111">
        <v>40040609</v>
      </c>
      <c r="B11" s="108">
        <v>0</v>
      </c>
      <c r="C11" s="108">
        <v>97</v>
      </c>
      <c r="D11" s="108">
        <v>100</v>
      </c>
      <c r="E11" s="108" t="s">
        <v>53</v>
      </c>
      <c r="F11" s="108" t="s">
        <v>90</v>
      </c>
      <c r="G11" s="108">
        <v>1</v>
      </c>
      <c r="H11" s="108" t="s">
        <v>90</v>
      </c>
      <c r="I11" s="108">
        <v>375</v>
      </c>
      <c r="J11" s="115">
        <f t="shared" si="1"/>
        <v>100</v>
      </c>
    </row>
    <row r="12" spans="1:11" x14ac:dyDescent="0.15">
      <c r="A12" s="111">
        <v>40040610</v>
      </c>
      <c r="B12" s="108">
        <v>0</v>
      </c>
      <c r="C12" s="108">
        <v>96</v>
      </c>
      <c r="D12" s="108">
        <v>25</v>
      </c>
      <c r="E12" s="108" t="s">
        <v>53</v>
      </c>
      <c r="F12" s="108" t="s">
        <v>90</v>
      </c>
      <c r="G12" s="108">
        <v>2</v>
      </c>
      <c r="H12" s="108" t="s">
        <v>90</v>
      </c>
      <c r="I12" s="108" t="s">
        <v>53</v>
      </c>
      <c r="J12" s="115">
        <f t="shared" si="1"/>
        <v>25</v>
      </c>
    </row>
    <row r="13" spans="1:11" x14ac:dyDescent="0.15">
      <c r="A13" s="111">
        <v>40040611</v>
      </c>
      <c r="B13" s="108">
        <v>0</v>
      </c>
      <c r="C13" s="108">
        <v>95</v>
      </c>
      <c r="D13" s="108">
        <v>33</v>
      </c>
      <c r="E13" s="108" t="s">
        <v>53</v>
      </c>
      <c r="F13" s="108" t="s">
        <v>90</v>
      </c>
      <c r="G13" s="108">
        <v>2</v>
      </c>
      <c r="H13" s="108" t="s">
        <v>90</v>
      </c>
      <c r="I13" s="108" t="s">
        <v>53</v>
      </c>
      <c r="J13" s="115">
        <f t="shared" si="1"/>
        <v>33</v>
      </c>
    </row>
    <row r="14" spans="1:11" x14ac:dyDescent="0.15">
      <c r="A14" s="111">
        <v>40040612</v>
      </c>
      <c r="B14" s="108">
        <v>0</v>
      </c>
      <c r="C14" s="108">
        <v>94</v>
      </c>
      <c r="D14" s="108">
        <v>50</v>
      </c>
      <c r="E14" s="108" t="s">
        <v>53</v>
      </c>
      <c r="F14" s="108" t="s">
        <v>90</v>
      </c>
      <c r="G14" s="108">
        <v>2</v>
      </c>
      <c r="H14" s="108" t="s">
        <v>90</v>
      </c>
      <c r="I14" s="108" t="s">
        <v>53</v>
      </c>
      <c r="J14" s="115">
        <f t="shared" si="1"/>
        <v>50</v>
      </c>
    </row>
    <row r="15" spans="1:11" x14ac:dyDescent="0.15">
      <c r="A15" s="111">
        <v>40040613</v>
      </c>
      <c r="B15" s="110">
        <v>0</v>
      </c>
      <c r="C15" s="110">
        <v>100</v>
      </c>
      <c r="D15" s="110">
        <v>100</v>
      </c>
      <c r="E15" s="110" t="s">
        <v>53</v>
      </c>
      <c r="F15" s="110" t="s">
        <v>90</v>
      </c>
      <c r="G15" s="110">
        <v>1</v>
      </c>
      <c r="H15" s="110" t="s">
        <v>90</v>
      </c>
      <c r="I15" s="110">
        <v>375</v>
      </c>
      <c r="J15" s="115">
        <f t="shared" si="1"/>
        <v>100</v>
      </c>
    </row>
    <row r="16" spans="1:11" x14ac:dyDescent="0.15">
      <c r="A16" s="111">
        <v>40040614</v>
      </c>
      <c r="B16" s="110">
        <v>0</v>
      </c>
      <c r="C16" s="110">
        <v>99</v>
      </c>
      <c r="D16" s="110">
        <v>100</v>
      </c>
      <c r="E16" s="110" t="s">
        <v>53</v>
      </c>
      <c r="F16" s="110" t="s">
        <v>90</v>
      </c>
      <c r="G16" s="110">
        <v>1</v>
      </c>
      <c r="H16" s="110" t="s">
        <v>90</v>
      </c>
      <c r="I16" s="110">
        <v>375</v>
      </c>
      <c r="J16" s="115">
        <f t="shared" si="1"/>
        <v>100</v>
      </c>
    </row>
    <row r="17" spans="1:10" x14ac:dyDescent="0.15">
      <c r="A17" s="111">
        <v>40040615</v>
      </c>
      <c r="B17" s="110">
        <v>0</v>
      </c>
      <c r="C17" s="110">
        <v>98</v>
      </c>
      <c r="D17" s="110">
        <v>100</v>
      </c>
      <c r="E17" s="110" t="s">
        <v>53</v>
      </c>
      <c r="F17" s="110" t="s">
        <v>90</v>
      </c>
      <c r="G17" s="110">
        <v>1</v>
      </c>
      <c r="H17" s="110" t="s">
        <v>90</v>
      </c>
      <c r="I17" s="110">
        <v>375</v>
      </c>
      <c r="J17" s="115">
        <f t="shared" si="1"/>
        <v>100</v>
      </c>
    </row>
    <row r="18" spans="1:10" x14ac:dyDescent="0.15">
      <c r="A18" s="111">
        <v>40040616</v>
      </c>
      <c r="B18" s="110">
        <v>0</v>
      </c>
      <c r="C18" s="110">
        <v>97</v>
      </c>
      <c r="D18" s="110">
        <v>100</v>
      </c>
      <c r="E18" s="110" t="s">
        <v>53</v>
      </c>
      <c r="F18" s="110" t="s">
        <v>90</v>
      </c>
      <c r="G18" s="110">
        <v>1</v>
      </c>
      <c r="H18" s="110" t="s">
        <v>90</v>
      </c>
      <c r="I18" s="110">
        <v>375</v>
      </c>
      <c r="J18" s="115">
        <f t="shared" si="1"/>
        <v>100</v>
      </c>
    </row>
    <row r="19" spans="1:10" x14ac:dyDescent="0.15">
      <c r="A19" s="111">
        <v>40040617</v>
      </c>
      <c r="B19" s="110">
        <v>0</v>
      </c>
      <c r="C19" s="110">
        <v>96</v>
      </c>
      <c r="D19" s="110">
        <v>25</v>
      </c>
      <c r="E19" s="110" t="s">
        <v>53</v>
      </c>
      <c r="F19" s="110" t="s">
        <v>90</v>
      </c>
      <c r="G19" s="110">
        <v>2</v>
      </c>
      <c r="H19" s="110" t="s">
        <v>90</v>
      </c>
      <c r="I19" s="110" t="s">
        <v>53</v>
      </c>
      <c r="J19" s="115">
        <f t="shared" si="1"/>
        <v>25</v>
      </c>
    </row>
    <row r="20" spans="1:10" x14ac:dyDescent="0.15">
      <c r="A20" s="111">
        <v>40040618</v>
      </c>
      <c r="B20" s="110">
        <v>0</v>
      </c>
      <c r="C20" s="110">
        <v>95</v>
      </c>
      <c r="D20" s="110">
        <v>33</v>
      </c>
      <c r="E20" s="110" t="s">
        <v>53</v>
      </c>
      <c r="F20" s="110" t="s">
        <v>90</v>
      </c>
      <c r="G20" s="110">
        <v>2</v>
      </c>
      <c r="H20" s="110" t="s">
        <v>90</v>
      </c>
      <c r="I20" s="110" t="s">
        <v>53</v>
      </c>
      <c r="J20" s="115">
        <f t="shared" si="1"/>
        <v>33</v>
      </c>
    </row>
    <row r="21" spans="1:10" x14ac:dyDescent="0.15">
      <c r="A21" s="111">
        <v>40040619</v>
      </c>
      <c r="B21" s="110">
        <v>0</v>
      </c>
      <c r="C21" s="110">
        <v>94</v>
      </c>
      <c r="D21" s="110">
        <v>50</v>
      </c>
      <c r="E21" s="110" t="s">
        <v>53</v>
      </c>
      <c r="F21" s="110" t="s">
        <v>90</v>
      </c>
      <c r="G21" s="110">
        <v>2</v>
      </c>
      <c r="H21" s="110" t="s">
        <v>90</v>
      </c>
      <c r="I21" s="110" t="s">
        <v>53</v>
      </c>
      <c r="J21" s="115">
        <f t="shared" si="1"/>
        <v>50</v>
      </c>
    </row>
    <row r="22" spans="1:10" x14ac:dyDescent="0.15">
      <c r="A22" s="111">
        <v>40040620</v>
      </c>
      <c r="B22" s="111">
        <v>1</v>
      </c>
      <c r="C22" s="111">
        <v>99</v>
      </c>
      <c r="D22" s="111">
        <v>100</v>
      </c>
      <c r="E22" s="111" t="s">
        <v>53</v>
      </c>
      <c r="F22" s="111" t="s">
        <v>90</v>
      </c>
      <c r="G22" s="111">
        <v>1</v>
      </c>
      <c r="H22" s="111" t="s">
        <v>90</v>
      </c>
      <c r="I22" s="111">
        <v>1250</v>
      </c>
      <c r="J22" s="115">
        <f t="shared" si="1"/>
        <v>100</v>
      </c>
    </row>
    <row r="23" spans="1:10" x14ac:dyDescent="0.15">
      <c r="A23" s="111">
        <v>40040621</v>
      </c>
      <c r="B23" s="111">
        <v>1</v>
      </c>
      <c r="C23" s="111">
        <v>100</v>
      </c>
      <c r="D23" s="111">
        <v>100</v>
      </c>
      <c r="E23" s="111" t="s">
        <v>53</v>
      </c>
      <c r="F23" s="111" t="s">
        <v>90</v>
      </c>
      <c r="G23" s="111">
        <v>1</v>
      </c>
      <c r="H23" s="111" t="s">
        <v>90</v>
      </c>
      <c r="I23" s="111">
        <v>1251</v>
      </c>
      <c r="J23" s="115">
        <f t="shared" ref="J23" si="4">D23</f>
        <v>100</v>
      </c>
    </row>
    <row r="24" spans="1:10" x14ac:dyDescent="0.15">
      <c r="A24" s="111">
        <v>40040622</v>
      </c>
      <c r="B24" s="111">
        <v>1</v>
      </c>
      <c r="C24" s="111">
        <v>97</v>
      </c>
      <c r="D24" s="111">
        <v>100</v>
      </c>
      <c r="E24" s="111" t="s">
        <v>53</v>
      </c>
      <c r="F24" s="111" t="s">
        <v>90</v>
      </c>
      <c r="G24" s="111">
        <v>1</v>
      </c>
      <c r="H24" s="111" t="s">
        <v>90</v>
      </c>
      <c r="I24" s="111">
        <v>1242</v>
      </c>
      <c r="J24" s="115">
        <f t="shared" si="1"/>
        <v>100</v>
      </c>
    </row>
    <row r="25" spans="1:10" x14ac:dyDescent="0.15">
      <c r="A25" s="111">
        <v>40040623</v>
      </c>
      <c r="B25" s="111">
        <v>1</v>
      </c>
      <c r="C25" s="111">
        <v>98</v>
      </c>
      <c r="D25" s="111">
        <v>100</v>
      </c>
      <c r="E25" s="111" t="s">
        <v>53</v>
      </c>
      <c r="F25" s="111" t="s">
        <v>90</v>
      </c>
      <c r="G25" s="111">
        <v>1</v>
      </c>
      <c r="H25" s="111" t="s">
        <v>90</v>
      </c>
      <c r="I25" s="111">
        <v>1243</v>
      </c>
      <c r="J25" s="115">
        <f t="shared" ref="J25" si="5">D25</f>
        <v>100</v>
      </c>
    </row>
    <row r="26" spans="1:10" x14ac:dyDescent="0.15">
      <c r="A26" s="111">
        <v>40040624</v>
      </c>
      <c r="B26" s="111">
        <v>1</v>
      </c>
      <c r="C26" s="111">
        <v>96</v>
      </c>
      <c r="D26" s="111">
        <v>100</v>
      </c>
      <c r="E26" s="111" t="s">
        <v>53</v>
      </c>
      <c r="F26" s="111" t="s">
        <v>90</v>
      </c>
      <c r="G26" s="111">
        <v>1</v>
      </c>
      <c r="H26" s="111" t="s">
        <v>90</v>
      </c>
      <c r="I26" s="111" t="s">
        <v>53</v>
      </c>
      <c r="J26" s="115">
        <f t="shared" si="1"/>
        <v>100</v>
      </c>
    </row>
    <row r="27" spans="1:10" x14ac:dyDescent="0.15">
      <c r="A27" s="111">
        <v>40040625</v>
      </c>
      <c r="B27" s="112">
        <v>0</v>
      </c>
      <c r="C27" s="112">
        <v>95</v>
      </c>
      <c r="D27" s="112">
        <v>30</v>
      </c>
      <c r="E27" s="112" t="s">
        <v>53</v>
      </c>
      <c r="F27" s="112" t="s">
        <v>90</v>
      </c>
      <c r="G27" s="112">
        <v>4</v>
      </c>
      <c r="H27" s="112" t="s">
        <v>90</v>
      </c>
      <c r="I27" s="112" t="s">
        <v>53</v>
      </c>
      <c r="J27" s="115">
        <f t="shared" si="1"/>
        <v>30</v>
      </c>
    </row>
    <row r="28" spans="1:10" x14ac:dyDescent="0.15">
      <c r="A28" s="111">
        <v>40040626</v>
      </c>
      <c r="B28" s="112">
        <v>0</v>
      </c>
      <c r="C28" s="112">
        <v>94</v>
      </c>
      <c r="D28" s="112">
        <v>30</v>
      </c>
      <c r="E28" s="112" t="s">
        <v>53</v>
      </c>
      <c r="F28" s="112">
        <v>50</v>
      </c>
      <c r="G28" s="112">
        <v>1</v>
      </c>
      <c r="H28" s="112" t="s">
        <v>90</v>
      </c>
      <c r="I28" s="112" t="s">
        <v>53</v>
      </c>
      <c r="J28" s="115">
        <f t="shared" si="1"/>
        <v>30</v>
      </c>
    </row>
    <row r="29" spans="1:10" x14ac:dyDescent="0.15">
      <c r="A29" s="111">
        <v>40040627</v>
      </c>
      <c r="B29" s="112">
        <v>0</v>
      </c>
      <c r="C29" s="112">
        <v>93</v>
      </c>
      <c r="D29" s="112">
        <v>33</v>
      </c>
      <c r="E29" s="112">
        <v>74</v>
      </c>
      <c r="F29" s="112">
        <v>25</v>
      </c>
      <c r="G29" s="112">
        <v>1</v>
      </c>
      <c r="H29" s="112" t="s">
        <v>90</v>
      </c>
      <c r="I29" s="112" t="s">
        <v>53</v>
      </c>
      <c r="J29" s="115">
        <f t="shared" si="1"/>
        <v>33</v>
      </c>
    </row>
    <row r="30" spans="1:10" x14ac:dyDescent="0.15">
      <c r="A30" s="111">
        <v>40040628</v>
      </c>
      <c r="B30" s="112">
        <v>0</v>
      </c>
      <c r="C30" s="112">
        <v>92</v>
      </c>
      <c r="D30" s="112">
        <v>50</v>
      </c>
      <c r="E30" s="112">
        <v>49</v>
      </c>
      <c r="F30" s="112" t="s">
        <v>280</v>
      </c>
      <c r="G30" s="112">
        <v>1</v>
      </c>
      <c r="H30" s="112" t="s">
        <v>90</v>
      </c>
      <c r="I30" s="112" t="s">
        <v>53</v>
      </c>
      <c r="J30" s="115">
        <f t="shared" si="1"/>
        <v>50</v>
      </c>
    </row>
    <row r="31" spans="1:10" x14ac:dyDescent="0.15">
      <c r="A31" s="111">
        <v>40040629</v>
      </c>
      <c r="B31" s="109">
        <v>1</v>
      </c>
      <c r="C31" s="109">
        <v>100</v>
      </c>
      <c r="D31" s="109">
        <v>100</v>
      </c>
      <c r="E31" s="109" t="s">
        <v>53</v>
      </c>
      <c r="F31" s="109" t="s">
        <v>90</v>
      </c>
      <c r="G31" s="109">
        <v>1</v>
      </c>
      <c r="H31" s="109" t="s">
        <v>90</v>
      </c>
      <c r="I31" s="109" t="s">
        <v>53</v>
      </c>
      <c r="J31" s="115">
        <f t="shared" si="1"/>
        <v>100</v>
      </c>
    </row>
    <row r="32" spans="1:10" x14ac:dyDescent="0.15">
      <c r="A32" s="111">
        <v>40040630</v>
      </c>
      <c r="B32" s="110">
        <v>0</v>
      </c>
      <c r="C32" s="110">
        <v>99</v>
      </c>
      <c r="D32" s="110">
        <v>100</v>
      </c>
      <c r="E32" s="110" t="s">
        <v>53</v>
      </c>
      <c r="F32" s="110">
        <v>50</v>
      </c>
      <c r="G32" s="110">
        <v>1</v>
      </c>
      <c r="H32" s="110" t="s">
        <v>90</v>
      </c>
      <c r="I32" s="110" t="s">
        <v>53</v>
      </c>
      <c r="J32" s="115">
        <f t="shared" si="1"/>
        <v>100</v>
      </c>
    </row>
    <row r="33" spans="1:10" x14ac:dyDescent="0.15">
      <c r="A33" s="111">
        <v>40040631</v>
      </c>
      <c r="B33" s="110">
        <v>0</v>
      </c>
      <c r="C33" s="110">
        <v>98</v>
      </c>
      <c r="D33" s="110">
        <v>100</v>
      </c>
      <c r="E33" s="110" t="s">
        <v>53</v>
      </c>
      <c r="F33" s="110" t="s">
        <v>90</v>
      </c>
      <c r="G33" s="110">
        <v>1</v>
      </c>
      <c r="H33" s="110" t="s">
        <v>90</v>
      </c>
      <c r="I33" s="110" t="s">
        <v>53</v>
      </c>
      <c r="J33" s="115">
        <f t="shared" si="1"/>
        <v>100</v>
      </c>
    </row>
    <row r="34" spans="1:10" x14ac:dyDescent="0.15">
      <c r="A34" s="111">
        <v>40040632</v>
      </c>
      <c r="B34" s="110">
        <v>0</v>
      </c>
      <c r="C34" s="110">
        <v>97</v>
      </c>
      <c r="D34" s="110">
        <v>100</v>
      </c>
      <c r="E34" s="110">
        <v>50</v>
      </c>
      <c r="F34" s="110" t="s">
        <v>90</v>
      </c>
      <c r="G34" s="110">
        <v>1</v>
      </c>
      <c r="H34" s="110" t="s">
        <v>90</v>
      </c>
      <c r="I34" s="110" t="s">
        <v>53</v>
      </c>
      <c r="J34" s="115">
        <f t="shared" si="1"/>
        <v>100</v>
      </c>
    </row>
    <row r="35" spans="1:10" x14ac:dyDescent="0.15">
      <c r="A35" s="111">
        <v>40040633</v>
      </c>
      <c r="B35" s="110">
        <v>0</v>
      </c>
      <c r="C35" s="110">
        <v>96</v>
      </c>
      <c r="D35" s="110">
        <v>100</v>
      </c>
      <c r="E35" s="110" t="s">
        <v>53</v>
      </c>
      <c r="F35" s="110">
        <v>25</v>
      </c>
      <c r="G35" s="110">
        <v>3</v>
      </c>
      <c r="H35" s="110" t="s">
        <v>90</v>
      </c>
      <c r="I35" s="110" t="s">
        <v>53</v>
      </c>
      <c r="J35" s="115">
        <f t="shared" si="1"/>
        <v>100</v>
      </c>
    </row>
    <row r="36" spans="1:10" x14ac:dyDescent="0.15">
      <c r="A36" s="111">
        <v>40040634</v>
      </c>
      <c r="B36" s="107">
        <v>1</v>
      </c>
      <c r="C36" s="107">
        <v>100</v>
      </c>
      <c r="D36" s="107">
        <v>100</v>
      </c>
      <c r="E36" s="107" t="s">
        <v>53</v>
      </c>
      <c r="F36" s="107" t="s">
        <v>90</v>
      </c>
      <c r="G36" s="107">
        <v>1</v>
      </c>
      <c r="H36" s="107" t="s">
        <v>90</v>
      </c>
      <c r="I36" s="107" t="s">
        <v>53</v>
      </c>
      <c r="J36" s="115">
        <f t="shared" si="1"/>
        <v>100</v>
      </c>
    </row>
    <row r="37" spans="1:10" x14ac:dyDescent="0.15">
      <c r="A37" s="111">
        <v>40040635</v>
      </c>
      <c r="B37" s="108">
        <v>0</v>
      </c>
      <c r="C37" s="108">
        <v>92</v>
      </c>
      <c r="D37" s="108">
        <v>50</v>
      </c>
      <c r="E37" s="108" t="s">
        <v>53</v>
      </c>
      <c r="F37" s="108">
        <v>50</v>
      </c>
      <c r="G37" s="108">
        <v>3</v>
      </c>
      <c r="H37" s="108" t="s">
        <v>90</v>
      </c>
      <c r="I37" s="108" t="s">
        <v>53</v>
      </c>
      <c r="J37" s="115">
        <f t="shared" si="1"/>
        <v>50</v>
      </c>
    </row>
    <row r="38" spans="1:10" x14ac:dyDescent="0.15">
      <c r="A38" s="111">
        <v>40040636</v>
      </c>
      <c r="B38" s="108">
        <v>0</v>
      </c>
      <c r="C38" s="108">
        <v>91</v>
      </c>
      <c r="D38" s="108">
        <v>50</v>
      </c>
      <c r="E38" s="108" t="s">
        <v>53</v>
      </c>
      <c r="F38" s="108">
        <v>50</v>
      </c>
      <c r="G38" s="108">
        <v>3</v>
      </c>
      <c r="H38" s="108" t="s">
        <v>90</v>
      </c>
      <c r="I38" s="108" t="s">
        <v>53</v>
      </c>
      <c r="J38" s="115">
        <f t="shared" si="1"/>
        <v>50</v>
      </c>
    </row>
    <row r="39" spans="1:10" x14ac:dyDescent="0.15">
      <c r="A39" s="111">
        <v>40040637</v>
      </c>
      <c r="B39" s="108">
        <v>0</v>
      </c>
      <c r="C39" s="108">
        <v>90</v>
      </c>
      <c r="D39" s="108">
        <v>60</v>
      </c>
      <c r="E39" s="108">
        <v>75</v>
      </c>
      <c r="F39" s="108" t="s">
        <v>53</v>
      </c>
      <c r="G39" s="108">
        <v>1</v>
      </c>
      <c r="H39" s="108" t="s">
        <v>90</v>
      </c>
      <c r="I39" s="108" t="s">
        <v>53</v>
      </c>
      <c r="J39" s="115">
        <f t="shared" si="1"/>
        <v>60</v>
      </c>
    </row>
    <row r="40" spans="1:10" x14ac:dyDescent="0.15">
      <c r="A40" s="111">
        <v>40040638</v>
      </c>
      <c r="B40" s="108">
        <v>0</v>
      </c>
      <c r="C40" s="108">
        <v>89</v>
      </c>
      <c r="D40" s="108">
        <v>60</v>
      </c>
      <c r="E40" s="108">
        <v>75</v>
      </c>
      <c r="F40" s="108" t="s">
        <v>53</v>
      </c>
      <c r="G40" s="108">
        <v>2</v>
      </c>
      <c r="H40" s="108" t="s">
        <v>90</v>
      </c>
      <c r="I40" s="108" t="s">
        <v>53</v>
      </c>
      <c r="J40" s="115">
        <f t="shared" si="1"/>
        <v>60</v>
      </c>
    </row>
    <row r="41" spans="1:10" x14ac:dyDescent="0.15">
      <c r="A41" s="111">
        <v>40040639</v>
      </c>
      <c r="B41" s="108">
        <v>0</v>
      </c>
      <c r="C41" s="108">
        <v>88</v>
      </c>
      <c r="D41" s="108">
        <v>60</v>
      </c>
      <c r="E41" s="108" t="s">
        <v>53</v>
      </c>
      <c r="F41" s="108">
        <v>50</v>
      </c>
      <c r="G41" s="108">
        <v>3</v>
      </c>
      <c r="H41" s="108" t="s">
        <v>90</v>
      </c>
      <c r="I41" s="108" t="s">
        <v>53</v>
      </c>
      <c r="J41" s="115">
        <f t="shared" si="1"/>
        <v>60</v>
      </c>
    </row>
    <row r="42" spans="1:10" x14ac:dyDescent="0.15">
      <c r="A42" s="111">
        <v>40040640</v>
      </c>
      <c r="B42" s="108">
        <v>0</v>
      </c>
      <c r="C42" s="108">
        <v>94</v>
      </c>
      <c r="D42" s="108">
        <v>100</v>
      </c>
      <c r="E42" s="108">
        <v>50</v>
      </c>
      <c r="F42" s="108" t="s">
        <v>90</v>
      </c>
      <c r="G42" s="108">
        <v>1</v>
      </c>
      <c r="H42" s="108" t="s">
        <v>90</v>
      </c>
      <c r="I42" s="108" t="s">
        <v>53</v>
      </c>
      <c r="J42" s="115">
        <f t="shared" si="1"/>
        <v>100</v>
      </c>
    </row>
    <row r="43" spans="1:10" x14ac:dyDescent="0.15">
      <c r="A43" s="111">
        <v>40040641</v>
      </c>
      <c r="B43" s="108">
        <v>0</v>
      </c>
      <c r="C43" s="108">
        <v>93</v>
      </c>
      <c r="D43" s="108">
        <v>100</v>
      </c>
      <c r="E43" s="108">
        <v>50</v>
      </c>
      <c r="F43" s="108" t="s">
        <v>90</v>
      </c>
      <c r="G43" s="108">
        <v>1</v>
      </c>
      <c r="H43" s="108" t="s">
        <v>90</v>
      </c>
      <c r="I43" s="108" t="s">
        <v>53</v>
      </c>
      <c r="J43" s="115">
        <f t="shared" si="1"/>
        <v>100</v>
      </c>
    </row>
    <row r="44" spans="1:10" x14ac:dyDescent="0.15">
      <c r="A44" s="111">
        <v>40040642</v>
      </c>
      <c r="B44" s="108">
        <v>0</v>
      </c>
      <c r="C44" s="108">
        <v>99</v>
      </c>
      <c r="D44" s="108">
        <v>100</v>
      </c>
      <c r="E44" s="108" t="s">
        <v>53</v>
      </c>
      <c r="F44" s="108" t="s">
        <v>90</v>
      </c>
      <c r="G44" s="108">
        <v>0</v>
      </c>
      <c r="H44" s="108" t="s">
        <v>90</v>
      </c>
      <c r="I44" s="108">
        <v>1250</v>
      </c>
      <c r="J44" s="115">
        <f t="shared" si="1"/>
        <v>100</v>
      </c>
    </row>
    <row r="45" spans="1:10" x14ac:dyDescent="0.15">
      <c r="A45" s="111">
        <v>40040643</v>
      </c>
      <c r="B45" s="108">
        <v>0</v>
      </c>
      <c r="C45" s="108">
        <v>98</v>
      </c>
      <c r="D45" s="108">
        <v>100</v>
      </c>
      <c r="E45" s="108" t="s">
        <v>53</v>
      </c>
      <c r="F45" s="108" t="s">
        <v>90</v>
      </c>
      <c r="G45" s="108">
        <v>0</v>
      </c>
      <c r="H45" s="108" t="s">
        <v>90</v>
      </c>
      <c r="I45" s="108">
        <v>1251</v>
      </c>
      <c r="J45" s="115">
        <f t="shared" ref="J45" si="6">D45</f>
        <v>100</v>
      </c>
    </row>
    <row r="46" spans="1:10" x14ac:dyDescent="0.15">
      <c r="A46" s="111">
        <v>40040644</v>
      </c>
      <c r="B46" s="108">
        <v>0</v>
      </c>
      <c r="C46" s="108">
        <v>97</v>
      </c>
      <c r="D46" s="108">
        <v>100</v>
      </c>
      <c r="E46" s="108" t="s">
        <v>53</v>
      </c>
      <c r="F46" s="108" t="s">
        <v>90</v>
      </c>
      <c r="G46" s="108">
        <v>0</v>
      </c>
      <c r="H46" s="108" t="s">
        <v>90</v>
      </c>
      <c r="I46" s="108">
        <v>1242</v>
      </c>
      <c r="J46" s="115">
        <f t="shared" si="1"/>
        <v>100</v>
      </c>
    </row>
    <row r="47" spans="1:10" x14ac:dyDescent="0.15">
      <c r="A47" s="111">
        <v>40040645</v>
      </c>
      <c r="B47" s="108">
        <v>0</v>
      </c>
      <c r="C47" s="108">
        <v>96</v>
      </c>
      <c r="D47" s="108">
        <v>100</v>
      </c>
      <c r="E47" s="108" t="s">
        <v>53</v>
      </c>
      <c r="F47" s="108" t="s">
        <v>90</v>
      </c>
      <c r="G47" s="108">
        <v>0</v>
      </c>
      <c r="H47" s="108" t="s">
        <v>90</v>
      </c>
      <c r="I47" s="108">
        <v>1243</v>
      </c>
      <c r="J47" s="115">
        <f t="shared" ref="J47" si="7">D47</f>
        <v>100</v>
      </c>
    </row>
    <row r="48" spans="1:10" x14ac:dyDescent="0.15">
      <c r="A48" s="111">
        <v>40040646</v>
      </c>
      <c r="B48" s="108">
        <v>0</v>
      </c>
      <c r="C48" s="108">
        <v>95</v>
      </c>
      <c r="D48" s="108">
        <v>100</v>
      </c>
      <c r="E48" s="108" t="s">
        <v>53</v>
      </c>
      <c r="F48" s="108" t="s">
        <v>90</v>
      </c>
      <c r="G48" s="108">
        <v>0</v>
      </c>
      <c r="H48" s="108" t="s">
        <v>90</v>
      </c>
      <c r="I48" s="108">
        <v>0</v>
      </c>
      <c r="J48" s="115">
        <f t="shared" si="1"/>
        <v>100</v>
      </c>
    </row>
    <row r="49" spans="1:10" x14ac:dyDescent="0.15">
      <c r="A49" s="111">
        <v>40040647</v>
      </c>
      <c r="B49" s="108">
        <v>0</v>
      </c>
      <c r="C49" s="108">
        <v>93</v>
      </c>
      <c r="D49" s="108">
        <v>100</v>
      </c>
      <c r="E49" s="108" t="s">
        <v>53</v>
      </c>
      <c r="F49" s="108" t="s">
        <v>53</v>
      </c>
      <c r="G49" s="108">
        <v>1</v>
      </c>
      <c r="H49" s="108" t="s">
        <v>53</v>
      </c>
      <c r="I49" s="108">
        <v>375</v>
      </c>
      <c r="J49" s="115">
        <f t="shared" ref="J49" si="8">D49</f>
        <v>100</v>
      </c>
    </row>
    <row r="50" spans="1:10" x14ac:dyDescent="0.15">
      <c r="A50" s="111">
        <v>40040648</v>
      </c>
      <c r="B50" s="108">
        <v>0</v>
      </c>
      <c r="C50" s="108">
        <v>93</v>
      </c>
      <c r="D50" s="108">
        <v>100</v>
      </c>
      <c r="E50" s="108" t="s">
        <v>53</v>
      </c>
      <c r="F50" s="108" t="s">
        <v>53</v>
      </c>
      <c r="G50" s="108">
        <v>1</v>
      </c>
      <c r="H50" s="108" t="s">
        <v>53</v>
      </c>
      <c r="I50" s="108">
        <v>375</v>
      </c>
      <c r="J50" s="115">
        <f t="shared" ref="J50" si="9">D50</f>
        <v>100</v>
      </c>
    </row>
    <row r="51" spans="1:10" x14ac:dyDescent="0.15">
      <c r="A51" s="111">
        <v>40040649</v>
      </c>
      <c r="B51" s="108">
        <v>1</v>
      </c>
      <c r="C51" s="108" t="s">
        <v>53</v>
      </c>
      <c r="D51" s="108">
        <v>100</v>
      </c>
      <c r="E51" s="108" t="s">
        <v>53</v>
      </c>
      <c r="F51" s="108" t="s">
        <v>53</v>
      </c>
      <c r="G51" s="108">
        <v>1</v>
      </c>
      <c r="H51" s="108" t="s">
        <v>53</v>
      </c>
      <c r="I51" s="108" t="s">
        <v>53</v>
      </c>
      <c r="J51" s="115">
        <f t="shared" ref="J51:J52" si="10">D51</f>
        <v>100</v>
      </c>
    </row>
    <row r="52" spans="1:10" x14ac:dyDescent="0.15">
      <c r="A52" s="111">
        <v>40040650</v>
      </c>
      <c r="B52" s="108">
        <v>1</v>
      </c>
      <c r="C52" s="108" t="s">
        <v>53</v>
      </c>
      <c r="D52" s="108">
        <v>100</v>
      </c>
      <c r="E52" s="108" t="s">
        <v>53</v>
      </c>
      <c r="F52" s="108" t="s">
        <v>53</v>
      </c>
      <c r="G52" s="108">
        <v>1</v>
      </c>
      <c r="H52" s="108" t="s">
        <v>53</v>
      </c>
      <c r="I52" s="108" t="s">
        <v>53</v>
      </c>
      <c r="J52" s="115">
        <f t="shared" si="10"/>
        <v>100</v>
      </c>
    </row>
  </sheetData>
  <autoFilter ref="A1:G1"/>
  <phoneticPr fontId="5"/>
  <conditionalFormatting sqref="K1:K1048576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3"/>
  <sheetViews>
    <sheetView showGridLines="0" workbookViewId="0">
      <pane xSplit="5" ySplit="1" topLeftCell="F25" activePane="bottomRight" state="frozen"/>
      <selection pane="topRight"/>
      <selection pane="bottomLeft"/>
      <selection pane="bottomRight" activeCell="C36" sqref="C3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40040000_40040300</v>
      </c>
      <c r="B2" s="112">
        <v>40040000</v>
      </c>
      <c r="C2" s="112">
        <v>40040300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影丸殿の分身術は_x000D_見事なものですね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秀吉グループの構成メンバーが_x000D_他のメンバーについて噂話をしている……</v>
      </c>
      <c r="F2" s="47">
        <v>40040600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1" si="1">B3&amp;"_"&amp;C3</f>
        <v>40040000_40040301</v>
      </c>
      <c r="B3" s="112">
        <v>40040000</v>
      </c>
      <c r="C3" s="112">
        <v>40040301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影丸殿の分身術を破る_x000D_方法が思いつきません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秀吉グループの構成メンバーが_x000D_他のメンバーについて噂話をしている……</v>
      </c>
      <c r="F3" s="47">
        <v>40040601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40040000_40040301</v>
      </c>
      <c r="B4" s="112">
        <v>40040000</v>
      </c>
      <c r="C4" s="112">
        <v>40040301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影丸殿の分身術を破る_x000D_方法が思いつきません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秀吉グループの構成メンバーが_x000D_他のメンバーについて噂話をしている……</v>
      </c>
      <c r="F4" s="47">
        <v>40040602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40040001_40040302</v>
      </c>
      <c r="B5" s="112">
        <v>40040001</v>
      </c>
      <c r="C5" s="112">
        <v>40040302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どちらが本体なのか_x000D_まったくわかりませんな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これ以上の情報は得られなさそうだ</v>
      </c>
      <c r="F5" s="47">
        <v>40040603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40040001_40040303</v>
      </c>
      <c r="B6" s="112">
        <v>40040001</v>
      </c>
      <c r="C6" s="112">
        <v>40040303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分身を同時に撃破できれば_x000D_復活できないでしょうな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これ以上の情報は得られなさそうだ</v>
      </c>
      <c r="F6" s="47">
        <v>40040604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:A8" si="3">B7&amp;"_"&amp;C7</f>
        <v>40040001_40040303</v>
      </c>
      <c r="B7" s="112">
        <v>40040001</v>
      </c>
      <c r="C7" s="112">
        <v>40040303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分身を同時に撃破できれば_x000D_復活できないでしょうな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これ以上の情報は得られなさそうだ</v>
      </c>
      <c r="F7" s="47">
        <v>40040605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3"/>
        <v>40040002_40040342</v>
      </c>
      <c r="B8" s="112">
        <v>40040002</v>
      </c>
      <c r="C8" s="112">
        <v>40040342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忍法：影分身！</v>
      </c>
      <c r="E8" s="46">
        <f ca="1">VLOOKUP($C8,OFFSET(enemy_skills!$A$1,0,0,COUNTA(enemy_skills!$A:$A),MATCH(E$1,enemy_skills!$1:$1,0)-MATCH("enemy_skill_id",enemy_skills!$1:$1,0)+1),MATCH(E$1,enemy_skills!$1:$1,0)-MATCH("enemy_skill_id",enemy_skills!$1:$1,0)+1,FALSE)</f>
        <v>0</v>
      </c>
      <c r="F8" s="47">
        <v>40040649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40040002_40040304</v>
      </c>
      <c r="B9" s="112">
        <v>40040002</v>
      </c>
      <c r="C9" s="112">
        <v>40040304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忍法：黄泉返し！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HP30%で敵単体が復活+敵全体の攻撃力UP+_x000D_ランダムで緑のダメージパネルに1個変換</v>
      </c>
      <c r="F9" s="47">
        <v>40040606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40040002_40040305</v>
      </c>
      <c r="B10" s="112">
        <v>40040002</v>
      </c>
      <c r="C10" s="112">
        <v>40040305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忍法：黄泉返し！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HP40%で敵単体が復活+敵全体の攻撃力UP+_x000D_ランダムで黄のダメージパネルに1個変換</v>
      </c>
      <c r="F10" s="47">
        <v>40040607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40040002_40040306</v>
      </c>
      <c r="B11" s="112">
        <v>40040002</v>
      </c>
      <c r="C11" s="112">
        <v>40040306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次はないぞ？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HP50%で敵単体が復活+敵全体の攻撃力大UP+_x000D_ランダムで赤のダメージパネルに1個変換</v>
      </c>
      <c r="F11" s="47">
        <v>40040608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4">B12&amp;"_"&amp;C12</f>
        <v>40040002_40040307</v>
      </c>
      <c r="B12" s="112">
        <v>40040002</v>
      </c>
      <c r="C12" s="112">
        <v>40040307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この程度も看破できぬ者には_x000D_お引き取り願おうか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HP100%で敵単体が復活+大ダメージの全体攻撃</v>
      </c>
      <c r="F12" s="47">
        <v>40040609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63" si="5">B13&amp;"_"&amp;C13</f>
        <v>40040002_40040308</v>
      </c>
      <c r="B13" s="112">
        <v>40040002</v>
      </c>
      <c r="C13" s="112">
        <v>40040308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忍法：雲隠れ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全体攻撃+1ターン暗闇</v>
      </c>
      <c r="F13" s="47">
        <v>40040610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3" s="47"/>
      <c r="Q13" s="47"/>
      <c r="R13" s="47"/>
    </row>
    <row r="14" spans="1:18" ht="21" customHeight="1" x14ac:dyDescent="0.15">
      <c r="A14" s="39" t="str">
        <f t="shared" si="5"/>
        <v>40040002_40040309</v>
      </c>
      <c r="B14" s="112">
        <v>40040002</v>
      </c>
      <c r="C14" s="112">
        <v>40040309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忍法：封爆陣・烈火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赤パネルプロテクト+_x000D_ランダムで青のダメージパネルに1個変換</v>
      </c>
      <c r="F14" s="47">
        <v>40040611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4" s="47"/>
      <c r="Q14" s="47"/>
      <c r="R14" s="47"/>
    </row>
    <row r="15" spans="1:18" ht="21" customHeight="1" x14ac:dyDescent="0.15">
      <c r="A15" s="39" t="str">
        <f t="shared" si="5"/>
        <v>40040002_40040310</v>
      </c>
      <c r="B15" s="112">
        <v>40040002</v>
      </c>
      <c r="C15" s="112">
        <v>40040310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忍法：封爆陣・烈風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緑パネルプロテクト+_x000D_ランダムで青のダメージパネルに1個変換</v>
      </c>
      <c r="F15" s="47">
        <v>40040612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7"/>
      <c r="Q15" s="47"/>
      <c r="R15" s="47"/>
    </row>
    <row r="16" spans="1:18" ht="21" customHeight="1" x14ac:dyDescent="0.15">
      <c r="A16" s="39" t="str">
        <f t="shared" ref="A16:A17" si="6">B16&amp;"_"&amp;C16</f>
        <v>40040002_40040341</v>
      </c>
      <c r="B16" s="112">
        <v>40040002</v>
      </c>
      <c r="C16" s="112">
        <v>40040341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その熱意に免じて通してやる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見逃してくれたようだ</v>
      </c>
      <c r="F16" s="47">
        <v>40040647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6"/>
        <v>40040003_40040343</v>
      </c>
      <c r="B17" s="112">
        <v>40040003</v>
      </c>
      <c r="C17" s="112">
        <v>40040343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さぁ……我が忍法の極致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『お前に見破れるか！』</v>
      </c>
      <c r="F17" s="47">
        <v>40040650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5"/>
        <v>40040003_40040311</v>
      </c>
      <c r="B18" s="112">
        <v>40040003</v>
      </c>
      <c r="C18" s="112">
        <v>40040311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忍法：黄泉返し！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HP30%で敵単体が復活+敵全体の防御力UP+_x000D_ランダムで緑のダメージパネルに1個変換</v>
      </c>
      <c r="F18" s="47">
        <v>40040613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5"/>
        <v>40040003_40040312</v>
      </c>
      <c r="B19" s="112">
        <v>40040003</v>
      </c>
      <c r="C19" s="112">
        <v>40040312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忍法：黄泉返し！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HP40%で敵単体が復活+敵全体の防御力UP+_x000D_ランダムで黄のダメージパネルに1個変換</v>
      </c>
      <c r="F19" s="47">
        <v>40040614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5"/>
        <v>40040003_40040313</v>
      </c>
      <c r="B20" s="112">
        <v>40040003</v>
      </c>
      <c r="C20" s="112">
        <v>40040313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次はないぜ？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HP50%で敵単体が復活+敵全体の防御力大UP+_x000D_ランダムで赤のダメージパネルに1個変換</v>
      </c>
      <c r="F20" s="47">
        <v>40040615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5"/>
        <v>40040003_40040314</v>
      </c>
      <c r="B21" s="112">
        <v>40040003</v>
      </c>
      <c r="C21" s="112">
        <v>40040314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この程度では半兵衛きゅんに_x000D_面会する資格はないな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HP100%で敵単体が復活+大ダメージの全体攻撃</v>
      </c>
      <c r="F21" s="47">
        <v>40040616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5"/>
        <v>40040003_40040315</v>
      </c>
      <c r="B22" s="112">
        <v>40040003</v>
      </c>
      <c r="C22" s="112">
        <v>40040315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忍法：鼓舞羅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全体攻撃+3ターン敵全体の攻撃力UP</v>
      </c>
      <c r="F22" s="47">
        <v>40040617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2" s="47"/>
      <c r="Q22" s="47"/>
      <c r="R22" s="47"/>
    </row>
    <row r="23" spans="1:18" ht="21" customHeight="1" x14ac:dyDescent="0.15">
      <c r="A23" s="39" t="str">
        <f t="shared" si="5"/>
        <v>40040003_40040316</v>
      </c>
      <c r="B23" s="112">
        <v>40040003</v>
      </c>
      <c r="C23" s="112">
        <v>40040316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忍法：封爆陣・凍心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ハートパネルプロテクト+_x000D_ランダムで青のダメージパネルに1個変換</v>
      </c>
      <c r="F23" s="47">
        <v>40040618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3" s="47"/>
      <c r="Q23" s="47"/>
      <c r="R23" s="47"/>
    </row>
    <row r="24" spans="1:18" ht="21" customHeight="1" x14ac:dyDescent="0.15">
      <c r="A24" s="39" t="str">
        <f t="shared" si="5"/>
        <v>40040003_40040317</v>
      </c>
      <c r="B24" s="112">
        <v>40040003</v>
      </c>
      <c r="C24" s="112">
        <v>40040317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忍法：封爆陣・烈波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青パネルプロテクト+_x000D_ランダムで青のダメージパネルに1個変換</v>
      </c>
      <c r="F24" s="47">
        <v>40040619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7"/>
      <c r="Q24" s="47"/>
      <c r="R24" s="47"/>
    </row>
    <row r="25" spans="1:18" ht="21" customHeight="1" x14ac:dyDescent="0.15">
      <c r="A25" s="39" t="str">
        <f t="shared" ref="A25" si="7">B25&amp;"_"&amp;C25</f>
        <v>40040003_40040341</v>
      </c>
      <c r="B25" s="112">
        <v>40040003</v>
      </c>
      <c r="C25" s="112">
        <v>40040341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その熱意に免じて通してやる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見逃してくれたようだ</v>
      </c>
      <c r="F25" s="47">
        <v>40040648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5"/>
        <v>40040004_40040318</v>
      </c>
      <c r="B26" s="112">
        <v>40040004</v>
      </c>
      <c r="C26" s="112">
        <v>40040318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ゆきむー？作戦を中止しろ？_x000D_もう！今更止められないよ！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26" s="47">
        <v>40040620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8">B27&amp;"_"&amp;C27</f>
        <v>40040004_40040318</v>
      </c>
      <c r="B27" s="112">
        <v>40040004</v>
      </c>
      <c r="C27" s="112">
        <v>40040318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ゆきむー？作戦を中止しろ？_x000D_もう！今更止められないよ！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27" s="47">
        <v>40040621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5"/>
        <v>40040004_40040319</v>
      </c>
      <c r="B28" s="112">
        <v>40040004</v>
      </c>
      <c r="C28" s="112">
        <v>40040319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殿？作戦中止？今から！？_x000D_もう間に合いませんよ！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28" s="47">
        <v>40040622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" si="9">B29&amp;"_"&amp;C29</f>
        <v>40040004_40040319</v>
      </c>
      <c r="B29" s="112">
        <v>40040004</v>
      </c>
      <c r="C29" s="112">
        <v>40040319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殿？作戦中止？今から！？_x000D_もう間に合いませんよ！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29" s="47">
        <v>40040623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5"/>
        <v>40040004_40040320</v>
      </c>
      <c r="B30" s="112">
        <v>40040004</v>
      </c>
      <c r="C30" s="112">
        <v>40040320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バビロニア・タワーは_x000D_ボクたち豊臣勢が調査中だよ★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30" s="47">
        <v>40040624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5"/>
        <v>40040004_40040321</v>
      </c>
      <c r="B31" s="112">
        <v>40040004</v>
      </c>
      <c r="C31" s="112">
        <v>40040321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ボクが立てた作戦だからね_x000D_投げ出したりしないよ！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2回連続攻撃+_x000D_ランダムで青のダメージパネルに1個変換</v>
      </c>
      <c r="F31" s="47">
        <v>40040625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" s="47"/>
      <c r="Q31" s="47"/>
      <c r="R31" s="47"/>
    </row>
    <row r="32" spans="1:18" ht="21" customHeight="1" x14ac:dyDescent="0.15">
      <c r="A32" s="39" t="str">
        <f t="shared" si="5"/>
        <v>40040004_40040322</v>
      </c>
      <c r="B32" s="112">
        <v>40040004</v>
      </c>
      <c r="C32" s="112">
        <v>40040322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これも陣営のためだからね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2回連続攻撃+_x000D_残りHPが多いほど威力UP</v>
      </c>
      <c r="F32" s="47">
        <v>40040626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2" s="47"/>
      <c r="Q32" s="47"/>
      <c r="R32" s="47"/>
    </row>
    <row r="33" spans="1:18" ht="21" customHeight="1" x14ac:dyDescent="0.15">
      <c r="A33" s="39" t="str">
        <f t="shared" si="5"/>
        <v>40040004_40040323</v>
      </c>
      <c r="B33" s="112">
        <v>40040004</v>
      </c>
      <c r="C33" s="112">
        <v>40040323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強力なAIたちを迎え入れるんだ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2回連続攻撃+_x000D_残りHPが多いほど威力UP</v>
      </c>
      <c r="F33" s="47">
        <v>40040627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74</v>
      </c>
      <c r="K33" s="48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3" s="47"/>
      <c r="Q33" s="47"/>
      <c r="R33" s="47"/>
    </row>
    <row r="34" spans="1:18" ht="21" customHeight="1" x14ac:dyDescent="0.15">
      <c r="A34" s="39" t="str">
        <f t="shared" si="5"/>
        <v>40040004_40040324</v>
      </c>
      <c r="B34" s="112">
        <v>40040004</v>
      </c>
      <c r="C34" s="112">
        <v>40040324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邪魔するなら排除するよ！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2回連続攻撃+_x000D_残りHPが多いほど威力UP</v>
      </c>
      <c r="F34" s="47">
        <v>40040628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49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7"/>
      <c r="Q34" s="47"/>
      <c r="R34" s="47"/>
    </row>
    <row r="35" spans="1:18" ht="21" customHeight="1" x14ac:dyDescent="0.15">
      <c r="A35" s="39" t="str">
        <f t="shared" si="5"/>
        <v>40040005_40040325</v>
      </c>
      <c r="B35" s="112">
        <v>40040005</v>
      </c>
      <c r="C35" s="112">
        <v>40040325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防衛陣地構築！急いで！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赤属性スキルダメージ75%軽減+_x000D_属性パネルは確率でプロテクトされてドロップ</v>
      </c>
      <c r="F35" s="47">
        <v>40040629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5"/>
        <v>40040005_40040326</v>
      </c>
      <c r="B36" s="112">
        <v>40040005</v>
      </c>
      <c r="C36" s="112">
        <v>40040326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信長サンが取りこぼした_x000D_天下ってやつをさ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緑パネルを赤パネルに変換(最大10個)</v>
      </c>
      <c r="F36" s="47">
        <v>40040630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5"/>
        <v>40040005_40040327</v>
      </c>
      <c r="B37" s="112">
        <v>40040005</v>
      </c>
      <c r="C37" s="112">
        <v>40040327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殿といっしょに取りに行くんだ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赤パネルを赤のダメージパネルに変換(最大5個)</v>
      </c>
      <c r="F37" s="47">
        <v>40040631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5"/>
        <v>40040005_40040328</v>
      </c>
      <c r="B38" s="112">
        <v>40040005</v>
      </c>
      <c r="C38" s="112">
        <v>40040328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さぁさぁ盛大にどうぞ！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赤パネルを赤のダメージパネルに変換(最大5個)+_x000D_青パネルを青のボムパネル(大)に変換(最大1個)+_x000D_自己回復</v>
      </c>
      <c r="F38" s="47">
        <v>40040632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5"/>
        <v>40040005_40040329</v>
      </c>
      <c r="B39" s="112">
        <v>40040005</v>
      </c>
      <c r="C39" s="112">
        <v>40040329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まとめて★どっかーん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39" s="47">
        <v>40040633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5"/>
        <v>40040006_40040330</v>
      </c>
      <c r="B40" s="112">
        <v>40040006</v>
      </c>
      <c r="C40" s="112">
        <v>40040330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管理AIクラス…_x000D_支配下に組み入れたいなぁ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赤属性スキルダメージ10%反射+_x000D_9ターン属性パネルは確率でプロテクトされてドロップ</v>
      </c>
      <c r="F40" s="47">
        <v>40040634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5"/>
        <v>40040006_40040331</v>
      </c>
      <c r="B41" s="112">
        <v>40040006</v>
      </c>
      <c r="C41" s="112">
        <v>40040331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ボクが！殿を！_x000D_天下人にするんだっ！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全体攻撃+ランダムで青のダメージパネルに3個変換</v>
      </c>
      <c r="F41" s="47">
        <v>40040635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7"/>
      <c r="Q41" s="47"/>
      <c r="R41" s="47"/>
    </row>
    <row r="42" spans="1:18" ht="21" customHeight="1" x14ac:dyDescent="0.15">
      <c r="A42" s="39" t="str">
        <f t="shared" si="5"/>
        <v>40040006_40040332</v>
      </c>
      <c r="B42" s="112">
        <v>40040006</v>
      </c>
      <c r="C42" s="112">
        <v>40040332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邪魔しないでねっ！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2回連続攻撃+ランダムで青のダメージパネルに3個変換</v>
      </c>
      <c r="F42" s="47">
        <v>40040636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2" s="47"/>
      <c r="Q42" s="47"/>
      <c r="R42" s="47"/>
    </row>
    <row r="43" spans="1:18" ht="21" customHeight="1" x14ac:dyDescent="0.15">
      <c r="A43" s="39" t="str">
        <f t="shared" si="5"/>
        <v>40040006_40040333</v>
      </c>
      <c r="B43" s="112">
        <v>40040006</v>
      </c>
      <c r="C43" s="112">
        <v>40040333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強力なAIを手にいれるんだ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黄パネルプロテクト+_x000D_2ターン黄パネルはプロテクトされてドロップ</v>
      </c>
      <c r="F43" s="47">
        <v>40040637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3" s="47"/>
      <c r="Q43" s="47"/>
      <c r="R43" s="47"/>
    </row>
    <row r="44" spans="1:18" ht="21" customHeight="1" x14ac:dyDescent="0.15">
      <c r="A44" s="39" t="str">
        <f t="shared" si="5"/>
        <v>40040006_40040334</v>
      </c>
      <c r="B44" s="112">
        <v>40040006</v>
      </c>
      <c r="C44" s="112">
        <v>40040334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危険だから★触っちゃダメだよ？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ダメージパネルをプロテクト</v>
      </c>
      <c r="F44" s="47">
        <v>40040638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4" s="47"/>
      <c r="Q44" s="47"/>
      <c r="R44" s="47"/>
    </row>
    <row r="45" spans="1:18" ht="21" customHeight="1" x14ac:dyDescent="0.15">
      <c r="A45" s="39" t="str">
        <f t="shared" si="5"/>
        <v>40040006_40040335</v>
      </c>
      <c r="B45" s="112">
        <v>40040006</v>
      </c>
      <c r="C45" s="112">
        <v>40040335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もっとまとめて★どっかーん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45" s="47">
        <v>40040639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5" s="47"/>
      <c r="Q45" s="47"/>
      <c r="R45" s="47"/>
    </row>
    <row r="46" spans="1:18" ht="21" customHeight="1" x14ac:dyDescent="0.15">
      <c r="A46" s="39" t="str">
        <f t="shared" si="5"/>
        <v>40040006_40040336</v>
      </c>
      <c r="B46" s="112">
        <v>40040006</v>
      </c>
      <c r="C46" s="112">
        <v>40040336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信長サンも認めたアレでいくよ！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ハートパネルプロテクト+_x000D_2ターン属性パネルは確率でプロテクトされてドロップ+_x000D_次のターン強力な攻撃</v>
      </c>
      <c r="F46" s="47">
        <v>40040640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5"/>
        <v>40040006_40040337</v>
      </c>
      <c r="B47" s="112">
        <v>40040006</v>
      </c>
      <c r="C47" s="112">
        <v>40040337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くらえ！十面埋伏陣っ！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10回連続攻撃+Cパネルプロテクト+_x000D_2ターンユニット全体の攻撃をカウンター+_x000D_青&amp;赤パネルを青のダメージパネルに変換(最大10個)</v>
      </c>
      <c r="F47" s="47">
        <v>40040641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5"/>
        <v>40040006_40040338</v>
      </c>
      <c r="B48" s="112">
        <v>40040006</v>
      </c>
      <c r="C48" s="112">
        <v>40040338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くっ……ゆきむー……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殿を……頼んだよ……</v>
      </c>
      <c r="F48" s="47">
        <v>40040642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ref="A49" si="10">B49&amp;"_"&amp;C49</f>
        <v>40040006_40040338</v>
      </c>
      <c r="B49" s="112">
        <v>40040006</v>
      </c>
      <c r="C49" s="112">
        <v>40040338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くっ……ゆきむー……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殿を……頼んだよ……</v>
      </c>
      <c r="F49" s="47">
        <v>40040643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5"/>
        <v>40040006_40040339</v>
      </c>
      <c r="B50" s="112">
        <v>40040006</v>
      </c>
      <c r="C50" s="112">
        <v>40040339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さすが殿……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ボクも天下取りに……連れて行って……</v>
      </c>
      <c r="F50" s="47">
        <v>40040644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ref="A51" si="11">B51&amp;"_"&amp;C51</f>
        <v>40040006_40040339</v>
      </c>
      <c r="B51" s="112">
        <v>40040006</v>
      </c>
      <c r="C51" s="112">
        <v>40040339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さすが殿……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ボクも天下取りに……連れて行って……</v>
      </c>
      <c r="F51" s="47">
        <v>40040645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5"/>
        <v>40040006_40040340</v>
      </c>
      <c r="B52" s="112">
        <v>40040006</v>
      </c>
      <c r="C52" s="112">
        <v>40040340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キミ達は殿の邪魔になるッ！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殿を……殿をお守りしないとっ……</v>
      </c>
      <c r="F52" s="47">
        <v>40040646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5"/>
        <v>40040007_40040344</v>
      </c>
      <c r="B53" s="119">
        <v>40040007</v>
      </c>
      <c r="C53" s="119">
        <v>40040344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影丸殿の分身術は_x000D_見事なものですね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秀吉グループの構成メンバーが_x000D_他のメンバーについて噂話をしている……</v>
      </c>
      <c r="F53" s="47">
        <v>40040600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5"/>
        <v>40040007_40040345</v>
      </c>
      <c r="B54" s="119">
        <v>40040007</v>
      </c>
      <c r="C54" s="119">
        <v>40040345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影丸殿の分身術を破る_x000D_方法が思いつきません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秀吉グループの構成メンバーが_x000D_他のメンバーについて噂話をしている……</v>
      </c>
      <c r="F54" s="47">
        <v>40040601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5"/>
        <v>40040007_40040345</v>
      </c>
      <c r="B55" s="119">
        <v>40040007</v>
      </c>
      <c r="C55" s="119">
        <v>40040345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影丸殿の分身術を破る_x000D_方法が思いつきません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秀吉グループの構成メンバーが_x000D_他のメンバーについて噂話をしている……</v>
      </c>
      <c r="F55" s="47">
        <v>40040602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5"/>
        <v>40040008_40040346</v>
      </c>
      <c r="B56" s="119">
        <v>40040008</v>
      </c>
      <c r="C56" s="119">
        <v>40040346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どちらが本体なのか_x000D_まったくわかりませんな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これ以上の情報は得られなさそうだ</v>
      </c>
      <c r="F56" s="47">
        <v>40040603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5"/>
        <v>40040008_40040347</v>
      </c>
      <c r="B57" s="119">
        <v>40040008</v>
      </c>
      <c r="C57" s="119">
        <v>40040347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分身を同時に撃破できれば_x000D_復活できないでしょうな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これ以上の情報は得られなさそうだ</v>
      </c>
      <c r="F57" s="47">
        <v>40040604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5"/>
        <v>40040008_40040347</v>
      </c>
      <c r="B58" s="119">
        <v>40040008</v>
      </c>
      <c r="C58" s="119">
        <v>40040347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分身を同時に撃破できれば_x000D_復活できないでしょうな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これ以上の情報は得られなさそうだ</v>
      </c>
      <c r="F58" s="47">
        <v>40040605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5"/>
        <v>40040009_40040386</v>
      </c>
      <c r="B59" s="119">
        <v>40040009</v>
      </c>
      <c r="C59" s="119">
        <v>40040386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忍法：影分身！</v>
      </c>
      <c r="E59" s="46">
        <f ca="1">VLOOKUP($C59,OFFSET(enemy_skills!$A$1,0,0,COUNTA(enemy_skills!$A:$A),MATCH(E$1,enemy_skills!$1:$1,0)-MATCH("enemy_skill_id",enemy_skills!$1:$1,0)+1),MATCH(E$1,enemy_skills!$1:$1,0)-MATCH("enemy_skill_id",enemy_skills!$1:$1,0)+1,FALSE)</f>
        <v>0</v>
      </c>
      <c r="F59" s="47">
        <v>40040649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5"/>
        <v>40040009_40040348</v>
      </c>
      <c r="B60" s="119">
        <v>40040009</v>
      </c>
      <c r="C60" s="119">
        <v>40040348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忍法：黄泉返し！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HP30%で敵単体が復活+敵全体の攻撃力UP+_x000D_ランダムで緑のダメージパネルに1個変換</v>
      </c>
      <c r="F60" s="47">
        <v>40040606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5"/>
        <v>40040009_40040349</v>
      </c>
      <c r="B61" s="119">
        <v>40040009</v>
      </c>
      <c r="C61" s="119">
        <v>40040349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忍法：黄泉返し！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HP40%で敵単体が復活+敵全体の攻撃力UP+_x000D_ランダムで黄のダメージパネルに1個変換</v>
      </c>
      <c r="F61" s="47">
        <v>40040607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5"/>
        <v>40040009_40040350</v>
      </c>
      <c r="B62" s="119">
        <v>40040009</v>
      </c>
      <c r="C62" s="119">
        <v>40040350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次はないぞ？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HP50%で敵単体が復活+敵全体の攻撃力大UP+_x000D_ランダムで赤のダメージパネルに1個変換</v>
      </c>
      <c r="F62" s="47">
        <v>40040608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5"/>
        <v>40040009_40040351</v>
      </c>
      <c r="B63" s="119">
        <v>40040009</v>
      </c>
      <c r="C63" s="119">
        <v>40040351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この程度も看破できぬ者には_x000D_お引き取り願おうか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HP100%で敵単体が復活+大ダメージの全体攻撃</v>
      </c>
      <c r="F63" s="47">
        <v>40040609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ref="A64:A103" si="12">B64&amp;"_"&amp;C64</f>
        <v>40040009_40040352</v>
      </c>
      <c r="B64" s="119">
        <v>40040009</v>
      </c>
      <c r="C64" s="119">
        <v>40040352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忍法：雲隠れ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全体攻撃+1ターン暗闇</v>
      </c>
      <c r="F64" s="47">
        <v>40040610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4" s="47"/>
      <c r="Q64" s="47"/>
      <c r="R64" s="47"/>
    </row>
    <row r="65" spans="1:18" ht="21" customHeight="1" x14ac:dyDescent="0.15">
      <c r="A65" s="39" t="str">
        <f t="shared" si="12"/>
        <v>40040009_40040353</v>
      </c>
      <c r="B65" s="119">
        <v>40040009</v>
      </c>
      <c r="C65" s="119">
        <v>40040353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忍法：封爆陣・烈火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赤パネルプロテクト(最大4個)+_x000D_ランダムで青のダメージパネルに1個変換</v>
      </c>
      <c r="F65" s="47">
        <v>40040611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5" s="47"/>
      <c r="Q65" s="47"/>
      <c r="R65" s="47"/>
    </row>
    <row r="66" spans="1:18" ht="21" customHeight="1" x14ac:dyDescent="0.15">
      <c r="A66" s="39" t="str">
        <f t="shared" si="12"/>
        <v>40040009_40040354</v>
      </c>
      <c r="B66" s="119">
        <v>40040009</v>
      </c>
      <c r="C66" s="119">
        <v>40040354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忍法：封爆陣・烈風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緑パネルプロテクト(最大4個)+_x000D_ランダムで青のダメージパネルに1個変換</v>
      </c>
      <c r="F66" s="47">
        <v>40040612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6" s="47"/>
      <c r="Q66" s="47"/>
      <c r="R66" s="47"/>
    </row>
    <row r="67" spans="1:18" ht="21" customHeight="1" x14ac:dyDescent="0.15">
      <c r="A67" s="39" t="str">
        <f t="shared" si="12"/>
        <v>40040009_40040385</v>
      </c>
      <c r="B67" s="119">
        <v>40040009</v>
      </c>
      <c r="C67" s="119">
        <v>40040385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その熱意に免じて通してやる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見逃してくれたようだ</v>
      </c>
      <c r="F67" s="47">
        <v>40040647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2"/>
        <v>40040010_40040387</v>
      </c>
      <c r="B68" s="119">
        <v>40040010</v>
      </c>
      <c r="C68" s="119">
        <v>40040387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さぁ……我が忍法の極致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『お前に見破れるか！』</v>
      </c>
      <c r="F68" s="47">
        <v>40040650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 t="str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2"/>
        <v>40040010_40040355</v>
      </c>
      <c r="B69" s="119">
        <v>40040010</v>
      </c>
      <c r="C69" s="119">
        <v>40040355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忍法：黄泉返し！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HP30%で敵単体が復活+敵全体の防御力UP+_x000D_ランダムで緑のダメージパネルに1個変換</v>
      </c>
      <c r="F69" s="47">
        <v>40040613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2"/>
        <v>40040010_40040356</v>
      </c>
      <c r="B70" s="119">
        <v>40040010</v>
      </c>
      <c r="C70" s="119">
        <v>40040356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忍法：黄泉返し！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HP40%で敵単体が復活+敵全体の防御力UP+_x000D_ランダムで黄のダメージパネルに1個変換</v>
      </c>
      <c r="F70" s="47">
        <v>40040614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2"/>
        <v>40040010_40040357</v>
      </c>
      <c r="B71" s="119">
        <v>40040010</v>
      </c>
      <c r="C71" s="119">
        <v>40040357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次はないぜ？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HP50%で敵単体が復活+敵全体の防御力大UP+_x000D_ランダムで赤のダメージパネルに1個変換</v>
      </c>
      <c r="F71" s="47">
        <v>40040615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2"/>
        <v>40040010_40040358</v>
      </c>
      <c r="B72" s="119">
        <v>40040010</v>
      </c>
      <c r="C72" s="119">
        <v>40040358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この程度では半兵衛きゅんに_x000D_面会する資格はないな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HP100%で敵単体が復活+大ダメージの全体攻撃</v>
      </c>
      <c r="F72" s="47">
        <v>40040616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2"/>
        <v>40040010_40040359</v>
      </c>
      <c r="B73" s="119">
        <v>40040010</v>
      </c>
      <c r="C73" s="119">
        <v>40040359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忍法：鼓舞羅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全体攻撃+1ターン敵全体の攻撃力UP</v>
      </c>
      <c r="F73" s="47">
        <v>40040617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3" s="47"/>
      <c r="Q73" s="47"/>
      <c r="R73" s="47"/>
    </row>
    <row r="74" spans="1:18" ht="21" customHeight="1" x14ac:dyDescent="0.15">
      <c r="A74" s="39" t="str">
        <f t="shared" si="12"/>
        <v>40040010_40040360</v>
      </c>
      <c r="B74" s="119">
        <v>40040010</v>
      </c>
      <c r="C74" s="119">
        <v>40040360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忍法：封爆陣・凍心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ハートパネルプロテクト(最大4個)+_x000D_ランダムで青のダメージパネルに1個変換</v>
      </c>
      <c r="F74" s="47">
        <v>40040618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4" s="47"/>
      <c r="Q74" s="47"/>
      <c r="R74" s="47"/>
    </row>
    <row r="75" spans="1:18" ht="21" customHeight="1" x14ac:dyDescent="0.15">
      <c r="A75" s="39" t="str">
        <f t="shared" si="12"/>
        <v>40040010_40040361</v>
      </c>
      <c r="B75" s="119">
        <v>40040010</v>
      </c>
      <c r="C75" s="119">
        <v>40040361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忍法：封爆陣・烈波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青パネルプロテクト(最大4個)+_x000D_ランダムで青のダメージパネルに1個変換</v>
      </c>
      <c r="F75" s="47">
        <v>40040619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5" s="47"/>
      <c r="Q75" s="47"/>
      <c r="R75" s="47"/>
    </row>
    <row r="76" spans="1:18" ht="21" customHeight="1" x14ac:dyDescent="0.15">
      <c r="A76" s="39" t="str">
        <f t="shared" si="12"/>
        <v>40040010_40040385</v>
      </c>
      <c r="B76" s="119">
        <v>40040010</v>
      </c>
      <c r="C76" s="119">
        <v>40040385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その熱意に免じて通してやる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見逃してくれたようだ</v>
      </c>
      <c r="F76" s="47">
        <v>40040648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375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2"/>
        <v>40040011_40040362</v>
      </c>
      <c r="B77" s="119">
        <v>40040011</v>
      </c>
      <c r="C77" s="119">
        <v>40040362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ゆきむー？作戦を中止しろ？_x000D_もう！今更止められないよ！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77" s="47">
        <v>40040620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2"/>
        <v>40040011_40040362</v>
      </c>
      <c r="B78" s="119">
        <v>40040011</v>
      </c>
      <c r="C78" s="119">
        <v>40040362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ゆきむー？作戦を中止しろ？_x000D_もう！今更止められないよ！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78" s="47">
        <v>40040621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2"/>
        <v>40040011_40040363</v>
      </c>
      <c r="B79" s="119">
        <v>40040011</v>
      </c>
      <c r="C79" s="119">
        <v>40040363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殿？作戦中止？今から！？_x000D_もう間に合いませんよ！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79" s="47">
        <v>40040622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2"/>
        <v>40040011_40040363</v>
      </c>
      <c r="B80" s="119">
        <v>40040011</v>
      </c>
      <c r="C80" s="119">
        <v>40040363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殿？作戦中止？今から！？_x000D_もう間に合いませんよ！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80" s="47">
        <v>40040623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2"/>
        <v>40040011_40040364</v>
      </c>
      <c r="B81" s="119">
        <v>40040011</v>
      </c>
      <c r="C81" s="119">
        <v>40040364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バビロニア・タワーは_x000D_ボクたち豊臣勢が調査中だよ★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赤属性スキルダメージ50%軽減</v>
      </c>
      <c r="F81" s="47">
        <v>40040624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2"/>
        <v>40040011_40040365</v>
      </c>
      <c r="B82" s="119">
        <v>40040011</v>
      </c>
      <c r="C82" s="119">
        <v>40040365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ボクが立てた作戦だからね_x000D_投げ出したりしないよ！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2回連続攻撃+_x000D_ランダムで青のダメージパネルに1個変換</v>
      </c>
      <c r="F82" s="47">
        <v>40040625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2" s="47"/>
      <c r="Q82" s="47"/>
      <c r="R82" s="47"/>
    </row>
    <row r="83" spans="1:18" ht="21" customHeight="1" x14ac:dyDescent="0.15">
      <c r="A83" s="39" t="str">
        <f t="shared" si="12"/>
        <v>40040011_40040366</v>
      </c>
      <c r="B83" s="119">
        <v>40040011</v>
      </c>
      <c r="C83" s="119">
        <v>40040366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これも陣営のためだからね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2回連続攻撃+_x000D_残りHPが多いほど威力UP</v>
      </c>
      <c r="F83" s="47">
        <v>40040626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3" s="47"/>
      <c r="Q83" s="47"/>
      <c r="R83" s="47"/>
    </row>
    <row r="84" spans="1:18" ht="21" customHeight="1" x14ac:dyDescent="0.15">
      <c r="A84" s="39" t="str">
        <f t="shared" si="12"/>
        <v>40040011_40040367</v>
      </c>
      <c r="B84" s="119">
        <v>40040011</v>
      </c>
      <c r="C84" s="119">
        <v>40040367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強力なAIたちを迎え入れるんだ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2回連続攻撃+_x000D_残りHPが多いほど威力UP</v>
      </c>
      <c r="F84" s="47">
        <v>40040627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84" s="48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74</v>
      </c>
      <c r="K84" s="48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84" s="47"/>
      <c r="Q84" s="47"/>
      <c r="R84" s="47"/>
    </row>
    <row r="85" spans="1:18" ht="21" customHeight="1" x14ac:dyDescent="0.15">
      <c r="A85" s="39" t="str">
        <f t="shared" si="12"/>
        <v>40040011_40040368</v>
      </c>
      <c r="B85" s="119">
        <v>40040011</v>
      </c>
      <c r="C85" s="119">
        <v>40040368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邪魔するなら排除するよ！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2回連続攻撃+_x000D_残りHPが多いほど威力UP</v>
      </c>
      <c r="F85" s="47">
        <v>40040628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5" s="48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49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5" s="47"/>
      <c r="Q85" s="47"/>
      <c r="R85" s="47"/>
    </row>
    <row r="86" spans="1:18" ht="21" customHeight="1" x14ac:dyDescent="0.15">
      <c r="A86" s="39" t="str">
        <f t="shared" si="12"/>
        <v>40040012_40040369</v>
      </c>
      <c r="B86" s="119">
        <v>40040012</v>
      </c>
      <c r="C86" s="119">
        <v>40040369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防衛陣地構築！急いで！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赤属性スキルダメージ75%軽減+_x000D_3ターン属性パネルは確率でプロテクトされてドロップ</v>
      </c>
      <c r="F86" s="47">
        <v>40040629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2"/>
        <v>40040012_40040370</v>
      </c>
      <c r="B87" s="119">
        <v>40040012</v>
      </c>
      <c r="C87" s="119">
        <v>40040370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信長サンが取りこぼした_x000D_天下ってやつをさ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緑パネルを赤パネルに変換(最大10個)</v>
      </c>
      <c r="F87" s="47">
        <v>40040630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2"/>
        <v>40040012_40040371</v>
      </c>
      <c r="B88" s="119">
        <v>40040012</v>
      </c>
      <c r="C88" s="119">
        <v>40040371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殿といっしょに取りに行くんだ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赤パネルを赤のダメージパネルに変換(最大3個)</v>
      </c>
      <c r="F88" s="47">
        <v>40040631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2"/>
        <v>40040012_40040372</v>
      </c>
      <c r="B89" s="119">
        <v>40040012</v>
      </c>
      <c r="C89" s="119">
        <v>40040372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さぁさぁ盛大にどうぞ！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赤パネルを赤のダメージパネルに変換(最大3個)+_x000D_青パネルを青のボムパネル(大)に変換(最大1個)</v>
      </c>
      <c r="F89" s="47">
        <v>40040632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2"/>
        <v>40040012_40040373</v>
      </c>
      <c r="B90" s="119">
        <v>40040012</v>
      </c>
      <c r="C90" s="119">
        <v>40040373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まとめて★どっかーん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90" s="47">
        <v>40040633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2"/>
        <v>40040013_40040374</v>
      </c>
      <c r="B91" s="119">
        <v>40040013</v>
      </c>
      <c r="C91" s="119">
        <v>40040374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管理AIクラス…_x000D_支配下に組み入れたいなぁ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赤属性スキルダメージ10%反射+_x000D_3ターン属性パネルは確率でプロテクトされてドロップ</v>
      </c>
      <c r="F91" s="47">
        <v>40040634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2"/>
        <v>40040013_40040375</v>
      </c>
      <c r="B92" s="119">
        <v>40040013</v>
      </c>
      <c r="C92" s="119">
        <v>40040375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ボクが！殿を！_x000D_天下人にするんだっ！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全体攻撃+ランダムで青のダメージパネルに2個変換</v>
      </c>
      <c r="F92" s="47">
        <v>40040635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2" s="47"/>
      <c r="Q92" s="47"/>
      <c r="R92" s="47"/>
    </row>
    <row r="93" spans="1:18" ht="21" customHeight="1" x14ac:dyDescent="0.15">
      <c r="A93" s="39" t="str">
        <f t="shared" si="12"/>
        <v>40040013_40040376</v>
      </c>
      <c r="B93" s="119">
        <v>40040013</v>
      </c>
      <c r="C93" s="119">
        <v>40040376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邪魔しないでねっ！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2回連続攻撃+ランダムで青のダメージパネルに2個変換</v>
      </c>
      <c r="F93" s="47">
        <v>40040636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3" s="47"/>
      <c r="Q93" s="47"/>
      <c r="R93" s="47"/>
    </row>
    <row r="94" spans="1:18" ht="21" customHeight="1" x14ac:dyDescent="0.15">
      <c r="A94" s="39" t="str">
        <f t="shared" si="12"/>
        <v>40040013_40040377</v>
      </c>
      <c r="B94" s="119">
        <v>40040013</v>
      </c>
      <c r="C94" s="119">
        <v>40040377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強力なAIを手にいれるんだ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黄パネルプロテクト(最大4個)+_x000D_1ターン黄パネルはプロテクトされてドロップ</v>
      </c>
      <c r="F94" s="47">
        <v>40040637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4" s="48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4" s="47"/>
      <c r="Q94" s="47"/>
      <c r="R94" s="47"/>
    </row>
    <row r="95" spans="1:18" ht="21" customHeight="1" x14ac:dyDescent="0.15">
      <c r="A95" s="39" t="str">
        <f t="shared" si="12"/>
        <v>40040013_40040378</v>
      </c>
      <c r="B95" s="119">
        <v>40040013</v>
      </c>
      <c r="C95" s="119">
        <v>40040378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危険だから★触っちゃダメだよ？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ダメージパネルをプロテクト</v>
      </c>
      <c r="F95" s="47">
        <v>40040638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5" s="48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5" s="47"/>
      <c r="Q95" s="47"/>
      <c r="R95" s="47"/>
    </row>
    <row r="96" spans="1:18" ht="21" customHeight="1" x14ac:dyDescent="0.15">
      <c r="A96" s="39" t="str">
        <f t="shared" si="12"/>
        <v>40040013_40040379</v>
      </c>
      <c r="B96" s="119">
        <v>40040013</v>
      </c>
      <c r="C96" s="119">
        <v>40040379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もっとまとめて★どっかーん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96" s="47">
        <v>40040639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6" s="47"/>
      <c r="Q96" s="47"/>
      <c r="R96" s="47"/>
    </row>
    <row r="97" spans="1:18" ht="21" customHeight="1" x14ac:dyDescent="0.15">
      <c r="A97" s="39" t="str">
        <f t="shared" si="12"/>
        <v>40040013_40040380</v>
      </c>
      <c r="B97" s="119">
        <v>40040013</v>
      </c>
      <c r="C97" s="119">
        <v>40040380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信長サンも認めたアレでいくよ！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ハートパネルプロテクト(最大4個)+_x000D_1ターン属性パネルは確率でプロテクトされてドロップ+_x000D_次のターン強力な攻撃</v>
      </c>
      <c r="F97" s="47">
        <v>40040640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2"/>
        <v>40040013_40040381</v>
      </c>
      <c r="B98" s="119">
        <v>40040013</v>
      </c>
      <c r="C98" s="119">
        <v>40040381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くらえ！十面埋伏陣っ！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10回連続攻撃+Cパネルプロテクト(最大4個)+_x000D_2ターンユニット全体の攻撃をカウンター+_x000D_青&amp;赤パネルを青のダメージパネルに変換(最大6個)</v>
      </c>
      <c r="F98" s="47">
        <v>40040641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2"/>
        <v>40040013_40040382</v>
      </c>
      <c r="B99" s="119">
        <v>40040013</v>
      </c>
      <c r="C99" s="119">
        <v>40040382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くっ……ゆきむー……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殿を……頼んだよ……</v>
      </c>
      <c r="F99" s="47">
        <v>40040642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2"/>
        <v>40040013_40040382</v>
      </c>
      <c r="B100" s="119">
        <v>40040013</v>
      </c>
      <c r="C100" s="119">
        <v>40040382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くっ……ゆきむー……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殿を……頼んだよ……</v>
      </c>
      <c r="F100" s="47">
        <v>40040643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2"/>
        <v>40040013_40040383</v>
      </c>
      <c r="B101" s="119">
        <v>40040013</v>
      </c>
      <c r="C101" s="119">
        <v>40040383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さすが殿……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ボクも天下取りに……連れて行って……</v>
      </c>
      <c r="F101" s="47">
        <v>40040644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2"/>
        <v>40040013_40040383</v>
      </c>
      <c r="B102" s="119">
        <v>40040013</v>
      </c>
      <c r="C102" s="119">
        <v>40040383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さすが殿……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ボクも天下取りに……連れて行って……</v>
      </c>
      <c r="F102" s="47">
        <v>40040645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12"/>
        <v>40040013_40040384</v>
      </c>
      <c r="B103" s="119">
        <v>40040013</v>
      </c>
      <c r="C103" s="119">
        <v>40040384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キミ達は殿の邪魔になるッ！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殿を……殿をお守りしないとっ……</v>
      </c>
      <c r="F103" s="47">
        <v>40040646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G30" sqref="G3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40040</v>
      </c>
      <c r="B2" s="57">
        <v>1</v>
      </c>
      <c r="C2" s="70" t="str">
        <f>A2&amp; "_"&amp;B2</f>
        <v>40040_1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169</v>
      </c>
      <c r="G2" s="57">
        <v>40000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150</v>
      </c>
      <c r="Q2" s="57" t="s">
        <v>171</v>
      </c>
      <c r="R2" s="57" t="s">
        <v>172</v>
      </c>
    </row>
    <row r="3" spans="1:18" x14ac:dyDescent="0.15">
      <c r="A3" s="57">
        <f>A2</f>
        <v>40040</v>
      </c>
      <c r="B3" s="57">
        <v>1</v>
      </c>
      <c r="C3" s="70" t="str">
        <f t="shared" ref="C3:C12" si="0">A3&amp; "_"&amp;B3</f>
        <v>40040_1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268</v>
      </c>
      <c r="G3" s="57">
        <v>30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171</v>
      </c>
      <c r="R3" s="57" t="s">
        <v>172</v>
      </c>
    </row>
    <row r="4" spans="1:18" x14ac:dyDescent="0.15">
      <c r="A4" s="57">
        <f t="shared" ref="A4:A18" si="1">A3</f>
        <v>40040</v>
      </c>
      <c r="B4" s="57">
        <v>1</v>
      </c>
      <c r="C4" s="70" t="str">
        <f t="shared" si="0"/>
        <v>40040_1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269</v>
      </c>
      <c r="G4" s="57">
        <v>1240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100</v>
      </c>
      <c r="Q4" s="57" t="s">
        <v>171</v>
      </c>
      <c r="R4" s="57" t="s">
        <v>172</v>
      </c>
    </row>
    <row r="5" spans="1:18" x14ac:dyDescent="0.15">
      <c r="A5" s="57">
        <f t="shared" si="1"/>
        <v>40040</v>
      </c>
      <c r="B5" s="57">
        <v>1</v>
      </c>
      <c r="C5" s="70" t="str">
        <f t="shared" si="0"/>
        <v>40040_1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269</v>
      </c>
      <c r="G5" s="57">
        <v>341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28</v>
      </c>
      <c r="Q5" s="57" t="s">
        <v>171</v>
      </c>
      <c r="R5" s="57" t="s">
        <v>172</v>
      </c>
    </row>
    <row r="6" spans="1:18" x14ac:dyDescent="0.15">
      <c r="A6" s="57">
        <f t="shared" si="1"/>
        <v>40040</v>
      </c>
      <c r="B6" s="57">
        <v>1</v>
      </c>
      <c r="C6" s="70" t="str">
        <f t="shared" si="0"/>
        <v>40040_1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269</v>
      </c>
      <c r="G6" s="57">
        <v>342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112</v>
      </c>
      <c r="Q6" s="57" t="s">
        <v>171</v>
      </c>
      <c r="R6" s="57" t="s">
        <v>172</v>
      </c>
    </row>
    <row r="7" spans="1:18" x14ac:dyDescent="0.15">
      <c r="A7" s="57">
        <f t="shared" si="1"/>
        <v>40040</v>
      </c>
      <c r="B7" s="57">
        <v>1</v>
      </c>
      <c r="C7" s="70" t="str">
        <f t="shared" si="0"/>
        <v>40040_1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269</v>
      </c>
      <c r="G7" s="57">
        <v>352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150</v>
      </c>
      <c r="Q7" s="57" t="s">
        <v>171</v>
      </c>
      <c r="R7" s="57" t="s">
        <v>172</v>
      </c>
    </row>
    <row r="8" spans="1:18" x14ac:dyDescent="0.15">
      <c r="A8" s="57">
        <f t="shared" si="1"/>
        <v>40040</v>
      </c>
      <c r="B8" s="57">
        <v>1</v>
      </c>
      <c r="C8" s="70" t="str">
        <f t="shared" si="0"/>
        <v>40040_1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269</v>
      </c>
      <c r="G8" s="57">
        <v>121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100</v>
      </c>
      <c r="Q8" s="57" t="s">
        <v>171</v>
      </c>
      <c r="R8" s="57" t="s">
        <v>172</v>
      </c>
    </row>
    <row r="9" spans="1:18" x14ac:dyDescent="0.15">
      <c r="A9" s="57">
        <f t="shared" si="1"/>
        <v>40040</v>
      </c>
      <c r="B9" s="57">
        <v>1</v>
      </c>
      <c r="C9" s="70" t="str">
        <f t="shared" si="0"/>
        <v>40040_1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269</v>
      </c>
      <c r="G9" s="57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100</v>
      </c>
      <c r="Q9" s="57" t="s">
        <v>171</v>
      </c>
      <c r="R9" s="57" t="s">
        <v>172</v>
      </c>
    </row>
    <row r="10" spans="1:18" x14ac:dyDescent="0.15">
      <c r="A10" s="57">
        <f t="shared" si="1"/>
        <v>40040</v>
      </c>
      <c r="B10" s="57">
        <v>1</v>
      </c>
      <c r="C10" s="70" t="str">
        <f t="shared" si="0"/>
        <v>40040_1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269</v>
      </c>
      <c r="G10" s="57">
        <v>123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100</v>
      </c>
      <c r="Q10" s="57" t="s">
        <v>171</v>
      </c>
      <c r="R10" s="57" t="s">
        <v>172</v>
      </c>
    </row>
    <row r="11" spans="1:18" x14ac:dyDescent="0.15">
      <c r="A11" s="57">
        <f t="shared" si="1"/>
        <v>40040</v>
      </c>
      <c r="B11" s="57">
        <v>1</v>
      </c>
      <c r="C11" s="70" t="str">
        <f t="shared" si="0"/>
        <v>40040_1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269</v>
      </c>
      <c r="G11" s="57">
        <v>125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</v>
      </c>
      <c r="Q11" s="57" t="s">
        <v>171</v>
      </c>
      <c r="R11" s="57" t="s">
        <v>172</v>
      </c>
    </row>
    <row r="12" spans="1:18" x14ac:dyDescent="0.15">
      <c r="A12" s="57">
        <f t="shared" si="1"/>
        <v>40040</v>
      </c>
      <c r="B12" s="57">
        <v>2</v>
      </c>
      <c r="C12" s="70" t="str">
        <f t="shared" si="0"/>
        <v>40040_2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269</v>
      </c>
      <c r="G12" s="57">
        <v>1240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500</v>
      </c>
      <c r="Q12" s="57" t="s">
        <v>171</v>
      </c>
      <c r="R12" s="57" t="s">
        <v>172</v>
      </c>
    </row>
    <row r="13" spans="1:18" x14ac:dyDescent="0.15">
      <c r="A13" s="57">
        <f t="shared" si="1"/>
        <v>40040</v>
      </c>
      <c r="B13" s="57">
        <v>2</v>
      </c>
      <c r="C13" s="70" t="str">
        <f t="shared" ref="C13:C18" si="2">A13&amp; "_"&amp;B13</f>
        <v>40040_2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269</v>
      </c>
      <c r="G13" s="57">
        <v>342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50</v>
      </c>
      <c r="Q13" s="57" t="s">
        <v>171</v>
      </c>
      <c r="R13" s="57" t="s">
        <v>172</v>
      </c>
    </row>
    <row r="14" spans="1:18" x14ac:dyDescent="0.15">
      <c r="A14" s="57">
        <f t="shared" si="1"/>
        <v>40040</v>
      </c>
      <c r="B14" s="57">
        <v>2</v>
      </c>
      <c r="C14" s="70" t="str">
        <f t="shared" si="2"/>
        <v>40040_2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269</v>
      </c>
      <c r="G14" s="57">
        <v>352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120</v>
      </c>
      <c r="Q14" s="57" t="s">
        <v>171</v>
      </c>
      <c r="R14" s="57" t="s">
        <v>172</v>
      </c>
    </row>
    <row r="15" spans="1:18" x14ac:dyDescent="0.15">
      <c r="A15" s="57">
        <f t="shared" si="1"/>
        <v>40040</v>
      </c>
      <c r="B15" s="57">
        <v>2</v>
      </c>
      <c r="C15" s="70" t="str">
        <f t="shared" si="2"/>
        <v>40040_2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269</v>
      </c>
      <c r="G15" s="57">
        <v>607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171</v>
      </c>
      <c r="R15" s="57" t="s">
        <v>172</v>
      </c>
    </row>
    <row r="16" spans="1:18" x14ac:dyDescent="0.15">
      <c r="A16" s="57">
        <f t="shared" si="1"/>
        <v>40040</v>
      </c>
      <c r="B16" s="57">
        <v>2</v>
      </c>
      <c r="C16" s="70" t="str">
        <f t="shared" si="2"/>
        <v>40040_2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15</v>
      </c>
      <c r="F16" s="57" t="s">
        <v>269</v>
      </c>
      <c r="G16" s="57">
        <v>608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100</v>
      </c>
      <c r="Q16" s="57" t="s">
        <v>171</v>
      </c>
      <c r="R16" s="57" t="s">
        <v>172</v>
      </c>
    </row>
    <row r="17" spans="1:18" x14ac:dyDescent="0.15">
      <c r="A17" s="57">
        <f t="shared" si="1"/>
        <v>40040</v>
      </c>
      <c r="B17" s="57">
        <v>2</v>
      </c>
      <c r="C17" s="70" t="str">
        <f t="shared" si="2"/>
        <v>40040_2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16</v>
      </c>
      <c r="F17" s="57" t="s">
        <v>269</v>
      </c>
      <c r="G17" s="57">
        <v>609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100</v>
      </c>
      <c r="Q17" s="57" t="s">
        <v>171</v>
      </c>
      <c r="R17" s="57" t="s">
        <v>172</v>
      </c>
    </row>
    <row r="18" spans="1:18" x14ac:dyDescent="0.15">
      <c r="A18" s="57">
        <f t="shared" si="1"/>
        <v>40040</v>
      </c>
      <c r="B18" s="57">
        <v>2</v>
      </c>
      <c r="C18" s="70" t="str">
        <f t="shared" si="2"/>
        <v>40040_2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7">
        <v>17</v>
      </c>
      <c r="F18" s="57" t="s">
        <v>269</v>
      </c>
      <c r="G18" s="57">
        <v>125</v>
      </c>
      <c r="H18" s="57">
        <v>1</v>
      </c>
      <c r="I18" s="57">
        <v>1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30</v>
      </c>
      <c r="Q18" s="57" t="s">
        <v>171</v>
      </c>
      <c r="R18" s="57" t="s">
        <v>172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31" sqref="H31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189</v>
      </c>
      <c r="B1" s="72" t="s">
        <v>190</v>
      </c>
      <c r="C1" s="76" t="s">
        <v>191</v>
      </c>
      <c r="D1" s="76" t="s">
        <v>33</v>
      </c>
      <c r="E1" s="72" t="s">
        <v>192</v>
      </c>
      <c r="F1" s="76" t="s">
        <v>193</v>
      </c>
      <c r="G1" s="76" t="s">
        <v>33</v>
      </c>
      <c r="H1" s="72" t="s">
        <v>194</v>
      </c>
      <c r="I1" s="90" t="s">
        <v>196</v>
      </c>
      <c r="J1" s="78" t="s">
        <v>127</v>
      </c>
      <c r="K1" s="77" t="s">
        <v>188</v>
      </c>
      <c r="L1" s="91" t="s">
        <v>187</v>
      </c>
      <c r="M1" s="79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M6" sqref="M6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189</v>
      </c>
      <c r="B1" s="72" t="s">
        <v>151</v>
      </c>
      <c r="C1" s="76" t="s">
        <v>191</v>
      </c>
      <c r="D1" s="76" t="s">
        <v>33</v>
      </c>
      <c r="E1" s="72" t="s">
        <v>192</v>
      </c>
      <c r="F1" s="76" t="s">
        <v>18</v>
      </c>
      <c r="G1" s="76" t="s">
        <v>33</v>
      </c>
      <c r="H1" s="72" t="s">
        <v>194</v>
      </c>
      <c r="I1" s="88" t="s">
        <v>195</v>
      </c>
      <c r="J1" s="90" t="s">
        <v>196</v>
      </c>
      <c r="K1" s="78" t="s">
        <v>127</v>
      </c>
      <c r="L1" s="77" t="s">
        <v>188</v>
      </c>
      <c r="M1" s="91" t="s">
        <v>187</v>
      </c>
      <c r="N1" s="79" t="s">
        <v>197</v>
      </c>
    </row>
    <row r="2" spans="1:14" ht="56" x14ac:dyDescent="0.15">
      <c r="A2" s="80" t="s">
        <v>198</v>
      </c>
      <c r="B2" s="81">
        <f>floors!$C$2</f>
        <v>40040</v>
      </c>
      <c r="C2" s="82" t="str">
        <f ca="1">VLOOKUP($B2,OFFSET([2]quests!$A$1,0,0,COUNTA([2]quests!$A:$A),MATCH(C$1,[2]quests!$1:$1,0)-MATCH($B$1,[2]quests!$1:$1,0)+1),MATCH(C$1,[2]quests!$1:$1,0)-MATCH($B$1,[2]quests!$1:$1,0)+1,FALSE)</f>
        <v>竹中半兵衛襲来！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降臨40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【超絶級】竹中半兵衛襲来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降臨40</v>
      </c>
      <c r="H2" s="84">
        <v>1</v>
      </c>
      <c r="I2" s="89">
        <f>ROW()-1</f>
        <v>1</v>
      </c>
      <c r="J2" s="85" t="str">
        <f>B2&amp;TEXT(I2,"00")</f>
        <v>4004001</v>
      </c>
      <c r="K2" s="83" t="s">
        <v>199</v>
      </c>
      <c r="L2" s="86" t="s">
        <v>200</v>
      </c>
      <c r="M2" s="113" t="s">
        <v>403</v>
      </c>
      <c r="N2" s="57" t="s">
        <v>201</v>
      </c>
    </row>
    <row r="3" spans="1:14" ht="56" x14ac:dyDescent="0.15">
      <c r="A3" s="80" t="s">
        <v>198</v>
      </c>
      <c r="B3" s="81">
        <f>floors!$C$2</f>
        <v>40040</v>
      </c>
      <c r="C3" s="82" t="str">
        <f ca="1">VLOOKUP($B3,OFFSET([2]quests!$A$1,0,0,COUNTA([2]quests!$A:$A),MATCH(C$1,[2]quests!$1:$1,0)-MATCH($B$1,[2]quests!$1:$1,0)+1),MATCH(C$1,[2]quests!$1:$1,0)-MATCH($B$1,[2]quests!$1:$1,0)+1,FALSE)</f>
        <v>竹中半兵衛襲来！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降臨40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【超絶級】竹中半兵衛襲来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降臨40</v>
      </c>
      <c r="H3" s="84">
        <v>2</v>
      </c>
      <c r="I3" s="89">
        <f t="shared" ref="I3:I13" si="0">ROW()-1</f>
        <v>2</v>
      </c>
      <c r="J3" s="85" t="str">
        <f t="shared" ref="J3:J12" si="1">B3&amp;TEXT(I3,"00")</f>
        <v>4004002</v>
      </c>
      <c r="K3" s="83" t="s">
        <v>199</v>
      </c>
      <c r="L3" s="86" t="s">
        <v>200</v>
      </c>
      <c r="M3" s="113" t="s">
        <v>299</v>
      </c>
      <c r="N3" s="57" t="s">
        <v>201</v>
      </c>
    </row>
    <row r="4" spans="1:14" ht="42" x14ac:dyDescent="0.15">
      <c r="A4" s="80" t="s">
        <v>198</v>
      </c>
      <c r="B4" s="81">
        <f>floors!$C$2</f>
        <v>40040</v>
      </c>
      <c r="C4" s="82" t="str">
        <f ca="1">VLOOKUP($B4,OFFSET([2]quests!$A$1,0,0,COUNTA([2]quests!$A:$A),MATCH(C$1,[2]quests!$1:$1,0)-MATCH($B$1,[2]quests!$1:$1,0)+1),MATCH(C$1,[2]quests!$1:$1,0)-MATCH($B$1,[2]quests!$1:$1,0)+1,FALSE)</f>
        <v>竹中半兵衛襲来！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降臨40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【超絶級】竹中半兵衛襲来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降臨40</v>
      </c>
      <c r="H4" s="84">
        <v>3</v>
      </c>
      <c r="I4" s="89">
        <f t="shared" si="0"/>
        <v>3</v>
      </c>
      <c r="J4" s="85" t="str">
        <f t="shared" si="1"/>
        <v>4004003</v>
      </c>
      <c r="K4" s="83" t="s">
        <v>199</v>
      </c>
      <c r="L4" s="86" t="s">
        <v>200</v>
      </c>
      <c r="M4" s="113" t="s">
        <v>298</v>
      </c>
      <c r="N4" s="57" t="s">
        <v>201</v>
      </c>
    </row>
    <row r="5" spans="1:14" ht="56" x14ac:dyDescent="0.15">
      <c r="A5" s="80" t="s">
        <v>198</v>
      </c>
      <c r="B5" s="81">
        <f>floors!$C$2</f>
        <v>40040</v>
      </c>
      <c r="C5" s="82" t="str">
        <f ca="1">VLOOKUP($B5,OFFSET([2]quests!$A$1,0,0,COUNTA([2]quests!$A:$A),MATCH(C$1,[2]quests!$1:$1,0)-MATCH($B$1,[2]quests!$1:$1,0)+1),MATCH(C$1,[2]quests!$1:$1,0)-MATCH($B$1,[2]quests!$1:$1,0)+1,FALSE)</f>
        <v>竹中半兵衛襲来！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降臨40</v>
      </c>
      <c r="E5" s="83">
        <v>2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【ウィザード級】竹中半兵衛襲来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降臨40</v>
      </c>
      <c r="H5" s="84">
        <v>1</v>
      </c>
      <c r="I5" s="89">
        <f t="shared" si="0"/>
        <v>4</v>
      </c>
      <c r="J5" s="85" t="str">
        <f t="shared" si="1"/>
        <v>4004004</v>
      </c>
      <c r="K5" s="83" t="s">
        <v>199</v>
      </c>
      <c r="L5" s="86" t="s">
        <v>200</v>
      </c>
      <c r="M5" s="113" t="s">
        <v>403</v>
      </c>
      <c r="N5" s="57" t="s">
        <v>201</v>
      </c>
    </row>
    <row r="6" spans="1:14" ht="56" x14ac:dyDescent="0.15">
      <c r="A6" s="80" t="s">
        <v>198</v>
      </c>
      <c r="B6" s="81">
        <f>floors!$C$2</f>
        <v>40040</v>
      </c>
      <c r="C6" s="82" t="str">
        <f ca="1">VLOOKUP($B6,OFFSET([2]quests!$A$1,0,0,COUNTA([2]quests!$A:$A),MATCH(C$1,[2]quests!$1:$1,0)-MATCH($B$1,[2]quests!$1:$1,0)+1),MATCH(C$1,[2]quests!$1:$1,0)-MATCH($B$1,[2]quests!$1:$1,0)+1,FALSE)</f>
        <v>竹中半兵衛襲来！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降臨40</v>
      </c>
      <c r="E6" s="83">
        <v>2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【ウィザード級】竹中半兵衛襲来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降臨40</v>
      </c>
      <c r="H6" s="84">
        <v>2</v>
      </c>
      <c r="I6" s="89">
        <f t="shared" si="0"/>
        <v>5</v>
      </c>
      <c r="J6" s="85" t="str">
        <f t="shared" si="1"/>
        <v>4004005</v>
      </c>
      <c r="K6" s="83" t="s">
        <v>199</v>
      </c>
      <c r="L6" s="86" t="s">
        <v>200</v>
      </c>
      <c r="M6" s="113" t="s">
        <v>299</v>
      </c>
      <c r="N6" s="57" t="s">
        <v>201</v>
      </c>
    </row>
    <row r="7" spans="1:14" ht="42" x14ac:dyDescent="0.15">
      <c r="A7" s="80" t="s">
        <v>198</v>
      </c>
      <c r="B7" s="81">
        <f>floors!$C$2</f>
        <v>40040</v>
      </c>
      <c r="C7" s="82" t="str">
        <f ca="1">VLOOKUP($B7,OFFSET([2]quests!$A$1,0,0,COUNTA([2]quests!$A:$A),MATCH(C$1,[2]quests!$1:$1,0)-MATCH($B$1,[2]quests!$1:$1,0)+1),MATCH(C$1,[2]quests!$1:$1,0)-MATCH($B$1,[2]quests!$1:$1,0)+1,FALSE)</f>
        <v>竹中半兵衛襲来！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降臨40</v>
      </c>
      <c r="E7" s="83">
        <v>2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【ウィザード級】竹中半兵衛襲来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降臨40</v>
      </c>
      <c r="H7" s="84">
        <v>3</v>
      </c>
      <c r="I7" s="89">
        <f t="shared" si="0"/>
        <v>6</v>
      </c>
      <c r="J7" s="85" t="str">
        <f t="shared" si="1"/>
        <v>4004006</v>
      </c>
      <c r="K7" s="83" t="s">
        <v>199</v>
      </c>
      <c r="L7" s="86" t="s">
        <v>200</v>
      </c>
      <c r="M7" s="113" t="s">
        <v>298</v>
      </c>
      <c r="N7" s="57" t="s">
        <v>201</v>
      </c>
    </row>
    <row r="8" spans="1:14" ht="42" x14ac:dyDescent="0.15">
      <c r="A8" s="80" t="s">
        <v>202</v>
      </c>
      <c r="B8" s="81">
        <f>floors!$C$2</f>
        <v>40040</v>
      </c>
      <c r="C8" s="82" t="str">
        <f ca="1">VLOOKUP($B8,OFFSET([2]quests!$A$1,0,0,COUNTA([2]quests!$A:$A),MATCH(C$1,[2]quests!$1:$1,0)-MATCH($B$1,[2]quests!$1:$1,0)+1),MATCH(C$1,[2]quests!$1:$1,0)-MATCH($B$1,[2]quests!$1:$1,0)+1,FALSE)</f>
        <v>竹中半兵衛襲来！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降臨40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【超絶級】竹中半兵衛襲来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降臨40</v>
      </c>
      <c r="H8" s="84">
        <v>0</v>
      </c>
      <c r="I8" s="89">
        <f t="shared" si="0"/>
        <v>7</v>
      </c>
      <c r="J8" s="85" t="str">
        <f t="shared" si="1"/>
        <v>4004007</v>
      </c>
      <c r="K8" s="83" t="s">
        <v>199</v>
      </c>
      <c r="L8" s="86" t="s">
        <v>304</v>
      </c>
      <c r="M8" s="113" t="s">
        <v>387</v>
      </c>
      <c r="N8" s="57" t="s">
        <v>201</v>
      </c>
    </row>
    <row r="9" spans="1:14" ht="56" x14ac:dyDescent="0.15">
      <c r="A9" s="80" t="s">
        <v>202</v>
      </c>
      <c r="B9" s="81">
        <f>floors!$C$2</f>
        <v>40040</v>
      </c>
      <c r="C9" s="82" t="str">
        <f ca="1">VLOOKUP($B9,OFFSET([2]quests!$A$1,0,0,COUNTA([2]quests!$A:$A),MATCH(C$1,[2]quests!$1:$1,0)-MATCH($B$1,[2]quests!$1:$1,0)+1),MATCH(C$1,[2]quests!$1:$1,0)-MATCH($B$1,[2]quests!$1:$1,0)+1,FALSE)</f>
        <v>竹中半兵衛襲来！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降臨40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【超絶級】竹中半兵衛襲来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降臨40</v>
      </c>
      <c r="H9" s="84">
        <v>0</v>
      </c>
      <c r="I9" s="89">
        <f t="shared" si="0"/>
        <v>8</v>
      </c>
      <c r="J9" s="85" t="str">
        <f t="shared" si="1"/>
        <v>4004008</v>
      </c>
      <c r="K9" s="83" t="s">
        <v>199</v>
      </c>
      <c r="L9" s="86" t="s">
        <v>302</v>
      </c>
      <c r="M9" s="113" t="s">
        <v>301</v>
      </c>
      <c r="N9" s="57" t="s">
        <v>201</v>
      </c>
    </row>
    <row r="10" spans="1:14" ht="56" x14ac:dyDescent="0.15">
      <c r="A10" s="80" t="s">
        <v>202</v>
      </c>
      <c r="B10" s="81">
        <f>floors!$C$2</f>
        <v>40040</v>
      </c>
      <c r="C10" s="82" t="str">
        <f ca="1">VLOOKUP($B10,OFFSET([2]quests!$A$1,0,0,COUNTA([2]quests!$A:$A),MATCH(C$1,[2]quests!$1:$1,0)-MATCH($B$1,[2]quests!$1:$1,0)+1),MATCH(C$1,[2]quests!$1:$1,0)-MATCH($B$1,[2]quests!$1:$1,0)+1,FALSE)</f>
        <v>竹中半兵衛襲来！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降臨40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【超絶級】竹中半兵衛襲来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降臨40</v>
      </c>
      <c r="H10" s="84">
        <v>0</v>
      </c>
      <c r="I10" s="89">
        <f t="shared" si="0"/>
        <v>9</v>
      </c>
      <c r="J10" s="85" t="str">
        <f t="shared" si="1"/>
        <v>4004009</v>
      </c>
      <c r="K10" s="83" t="s">
        <v>199</v>
      </c>
      <c r="L10" s="86" t="s">
        <v>303</v>
      </c>
      <c r="M10" s="113" t="s">
        <v>300</v>
      </c>
      <c r="N10" s="57" t="s">
        <v>201</v>
      </c>
    </row>
    <row r="11" spans="1:14" ht="42" x14ac:dyDescent="0.15">
      <c r="A11" s="80" t="s">
        <v>202</v>
      </c>
      <c r="B11" s="81">
        <f>floors!$C$2</f>
        <v>40040</v>
      </c>
      <c r="C11" s="82" t="str">
        <f ca="1">VLOOKUP($B11,OFFSET([2]quests!$A$1,0,0,COUNTA([2]quests!$A:$A),MATCH(C$1,[2]quests!$1:$1,0)-MATCH($B$1,[2]quests!$1:$1,0)+1),MATCH(C$1,[2]quests!$1:$1,0)-MATCH($B$1,[2]quests!$1:$1,0)+1,FALSE)</f>
        <v>竹中半兵衛襲来！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降臨40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【ウィザード級】竹中半兵衛襲来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降臨40</v>
      </c>
      <c r="H11" s="84">
        <v>0</v>
      </c>
      <c r="I11" s="89">
        <f t="shared" si="0"/>
        <v>10</v>
      </c>
      <c r="J11" s="85" t="str">
        <f t="shared" si="1"/>
        <v>4004010</v>
      </c>
      <c r="K11" s="83" t="s">
        <v>199</v>
      </c>
      <c r="L11" s="86" t="s">
        <v>304</v>
      </c>
      <c r="M11" s="113" t="s">
        <v>387</v>
      </c>
      <c r="N11" s="57" t="s">
        <v>201</v>
      </c>
    </row>
    <row r="12" spans="1:14" ht="56" x14ac:dyDescent="0.15">
      <c r="A12" s="80" t="s">
        <v>202</v>
      </c>
      <c r="B12" s="81">
        <f>floors!$C$2</f>
        <v>40040</v>
      </c>
      <c r="C12" s="82" t="str">
        <f ca="1">VLOOKUP($B12,OFFSET([2]quests!$A$1,0,0,COUNTA([2]quests!$A:$A),MATCH(C$1,[2]quests!$1:$1,0)-MATCH($B$1,[2]quests!$1:$1,0)+1),MATCH(C$1,[2]quests!$1:$1,0)-MATCH($B$1,[2]quests!$1:$1,0)+1,FALSE)</f>
        <v>竹中半兵衛襲来！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降臨40</v>
      </c>
      <c r="E12" s="83">
        <v>2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【ウィザード級】竹中半兵衛襲来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降臨40</v>
      </c>
      <c r="H12" s="84">
        <v>0</v>
      </c>
      <c r="I12" s="89">
        <f t="shared" si="0"/>
        <v>11</v>
      </c>
      <c r="J12" s="85" t="str">
        <f t="shared" si="1"/>
        <v>4004011</v>
      </c>
      <c r="K12" s="83" t="s">
        <v>199</v>
      </c>
      <c r="L12" s="86" t="s">
        <v>302</v>
      </c>
      <c r="M12" s="113" t="s">
        <v>301</v>
      </c>
      <c r="N12" s="57" t="s">
        <v>201</v>
      </c>
    </row>
    <row r="13" spans="1:14" ht="56" x14ac:dyDescent="0.15">
      <c r="A13" s="80" t="s">
        <v>202</v>
      </c>
      <c r="B13" s="81">
        <f>floors!$C$2</f>
        <v>40040</v>
      </c>
      <c r="C13" s="82" t="str">
        <f ca="1">VLOOKUP($B13,OFFSET([2]quests!$A$1,0,0,COUNTA([2]quests!$A:$A),MATCH(C$1,[2]quests!$1:$1,0)-MATCH($B$1,[2]quests!$1:$1,0)+1),MATCH(C$1,[2]quests!$1:$1,0)-MATCH($B$1,[2]quests!$1:$1,0)+1,FALSE)</f>
        <v>竹中半兵衛襲来！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降臨40</v>
      </c>
      <c r="E13" s="83">
        <v>2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【ウィザード級】竹中半兵衛襲来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降臨40</v>
      </c>
      <c r="H13" s="84">
        <v>0</v>
      </c>
      <c r="I13" s="89">
        <f t="shared" si="0"/>
        <v>12</v>
      </c>
      <c r="J13" s="85" t="str">
        <f t="shared" ref="J13" si="2">B13&amp;TEXT(I13,"00")</f>
        <v>4004012</v>
      </c>
      <c r="K13" s="83" t="s">
        <v>199</v>
      </c>
      <c r="L13" s="86" t="s">
        <v>303</v>
      </c>
      <c r="M13" s="113" t="s">
        <v>300</v>
      </c>
      <c r="N13" s="57" t="s">
        <v>201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K2" sqref="K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214</v>
      </c>
      <c r="B1" s="94" t="s">
        <v>215</v>
      </c>
      <c r="C1" s="76" t="s">
        <v>216</v>
      </c>
      <c r="D1" s="76" t="s">
        <v>33</v>
      </c>
      <c r="E1" s="94" t="s">
        <v>217</v>
      </c>
      <c r="F1" s="76" t="s">
        <v>218</v>
      </c>
      <c r="G1" s="76" t="s">
        <v>33</v>
      </c>
      <c r="H1" s="94" t="s">
        <v>219</v>
      </c>
      <c r="I1" s="94" t="s">
        <v>220</v>
      </c>
      <c r="J1" s="94" t="s">
        <v>221</v>
      </c>
      <c r="K1" s="72" t="s">
        <v>222</v>
      </c>
      <c r="L1" s="72" t="s">
        <v>223</v>
      </c>
      <c r="M1" s="72" t="s">
        <v>157</v>
      </c>
      <c r="N1" s="76" t="s">
        <v>16</v>
      </c>
      <c r="O1" s="72" t="s">
        <v>224</v>
      </c>
      <c r="P1" s="72" t="s">
        <v>57</v>
      </c>
      <c r="Q1" s="72" t="s">
        <v>225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226</v>
      </c>
      <c r="X1" s="72" t="s">
        <v>227</v>
      </c>
    </row>
    <row r="2" spans="1:24" x14ac:dyDescent="0.15">
      <c r="A2" s="95" t="str">
        <f>B2&amp;"_"&amp;E2&amp;"_"&amp;H2&amp;"_"&amp;I2&amp;"_"&amp;J2</f>
        <v>40040_2_everyone_full_member_1</v>
      </c>
      <c r="B2" s="81">
        <v>40040</v>
      </c>
      <c r="C2" s="82" t="str">
        <f ca="1">VLOOKUP($B2,OFFSET([2]quests!$A$1,0,0,COUNTA([2]quests!$A:$A),MATCH(C$1,[2]quests!$1:$1,0)-MATCH($B$1,[2]quests!$1:$1,0)+1),MATCH(C$1,[2]quests!$1:$1,0)-MATCH($B$1,[2]quests!$1:$1,0)+1,FALSE)</f>
        <v>竹中半兵衛襲来！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降臨40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【ウィザード級】竹中半兵衛襲来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降臨40</v>
      </c>
      <c r="H2" s="84" t="s">
        <v>228</v>
      </c>
      <c r="I2" s="83" t="s">
        <v>256</v>
      </c>
      <c r="J2" s="83">
        <v>1</v>
      </c>
      <c r="K2" s="83">
        <v>1000</v>
      </c>
      <c r="L2" s="83" t="s">
        <v>229</v>
      </c>
      <c r="M2" s="83">
        <v>1240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竹中半兵衛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230</v>
      </c>
      <c r="X2" s="98" t="s">
        <v>231</v>
      </c>
    </row>
    <row r="3" spans="1:24" x14ac:dyDescent="0.15">
      <c r="A3" s="95" t="str">
        <f>B3&amp;"_"&amp;E3&amp;"_"&amp;H3&amp;"_"&amp;I3&amp;"_"&amp;J3</f>
        <v>40040_2_everyone_no_continue_1</v>
      </c>
      <c r="B3" s="81">
        <v>40040</v>
      </c>
      <c r="C3" s="82" t="str">
        <f ca="1">VLOOKUP($B3,OFFSET([2]quests!$A$1,0,0,COUNTA([2]quests!$A:$A),MATCH(C$1,[2]quests!$1:$1,0)-MATCH($B$1,[2]quests!$1:$1,0)+1),MATCH(C$1,[2]quests!$1:$1,0)-MATCH($B$1,[2]quests!$1:$1,0)+1,FALSE)</f>
        <v>竹中半兵衛襲来！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降臨40</v>
      </c>
      <c r="E3" s="83">
        <v>2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【ウィザード級】竹中半兵衛襲来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降臨40</v>
      </c>
      <c r="H3" s="84" t="s">
        <v>228</v>
      </c>
      <c r="I3" s="83" t="s">
        <v>232</v>
      </c>
      <c r="J3" s="83">
        <v>1</v>
      </c>
      <c r="K3" s="83">
        <v>1000</v>
      </c>
      <c r="L3" s="83" t="s">
        <v>229</v>
      </c>
      <c r="M3" s="83">
        <v>1240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竹中半兵衛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230</v>
      </c>
      <c r="X3" s="98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2017-03-30T09:53:47Z</dcterms:modified>
</cp:coreProperties>
</file>