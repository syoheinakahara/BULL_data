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12120" yWindow="460" windowWidth="26940" windowHeight="19980" tabRatio="936" activeTab="4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floors" sheetId="41" r:id="rId10"/>
    <sheet name="enemy_habitats" sheetId="42" r:id="rId11"/>
    <sheet name="enemy_habitat_S" sheetId="43" r:id="rId12"/>
    <sheet name="enemy_skill_sets" sheetId="44" r:id="rId13"/>
    <sheet name="enemy_skills" sheetId="45" r:id="rId14"/>
    <sheet name="enemy_skill_triggers" sheetId="46" r:id="rId15"/>
    <sheet name="bugbonuses" sheetId="47" r:id="rId16"/>
    <sheet name="stage_hints_complete" sheetId="61" r:id="rId17"/>
    <sheet name="stage_hints_failure" sheetId="49" r:id="rId18"/>
    <sheet name="stage_bonuses" sheetId="50" r:id="rId19"/>
  </sheets>
  <externalReferences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1" hidden="1">enemy_habitat_S!$B$1:$Y$2</definedName>
    <definedName name="_xlnm._FilterDatabase" localSheetId="10" hidden="1">enemy_habitats!$B$1:$AH$2</definedName>
    <definedName name="_xlnm._FilterDatabase" localSheetId="12" hidden="1">enemy_skill_sets!$A$1:$R$1</definedName>
    <definedName name="_xlnm._FilterDatabase" localSheetId="14" hidden="1">enemy_skill_triggers!$A$1:$G$1</definedName>
    <definedName name="_xlnm._FilterDatabase" localSheetId="13" hidden="1">enemy_skills!$A$1:$AB$1</definedName>
    <definedName name="_xlnm._FilterDatabase" localSheetId="18" hidden="1">stage_bonuses!$B$1:$I$1</definedName>
    <definedName name="_xlnm._FilterDatabase" localSheetId="16" hidden="1">stage_hints_complete!$B$1:$L$1</definedName>
    <definedName name="_xlnm._FilterDatabase" localSheetId="17" hidden="1">stage_hints_failure!$B$1:$M$2</definedName>
    <definedName name="Excel_BuiltIn__FilterDatabase_6_1" localSheetId="12">[1]unit_skills!#REF!</definedName>
    <definedName name="Excel_BuiltIn__FilterDatabase_6_1" localSheetId="14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0" l="1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3" i="30"/>
  <c r="G3" i="40"/>
  <c r="I3" i="40"/>
  <c r="F4" i="40"/>
  <c r="G4" i="40"/>
  <c r="I4" i="40"/>
  <c r="G5" i="40"/>
  <c r="I5" i="40"/>
  <c r="F6" i="40"/>
  <c r="G6" i="40"/>
  <c r="I6" i="40"/>
  <c r="G7" i="40"/>
  <c r="I7" i="40"/>
  <c r="F8" i="40"/>
  <c r="G8" i="40"/>
  <c r="I8" i="40"/>
  <c r="G9" i="40"/>
  <c r="I9" i="40"/>
  <c r="F2" i="40"/>
  <c r="G2" i="40"/>
  <c r="I2" i="40"/>
  <c r="D23" i="30"/>
  <c r="D24" i="30"/>
  <c r="D25" i="30"/>
  <c r="D22" i="30"/>
  <c r="D18" i="30"/>
  <c r="D17" i="30"/>
  <c r="D16" i="30"/>
  <c r="D12" i="30"/>
  <c r="D6" i="30"/>
  <c r="D5" i="30"/>
  <c r="D4" i="30"/>
  <c r="D13" i="30"/>
  <c r="D7" i="30"/>
  <c r="E3" i="30"/>
  <c r="E7" i="30"/>
  <c r="E9" i="30"/>
  <c r="E13" i="30"/>
  <c r="E15" i="30"/>
  <c r="E19" i="30"/>
  <c r="E21" i="30"/>
  <c r="E25" i="30"/>
  <c r="E28" i="30"/>
  <c r="D19" i="30"/>
  <c r="A2" i="30"/>
  <c r="A20" i="30"/>
  <c r="C20" i="30"/>
  <c r="C22" i="30"/>
  <c r="C23" i="30"/>
  <c r="C24" i="30"/>
  <c r="C25" i="30"/>
  <c r="C21" i="30"/>
  <c r="B22" i="30"/>
  <c r="B23" i="30"/>
  <c r="B24" i="30"/>
  <c r="B25" i="30"/>
  <c r="B21" i="30"/>
  <c r="B9" i="40"/>
  <c r="A2" i="40"/>
  <c r="C2" i="40"/>
  <c r="A4" i="40"/>
  <c r="C4" i="40"/>
  <c r="A6" i="40"/>
  <c r="C6" i="40"/>
  <c r="A8" i="40"/>
  <c r="C8" i="40"/>
  <c r="C9" i="40"/>
  <c r="A9" i="40"/>
  <c r="E24" i="30"/>
  <c r="E23" i="30"/>
  <c r="E22" i="30"/>
  <c r="G25" i="30"/>
  <c r="K25" i="30"/>
  <c r="A14" i="30"/>
  <c r="C14" i="30"/>
  <c r="A25" i="30"/>
  <c r="F24" i="30"/>
  <c r="G24" i="30"/>
  <c r="K24" i="30"/>
  <c r="A24" i="30"/>
  <c r="F23" i="30"/>
  <c r="G23" i="30"/>
  <c r="K23" i="30"/>
  <c r="A23" i="30"/>
  <c r="F22" i="30"/>
  <c r="G22" i="30"/>
  <c r="K22" i="30"/>
  <c r="A22" i="30"/>
  <c r="F21" i="30"/>
  <c r="G21" i="30"/>
  <c r="K21" i="30"/>
  <c r="A21" i="30"/>
  <c r="F20" i="30"/>
  <c r="G20" i="30"/>
  <c r="K20" i="30"/>
  <c r="B2" i="32"/>
  <c r="B4" i="32"/>
  <c r="R3" i="43"/>
  <c r="Q3" i="43"/>
  <c r="P3" i="43"/>
  <c r="O3" i="43"/>
  <c r="N3" i="43"/>
  <c r="H3" i="43"/>
  <c r="D3" i="43"/>
  <c r="F3" i="43"/>
  <c r="E3" i="43"/>
  <c r="A3" i="43"/>
  <c r="R2" i="43"/>
  <c r="Q2" i="43"/>
  <c r="P2" i="43"/>
  <c r="O2" i="43"/>
  <c r="N2" i="43"/>
  <c r="H2" i="43"/>
  <c r="D2" i="43"/>
  <c r="F2" i="43"/>
  <c r="E2" i="43"/>
  <c r="A2" i="43"/>
  <c r="AD9" i="42"/>
  <c r="AG9" i="42"/>
  <c r="AE9" i="42"/>
  <c r="AC9" i="42"/>
  <c r="Q9" i="42"/>
  <c r="P9" i="42"/>
  <c r="O9" i="42"/>
  <c r="N9" i="42"/>
  <c r="M9" i="42"/>
  <c r="H9" i="42"/>
  <c r="D9" i="42"/>
  <c r="F9" i="42"/>
  <c r="E9" i="42"/>
  <c r="A9" i="42"/>
  <c r="AB8" i="42"/>
  <c r="AD8" i="42"/>
  <c r="AG8" i="42"/>
  <c r="AE8" i="42"/>
  <c r="AC8" i="42"/>
  <c r="Q8" i="42"/>
  <c r="P8" i="42"/>
  <c r="O8" i="42"/>
  <c r="N8" i="42"/>
  <c r="M8" i="42"/>
  <c r="H8" i="42"/>
  <c r="D8" i="42"/>
  <c r="F8" i="42"/>
  <c r="E8" i="42"/>
  <c r="A8" i="42"/>
  <c r="AB7" i="42"/>
  <c r="AD7" i="42"/>
  <c r="AG7" i="42"/>
  <c r="AE7" i="42"/>
  <c r="AC7" i="42"/>
  <c r="Q7" i="42"/>
  <c r="P7" i="42"/>
  <c r="O7" i="42"/>
  <c r="N7" i="42"/>
  <c r="M7" i="42"/>
  <c r="H7" i="42"/>
  <c r="D7" i="42"/>
  <c r="F7" i="42"/>
  <c r="E7" i="42"/>
  <c r="A7" i="42"/>
  <c r="AB6" i="42"/>
  <c r="AD6" i="42"/>
  <c r="AG6" i="42"/>
  <c r="AE6" i="42"/>
  <c r="AC6" i="42"/>
  <c r="Q6" i="42"/>
  <c r="P6" i="42"/>
  <c r="O6" i="42"/>
  <c r="N6" i="42"/>
  <c r="M6" i="42"/>
  <c r="H6" i="42"/>
  <c r="D6" i="42"/>
  <c r="F6" i="42"/>
  <c r="E6" i="42"/>
  <c r="A6" i="42"/>
  <c r="AB5" i="42"/>
  <c r="AD5" i="42"/>
  <c r="AG5" i="42"/>
  <c r="AE5" i="42"/>
  <c r="AC5" i="42"/>
  <c r="Q5" i="42"/>
  <c r="P5" i="42"/>
  <c r="O5" i="42"/>
  <c r="N5" i="42"/>
  <c r="M5" i="42"/>
  <c r="H5" i="42"/>
  <c r="D5" i="42"/>
  <c r="F5" i="42"/>
  <c r="E5" i="42"/>
  <c r="A5" i="42"/>
  <c r="AB4" i="42"/>
  <c r="AD4" i="42"/>
  <c r="AG4" i="42"/>
  <c r="AE4" i="42"/>
  <c r="AC4" i="42"/>
  <c r="Q4" i="42"/>
  <c r="P4" i="42"/>
  <c r="O4" i="42"/>
  <c r="N4" i="42"/>
  <c r="M4" i="42"/>
  <c r="H4" i="42"/>
  <c r="D4" i="42"/>
  <c r="F4" i="42"/>
  <c r="E4" i="42"/>
  <c r="A4" i="42"/>
  <c r="AB3" i="42"/>
  <c r="AD3" i="42"/>
  <c r="AG3" i="42"/>
  <c r="AE3" i="42"/>
  <c r="AC3" i="42"/>
  <c r="Q3" i="42"/>
  <c r="P3" i="42"/>
  <c r="O3" i="42"/>
  <c r="N3" i="42"/>
  <c r="M3" i="42"/>
  <c r="H3" i="42"/>
  <c r="D3" i="42"/>
  <c r="F3" i="42"/>
  <c r="E3" i="42"/>
  <c r="A3" i="42"/>
  <c r="AB2" i="42"/>
  <c r="AD2" i="42"/>
  <c r="AG2" i="42"/>
  <c r="AE2" i="42"/>
  <c r="AC2" i="42"/>
  <c r="AA2" i="42"/>
  <c r="Q2" i="42"/>
  <c r="P2" i="42"/>
  <c r="O2" i="42"/>
  <c r="N2" i="42"/>
  <c r="M2" i="42"/>
  <c r="H2" i="42"/>
  <c r="D2" i="42"/>
  <c r="F2" i="42"/>
  <c r="E2" i="42"/>
  <c r="A2" i="42"/>
  <c r="C2" i="41"/>
  <c r="C5" i="41"/>
  <c r="G5" i="41"/>
  <c r="H5" i="41"/>
  <c r="E5" i="41"/>
  <c r="D5" i="41"/>
  <c r="A5" i="41"/>
  <c r="B5" i="41"/>
  <c r="C2" i="2"/>
  <c r="C5" i="2"/>
  <c r="G5" i="2"/>
  <c r="H5" i="2"/>
  <c r="E5" i="2"/>
  <c r="D5" i="2"/>
  <c r="A5" i="2"/>
  <c r="B5" i="2"/>
  <c r="C16" i="16"/>
  <c r="C15" i="16"/>
  <c r="C14" i="16"/>
  <c r="B3" i="50"/>
  <c r="B2" i="50"/>
  <c r="I2" i="49"/>
  <c r="C4" i="41"/>
  <c r="C3" i="41"/>
  <c r="B2" i="49"/>
  <c r="J2" i="49"/>
  <c r="B3" i="32"/>
  <c r="B2" i="29"/>
  <c r="E9" i="29"/>
  <c r="E8" i="29"/>
  <c r="E7" i="29"/>
  <c r="E6" i="29"/>
  <c r="E5" i="29"/>
  <c r="E4" i="29"/>
  <c r="E2" i="29"/>
  <c r="E3" i="29"/>
  <c r="B9" i="29"/>
  <c r="B4" i="29"/>
  <c r="B5" i="29"/>
  <c r="B6" i="29"/>
  <c r="B7" i="29"/>
  <c r="B8" i="29"/>
  <c r="B3" i="29"/>
  <c r="B2" i="28"/>
  <c r="B7" i="28"/>
  <c r="B4" i="28"/>
  <c r="B5" i="28"/>
  <c r="B6" i="28"/>
  <c r="B3" i="28"/>
  <c r="C7" i="40"/>
  <c r="B7" i="40"/>
  <c r="A7" i="40"/>
  <c r="C5" i="40"/>
  <c r="B5" i="40"/>
  <c r="A5" i="40"/>
  <c r="C3" i="40"/>
  <c r="B3" i="40"/>
  <c r="A3" i="40"/>
  <c r="E16" i="30"/>
  <c r="E17" i="30"/>
  <c r="F16" i="30"/>
  <c r="G16" i="30"/>
  <c r="C16" i="30"/>
  <c r="C17" i="30"/>
  <c r="C18" i="30"/>
  <c r="C19" i="30"/>
  <c r="C15" i="30"/>
  <c r="A8" i="30"/>
  <c r="C8" i="30"/>
  <c r="C10" i="30"/>
  <c r="C11" i="30"/>
  <c r="C12" i="30"/>
  <c r="C13" i="30"/>
  <c r="C9" i="30"/>
  <c r="C2" i="30"/>
  <c r="C4" i="30"/>
  <c r="C5" i="30"/>
  <c r="C6" i="30"/>
  <c r="C7" i="30"/>
  <c r="C3" i="30"/>
  <c r="B16" i="30"/>
  <c r="B17" i="30"/>
  <c r="B18" i="30"/>
  <c r="B19" i="30"/>
  <c r="B15" i="30"/>
  <c r="B10" i="30"/>
  <c r="B11" i="30"/>
  <c r="B12" i="30"/>
  <c r="B13" i="30"/>
  <c r="B9" i="30"/>
  <c r="B4" i="30"/>
  <c r="B5" i="30"/>
  <c r="B6" i="30"/>
  <c r="B7" i="30"/>
  <c r="B3" i="30"/>
  <c r="A4" i="30"/>
  <c r="A5" i="30"/>
  <c r="A6" i="30"/>
  <c r="A7" i="30"/>
  <c r="A9" i="30"/>
  <c r="A10" i="30"/>
  <c r="A11" i="30"/>
  <c r="A12" i="30"/>
  <c r="A13" i="30"/>
  <c r="A15" i="30"/>
  <c r="A16" i="30"/>
  <c r="A17" i="30"/>
  <c r="A18" i="30"/>
  <c r="A19" i="30"/>
  <c r="A3" i="30"/>
  <c r="A2" i="24"/>
  <c r="G4" i="41"/>
  <c r="H4" i="41"/>
  <c r="E4" i="41"/>
  <c r="D4" i="41"/>
  <c r="A4" i="41"/>
  <c r="B4" i="41"/>
  <c r="G3" i="41"/>
  <c r="H3" i="41"/>
  <c r="E3" i="41"/>
  <c r="D3" i="41"/>
  <c r="A3" i="41"/>
  <c r="B3" i="41"/>
  <c r="C4" i="2"/>
  <c r="C3" i="2"/>
  <c r="G4" i="2"/>
  <c r="A4" i="2"/>
  <c r="B4" i="2"/>
  <c r="G3" i="2"/>
  <c r="A3" i="2"/>
  <c r="B3" i="2"/>
  <c r="G2" i="2"/>
  <c r="A2" i="2"/>
  <c r="B2" i="2"/>
  <c r="N3" i="50"/>
  <c r="G3" i="50"/>
  <c r="F3" i="50"/>
  <c r="D3" i="50"/>
  <c r="C3" i="50"/>
  <c r="A3" i="50"/>
  <c r="N2" i="50"/>
  <c r="G2" i="50"/>
  <c r="F2" i="50"/>
  <c r="D2" i="50"/>
  <c r="C2" i="50"/>
  <c r="A2" i="50"/>
  <c r="G2" i="49"/>
  <c r="F2" i="49"/>
  <c r="D2" i="49"/>
  <c r="C2" i="49"/>
  <c r="A2" i="47"/>
  <c r="C2" i="47"/>
  <c r="D2" i="47"/>
  <c r="J2" i="46"/>
  <c r="M2" i="45"/>
  <c r="T2" i="45"/>
  <c r="W2" i="45"/>
  <c r="V2" i="45"/>
  <c r="X2" i="45"/>
  <c r="U2" i="45"/>
  <c r="Y2" i="45"/>
  <c r="N2" i="45"/>
  <c r="Q2" i="45"/>
  <c r="P2" i="45"/>
  <c r="R2" i="45"/>
  <c r="O2" i="45"/>
  <c r="S2" i="45"/>
  <c r="G2" i="45"/>
  <c r="J2" i="45"/>
  <c r="I2" i="45"/>
  <c r="K2" i="45"/>
  <c r="H2" i="45"/>
  <c r="L2" i="45"/>
  <c r="O2" i="44"/>
  <c r="N2" i="44"/>
  <c r="M2" i="44"/>
  <c r="L2" i="44"/>
  <c r="K2" i="44"/>
  <c r="J2" i="44"/>
  <c r="I2" i="44"/>
  <c r="H2" i="44"/>
  <c r="G2" i="44"/>
  <c r="E2" i="44"/>
  <c r="D2" i="44"/>
  <c r="A2" i="44"/>
  <c r="G2" i="41"/>
  <c r="A2" i="41"/>
  <c r="H2" i="41"/>
  <c r="E2" i="41"/>
  <c r="D2" i="41"/>
  <c r="B2" i="41"/>
  <c r="C25" i="16"/>
  <c r="E25" i="16"/>
  <c r="C24" i="16"/>
  <c r="E24" i="16"/>
  <c r="C23" i="16"/>
  <c r="E23" i="16"/>
  <c r="C22" i="16"/>
  <c r="E22" i="16"/>
  <c r="C21" i="16"/>
  <c r="E21" i="16"/>
  <c r="C20" i="16"/>
  <c r="E20" i="16"/>
  <c r="C19" i="16"/>
  <c r="E19" i="16"/>
  <c r="C18" i="16"/>
  <c r="E18" i="16"/>
  <c r="C17" i="16"/>
  <c r="E17" i="16"/>
  <c r="E16" i="16"/>
  <c r="E15" i="16"/>
  <c r="E14" i="16"/>
  <c r="C4" i="16"/>
  <c r="E4" i="16"/>
  <c r="C3" i="16"/>
  <c r="C5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E18" i="30"/>
  <c r="E12" i="30"/>
  <c r="E11" i="30"/>
  <c r="E10" i="30"/>
  <c r="E6" i="30"/>
  <c r="E5" i="30"/>
  <c r="E4" i="30"/>
  <c r="D28" i="30"/>
  <c r="G19" i="30"/>
  <c r="K19" i="30"/>
  <c r="F18" i="30"/>
  <c r="G18" i="30"/>
  <c r="K18" i="30"/>
  <c r="F17" i="30"/>
  <c r="G17" i="30"/>
  <c r="K17" i="30"/>
  <c r="K16" i="30"/>
  <c r="F15" i="30"/>
  <c r="G15" i="30"/>
  <c r="K15" i="30"/>
  <c r="F14" i="30"/>
  <c r="G14" i="30"/>
  <c r="K14" i="30"/>
  <c r="G13" i="30"/>
  <c r="K13" i="30"/>
  <c r="F12" i="30"/>
  <c r="G12" i="30"/>
  <c r="K12" i="30"/>
  <c r="D11" i="30"/>
  <c r="F11" i="30"/>
  <c r="G11" i="30"/>
  <c r="K11" i="30"/>
  <c r="D10" i="30"/>
  <c r="F10" i="30"/>
  <c r="G10" i="30"/>
  <c r="K10" i="30"/>
  <c r="F9" i="30"/>
  <c r="G9" i="30"/>
  <c r="K9" i="30"/>
  <c r="F8" i="30"/>
  <c r="G8" i="30"/>
  <c r="K8" i="30"/>
  <c r="G7" i="30"/>
  <c r="K7" i="30"/>
  <c r="F6" i="30"/>
  <c r="G6" i="30"/>
  <c r="K6" i="30"/>
  <c r="F5" i="30"/>
  <c r="G5" i="30"/>
  <c r="K5" i="30"/>
  <c r="F4" i="30"/>
  <c r="G4" i="30"/>
  <c r="K4" i="30"/>
  <c r="F3" i="30"/>
  <c r="G3" i="30"/>
  <c r="K3" i="30"/>
  <c r="F2" i="30"/>
  <c r="G2" i="30"/>
  <c r="K2" i="30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D2" i="2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<sst xmlns="http://schemas.openxmlformats.org/spreadsheetml/2006/main" count="941" uniqueCount="513">
  <si>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</si>
  <si>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</si>
  <si>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</si>
  <si>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</si>
  <si>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</si>
  <si>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</si>
  <si>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</si>
  <si>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</si>
  <si>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</si>
  <si>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</si>
  <si>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</si>
  <si>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</si>
  <si>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</si>
  <si>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</si>
  <si>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</si>
  <si>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1"/>
  </si>
  <si>
    <t>name</t>
    <phoneticPr fontId="11"/>
  </si>
  <si>
    <t>temp_stage</t>
    <phoneticPr fontId="11"/>
  </si>
  <si>
    <t>temp_floor</t>
    <phoneticPr fontId="11"/>
  </si>
  <si>
    <t>temp_stage</t>
    <phoneticPr fontId="11"/>
  </si>
  <si>
    <t>位置付け</t>
    <rPh sb="0" eb="3">
      <t>イチヅ</t>
    </rPh>
    <phoneticPr fontId="11"/>
  </si>
  <si>
    <t>name</t>
    <phoneticPr fontId="11"/>
  </si>
  <si>
    <t>status</t>
    <phoneticPr fontId="11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</si>
  <si>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</si>
  <si>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</si>
  <si>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</si>
  <si>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</si>
  <si>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</si>
  <si>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1"/>
  </si>
  <si>
    <t>更新日</t>
    <rPh sb="0" eb="3">
      <t>コウシンニチジ</t>
    </rPh>
    <phoneticPr fontId="11"/>
  </si>
  <si>
    <t>備考（使用箇所）</t>
    <rPh sb="0" eb="2">
      <t>ビコウ</t>
    </rPh>
    <rPh sb="3" eb="7">
      <t>シヨウカショ</t>
    </rPh>
    <phoneticPr fontId="11"/>
  </si>
  <si>
    <t>enemy_skill_id</t>
  </si>
  <si>
    <t>valid_flg</t>
  </si>
  <si>
    <t>重複チェック</t>
    <rPh sb="0" eb="2">
      <t>チョウフク</t>
    </rPh>
    <phoneticPr fontId="11"/>
  </si>
  <si>
    <t>接頭語</t>
    <rPh sb="0" eb="3">
      <t>セットウゴ</t>
    </rPh>
    <phoneticPr fontId="11"/>
  </si>
  <si>
    <t>識別子</t>
    <rPh sb="0" eb="3">
      <t>シキベツシ</t>
    </rPh>
    <phoneticPr fontId="11"/>
  </si>
  <si>
    <t>形式</t>
    <rPh sb="0" eb="2">
      <t>ケイシキ</t>
    </rPh>
    <phoneticPr fontId="11"/>
  </si>
  <si>
    <t>出力ファイル名</t>
    <rPh sb="0" eb="2">
      <t>シュツリョク</t>
    </rPh>
    <rPh sb="6" eb="7">
      <t>メイ</t>
    </rPh>
    <phoneticPr fontId="11"/>
  </si>
  <si>
    <t>入力シート名</t>
    <rPh sb="0" eb="2">
      <t>ニュウリョク</t>
    </rPh>
    <rPh sb="5" eb="6">
      <t>メイ</t>
    </rPh>
    <phoneticPr fontId="11"/>
  </si>
  <si>
    <t>出力データ</t>
    <rPh sb="0" eb="2">
      <t>シュツリョク</t>
    </rPh>
    <phoneticPr fontId="11"/>
  </si>
  <si>
    <t>.tmp</t>
    <phoneticPr fontId="11"/>
  </si>
  <si>
    <t>.tmp</t>
    <phoneticPr fontId="11"/>
  </si>
  <si>
    <t>出力flg</t>
    <rPh sb="0" eb="2">
      <t>シュツリョク</t>
    </rPh>
    <phoneticPr fontId="11"/>
  </si>
  <si>
    <t>中間文字列１</t>
    <rPh sb="0" eb="2">
      <t>チュウカン</t>
    </rPh>
    <rPh sb="2" eb="5">
      <t>モジレツ</t>
    </rPh>
    <phoneticPr fontId="11"/>
  </si>
  <si>
    <t>効果１文字列</t>
    <rPh sb="0" eb="2">
      <t>コウカ</t>
    </rPh>
    <rPh sb="3" eb="6">
      <t>モジレツ</t>
    </rPh>
    <phoneticPr fontId="11"/>
  </si>
  <si>
    <t>効果１簡易デコード</t>
    <rPh sb="0" eb="2">
      <t>コウカ</t>
    </rPh>
    <rPh sb="3" eb="5">
      <t>カンイ</t>
    </rPh>
    <phoneticPr fontId="11"/>
  </si>
  <si>
    <t>効果２文字列</t>
    <rPh sb="0" eb="2">
      <t>コウカ</t>
    </rPh>
    <rPh sb="3" eb="6">
      <t>モジレツ</t>
    </rPh>
    <phoneticPr fontId="11"/>
  </si>
  <si>
    <t>効果２簡易デコード</t>
    <rPh sb="0" eb="2">
      <t>コウカ</t>
    </rPh>
    <rPh sb="3" eb="5">
      <t>カンイ</t>
    </rPh>
    <phoneticPr fontId="11"/>
  </si>
  <si>
    <t>効果３文字列</t>
    <rPh sb="0" eb="2">
      <t>コウカ</t>
    </rPh>
    <rPh sb="3" eb="6">
      <t>モジレツ</t>
    </rPh>
    <phoneticPr fontId="11"/>
  </si>
  <si>
    <t>効果３簡易デコード</t>
    <rPh sb="0" eb="2">
      <t>コウカ</t>
    </rPh>
    <rPh sb="3" eb="5">
      <t>カンイ</t>
    </rPh>
    <phoneticPr fontId="11"/>
  </si>
  <si>
    <t>効果１efect位置</t>
    <rPh sb="0" eb="2">
      <t>コウカ</t>
    </rPh>
    <rPh sb="8" eb="10">
      <t>イチ</t>
    </rPh>
    <phoneticPr fontId="11"/>
  </si>
  <si>
    <t>効果１target位置</t>
    <rPh sb="0" eb="2">
      <t>コウカ</t>
    </rPh>
    <rPh sb="9" eb="11">
      <t>イチ</t>
    </rPh>
    <phoneticPr fontId="11"/>
  </si>
  <si>
    <t>効果1終了位置</t>
    <rPh sb="0" eb="2">
      <t>コウカ</t>
    </rPh>
    <rPh sb="3" eb="5">
      <t>シュウリョウ</t>
    </rPh>
    <rPh sb="5" eb="7">
      <t>イチ</t>
    </rPh>
    <phoneticPr fontId="11"/>
  </si>
  <si>
    <t>効果1target終了位置</t>
    <rPh sb="0" eb="2">
      <t>コウカ</t>
    </rPh>
    <rPh sb="9" eb="11">
      <t>シュウリョウ</t>
    </rPh>
    <rPh sb="11" eb="13">
      <t>イチ</t>
    </rPh>
    <phoneticPr fontId="11"/>
  </si>
  <si>
    <t>効果2efect位置</t>
    <rPh sb="0" eb="2">
      <t>コウカ</t>
    </rPh>
    <rPh sb="8" eb="10">
      <t>イチ</t>
    </rPh>
    <phoneticPr fontId="11"/>
  </si>
  <si>
    <t>効果2終了位置</t>
    <rPh sb="0" eb="2">
      <t>コウカ</t>
    </rPh>
    <rPh sb="3" eb="5">
      <t>シュウリョウ</t>
    </rPh>
    <rPh sb="5" eb="7">
      <t>イチ</t>
    </rPh>
    <phoneticPr fontId="11"/>
  </si>
  <si>
    <t>効果2target位置</t>
    <rPh sb="0" eb="2">
      <t>コウカ</t>
    </rPh>
    <rPh sb="9" eb="11">
      <t>イチ</t>
    </rPh>
    <phoneticPr fontId="11"/>
  </si>
  <si>
    <t>効果2target終了位置</t>
    <rPh sb="0" eb="2">
      <t>コウカ</t>
    </rPh>
    <rPh sb="9" eb="11">
      <t>シュウリョウ</t>
    </rPh>
    <rPh sb="11" eb="13">
      <t>イチ</t>
    </rPh>
    <phoneticPr fontId="11"/>
  </si>
  <si>
    <t>効果3efect位置</t>
    <rPh sb="0" eb="2">
      <t>コウカ</t>
    </rPh>
    <rPh sb="8" eb="10">
      <t>イチ</t>
    </rPh>
    <phoneticPr fontId="11"/>
  </si>
  <si>
    <t>効果3終了位置</t>
    <rPh sb="0" eb="2">
      <t>コウカ</t>
    </rPh>
    <rPh sb="3" eb="5">
      <t>シュウリョウ</t>
    </rPh>
    <rPh sb="5" eb="7">
      <t>イチ</t>
    </rPh>
    <phoneticPr fontId="11"/>
  </si>
  <si>
    <t>効果3target位置</t>
    <rPh sb="0" eb="2">
      <t>コウカ</t>
    </rPh>
    <rPh sb="9" eb="11">
      <t>イチ</t>
    </rPh>
    <phoneticPr fontId="11"/>
  </si>
  <si>
    <t>効果3target終了位置</t>
    <rPh sb="0" eb="2">
      <t>コウカ</t>
    </rPh>
    <rPh sb="9" eb="11">
      <t>シュウリョウ</t>
    </rPh>
    <rPh sb="11" eb="13">
      <t>イチ</t>
    </rPh>
    <phoneticPr fontId="11"/>
  </si>
  <si>
    <t>quest_id</t>
    <phoneticPr fontId="11"/>
  </si>
  <si>
    <t>bit</t>
  </si>
  <si>
    <t>upper_ranking</t>
    <phoneticPr fontId="11"/>
  </si>
  <si>
    <t>lower_ranking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</si>
  <si>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</si>
  <si>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</si>
  <si>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</si>
  <si>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</si>
  <si>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</si>
  <si>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</si>
  <si>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</si>
  <si>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</si>
  <si>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temp_gift_id</t>
    <phoneticPr fontId="11"/>
  </si>
  <si>
    <t>ranking_ACH</t>
    <phoneticPr fontId="11"/>
  </si>
  <si>
    <t>gifts_tmp_</t>
    <phoneticPr fontId="13"/>
  </si>
  <si>
    <t>gift_id</t>
    <phoneticPr fontId="13"/>
  </si>
  <si>
    <t>gifts_i18n_</t>
    <phoneticPr fontId="13"/>
  </si>
  <si>
    <t>title</t>
    <phoneticPr fontId="13"/>
  </si>
  <si>
    <t>detail</t>
    <phoneticPr fontId="13"/>
  </si>
  <si>
    <t>clear_bonus</t>
    <phoneticPr fontId="11"/>
  </si>
  <si>
    <t>param_code</t>
    <phoneticPr fontId="11"/>
  </si>
  <si>
    <t>x</t>
    <phoneticPr fontId="11"/>
  </si>
  <si>
    <t>a</t>
    <phoneticPr fontId="11"/>
  </si>
  <si>
    <t>b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</si>
  <si>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</si>
  <si>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</si>
  <si>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</si>
  <si>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</si>
  <si>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language</t>
    <phoneticPr fontId="11"/>
  </si>
  <si>
    <t>evaluation</t>
    <phoneticPr fontId="11"/>
  </si>
  <si>
    <t>animation_file_name</t>
    <phoneticPr fontId="11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</si>
  <si>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</si>
  <si>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</si>
  <si>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</si>
  <si>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</si>
  <si>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</si>
  <si>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</si>
  <si>
    <t>skill_level</t>
    <phoneticPr fontId="11"/>
  </si>
  <si>
    <t>bug</t>
    <phoneticPr fontId="11"/>
  </si>
  <si>
    <t>evaluation_id</t>
    <phoneticPr fontId="11"/>
  </si>
  <si>
    <t>quest_id</t>
    <phoneticPr fontId="11"/>
  </si>
  <si>
    <t>gift_id</t>
    <phoneticPr fontId="11"/>
  </si>
  <si>
    <t xml:space="preserve">gift_limit </t>
    <phoneticPr fontId="11"/>
  </si>
  <si>
    <t>gifts_tmp_</t>
    <phoneticPr fontId="11"/>
  </si>
  <si>
    <t>.tmp</t>
    <phoneticPr fontId="11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</si>
  <si>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</si>
  <si>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</si>
  <si>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</si>
  <si>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</si>
  <si>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gifts_i18n_</t>
    <phoneticPr fontId="11"/>
  </si>
  <si>
    <t>.tmp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</si>
  <si>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</si>
  <si>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</si>
  <si>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</si>
  <si>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</si>
  <si>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.tmp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</si>
  <si>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</si>
  <si>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</si>
  <si>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</si>
  <si>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</si>
  <si>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</si>
  <si>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</si>
  <si>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</si>
  <si>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</si>
  <si>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</si>
  <si>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</si>
  <si>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</si>
  <si>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</si>
  <si>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</si>
  <si>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  <phoneticPr fontId="11"/>
  </si>
  <si>
    <t>bug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</si>
  <si>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</si>
  <si>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</si>
  <si>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</si>
  <si>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</si>
  <si>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 xml:space="preserve">gift_limit </t>
    <phoneticPr fontId="11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</si>
  <si>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</si>
  <si>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</si>
  <si>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</si>
  <si>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</si>
  <si>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</si>
  <si>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</si>
  <si>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</si>
  <si>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</si>
  <si>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</si>
  <si>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</si>
  <si>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</si>
  <si>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</si>
  <si>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</si>
  <si>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3"/>
  </si>
  <si>
    <t>item</t>
    <phoneticPr fontId="13"/>
  </si>
  <si>
    <t>polygon</t>
    <phoneticPr fontId="13"/>
  </si>
  <si>
    <t>null</t>
    <phoneticPr fontId="11"/>
  </si>
  <si>
    <t>bit</t>
    <phoneticPr fontId="13"/>
  </si>
  <si>
    <t>item</t>
  </si>
  <si>
    <t>刀のランキングチケット × 1</t>
  </si>
  <si>
    <t>ランキングクエスト報酬</t>
    <rPh sb="9" eb="11">
      <t>ホウシュウ</t>
    </rPh>
    <phoneticPr fontId="14"/>
  </si>
  <si>
    <t>オイラーチャレンジ
順位報酬</t>
    <rPh sb="10" eb="12">
      <t>ジュンイ</t>
    </rPh>
    <rPh sb="12" eb="14">
      <t>ホウシュウ</t>
    </rPh>
    <phoneticPr fontId="14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</si>
  <si>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</si>
  <si>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</si>
  <si>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</si>
  <si>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</si>
  <si>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</si>
  <si>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</si>
  <si>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4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</si>
  <si>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</si>
  <si>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</si>
  <si>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4"/>
  </si>
  <si>
    <t>マスターキー×3</t>
  </si>
  <si>
    <t>刀のチケットピース × 3</t>
  </si>
  <si>
    <t>炎のメタルジェントル ×1</t>
    <rPh sb="0" eb="1">
      <t>ホノオ</t>
    </rPh>
    <phoneticPr fontId="14"/>
  </si>
  <si>
    <t>森のメタルジェントル ×1</t>
    <rPh sb="0" eb="1">
      <t>モリノ</t>
    </rPh>
    <phoneticPr fontId="14"/>
  </si>
  <si>
    <t>水のメタルジェントル ×1</t>
    <rPh sb="0" eb="1">
      <t>ミズノ</t>
    </rPh>
    <phoneticPr fontId="14"/>
  </si>
  <si>
    <t>雷のメタルジェントル ×1</t>
    <rPh sb="0" eb="1">
      <t>カミナリ</t>
    </rPh>
    <phoneticPr fontId="14"/>
  </si>
  <si>
    <t>秘術の果実 ×1</t>
    <rPh sb="0" eb="2">
      <t>ヒジュツ</t>
    </rPh>
    <rPh sb="3" eb="5">
      <t>カジツ</t>
    </rPh>
    <phoneticPr fontId="14"/>
  </si>
  <si>
    <t>マスターキー×1</t>
  </si>
  <si>
    <t>link</t>
  </si>
  <si>
    <t>2000リンク</t>
  </si>
  <si>
    <t>炎のメタルダック ×1</t>
    <rPh sb="0" eb="1">
      <t>ホノオ</t>
    </rPh>
    <phoneticPr fontId="14"/>
  </si>
  <si>
    <t>森のメタルダック ×1</t>
    <rPh sb="0" eb="1">
      <t>モリノ</t>
    </rPh>
    <phoneticPr fontId="14"/>
  </si>
  <si>
    <t>水のメタルダック ×1</t>
    <rPh sb="0" eb="1">
      <t>ミズノ</t>
    </rPh>
    <phoneticPr fontId="14"/>
  </si>
  <si>
    <t>雷のメタルダック ×1</t>
    <rPh sb="0" eb="1">
      <t>カミナリ</t>
    </rPh>
    <phoneticPr fontId="14"/>
  </si>
  <si>
    <t>ポリゴン×3</t>
  </si>
  <si>
    <t>20万ビット</t>
    <rPh sb="2" eb="3">
      <t>マン</t>
    </rPh>
    <phoneticPr fontId="14"/>
  </si>
  <si>
    <t>ポリゴン×2</t>
  </si>
  <si>
    <t>1000リンク</t>
  </si>
  <si>
    <t>15万ビット</t>
    <rPh sb="2" eb="3">
      <t>マン</t>
    </rPh>
    <phoneticPr fontId="14"/>
  </si>
  <si>
    <t>ポリゴン×1</t>
  </si>
  <si>
    <t>10万ビット</t>
    <rPh sb="2" eb="3">
      <t>マン</t>
    </rPh>
    <phoneticPr fontId="14"/>
  </si>
  <si>
    <t>次条係数</t>
    <rPh sb="0" eb="2">
      <t>jijyou</t>
    </rPh>
    <rPh sb="2" eb="4">
      <t>ケイス</t>
    </rPh>
    <phoneticPr fontId="11"/>
  </si>
  <si>
    <t>param_code</t>
    <phoneticPr fontId="11"/>
  </si>
  <si>
    <t>x</t>
    <phoneticPr fontId="11"/>
  </si>
  <si>
    <t>y</t>
    <phoneticPr fontId="11"/>
  </si>
  <si>
    <t>a</t>
    <phoneticPr fontId="11"/>
  </si>
  <si>
    <t>b</t>
    <phoneticPr fontId="11"/>
  </si>
  <si>
    <t>score_attack_expanded_floors</t>
  </si>
  <si>
    <t>param_code_damage_given</t>
    <phoneticPr fontId="11"/>
  </si>
  <si>
    <t>param_code_heal</t>
    <phoneticPr fontId="11"/>
  </si>
  <si>
    <t>clear_turn_border</t>
  </si>
  <si>
    <t>clear_turn_border</t>
    <phoneticPr fontId="11"/>
  </si>
  <si>
    <t>clear_turn_param</t>
  </si>
  <si>
    <t>clear_turn_param</t>
    <phoneticPr fontId="11"/>
  </si>
  <si>
    <t>damage_given_upper_limit</t>
  </si>
  <si>
    <t>damage_given_upper_limit</t>
    <phoneticPr fontId="11"/>
  </si>
  <si>
    <t>heal_upper_limit</t>
  </si>
  <si>
    <t>heal_upper_limit</t>
    <phoneticPr fontId="11"/>
  </si>
  <si>
    <t>score_attack_expanded_stages_</t>
    <phoneticPr fontId="11"/>
  </si>
  <si>
    <t>score_attack_expanded_stages</t>
  </si>
  <si>
    <t>score_attack_params_damage_give</t>
  </si>
  <si>
    <t>stage_evaluations</t>
    <phoneticPr fontId="11"/>
  </si>
  <si>
    <t>score_attack_stage_evaluations_i18n_</t>
    <phoneticPr fontId="11"/>
  </si>
  <si>
    <t>stage_evaluation_gifts</t>
  </si>
  <si>
    <t>stage_evaluation_gifts</t>
    <phoneticPr fontId="11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</si>
  <si>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</si>
  <si>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</si>
  <si>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</si>
  <si>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</si>
  <si>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</si>
  <si>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</si>
  <si>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</si>
  <si>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=</t>
  </si>
  <si>
    <t>unit_bonus_conditions</t>
    <phoneticPr fontId="11"/>
  </si>
  <si>
    <t>score_attack_unit_bonus_conditions_</t>
    <phoneticPr fontId="11"/>
  </si>
  <si>
    <t>SSS→ポリゴン3個</t>
  </si>
  <si>
    <t>SS→ポリゴン2個</t>
  </si>
  <si>
    <t>S→マスターキー1本</t>
  </si>
  <si>
    <t>A→ジェントル各色1体ずつ</t>
  </si>
  <si>
    <t>B→100,000ビット</t>
  </si>
  <si>
    <t>C→なし</t>
  </si>
  <si>
    <t>マスターキー × 1</t>
    <phoneticPr fontId="13"/>
  </si>
  <si>
    <t>ポリゴン × 3</t>
    <phoneticPr fontId="13"/>
  </si>
  <si>
    <t>ポリゴン × 2</t>
    <phoneticPr fontId="13"/>
  </si>
  <si>
    <t>unit</t>
    <phoneticPr fontId="13"/>
  </si>
  <si>
    <t>炎のメタルジェントル × 1</t>
    <phoneticPr fontId="13"/>
  </si>
  <si>
    <t>森のメタルジェントル × 1</t>
    <phoneticPr fontId="11"/>
  </si>
  <si>
    <t>水のメタルジェントル × 1</t>
    <phoneticPr fontId="11"/>
  </si>
  <si>
    <t>雷のメタルジェントル × 1</t>
    <phoneticPr fontId="11"/>
  </si>
  <si>
    <t>100000ビット</t>
    <phoneticPr fontId="13"/>
  </si>
  <si>
    <t>2015-03-27 00:00:00</t>
  </si>
  <si>
    <t>2970-01-01 09:00:00</t>
  </si>
  <si>
    <t>failure</t>
  </si>
  <si>
    <t>攻略のヒント</t>
    <rPh sb="0" eb="2">
      <t>コウリャク</t>
    </rPh>
    <phoneticPr fontId="11"/>
  </si>
  <si>
    <t>スコア評価報酬</t>
    <rPh sb="3" eb="5">
      <t>ヒョウカ</t>
    </rPh>
    <rPh sb="5" eb="7">
      <t>ホウシュウ</t>
    </rPh>
    <phoneticPr fontId="13"/>
  </si>
  <si>
    <t>SSS</t>
    <phoneticPr fontId="13"/>
  </si>
  <si>
    <t>SS</t>
    <phoneticPr fontId="13"/>
  </si>
  <si>
    <t>S</t>
    <phoneticPr fontId="13"/>
  </si>
  <si>
    <t>A</t>
    <phoneticPr fontId="13"/>
  </si>
  <si>
    <t>A</t>
    <phoneticPr fontId="13"/>
  </si>
  <si>
    <t>A</t>
    <phoneticPr fontId="13"/>
  </si>
  <si>
    <t>B</t>
    <phoneticPr fontId="13"/>
  </si>
  <si>
    <t>stage_evaluation_gifts</t>
    <phoneticPr fontId="11"/>
  </si>
  <si>
    <t>score_attack_stage_evaluations_tmp_</t>
    <phoneticPr fontId="11"/>
  </si>
  <si>
    <t>score_attack_params_heal_</t>
    <phoneticPr fontId="11"/>
  </si>
  <si>
    <t>score_attack_params_heal</t>
    <phoneticPr fontId="11"/>
  </si>
  <si>
    <t xml:space="preserve"> </t>
    <phoneticPr fontId="11"/>
  </si>
  <si>
    <t>score_attack_stage_evaluation_gifts_</t>
    <phoneticPr fontId="11"/>
  </si>
  <si>
    <t>score_attack_expanded_floors_</t>
    <phoneticPr fontId="11"/>
  </si>
  <si>
    <t>score_attack_params_damage_given_</t>
    <phoneticPr fontId="11"/>
  </si>
  <si>
    <t>skip</t>
  </si>
  <si>
    <t>floors_</t>
    <phoneticPr fontId="11"/>
  </si>
  <si>
    <t>.tmp</t>
    <phoneticPr fontId="11"/>
  </si>
  <si>
    <t>floors</t>
    <phoneticPr fontId="11"/>
  </si>
  <si>
    <t>enemy_habitats_</t>
    <phoneticPr fontId="11"/>
  </si>
  <si>
    <t>.tmp</t>
    <phoneticPr fontId="11"/>
  </si>
  <si>
    <t>enemy_habitats</t>
    <phoneticPr fontId="11"/>
  </si>
  <si>
    <t>hp_coefficient</t>
  </si>
  <si>
    <t>attack_coefficient</t>
  </si>
  <si>
    <t>defense_correction</t>
  </si>
  <si>
    <t>skill_set_id</t>
  </si>
  <si>
    <t>seq_no</t>
    <phoneticPr fontId="11"/>
  </si>
  <si>
    <t>skill_level</t>
    <phoneticPr fontId="11"/>
  </si>
  <si>
    <t>enemy_habitat_S_</t>
    <phoneticPr fontId="11"/>
  </si>
  <si>
    <t>enemy_habitat_S</t>
    <phoneticPr fontId="11"/>
  </si>
  <si>
    <t>seq_no</t>
    <phoneticPr fontId="11"/>
  </si>
  <si>
    <t>state_no</t>
    <phoneticPr fontId="11"/>
  </si>
  <si>
    <t>character_id</t>
    <phoneticPr fontId="11"/>
  </si>
  <si>
    <t>level</t>
    <phoneticPr fontId="11"/>
  </si>
  <si>
    <t>speed</t>
    <phoneticPr fontId="11"/>
  </si>
  <si>
    <t>skill_set_id</t>
    <phoneticPr fontId="11"/>
  </si>
  <si>
    <t>hp_coefficient</t>
    <phoneticPr fontId="11"/>
  </si>
  <si>
    <t>attack_coefficient</t>
    <phoneticPr fontId="11"/>
  </si>
  <si>
    <t>defense_correction</t>
    <phoneticPr fontId="11"/>
  </si>
  <si>
    <t>enemy_skill_sets_</t>
    <phoneticPr fontId="11"/>
  </si>
  <si>
    <t>.tmp</t>
    <phoneticPr fontId="11"/>
  </si>
  <si>
    <t>enemy_skill_sets</t>
    <phoneticPr fontId="11"/>
  </si>
  <si>
    <t>skill_id</t>
  </si>
  <si>
    <t>skill_trigger_id</t>
  </si>
  <si>
    <t>enemy_skills_tmp_</t>
    <phoneticPr fontId="11"/>
  </si>
  <si>
    <t>.tmp</t>
    <phoneticPr fontId="11"/>
  </si>
  <si>
    <t>enemy_skills</t>
    <phoneticPr fontId="11"/>
  </si>
  <si>
    <t>effect_param</t>
    <phoneticPr fontId="11"/>
  </si>
  <si>
    <t>enemy_skills_i18n_</t>
    <phoneticPr fontId="11"/>
  </si>
  <si>
    <t>.tmp</t>
    <phoneticPr fontId="11"/>
  </si>
  <si>
    <t>enemy_skills</t>
    <phoneticPr fontId="11"/>
  </si>
  <si>
    <t>language</t>
  </si>
  <si>
    <t>name</t>
  </si>
  <si>
    <t>comment</t>
  </si>
  <si>
    <t>enemy_skill_triggers_</t>
    <phoneticPr fontId="11"/>
  </si>
  <si>
    <t>enemy_skill_triggers</t>
    <phoneticPr fontId="11"/>
  </si>
  <si>
    <t>first_time</t>
  </si>
  <si>
    <t>invoke_rate</t>
  </si>
  <si>
    <t>hp_threshold</t>
  </si>
  <si>
    <t>hp_termination</t>
    <phoneticPr fontId="11"/>
  </si>
  <si>
    <t>invoke_times</t>
  </si>
  <si>
    <t>invoke_weight</t>
    <phoneticPr fontId="11"/>
  </si>
  <si>
    <t>every_time_count</t>
    <phoneticPr fontId="11"/>
  </si>
  <si>
    <t>neighbor_dead_id</t>
    <phoneticPr fontId="11"/>
  </si>
  <si>
    <t>priority</t>
    <phoneticPr fontId="11"/>
  </si>
  <si>
    <t>stage_bug_bonuses_</t>
    <phoneticPr fontId="11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</si>
  <si>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11"/>
  </si>
  <si>
    <t>bugbonuses</t>
    <phoneticPr fontId="11"/>
  </si>
  <si>
    <t>quest_id</t>
    <phoneticPr fontId="11"/>
  </si>
  <si>
    <t>stage_id</t>
    <phoneticPr fontId="11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</si>
  <si>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</si>
  <si>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</si>
  <si>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</si>
  <si>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</si>
  <si>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</si>
  <si>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</si>
  <si>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</si>
  <si>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</si>
  <si>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</si>
  <si>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</si>
  <si>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</si>
  <si>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</si>
  <si>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</si>
  <si>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</si>
  <si>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stage_hints_data_c_</t>
    <phoneticPr fontId="11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</si>
  <si>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11"/>
  </si>
  <si>
    <t>hint_id</t>
    <phoneticPr fontId="11"/>
  </si>
  <si>
    <t>floor_id</t>
    <phoneticPr fontId="11"/>
  </si>
  <si>
    <t>hint_type</t>
    <phoneticPr fontId="11"/>
  </si>
  <si>
    <t>stage_hints_data_f_</t>
    <phoneticPr fontId="11"/>
  </si>
  <si>
    <t>stage_hints_failure</t>
    <phoneticPr fontId="11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</si>
  <si>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</si>
  <si>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language</t>
    <phoneticPr fontId="11"/>
  </si>
  <si>
    <t>hint</t>
    <phoneticPr fontId="11"/>
  </si>
  <si>
    <t>filename</t>
  </si>
  <si>
    <t>title</t>
    <phoneticPr fontId="11"/>
  </si>
  <si>
    <t>stage_bonuses_</t>
    <phoneticPr fontId="11"/>
  </si>
  <si>
    <t>stage_bonuses</t>
    <phoneticPr fontId="11"/>
  </si>
  <si>
    <t>quest_id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</si>
  <si>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</si>
  <si>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</si>
  <si>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</si>
  <si>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</si>
  <si>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</si>
  <si>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</si>
  <si>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</si>
  <si>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</si>
  <si>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</si>
  <si>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</si>
  <si>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</si>
  <si>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</si>
  <si>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</si>
  <si>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</si>
  <si>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</si>
  <si>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</si>
  <si>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</si>
  <si>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temp_floor</t>
    <phoneticPr fontId="11"/>
  </si>
  <si>
    <t>status</t>
    <phoneticPr fontId="11"/>
  </si>
  <si>
    <t>name</t>
    <phoneticPr fontId="11"/>
  </si>
  <si>
    <t>temp_stage</t>
    <phoneticPr fontId="11"/>
  </si>
  <si>
    <t>temp_habitats</t>
    <phoneticPr fontId="11"/>
  </si>
  <si>
    <t>temp_stage</t>
    <phoneticPr fontId="11"/>
  </si>
  <si>
    <t>name</t>
    <phoneticPr fontId="11"/>
  </si>
  <si>
    <t>floor_id</t>
    <phoneticPr fontId="11"/>
  </si>
  <si>
    <t>temp_floor</t>
    <phoneticPr fontId="11"/>
  </si>
  <si>
    <t>seq_no</t>
    <phoneticPr fontId="11"/>
  </si>
  <si>
    <t>color</t>
    <phoneticPr fontId="11"/>
  </si>
  <si>
    <t>drop_label</t>
    <phoneticPr fontId="11"/>
  </si>
  <si>
    <t>character_main_tribe_id</t>
    <phoneticPr fontId="11"/>
  </si>
  <si>
    <t>size</t>
    <phoneticPr fontId="11"/>
  </si>
  <si>
    <t>hp_coefficient</t>
    <phoneticPr fontId="11"/>
  </si>
  <si>
    <t>attack_coefficient</t>
    <phoneticPr fontId="11"/>
  </si>
  <si>
    <t>defense_correction</t>
    <phoneticPr fontId="11"/>
  </si>
  <si>
    <t>スキル</t>
    <phoneticPr fontId="11"/>
  </si>
  <si>
    <t>skill_set_id</t>
    <phoneticPr fontId="11"/>
  </si>
  <si>
    <t>name</t>
    <phoneticPr fontId="11"/>
  </si>
  <si>
    <t>rare</t>
    <phoneticPr fontId="11"/>
  </si>
  <si>
    <t>drop_label</t>
    <phoneticPr fontId="13"/>
  </si>
  <si>
    <t>state_no</t>
    <phoneticPr fontId="11"/>
  </si>
  <si>
    <t>hp_coefficient</t>
    <phoneticPr fontId="11"/>
  </si>
  <si>
    <t>attack_coefficient</t>
    <phoneticPr fontId="11"/>
  </si>
  <si>
    <t>defense_correction</t>
    <phoneticPr fontId="11"/>
  </si>
  <si>
    <t>スキル</t>
    <phoneticPr fontId="11"/>
  </si>
  <si>
    <t>skill_set_id</t>
    <phoneticPr fontId="11"/>
  </si>
  <si>
    <t>temp_id</t>
    <phoneticPr fontId="11"/>
  </si>
  <si>
    <t>skill_set_id</t>
    <phoneticPr fontId="13"/>
  </si>
  <si>
    <t>skill_id</t>
    <phoneticPr fontId="13"/>
  </si>
  <si>
    <t>name</t>
    <phoneticPr fontId="13"/>
  </si>
  <si>
    <t>comment</t>
    <phoneticPr fontId="13"/>
  </si>
  <si>
    <t>skill_trigger_id</t>
    <phoneticPr fontId="13"/>
  </si>
  <si>
    <t>first_time</t>
    <phoneticPr fontId="11"/>
  </si>
  <si>
    <t>priority</t>
    <phoneticPr fontId="11"/>
  </si>
  <si>
    <t>invoke_rate</t>
    <phoneticPr fontId="11"/>
  </si>
  <si>
    <t>hp_threshold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</si>
  <si>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</si>
  <si>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</si>
  <si>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</si>
  <si>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</si>
  <si>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</si>
  <si>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effect_param</t>
    <phoneticPr fontId="11"/>
  </si>
  <si>
    <t>language</t>
    <phoneticPr fontId="11"/>
  </si>
  <si>
    <t>name</t>
    <phoneticPr fontId="13"/>
  </si>
  <si>
    <t>comment</t>
    <phoneticPr fontId="13"/>
  </si>
  <si>
    <t>[effect:heal, target:enemy_one, val:0.1, animation:enemy_heal]</t>
    <phoneticPr fontId="11"/>
  </si>
  <si>
    <t>ja</t>
    <phoneticPr fontId="11"/>
  </si>
  <si>
    <t>恍惚の表情を浮かべている</t>
    <rPh sb="0" eb="2">
      <t>コウコツ</t>
    </rPh>
    <rPh sb="3" eb="5">
      <t>ヒョウジョウ</t>
    </rPh>
    <rPh sb="6" eb="7">
      <t>ウ</t>
    </rPh>
    <phoneticPr fontId="11"/>
  </si>
  <si>
    <t>回復</t>
    <rPh sb="0" eb="2">
      <t>カイフク</t>
    </rPh>
    <phoneticPr fontId="11"/>
  </si>
  <si>
    <t>skill_trigger_id</t>
    <phoneticPr fontId="13"/>
  </si>
  <si>
    <t>first_time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</si>
  <si>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</si>
  <si>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</si>
  <si>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</si>
  <si>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</si>
  <si>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</si>
  <si>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null</t>
    <phoneticPr fontId="11"/>
  </si>
  <si>
    <t>quest_id</t>
    <phoneticPr fontId="11"/>
  </si>
  <si>
    <t>stage_id</t>
    <phoneticPr fontId="11"/>
  </si>
  <si>
    <t>temp_stage</t>
    <phoneticPr fontId="13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</si>
  <si>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</si>
  <si>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</si>
  <si>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</si>
  <si>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</si>
  <si>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</si>
  <si>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</si>
  <si>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</si>
  <si>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</si>
  <si>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</si>
  <si>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</si>
  <si>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</si>
  <si>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</si>
  <si>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</si>
  <si>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</si>
  <si>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</si>
  <si>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null</t>
    <phoneticPr fontId="11"/>
  </si>
  <si>
    <t>quest_id</t>
    <phoneticPr fontId="11"/>
  </si>
  <si>
    <t>hint_type</t>
    <phoneticPr fontId="11"/>
  </si>
  <si>
    <t>quest_id</t>
    <phoneticPr fontId="11"/>
  </si>
  <si>
    <t>name</t>
    <phoneticPr fontId="11"/>
  </si>
  <si>
    <t>stage_id</t>
    <phoneticPr fontId="11"/>
  </si>
  <si>
    <t>floor_id</t>
    <phoneticPr fontId="11"/>
  </si>
  <si>
    <t>tmp_hint_id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</si>
  <si>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</si>
  <si>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</si>
  <si>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</si>
  <si>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</si>
  <si>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</si>
  <si>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ja</t>
    <phoneticPr fontId="11"/>
  </si>
  <si>
    <t>NULL</t>
    <phoneticPr fontId="11"/>
  </si>
  <si>
    <t>temp_id</t>
    <phoneticPr fontId="11"/>
  </si>
  <si>
    <t>quest_id</t>
    <phoneticPr fontId="11"/>
  </si>
  <si>
    <t>name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</si>
  <si>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</si>
  <si>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</si>
  <si>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</si>
  <si>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</si>
  <si>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weight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</si>
  <si>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</si>
  <si>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</si>
  <si>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</si>
  <si>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</si>
  <si>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</si>
  <si>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</si>
  <si>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</si>
  <si>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</si>
  <si>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</si>
  <si>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</si>
  <si>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definite_start_date</t>
    <phoneticPr fontId="11"/>
  </si>
  <si>
    <t>definite_end_date</t>
    <phoneticPr fontId="11"/>
  </si>
  <si>
    <t>everyone</t>
    <phoneticPr fontId="11"/>
  </si>
  <si>
    <t>clear</t>
    <phoneticPr fontId="11"/>
  </si>
  <si>
    <t>unit</t>
    <phoneticPr fontId="11"/>
  </si>
  <si>
    <t>2016-5-27 0:00:00</t>
    <phoneticPr fontId="11"/>
  </si>
  <si>
    <t>2970-01-01 09:00:00</t>
    <phoneticPr fontId="11"/>
  </si>
  <si>
    <t>no_continue</t>
    <phoneticPr fontId="11"/>
  </si>
  <si>
    <t>2016-5-27 0:00:00</t>
    <phoneticPr fontId="11"/>
  </si>
  <si>
    <t>2970-01-01 09:00:00</t>
    <phoneticPr fontId="11"/>
  </si>
  <si>
    <t>quest_id</t>
    <phoneticPr fontId="11"/>
  </si>
  <si>
    <t>number</t>
    <phoneticPr fontId="11"/>
  </si>
  <si>
    <t>hint_type</t>
    <phoneticPr fontId="11"/>
  </si>
  <si>
    <t>name</t>
    <phoneticPr fontId="11"/>
  </si>
  <si>
    <t>stage_id</t>
    <phoneticPr fontId="11"/>
  </si>
  <si>
    <t>floor_id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</si>
  <si>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</si>
  <si>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</si>
  <si>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</si>
  <si>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</si>
  <si>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</si>
  <si>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※evaluation_idは過去のクエストと被らないように指定してください</t>
    <phoneticPr fontId="11"/>
  </si>
  <si>
    <t>※evaluation_idは過去のクエストと被らないように指定してください</t>
    <phoneticPr fontId="11"/>
  </si>
  <si>
    <t>null</t>
    <phoneticPr fontId="11"/>
  </si>
  <si>
    <t>old</t>
  </si>
  <si>
    <t>余裕の笑みを浮かべている</t>
  </si>
  <si>
    <t>3ターン攻撃力UP</t>
  </si>
  <si>
    <t>3ターンの間ダメージを受ける</t>
  </si>
  <si>
    <t>ユニット1体に3ターンスリープ</t>
  </si>
  <si>
    <t>3ターンスキルが使えない！</t>
  </si>
  <si>
    <t>メガホンの感度を調節している</t>
  </si>
  <si>
    <t>何やら様子がおかしい！</t>
  </si>
  <si>
    <t>god</t>
    <phoneticPr fontId="11"/>
  </si>
  <si>
    <t>demon</t>
    <phoneticPr fontId="11"/>
  </si>
  <si>
    <t>tribe</t>
    <phoneticPr fontId="11"/>
  </si>
  <si>
    <t>tribe</t>
    <phoneticPr fontId="11"/>
  </si>
  <si>
    <t>type</t>
    <phoneticPr fontId="11"/>
  </si>
  <si>
    <t>attack</t>
    <phoneticPr fontId="11"/>
  </si>
  <si>
    <t>スコア</t>
    <phoneticPr fontId="11"/>
  </si>
  <si>
    <t>回復量</t>
    <phoneticPr fontId="11"/>
  </si>
  <si>
    <t>スコア</t>
    <phoneticPr fontId="11"/>
  </si>
  <si>
    <t>与ダメ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</si>
</sst>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2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</borders>
  <cellStyleXfs count="737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38" fontId="25" fillId="0" borderId="0" applyFill="0" applyBorder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1" fillId="10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  <xf numFmtId="0" fontId="8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5" fillId="15" borderId="12" applyNumberFormat="0" applyAlignment="0" applyProtection="0"/>
    <xf numFmtId="0" fontId="36" fillId="16" borderId="0" applyNumberFormat="0" applyBorder="0" applyAlignment="0" applyProtection="0"/>
    <xf numFmtId="0" fontId="37" fillId="17" borderId="13" applyNumberFormat="0" applyAlignment="0" applyProtection="0"/>
    <xf numFmtId="0" fontId="38" fillId="0" borderId="0" applyNumberFormat="0" applyFill="0" applyBorder="0" applyAlignment="0" applyProtection="0"/>
    <xf numFmtId="0" fontId="39" fillId="18" borderId="0" applyNumberFormat="0" applyBorder="0" applyAlignment="0" applyProtection="0"/>
    <xf numFmtId="0" fontId="40" fillId="19" borderId="14" applyNumberFormat="0" applyAlignment="0" applyProtection="0"/>
    <xf numFmtId="0" fontId="41" fillId="0" borderId="0" applyNumberFormat="0" applyFill="0" applyBorder="0" applyAlignment="0" applyProtection="0"/>
    <xf numFmtId="0" fontId="42" fillId="0" borderId="15" applyNumberFormat="0" applyFill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4" fillId="0" borderId="0" applyNumberFormat="0" applyFill="0" applyBorder="0" applyAlignment="0" applyProtection="0"/>
    <xf numFmtId="0" fontId="45" fillId="17" borderId="0" applyNumberFormat="0" applyBorder="0" applyAlignment="0" applyProtection="0"/>
    <xf numFmtId="0" fontId="45" fillId="16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5" borderId="0" applyNumberFormat="0" applyBorder="0" applyAlignment="0" applyProtection="0"/>
    <xf numFmtId="0" fontId="45" fillId="17" borderId="0" applyNumberFormat="0" applyBorder="0" applyAlignment="0" applyProtection="0"/>
    <xf numFmtId="0" fontId="45" fillId="22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3" borderId="0" applyNumberFormat="0" applyBorder="0" applyAlignment="0" applyProtection="0"/>
    <xf numFmtId="0" fontId="45" fillId="1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4" borderId="0" applyNumberFormat="0" applyBorder="0" applyAlignment="0" applyProtection="0"/>
    <xf numFmtId="0" fontId="46" fillId="16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0" borderId="0" applyNumberFormat="0" applyBorder="0" applyAlignment="0" applyProtection="0"/>
    <xf numFmtId="0" fontId="46" fillId="2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7" fillId="27" borderId="0" applyNumberFormat="0" applyBorder="0" applyAlignment="0" applyProtection="0"/>
    <xf numFmtId="0" fontId="36" fillId="16" borderId="0" applyNumberFormat="0" applyBorder="0" applyAlignment="0" applyProtection="0"/>
    <xf numFmtId="0" fontId="48" fillId="0" borderId="18" applyNumberFormat="0" applyFill="0" applyAlignment="0" applyProtection="0"/>
    <xf numFmtId="0" fontId="49" fillId="17" borderId="19" applyNumberFormat="0" applyAlignment="0" applyProtection="0"/>
    <xf numFmtId="0" fontId="49" fillId="28" borderId="19" applyNumberFormat="0" applyAlignment="0" applyProtection="0"/>
    <xf numFmtId="0" fontId="37" fillId="16" borderId="13" applyNumberFormat="0" applyAlignment="0" applyProtection="0"/>
    <xf numFmtId="0" fontId="50" fillId="0" borderId="20" applyNumberFormat="0" applyFill="0" applyAlignment="0" applyProtection="0"/>
    <xf numFmtId="0" fontId="51" fillId="28" borderId="1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1" applyNumberFormat="0" applyFill="0" applyAlignment="0" applyProtection="0"/>
    <xf numFmtId="0" fontId="7" fillId="0" borderId="0"/>
    <xf numFmtId="0" fontId="7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4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</cellStyleXfs>
  <cellXfs count="232"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5" borderId="3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2" fillId="5" borderId="1" xfId="0" applyFont="1" applyFill="1" applyBorder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3" borderId="7" xfId="0" applyFont="1" applyFill="1" applyBorder="1" applyAlignment="1">
      <alignment horizontal="center" vertical="center"/>
    </xf>
    <xf numFmtId="0" fontId="18" fillId="7" borderId="0" xfId="0" applyFont="1" applyFill="1" applyAlignment="1">
      <alignment vertical="center"/>
    </xf>
    <xf numFmtId="0" fontId="12" fillId="5" borderId="9" xfId="0" applyFont="1" applyFill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76" fontId="10" fillId="0" borderId="3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vertical="center"/>
    </xf>
    <xf numFmtId="177" fontId="14" fillId="0" borderId="4" xfId="0" applyNumberFormat="1" applyFont="1" applyBorder="1" applyAlignment="1">
      <alignment vertical="center"/>
    </xf>
    <xf numFmtId="0" fontId="10" fillId="2" borderId="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10" fillId="3" borderId="10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6" borderId="7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vertical="center"/>
    </xf>
    <xf numFmtId="0" fontId="20" fillId="7" borderId="0" xfId="0" applyFont="1" applyFill="1" applyAlignment="1">
      <alignment vertical="center"/>
    </xf>
    <xf numFmtId="0" fontId="22" fillId="6" borderId="7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3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vertical="center"/>
    </xf>
    <xf numFmtId="0" fontId="22" fillId="3" borderId="7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left" vertical="center" wrapText="1"/>
    </xf>
    <xf numFmtId="14" fontId="22" fillId="0" borderId="7" xfId="0" applyNumberFormat="1" applyFont="1" applyFill="1" applyBorder="1" applyAlignment="1">
      <alignment horizontal="left" vertical="center"/>
    </xf>
    <xf numFmtId="0" fontId="17" fillId="6" borderId="2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19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19" fillId="11" borderId="7" xfId="434" applyFont="1" applyFill="1" applyBorder="1" applyAlignment="1"/>
    <xf numFmtId="0" fontId="22" fillId="3" borderId="7" xfId="0" applyFont="1" applyFill="1" applyBorder="1" applyAlignment="1">
      <alignment horizontal="left" vertical="center" wrapText="1"/>
    </xf>
    <xf numFmtId="0" fontId="0" fillId="0" borderId="7" xfId="615" applyFont="1" applyBorder="1"/>
    <xf numFmtId="0" fontId="10" fillId="0" borderId="7" xfId="0" applyFont="1" applyBorder="1" applyAlignment="1">
      <alignment vertical="center"/>
    </xf>
    <xf numFmtId="0" fontId="22" fillId="6" borderId="7" xfId="0" applyFont="1" applyFill="1" applyBorder="1" applyAlignment="1">
      <alignment horizontal="center"/>
    </xf>
    <xf numFmtId="0" fontId="32" fillId="6" borderId="7" xfId="0" applyFont="1" applyFill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4" borderId="7" xfId="0" applyFont="1" applyFill="1" applyBorder="1" applyAlignment="1">
      <alignment horizontal="center"/>
    </xf>
    <xf numFmtId="0" fontId="0" fillId="14" borderId="7" xfId="0" applyFill="1" applyBorder="1"/>
    <xf numFmtId="0" fontId="33" fillId="0" borderId="7" xfId="0" applyFont="1" applyFill="1" applyBorder="1"/>
    <xf numFmtId="0" fontId="34" fillId="3" borderId="11" xfId="0" applyFont="1" applyFill="1" applyBorder="1" applyAlignment="1">
      <alignment vertical="center"/>
    </xf>
    <xf numFmtId="0" fontId="32" fillId="0" borderId="0" xfId="0" applyFont="1" applyFill="1"/>
    <xf numFmtId="0" fontId="22" fillId="29" borderId="7" xfId="0" applyFont="1" applyFill="1" applyBorder="1" applyAlignment="1">
      <alignment horizontal="center"/>
    </xf>
    <xf numFmtId="0" fontId="22" fillId="12" borderId="7" xfId="0" applyFont="1" applyFill="1" applyBorder="1" applyAlignment="1">
      <alignment horizontal="center"/>
    </xf>
    <xf numFmtId="56" fontId="22" fillId="13" borderId="7" xfId="0" applyNumberFormat="1" applyFont="1" applyFill="1" applyBorder="1" applyAlignment="1">
      <alignment horizontal="center"/>
    </xf>
    <xf numFmtId="0" fontId="10" fillId="30" borderId="7" xfId="0" applyFont="1" applyFill="1" applyBorder="1" applyAlignment="1">
      <alignment vertical="center"/>
    </xf>
    <xf numFmtId="0" fontId="22" fillId="6" borderId="22" xfId="0" applyFont="1" applyFill="1" applyBorder="1" applyAlignment="1">
      <alignment horizontal="center"/>
    </xf>
    <xf numFmtId="0" fontId="14" fillId="32" borderId="7" xfId="0" applyFont="1" applyFill="1" applyBorder="1" applyAlignment="1">
      <alignment horizontal="left" vertical="center"/>
    </xf>
    <xf numFmtId="0" fontId="22" fillId="31" borderId="7" xfId="432" applyFont="1" applyFill="1" applyBorder="1" applyAlignment="1">
      <alignment horizontal="left" vertical="center"/>
    </xf>
    <xf numFmtId="0" fontId="34" fillId="0" borderId="0" xfId="0" applyFont="1" applyFill="1" applyBorder="1" applyAlignment="1">
      <alignment vertical="center"/>
    </xf>
    <xf numFmtId="0" fontId="22" fillId="13" borderId="22" xfId="0" applyFont="1" applyFill="1" applyBorder="1" applyAlignment="1">
      <alignment horizontal="center"/>
    </xf>
    <xf numFmtId="0" fontId="22" fillId="0" borderId="0" xfId="432" applyFont="1" applyAlignment="1">
      <alignment vertical="center"/>
    </xf>
    <xf numFmtId="0" fontId="22" fillId="0" borderId="0" xfId="432" applyFont="1" applyAlignment="1">
      <alignment vertical="center" wrapText="1"/>
    </xf>
    <xf numFmtId="0" fontId="7" fillId="0" borderId="7" xfId="676" applyBorder="1"/>
    <xf numFmtId="0" fontId="7" fillId="11" borderId="7" xfId="676" applyFill="1" applyBorder="1"/>
    <xf numFmtId="0" fontId="6" fillId="6" borderId="7" xfId="434" applyFont="1" applyFill="1" applyBorder="1" applyAlignment="1"/>
    <xf numFmtId="0" fontId="0" fillId="0" borderId="0" xfId="0" applyFill="1" applyBorder="1"/>
    <xf numFmtId="0" fontId="0" fillId="31" borderId="7" xfId="0" applyFill="1" applyBorder="1"/>
    <xf numFmtId="0" fontId="0" fillId="33" borderId="7" xfId="0" applyFill="1" applyBorder="1"/>
    <xf numFmtId="0" fontId="7" fillId="33" borderId="7" xfId="676" applyFill="1" applyBorder="1"/>
    <xf numFmtId="0" fontId="0" fillId="6" borderId="0" xfId="0" applyFill="1"/>
    <xf numFmtId="0" fontId="0" fillId="33" borderId="7" xfId="676" applyFont="1" applyFill="1" applyBorder="1"/>
    <xf numFmtId="0" fontId="0" fillId="0" borderId="7" xfId="615" applyFont="1" applyFill="1" applyBorder="1"/>
    <xf numFmtId="0" fontId="5" fillId="6" borderId="7" xfId="434" applyFont="1" applyFill="1" applyBorder="1" applyAlignment="1"/>
    <xf numFmtId="0" fontId="0" fillId="0" borderId="7" xfId="676" applyFont="1" applyFill="1" applyBorder="1"/>
    <xf numFmtId="0" fontId="54" fillId="34" borderId="7" xfId="0" applyFont="1" applyFill="1" applyBorder="1"/>
    <xf numFmtId="0" fontId="22" fillId="0" borderId="7" xfId="0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 wrapText="1"/>
    </xf>
    <xf numFmtId="3" fontId="10" fillId="0" borderId="7" xfId="0" applyNumberFormat="1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left" vertical="center"/>
    </xf>
    <xf numFmtId="0" fontId="34" fillId="0" borderId="11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38" fontId="0" fillId="37" borderId="7" xfId="0" applyNumberFormat="1" applyFill="1" applyBorder="1"/>
    <xf numFmtId="9" fontId="0" fillId="0" borderId="0" xfId="0" applyNumberFormat="1"/>
    <xf numFmtId="40" fontId="0" fillId="35" borderId="7" xfId="0" applyNumberFormat="1" applyFill="1" applyBorder="1"/>
    <xf numFmtId="38" fontId="0" fillId="12" borderId="7" xfId="724" applyFont="1" applyFill="1" applyBorder="1"/>
    <xf numFmtId="40" fontId="0" fillId="37" borderId="7" xfId="725" applyNumberFormat="1" applyFont="1" applyFill="1" applyBorder="1"/>
    <xf numFmtId="38" fontId="0" fillId="37" borderId="7" xfId="725" applyFont="1" applyFill="1" applyBorder="1"/>
    <xf numFmtId="38" fontId="0" fillId="0" borderId="23" xfId="725" applyFont="1" applyFill="1" applyBorder="1"/>
    <xf numFmtId="38" fontId="0" fillId="0" borderId="0" xfId="725" applyFont="1" applyFill="1" applyBorder="1"/>
    <xf numFmtId="38" fontId="0" fillId="36" borderId="7" xfId="724" applyFont="1" applyFill="1" applyBorder="1"/>
    <xf numFmtId="38" fontId="0" fillId="6" borderId="7" xfId="724" applyFont="1" applyFill="1" applyBorder="1"/>
    <xf numFmtId="38" fontId="0" fillId="30" borderId="7" xfId="724" applyFont="1" applyFill="1" applyBorder="1"/>
    <xf numFmtId="38" fontId="0" fillId="0" borderId="23" xfId="0" applyNumberFormat="1" applyFill="1" applyBorder="1"/>
    <xf numFmtId="0" fontId="0" fillId="38" borderId="7" xfId="0" applyFill="1" applyBorder="1"/>
    <xf numFmtId="0" fontId="54" fillId="39" borderId="7" xfId="0" applyFont="1" applyFill="1" applyBorder="1"/>
    <xf numFmtId="0" fontId="22" fillId="38" borderId="0" xfId="0" applyFont="1" applyFill="1" applyBorder="1" applyAlignment="1">
      <alignment horizontal="left" vertical="center"/>
    </xf>
    <xf numFmtId="0" fontId="0" fillId="38" borderId="0" xfId="0" applyFill="1"/>
    <xf numFmtId="0" fontId="56" fillId="6" borderId="7" xfId="0" applyFont="1" applyFill="1" applyBorder="1"/>
    <xf numFmtId="0" fontId="56" fillId="0" borderId="7" xfId="0" applyFont="1" applyBorder="1"/>
    <xf numFmtId="22" fontId="56" fillId="0" borderId="7" xfId="0" applyNumberFormat="1" applyFont="1" applyBorder="1"/>
    <xf numFmtId="0" fontId="10" fillId="6" borderId="7" xfId="0" applyFont="1" applyFill="1" applyBorder="1" applyAlignment="1">
      <alignment vertical="center"/>
    </xf>
    <xf numFmtId="0" fontId="0" fillId="0" borderId="24" xfId="0" applyBorder="1"/>
    <xf numFmtId="0" fontId="57" fillId="0" borderId="0" xfId="0" applyFont="1"/>
    <xf numFmtId="0" fontId="58" fillId="0" borderId="7" xfId="0" applyFont="1" applyBorder="1"/>
    <xf numFmtId="0" fontId="58" fillId="0" borderId="11" xfId="0" applyFont="1" applyBorder="1"/>
    <xf numFmtId="0" fontId="58" fillId="0" borderId="25" xfId="0" applyFont="1" applyBorder="1"/>
    <xf numFmtId="0" fontId="54" fillId="40" borderId="7" xfId="0" applyFont="1" applyFill="1" applyBorder="1"/>
    <xf numFmtId="0" fontId="54" fillId="34" borderId="24" xfId="0" applyFont="1" applyFill="1" applyBorder="1"/>
    <xf numFmtId="0" fontId="54" fillId="39" borderId="24" xfId="0" applyFont="1" applyFill="1" applyBorder="1"/>
    <xf numFmtId="0" fontId="0" fillId="38" borderId="24" xfId="0" applyFill="1" applyBorder="1"/>
    <xf numFmtId="0" fontId="22" fillId="0" borderId="24" xfId="0" applyFont="1" applyBorder="1" applyAlignment="1">
      <alignment horizontal="left" vertical="center"/>
    </xf>
    <xf numFmtId="0" fontId="22" fillId="0" borderId="24" xfId="432" applyFont="1" applyBorder="1" applyAlignment="1">
      <alignment horizontal="left" vertical="center"/>
    </xf>
    <xf numFmtId="0" fontId="22" fillId="0" borderId="24" xfId="432" applyFont="1" applyBorder="1" applyAlignment="1">
      <alignment horizontal="left" vertical="center" wrapText="1"/>
    </xf>
    <xf numFmtId="0" fontId="10" fillId="0" borderId="7" xfId="0" applyFont="1" applyBorder="1" applyAlignment="1">
      <alignment horizontal="center" vertical="center"/>
    </xf>
    <xf numFmtId="0" fontId="10" fillId="3" borderId="7" xfId="0" applyFont="1" applyFill="1" applyBorder="1" applyAlignment="1">
      <alignment vertical="center"/>
    </xf>
    <xf numFmtId="0" fontId="10" fillId="0" borderId="7" xfId="0" applyFont="1" applyFill="1" applyBorder="1" applyAlignment="1">
      <alignment vertical="center"/>
    </xf>
    <xf numFmtId="0" fontId="0" fillId="3" borderId="7" xfId="0" applyFill="1" applyBorder="1"/>
    <xf numFmtId="0" fontId="32" fillId="0" borderId="7" xfId="0" applyFont="1" applyFill="1" applyBorder="1"/>
    <xf numFmtId="0" fontId="59" fillId="0" borderId="7" xfId="0" applyFont="1" applyFill="1" applyBorder="1"/>
    <xf numFmtId="0" fontId="59" fillId="29" borderId="7" xfId="0" applyFont="1" applyFill="1" applyBorder="1"/>
    <xf numFmtId="0" fontId="59" fillId="13" borderId="7" xfId="0" applyFont="1" applyFill="1" applyBorder="1"/>
    <xf numFmtId="0" fontId="60" fillId="0" borderId="7" xfId="0" applyFont="1" applyFill="1" applyBorder="1"/>
    <xf numFmtId="0" fontId="34" fillId="0" borderId="11" xfId="0" applyFont="1" applyFill="1" applyBorder="1" applyAlignment="1">
      <alignment vertical="center"/>
    </xf>
    <xf numFmtId="0" fontId="30" fillId="6" borderId="7" xfId="434" applyFill="1" applyBorder="1" applyAlignment="1"/>
    <xf numFmtId="0" fontId="0" fillId="12" borderId="7" xfId="0" applyFill="1" applyBorder="1" applyAlignment="1">
      <alignment horizontal="right"/>
    </xf>
    <xf numFmtId="0" fontId="0" fillId="42" borderId="7" xfId="0" applyFill="1" applyBorder="1" applyAlignment="1">
      <alignment horizontal="right"/>
    </xf>
    <xf numFmtId="0" fontId="0" fillId="42" borderId="7" xfId="0" applyFont="1" applyFill="1" applyBorder="1" applyAlignment="1">
      <alignment horizontal="right"/>
    </xf>
    <xf numFmtId="0" fontId="30" fillId="0" borderId="7" xfId="434" applyBorder="1" applyAlignment="1"/>
    <xf numFmtId="0" fontId="0" fillId="12" borderId="7" xfId="0" applyFill="1" applyBorder="1"/>
    <xf numFmtId="0" fontId="58" fillId="41" borderId="7" xfId="0" applyFont="1" applyFill="1" applyBorder="1"/>
    <xf numFmtId="0" fontId="8" fillId="11" borderId="7" xfId="615" applyFill="1" applyBorder="1"/>
    <xf numFmtId="0" fontId="22" fillId="6" borderId="7" xfId="614" applyFont="1" applyFill="1" applyBorder="1" applyAlignment="1">
      <alignment horizontal="left"/>
    </xf>
    <xf numFmtId="0" fontId="0" fillId="6" borderId="7" xfId="615" applyFont="1" applyFill="1" applyBorder="1"/>
    <xf numFmtId="56" fontId="22" fillId="6" borderId="7" xfId="0" applyNumberFormat="1" applyFont="1" applyFill="1" applyBorder="1" applyAlignment="1">
      <alignment horizontal="center"/>
    </xf>
    <xf numFmtId="0" fontId="8" fillId="0" borderId="7" xfId="615" applyBorder="1"/>
    <xf numFmtId="0" fontId="22" fillId="6" borderId="7" xfId="11" applyFont="1" applyFill="1" applyBorder="1" applyAlignment="1">
      <alignment horizontal="left"/>
    </xf>
    <xf numFmtId="0" fontId="8" fillId="6" borderId="7" xfId="615" applyFill="1" applyBorder="1"/>
    <xf numFmtId="0" fontId="10" fillId="2" borderId="7" xfId="0" applyFont="1" applyFill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0" fontId="22" fillId="6" borderId="7" xfId="734" applyFont="1" applyFill="1" applyBorder="1" applyAlignment="1">
      <alignment horizontal="left"/>
    </xf>
    <xf numFmtId="0" fontId="20" fillId="7" borderId="0" xfId="734" applyFont="1" applyFill="1" applyAlignment="1">
      <alignment horizontal="center" vertical="center"/>
    </xf>
    <xf numFmtId="0" fontId="22" fillId="3" borderId="7" xfId="734" applyFont="1" applyFill="1" applyBorder="1" applyAlignment="1">
      <alignment horizontal="left"/>
    </xf>
    <xf numFmtId="0" fontId="0" fillId="6" borderId="7" xfId="735" applyFont="1" applyFill="1" applyBorder="1"/>
    <xf numFmtId="38" fontId="22" fillId="0" borderId="7" xfId="736" applyFont="1" applyFill="1" applyBorder="1" applyAlignment="1"/>
    <xf numFmtId="0" fontId="19" fillId="7" borderId="0" xfId="0" applyFont="1" applyFill="1" applyAlignment="1">
      <alignment horizontal="center"/>
    </xf>
    <xf numFmtId="0" fontId="61" fillId="6" borderId="7" xfId="0" applyFont="1" applyFill="1" applyBorder="1" applyAlignment="1">
      <alignment horizontal="center"/>
    </xf>
    <xf numFmtId="0" fontId="19" fillId="7" borderId="0" xfId="0" applyFont="1" applyFill="1" applyAlignment="1">
      <alignment horizontal="left" indent="1"/>
    </xf>
    <xf numFmtId="0" fontId="59" fillId="3" borderId="7" xfId="0" applyFont="1" applyFill="1" applyBorder="1"/>
    <xf numFmtId="22" fontId="59" fillId="0" borderId="7" xfId="0" quotePrefix="1" applyNumberFormat="1" applyFont="1" applyFill="1" applyBorder="1"/>
    <xf numFmtId="0" fontId="59" fillId="0" borderId="7" xfId="0" quotePrefix="1" applyFont="1" applyFill="1" applyBorder="1"/>
    <xf numFmtId="0" fontId="0" fillId="42" borderId="7" xfId="0" applyFill="1" applyBorder="1"/>
    <xf numFmtId="0" fontId="0" fillId="43" borderId="7" xfId="0" applyFill="1" applyBorder="1"/>
    <xf numFmtId="0" fontId="0" fillId="43" borderId="7" xfId="615" applyFont="1" applyFill="1" applyBorder="1"/>
    <xf numFmtId="0" fontId="0" fillId="35" borderId="7" xfId="0" applyFill="1" applyBorder="1" applyAlignment="1">
      <alignment horizontal="right"/>
    </xf>
    <xf numFmtId="0" fontId="0" fillId="30" borderId="7" xfId="0" applyFill="1" applyBorder="1" applyAlignment="1">
      <alignment horizontal="right"/>
    </xf>
    <xf numFmtId="38" fontId="0" fillId="35" borderId="7" xfId="724" applyFont="1" applyFill="1" applyBorder="1"/>
    <xf numFmtId="0" fontId="30" fillId="42" borderId="7" xfId="434" applyFill="1" applyBorder="1" applyAlignment="1"/>
    <xf numFmtId="0" fontId="0" fillId="0" borderId="0" xfId="0" applyAlignment="1"/>
    <xf numFmtId="0" fontId="18" fillId="7" borderId="7" xfId="0" applyFont="1" applyFill="1" applyBorder="1" applyAlignment="1">
      <alignment vertical="center"/>
    </xf>
    <xf numFmtId="0" fontId="10" fillId="38" borderId="7" xfId="0" applyFont="1" applyFill="1" applyBorder="1" applyAlignment="1">
      <alignment horizontal="center" vertical="center"/>
    </xf>
    <xf numFmtId="0" fontId="12" fillId="38" borderId="7" xfId="0" applyFont="1" applyFill="1" applyBorder="1" applyAlignment="1">
      <alignment vertical="center"/>
    </xf>
    <xf numFmtId="0" fontId="62" fillId="0" borderId="0" xfId="0" applyFont="1"/>
    <xf numFmtId="0" fontId="30" fillId="29" borderId="7" xfId="434" applyFill="1" applyBorder="1" applyAlignment="1"/>
    <xf numFmtId="0" fontId="14" fillId="0" borderId="27" xfId="0" applyFont="1" applyBorder="1" applyAlignment="1">
      <alignment vertical="center"/>
    </xf>
    <xf numFmtId="177" fontId="14" fillId="0" borderId="27" xfId="0" applyNumberFormat="1" applyFont="1" applyBorder="1" applyAlignment="1">
      <alignment vertical="center"/>
    </xf>
    <xf numFmtId="0" fontId="17" fillId="12" borderId="7" xfId="0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2" fillId="44" borderId="9" xfId="0" applyFont="1" applyFill="1" applyBorder="1" applyAlignment="1">
      <alignment vertical="center"/>
    </xf>
    <xf numFmtId="176" fontId="10" fillId="0" borderId="28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2" fillId="5" borderId="28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2" fillId="5" borderId="29" xfId="0" applyFont="1" applyFill="1" applyBorder="1" applyAlignment="1">
      <alignment vertical="center"/>
    </xf>
    <xf numFmtId="0" fontId="14" fillId="0" borderId="28" xfId="0" applyFont="1" applyBorder="1" applyAlignment="1">
      <alignment vertical="center"/>
    </xf>
    <xf numFmtId="177" fontId="14" fillId="0" borderId="30" xfId="0" applyNumberFormat="1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7" fillId="12" borderId="2" xfId="0" applyFont="1" applyFill="1" applyBorder="1" applyAlignment="1">
      <alignment vertical="center"/>
    </xf>
    <xf numFmtId="0" fontId="10" fillId="0" borderId="31" xfId="0" applyFont="1" applyBorder="1" applyAlignment="1">
      <alignment vertical="center"/>
    </xf>
    <xf numFmtId="0" fontId="12" fillId="44" borderId="29" xfId="0" applyFont="1" applyFill="1" applyBorder="1" applyAlignment="1">
      <alignment vertical="center"/>
    </xf>
    <xf numFmtId="0" fontId="10" fillId="3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0" fillId="0" borderId="32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3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176" fontId="10" fillId="0" borderId="7" xfId="0" applyNumberFormat="1" applyFont="1" applyFill="1" applyBorder="1" applyAlignment="1">
      <alignment horizontal="center" vertical="center"/>
    </xf>
    <xf numFmtId="0" fontId="14" fillId="0" borderId="7" xfId="0" applyFont="1" applyBorder="1" applyAlignment="1">
      <alignment vertical="center"/>
    </xf>
    <xf numFmtId="177" fontId="14" fillId="0" borderId="7" xfId="0" applyNumberFormat="1" applyFont="1" applyBorder="1" applyAlignment="1">
      <alignment vertical="center"/>
    </xf>
    <xf numFmtId="0" fontId="14" fillId="12" borderId="7" xfId="0" applyFont="1" applyFill="1" applyBorder="1" applyAlignment="1">
      <alignment vertical="center"/>
    </xf>
    <xf numFmtId="0" fontId="12" fillId="44" borderId="7" xfId="0" applyFont="1" applyFill="1" applyBorder="1" applyAlignment="1">
      <alignment vertical="center"/>
    </xf>
    <xf numFmtId="0" fontId="10" fillId="12" borderId="7" xfId="0" applyFont="1" applyFill="1" applyBorder="1" applyAlignment="1">
      <alignment vertical="center"/>
    </xf>
    <xf numFmtId="0" fontId="18" fillId="7" borderId="33" xfId="0" applyFont="1" applyFill="1" applyBorder="1" applyAlignment="1">
      <alignment vertical="center"/>
    </xf>
    <xf numFmtId="176" fontId="10" fillId="0" borderId="34" xfId="0" applyNumberFormat="1" applyFont="1" applyFill="1" applyBorder="1" applyAlignment="1">
      <alignment horizontal="center" vertical="center"/>
    </xf>
    <xf numFmtId="0" fontId="10" fillId="0" borderId="3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2" fillId="5" borderId="34" xfId="0" applyFont="1" applyFill="1" applyBorder="1" applyAlignment="1">
      <alignment vertical="center"/>
    </xf>
    <xf numFmtId="0" fontId="12" fillId="0" borderId="35" xfId="0" applyFont="1" applyFill="1" applyBorder="1" applyAlignment="1">
      <alignment vertical="center"/>
    </xf>
    <xf numFmtId="0" fontId="10" fillId="0" borderId="35" xfId="0" applyFont="1" applyBorder="1" applyAlignment="1">
      <alignment horizontal="center" vertical="center"/>
    </xf>
    <xf numFmtId="0" fontId="12" fillId="5" borderId="36" xfId="0" applyFont="1" applyFill="1" applyBorder="1" applyAlignment="1">
      <alignment vertical="center"/>
    </xf>
    <xf numFmtId="0" fontId="14" fillId="0" borderId="37" xfId="0" applyFont="1" applyBorder="1" applyAlignment="1">
      <alignment vertical="center"/>
    </xf>
    <xf numFmtId="177" fontId="14" fillId="0" borderId="37" xfId="0" applyNumberFormat="1" applyFont="1" applyBorder="1" applyAlignment="1">
      <alignment vertical="center"/>
    </xf>
    <xf numFmtId="0" fontId="22" fillId="12" borderId="35" xfId="0" applyFont="1" applyFill="1" applyBorder="1" applyAlignment="1">
      <alignment vertical="center"/>
    </xf>
    <xf numFmtId="0" fontId="12" fillId="44" borderId="38" xfId="0" applyFont="1" applyFill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22" fillId="12" borderId="7" xfId="0" applyFont="1" applyFill="1" applyBorder="1" applyAlignment="1">
      <alignment vertical="center"/>
    </xf>
    <xf numFmtId="0" fontId="12" fillId="44" borderId="26" xfId="0" applyFont="1" applyFill="1" applyBorder="1" applyAlignment="1">
      <alignment vertical="center"/>
    </xf>
    <xf numFmtId="0" fontId="0" fillId="6" borderId="7" xfId="0" applyFill="1" applyBorder="1" applyAlignment="1">
      <alignment horizontal="right"/>
    </xf>
    <xf numFmtId="0" fontId="0" fillId="0" borderId="0" xfId="0" applyBorder="1"/>
    <xf numFmtId="38" fontId="0" fillId="0" borderId="0" xfId="0" applyNumberFormat="1" applyFill="1" applyBorder="1"/>
    <xf numFmtId="0" fontId="0" fillId="0" borderId="0" xfId="0" applyNumberFormat="1"/>
  </cellXfs>
  <cellStyles count="73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桁区切り 2 2 2" xfId="736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4 2 3" xfId="734"/>
    <cellStyle name="標準 5" xfId="676"/>
    <cellStyle name="標準 5 2" xfId="677"/>
    <cellStyle name="標準 6" xfId="615"/>
    <cellStyle name="標準 6 2" xfId="733"/>
    <cellStyle name="標準 6 3" xfId="73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externalLink" Target="externalLinks/externalLink2.xml"/><Relationship Id="rId22" Type="http://schemas.openxmlformats.org/officeDocument/2006/relationships/externalLink" Target="externalLinks/externalLink3.xml"/><Relationship Id="rId23" Type="http://schemas.openxmlformats.org/officeDocument/2006/relationships/externalLink" Target="externalLinks/externalLink4.xml"/><Relationship Id="rId24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5"/>
  <sheetViews>
    <sheetView workbookViewId="0">
      <selection activeCell="F28" sqref="F28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30" x14ac:dyDescent="0.15">
      <c r="A1" s="53" t="s">
        <v>42</v>
      </c>
      <c r="B1" s="49" t="s">
        <v>34</v>
      </c>
      <c r="C1" s="49" t="s">
        <v>35</v>
      </c>
      <c r="D1" s="49" t="s">
        <v>36</v>
      </c>
      <c r="E1" s="49" t="s">
        <v>37</v>
      </c>
      <c r="F1" s="49" t="s">
        <v>38</v>
      </c>
      <c r="G1" s="49" t="s">
        <v>39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30" x14ac:dyDescent="0.15">
      <c r="A2" s="139" t="s">
        <v>495</v>
      </c>
      <c r="B2" s="82" t="s">
        <v>258</v>
      </c>
      <c r="C2" s="140">
        <v>41002</v>
      </c>
      <c r="D2" s="51" t="s">
        <v>40</v>
      </c>
      <c r="E2" s="50" t="str">
        <f>B2&amp;C2&amp;D2</f>
        <v>score_attack_expanded_floors_41002.tmp</v>
      </c>
      <c r="F2" s="51" t="s">
        <v>197</v>
      </c>
      <c r="G2" s="52" t="s">
        <v>0</v>
      </c>
      <c r="H2" s="52" t="s">
        <v>1</v>
      </c>
      <c r="I2" s="52" t="s">
        <v>12</v>
      </c>
      <c r="J2" s="69" t="s">
        <v>198</v>
      </c>
      <c r="K2" s="69" t="s">
        <v>199</v>
      </c>
      <c r="L2" s="69" t="s">
        <v>201</v>
      </c>
      <c r="M2" s="51" t="s">
        <v>203</v>
      </c>
      <c r="N2" s="51" t="s">
        <v>205</v>
      </c>
      <c r="O2" s="51" t="s">
        <v>207</v>
      </c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30" x14ac:dyDescent="0.15">
      <c r="A3" s="139" t="s">
        <v>495</v>
      </c>
      <c r="B3" s="82" t="s">
        <v>208</v>
      </c>
      <c r="C3" s="141">
        <f t="shared" ref="C3:C10" si="0">$C$2</f>
        <v>41002</v>
      </c>
      <c r="D3" s="51" t="s">
        <v>40</v>
      </c>
      <c r="E3" s="50" t="str">
        <f>B3&amp;C3&amp;D3</f>
        <v>score_attack_expanded_stages_41002.tmp</v>
      </c>
      <c r="F3" s="51" t="s">
        <v>209</v>
      </c>
      <c r="G3" s="52" t="s">
        <v>0</v>
      </c>
      <c r="H3" s="52" t="s">
        <v>1</v>
      </c>
      <c r="I3" s="31" t="s">
        <v>81</v>
      </c>
      <c r="J3" s="52"/>
      <c r="K3" s="52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30" x14ac:dyDescent="0.15">
      <c r="A4" s="139" t="s">
        <v>495</v>
      </c>
      <c r="B4" s="82" t="s">
        <v>259</v>
      </c>
      <c r="C4" s="141">
        <f t="shared" si="0"/>
        <v>41002</v>
      </c>
      <c r="D4" s="51" t="s">
        <v>40</v>
      </c>
      <c r="E4" s="50" t="str">
        <f>B4&amp;C4&amp;D4</f>
        <v>score_attack_params_damage_given_41002.tmp</v>
      </c>
      <c r="F4" s="51" t="s">
        <v>210</v>
      </c>
      <c r="G4" s="52" t="s">
        <v>82</v>
      </c>
      <c r="H4" s="52" t="s">
        <v>83</v>
      </c>
      <c r="I4" s="52" t="s">
        <v>84</v>
      </c>
      <c r="J4" s="52" t="s">
        <v>85</v>
      </c>
      <c r="K4" s="52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30" x14ac:dyDescent="0.15">
      <c r="A5" s="139" t="s">
        <v>495</v>
      </c>
      <c r="B5" s="82" t="s">
        <v>254</v>
      </c>
      <c r="C5" s="141">
        <f t="shared" si="0"/>
        <v>41002</v>
      </c>
      <c r="D5" s="51" t="s">
        <v>40</v>
      </c>
      <c r="E5" s="50" t="str">
        <f t="shared" ref="E5" si="1">B5&amp;C5&amp;D5</f>
        <v>score_attack_params_heal_41002.tmp</v>
      </c>
      <c r="F5" s="51" t="s">
        <v>255</v>
      </c>
      <c r="G5" s="52" t="s">
        <v>82</v>
      </c>
      <c r="H5" s="52" t="s">
        <v>83</v>
      </c>
      <c r="I5" s="52" t="s">
        <v>84</v>
      </c>
      <c r="J5" s="52" t="s">
        <v>85</v>
      </c>
      <c r="K5" s="52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30" x14ac:dyDescent="0.15">
      <c r="A6" s="139" t="s">
        <v>495</v>
      </c>
      <c r="B6" s="82" t="s">
        <v>253</v>
      </c>
      <c r="C6" s="141">
        <f t="shared" si="0"/>
        <v>41002</v>
      </c>
      <c r="D6" s="51" t="s">
        <v>40</v>
      </c>
      <c r="E6" s="50" t="str">
        <f t="shared" ref="E6:E7" si="2">B6&amp;C6&amp;D6</f>
        <v>score_attack_stage_evaluations_tmp_41002.tmp</v>
      </c>
      <c r="F6" s="51" t="s">
        <v>211</v>
      </c>
      <c r="G6" s="52" t="s">
        <v>86</v>
      </c>
      <c r="H6" s="52" t="s">
        <v>87</v>
      </c>
      <c r="I6" s="52" t="s">
        <v>88</v>
      </c>
      <c r="J6" s="52" t="s">
        <v>89</v>
      </c>
      <c r="K6" s="52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30" x14ac:dyDescent="0.15">
      <c r="A7" s="139" t="s">
        <v>495</v>
      </c>
      <c r="B7" s="82" t="s">
        <v>212</v>
      </c>
      <c r="C7" s="141">
        <f t="shared" si="0"/>
        <v>41002</v>
      </c>
      <c r="D7" s="51" t="s">
        <v>40</v>
      </c>
      <c r="E7" s="50" t="str">
        <f t="shared" si="2"/>
        <v>score_attack_stage_evaluations_i18n_41002.tmp</v>
      </c>
      <c r="F7" s="51" t="s">
        <v>211</v>
      </c>
      <c r="G7" s="52" t="s">
        <v>86</v>
      </c>
      <c r="H7" s="81" t="s">
        <v>90</v>
      </c>
      <c r="I7" s="81" t="s">
        <v>91</v>
      </c>
      <c r="J7" s="81" t="s">
        <v>92</v>
      </c>
      <c r="K7" s="52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30" x14ac:dyDescent="0.15">
      <c r="A8" s="172" t="s">
        <v>260</v>
      </c>
      <c r="B8" s="83" t="s">
        <v>76</v>
      </c>
      <c r="C8" s="141">
        <f t="shared" si="0"/>
        <v>41002</v>
      </c>
      <c r="D8" s="77" t="s">
        <v>41</v>
      </c>
      <c r="E8" s="78" t="str">
        <f>B8&amp;C8&amp;D8</f>
        <v>gifts_tmp_41002.tmp</v>
      </c>
      <c r="F8" s="55" t="s">
        <v>75</v>
      </c>
      <c r="G8" s="79" t="s">
        <v>77</v>
      </c>
      <c r="H8" s="79" t="s">
        <v>67</v>
      </c>
      <c r="I8" s="79" t="s">
        <v>68</v>
      </c>
      <c r="J8" s="79" t="s">
        <v>68</v>
      </c>
      <c r="K8" s="79" t="s">
        <v>68</v>
      </c>
      <c r="L8" s="79" t="s">
        <v>69</v>
      </c>
      <c r="M8" s="79" t="s">
        <v>69</v>
      </c>
      <c r="N8" s="79" t="s">
        <v>69</v>
      </c>
      <c r="O8" s="84" t="s">
        <v>25</v>
      </c>
      <c r="P8" s="84" t="s">
        <v>27</v>
      </c>
      <c r="Q8" s="84" t="s">
        <v>24</v>
      </c>
      <c r="R8" s="84" t="s">
        <v>98</v>
      </c>
      <c r="S8" s="84" t="s">
        <v>26</v>
      </c>
      <c r="T8" s="84" t="s">
        <v>3</v>
      </c>
      <c r="U8" s="84" t="s">
        <v>23</v>
      </c>
    </row>
    <row r="9" spans="1:30" x14ac:dyDescent="0.15">
      <c r="A9" s="172" t="s">
        <v>260</v>
      </c>
      <c r="B9" s="83" t="s">
        <v>78</v>
      </c>
      <c r="C9" s="141">
        <f t="shared" si="0"/>
        <v>41002</v>
      </c>
      <c r="D9" s="77" t="s">
        <v>41</v>
      </c>
      <c r="E9" s="78" t="str">
        <f>B9&amp;C9&amp;D9</f>
        <v>gifts_i18n_41002.tmp</v>
      </c>
      <c r="F9" s="55" t="s">
        <v>75</v>
      </c>
      <c r="G9" s="79" t="s">
        <v>77</v>
      </c>
      <c r="H9" s="79" t="s">
        <v>70</v>
      </c>
      <c r="I9" s="79" t="s">
        <v>79</v>
      </c>
      <c r="J9" s="79" t="s">
        <v>80</v>
      </c>
      <c r="K9" s="79" t="s">
        <v>73</v>
      </c>
      <c r="L9" s="79"/>
      <c r="M9" s="79"/>
      <c r="N9" s="79"/>
      <c r="O9" s="77"/>
    </row>
    <row r="10" spans="1:30" x14ac:dyDescent="0.15">
      <c r="A10" s="139" t="s">
        <v>495</v>
      </c>
      <c r="B10" s="85" t="s">
        <v>257</v>
      </c>
      <c r="C10" s="141">
        <f t="shared" si="0"/>
        <v>41002</v>
      </c>
      <c r="D10" s="88" t="s">
        <v>117</v>
      </c>
      <c r="E10" s="78" t="str">
        <f>B10&amp;C10&amp;D10</f>
        <v>score_attack_stage_evaluation_gifts_41002.tmp</v>
      </c>
      <c r="F10" s="86" t="s">
        <v>214</v>
      </c>
      <c r="G10" s="52" t="s">
        <v>101</v>
      </c>
      <c r="H10" s="52" t="s">
        <v>102</v>
      </c>
      <c r="I10" s="81" t="s">
        <v>103</v>
      </c>
      <c r="J10" s="72" t="s">
        <v>104</v>
      </c>
    </row>
    <row r="11" spans="1:30" x14ac:dyDescent="0.15">
      <c r="A11" s="139" t="s">
        <v>495</v>
      </c>
      <c r="B11" s="85" t="s">
        <v>105</v>
      </c>
      <c r="C11" s="142" t="str">
        <f>REPLACE($C$2,3,0,"0")</f>
        <v>410002</v>
      </c>
      <c r="D11" s="51" t="s">
        <v>106</v>
      </c>
      <c r="E11" s="78" t="str">
        <f t="shared" ref="E11:E12" si="3">B11&amp;C11&amp;D11</f>
        <v>gifts_tmp_410002.tmp</v>
      </c>
      <c r="F11" s="86" t="s">
        <v>252</v>
      </c>
      <c r="G11" s="87" t="s">
        <v>107</v>
      </c>
      <c r="H11" s="87" t="s">
        <v>108</v>
      </c>
      <c r="I11" s="87" t="s">
        <v>109</v>
      </c>
      <c r="J11" s="87" t="s">
        <v>109</v>
      </c>
      <c r="K11" s="87" t="s">
        <v>109</v>
      </c>
      <c r="L11" s="87" t="s">
        <v>110</v>
      </c>
      <c r="M11" s="87" t="s">
        <v>110</v>
      </c>
      <c r="N11" s="87" t="s">
        <v>110</v>
      </c>
      <c r="O11" s="84" t="s">
        <v>25</v>
      </c>
      <c r="P11" s="84" t="s">
        <v>27</v>
      </c>
      <c r="Q11" s="84" t="s">
        <v>24</v>
      </c>
      <c r="R11" s="84" t="s">
        <v>98</v>
      </c>
      <c r="S11" s="84" t="s">
        <v>26</v>
      </c>
      <c r="T11" s="84" t="s">
        <v>3</v>
      </c>
      <c r="U11" s="84" t="s">
        <v>23</v>
      </c>
    </row>
    <row r="12" spans="1:30" x14ac:dyDescent="0.15">
      <c r="A12" s="139" t="s">
        <v>495</v>
      </c>
      <c r="B12" s="85" t="s">
        <v>111</v>
      </c>
      <c r="C12" s="142" t="str">
        <f>REPLACE($C$2,3,0,"0")</f>
        <v>410002</v>
      </c>
      <c r="D12" s="51" t="s">
        <v>112</v>
      </c>
      <c r="E12" s="78" t="str">
        <f t="shared" si="3"/>
        <v>gifts_i18n_410002.tmp</v>
      </c>
      <c r="F12" s="86" t="s">
        <v>213</v>
      </c>
      <c r="G12" s="87" t="s">
        <v>107</v>
      </c>
      <c r="H12" s="87" t="s">
        <v>113</v>
      </c>
      <c r="I12" s="87" t="s">
        <v>114</v>
      </c>
      <c r="J12" s="87" t="s">
        <v>115</v>
      </c>
      <c r="K12" s="87" t="s">
        <v>116</v>
      </c>
      <c r="L12" s="87"/>
      <c r="M12" s="87"/>
      <c r="N12" s="87"/>
      <c r="O12" s="77"/>
    </row>
    <row r="13" spans="1:30" x14ac:dyDescent="0.15">
      <c r="A13" s="139" t="s">
        <v>495</v>
      </c>
      <c r="B13" s="85" t="s">
        <v>224</v>
      </c>
      <c r="C13" s="141">
        <f>$C$2</f>
        <v>41002</v>
      </c>
      <c r="D13" s="51" t="s">
        <v>40</v>
      </c>
      <c r="E13" s="78" t="str">
        <f>B13&amp;C13&amp;D13</f>
        <v>score_attack_unit_bonus_conditions_41002.tmp</v>
      </c>
      <c r="F13" s="86" t="s">
        <v>223</v>
      </c>
      <c r="G13" s="87" t="s">
        <v>215</v>
      </c>
      <c r="H13" s="87" t="s">
        <v>0</v>
      </c>
      <c r="I13" s="87" t="s">
        <v>1</v>
      </c>
      <c r="J13" s="87" t="s">
        <v>216</v>
      </c>
      <c r="K13" s="87" t="s">
        <v>217</v>
      </c>
      <c r="L13" s="87" t="s">
        <v>218</v>
      </c>
      <c r="M13" s="87" t="s">
        <v>219</v>
      </c>
      <c r="N13" s="87" t="s">
        <v>220</v>
      </c>
      <c r="O13" s="77" t="s">
        <v>221</v>
      </c>
    </row>
    <row r="14" spans="1:30" x14ac:dyDescent="0.15">
      <c r="A14" s="143" t="s">
        <v>495</v>
      </c>
      <c r="B14" s="167" t="s">
        <v>261</v>
      </c>
      <c r="C14" s="166" t="str">
        <f>C$2&amp;"_Score"</f>
        <v>41002_Score</v>
      </c>
      <c r="D14" s="51" t="s">
        <v>262</v>
      </c>
      <c r="E14" s="50" t="str">
        <f>B14&amp;C14&amp;D14</f>
        <v>floors_41002_Score.tmp</v>
      </c>
      <c r="F14" s="51" t="s">
        <v>263</v>
      </c>
      <c r="G14" s="52" t="s">
        <v>0</v>
      </c>
      <c r="H14" s="52" t="s">
        <v>1</v>
      </c>
      <c r="I14" s="52" t="s">
        <v>12</v>
      </c>
      <c r="J14" s="52" t="s">
        <v>13</v>
      </c>
      <c r="K14" s="52" t="s">
        <v>14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15">
      <c r="A15" s="143" t="s">
        <v>495</v>
      </c>
      <c r="B15" s="167" t="s">
        <v>264</v>
      </c>
      <c r="C15" s="166" t="str">
        <f t="shared" ref="C15:C16" si="4">C$2&amp;"_Score"</f>
        <v>41002_Score</v>
      </c>
      <c r="D15" s="51" t="s">
        <v>265</v>
      </c>
      <c r="E15" s="50" t="str">
        <f>B15&amp;C15&amp;D15</f>
        <v>enemy_habitats_41002_Score.tmp</v>
      </c>
      <c r="F15" s="51" t="s">
        <v>266</v>
      </c>
      <c r="G15" s="52" t="s">
        <v>0</v>
      </c>
      <c r="H15" s="52" t="s">
        <v>1</v>
      </c>
      <c r="I15" s="52" t="s">
        <v>12</v>
      </c>
      <c r="J15" s="52" t="s">
        <v>2</v>
      </c>
      <c r="K15" s="52" t="s">
        <v>3</v>
      </c>
      <c r="L15" s="52" t="s">
        <v>267</v>
      </c>
      <c r="M15" s="52" t="s">
        <v>268</v>
      </c>
      <c r="N15" s="52" t="s">
        <v>269</v>
      </c>
      <c r="O15" s="52" t="s">
        <v>270</v>
      </c>
      <c r="P15" s="52" t="s">
        <v>4</v>
      </c>
      <c r="Q15" s="52" t="s">
        <v>5</v>
      </c>
      <c r="R15" s="52" t="s">
        <v>6</v>
      </c>
      <c r="S15" s="52" t="s">
        <v>7</v>
      </c>
      <c r="T15" s="52" t="s">
        <v>8</v>
      </c>
      <c r="U15" s="52" t="s">
        <v>9</v>
      </c>
      <c r="V15" s="52" t="s">
        <v>10</v>
      </c>
      <c r="W15" s="52" t="s">
        <v>11</v>
      </c>
      <c r="X15" s="52" t="s">
        <v>23</v>
      </c>
      <c r="Y15" s="52" t="s">
        <v>24</v>
      </c>
      <c r="Z15" s="52" t="s">
        <v>25</v>
      </c>
      <c r="AA15" s="52" t="s">
        <v>26</v>
      </c>
      <c r="AB15" s="52" t="s">
        <v>27</v>
      </c>
      <c r="AC15" s="52" t="s">
        <v>271</v>
      </c>
      <c r="AD15" s="52" t="s">
        <v>272</v>
      </c>
    </row>
    <row r="16" spans="1:30" x14ac:dyDescent="0.15">
      <c r="A16" s="143" t="s">
        <v>495</v>
      </c>
      <c r="B16" s="167" t="s">
        <v>273</v>
      </c>
      <c r="C16" s="166" t="str">
        <f t="shared" si="4"/>
        <v>41002_Score</v>
      </c>
      <c r="D16" s="51" t="s">
        <v>262</v>
      </c>
      <c r="E16" s="50" t="str">
        <f>B16&amp;C16&amp;D16</f>
        <v>enemy_habitat_S_41002_Score.tmp</v>
      </c>
      <c r="F16" s="51" t="s">
        <v>274</v>
      </c>
      <c r="G16" s="52" t="s">
        <v>0</v>
      </c>
      <c r="H16" s="52" t="s">
        <v>1</v>
      </c>
      <c r="I16" s="52" t="s">
        <v>12</v>
      </c>
      <c r="J16" s="52" t="s">
        <v>275</v>
      </c>
      <c r="K16" s="52" t="s">
        <v>276</v>
      </c>
      <c r="L16" s="52" t="s">
        <v>277</v>
      </c>
      <c r="M16" s="52" t="s">
        <v>278</v>
      </c>
      <c r="N16" s="52" t="s">
        <v>279</v>
      </c>
      <c r="O16" s="52" t="s">
        <v>280</v>
      </c>
      <c r="P16" s="52" t="s">
        <v>281</v>
      </c>
      <c r="Q16" s="52" t="s">
        <v>282</v>
      </c>
      <c r="R16" s="52" t="s">
        <v>283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15">
      <c r="A17" s="178" t="s">
        <v>260</v>
      </c>
      <c r="B17" s="167" t="s">
        <v>284</v>
      </c>
      <c r="C17" s="166">
        <f t="shared" ref="C17:C25" si="5">C$2</f>
        <v>41002</v>
      </c>
      <c r="D17" s="51" t="s">
        <v>285</v>
      </c>
      <c r="E17" s="50" t="str">
        <f>B17&amp;C17&amp;D17</f>
        <v>enemy_skill_sets_41002.tmp</v>
      </c>
      <c r="F17" s="51" t="s">
        <v>286</v>
      </c>
      <c r="G17" s="145" t="s">
        <v>270</v>
      </c>
      <c r="H17" s="145" t="s">
        <v>287</v>
      </c>
      <c r="I17" s="145" t="s">
        <v>288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15">
      <c r="A18" s="178" t="s">
        <v>260</v>
      </c>
      <c r="B18" s="167" t="s">
        <v>289</v>
      </c>
      <c r="C18" s="166">
        <f t="shared" si="5"/>
        <v>41002</v>
      </c>
      <c r="D18" s="51" t="s">
        <v>290</v>
      </c>
      <c r="E18" s="50" t="str">
        <f t="shared" ref="E18:E25" si="6">B18&amp;C18&amp;D18</f>
        <v>enemy_skills_tmp_41002.tmp</v>
      </c>
      <c r="F18" s="51" t="s">
        <v>291</v>
      </c>
      <c r="G18" s="52" t="s">
        <v>31</v>
      </c>
      <c r="H18" s="52" t="s">
        <v>292</v>
      </c>
      <c r="I18" s="52" t="s">
        <v>32</v>
      </c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15">
      <c r="A19" s="178" t="s">
        <v>260</v>
      </c>
      <c r="B19" s="167" t="s">
        <v>293</v>
      </c>
      <c r="C19" s="166">
        <f t="shared" si="5"/>
        <v>41002</v>
      </c>
      <c r="D19" s="51" t="s">
        <v>294</v>
      </c>
      <c r="E19" s="50" t="str">
        <f>B19&amp;C19&amp;D19</f>
        <v>enemy_skills_i18n_41002.tmp</v>
      </c>
      <c r="F19" s="51" t="s">
        <v>295</v>
      </c>
      <c r="G19" s="52" t="s">
        <v>31</v>
      </c>
      <c r="H19" s="52" t="s">
        <v>296</v>
      </c>
      <c r="I19" s="52" t="s">
        <v>297</v>
      </c>
      <c r="J19" s="52" t="s">
        <v>298</v>
      </c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  <row r="20" spans="1:30" x14ac:dyDescent="0.15">
      <c r="A20" s="178" t="s">
        <v>260</v>
      </c>
      <c r="B20" s="167" t="s">
        <v>299</v>
      </c>
      <c r="C20" s="166">
        <f t="shared" si="5"/>
        <v>41002</v>
      </c>
      <c r="D20" s="51" t="s">
        <v>294</v>
      </c>
      <c r="E20" s="50" t="str">
        <f t="shared" si="6"/>
        <v>enemy_skill_triggers_41002.tmp</v>
      </c>
      <c r="F20" s="51" t="s">
        <v>300</v>
      </c>
      <c r="G20" s="52" t="s">
        <v>288</v>
      </c>
      <c r="H20" s="52" t="s">
        <v>301</v>
      </c>
      <c r="I20" s="52" t="s">
        <v>302</v>
      </c>
      <c r="J20" s="52" t="s">
        <v>303</v>
      </c>
      <c r="K20" s="52" t="s">
        <v>304</v>
      </c>
      <c r="L20" s="52" t="s">
        <v>305</v>
      </c>
      <c r="M20" s="52" t="s">
        <v>306</v>
      </c>
      <c r="N20" s="52" t="s">
        <v>307</v>
      </c>
      <c r="O20" s="52" t="s">
        <v>308</v>
      </c>
      <c r="P20" s="52" t="s">
        <v>309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</row>
    <row r="21" spans="1:30" x14ac:dyDescent="0.15">
      <c r="A21" s="178" t="s">
        <v>260</v>
      </c>
      <c r="B21" s="168" t="s">
        <v>310</v>
      </c>
      <c r="C21" s="166">
        <f t="shared" si="5"/>
        <v>41002</v>
      </c>
      <c r="D21" s="55" t="s">
        <v>311</v>
      </c>
      <c r="E21" s="146" t="str">
        <f t="shared" si="6"/>
        <v>stage_bug_bonuses_41002.tmp</v>
      </c>
      <c r="F21" s="55" t="s">
        <v>312</v>
      </c>
      <c r="G21" s="147" t="s">
        <v>313</v>
      </c>
      <c r="H21" s="147" t="s">
        <v>314</v>
      </c>
      <c r="I21" s="147" t="s">
        <v>315</v>
      </c>
      <c r="J21" s="148" t="s">
        <v>316</v>
      </c>
      <c r="K21" s="147" t="s">
        <v>317</v>
      </c>
      <c r="L21" s="147" t="s">
        <v>318</v>
      </c>
      <c r="M21" s="147" t="s">
        <v>319</v>
      </c>
      <c r="N21" s="147" t="s">
        <v>278</v>
      </c>
      <c r="O21" s="147" t="s">
        <v>320</v>
      </c>
      <c r="P21" s="147" t="s">
        <v>321</v>
      </c>
      <c r="Q21" s="147" t="s">
        <v>322</v>
      </c>
      <c r="R21" s="147" t="s">
        <v>323</v>
      </c>
      <c r="S21" s="147" t="s">
        <v>324</v>
      </c>
      <c r="T21" s="147" t="s">
        <v>325</v>
      </c>
      <c r="U21" s="147" t="s">
        <v>326</v>
      </c>
      <c r="V21" s="147" t="s">
        <v>327</v>
      </c>
      <c r="W21" s="147" t="s">
        <v>328</v>
      </c>
      <c r="X21" s="51"/>
      <c r="Y21" s="51"/>
      <c r="Z21" s="51"/>
      <c r="AA21" s="51"/>
      <c r="AB21" s="51"/>
      <c r="AC21" s="51"/>
      <c r="AD21" s="51"/>
    </row>
    <row r="22" spans="1:30" x14ac:dyDescent="0.15">
      <c r="A22" s="178" t="s">
        <v>260</v>
      </c>
      <c r="B22" s="168" t="s">
        <v>329</v>
      </c>
      <c r="C22" s="166">
        <f>C$2</f>
        <v>41002</v>
      </c>
      <c r="D22" s="55" t="s">
        <v>311</v>
      </c>
      <c r="E22" s="146" t="str">
        <f t="shared" si="6"/>
        <v>stage_hints_data_c_41002.tmp</v>
      </c>
      <c r="F22" s="55" t="s">
        <v>330</v>
      </c>
      <c r="G22" s="57" t="s">
        <v>313</v>
      </c>
      <c r="H22" s="57" t="s">
        <v>314</v>
      </c>
      <c r="I22" s="149" t="s">
        <v>331</v>
      </c>
      <c r="J22" s="148" t="s">
        <v>332</v>
      </c>
      <c r="K22" s="148" t="s">
        <v>333</v>
      </c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</row>
    <row r="23" spans="1:30" x14ac:dyDescent="0.15">
      <c r="A23" s="178" t="s">
        <v>260</v>
      </c>
      <c r="B23" s="168" t="s">
        <v>334</v>
      </c>
      <c r="C23" s="166">
        <f t="shared" si="5"/>
        <v>41002</v>
      </c>
      <c r="D23" s="55" t="s">
        <v>311</v>
      </c>
      <c r="E23" s="146" t="str">
        <f t="shared" si="6"/>
        <v>stage_hints_data_f_41002.tmp</v>
      </c>
      <c r="F23" s="55" t="s">
        <v>335</v>
      </c>
      <c r="G23" s="57" t="s">
        <v>313</v>
      </c>
      <c r="H23" s="57" t="s">
        <v>314</v>
      </c>
      <c r="I23" s="149" t="s">
        <v>331</v>
      </c>
      <c r="J23" s="148" t="s">
        <v>332</v>
      </c>
      <c r="K23" s="148" t="s">
        <v>333</v>
      </c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</row>
    <row r="24" spans="1:30" x14ac:dyDescent="0.15">
      <c r="A24" s="178" t="s">
        <v>260</v>
      </c>
      <c r="B24" s="168" t="s">
        <v>336</v>
      </c>
      <c r="C24" s="166">
        <f t="shared" si="5"/>
        <v>41002</v>
      </c>
      <c r="D24" s="55" t="s">
        <v>311</v>
      </c>
      <c r="E24" s="146" t="str">
        <f t="shared" si="6"/>
        <v>stage_hints_i18n_41002.tmp</v>
      </c>
      <c r="F24" s="55" t="s">
        <v>335</v>
      </c>
      <c r="G24" s="149" t="s">
        <v>331</v>
      </c>
      <c r="H24" s="151" t="s">
        <v>337</v>
      </c>
      <c r="I24" s="57" t="s">
        <v>338</v>
      </c>
      <c r="J24" s="152" t="s">
        <v>339</v>
      </c>
      <c r="K24" s="148" t="s">
        <v>340</v>
      </c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</row>
    <row r="25" spans="1:30" x14ac:dyDescent="0.15">
      <c r="A25" s="178" t="s">
        <v>260</v>
      </c>
      <c r="B25" s="168" t="s">
        <v>341</v>
      </c>
      <c r="C25" s="166">
        <f t="shared" si="5"/>
        <v>41002</v>
      </c>
      <c r="D25" s="55" t="s">
        <v>294</v>
      </c>
      <c r="E25" s="146" t="str">
        <f t="shared" si="6"/>
        <v>stage_bonuses_41002.tmp</v>
      </c>
      <c r="F25" s="55" t="s">
        <v>342</v>
      </c>
      <c r="G25" s="57" t="s">
        <v>343</v>
      </c>
      <c r="H25" s="57" t="s">
        <v>344</v>
      </c>
      <c r="I25" s="57" t="s">
        <v>345</v>
      </c>
      <c r="J25" s="57" t="s">
        <v>346</v>
      </c>
      <c r="K25" s="57" t="s">
        <v>347</v>
      </c>
      <c r="L25" s="57" t="s">
        <v>348</v>
      </c>
      <c r="M25" s="57" t="s">
        <v>349</v>
      </c>
      <c r="N25" s="57" t="s">
        <v>350</v>
      </c>
      <c r="O25" s="57" t="s">
        <v>351</v>
      </c>
      <c r="P25" s="57" t="s">
        <v>352</v>
      </c>
      <c r="Q25" s="57" t="s">
        <v>353</v>
      </c>
      <c r="R25" s="57" t="s">
        <v>354</v>
      </c>
      <c r="S25" s="57" t="s">
        <v>355</v>
      </c>
      <c r="T25" s="57" t="s">
        <v>356</v>
      </c>
      <c r="U25" s="57" t="s">
        <v>357</v>
      </c>
      <c r="V25" s="57" t="s">
        <v>358</v>
      </c>
      <c r="W25" s="57" t="s">
        <v>359</v>
      </c>
      <c r="X25" s="57" t="s">
        <v>360</v>
      </c>
      <c r="Y25" s="150"/>
      <c r="Z25" s="150"/>
      <c r="AA25" s="150"/>
      <c r="AB25" s="150"/>
      <c r="AC25" s="150"/>
      <c r="AD25" s="150"/>
    </row>
  </sheetData>
  <phoneticPr fontId="11"/>
  <dataValidations count="1">
    <dataValidation type="list" allowBlank="1" showInputMessage="1" showErrorMessage="1" sqref="A2:A25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7"/>
  <sheetViews>
    <sheetView showGridLines="0" topLeftCell="B1" workbookViewId="0">
      <pane ySplit="1" topLeftCell="A2" activePane="bottomLeft" state="frozen"/>
      <selection activeCell="V2" sqref="V2:X34"/>
      <selection pane="bottomLeft" activeCell="O12" sqref="O12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7.664062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27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74" t="s">
        <v>18</v>
      </c>
      <c r="B1" s="174" t="s">
        <v>22</v>
      </c>
      <c r="C1" s="153" t="s">
        <v>0</v>
      </c>
      <c r="D1" s="13" t="s">
        <v>16</v>
      </c>
      <c r="E1" s="13" t="s">
        <v>20</v>
      </c>
      <c r="F1" s="153" t="s">
        <v>1</v>
      </c>
      <c r="G1" s="20" t="s">
        <v>19</v>
      </c>
      <c r="H1" s="13" t="s">
        <v>21</v>
      </c>
      <c r="I1" s="153" t="s">
        <v>12</v>
      </c>
      <c r="J1" s="175" t="s">
        <v>13</v>
      </c>
      <c r="K1" s="175" t="s">
        <v>14</v>
      </c>
      <c r="L1" s="69" t="s">
        <v>198</v>
      </c>
      <c r="M1" s="69" t="s">
        <v>199</v>
      </c>
      <c r="N1" s="69" t="s">
        <v>200</v>
      </c>
      <c r="O1" s="69" t="s">
        <v>202</v>
      </c>
      <c r="P1" s="69" t="s">
        <v>204</v>
      </c>
      <c r="Q1" s="69" t="s">
        <v>206</v>
      </c>
    </row>
    <row r="2" spans="1:17" ht="21" customHeight="1" x14ac:dyDescent="0.15">
      <c r="A2" s="174" t="str">
        <f>G2&amp;"-"&amp;I2</f>
        <v>41002_4-1</v>
      </c>
      <c r="B2" s="174" t="str">
        <f>IF(COUNTIF(enemy_habitats!$H:$H,A2),"OK","NG")</f>
        <v>OK</v>
      </c>
      <c r="C2" s="131">
        <f>output!C2</f>
        <v>41002</v>
      </c>
      <c r="D2" s="16" t="str">
        <f ca="1">VLOOKUP($C2,OFFSET([2]quests!$A$1,0,0,COUNTA([2]quests!$A:$A),MATCH(D$1,[2]quests!$1:$1,0)-MATCH($C$1,[2]quests!$1:$1,0)+1),MATCH(D$1,[2]quests!$1:$1,0)-MATCH($C$1,[2]quests!$1:$1,0)+1,FALSE)</f>
        <v>アザゼル襲来！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降臨1</v>
      </c>
      <c r="F2" s="96">
        <v>4</v>
      </c>
      <c r="G2" s="20" t="str">
        <f>C2&amp;"_"&amp;F2</f>
        <v>41002_4</v>
      </c>
      <c r="H2" s="13" t="str">
        <f ca="1">VLOOKUP($G2,OFFSET([2]stages!$A$1,0,0,COUNTA([2]stages!$A:$A),MATCH(H$1,[2]stages!$2:$2,0)-MATCH($G$1,[2]stages!$2:$2,0)+1),MATCH(H$1,[2]stages!$2:$2,0)-MATCH($G$1,[2]stages!$2:$2,0)+1,FALSE)</f>
        <v>【スコアアタック】アザゼル襲来</v>
      </c>
      <c r="I2" s="96">
        <v>1</v>
      </c>
      <c r="J2" s="176">
        <v>60</v>
      </c>
      <c r="K2" s="176">
        <v>60</v>
      </c>
      <c r="L2" s="116">
        <v>4100211</v>
      </c>
      <c r="M2" s="116">
        <v>4100221</v>
      </c>
      <c r="N2" s="56">
        <v>8</v>
      </c>
      <c r="O2" s="56">
        <v>-50000</v>
      </c>
      <c r="P2" s="56">
        <v>600000</v>
      </c>
      <c r="Q2" s="56">
        <v>200000</v>
      </c>
    </row>
    <row r="3" spans="1:17" ht="21" customHeight="1" x14ac:dyDescent="0.15">
      <c r="A3" s="174" t="str">
        <f t="shared" ref="A3:A4" si="0">G3&amp;"-"&amp;I3</f>
        <v>41002_4-2</v>
      </c>
      <c r="B3" s="174" t="str">
        <f>IF(COUNTIF(enemy_habitats!$H:$H,A3),"OK","NG")</f>
        <v>OK</v>
      </c>
      <c r="C3" s="131">
        <f>$C$2</f>
        <v>41002</v>
      </c>
      <c r="D3" s="16" t="str">
        <f ca="1">VLOOKUP($C3,OFFSET([2]quests!$A$1,0,0,COUNTA([2]quests!$A:$A),MATCH(D$1,[2]quests!$1:$1,0)-MATCH($C$1,[2]quests!$1:$1,0)+1),MATCH(D$1,[2]quests!$1:$1,0)-MATCH($C$1,[2]quests!$1:$1,0)+1,FALSE)</f>
        <v>アザゼル襲来！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降臨1</v>
      </c>
      <c r="F3" s="96">
        <v>4</v>
      </c>
      <c r="G3" s="20" t="str">
        <f t="shared" ref="G3:G4" si="1">C3&amp;"_"&amp;F3</f>
        <v>41002_4</v>
      </c>
      <c r="H3" s="13" t="str">
        <f ca="1">VLOOKUP($G3,OFFSET([2]stages!$A$1,0,0,COUNTA([2]stages!$A:$A),MATCH(H$1,[2]stages!$2:$2,0)-MATCH($G$1,[2]stages!$2:$2,0)+1),MATCH(H$1,[2]stages!$2:$2,0)-MATCH($G$1,[2]stages!$2:$2,0)+1,FALSE)</f>
        <v>【スコアアタック】アザゼル襲来</v>
      </c>
      <c r="I3" s="96">
        <v>2</v>
      </c>
      <c r="J3" s="176">
        <v>60</v>
      </c>
      <c r="K3" s="176">
        <v>60</v>
      </c>
      <c r="L3" s="116">
        <v>4100212</v>
      </c>
      <c r="M3" s="116">
        <v>4100222</v>
      </c>
      <c r="N3" s="56">
        <v>2</v>
      </c>
      <c r="O3" s="56">
        <v>-100000</v>
      </c>
      <c r="P3" s="56">
        <v>600000</v>
      </c>
      <c r="Q3" s="56">
        <v>200000</v>
      </c>
    </row>
    <row r="4" spans="1:17" ht="21" customHeight="1" x14ac:dyDescent="0.15">
      <c r="A4" s="174" t="str">
        <f t="shared" si="0"/>
        <v>41002_4-3</v>
      </c>
      <c r="B4" s="174" t="str">
        <f>IF(COUNTIF(enemy_habitats!$H:$H,A4),"OK","NG")</f>
        <v>OK</v>
      </c>
      <c r="C4" s="131">
        <f t="shared" ref="C4:C5" si="2">$C$2</f>
        <v>41002</v>
      </c>
      <c r="D4" s="16" t="str">
        <f ca="1">VLOOKUP($C4,OFFSET([2]quests!$A$1,0,0,COUNTA([2]quests!$A:$A),MATCH(D$1,[2]quests!$1:$1,0)-MATCH($C$1,[2]quests!$1:$1,0)+1),MATCH(D$1,[2]quests!$1:$1,0)-MATCH($C$1,[2]quests!$1:$1,0)+1,FALSE)</f>
        <v>アザゼル襲来！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降臨1</v>
      </c>
      <c r="F4" s="96">
        <v>4</v>
      </c>
      <c r="G4" s="20" t="str">
        <f t="shared" si="1"/>
        <v>41002_4</v>
      </c>
      <c r="H4" s="13" t="str">
        <f ca="1">VLOOKUP($G4,OFFSET([2]stages!$A$1,0,0,COUNTA([2]stages!$A:$A),MATCH(H$1,[2]stages!$2:$2,0)-MATCH($G$1,[2]stages!$2:$2,0)+1),MATCH(H$1,[2]stages!$2:$2,0)-MATCH($G$1,[2]stages!$2:$2,0)+1,FALSE)</f>
        <v>【スコアアタック】アザゼル襲来</v>
      </c>
      <c r="I4" s="96">
        <v>3</v>
      </c>
      <c r="J4" s="176">
        <v>60</v>
      </c>
      <c r="K4" s="176">
        <v>60</v>
      </c>
      <c r="L4" s="116">
        <v>4100213</v>
      </c>
      <c r="M4" s="116">
        <v>4100223</v>
      </c>
      <c r="N4" s="56">
        <v>5</v>
      </c>
      <c r="O4" s="56">
        <v>-150000</v>
      </c>
      <c r="P4" s="56">
        <v>1200000</v>
      </c>
      <c r="Q4" s="56">
        <v>400000</v>
      </c>
    </row>
    <row r="5" spans="1:17" ht="21" customHeight="1" x14ac:dyDescent="0.15">
      <c r="A5" s="174" t="str">
        <f t="shared" ref="A5" si="3">G5&amp;"-"&amp;I5</f>
        <v>41002_4-4</v>
      </c>
      <c r="B5" s="174" t="str">
        <f>IF(COUNTIF(enemy_habitats!$H:$H,A5),"OK","NG")</f>
        <v>OK</v>
      </c>
      <c r="C5" s="131">
        <f t="shared" si="2"/>
        <v>41002</v>
      </c>
      <c r="D5" s="16" t="str">
        <f ca="1">VLOOKUP($C5,OFFSET([2]quests!$A$1,0,0,COUNTA([2]quests!$A:$A),MATCH(D$1,[2]quests!$1:$1,0)-MATCH($C$1,[2]quests!$1:$1,0)+1),MATCH(D$1,[2]quests!$1:$1,0)-MATCH($C$1,[2]quests!$1:$1,0)+1,FALSE)</f>
        <v>アザゼル襲来！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降臨1</v>
      </c>
      <c r="F5" s="96">
        <v>4</v>
      </c>
      <c r="G5" s="20" t="str">
        <f t="shared" ref="G5" si="4">C5&amp;"_"&amp;F5</f>
        <v>41002_4</v>
      </c>
      <c r="H5" s="13" t="str">
        <f ca="1">VLOOKUP($G5,OFFSET([2]stages!$A$1,0,0,COUNTA([2]stages!$A:$A),MATCH(H$1,[2]stages!$2:$2,0)-MATCH($G$1,[2]stages!$2:$2,0)+1),MATCH(H$1,[2]stages!$2:$2,0)-MATCH($G$1,[2]stages!$2:$2,0)+1,FALSE)</f>
        <v>【スコアアタック】アザゼル襲来</v>
      </c>
      <c r="I5" s="96">
        <v>4</v>
      </c>
      <c r="J5" s="176">
        <v>60</v>
      </c>
      <c r="K5" s="176">
        <v>60</v>
      </c>
      <c r="L5" s="116">
        <v>4100214</v>
      </c>
      <c r="M5" s="116">
        <v>4100224</v>
      </c>
      <c r="N5" s="56">
        <v>12</v>
      </c>
      <c r="O5" s="56">
        <v>-300000</v>
      </c>
      <c r="P5" s="56">
        <v>1600000</v>
      </c>
      <c r="Q5" s="56">
        <v>800000</v>
      </c>
    </row>
    <row r="7" spans="1:17" ht="21" customHeight="1" x14ac:dyDescent="0.15">
      <c r="D7" s="3" t="s">
        <v>256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I19" sqref="I19"/>
    </sheetView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7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3" t="s">
        <v>20</v>
      </c>
      <c r="D1" s="1" t="s">
        <v>1</v>
      </c>
      <c r="E1" s="20" t="s">
        <v>17</v>
      </c>
      <c r="F1" s="13" t="s">
        <v>15</v>
      </c>
      <c r="G1" s="1" t="s">
        <v>81</v>
      </c>
    </row>
    <row r="2" spans="1:7" ht="24" customHeight="1" x14ac:dyDescent="0.15">
      <c r="A2" s="7">
        <f>output!C2</f>
        <v>41002</v>
      </c>
      <c r="B2" s="10" t="str">
        <f ca="1">VLOOKUP($A2,OFFSET([2]quests!$A$1,0,0,COUNTA([2]quests!$A:$A),MATCH(B$1,[2]quests!$1:$1,0)-MATCH($A$1,[2]quests!$1:$1,0)+1),MATCH(B$1,[2]quests!$1:$1,0)-MATCH($A$1,[2]quests!$1:$1,0)+1,FALSE)</f>
        <v>アザゼル襲来！</v>
      </c>
      <c r="C2" s="16">
        <f ca="1">VLOOKUP($A2,OFFSET([2]quests!$A$1,0,0,COUNTA([2]quests!$A:$A),MATCH(C$1,[2]quests!$1:$1,0)-MATCH($C$1,[2]quests!$1:$1,0)+1),MATCH(C$1,[2]quests!$1:$1,0)-MATCH($C$1,[2]quests!$1:$1,0)+1,FALSE)</f>
        <v>41002</v>
      </c>
      <c r="D2" s="18">
        <v>4</v>
      </c>
      <c r="E2" s="20" t="str">
        <f>A2&amp;"_"&amp;D2</f>
        <v>41002_4</v>
      </c>
      <c r="F2" s="13" t="str">
        <f ca="1">VLOOKUP($E2,OFFSET([2]stages!$A$1,0,0,COUNTA([2]stages!$A:$A),MATCH(F$1,[2]stages!$2:$2,0)-MATCH($E$1,[2]stages!$2:$2,0)+1),MATCH(F$1,[2]stages!$2:$2,0)-MATCH($E$1,[2]stages!$2:$2,0)+1,FALSE)</f>
        <v>【スコアアタック】アザゼル襲来</v>
      </c>
      <c r="G2" s="93">
        <v>2000000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K32"/>
  <sheetViews>
    <sheetView workbookViewId="0">
      <selection activeCell="D7" sqref="D7"/>
    </sheetView>
  </sheetViews>
  <sheetFormatPr baseColWidth="12" defaultRowHeight="15" x14ac:dyDescent="0.15"/>
  <cols>
    <col min="5" max="5" width="13.83203125" bestFit="1" customWidth="1"/>
  </cols>
  <sheetData>
    <row r="1" spans="1:11" x14ac:dyDescent="0.15">
      <c r="A1" s="52" t="s">
        <v>439</v>
      </c>
      <c r="B1" s="52" t="s">
        <v>482</v>
      </c>
      <c r="C1" s="52" t="s">
        <v>192</v>
      </c>
      <c r="D1" s="52" t="s">
        <v>193</v>
      </c>
      <c r="E1" s="52" t="s">
        <v>194</v>
      </c>
      <c r="F1" s="52" t="s">
        <v>195</v>
      </c>
      <c r="G1" s="52" t="s">
        <v>196</v>
      </c>
      <c r="H1" t="s">
        <v>511</v>
      </c>
      <c r="I1" t="s">
        <v>512</v>
      </c>
    </row>
    <row r="2" spans="1:11" x14ac:dyDescent="0.15">
      <c r="A2" s="166">
        <f>output!C2</f>
        <v>41002</v>
      </c>
      <c r="B2" s="144">
        <v>11</v>
      </c>
      <c r="C2" s="170" t="str">
        <f>A2&amp;B2</f>
        <v>4100211</v>
      </c>
      <c r="D2" s="105">
        <v>0</v>
      </c>
      <c r="E2" s="100">
        <v>0</v>
      </c>
      <c r="F2" s="101">
        <f>(E3-E2)/(D3-D2)</f>
        <v>0.5</v>
      </c>
      <c r="G2" s="97">
        <f t="shared" ref="G2:G3" si="0">E2-F2*D2</f>
        <v>0</v>
      </c>
      <c r="I2">
        <f>(H2-G2)/F2</f>
        <v>0</v>
      </c>
      <c r="K2">
        <f t="shared" ref="K2:K19" si="1">D2*F2+G2</f>
        <v>0</v>
      </c>
    </row>
    <row r="3" spans="1:11" x14ac:dyDescent="0.15">
      <c r="A3" s="166">
        <f>$A$2</f>
        <v>41002</v>
      </c>
      <c r="B3" s="166">
        <f>$B$2</f>
        <v>11</v>
      </c>
      <c r="C3" s="170" t="str">
        <f>$C$2</f>
        <v>4100211</v>
      </c>
      <c r="D3" s="105">
        <v>420000</v>
      </c>
      <c r="E3" s="100">
        <f>D3*SQRT(F28)*0.5</f>
        <v>210000</v>
      </c>
      <c r="F3" s="101">
        <f>(E4-E3)/(D4-D3)</f>
        <v>1.9999999999999973</v>
      </c>
      <c r="G3" s="97">
        <f t="shared" si="0"/>
        <v>-629999.99999999884</v>
      </c>
      <c r="I3">
        <f>(H3-G3)/F3</f>
        <v>314999.99999999983</v>
      </c>
      <c r="J3" s="98">
        <v>1</v>
      </c>
      <c r="K3">
        <f t="shared" si="1"/>
        <v>210000</v>
      </c>
    </row>
    <row r="4" spans="1:11" x14ac:dyDescent="0.15">
      <c r="A4" s="166">
        <f t="shared" ref="A4:A25" si="2">$A$2</f>
        <v>41002</v>
      </c>
      <c r="B4" s="166">
        <f t="shared" ref="B4:B7" si="3">$B$2</f>
        <v>11</v>
      </c>
      <c r="C4" s="170" t="str">
        <f t="shared" ref="C4:C7" si="4">$C$2</f>
        <v>4100211</v>
      </c>
      <c r="D4" s="107">
        <f>D3*1.1</f>
        <v>462000.00000000006</v>
      </c>
      <c r="E4" s="100">
        <f>E3*SQRT(F29)^2</f>
        <v>294000</v>
      </c>
      <c r="F4" s="101">
        <f>(E5-E4)/(D5-D4)</f>
        <v>1.0000000000000007</v>
      </c>
      <c r="G4" s="97">
        <f>E4-F4*D4</f>
        <v>-168000.00000000035</v>
      </c>
      <c r="I4">
        <f t="shared" ref="I4:I25" si="5">(H4-G4)/F4</f>
        <v>168000.00000000023</v>
      </c>
      <c r="J4" s="98">
        <v>1.1000000000000001</v>
      </c>
      <c r="K4">
        <f t="shared" si="1"/>
        <v>294000</v>
      </c>
    </row>
    <row r="5" spans="1:11" x14ac:dyDescent="0.15">
      <c r="A5" s="166">
        <f t="shared" si="2"/>
        <v>41002</v>
      </c>
      <c r="B5" s="166">
        <f t="shared" si="3"/>
        <v>11</v>
      </c>
      <c r="C5" s="170" t="str">
        <f t="shared" si="4"/>
        <v>4100211</v>
      </c>
      <c r="D5" s="107">
        <f>D3*1.3</f>
        <v>546000</v>
      </c>
      <c r="E5" s="100">
        <f>E3*SQRT(F30)^2</f>
        <v>378000</v>
      </c>
      <c r="F5" s="101">
        <f>(E6-E5)/(D6-D5)</f>
        <v>0.66666666666666707</v>
      </c>
      <c r="G5" s="102">
        <f>E5-F5*D5</f>
        <v>13999.999999999767</v>
      </c>
      <c r="H5">
        <v>400000</v>
      </c>
      <c r="I5">
        <f t="shared" si="5"/>
        <v>579000</v>
      </c>
      <c r="J5" s="98">
        <v>1.3</v>
      </c>
      <c r="K5">
        <f t="shared" si="1"/>
        <v>378000</v>
      </c>
    </row>
    <row r="6" spans="1:11" x14ac:dyDescent="0.15">
      <c r="A6" s="166">
        <f t="shared" si="2"/>
        <v>41002</v>
      </c>
      <c r="B6" s="166">
        <f t="shared" si="3"/>
        <v>11</v>
      </c>
      <c r="C6" s="170" t="str">
        <f t="shared" si="4"/>
        <v>4100211</v>
      </c>
      <c r="D6" s="107">
        <f>D3*1.6</f>
        <v>672000</v>
      </c>
      <c r="E6" s="100">
        <f>E3*SQRT(F31)^2</f>
        <v>462000.00000000006</v>
      </c>
      <c r="F6" s="101">
        <f>(E7-E6)/(D7-D6)</f>
        <v>0.54999999999999949</v>
      </c>
      <c r="G6" s="102">
        <f>E6-F6*D6</f>
        <v>92400.000000000407</v>
      </c>
      <c r="I6">
        <f t="shared" si="5"/>
        <v>-168000.0000000009</v>
      </c>
      <c r="J6" s="98">
        <v>1.6</v>
      </c>
      <c r="K6">
        <f t="shared" si="1"/>
        <v>462000.00000000006</v>
      </c>
    </row>
    <row r="7" spans="1:11" x14ac:dyDescent="0.15">
      <c r="A7" s="166">
        <f t="shared" si="2"/>
        <v>41002</v>
      </c>
      <c r="B7" s="166">
        <f t="shared" si="3"/>
        <v>11</v>
      </c>
      <c r="C7" s="170" t="str">
        <f t="shared" si="4"/>
        <v>4100211</v>
      </c>
      <c r="D7" s="107">
        <f>D3*1.9</f>
        <v>798000</v>
      </c>
      <c r="E7" s="100">
        <f>E3*SQRT(F32)^2</f>
        <v>531300</v>
      </c>
      <c r="F7" s="99">
        <v>0.2</v>
      </c>
      <c r="G7" s="97">
        <f>E7-F7*D7</f>
        <v>371700</v>
      </c>
      <c r="I7">
        <f t="shared" si="5"/>
        <v>-1858500</v>
      </c>
      <c r="J7" s="98">
        <v>1.9</v>
      </c>
      <c r="K7">
        <f t="shared" si="1"/>
        <v>531300</v>
      </c>
    </row>
    <row r="8" spans="1:11" x14ac:dyDescent="0.15">
      <c r="A8" s="166">
        <f t="shared" si="2"/>
        <v>41002</v>
      </c>
      <c r="B8" s="144">
        <v>12</v>
      </c>
      <c r="C8" s="169" t="str">
        <f>A8&amp;B8</f>
        <v>4100212</v>
      </c>
      <c r="D8" s="106">
        <v>0</v>
      </c>
      <c r="E8" s="100">
        <v>0</v>
      </c>
      <c r="F8" s="101">
        <f t="shared" ref="F8:F9" si="6">(E9-E8)/(D9-D8)</f>
        <v>1.5</v>
      </c>
      <c r="G8" s="97">
        <f t="shared" ref="G8:G9" si="7">E8-F8*D8</f>
        <v>0</v>
      </c>
      <c r="I8">
        <f t="shared" si="5"/>
        <v>0</v>
      </c>
      <c r="K8">
        <f t="shared" si="1"/>
        <v>0</v>
      </c>
    </row>
    <row r="9" spans="1:11" x14ac:dyDescent="0.15">
      <c r="A9" s="166">
        <f t="shared" si="2"/>
        <v>41002</v>
      </c>
      <c r="B9" s="166">
        <f>$B$8</f>
        <v>12</v>
      </c>
      <c r="C9" s="169" t="str">
        <f>$C$8</f>
        <v>4100212</v>
      </c>
      <c r="D9" s="106">
        <v>150000</v>
      </c>
      <c r="E9" s="100">
        <f>D9*SQRT(F28)*1.5</f>
        <v>225000</v>
      </c>
      <c r="F9" s="101">
        <f t="shared" si="6"/>
        <v>3</v>
      </c>
      <c r="G9" s="97">
        <f t="shared" si="7"/>
        <v>-225000</v>
      </c>
      <c r="I9">
        <f t="shared" si="5"/>
        <v>75000</v>
      </c>
      <c r="J9" s="98">
        <v>1</v>
      </c>
      <c r="K9">
        <f t="shared" si="1"/>
        <v>225000</v>
      </c>
    </row>
    <row r="10" spans="1:11" x14ac:dyDescent="0.15">
      <c r="A10" s="166">
        <f t="shared" si="2"/>
        <v>41002</v>
      </c>
      <c r="B10" s="166">
        <f t="shared" ref="B10:B13" si="8">$B$8</f>
        <v>12</v>
      </c>
      <c r="C10" s="169" t="str">
        <f t="shared" ref="C10:C13" si="9">$C$8</f>
        <v>4100212</v>
      </c>
      <c r="D10" s="171">
        <f>D9*1.2</f>
        <v>180000</v>
      </c>
      <c r="E10" s="100">
        <f>E9*SQRT(F29)^2</f>
        <v>315000</v>
      </c>
      <c r="F10" s="101">
        <f>(E11-E10)/(D11-D10)</f>
        <v>2</v>
      </c>
      <c r="G10" s="97">
        <f>E10-F10*D10</f>
        <v>-45000</v>
      </c>
      <c r="I10">
        <f t="shared" si="5"/>
        <v>22500</v>
      </c>
      <c r="J10" s="98">
        <v>1.2</v>
      </c>
      <c r="K10">
        <f t="shared" si="1"/>
        <v>315000</v>
      </c>
    </row>
    <row r="11" spans="1:11" x14ac:dyDescent="0.15">
      <c r="A11" s="166">
        <f t="shared" si="2"/>
        <v>41002</v>
      </c>
      <c r="B11" s="166">
        <f t="shared" si="8"/>
        <v>12</v>
      </c>
      <c r="C11" s="169" t="str">
        <f t="shared" si="9"/>
        <v>4100212</v>
      </c>
      <c r="D11" s="171">
        <f>D9*1.5</f>
        <v>225000</v>
      </c>
      <c r="E11" s="100">
        <f>E9*SQRT(F30)^2</f>
        <v>405000</v>
      </c>
      <c r="F11" s="101">
        <f>(E12-E11)/(D12-D11)</f>
        <v>1.5000000000000009</v>
      </c>
      <c r="G11" s="102">
        <f>E11-F11*D11</f>
        <v>67499.999999999825</v>
      </c>
      <c r="I11">
        <f t="shared" si="5"/>
        <v>-44999.999999999854</v>
      </c>
      <c r="J11" s="98">
        <v>1.5</v>
      </c>
      <c r="K11">
        <f t="shared" si="1"/>
        <v>405000</v>
      </c>
    </row>
    <row r="12" spans="1:11" x14ac:dyDescent="0.15">
      <c r="A12" s="166">
        <f t="shared" si="2"/>
        <v>41002</v>
      </c>
      <c r="B12" s="166">
        <f t="shared" si="8"/>
        <v>12</v>
      </c>
      <c r="C12" s="169" t="str">
        <f t="shared" si="9"/>
        <v>4100212</v>
      </c>
      <c r="D12" s="171">
        <f>D9*1.9</f>
        <v>285000</v>
      </c>
      <c r="E12" s="100">
        <f>E9*SQRT(F31)^2</f>
        <v>495000.00000000006</v>
      </c>
      <c r="F12" s="101">
        <f>(E13-E12)/(D13-D12)</f>
        <v>1.0999999999999992</v>
      </c>
      <c r="G12" s="97">
        <f>E12-F12*D12</f>
        <v>181500.00000000029</v>
      </c>
      <c r="I12">
        <f t="shared" si="5"/>
        <v>-165000.00000000038</v>
      </c>
      <c r="J12" s="98">
        <v>1.9</v>
      </c>
      <c r="K12">
        <f t="shared" si="1"/>
        <v>495000.00000000006</v>
      </c>
    </row>
    <row r="13" spans="1:11" x14ac:dyDescent="0.15">
      <c r="A13" s="166">
        <f t="shared" si="2"/>
        <v>41002</v>
      </c>
      <c r="B13" s="166">
        <f t="shared" si="8"/>
        <v>12</v>
      </c>
      <c r="C13" s="169" t="str">
        <f t="shared" si="9"/>
        <v>4100212</v>
      </c>
      <c r="D13" s="171">
        <f>D9*2.35</f>
        <v>352500</v>
      </c>
      <c r="E13" s="100">
        <f>E9*SQRT(F32)^2</f>
        <v>569250</v>
      </c>
      <c r="F13" s="99">
        <v>0.2</v>
      </c>
      <c r="G13" s="102">
        <f>E13-F13*D13</f>
        <v>498750</v>
      </c>
      <c r="I13">
        <f t="shared" si="5"/>
        <v>-2493750</v>
      </c>
      <c r="J13" s="98">
        <v>2.35</v>
      </c>
      <c r="K13">
        <f t="shared" si="1"/>
        <v>569250</v>
      </c>
    </row>
    <row r="14" spans="1:11" x14ac:dyDescent="0.15">
      <c r="A14" s="166">
        <f t="shared" si="2"/>
        <v>41002</v>
      </c>
      <c r="B14" s="144">
        <v>13</v>
      </c>
      <c r="C14" s="170" t="str">
        <f>A14&amp;B14</f>
        <v>4100213</v>
      </c>
      <c r="D14" s="105">
        <v>0</v>
      </c>
      <c r="E14" s="100">
        <v>0</v>
      </c>
      <c r="F14" s="101">
        <f t="shared" ref="F14" si="10">(E15-E14)/(D15-D14)</f>
        <v>1</v>
      </c>
      <c r="G14" s="97">
        <f t="shared" ref="G14:G17" si="11">E14-F14*D14</f>
        <v>0</v>
      </c>
      <c r="I14">
        <f t="shared" si="5"/>
        <v>0</v>
      </c>
      <c r="K14">
        <f t="shared" si="1"/>
        <v>0</v>
      </c>
    </row>
    <row r="15" spans="1:11" x14ac:dyDescent="0.15">
      <c r="A15" s="166">
        <f t="shared" si="2"/>
        <v>41002</v>
      </c>
      <c r="B15" s="166">
        <f>$B$14</f>
        <v>13</v>
      </c>
      <c r="C15" s="170" t="str">
        <f>$C$14</f>
        <v>4100213</v>
      </c>
      <c r="D15" s="105">
        <v>460000</v>
      </c>
      <c r="E15" s="100">
        <f>D15*SQRT(F28)*1</f>
        <v>460000</v>
      </c>
      <c r="F15" s="101">
        <f>(E16-E15)/(D16-D15)</f>
        <v>4.999999999999992</v>
      </c>
      <c r="G15" s="97">
        <f t="shared" si="11"/>
        <v>-1839999.9999999963</v>
      </c>
      <c r="I15">
        <f t="shared" si="5"/>
        <v>367999.99999999983</v>
      </c>
      <c r="J15" s="98">
        <v>1</v>
      </c>
      <c r="K15">
        <f t="shared" si="1"/>
        <v>460000</v>
      </c>
    </row>
    <row r="16" spans="1:11" x14ac:dyDescent="0.15">
      <c r="A16" s="166">
        <f t="shared" si="2"/>
        <v>41002</v>
      </c>
      <c r="B16" s="166">
        <f t="shared" ref="B16:B19" si="12">$B$14</f>
        <v>13</v>
      </c>
      <c r="C16" s="170" t="str">
        <f t="shared" ref="C16:C19" si="13">$C$14</f>
        <v>4100213</v>
      </c>
      <c r="D16" s="107">
        <f>D15*1.08</f>
        <v>496800.00000000006</v>
      </c>
      <c r="E16" s="100">
        <f>E15*SQRT(F29)^2</f>
        <v>644000</v>
      </c>
      <c r="F16" s="101">
        <f>(E17-E16)/(D17-D16)</f>
        <v>3.333333333333337</v>
      </c>
      <c r="G16" s="97">
        <f>E16-F16*D16</f>
        <v>-1012000.0000000021</v>
      </c>
      <c r="I16">
        <f t="shared" si="5"/>
        <v>303600.00000000029</v>
      </c>
      <c r="J16" s="98">
        <v>1.08</v>
      </c>
      <c r="K16">
        <f t="shared" si="1"/>
        <v>644000</v>
      </c>
    </row>
    <row r="17" spans="1:11" x14ac:dyDescent="0.15">
      <c r="A17" s="166">
        <f t="shared" si="2"/>
        <v>41002</v>
      </c>
      <c r="B17" s="166">
        <f t="shared" si="12"/>
        <v>13</v>
      </c>
      <c r="C17" s="170" t="str">
        <f t="shared" si="13"/>
        <v>4100213</v>
      </c>
      <c r="D17" s="107">
        <f>D15*1.2</f>
        <v>552000</v>
      </c>
      <c r="E17" s="100">
        <f>E15*SQRT(F30)^2</f>
        <v>828000</v>
      </c>
      <c r="F17" s="101">
        <f>(E18-E17)/(D18-D17)</f>
        <v>2.6666666666666683</v>
      </c>
      <c r="G17" s="97">
        <f t="shared" si="11"/>
        <v>-644000.00000000093</v>
      </c>
      <c r="I17">
        <f t="shared" si="5"/>
        <v>241500.0000000002</v>
      </c>
      <c r="J17" s="98">
        <v>1.2</v>
      </c>
      <c r="K17">
        <f t="shared" si="1"/>
        <v>828000</v>
      </c>
    </row>
    <row r="18" spans="1:11" x14ac:dyDescent="0.15">
      <c r="A18" s="166">
        <f t="shared" si="2"/>
        <v>41002</v>
      </c>
      <c r="B18" s="166">
        <f t="shared" si="12"/>
        <v>13</v>
      </c>
      <c r="C18" s="170" t="str">
        <f t="shared" si="13"/>
        <v>4100213</v>
      </c>
      <c r="D18" s="107">
        <f>D15*1.35</f>
        <v>621000</v>
      </c>
      <c r="E18" s="100">
        <f>E15*SQRT(F31)^2</f>
        <v>1012000.0000000001</v>
      </c>
      <c r="F18" s="101">
        <f>(E19-E18)/(D19-D18)</f>
        <v>1.6499999999999988</v>
      </c>
      <c r="G18" s="97">
        <f>E18-F18*D18</f>
        <v>-12649.999999999185</v>
      </c>
      <c r="I18">
        <f t="shared" si="5"/>
        <v>7666.6666666661786</v>
      </c>
      <c r="J18" s="98">
        <v>1.35</v>
      </c>
      <c r="K18">
        <f t="shared" si="1"/>
        <v>1012000.0000000001</v>
      </c>
    </row>
    <row r="19" spans="1:11" x14ac:dyDescent="0.15">
      <c r="A19" s="166">
        <f t="shared" si="2"/>
        <v>41002</v>
      </c>
      <c r="B19" s="166">
        <f t="shared" si="12"/>
        <v>13</v>
      </c>
      <c r="C19" s="170" t="str">
        <f t="shared" si="13"/>
        <v>4100213</v>
      </c>
      <c r="D19" s="107">
        <f>D15*1.55</f>
        <v>713000</v>
      </c>
      <c r="E19" s="100">
        <f>E15*SQRT(F32)^2</f>
        <v>1163800</v>
      </c>
      <c r="F19" s="99">
        <v>0.1</v>
      </c>
      <c r="G19" s="102">
        <f>E19-F19*D19</f>
        <v>1092500</v>
      </c>
      <c r="I19">
        <f t="shared" si="5"/>
        <v>-10925000</v>
      </c>
      <c r="J19" s="98">
        <v>1.55</v>
      </c>
      <c r="K19">
        <f t="shared" si="1"/>
        <v>1163800</v>
      </c>
    </row>
    <row r="20" spans="1:11" x14ac:dyDescent="0.15">
      <c r="A20" s="166">
        <f t="shared" si="2"/>
        <v>41002</v>
      </c>
      <c r="B20" s="144">
        <v>14</v>
      </c>
      <c r="C20" s="228" t="str">
        <f>A20&amp;B20</f>
        <v>4100214</v>
      </c>
      <c r="D20" s="106">
        <v>0</v>
      </c>
      <c r="E20" s="100">
        <v>0</v>
      </c>
      <c r="F20" s="101">
        <f t="shared" ref="F20" si="14">(E21-E20)/(D21-D20)</f>
        <v>0.4</v>
      </c>
      <c r="G20" s="97">
        <f t="shared" ref="G20:G21" si="15">E20-F20*D20</f>
        <v>0</v>
      </c>
      <c r="I20">
        <f t="shared" si="5"/>
        <v>0</v>
      </c>
      <c r="K20">
        <f t="shared" ref="K20:K25" si="16">D20*F20+G20</f>
        <v>0</v>
      </c>
    </row>
    <row r="21" spans="1:11" x14ac:dyDescent="0.15">
      <c r="A21" s="166">
        <f t="shared" si="2"/>
        <v>41002</v>
      </c>
      <c r="B21" s="166">
        <f>$B$20</f>
        <v>14</v>
      </c>
      <c r="C21" s="228" t="str">
        <f>$C$20</f>
        <v>4100214</v>
      </c>
      <c r="D21" s="106">
        <v>1480000</v>
      </c>
      <c r="E21" s="100">
        <f>D21*SQRT(F28)*0.4</f>
        <v>592000</v>
      </c>
      <c r="F21" s="101">
        <f>(E22-E21)/(D22-D21)</f>
        <v>1.5999999999999974</v>
      </c>
      <c r="G21" s="97">
        <f t="shared" si="15"/>
        <v>-1775999.9999999963</v>
      </c>
      <c r="I21">
        <f t="shared" si="5"/>
        <v>1109999.9999999995</v>
      </c>
      <c r="J21" s="98">
        <v>1</v>
      </c>
      <c r="K21">
        <f t="shared" si="16"/>
        <v>592000</v>
      </c>
    </row>
    <row r="22" spans="1:11" x14ac:dyDescent="0.15">
      <c r="A22" s="166">
        <f t="shared" si="2"/>
        <v>41002</v>
      </c>
      <c r="B22" s="166">
        <f t="shared" ref="B22:B25" si="17">$B$20</f>
        <v>14</v>
      </c>
      <c r="C22" s="228" t="str">
        <f t="shared" ref="C22:C25" si="18">$C$20</f>
        <v>4100214</v>
      </c>
      <c r="D22" s="106">
        <f>D21*1.1</f>
        <v>1628000.0000000002</v>
      </c>
      <c r="E22" s="100">
        <f>E21*SQRT(F29)^2</f>
        <v>828800</v>
      </c>
      <c r="F22" s="101">
        <f>(E23-E22)/(D23-D22)</f>
        <v>1.2307692307692322</v>
      </c>
      <c r="G22" s="97">
        <f>E22-F22*D22</f>
        <v>-1174892.3076923103</v>
      </c>
      <c r="I22">
        <f t="shared" si="5"/>
        <v>954600.00000000105</v>
      </c>
      <c r="J22" s="98">
        <v>1.1000000000000001</v>
      </c>
      <c r="K22">
        <f t="shared" si="16"/>
        <v>828800</v>
      </c>
    </row>
    <row r="23" spans="1:11" x14ac:dyDescent="0.15">
      <c r="A23" s="166">
        <f t="shared" si="2"/>
        <v>41002</v>
      </c>
      <c r="B23" s="166">
        <f t="shared" si="17"/>
        <v>14</v>
      </c>
      <c r="C23" s="228" t="str">
        <f t="shared" si="18"/>
        <v>4100214</v>
      </c>
      <c r="D23" s="106">
        <f>D21*1.23</f>
        <v>1820400</v>
      </c>
      <c r="E23" s="100">
        <f>E21*SQRT(F30)^2</f>
        <v>1065600</v>
      </c>
      <c r="F23" s="101">
        <f>(E24-E23)/(D24-D23)</f>
        <v>0.94117647058823617</v>
      </c>
      <c r="G23" s="97">
        <f t="shared" ref="G23" si="19">E23-F23*D23</f>
        <v>-647717.64705882501</v>
      </c>
      <c r="I23">
        <f t="shared" si="5"/>
        <v>688200.00000000093</v>
      </c>
      <c r="J23" s="98">
        <v>1.23</v>
      </c>
      <c r="K23">
        <f t="shared" si="16"/>
        <v>1065600</v>
      </c>
    </row>
    <row r="24" spans="1:11" x14ac:dyDescent="0.15">
      <c r="A24" s="166">
        <f t="shared" si="2"/>
        <v>41002</v>
      </c>
      <c r="B24" s="166">
        <f t="shared" si="17"/>
        <v>14</v>
      </c>
      <c r="C24" s="228" t="str">
        <f t="shared" si="18"/>
        <v>4100214</v>
      </c>
      <c r="D24" s="106">
        <f>D21*1.4</f>
        <v>2071999.9999999998</v>
      </c>
      <c r="E24" s="100">
        <f>E21*SQRT(F31)^2</f>
        <v>1302400</v>
      </c>
      <c r="F24" s="101">
        <f>(E25-E24)/(D25-D24)</f>
        <v>0.65999999999999948</v>
      </c>
      <c r="G24" s="97">
        <f>E24-F24*D24</f>
        <v>-65119.999999998836</v>
      </c>
      <c r="H24">
        <v>1467655</v>
      </c>
      <c r="I24">
        <f t="shared" si="5"/>
        <v>2322386.3636363638</v>
      </c>
      <c r="J24" s="98">
        <v>1.4</v>
      </c>
      <c r="K24">
        <f t="shared" si="16"/>
        <v>1302400</v>
      </c>
    </row>
    <row r="25" spans="1:11" x14ac:dyDescent="0.15">
      <c r="A25" s="166">
        <f t="shared" si="2"/>
        <v>41002</v>
      </c>
      <c r="B25" s="166">
        <f t="shared" si="17"/>
        <v>14</v>
      </c>
      <c r="C25" s="228" t="str">
        <f t="shared" si="18"/>
        <v>4100214</v>
      </c>
      <c r="D25" s="106">
        <f>D21*1.6</f>
        <v>2368000</v>
      </c>
      <c r="E25" s="100">
        <f>E21*SQRT(F32)^2</f>
        <v>1497760</v>
      </c>
      <c r="F25" s="99">
        <v>0.01</v>
      </c>
      <c r="G25" s="102">
        <f>E25-F25*D25</f>
        <v>1474080</v>
      </c>
      <c r="I25">
        <f t="shared" si="5"/>
        <v>-147408000</v>
      </c>
      <c r="J25" s="98">
        <v>1.6</v>
      </c>
      <c r="K25">
        <f t="shared" si="16"/>
        <v>1497760</v>
      </c>
    </row>
    <row r="27" spans="1:11" x14ac:dyDescent="0.15">
      <c r="F27" t="s">
        <v>191</v>
      </c>
    </row>
    <row r="28" spans="1:11" x14ac:dyDescent="0.15">
      <c r="D28" s="108">
        <f>D3+D9+D15</f>
        <v>1030000</v>
      </c>
      <c r="E28" s="103">
        <f>SUM(E7,E13,E19,E25)</f>
        <v>3762110</v>
      </c>
      <c r="F28">
        <v>1</v>
      </c>
    </row>
    <row r="29" spans="1:11" x14ac:dyDescent="0.15">
      <c r="D29" s="80"/>
      <c r="E29" s="104"/>
      <c r="F29">
        <v>1.4</v>
      </c>
    </row>
    <row r="30" spans="1:11" x14ac:dyDescent="0.15">
      <c r="D30" s="80"/>
      <c r="E30" s="104"/>
      <c r="F30">
        <v>1.8</v>
      </c>
    </row>
    <row r="31" spans="1:11" x14ac:dyDescent="0.15">
      <c r="F31">
        <v>2.2000000000000002</v>
      </c>
    </row>
    <row r="32" spans="1:11" x14ac:dyDescent="0.15">
      <c r="F32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I13"/>
  <sheetViews>
    <sheetView tabSelected="1" workbookViewId="0">
      <selection activeCell="F9" sqref="F9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52" t="s">
        <v>439</v>
      </c>
      <c r="B1" s="52" t="s">
        <v>482</v>
      </c>
      <c r="C1" s="52" t="s">
        <v>192</v>
      </c>
      <c r="D1" s="52" t="s">
        <v>83</v>
      </c>
      <c r="E1" s="52" t="s">
        <v>194</v>
      </c>
      <c r="F1" s="52" t="s">
        <v>84</v>
      </c>
      <c r="G1" s="52" t="s">
        <v>85</v>
      </c>
      <c r="H1" t="s">
        <v>509</v>
      </c>
      <c r="I1" t="s">
        <v>510</v>
      </c>
    </row>
    <row r="2" spans="1:9" x14ac:dyDescent="0.15">
      <c r="A2" s="166">
        <f>output!C2</f>
        <v>41002</v>
      </c>
      <c r="B2" s="144">
        <v>21</v>
      </c>
      <c r="C2" s="170" t="str">
        <f>A2&amp;B2</f>
        <v>4100221</v>
      </c>
      <c r="D2" s="105">
        <v>0</v>
      </c>
      <c r="E2" s="100">
        <v>0</v>
      </c>
      <c r="F2" s="101">
        <f>(E3-E2)/(D3-D2)</f>
        <v>3.5714285714285716</v>
      </c>
      <c r="G2" s="97">
        <f t="shared" ref="G2" si="0">E2-F2*D2</f>
        <v>0</v>
      </c>
      <c r="H2" s="231">
        <v>90000</v>
      </c>
      <c r="I2">
        <f>(H2-G2)/F2</f>
        <v>25200</v>
      </c>
    </row>
    <row r="3" spans="1:9" x14ac:dyDescent="0.15">
      <c r="A3" s="166">
        <f>$A$2</f>
        <v>41002</v>
      </c>
      <c r="B3" s="166">
        <f>$B$2</f>
        <v>21</v>
      </c>
      <c r="C3" s="170" t="str">
        <f>$C$2</f>
        <v>4100221</v>
      </c>
      <c r="D3" s="105">
        <v>42000</v>
      </c>
      <c r="E3" s="100">
        <v>150000</v>
      </c>
      <c r="F3" s="99">
        <v>0.01</v>
      </c>
      <c r="G3" s="97">
        <f>E3-F3*D3</f>
        <v>149580</v>
      </c>
      <c r="H3" s="231">
        <v>150237</v>
      </c>
      <c r="I3">
        <f t="shared" ref="I3:I9" si="1">(H3-G3)/F3</f>
        <v>65700</v>
      </c>
    </row>
    <row r="4" spans="1:9" x14ac:dyDescent="0.15">
      <c r="A4" s="166">
        <f t="shared" ref="A4:A9" si="2">$A$2</f>
        <v>41002</v>
      </c>
      <c r="B4" s="144">
        <v>22</v>
      </c>
      <c r="C4" s="169" t="str">
        <f>A4&amp;B4</f>
        <v>4100222</v>
      </c>
      <c r="D4" s="106">
        <v>0</v>
      </c>
      <c r="E4" s="100">
        <v>0</v>
      </c>
      <c r="F4" s="101">
        <f t="shared" ref="F4" si="3">(E5-E4)/(D5-D4)</f>
        <v>8.3333333333333339</v>
      </c>
      <c r="G4" s="97">
        <f t="shared" ref="G4" si="4">E4-F4*D4</f>
        <v>0</v>
      </c>
      <c r="H4" s="231">
        <v>148650</v>
      </c>
      <c r="I4">
        <f t="shared" si="1"/>
        <v>17838</v>
      </c>
    </row>
    <row r="5" spans="1:9" x14ac:dyDescent="0.15">
      <c r="A5" s="166">
        <f t="shared" si="2"/>
        <v>41002</v>
      </c>
      <c r="B5" s="166">
        <f>$B$4</f>
        <v>22</v>
      </c>
      <c r="C5" s="169" t="str">
        <f>$C$4</f>
        <v>4100222</v>
      </c>
      <c r="D5" s="106">
        <v>18000</v>
      </c>
      <c r="E5" s="100">
        <v>150000</v>
      </c>
      <c r="F5" s="99">
        <v>0.01</v>
      </c>
      <c r="G5" s="102">
        <f>E5-F5*D5</f>
        <v>149820</v>
      </c>
      <c r="H5" s="231">
        <v>150086</v>
      </c>
      <c r="I5">
        <f t="shared" si="1"/>
        <v>26600</v>
      </c>
    </row>
    <row r="6" spans="1:9" x14ac:dyDescent="0.15">
      <c r="A6" s="166">
        <f t="shared" si="2"/>
        <v>41002</v>
      </c>
      <c r="B6" s="144">
        <v>23</v>
      </c>
      <c r="C6" s="170" t="str">
        <f>A6&amp;B6</f>
        <v>4100223</v>
      </c>
      <c r="D6" s="105">
        <v>0</v>
      </c>
      <c r="E6" s="100">
        <v>0</v>
      </c>
      <c r="F6" s="101">
        <f t="shared" ref="F6" si="5">(E7-E6)/(D7-D6)</f>
        <v>6.666666666666667</v>
      </c>
      <c r="G6" s="97">
        <f t="shared" ref="G6" si="6">E6-F6*D6</f>
        <v>0</v>
      </c>
      <c r="H6" s="231"/>
      <c r="I6">
        <f t="shared" si="1"/>
        <v>0</v>
      </c>
    </row>
    <row r="7" spans="1:9" x14ac:dyDescent="0.15">
      <c r="A7" s="166">
        <f t="shared" si="2"/>
        <v>41002</v>
      </c>
      <c r="B7" s="166">
        <f>$B$6</f>
        <v>23</v>
      </c>
      <c r="C7" s="170" t="str">
        <f>$C$6</f>
        <v>4100223</v>
      </c>
      <c r="D7" s="105">
        <v>45000</v>
      </c>
      <c r="E7" s="100">
        <v>300000</v>
      </c>
      <c r="F7" s="99">
        <v>0.01</v>
      </c>
      <c r="G7" s="102">
        <f>E7-F7*D7</f>
        <v>299550</v>
      </c>
      <c r="H7" s="231">
        <v>300020</v>
      </c>
      <c r="I7">
        <f t="shared" si="1"/>
        <v>47000</v>
      </c>
    </row>
    <row r="8" spans="1:9" x14ac:dyDescent="0.15">
      <c r="A8" s="166">
        <f t="shared" si="2"/>
        <v>41002</v>
      </c>
      <c r="B8" s="144">
        <v>24</v>
      </c>
      <c r="C8" s="228" t="str">
        <f>A8&amp;B8</f>
        <v>4100224</v>
      </c>
      <c r="D8" s="106">
        <v>0</v>
      </c>
      <c r="E8" s="100">
        <v>0</v>
      </c>
      <c r="F8" s="101">
        <f t="shared" ref="F8" si="7">(E9-E8)/(D9-D8)</f>
        <v>11.111111111111111</v>
      </c>
      <c r="G8" s="97">
        <f t="shared" ref="G8" si="8">E8-F8*D8</f>
        <v>0</v>
      </c>
      <c r="H8" s="231"/>
      <c r="I8">
        <f t="shared" si="1"/>
        <v>0</v>
      </c>
    </row>
    <row r="9" spans="1:9" x14ac:dyDescent="0.15">
      <c r="A9" s="166">
        <f t="shared" si="2"/>
        <v>41002</v>
      </c>
      <c r="B9" s="166">
        <f>$B$8</f>
        <v>24</v>
      </c>
      <c r="C9" s="228" t="str">
        <f>$C$8</f>
        <v>4100224</v>
      </c>
      <c r="D9" s="106">
        <v>63000</v>
      </c>
      <c r="E9" s="100">
        <v>700000</v>
      </c>
      <c r="F9" s="99">
        <v>0.01</v>
      </c>
      <c r="G9" s="102">
        <f>E9-F9*D9</f>
        <v>699370</v>
      </c>
      <c r="H9" s="231">
        <v>700059</v>
      </c>
      <c r="I9">
        <f t="shared" si="1"/>
        <v>68900</v>
      </c>
    </row>
    <row r="10" spans="1:9" x14ac:dyDescent="0.15">
      <c r="D10" s="229"/>
      <c r="E10" s="229"/>
    </row>
    <row r="11" spans="1:9" x14ac:dyDescent="0.15">
      <c r="D11" s="230"/>
      <c r="E11" s="104"/>
    </row>
    <row r="12" spans="1:9" x14ac:dyDescent="0.15">
      <c r="D12" s="80"/>
      <c r="E12" s="104"/>
    </row>
    <row r="13" spans="1:9" x14ac:dyDescent="0.15">
      <c r="D13" s="80"/>
      <c r="E13" s="104"/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I8"/>
  <sheetViews>
    <sheetView workbookViewId="0">
      <selection activeCell="B5" sqref="B5"/>
    </sheetView>
  </sheetViews>
  <sheetFormatPr baseColWidth="12" defaultRowHeight="15" x14ac:dyDescent="0.15"/>
  <cols>
    <col min="7" max="7" width="34.5" bestFit="1" customWidth="1"/>
    <col min="8" max="8" width="3" customWidth="1"/>
  </cols>
  <sheetData>
    <row r="1" spans="1:9" x14ac:dyDescent="0.15">
      <c r="A1" s="52" t="s">
        <v>86</v>
      </c>
      <c r="B1" s="52" t="s">
        <v>87</v>
      </c>
      <c r="C1" s="52" t="s">
        <v>88</v>
      </c>
      <c r="D1" s="52" t="s">
        <v>89</v>
      </c>
      <c r="E1" s="81" t="s">
        <v>90</v>
      </c>
      <c r="F1" s="81" t="s">
        <v>91</v>
      </c>
      <c r="G1" s="81" t="s">
        <v>92</v>
      </c>
      <c r="H1" s="177"/>
    </row>
    <row r="2" spans="1:9" x14ac:dyDescent="0.15">
      <c r="A2" s="51">
        <v>200</v>
      </c>
      <c r="B2" s="51">
        <f>output!C2</f>
        <v>41002</v>
      </c>
      <c r="C2" s="51">
        <v>4</v>
      </c>
      <c r="D2" s="51">
        <v>10000000</v>
      </c>
      <c r="E2" s="51" t="s">
        <v>138</v>
      </c>
      <c r="F2" s="51" t="s">
        <v>139</v>
      </c>
      <c r="G2" s="51" t="s">
        <v>140</v>
      </c>
      <c r="I2" s="177" t="s">
        <v>492</v>
      </c>
    </row>
    <row r="3" spans="1:9" x14ac:dyDescent="0.15">
      <c r="A3" s="51">
        <v>201</v>
      </c>
      <c r="B3" s="51">
        <f>$B$2</f>
        <v>41002</v>
      </c>
      <c r="C3" s="51">
        <v>4</v>
      </c>
      <c r="D3" s="51">
        <v>8500000</v>
      </c>
      <c r="E3" s="51" t="s">
        <v>138</v>
      </c>
      <c r="F3" s="51" t="s">
        <v>141</v>
      </c>
      <c r="G3" s="51" t="s">
        <v>142</v>
      </c>
    </row>
    <row r="4" spans="1:9" x14ac:dyDescent="0.15">
      <c r="A4" s="51">
        <v>202</v>
      </c>
      <c r="B4" s="51">
        <f t="shared" ref="B4:B6" si="0">$B$2</f>
        <v>41002</v>
      </c>
      <c r="C4" s="51">
        <v>4</v>
      </c>
      <c r="D4" s="51">
        <v>7000000</v>
      </c>
      <c r="E4" s="51" t="s">
        <v>138</v>
      </c>
      <c r="F4" s="51" t="s">
        <v>143</v>
      </c>
      <c r="G4" s="51" t="s">
        <v>144</v>
      </c>
    </row>
    <row r="5" spans="1:9" x14ac:dyDescent="0.15">
      <c r="A5" s="51">
        <v>203</v>
      </c>
      <c r="B5" s="51">
        <f t="shared" si="0"/>
        <v>41002</v>
      </c>
      <c r="C5" s="51">
        <v>4</v>
      </c>
      <c r="D5" s="51">
        <v>3000000</v>
      </c>
      <c r="E5" s="51" t="s">
        <v>138</v>
      </c>
      <c r="F5" s="51" t="s">
        <v>145</v>
      </c>
      <c r="G5" s="51" t="s">
        <v>146</v>
      </c>
    </row>
    <row r="6" spans="1:9" x14ac:dyDescent="0.15">
      <c r="A6" s="51">
        <v>204</v>
      </c>
      <c r="B6" s="51">
        <f t="shared" si="0"/>
        <v>41002</v>
      </c>
      <c r="C6" s="51">
        <v>4</v>
      </c>
      <c r="D6" s="51">
        <v>2000000</v>
      </c>
      <c r="E6" s="51" t="s">
        <v>138</v>
      </c>
      <c r="F6" s="51" t="s">
        <v>147</v>
      </c>
      <c r="G6" s="51" t="s">
        <v>148</v>
      </c>
    </row>
    <row r="7" spans="1:9" ht="16" thickBot="1" x14ac:dyDescent="0.2">
      <c r="A7" s="117">
        <v>205</v>
      </c>
      <c r="B7" s="117">
        <f>$B$2</f>
        <v>41002</v>
      </c>
      <c r="C7" s="117">
        <v>4</v>
      </c>
      <c r="D7" s="117">
        <v>0</v>
      </c>
      <c r="E7" s="117" t="s">
        <v>138</v>
      </c>
      <c r="F7" s="117" t="s">
        <v>149</v>
      </c>
      <c r="G7" s="117" t="s">
        <v>150</v>
      </c>
    </row>
    <row r="8" spans="1:9" ht="16" thickTop="1" x14ac:dyDescent="0.15"/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W19"/>
  <sheetViews>
    <sheetView workbookViewId="0">
      <selection activeCell="C2" sqref="C2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112" bestFit="1" customWidth="1"/>
    <col min="4" max="4" width="10.1640625" style="112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  <col min="21" max="21" width="2.5" customWidth="1"/>
  </cols>
  <sheetData>
    <row r="1" spans="1:23" x14ac:dyDescent="0.15">
      <c r="A1" s="52" t="s">
        <v>118</v>
      </c>
      <c r="B1" s="52" t="s">
        <v>119</v>
      </c>
      <c r="C1" s="109" t="s">
        <v>120</v>
      </c>
      <c r="D1" s="109" t="s">
        <v>121</v>
      </c>
      <c r="E1" s="81" t="s">
        <v>122</v>
      </c>
      <c r="F1" s="71" t="s">
        <v>123</v>
      </c>
      <c r="G1" s="71" t="s">
        <v>124</v>
      </c>
      <c r="H1" s="71" t="s">
        <v>125</v>
      </c>
      <c r="I1" s="71" t="s">
        <v>126</v>
      </c>
      <c r="J1" s="71" t="s">
        <v>127</v>
      </c>
      <c r="K1" s="72" t="s">
        <v>128</v>
      </c>
      <c r="L1" s="72" t="s">
        <v>129</v>
      </c>
      <c r="M1" s="72" t="s">
        <v>130</v>
      </c>
      <c r="N1" s="72" t="s">
        <v>131</v>
      </c>
      <c r="O1" s="72" t="s">
        <v>132</v>
      </c>
      <c r="P1" s="72" t="s">
        <v>133</v>
      </c>
      <c r="Q1" s="72" t="s">
        <v>134</v>
      </c>
      <c r="R1" s="72" t="s">
        <v>135</v>
      </c>
      <c r="S1" s="72" t="s">
        <v>136</v>
      </c>
      <c r="T1" s="72" t="s">
        <v>137</v>
      </c>
      <c r="V1" s="177" t="s">
        <v>493</v>
      </c>
    </row>
    <row r="2" spans="1:23" ht="47" customHeight="1" x14ac:dyDescent="0.2">
      <c r="A2" s="89">
        <v>200</v>
      </c>
      <c r="B2" s="89">
        <f>output!C2</f>
        <v>41002</v>
      </c>
      <c r="C2" s="110">
        <v>1</v>
      </c>
      <c r="D2" s="110">
        <v>10000000</v>
      </c>
      <c r="E2" s="90" t="str">
        <f>$B$2&amp;0&amp;1</f>
        <v>4100201</v>
      </c>
      <c r="F2" s="91" t="s">
        <v>153</v>
      </c>
      <c r="G2" s="91">
        <v>3</v>
      </c>
      <c r="H2" s="91" t="s">
        <v>154</v>
      </c>
      <c r="I2" s="91">
        <v>0</v>
      </c>
      <c r="J2" s="91">
        <v>0</v>
      </c>
      <c r="K2" s="91">
        <v>0</v>
      </c>
      <c r="L2" s="91">
        <v>0</v>
      </c>
      <c r="M2" s="91">
        <v>1</v>
      </c>
      <c r="N2" s="91">
        <v>1</v>
      </c>
      <c r="O2" s="91">
        <v>1</v>
      </c>
      <c r="P2" s="91" t="s">
        <v>151</v>
      </c>
      <c r="Q2" s="91" t="s">
        <v>232</v>
      </c>
      <c r="R2" s="91" t="s">
        <v>244</v>
      </c>
      <c r="S2" s="92" t="s">
        <v>245</v>
      </c>
      <c r="T2" s="51">
        <v>1</v>
      </c>
      <c r="V2" s="119">
        <v>1</v>
      </c>
      <c r="W2" s="118" t="s">
        <v>225</v>
      </c>
    </row>
    <row r="3" spans="1:23" ht="47" customHeight="1" x14ac:dyDescent="0.2">
      <c r="A3" s="89">
        <v>201</v>
      </c>
      <c r="B3" s="89">
        <f>$B$2</f>
        <v>41002</v>
      </c>
      <c r="C3" s="110">
        <v>1</v>
      </c>
      <c r="D3" s="110">
        <v>10000000</v>
      </c>
      <c r="E3" s="90" t="str">
        <f>$B$2&amp;0&amp;2</f>
        <v>4100202</v>
      </c>
      <c r="F3" s="91" t="s">
        <v>153</v>
      </c>
      <c r="G3" s="91">
        <v>2</v>
      </c>
      <c r="H3" s="91" t="s">
        <v>154</v>
      </c>
      <c r="I3" s="91">
        <v>0</v>
      </c>
      <c r="J3" s="91">
        <v>0</v>
      </c>
      <c r="K3" s="91">
        <v>0</v>
      </c>
      <c r="L3" s="91">
        <v>0</v>
      </c>
      <c r="M3" s="91">
        <v>1</v>
      </c>
      <c r="N3" s="91">
        <v>1</v>
      </c>
      <c r="O3" s="91">
        <v>1</v>
      </c>
      <c r="P3" s="91" t="s">
        <v>151</v>
      </c>
      <c r="Q3" s="91" t="s">
        <v>233</v>
      </c>
      <c r="R3" s="91" t="s">
        <v>244</v>
      </c>
      <c r="S3" s="92" t="s">
        <v>246</v>
      </c>
      <c r="T3" s="51">
        <v>1</v>
      </c>
      <c r="V3" s="120">
        <v>2</v>
      </c>
      <c r="W3" s="118" t="s">
        <v>226</v>
      </c>
    </row>
    <row r="4" spans="1:23" ht="47" customHeight="1" x14ac:dyDescent="0.2">
      <c r="A4" s="89">
        <v>202</v>
      </c>
      <c r="B4" s="89">
        <f t="shared" ref="B4:B8" si="0">$B$2</f>
        <v>41002</v>
      </c>
      <c r="C4" s="110">
        <v>1</v>
      </c>
      <c r="D4" s="110">
        <v>10000000</v>
      </c>
      <c r="E4" s="90" t="str">
        <f>$B$2&amp;0&amp;3</f>
        <v>4100203</v>
      </c>
      <c r="F4" s="91" t="s">
        <v>152</v>
      </c>
      <c r="G4" s="91">
        <v>1</v>
      </c>
      <c r="H4" s="91">
        <v>1</v>
      </c>
      <c r="I4" s="91">
        <v>0</v>
      </c>
      <c r="J4" s="91">
        <v>0</v>
      </c>
      <c r="K4" s="91">
        <v>0</v>
      </c>
      <c r="L4" s="91">
        <v>0</v>
      </c>
      <c r="M4" s="91">
        <v>1</v>
      </c>
      <c r="N4" s="91">
        <v>1</v>
      </c>
      <c r="O4" s="91">
        <v>1</v>
      </c>
      <c r="P4" s="91" t="s">
        <v>151</v>
      </c>
      <c r="Q4" s="91" t="s">
        <v>231</v>
      </c>
      <c r="R4" s="91" t="s">
        <v>244</v>
      </c>
      <c r="S4" s="92" t="s">
        <v>247</v>
      </c>
      <c r="T4" s="51">
        <v>1</v>
      </c>
      <c r="V4" s="120">
        <v>3</v>
      </c>
      <c r="W4" s="118" t="s">
        <v>227</v>
      </c>
    </row>
    <row r="5" spans="1:23" ht="47" customHeight="1" x14ac:dyDescent="0.2">
      <c r="A5" s="122">
        <v>203</v>
      </c>
      <c r="B5" s="89">
        <f t="shared" si="0"/>
        <v>41002</v>
      </c>
      <c r="C5" s="110">
        <v>1</v>
      </c>
      <c r="D5" s="110">
        <v>8500000</v>
      </c>
      <c r="E5" s="90" t="str">
        <f>$B$2&amp;0&amp;4</f>
        <v>4100204</v>
      </c>
      <c r="F5" s="91" t="s">
        <v>234</v>
      </c>
      <c r="G5" s="91">
        <v>335</v>
      </c>
      <c r="H5" s="91">
        <v>1</v>
      </c>
      <c r="I5" s="91">
        <v>0</v>
      </c>
      <c r="J5" s="91">
        <v>0</v>
      </c>
      <c r="K5" s="91">
        <v>0</v>
      </c>
      <c r="L5" s="91">
        <v>0</v>
      </c>
      <c r="M5" s="91">
        <v>1</v>
      </c>
      <c r="N5" s="91">
        <v>1</v>
      </c>
      <c r="O5" s="91">
        <v>1</v>
      </c>
      <c r="P5" s="91" t="s">
        <v>151</v>
      </c>
      <c r="Q5" s="91" t="s">
        <v>235</v>
      </c>
      <c r="R5" s="91" t="s">
        <v>244</v>
      </c>
      <c r="S5" s="92" t="s">
        <v>248</v>
      </c>
      <c r="T5" s="51">
        <v>1</v>
      </c>
      <c r="V5" s="120">
        <v>4</v>
      </c>
      <c r="W5" s="118" t="s">
        <v>228</v>
      </c>
    </row>
    <row r="6" spans="1:23" ht="47" customHeight="1" x14ac:dyDescent="0.2">
      <c r="A6" s="122">
        <v>204</v>
      </c>
      <c r="B6" s="89">
        <f t="shared" si="0"/>
        <v>41002</v>
      </c>
      <c r="C6" s="110">
        <v>1</v>
      </c>
      <c r="D6" s="110">
        <v>7000000</v>
      </c>
      <c r="E6" s="90" t="str">
        <f>$B$2&amp;0&amp;5</f>
        <v>4100205</v>
      </c>
      <c r="F6" s="91" t="s">
        <v>234</v>
      </c>
      <c r="G6" s="91">
        <v>339</v>
      </c>
      <c r="H6" s="91">
        <v>1</v>
      </c>
      <c r="I6" s="91">
        <v>0</v>
      </c>
      <c r="J6" s="91">
        <v>0</v>
      </c>
      <c r="K6" s="91">
        <v>0</v>
      </c>
      <c r="L6" s="91">
        <v>0</v>
      </c>
      <c r="M6" s="91">
        <v>1</v>
      </c>
      <c r="N6" s="91">
        <v>1</v>
      </c>
      <c r="O6" s="91">
        <v>1</v>
      </c>
      <c r="P6" s="91" t="s">
        <v>151</v>
      </c>
      <c r="Q6" s="91" t="s">
        <v>236</v>
      </c>
      <c r="R6" s="91" t="s">
        <v>244</v>
      </c>
      <c r="S6" s="92" t="s">
        <v>249</v>
      </c>
      <c r="T6" s="51">
        <v>1</v>
      </c>
      <c r="V6" s="120">
        <v>5</v>
      </c>
      <c r="W6" s="118" t="s">
        <v>229</v>
      </c>
    </row>
    <row r="7" spans="1:23" ht="47" customHeight="1" thickBot="1" x14ac:dyDescent="0.25">
      <c r="A7" s="122">
        <v>205</v>
      </c>
      <c r="B7" s="89">
        <f t="shared" si="0"/>
        <v>41002</v>
      </c>
      <c r="C7" s="110">
        <v>1</v>
      </c>
      <c r="D7" s="110">
        <v>5500000</v>
      </c>
      <c r="E7" s="90" t="str">
        <f>$B$2&amp;0&amp;6</f>
        <v>4100206</v>
      </c>
      <c r="F7" s="91" t="s">
        <v>234</v>
      </c>
      <c r="G7" s="91">
        <v>343</v>
      </c>
      <c r="H7" s="91">
        <v>1</v>
      </c>
      <c r="I7" s="91">
        <v>0</v>
      </c>
      <c r="J7" s="91">
        <v>0</v>
      </c>
      <c r="K7" s="91">
        <v>0</v>
      </c>
      <c r="L7" s="91">
        <v>0</v>
      </c>
      <c r="M7" s="91">
        <v>1</v>
      </c>
      <c r="N7" s="91">
        <v>1</v>
      </c>
      <c r="O7" s="91">
        <v>1</v>
      </c>
      <c r="P7" s="91" t="s">
        <v>151</v>
      </c>
      <c r="Q7" s="91" t="s">
        <v>237</v>
      </c>
      <c r="R7" s="91" t="s">
        <v>244</v>
      </c>
      <c r="S7" s="92" t="s">
        <v>250</v>
      </c>
      <c r="T7" s="51">
        <v>1</v>
      </c>
      <c r="V7" s="121">
        <v>6</v>
      </c>
      <c r="W7" s="118" t="s">
        <v>230</v>
      </c>
    </row>
    <row r="8" spans="1:23" ht="47" customHeight="1" thickTop="1" x14ac:dyDescent="0.15">
      <c r="A8" s="122">
        <v>206</v>
      </c>
      <c r="B8" s="89">
        <f t="shared" si="0"/>
        <v>41002</v>
      </c>
      <c r="C8" s="110">
        <v>1</v>
      </c>
      <c r="D8" s="110">
        <v>4000000</v>
      </c>
      <c r="E8" s="90" t="str">
        <f>$B$2&amp;0&amp;7</f>
        <v>4100207</v>
      </c>
      <c r="F8" s="91" t="s">
        <v>234</v>
      </c>
      <c r="G8" s="91">
        <v>347</v>
      </c>
      <c r="H8" s="91">
        <v>1</v>
      </c>
      <c r="I8" s="91">
        <v>0</v>
      </c>
      <c r="J8" s="91">
        <v>0</v>
      </c>
      <c r="K8" s="91">
        <v>0</v>
      </c>
      <c r="L8" s="91">
        <v>0</v>
      </c>
      <c r="M8" s="91">
        <v>1</v>
      </c>
      <c r="N8" s="91">
        <v>1</v>
      </c>
      <c r="O8" s="91">
        <v>1</v>
      </c>
      <c r="P8" s="91" t="s">
        <v>151</v>
      </c>
      <c r="Q8" s="91" t="s">
        <v>238</v>
      </c>
      <c r="R8" s="91" t="s">
        <v>244</v>
      </c>
      <c r="S8" s="92" t="s">
        <v>250</v>
      </c>
      <c r="T8" s="51">
        <v>1</v>
      </c>
    </row>
    <row r="9" spans="1:23" ht="47" customHeight="1" thickBot="1" x14ac:dyDescent="0.2">
      <c r="A9" s="123">
        <v>207</v>
      </c>
      <c r="B9" s="123">
        <f>$B$2</f>
        <v>41002</v>
      </c>
      <c r="C9" s="124">
        <v>1</v>
      </c>
      <c r="D9" s="125">
        <v>3000000</v>
      </c>
      <c r="E9" s="126" t="str">
        <f>$B$2&amp;0&amp;8</f>
        <v>4100208</v>
      </c>
      <c r="F9" s="127" t="s">
        <v>155</v>
      </c>
      <c r="G9" s="127">
        <v>100000</v>
      </c>
      <c r="H9" s="127" t="s">
        <v>154</v>
      </c>
      <c r="I9" s="127">
        <v>0</v>
      </c>
      <c r="J9" s="127">
        <v>0</v>
      </c>
      <c r="K9" s="127">
        <v>0</v>
      </c>
      <c r="L9" s="127">
        <v>0</v>
      </c>
      <c r="M9" s="127">
        <v>1</v>
      </c>
      <c r="N9" s="127">
        <v>1</v>
      </c>
      <c r="O9" s="127">
        <v>1</v>
      </c>
      <c r="P9" s="127" t="s">
        <v>151</v>
      </c>
      <c r="Q9" s="127" t="s">
        <v>239</v>
      </c>
      <c r="R9" s="127" t="s">
        <v>244</v>
      </c>
      <c r="S9" s="128" t="s">
        <v>251</v>
      </c>
      <c r="T9" s="117">
        <v>1</v>
      </c>
    </row>
    <row r="10" spans="1:23" ht="16" thickTop="1" x14ac:dyDescent="0.15"/>
    <row r="11" spans="1:23" x14ac:dyDescent="0.15">
      <c r="A11" s="173"/>
      <c r="C11" s="111"/>
    </row>
    <row r="14" spans="1:23" ht="17" x14ac:dyDescent="0.2">
      <c r="E14" s="118"/>
    </row>
    <row r="15" spans="1:23" ht="17" x14ac:dyDescent="0.2">
      <c r="E15" s="118"/>
    </row>
    <row r="16" spans="1:23" ht="17" x14ac:dyDescent="0.2">
      <c r="E16" s="118"/>
    </row>
    <row r="17" spans="5:5" ht="17" x14ac:dyDescent="0.2">
      <c r="E17" s="118"/>
    </row>
    <row r="18" spans="5:5" ht="17" x14ac:dyDescent="0.2">
      <c r="E18" s="118"/>
    </row>
    <row r="19" spans="5:5" ht="17" x14ac:dyDescent="0.2">
      <c r="E19" s="118"/>
    </row>
  </sheetData>
  <phoneticPr fontId="1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A2" sqref="A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57" t="s">
        <v>62</v>
      </c>
      <c r="B1" s="59" t="s">
        <v>15</v>
      </c>
      <c r="C1" s="59" t="s">
        <v>20</v>
      </c>
      <c r="D1" s="57" t="s">
        <v>64</v>
      </c>
      <c r="E1" s="57" t="s">
        <v>65</v>
      </c>
      <c r="F1" s="74" t="s">
        <v>74</v>
      </c>
      <c r="G1" s="70" t="s">
        <v>66</v>
      </c>
      <c r="H1" s="71" t="s">
        <v>67</v>
      </c>
      <c r="I1" s="71" t="s">
        <v>68</v>
      </c>
      <c r="J1" s="71" t="s">
        <v>69</v>
      </c>
      <c r="K1" s="71" t="s">
        <v>93</v>
      </c>
      <c r="L1" s="71" t="s">
        <v>94</v>
      </c>
      <c r="M1" s="72" t="s">
        <v>95</v>
      </c>
      <c r="N1" s="72" t="s">
        <v>96</v>
      </c>
      <c r="O1" s="72" t="s">
        <v>97</v>
      </c>
      <c r="P1" s="72" t="s">
        <v>99</v>
      </c>
      <c r="Q1" s="72" t="s">
        <v>100</v>
      </c>
      <c r="R1" s="72" t="s">
        <v>70</v>
      </c>
      <c r="S1" s="72" t="s">
        <v>71</v>
      </c>
      <c r="T1" s="72" t="s">
        <v>72</v>
      </c>
      <c r="U1" s="72" t="s">
        <v>73</v>
      </c>
    </row>
    <row r="2" spans="1:21" ht="28" x14ac:dyDescent="0.15">
      <c r="A2" s="63">
        <f>score_attack_expanded_floors!$C$2</f>
        <v>41002</v>
      </c>
      <c r="B2" s="64" t="str">
        <f ca="1">VLOOKUP($A2,OFFSET([2]quests!$A$1,0,0,COUNTA([2]quests!$A:$A),MATCH(B$1,[2]quests!$1:$1,0)-MATCH($A$1,[2]quests!$1:$1,0)+1),MATCH(B$1,[2]quests!$1:$1,0)-MATCH($A$1,[2]quests!$1:$1,0)+1,FALSE)</f>
        <v>アザゼル襲来！</v>
      </c>
      <c r="C2" s="64" t="str">
        <f ca="1">VLOOKUP($A2,OFFSET([2]quests!$A$1,0,0,COUNTA([2]quests!$A:$A),MATCH(C$1,[2]quests!$1:$1,0)-MATCH($A$1,[2]quests!$1:$1,0)+1),MATCH(C$1,[2]quests!$1:$1,0)-MATCH($A$1,[2]quests!$1:$1,0)+1,FALSE)</f>
        <v>降臨1</v>
      </c>
      <c r="D2" s="94">
        <v>1</v>
      </c>
      <c r="E2" s="95">
        <v>1</v>
      </c>
      <c r="F2" s="73" t="str">
        <f>A2&amp;TEXT(E2,"0000")</f>
        <v>410020001</v>
      </c>
      <c r="G2" t="str">
        <f>F2&amp;TEXT(COUNTIF(F$2:F2,F2),"00")</f>
        <v>41002000101</v>
      </c>
      <c r="H2" s="75" t="s">
        <v>156</v>
      </c>
      <c r="I2" s="75">
        <v>601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1</v>
      </c>
      <c r="Q2" s="75">
        <v>1</v>
      </c>
      <c r="R2" s="75" t="s">
        <v>138</v>
      </c>
      <c r="S2" s="75" t="s">
        <v>157</v>
      </c>
      <c r="T2" s="75" t="s">
        <v>158</v>
      </c>
      <c r="U2" s="76" t="s">
        <v>159</v>
      </c>
    </row>
    <row r="3" spans="1:21" ht="28" x14ac:dyDescent="0.15">
      <c r="A3" s="63">
        <f>score_attack_expanded_floors!$C$2</f>
        <v>41002</v>
      </c>
      <c r="B3" s="64" t="str">
        <f ca="1">VLOOKUP($A3,OFFSET([2]quests!$A$1,0,0,COUNTA([2]quests!$A:$A),MATCH(B$1,[2]quests!$1:$1,0)-MATCH($A$1,[2]quests!$1:$1,0)+1),MATCH(B$1,[2]quests!$1:$1,0)-MATCH($A$1,[2]quests!$1:$1,0)+1,FALSE)</f>
        <v>アザゼル襲来！</v>
      </c>
      <c r="C3" s="64" t="str">
        <f ca="1">VLOOKUP($A3,OFFSET([2]quests!$A$1,0,0,COUNTA([2]quests!$A:$A),MATCH(C$1,[2]quests!$1:$1,0)-MATCH($A$1,[2]quests!$1:$1,0)+1),MATCH(C$1,[2]quests!$1:$1,0)-MATCH($A$1,[2]quests!$1:$1,0)+1,FALSE)</f>
        <v>降臨1</v>
      </c>
      <c r="D3" s="94">
        <v>1</v>
      </c>
      <c r="E3" s="95">
        <v>1</v>
      </c>
      <c r="F3" s="73" t="str">
        <f t="shared" ref="F3:F42" si="0">A3&amp;TEXT(E3,"0000")</f>
        <v>410020001</v>
      </c>
      <c r="G3" t="str">
        <f>F3&amp;TEXT(COUNTIF(F$2:F3,F3),"00")</f>
        <v>41002000102</v>
      </c>
      <c r="H3" s="75" t="s">
        <v>156</v>
      </c>
      <c r="I3" s="75">
        <v>600</v>
      </c>
      <c r="J3" s="75">
        <v>2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1</v>
      </c>
      <c r="Q3" s="75">
        <v>1</v>
      </c>
      <c r="R3" s="75" t="s">
        <v>138</v>
      </c>
      <c r="S3" s="75" t="s">
        <v>160</v>
      </c>
      <c r="T3" s="75" t="s">
        <v>158</v>
      </c>
      <c r="U3" s="76" t="s">
        <v>159</v>
      </c>
    </row>
    <row r="4" spans="1:21" ht="28" x14ac:dyDescent="0.15">
      <c r="A4" s="63">
        <f>score_attack_expanded_floors!$C$2</f>
        <v>41002</v>
      </c>
      <c r="B4" s="64" t="str">
        <f ca="1">VLOOKUP($A4,OFFSET([2]quests!$A$1,0,0,COUNTA([2]quests!$A:$A),MATCH(B$1,[2]quests!$1:$1,0)-MATCH($A$1,[2]quests!$1:$1,0)+1),MATCH(B$1,[2]quests!$1:$1,0)-MATCH($A$1,[2]quests!$1:$1,0)+1,FALSE)</f>
        <v>アザゼル襲来！</v>
      </c>
      <c r="C4" s="64" t="str">
        <f ca="1">VLOOKUP($A4,OFFSET([2]quests!$A$1,0,0,COUNTA([2]quests!$A:$A),MATCH(C$1,[2]quests!$1:$1,0)-MATCH($A$1,[2]quests!$1:$1,0)+1),MATCH(C$1,[2]quests!$1:$1,0)-MATCH($A$1,[2]quests!$1:$1,0)+1,FALSE)</f>
        <v>降臨1</v>
      </c>
      <c r="D4" s="94">
        <v>1</v>
      </c>
      <c r="E4" s="95">
        <v>1</v>
      </c>
      <c r="F4" s="73" t="str">
        <f t="shared" si="0"/>
        <v>410020001</v>
      </c>
      <c r="G4" t="str">
        <f>F4&amp;TEXT(COUNTIF(F$2:F4,F4),"00")</f>
        <v>41002000103</v>
      </c>
      <c r="H4" s="75" t="s">
        <v>161</v>
      </c>
      <c r="I4" s="75">
        <v>10</v>
      </c>
      <c r="J4" s="75" t="s">
        <v>162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1</v>
      </c>
      <c r="Q4" s="75">
        <v>1</v>
      </c>
      <c r="R4" s="75" t="s">
        <v>138</v>
      </c>
      <c r="S4" s="75" t="s">
        <v>163</v>
      </c>
      <c r="T4" s="75" t="s">
        <v>158</v>
      </c>
      <c r="U4" s="76" t="s">
        <v>159</v>
      </c>
    </row>
    <row r="5" spans="1:21" ht="28" x14ac:dyDescent="0.15">
      <c r="A5" s="63">
        <f>score_attack_expanded_floors!$C$2</f>
        <v>41002</v>
      </c>
      <c r="B5" s="64" t="str">
        <f ca="1">VLOOKUP($A5,OFFSET([2]quests!$A$1,0,0,COUNTA([2]quests!$A:$A),MATCH(B$1,[2]quests!$1:$1,0)-MATCH($A$1,[2]quests!$1:$1,0)+1),MATCH(B$1,[2]quests!$1:$1,0)-MATCH($A$1,[2]quests!$1:$1,0)+1,FALSE)</f>
        <v>アザゼル襲来！</v>
      </c>
      <c r="C5" s="64" t="str">
        <f ca="1">VLOOKUP($A5,OFFSET([2]quests!$A$1,0,0,COUNTA([2]quests!$A:$A),MATCH(C$1,[2]quests!$1:$1,0)-MATCH($A$1,[2]quests!$1:$1,0)+1),MATCH(C$1,[2]quests!$1:$1,0)-MATCH($A$1,[2]quests!$1:$1,0)+1,FALSE)</f>
        <v>降臨1</v>
      </c>
      <c r="D5" s="94">
        <v>1</v>
      </c>
      <c r="E5" s="95">
        <v>1</v>
      </c>
      <c r="F5" s="73" t="str">
        <f t="shared" si="0"/>
        <v>410020001</v>
      </c>
      <c r="G5" t="str">
        <f>F5&amp;TEXT(COUNTIF(F$2:F5,F5),"00")</f>
        <v>41002000104</v>
      </c>
      <c r="H5" s="75" t="s">
        <v>164</v>
      </c>
      <c r="I5" s="75">
        <v>837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1</v>
      </c>
      <c r="Q5" s="75">
        <v>1</v>
      </c>
      <c r="R5" s="75" t="s">
        <v>138</v>
      </c>
      <c r="S5" s="75" t="s">
        <v>165</v>
      </c>
      <c r="T5" s="75" t="s">
        <v>158</v>
      </c>
      <c r="U5" s="76" t="s">
        <v>159</v>
      </c>
    </row>
    <row r="6" spans="1:21" ht="28" x14ac:dyDescent="0.15">
      <c r="A6" s="63">
        <f>score_attack_expanded_floors!$C$2</f>
        <v>41002</v>
      </c>
      <c r="B6" s="64" t="str">
        <f ca="1">VLOOKUP($A6,OFFSET([2]quests!$A$1,0,0,COUNTA([2]quests!$A:$A),MATCH(B$1,[2]quests!$1:$1,0)-MATCH($A$1,[2]quests!$1:$1,0)+1),MATCH(B$1,[2]quests!$1:$1,0)-MATCH($A$1,[2]quests!$1:$1,0)+1,FALSE)</f>
        <v>アザゼル襲来！</v>
      </c>
      <c r="C6" s="64" t="str">
        <f ca="1">VLOOKUP($A6,OFFSET([2]quests!$A$1,0,0,COUNTA([2]quests!$A:$A),MATCH(C$1,[2]quests!$1:$1,0)-MATCH($A$1,[2]quests!$1:$1,0)+1),MATCH(C$1,[2]quests!$1:$1,0)-MATCH($A$1,[2]quests!$1:$1,0)+1,FALSE)</f>
        <v>降臨1</v>
      </c>
      <c r="D6" s="94">
        <v>1</v>
      </c>
      <c r="E6" s="95">
        <v>1</v>
      </c>
      <c r="F6" s="73" t="str">
        <f t="shared" si="0"/>
        <v>410020001</v>
      </c>
      <c r="G6" t="str">
        <f>F6&amp;TEXT(COUNTIF(F$2:F6,F6),"00")</f>
        <v>41002000105</v>
      </c>
      <c r="H6" s="75" t="s">
        <v>164</v>
      </c>
      <c r="I6" s="75">
        <v>614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1</v>
      </c>
      <c r="Q6" s="75">
        <v>1</v>
      </c>
      <c r="R6" s="75" t="s">
        <v>138</v>
      </c>
      <c r="S6" s="75" t="s">
        <v>166</v>
      </c>
      <c r="T6" s="75" t="s">
        <v>158</v>
      </c>
      <c r="U6" s="76" t="s">
        <v>159</v>
      </c>
    </row>
    <row r="7" spans="1:21" ht="28" x14ac:dyDescent="0.15">
      <c r="A7" s="63">
        <f>score_attack_expanded_floors!$C$2</f>
        <v>41002</v>
      </c>
      <c r="B7" s="64" t="str">
        <f ca="1">VLOOKUP($A7,OFFSET([2]quests!$A$1,0,0,COUNTA([2]quests!$A:$A),MATCH(B$1,[2]quests!$1:$1,0)-MATCH($A$1,[2]quests!$1:$1,0)+1),MATCH(B$1,[2]quests!$1:$1,0)-MATCH($A$1,[2]quests!$1:$1,0)+1,FALSE)</f>
        <v>アザゼル襲来！</v>
      </c>
      <c r="C7" s="64" t="str">
        <f ca="1">VLOOKUP($A7,OFFSET([2]quests!$A$1,0,0,COUNTA([2]quests!$A:$A),MATCH(C$1,[2]quests!$1:$1,0)-MATCH($A$1,[2]quests!$1:$1,0)+1),MATCH(C$1,[2]quests!$1:$1,0)-MATCH($A$1,[2]quests!$1:$1,0)+1,FALSE)</f>
        <v>降臨1</v>
      </c>
      <c r="D7" s="94">
        <v>2</v>
      </c>
      <c r="E7" s="95">
        <v>2</v>
      </c>
      <c r="F7" s="73" t="str">
        <f t="shared" si="0"/>
        <v>410020002</v>
      </c>
      <c r="G7" t="str">
        <f>F7&amp;TEXT(COUNTIF(F$2:F7,F7),"00")</f>
        <v>41002000201</v>
      </c>
      <c r="H7" s="75" t="s">
        <v>156</v>
      </c>
      <c r="I7" s="75">
        <v>601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1</v>
      </c>
      <c r="Q7" s="75">
        <v>1</v>
      </c>
      <c r="R7" s="75" t="s">
        <v>138</v>
      </c>
      <c r="S7" s="75" t="s">
        <v>157</v>
      </c>
      <c r="T7" s="75" t="s">
        <v>158</v>
      </c>
      <c r="U7" s="76" t="s">
        <v>159</v>
      </c>
    </row>
    <row r="8" spans="1:21" ht="28" x14ac:dyDescent="0.15">
      <c r="A8" s="63">
        <f>score_attack_expanded_floors!$C$2</f>
        <v>41002</v>
      </c>
      <c r="B8" s="64" t="str">
        <f ca="1">VLOOKUP($A8,OFFSET([2]quests!$A$1,0,0,COUNTA([2]quests!$A:$A),MATCH(B$1,[2]quests!$1:$1,0)-MATCH($A$1,[2]quests!$1:$1,0)+1),MATCH(B$1,[2]quests!$1:$1,0)-MATCH($A$1,[2]quests!$1:$1,0)+1,FALSE)</f>
        <v>アザゼル襲来！</v>
      </c>
      <c r="C8" s="64" t="str">
        <f ca="1">VLOOKUP($A8,OFFSET([2]quests!$A$1,0,0,COUNTA([2]quests!$A:$A),MATCH(C$1,[2]quests!$1:$1,0)-MATCH($A$1,[2]quests!$1:$1,0)+1),MATCH(C$1,[2]quests!$1:$1,0)-MATCH($A$1,[2]quests!$1:$1,0)+1,FALSE)</f>
        <v>降臨1</v>
      </c>
      <c r="D8" s="94">
        <v>2</v>
      </c>
      <c r="E8" s="95">
        <v>2</v>
      </c>
      <c r="F8" s="73" t="str">
        <f t="shared" si="0"/>
        <v>410020002</v>
      </c>
      <c r="G8" t="str">
        <f>F8&amp;TEXT(COUNTIF(F$2:F8,F8),"00")</f>
        <v>41002000202</v>
      </c>
      <c r="H8" s="75" t="s">
        <v>156</v>
      </c>
      <c r="I8" s="75">
        <v>600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1</v>
      </c>
      <c r="Q8" s="75">
        <v>1</v>
      </c>
      <c r="R8" s="75" t="s">
        <v>138</v>
      </c>
      <c r="S8" s="75" t="s">
        <v>167</v>
      </c>
      <c r="T8" s="75" t="s">
        <v>158</v>
      </c>
      <c r="U8" s="76" t="s">
        <v>159</v>
      </c>
    </row>
    <row r="9" spans="1:21" ht="28" x14ac:dyDescent="0.15">
      <c r="A9" s="63">
        <f>score_attack_expanded_floors!$C$2</f>
        <v>41002</v>
      </c>
      <c r="B9" s="64" t="str">
        <f ca="1">VLOOKUP($A9,OFFSET([2]quests!$A$1,0,0,COUNTA([2]quests!$A:$A),MATCH(B$1,[2]quests!$1:$1,0)-MATCH($A$1,[2]quests!$1:$1,0)+1),MATCH(B$1,[2]quests!$1:$1,0)-MATCH($A$1,[2]quests!$1:$1,0)+1,FALSE)</f>
        <v>アザゼル襲来！</v>
      </c>
      <c r="C9" s="64" t="str">
        <f ca="1">VLOOKUP($A9,OFFSET([2]quests!$A$1,0,0,COUNTA([2]quests!$A:$A),MATCH(C$1,[2]quests!$1:$1,0)-MATCH($A$1,[2]quests!$1:$1,0)+1),MATCH(C$1,[2]quests!$1:$1,0)-MATCH($A$1,[2]quests!$1:$1,0)+1,FALSE)</f>
        <v>降臨1</v>
      </c>
      <c r="D9" s="94">
        <v>2</v>
      </c>
      <c r="E9" s="95">
        <v>2</v>
      </c>
      <c r="F9" s="73" t="str">
        <f t="shared" si="0"/>
        <v>410020002</v>
      </c>
      <c r="G9" t="str">
        <f>F9&amp;TEXT(COUNTIF(F$2:F9,F9),"00")</f>
        <v>41002000203</v>
      </c>
      <c r="H9" s="75" t="s">
        <v>161</v>
      </c>
      <c r="I9" s="75">
        <v>5</v>
      </c>
      <c r="J9" s="75" t="s">
        <v>162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</v>
      </c>
      <c r="Q9" s="75">
        <v>1</v>
      </c>
      <c r="R9" s="75" t="s">
        <v>138</v>
      </c>
      <c r="S9" s="75" t="s">
        <v>168</v>
      </c>
      <c r="T9" s="75" t="s">
        <v>158</v>
      </c>
      <c r="U9" s="76" t="s">
        <v>159</v>
      </c>
    </row>
    <row r="10" spans="1:21" ht="28" x14ac:dyDescent="0.15">
      <c r="A10" s="63">
        <f>score_attack_expanded_floors!$C$2</f>
        <v>41002</v>
      </c>
      <c r="B10" s="64" t="str">
        <f ca="1">VLOOKUP($A10,OFFSET([2]quests!$A$1,0,0,COUNTA([2]quests!$A:$A),MATCH(B$1,[2]quests!$1:$1,0)-MATCH($A$1,[2]quests!$1:$1,0)+1),MATCH(B$1,[2]quests!$1:$1,0)-MATCH($A$1,[2]quests!$1:$1,0)+1,FALSE)</f>
        <v>アザゼル襲来！</v>
      </c>
      <c r="C10" s="64" t="str">
        <f ca="1">VLOOKUP($A10,OFFSET([2]quests!$A$1,0,0,COUNTA([2]quests!$A:$A),MATCH(C$1,[2]quests!$1:$1,0)-MATCH($A$1,[2]quests!$1:$1,0)+1),MATCH(C$1,[2]quests!$1:$1,0)-MATCH($A$1,[2]quests!$1:$1,0)+1,FALSE)</f>
        <v>降臨1</v>
      </c>
      <c r="D10" s="94">
        <v>2</v>
      </c>
      <c r="E10" s="95">
        <v>2</v>
      </c>
      <c r="F10" s="73" t="str">
        <f t="shared" si="0"/>
        <v>410020002</v>
      </c>
      <c r="G10" t="str">
        <f>F10&amp;TEXT(COUNTIF(F$2:F10,F10),"00")</f>
        <v>41002000204</v>
      </c>
      <c r="H10" s="75" t="s">
        <v>164</v>
      </c>
      <c r="I10" s="75">
        <v>610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1</v>
      </c>
      <c r="Q10" s="75">
        <v>1</v>
      </c>
      <c r="R10" s="75" t="s">
        <v>138</v>
      </c>
      <c r="S10" s="75" t="s">
        <v>169</v>
      </c>
      <c r="T10" s="75" t="s">
        <v>158</v>
      </c>
      <c r="U10" s="76" t="s">
        <v>159</v>
      </c>
    </row>
    <row r="11" spans="1:21" ht="28" x14ac:dyDescent="0.15">
      <c r="A11" s="63">
        <f>score_attack_expanded_floors!$C$2</f>
        <v>41002</v>
      </c>
      <c r="B11" s="64" t="str">
        <f ca="1">VLOOKUP($A11,OFFSET([2]quests!$A$1,0,0,COUNTA([2]quests!$A:$A),MATCH(B$1,[2]quests!$1:$1,0)-MATCH($A$1,[2]quests!$1:$1,0)+1),MATCH(B$1,[2]quests!$1:$1,0)-MATCH($A$1,[2]quests!$1:$1,0)+1,FALSE)</f>
        <v>アザゼル襲来！</v>
      </c>
      <c r="C11" s="64" t="str">
        <f ca="1">VLOOKUP($A11,OFFSET([2]quests!$A$1,0,0,COUNTA([2]quests!$A:$A),MATCH(C$1,[2]quests!$1:$1,0)-MATCH($A$1,[2]quests!$1:$1,0)+1),MATCH(C$1,[2]quests!$1:$1,0)-MATCH($A$1,[2]quests!$1:$1,0)+1,FALSE)</f>
        <v>降臨1</v>
      </c>
      <c r="D11" s="94">
        <v>2</v>
      </c>
      <c r="E11" s="95">
        <v>2</v>
      </c>
      <c r="F11" s="73" t="str">
        <f t="shared" si="0"/>
        <v>410020002</v>
      </c>
      <c r="G11" t="str">
        <f>F11&amp;TEXT(COUNTIF(F$2:F11,F11),"00")</f>
        <v>41002000205</v>
      </c>
      <c r="H11" s="75" t="s">
        <v>156</v>
      </c>
      <c r="I11" s="75">
        <v>1</v>
      </c>
      <c r="J11" s="75">
        <v>3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</v>
      </c>
      <c r="Q11" s="75">
        <v>1</v>
      </c>
      <c r="R11" s="75" t="s">
        <v>138</v>
      </c>
      <c r="S11" s="75" t="s">
        <v>170</v>
      </c>
      <c r="T11" s="75" t="s">
        <v>158</v>
      </c>
      <c r="U11" s="76" t="s">
        <v>159</v>
      </c>
    </row>
    <row r="12" spans="1:21" ht="28" x14ac:dyDescent="0.15">
      <c r="A12" s="63">
        <f>score_attack_expanded_floors!$C$2</f>
        <v>41002</v>
      </c>
      <c r="B12" s="64" t="str">
        <f ca="1">VLOOKUP($A12,OFFSET([2]quests!$A$1,0,0,COUNTA([2]quests!$A:$A),MATCH(B$1,[2]quests!$1:$1,0)-MATCH($A$1,[2]quests!$1:$1,0)+1),MATCH(B$1,[2]quests!$1:$1,0)-MATCH($A$1,[2]quests!$1:$1,0)+1,FALSE)</f>
        <v>アザゼル襲来！</v>
      </c>
      <c r="C12" s="64" t="str">
        <f ca="1">VLOOKUP($A12,OFFSET([2]quests!$A$1,0,0,COUNTA([2]quests!$A:$A),MATCH(C$1,[2]quests!$1:$1,0)-MATCH($A$1,[2]quests!$1:$1,0)+1),MATCH(C$1,[2]quests!$1:$1,0)-MATCH($A$1,[2]quests!$1:$1,0)+1,FALSE)</f>
        <v>降臨1</v>
      </c>
      <c r="D12" s="94">
        <v>3</v>
      </c>
      <c r="E12" s="95">
        <v>3</v>
      </c>
      <c r="F12" s="73" t="str">
        <f t="shared" si="0"/>
        <v>410020003</v>
      </c>
      <c r="G12" t="str">
        <f>F12&amp;TEXT(COUNTIF(F$2:F12,F12),"00")</f>
        <v>41002000301</v>
      </c>
      <c r="H12" s="75" t="s">
        <v>156</v>
      </c>
      <c r="I12" s="75">
        <v>600</v>
      </c>
      <c r="J12" s="75">
        <v>3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1</v>
      </c>
      <c r="Q12" s="75">
        <v>1</v>
      </c>
      <c r="R12" s="75" t="s">
        <v>138</v>
      </c>
      <c r="S12" s="75" t="s">
        <v>171</v>
      </c>
      <c r="T12" s="75" t="s">
        <v>158</v>
      </c>
      <c r="U12" s="76" t="s">
        <v>159</v>
      </c>
    </row>
    <row r="13" spans="1:21" ht="28" x14ac:dyDescent="0.15">
      <c r="A13" s="63">
        <f>score_attack_expanded_floors!$C$2</f>
        <v>41002</v>
      </c>
      <c r="B13" s="64" t="str">
        <f ca="1">VLOOKUP($A13,OFFSET([2]quests!$A$1,0,0,COUNTA([2]quests!$A:$A),MATCH(B$1,[2]quests!$1:$1,0)-MATCH($A$1,[2]quests!$1:$1,0)+1),MATCH(B$1,[2]quests!$1:$1,0)-MATCH($A$1,[2]quests!$1:$1,0)+1,FALSE)</f>
        <v>アザゼル襲来！</v>
      </c>
      <c r="C13" s="64" t="str">
        <f ca="1">VLOOKUP($A13,OFFSET([2]quests!$A$1,0,0,COUNTA([2]quests!$A:$A),MATCH(C$1,[2]quests!$1:$1,0)-MATCH($A$1,[2]quests!$1:$1,0)+1),MATCH(C$1,[2]quests!$1:$1,0)-MATCH($A$1,[2]quests!$1:$1,0)+1,FALSE)</f>
        <v>降臨1</v>
      </c>
      <c r="D13" s="94">
        <v>3</v>
      </c>
      <c r="E13" s="95">
        <v>3</v>
      </c>
      <c r="F13" s="73" t="str">
        <f t="shared" si="0"/>
        <v>410020003</v>
      </c>
      <c r="G13" t="str">
        <f>F13&amp;TEXT(COUNTIF(F$2:F13,F13),"00")</f>
        <v>41002000302</v>
      </c>
      <c r="H13" s="75" t="s">
        <v>164</v>
      </c>
      <c r="I13" s="75">
        <v>335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1</v>
      </c>
      <c r="Q13" s="75">
        <v>1</v>
      </c>
      <c r="R13" s="75" t="s">
        <v>138</v>
      </c>
      <c r="S13" s="75" t="s">
        <v>172</v>
      </c>
      <c r="T13" s="75" t="s">
        <v>158</v>
      </c>
      <c r="U13" s="76" t="s">
        <v>159</v>
      </c>
    </row>
    <row r="14" spans="1:21" ht="28" x14ac:dyDescent="0.15">
      <c r="A14" s="63">
        <f>score_attack_expanded_floors!$C$2</f>
        <v>41002</v>
      </c>
      <c r="B14" s="64" t="str">
        <f ca="1">VLOOKUP($A14,OFFSET([2]quests!$A$1,0,0,COUNTA([2]quests!$A:$A),MATCH(B$1,[2]quests!$1:$1,0)-MATCH($A$1,[2]quests!$1:$1,0)+1),MATCH(B$1,[2]quests!$1:$1,0)-MATCH($A$1,[2]quests!$1:$1,0)+1,FALSE)</f>
        <v>アザゼル襲来！</v>
      </c>
      <c r="C14" s="64" t="str">
        <f ca="1">VLOOKUP($A14,OFFSET([2]quests!$A$1,0,0,COUNTA([2]quests!$A:$A),MATCH(C$1,[2]quests!$1:$1,0)-MATCH($A$1,[2]quests!$1:$1,0)+1),MATCH(C$1,[2]quests!$1:$1,0)-MATCH($A$1,[2]quests!$1:$1,0)+1,FALSE)</f>
        <v>降臨1</v>
      </c>
      <c r="D14" s="94">
        <v>3</v>
      </c>
      <c r="E14" s="95">
        <v>3</v>
      </c>
      <c r="F14" s="73" t="str">
        <f t="shared" si="0"/>
        <v>410020003</v>
      </c>
      <c r="G14" t="str">
        <f>F14&amp;TEXT(COUNTIF(F$2:F14,F14),"00")</f>
        <v>41002000303</v>
      </c>
      <c r="H14" s="75" t="s">
        <v>164</v>
      </c>
      <c r="I14" s="75">
        <v>339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1</v>
      </c>
      <c r="Q14" s="75">
        <v>1</v>
      </c>
      <c r="R14" s="75" t="s">
        <v>138</v>
      </c>
      <c r="S14" s="75" t="s">
        <v>173</v>
      </c>
      <c r="T14" s="75" t="s">
        <v>158</v>
      </c>
      <c r="U14" s="76" t="s">
        <v>159</v>
      </c>
    </row>
    <row r="15" spans="1:21" ht="28" x14ac:dyDescent="0.15">
      <c r="A15" s="63">
        <f>score_attack_expanded_floors!$C$2</f>
        <v>41002</v>
      </c>
      <c r="B15" s="64" t="str">
        <f ca="1">VLOOKUP($A15,OFFSET([2]quests!$A$1,0,0,COUNTA([2]quests!$A:$A),MATCH(B$1,[2]quests!$1:$1,0)-MATCH($A$1,[2]quests!$1:$1,0)+1),MATCH(B$1,[2]quests!$1:$1,0)-MATCH($A$1,[2]quests!$1:$1,0)+1,FALSE)</f>
        <v>アザゼル襲来！</v>
      </c>
      <c r="C15" s="64" t="str">
        <f ca="1">VLOOKUP($A15,OFFSET([2]quests!$A$1,0,0,COUNTA([2]quests!$A:$A),MATCH(C$1,[2]quests!$1:$1,0)-MATCH($A$1,[2]quests!$1:$1,0)+1),MATCH(C$1,[2]quests!$1:$1,0)-MATCH($A$1,[2]quests!$1:$1,0)+1,FALSE)</f>
        <v>降臨1</v>
      </c>
      <c r="D15" s="94">
        <v>3</v>
      </c>
      <c r="E15" s="95">
        <v>3</v>
      </c>
      <c r="F15" s="73" t="str">
        <f t="shared" si="0"/>
        <v>410020003</v>
      </c>
      <c r="G15" t="str">
        <f>F15&amp;TEXT(COUNTIF(F$2:F15,F15),"00")</f>
        <v>41002000304</v>
      </c>
      <c r="H15" s="75" t="s">
        <v>164</v>
      </c>
      <c r="I15" s="75">
        <v>343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1</v>
      </c>
      <c r="Q15" s="75">
        <v>1</v>
      </c>
      <c r="R15" s="75" t="s">
        <v>138</v>
      </c>
      <c r="S15" s="75" t="s">
        <v>174</v>
      </c>
      <c r="T15" s="75" t="s">
        <v>158</v>
      </c>
      <c r="U15" s="76" t="s">
        <v>159</v>
      </c>
    </row>
    <row r="16" spans="1:21" ht="28" x14ac:dyDescent="0.15">
      <c r="A16" s="63">
        <f>score_attack_expanded_floors!$C$2</f>
        <v>41002</v>
      </c>
      <c r="B16" s="64" t="str">
        <f ca="1">VLOOKUP($A16,OFFSET([2]quests!$A$1,0,0,COUNTA([2]quests!$A:$A),MATCH(B$1,[2]quests!$1:$1,0)-MATCH($A$1,[2]quests!$1:$1,0)+1),MATCH(B$1,[2]quests!$1:$1,0)-MATCH($A$1,[2]quests!$1:$1,0)+1,FALSE)</f>
        <v>アザゼル襲来！</v>
      </c>
      <c r="C16" s="64" t="str">
        <f ca="1">VLOOKUP($A16,OFFSET([2]quests!$A$1,0,0,COUNTA([2]quests!$A:$A),MATCH(C$1,[2]quests!$1:$1,0)-MATCH($A$1,[2]quests!$1:$1,0)+1),MATCH(C$1,[2]quests!$1:$1,0)-MATCH($A$1,[2]quests!$1:$1,0)+1,FALSE)</f>
        <v>降臨1</v>
      </c>
      <c r="D16" s="94">
        <v>3</v>
      </c>
      <c r="E16" s="95">
        <v>3</v>
      </c>
      <c r="F16" s="73" t="str">
        <f t="shared" si="0"/>
        <v>410020003</v>
      </c>
      <c r="G16" t="str">
        <f>F16&amp;TEXT(COUNTIF(F$2:F16,F16),"00")</f>
        <v>41002000305</v>
      </c>
      <c r="H16" s="75" t="s">
        <v>164</v>
      </c>
      <c r="I16" s="75">
        <v>347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1</v>
      </c>
      <c r="Q16" s="75">
        <v>1</v>
      </c>
      <c r="R16" s="75" t="s">
        <v>138</v>
      </c>
      <c r="S16" s="75" t="s">
        <v>175</v>
      </c>
      <c r="T16" s="75" t="s">
        <v>158</v>
      </c>
      <c r="U16" s="76" t="s">
        <v>159</v>
      </c>
    </row>
    <row r="17" spans="1:21" ht="28" x14ac:dyDescent="0.15">
      <c r="A17" s="63">
        <f>score_attack_expanded_floors!$C$2</f>
        <v>41002</v>
      </c>
      <c r="B17" s="64" t="str">
        <f ca="1">VLOOKUP($A17,OFFSET([2]quests!$A$1,0,0,COUNTA([2]quests!$A:$A),MATCH(B$1,[2]quests!$1:$1,0)-MATCH($A$1,[2]quests!$1:$1,0)+1),MATCH(B$1,[2]quests!$1:$1,0)-MATCH($A$1,[2]quests!$1:$1,0)+1,FALSE)</f>
        <v>アザゼル襲来！</v>
      </c>
      <c r="C17" s="64" t="str">
        <f ca="1">VLOOKUP($A17,OFFSET([2]quests!$A$1,0,0,COUNTA([2]quests!$A:$A),MATCH(C$1,[2]quests!$1:$1,0)-MATCH($A$1,[2]quests!$1:$1,0)+1),MATCH(C$1,[2]quests!$1:$1,0)-MATCH($A$1,[2]quests!$1:$1,0)+1,FALSE)</f>
        <v>降臨1</v>
      </c>
      <c r="D17" s="94">
        <v>3</v>
      </c>
      <c r="E17" s="95">
        <v>3</v>
      </c>
      <c r="F17" s="73" t="str">
        <f t="shared" si="0"/>
        <v>410020003</v>
      </c>
      <c r="G17" t="str">
        <f>F17&amp;TEXT(COUNTIF(F$2:F17,F17),"00")</f>
        <v>41002000306</v>
      </c>
      <c r="H17" s="75" t="s">
        <v>161</v>
      </c>
      <c r="I17" s="75">
        <v>5</v>
      </c>
      <c r="J17" s="75" t="s">
        <v>162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1</v>
      </c>
      <c r="Q17" s="75">
        <v>1</v>
      </c>
      <c r="R17" s="75" t="s">
        <v>138</v>
      </c>
      <c r="S17" s="75" t="s">
        <v>168</v>
      </c>
      <c r="T17" s="75" t="s">
        <v>158</v>
      </c>
      <c r="U17" s="76" t="s">
        <v>159</v>
      </c>
    </row>
    <row r="18" spans="1:21" ht="28" x14ac:dyDescent="0.15">
      <c r="A18" s="63">
        <f>score_attack_expanded_floors!$C$2</f>
        <v>41002</v>
      </c>
      <c r="B18" s="64" t="str">
        <f ca="1">VLOOKUP($A18,OFFSET([2]quests!$A$1,0,0,COUNTA([2]quests!$A:$A),MATCH(B$1,[2]quests!$1:$1,0)-MATCH($A$1,[2]quests!$1:$1,0)+1),MATCH(B$1,[2]quests!$1:$1,0)-MATCH($A$1,[2]quests!$1:$1,0)+1,FALSE)</f>
        <v>アザゼル襲来！</v>
      </c>
      <c r="C18" s="64" t="str">
        <f ca="1">VLOOKUP($A18,OFFSET([2]quests!$A$1,0,0,COUNTA([2]quests!$A:$A),MATCH(C$1,[2]quests!$1:$1,0)-MATCH($A$1,[2]quests!$1:$1,0)+1),MATCH(C$1,[2]quests!$1:$1,0)-MATCH($A$1,[2]quests!$1:$1,0)+1,FALSE)</f>
        <v>降臨1</v>
      </c>
      <c r="D18" s="94">
        <v>3</v>
      </c>
      <c r="E18" s="95">
        <v>3</v>
      </c>
      <c r="F18" s="73" t="str">
        <f t="shared" si="0"/>
        <v>410020003</v>
      </c>
      <c r="G18" t="str">
        <f>F18&amp;TEXT(COUNTIF(F$2:F18,F18),"00")</f>
        <v>41002000307</v>
      </c>
      <c r="H18" s="75" t="s">
        <v>164</v>
      </c>
      <c r="I18" s="75">
        <v>125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1</v>
      </c>
      <c r="Q18" s="75">
        <v>1</v>
      </c>
      <c r="R18" s="75" t="s">
        <v>138</v>
      </c>
      <c r="S18" s="75" t="s">
        <v>176</v>
      </c>
      <c r="T18" s="75" t="s">
        <v>158</v>
      </c>
      <c r="U18" s="76" t="s">
        <v>159</v>
      </c>
    </row>
    <row r="19" spans="1:21" ht="28" x14ac:dyDescent="0.15">
      <c r="A19" s="63">
        <f>score_attack_expanded_floors!$C$2</f>
        <v>41002</v>
      </c>
      <c r="B19" s="64" t="str">
        <f ca="1">VLOOKUP($A19,OFFSET([2]quests!$A$1,0,0,COUNTA([2]quests!$A:$A),MATCH(B$1,[2]quests!$1:$1,0)-MATCH($A$1,[2]quests!$1:$1,0)+1),MATCH(B$1,[2]quests!$1:$1,0)-MATCH($A$1,[2]quests!$1:$1,0)+1,FALSE)</f>
        <v>アザゼル襲来！</v>
      </c>
      <c r="C19" s="64" t="str">
        <f ca="1">VLOOKUP($A19,OFFSET([2]quests!$A$1,0,0,COUNTA([2]quests!$A:$A),MATCH(C$1,[2]quests!$1:$1,0)-MATCH($A$1,[2]quests!$1:$1,0)+1),MATCH(C$1,[2]quests!$1:$1,0)-MATCH($A$1,[2]quests!$1:$1,0)+1,FALSE)</f>
        <v>降臨1</v>
      </c>
      <c r="D19" s="94">
        <v>3</v>
      </c>
      <c r="E19" s="95">
        <v>3</v>
      </c>
      <c r="F19" s="73" t="str">
        <f t="shared" si="0"/>
        <v>410020003</v>
      </c>
      <c r="G19" t="str">
        <f>F19&amp;TEXT(COUNTIF(F$2:F19,F19),"00")</f>
        <v>41002000308</v>
      </c>
      <c r="H19" s="75" t="s">
        <v>156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</v>
      </c>
      <c r="Q19" s="75">
        <v>1</v>
      </c>
      <c r="R19" s="75" t="s">
        <v>138</v>
      </c>
      <c r="S19" s="75" t="s">
        <v>177</v>
      </c>
      <c r="T19" s="75" t="s">
        <v>158</v>
      </c>
      <c r="U19" s="76" t="s">
        <v>159</v>
      </c>
    </row>
    <row r="20" spans="1:21" ht="28" x14ac:dyDescent="0.15">
      <c r="A20" s="63">
        <f>score_attack_expanded_floors!$C$2</f>
        <v>41002</v>
      </c>
      <c r="B20" s="64" t="str">
        <f ca="1">VLOOKUP($A20,OFFSET([2]quests!$A$1,0,0,COUNTA([2]quests!$A:$A),MATCH(B$1,[2]quests!$1:$1,0)-MATCH($A$1,[2]quests!$1:$1,0)+1),MATCH(B$1,[2]quests!$1:$1,0)-MATCH($A$1,[2]quests!$1:$1,0)+1,FALSE)</f>
        <v>アザゼル襲来！</v>
      </c>
      <c r="C20" s="64" t="str">
        <f ca="1">VLOOKUP($A20,OFFSET([2]quests!$A$1,0,0,COUNTA([2]quests!$A:$A),MATCH(C$1,[2]quests!$1:$1,0)-MATCH($A$1,[2]quests!$1:$1,0)+1),MATCH(C$1,[2]quests!$1:$1,0)-MATCH($A$1,[2]quests!$1:$1,0)+1,FALSE)</f>
        <v>降臨1</v>
      </c>
      <c r="D20" s="94">
        <v>4</v>
      </c>
      <c r="E20" s="95">
        <v>5</v>
      </c>
      <c r="F20" s="73" t="str">
        <f t="shared" si="0"/>
        <v>410020005</v>
      </c>
      <c r="G20" t="str">
        <f>F20&amp;TEXT(COUNTIF(F$2:F20,F20),"00")</f>
        <v>41002000501</v>
      </c>
      <c r="H20" s="75" t="s">
        <v>156</v>
      </c>
      <c r="I20" s="75">
        <v>600</v>
      </c>
      <c r="J20" s="75">
        <v>2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</v>
      </c>
      <c r="Q20" s="75">
        <v>1</v>
      </c>
      <c r="R20" s="75" t="s">
        <v>138</v>
      </c>
      <c r="S20" s="75" t="s">
        <v>160</v>
      </c>
      <c r="T20" s="75" t="s">
        <v>158</v>
      </c>
      <c r="U20" s="76" t="s">
        <v>159</v>
      </c>
    </row>
    <row r="21" spans="1:21" ht="28" x14ac:dyDescent="0.15">
      <c r="A21" s="63">
        <f>score_attack_expanded_floors!$C$2</f>
        <v>41002</v>
      </c>
      <c r="B21" s="64" t="str">
        <f ca="1">VLOOKUP($A21,OFFSET([2]quests!$A$1,0,0,COUNTA([2]quests!$A:$A),MATCH(B$1,[2]quests!$1:$1,0)-MATCH($A$1,[2]quests!$1:$1,0)+1),MATCH(B$1,[2]quests!$1:$1,0)-MATCH($A$1,[2]quests!$1:$1,0)+1,FALSE)</f>
        <v>アザゼル襲来！</v>
      </c>
      <c r="C21" s="64" t="str">
        <f ca="1">VLOOKUP($A21,OFFSET([2]quests!$A$1,0,0,COUNTA([2]quests!$A:$A),MATCH(C$1,[2]quests!$1:$1,0)-MATCH($A$1,[2]quests!$1:$1,0)+1),MATCH(C$1,[2]quests!$1:$1,0)-MATCH($A$1,[2]quests!$1:$1,0)+1,FALSE)</f>
        <v>降臨1</v>
      </c>
      <c r="D21" s="94">
        <v>4</v>
      </c>
      <c r="E21" s="95">
        <v>5</v>
      </c>
      <c r="F21" s="73" t="str">
        <f t="shared" si="0"/>
        <v>410020005</v>
      </c>
      <c r="G21" t="str">
        <f>F21&amp;TEXT(COUNTIF(F$2:F21,F21),"00")</f>
        <v>41002000502</v>
      </c>
      <c r="H21" s="75" t="s">
        <v>164</v>
      </c>
      <c r="I21" s="75">
        <v>335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</v>
      </c>
      <c r="Q21" s="75">
        <v>1</v>
      </c>
      <c r="R21" s="75" t="s">
        <v>138</v>
      </c>
      <c r="S21" s="75" t="s">
        <v>172</v>
      </c>
      <c r="T21" s="75" t="s">
        <v>158</v>
      </c>
      <c r="U21" s="76" t="s">
        <v>159</v>
      </c>
    </row>
    <row r="22" spans="1:21" ht="28" x14ac:dyDescent="0.15">
      <c r="A22" s="63">
        <f>score_attack_expanded_floors!$C$2</f>
        <v>41002</v>
      </c>
      <c r="B22" s="64" t="str">
        <f ca="1">VLOOKUP($A22,OFFSET([2]quests!$A$1,0,0,COUNTA([2]quests!$A:$A),MATCH(B$1,[2]quests!$1:$1,0)-MATCH($A$1,[2]quests!$1:$1,0)+1),MATCH(B$1,[2]quests!$1:$1,0)-MATCH($A$1,[2]quests!$1:$1,0)+1,FALSE)</f>
        <v>アザゼル襲来！</v>
      </c>
      <c r="C22" s="64" t="str">
        <f ca="1">VLOOKUP($A22,OFFSET([2]quests!$A$1,0,0,COUNTA([2]quests!$A:$A),MATCH(C$1,[2]quests!$1:$1,0)-MATCH($A$1,[2]quests!$1:$1,0)+1),MATCH(C$1,[2]quests!$1:$1,0)-MATCH($A$1,[2]quests!$1:$1,0)+1,FALSE)</f>
        <v>降臨1</v>
      </c>
      <c r="D22" s="94">
        <v>4</v>
      </c>
      <c r="E22" s="95">
        <v>5</v>
      </c>
      <c r="F22" s="73" t="str">
        <f t="shared" si="0"/>
        <v>410020005</v>
      </c>
      <c r="G22" t="str">
        <f>F22&amp;TEXT(COUNTIF(F$2:F22,F22),"00")</f>
        <v>41002000503</v>
      </c>
      <c r="H22" s="75" t="s">
        <v>164</v>
      </c>
      <c r="I22" s="75">
        <v>339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</v>
      </c>
      <c r="Q22" s="75">
        <v>1</v>
      </c>
      <c r="R22" s="75" t="s">
        <v>138</v>
      </c>
      <c r="S22" s="75" t="s">
        <v>173</v>
      </c>
      <c r="T22" s="75" t="s">
        <v>158</v>
      </c>
      <c r="U22" s="76" t="s">
        <v>159</v>
      </c>
    </row>
    <row r="23" spans="1:21" ht="28" x14ac:dyDescent="0.15">
      <c r="A23" s="63">
        <f>score_attack_expanded_floors!$C$2</f>
        <v>41002</v>
      </c>
      <c r="B23" s="64" t="str">
        <f ca="1">VLOOKUP($A23,OFFSET([2]quests!$A$1,0,0,COUNTA([2]quests!$A:$A),MATCH(B$1,[2]quests!$1:$1,0)-MATCH($A$1,[2]quests!$1:$1,0)+1),MATCH(B$1,[2]quests!$1:$1,0)-MATCH($A$1,[2]quests!$1:$1,0)+1,FALSE)</f>
        <v>アザゼル襲来！</v>
      </c>
      <c r="C23" s="64" t="str">
        <f ca="1">VLOOKUP($A23,OFFSET([2]quests!$A$1,0,0,COUNTA([2]quests!$A:$A),MATCH(C$1,[2]quests!$1:$1,0)-MATCH($A$1,[2]quests!$1:$1,0)+1),MATCH(C$1,[2]quests!$1:$1,0)-MATCH($A$1,[2]quests!$1:$1,0)+1,FALSE)</f>
        <v>降臨1</v>
      </c>
      <c r="D23" s="94">
        <v>4</v>
      </c>
      <c r="E23" s="95">
        <v>5</v>
      </c>
      <c r="F23" s="73" t="str">
        <f t="shared" si="0"/>
        <v>410020005</v>
      </c>
      <c r="G23" t="str">
        <f>F23&amp;TEXT(COUNTIF(F$2:F23,F23),"00")</f>
        <v>41002000504</v>
      </c>
      <c r="H23" s="75" t="s">
        <v>164</v>
      </c>
      <c r="I23" s="75">
        <v>343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1</v>
      </c>
      <c r="Q23" s="75">
        <v>1</v>
      </c>
      <c r="R23" s="75" t="s">
        <v>138</v>
      </c>
      <c r="S23" s="75" t="s">
        <v>174</v>
      </c>
      <c r="T23" s="75" t="s">
        <v>158</v>
      </c>
      <c r="U23" s="76" t="s">
        <v>159</v>
      </c>
    </row>
    <row r="24" spans="1:21" ht="28" x14ac:dyDescent="0.15">
      <c r="A24" s="63">
        <f>score_attack_expanded_floors!$C$2</f>
        <v>41002</v>
      </c>
      <c r="B24" s="64" t="str">
        <f ca="1">VLOOKUP($A24,OFFSET([2]quests!$A$1,0,0,COUNTA([2]quests!$A:$A),MATCH(B$1,[2]quests!$1:$1,0)-MATCH($A$1,[2]quests!$1:$1,0)+1),MATCH(B$1,[2]quests!$1:$1,0)-MATCH($A$1,[2]quests!$1:$1,0)+1,FALSE)</f>
        <v>アザゼル襲来！</v>
      </c>
      <c r="C24" s="64" t="str">
        <f ca="1">VLOOKUP($A24,OFFSET([2]quests!$A$1,0,0,COUNTA([2]quests!$A:$A),MATCH(C$1,[2]quests!$1:$1,0)-MATCH($A$1,[2]quests!$1:$1,0)+1),MATCH(C$1,[2]quests!$1:$1,0)-MATCH($A$1,[2]quests!$1:$1,0)+1,FALSE)</f>
        <v>降臨1</v>
      </c>
      <c r="D24" s="94">
        <v>4</v>
      </c>
      <c r="E24" s="95">
        <v>5</v>
      </c>
      <c r="F24" s="73" t="str">
        <f t="shared" si="0"/>
        <v>410020005</v>
      </c>
      <c r="G24" t="str">
        <f>F24&amp;TEXT(COUNTIF(F$2:F24,F24),"00")</f>
        <v>41002000505</v>
      </c>
      <c r="H24" s="75" t="s">
        <v>164</v>
      </c>
      <c r="I24" s="75">
        <v>347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1</v>
      </c>
      <c r="Q24" s="75">
        <v>1</v>
      </c>
      <c r="R24" s="75" t="s">
        <v>138</v>
      </c>
      <c r="S24" s="75" t="s">
        <v>175</v>
      </c>
      <c r="T24" s="75" t="s">
        <v>158</v>
      </c>
      <c r="U24" s="76" t="s">
        <v>159</v>
      </c>
    </row>
    <row r="25" spans="1:21" ht="28" x14ac:dyDescent="0.15">
      <c r="A25" s="63">
        <f>score_attack_expanded_floors!$C$2</f>
        <v>41002</v>
      </c>
      <c r="B25" s="64" t="str">
        <f ca="1">VLOOKUP($A25,OFFSET([2]quests!$A$1,0,0,COUNTA([2]quests!$A:$A),MATCH(B$1,[2]quests!$1:$1,0)-MATCH($A$1,[2]quests!$1:$1,0)+1),MATCH(B$1,[2]quests!$1:$1,0)-MATCH($A$1,[2]quests!$1:$1,0)+1,FALSE)</f>
        <v>アザゼル襲来！</v>
      </c>
      <c r="C25" s="64" t="str">
        <f ca="1">VLOOKUP($A25,OFFSET([2]quests!$A$1,0,0,COUNTA([2]quests!$A:$A),MATCH(C$1,[2]quests!$1:$1,0)-MATCH($A$1,[2]quests!$1:$1,0)+1),MATCH(C$1,[2]quests!$1:$1,0)-MATCH($A$1,[2]quests!$1:$1,0)+1,FALSE)</f>
        <v>降臨1</v>
      </c>
      <c r="D25" s="94">
        <v>4</v>
      </c>
      <c r="E25" s="95">
        <v>5</v>
      </c>
      <c r="F25" s="73" t="str">
        <f t="shared" si="0"/>
        <v>410020005</v>
      </c>
      <c r="G25" t="str">
        <f>F25&amp;TEXT(COUNTIF(F$2:F25,F25),"00")</f>
        <v>41002000506</v>
      </c>
      <c r="H25" s="75" t="s">
        <v>161</v>
      </c>
      <c r="I25" s="75">
        <v>5</v>
      </c>
      <c r="J25" s="75" t="s">
        <v>162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1</v>
      </c>
      <c r="Q25" s="75">
        <v>1</v>
      </c>
      <c r="R25" s="75" t="s">
        <v>138</v>
      </c>
      <c r="S25" s="75" t="s">
        <v>168</v>
      </c>
      <c r="T25" s="75" t="s">
        <v>158</v>
      </c>
      <c r="U25" s="76" t="s">
        <v>159</v>
      </c>
    </row>
    <row r="26" spans="1:21" ht="28" x14ac:dyDescent="0.15">
      <c r="A26" s="63">
        <f>score_attack_expanded_floors!$C$2</f>
        <v>41002</v>
      </c>
      <c r="B26" s="64" t="str">
        <f ca="1">VLOOKUP($A26,OFFSET([2]quests!$A$1,0,0,COUNTA([2]quests!$A:$A),MATCH(B$1,[2]quests!$1:$1,0)-MATCH($A$1,[2]quests!$1:$1,0)+1),MATCH(B$1,[2]quests!$1:$1,0)-MATCH($A$1,[2]quests!$1:$1,0)+1,FALSE)</f>
        <v>アザゼル襲来！</v>
      </c>
      <c r="C26" s="64" t="str">
        <f ca="1">VLOOKUP($A26,OFFSET([2]quests!$A$1,0,0,COUNTA([2]quests!$A:$A),MATCH(C$1,[2]quests!$1:$1,0)-MATCH($A$1,[2]quests!$1:$1,0)+1),MATCH(C$1,[2]quests!$1:$1,0)-MATCH($A$1,[2]quests!$1:$1,0)+1,FALSE)</f>
        <v>降臨1</v>
      </c>
      <c r="D26" s="94">
        <v>4</v>
      </c>
      <c r="E26" s="95">
        <v>5</v>
      </c>
      <c r="F26" s="73" t="str">
        <f t="shared" si="0"/>
        <v>410020005</v>
      </c>
      <c r="G26" t="str">
        <f>F26&amp;TEXT(COUNTIF(F$2:F26,F26),"00")</f>
        <v>41002000507</v>
      </c>
      <c r="H26" s="75" t="s">
        <v>178</v>
      </c>
      <c r="I26" s="75">
        <v>2000</v>
      </c>
      <c r="J26" s="75" t="s">
        <v>162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1</v>
      </c>
      <c r="Q26" s="75">
        <v>1</v>
      </c>
      <c r="R26" s="75" t="s">
        <v>138</v>
      </c>
      <c r="S26" s="75" t="s">
        <v>179</v>
      </c>
      <c r="T26" s="75" t="s">
        <v>158</v>
      </c>
      <c r="U26" s="76" t="s">
        <v>159</v>
      </c>
    </row>
    <row r="27" spans="1:21" ht="28" x14ac:dyDescent="0.15">
      <c r="A27" s="63">
        <f>score_attack_expanded_floors!$C$2</f>
        <v>41002</v>
      </c>
      <c r="B27" s="64" t="str">
        <f ca="1">VLOOKUP($A27,OFFSET([2]quests!$A$1,0,0,COUNTA([2]quests!$A:$A),MATCH(B$1,[2]quests!$1:$1,0)-MATCH($A$1,[2]quests!$1:$1,0)+1),MATCH(B$1,[2]quests!$1:$1,0)-MATCH($A$1,[2]quests!$1:$1,0)+1,FALSE)</f>
        <v>アザゼル襲来！</v>
      </c>
      <c r="C27" s="64" t="str">
        <f ca="1">VLOOKUP($A27,OFFSET([2]quests!$A$1,0,0,COUNTA([2]quests!$A:$A),MATCH(C$1,[2]quests!$1:$1,0)-MATCH($A$1,[2]quests!$1:$1,0)+1),MATCH(C$1,[2]quests!$1:$1,0)-MATCH($A$1,[2]quests!$1:$1,0)+1,FALSE)</f>
        <v>降臨1</v>
      </c>
      <c r="D27" s="94">
        <v>6</v>
      </c>
      <c r="E27" s="95">
        <v>10</v>
      </c>
      <c r="F27" s="73" t="str">
        <f t="shared" si="0"/>
        <v>410020010</v>
      </c>
      <c r="G27" t="str">
        <f>F27&amp;TEXT(COUNTIF(F$2:F27,F27),"00")</f>
        <v>41002001001</v>
      </c>
      <c r="H27" s="75" t="s">
        <v>156</v>
      </c>
      <c r="I27" s="75">
        <v>600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1</v>
      </c>
      <c r="Q27" s="75">
        <v>1</v>
      </c>
      <c r="R27" s="75" t="s">
        <v>138</v>
      </c>
      <c r="S27" s="75" t="s">
        <v>167</v>
      </c>
      <c r="T27" s="75" t="s">
        <v>158</v>
      </c>
      <c r="U27" s="76" t="s">
        <v>159</v>
      </c>
    </row>
    <row r="28" spans="1:21" ht="28" x14ac:dyDescent="0.15">
      <c r="A28" s="63">
        <f>score_attack_expanded_floors!$C$2</f>
        <v>41002</v>
      </c>
      <c r="B28" s="64" t="str">
        <f ca="1">VLOOKUP($A28,OFFSET([2]quests!$A$1,0,0,COUNTA([2]quests!$A:$A),MATCH(B$1,[2]quests!$1:$1,0)-MATCH($A$1,[2]quests!$1:$1,0)+1),MATCH(B$1,[2]quests!$1:$1,0)-MATCH($A$1,[2]quests!$1:$1,0)+1,FALSE)</f>
        <v>アザゼル襲来！</v>
      </c>
      <c r="C28" s="64" t="str">
        <f ca="1">VLOOKUP($A28,OFFSET([2]quests!$A$1,0,0,COUNTA([2]quests!$A:$A),MATCH(C$1,[2]quests!$1:$1,0)-MATCH($A$1,[2]quests!$1:$1,0)+1),MATCH(C$1,[2]quests!$1:$1,0)-MATCH($A$1,[2]quests!$1:$1,0)+1,FALSE)</f>
        <v>降臨1</v>
      </c>
      <c r="D28" s="94">
        <v>6</v>
      </c>
      <c r="E28" s="95">
        <v>10</v>
      </c>
      <c r="F28" s="73" t="str">
        <f t="shared" si="0"/>
        <v>410020010</v>
      </c>
      <c r="G28" t="str">
        <f>F28&amp;TEXT(COUNTIF(F$2:F28,F28),"00")</f>
        <v>41002001002</v>
      </c>
      <c r="H28" s="75" t="s">
        <v>164</v>
      </c>
      <c r="I28" s="75">
        <v>334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1</v>
      </c>
      <c r="Q28" s="75">
        <v>1</v>
      </c>
      <c r="R28" s="75" t="s">
        <v>138</v>
      </c>
      <c r="S28" s="75" t="s">
        <v>180</v>
      </c>
      <c r="T28" s="75" t="s">
        <v>158</v>
      </c>
      <c r="U28" s="76" t="s">
        <v>159</v>
      </c>
    </row>
    <row r="29" spans="1:21" ht="28" x14ac:dyDescent="0.15">
      <c r="A29" s="63">
        <f>score_attack_expanded_floors!$C$2</f>
        <v>41002</v>
      </c>
      <c r="B29" s="64" t="str">
        <f ca="1">VLOOKUP($A29,OFFSET([2]quests!$A$1,0,0,COUNTA([2]quests!$A:$A),MATCH(B$1,[2]quests!$1:$1,0)-MATCH($A$1,[2]quests!$1:$1,0)+1),MATCH(B$1,[2]quests!$1:$1,0)-MATCH($A$1,[2]quests!$1:$1,0)+1,FALSE)</f>
        <v>アザゼル襲来！</v>
      </c>
      <c r="C29" s="64" t="str">
        <f ca="1">VLOOKUP($A29,OFFSET([2]quests!$A$1,0,0,COUNTA([2]quests!$A:$A),MATCH(C$1,[2]quests!$1:$1,0)-MATCH($A$1,[2]quests!$1:$1,0)+1),MATCH(C$1,[2]quests!$1:$1,0)-MATCH($A$1,[2]quests!$1:$1,0)+1,FALSE)</f>
        <v>降臨1</v>
      </c>
      <c r="D29" s="94">
        <v>6</v>
      </c>
      <c r="E29" s="95">
        <v>10</v>
      </c>
      <c r="F29" s="73" t="str">
        <f t="shared" si="0"/>
        <v>410020010</v>
      </c>
      <c r="G29" t="str">
        <f>F29&amp;TEXT(COUNTIF(F$2:F29,F29),"00")</f>
        <v>41002001003</v>
      </c>
      <c r="H29" s="75" t="s">
        <v>164</v>
      </c>
      <c r="I29" s="75">
        <v>338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1</v>
      </c>
      <c r="Q29" s="75">
        <v>1</v>
      </c>
      <c r="R29" s="75" t="s">
        <v>138</v>
      </c>
      <c r="S29" s="75" t="s">
        <v>181</v>
      </c>
      <c r="T29" s="75" t="s">
        <v>158</v>
      </c>
      <c r="U29" s="76" t="s">
        <v>159</v>
      </c>
    </row>
    <row r="30" spans="1:21" ht="28" x14ac:dyDescent="0.15">
      <c r="A30" s="63">
        <f>score_attack_expanded_floors!$C$2</f>
        <v>41002</v>
      </c>
      <c r="B30" s="64" t="str">
        <f ca="1">VLOOKUP($A30,OFFSET([2]quests!$A$1,0,0,COUNTA([2]quests!$A:$A),MATCH(B$1,[2]quests!$1:$1,0)-MATCH($A$1,[2]quests!$1:$1,0)+1),MATCH(B$1,[2]quests!$1:$1,0)-MATCH($A$1,[2]quests!$1:$1,0)+1,FALSE)</f>
        <v>アザゼル襲来！</v>
      </c>
      <c r="C30" s="64" t="str">
        <f ca="1">VLOOKUP($A30,OFFSET([2]quests!$A$1,0,0,COUNTA([2]quests!$A:$A),MATCH(C$1,[2]quests!$1:$1,0)-MATCH($A$1,[2]quests!$1:$1,0)+1),MATCH(C$1,[2]quests!$1:$1,0)-MATCH($A$1,[2]quests!$1:$1,0)+1,FALSE)</f>
        <v>降臨1</v>
      </c>
      <c r="D30" s="94">
        <v>6</v>
      </c>
      <c r="E30" s="95">
        <v>10</v>
      </c>
      <c r="F30" s="73" t="str">
        <f t="shared" si="0"/>
        <v>410020010</v>
      </c>
      <c r="G30" t="str">
        <f>F30&amp;TEXT(COUNTIF(F$2:F30,F30),"00")</f>
        <v>41002001004</v>
      </c>
      <c r="H30" s="75" t="s">
        <v>164</v>
      </c>
      <c r="I30" s="75">
        <v>342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</v>
      </c>
      <c r="Q30" s="75">
        <v>1</v>
      </c>
      <c r="R30" s="75" t="s">
        <v>138</v>
      </c>
      <c r="S30" s="75" t="s">
        <v>182</v>
      </c>
      <c r="T30" s="75" t="s">
        <v>158</v>
      </c>
      <c r="U30" s="76" t="s">
        <v>159</v>
      </c>
    </row>
    <row r="31" spans="1:21" ht="28" x14ac:dyDescent="0.15">
      <c r="A31" s="63">
        <f>score_attack_expanded_floors!$C$2</f>
        <v>41002</v>
      </c>
      <c r="B31" s="64" t="str">
        <f ca="1">VLOOKUP($A31,OFFSET([2]quests!$A$1,0,0,COUNTA([2]quests!$A:$A),MATCH(B$1,[2]quests!$1:$1,0)-MATCH($A$1,[2]quests!$1:$1,0)+1),MATCH(B$1,[2]quests!$1:$1,0)-MATCH($A$1,[2]quests!$1:$1,0)+1,FALSE)</f>
        <v>アザゼル襲来！</v>
      </c>
      <c r="C31" s="64" t="str">
        <f ca="1">VLOOKUP($A31,OFFSET([2]quests!$A$1,0,0,COUNTA([2]quests!$A:$A),MATCH(C$1,[2]quests!$1:$1,0)-MATCH($A$1,[2]quests!$1:$1,0)+1),MATCH(C$1,[2]quests!$1:$1,0)-MATCH($A$1,[2]quests!$1:$1,0)+1,FALSE)</f>
        <v>降臨1</v>
      </c>
      <c r="D31" s="94">
        <v>6</v>
      </c>
      <c r="E31" s="95">
        <v>10</v>
      </c>
      <c r="F31" s="73" t="str">
        <f t="shared" si="0"/>
        <v>410020010</v>
      </c>
      <c r="G31" t="str">
        <f>F31&amp;TEXT(COUNTIF(F$2:F31,F31),"00")</f>
        <v>41002001005</v>
      </c>
      <c r="H31" s="75" t="s">
        <v>164</v>
      </c>
      <c r="I31" s="75">
        <v>346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</v>
      </c>
      <c r="Q31" s="75">
        <v>1</v>
      </c>
      <c r="R31" s="75" t="s">
        <v>138</v>
      </c>
      <c r="S31" s="75" t="s">
        <v>183</v>
      </c>
      <c r="T31" s="75" t="s">
        <v>158</v>
      </c>
      <c r="U31" s="76" t="s">
        <v>159</v>
      </c>
    </row>
    <row r="32" spans="1:21" ht="28" x14ac:dyDescent="0.15">
      <c r="A32" s="63">
        <f>score_attack_expanded_floors!$C$2</f>
        <v>41002</v>
      </c>
      <c r="B32" s="64" t="str">
        <f ca="1">VLOOKUP($A32,OFFSET([2]quests!$A$1,0,0,COUNTA([2]quests!$A:$A),MATCH(B$1,[2]quests!$1:$1,0)-MATCH($A$1,[2]quests!$1:$1,0)+1),MATCH(B$1,[2]quests!$1:$1,0)-MATCH($A$1,[2]quests!$1:$1,0)+1,FALSE)</f>
        <v>アザゼル襲来！</v>
      </c>
      <c r="C32" s="64" t="str">
        <f ca="1">VLOOKUP($A32,OFFSET([2]quests!$A$1,0,0,COUNTA([2]quests!$A:$A),MATCH(C$1,[2]quests!$1:$1,0)-MATCH($A$1,[2]quests!$1:$1,0)+1),MATCH(C$1,[2]quests!$1:$1,0)-MATCH($A$1,[2]quests!$1:$1,0)+1,FALSE)</f>
        <v>降臨1</v>
      </c>
      <c r="D32" s="94">
        <v>6</v>
      </c>
      <c r="E32" s="95">
        <v>10</v>
      </c>
      <c r="F32" s="73" t="str">
        <f t="shared" si="0"/>
        <v>410020010</v>
      </c>
      <c r="G32" t="str">
        <f>F32&amp;TEXT(COUNTIF(F$2:F32,F32),"00")</f>
        <v>41002001006</v>
      </c>
      <c r="H32" s="75" t="s">
        <v>161</v>
      </c>
      <c r="I32" s="75">
        <v>3</v>
      </c>
      <c r="J32" s="75" t="s">
        <v>162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</v>
      </c>
      <c r="Q32" s="75">
        <v>1</v>
      </c>
      <c r="R32" s="75" t="s">
        <v>138</v>
      </c>
      <c r="S32" s="75" t="s">
        <v>184</v>
      </c>
      <c r="T32" s="75" t="s">
        <v>158</v>
      </c>
      <c r="U32" s="76" t="s">
        <v>159</v>
      </c>
    </row>
    <row r="33" spans="1:21" ht="28" x14ac:dyDescent="0.15">
      <c r="A33" s="63">
        <f>score_attack_expanded_floors!$C$2</f>
        <v>41002</v>
      </c>
      <c r="B33" s="64" t="str">
        <f ca="1">VLOOKUP($A33,OFFSET([2]quests!$A$1,0,0,COUNTA([2]quests!$A:$A),MATCH(B$1,[2]quests!$1:$1,0)-MATCH($A$1,[2]quests!$1:$1,0)+1),MATCH(B$1,[2]quests!$1:$1,0)-MATCH($A$1,[2]quests!$1:$1,0)+1,FALSE)</f>
        <v>アザゼル襲来！</v>
      </c>
      <c r="C33" s="64" t="str">
        <f ca="1">VLOOKUP($A33,OFFSET([2]quests!$A$1,0,0,COUNTA([2]quests!$A:$A),MATCH(C$1,[2]quests!$1:$1,0)-MATCH($A$1,[2]quests!$1:$1,0)+1),MATCH(C$1,[2]quests!$1:$1,0)-MATCH($A$1,[2]quests!$1:$1,0)+1,FALSE)</f>
        <v>降臨1</v>
      </c>
      <c r="D33" s="94">
        <v>6</v>
      </c>
      <c r="E33" s="95">
        <v>10</v>
      </c>
      <c r="F33" s="73" t="str">
        <f t="shared" si="0"/>
        <v>410020010</v>
      </c>
      <c r="G33" t="str">
        <f>F33&amp;TEXT(COUNTIF(F$2:F33,F33),"00")</f>
        <v>41002001007</v>
      </c>
      <c r="H33" s="75" t="s">
        <v>178</v>
      </c>
      <c r="I33" s="75">
        <v>2000</v>
      </c>
      <c r="J33" s="75" t="s">
        <v>162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</v>
      </c>
      <c r="Q33" s="75">
        <v>1</v>
      </c>
      <c r="R33" s="75" t="s">
        <v>138</v>
      </c>
      <c r="S33" s="75" t="s">
        <v>179</v>
      </c>
      <c r="T33" s="75" t="s">
        <v>158</v>
      </c>
      <c r="U33" s="76" t="s">
        <v>159</v>
      </c>
    </row>
    <row r="34" spans="1:21" ht="28" x14ac:dyDescent="0.15">
      <c r="A34" s="63">
        <f>score_attack_expanded_floors!$C$2</f>
        <v>41002</v>
      </c>
      <c r="B34" s="64" t="str">
        <f ca="1">VLOOKUP($A34,OFFSET([2]quests!$A$1,0,0,COUNTA([2]quests!$A:$A),MATCH(B$1,[2]quests!$1:$1,0)-MATCH($A$1,[2]quests!$1:$1,0)+1),MATCH(B$1,[2]quests!$1:$1,0)-MATCH($A$1,[2]quests!$1:$1,0)+1,FALSE)</f>
        <v>アザゼル襲来！</v>
      </c>
      <c r="C34" s="64" t="str">
        <f ca="1">VLOOKUP($A34,OFFSET([2]quests!$A$1,0,0,COUNTA([2]quests!$A:$A),MATCH(C$1,[2]quests!$1:$1,0)-MATCH($A$1,[2]quests!$1:$1,0)+1),MATCH(C$1,[2]quests!$1:$1,0)-MATCH($A$1,[2]quests!$1:$1,0)+1,FALSE)</f>
        <v>降臨1</v>
      </c>
      <c r="D34" s="94">
        <v>11</v>
      </c>
      <c r="E34" s="95">
        <v>25</v>
      </c>
      <c r="F34" s="73" t="str">
        <f t="shared" si="0"/>
        <v>410020025</v>
      </c>
      <c r="G34" t="str">
        <f>F34&amp;TEXT(COUNTIF(F$2:F34,F34),"00")</f>
        <v>41002002501</v>
      </c>
      <c r="H34" s="75" t="s">
        <v>161</v>
      </c>
      <c r="I34" s="75">
        <v>3</v>
      </c>
      <c r="J34" s="75" t="s">
        <v>162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</v>
      </c>
      <c r="Q34" s="75">
        <v>1</v>
      </c>
      <c r="R34" s="75" t="s">
        <v>138</v>
      </c>
      <c r="S34" s="75" t="s">
        <v>184</v>
      </c>
      <c r="T34" s="75" t="s">
        <v>158</v>
      </c>
      <c r="U34" s="76" t="s">
        <v>159</v>
      </c>
    </row>
    <row r="35" spans="1:21" ht="28" x14ac:dyDescent="0.15">
      <c r="A35" s="63">
        <f>score_attack_expanded_floors!$C$2</f>
        <v>41002</v>
      </c>
      <c r="B35" s="64" t="str">
        <f ca="1">VLOOKUP($A35,OFFSET([2]quests!$A$1,0,0,COUNTA([2]quests!$A:$A),MATCH(B$1,[2]quests!$1:$1,0)-MATCH($A$1,[2]quests!$1:$1,0)+1),MATCH(B$1,[2]quests!$1:$1,0)-MATCH($A$1,[2]quests!$1:$1,0)+1,FALSE)</f>
        <v>アザゼル襲来！</v>
      </c>
      <c r="C35" s="64" t="str">
        <f ca="1">VLOOKUP($A35,OFFSET([2]quests!$A$1,0,0,COUNTA([2]quests!$A:$A),MATCH(C$1,[2]quests!$1:$1,0)-MATCH($A$1,[2]quests!$1:$1,0)+1),MATCH(C$1,[2]quests!$1:$1,0)-MATCH($A$1,[2]quests!$1:$1,0)+1,FALSE)</f>
        <v>降臨1</v>
      </c>
      <c r="D35" s="94">
        <v>11</v>
      </c>
      <c r="E35" s="95">
        <v>25</v>
      </c>
      <c r="F35" s="73" t="str">
        <f t="shared" si="0"/>
        <v>410020025</v>
      </c>
      <c r="G35" t="str">
        <f>F35&amp;TEXT(COUNTIF(F$2:F35,F35),"00")</f>
        <v>41002002502</v>
      </c>
      <c r="H35" s="75" t="s">
        <v>178</v>
      </c>
      <c r="I35" s="75">
        <v>2000</v>
      </c>
      <c r="J35" s="75" t="s">
        <v>162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1</v>
      </c>
      <c r="Q35" s="75">
        <v>1</v>
      </c>
      <c r="R35" s="75" t="s">
        <v>138</v>
      </c>
      <c r="S35" s="75" t="s">
        <v>179</v>
      </c>
      <c r="T35" s="75" t="s">
        <v>158</v>
      </c>
      <c r="U35" s="76" t="s">
        <v>159</v>
      </c>
    </row>
    <row r="36" spans="1:21" ht="28" x14ac:dyDescent="0.15">
      <c r="A36" s="63">
        <f>score_attack_expanded_floors!$C$2</f>
        <v>41002</v>
      </c>
      <c r="B36" s="64" t="str">
        <f ca="1">VLOOKUP($A36,OFFSET([2]quests!$A$1,0,0,COUNTA([2]quests!$A:$A),MATCH(B$1,[2]quests!$1:$1,0)-MATCH($A$1,[2]quests!$1:$1,0)+1),MATCH(B$1,[2]quests!$1:$1,0)-MATCH($A$1,[2]quests!$1:$1,0)+1,FALSE)</f>
        <v>アザゼル襲来！</v>
      </c>
      <c r="C36" s="64" t="str">
        <f ca="1">VLOOKUP($A36,OFFSET([2]quests!$A$1,0,0,COUNTA([2]quests!$A:$A),MATCH(C$1,[2]quests!$1:$1,0)-MATCH($A$1,[2]quests!$1:$1,0)+1),MATCH(C$1,[2]quests!$1:$1,0)-MATCH($A$1,[2]quests!$1:$1,0)+1,FALSE)</f>
        <v>降臨1</v>
      </c>
      <c r="D36" s="94">
        <v>11</v>
      </c>
      <c r="E36" s="95">
        <v>25</v>
      </c>
      <c r="F36" s="73" t="str">
        <f t="shared" si="0"/>
        <v>410020025</v>
      </c>
      <c r="G36" t="str">
        <f>F36&amp;TEXT(COUNTIF(F$2:F36,F36),"00")</f>
        <v>41002002503</v>
      </c>
      <c r="H36" s="75" t="s">
        <v>63</v>
      </c>
      <c r="I36" s="75">
        <v>200000</v>
      </c>
      <c r="J36" s="75" t="s">
        <v>162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1</v>
      </c>
      <c r="Q36" s="75">
        <v>1</v>
      </c>
      <c r="R36" s="75" t="s">
        <v>138</v>
      </c>
      <c r="S36" s="75" t="s">
        <v>185</v>
      </c>
      <c r="T36" s="75" t="s">
        <v>158</v>
      </c>
      <c r="U36" s="76" t="s">
        <v>159</v>
      </c>
    </row>
    <row r="37" spans="1:21" ht="28" x14ac:dyDescent="0.15">
      <c r="A37" s="63">
        <f>score_attack_expanded_floors!$C$2</f>
        <v>41002</v>
      </c>
      <c r="B37" s="64" t="str">
        <f ca="1">VLOOKUP($A37,OFFSET([2]quests!$A$1,0,0,COUNTA([2]quests!$A:$A),MATCH(B$1,[2]quests!$1:$1,0)-MATCH($A$1,[2]quests!$1:$1,0)+1),MATCH(B$1,[2]quests!$1:$1,0)-MATCH($A$1,[2]quests!$1:$1,0)+1,FALSE)</f>
        <v>アザゼル襲来！</v>
      </c>
      <c r="C37" s="64" t="str">
        <f ca="1">VLOOKUP($A37,OFFSET([2]quests!$A$1,0,0,COUNTA([2]quests!$A:$A),MATCH(C$1,[2]quests!$1:$1,0)-MATCH($A$1,[2]quests!$1:$1,0)+1),MATCH(C$1,[2]quests!$1:$1,0)-MATCH($A$1,[2]quests!$1:$1,0)+1,FALSE)</f>
        <v>降臨1</v>
      </c>
      <c r="D37" s="94">
        <v>26</v>
      </c>
      <c r="E37" s="95">
        <v>35</v>
      </c>
      <c r="F37" s="73" t="str">
        <f t="shared" si="0"/>
        <v>410020035</v>
      </c>
      <c r="G37" t="str">
        <f>F37&amp;TEXT(COUNTIF(F$2:F37,F37),"00")</f>
        <v>41002003501</v>
      </c>
      <c r="H37" s="75" t="s">
        <v>161</v>
      </c>
      <c r="I37" s="75">
        <v>2</v>
      </c>
      <c r="J37" s="75" t="s">
        <v>162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1</v>
      </c>
      <c r="Q37" s="75">
        <v>1</v>
      </c>
      <c r="R37" s="75" t="s">
        <v>138</v>
      </c>
      <c r="S37" s="75" t="s">
        <v>186</v>
      </c>
      <c r="T37" s="75" t="s">
        <v>158</v>
      </c>
      <c r="U37" s="76" t="s">
        <v>159</v>
      </c>
    </row>
    <row r="38" spans="1:21" ht="28" x14ac:dyDescent="0.15">
      <c r="A38" s="63">
        <f>score_attack_expanded_floors!$C$2</f>
        <v>41002</v>
      </c>
      <c r="B38" s="64" t="str">
        <f ca="1">VLOOKUP($A38,OFFSET([2]quests!$A$1,0,0,COUNTA([2]quests!$A:$A),MATCH(B$1,[2]quests!$1:$1,0)-MATCH($A$1,[2]quests!$1:$1,0)+1),MATCH(B$1,[2]quests!$1:$1,0)-MATCH($A$1,[2]quests!$1:$1,0)+1,FALSE)</f>
        <v>アザゼル襲来！</v>
      </c>
      <c r="C38" s="64" t="str">
        <f ca="1">VLOOKUP($A38,OFFSET([2]quests!$A$1,0,0,COUNTA([2]quests!$A:$A),MATCH(C$1,[2]quests!$1:$1,0)-MATCH($A$1,[2]quests!$1:$1,0)+1),MATCH(C$1,[2]quests!$1:$1,0)-MATCH($A$1,[2]quests!$1:$1,0)+1,FALSE)</f>
        <v>降臨1</v>
      </c>
      <c r="D38" s="94">
        <v>26</v>
      </c>
      <c r="E38" s="95">
        <v>35</v>
      </c>
      <c r="F38" s="73" t="str">
        <f t="shared" si="0"/>
        <v>410020035</v>
      </c>
      <c r="G38" t="str">
        <f>F38&amp;TEXT(COUNTIF(F$2:F38,F38),"00")</f>
        <v>41002003502</v>
      </c>
      <c r="H38" s="75" t="s">
        <v>178</v>
      </c>
      <c r="I38" s="75">
        <v>1000</v>
      </c>
      <c r="J38" s="75" t="s">
        <v>162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1</v>
      </c>
      <c r="Q38" s="75">
        <v>1</v>
      </c>
      <c r="R38" s="75" t="s">
        <v>138</v>
      </c>
      <c r="S38" s="75" t="s">
        <v>187</v>
      </c>
      <c r="T38" s="75" t="s">
        <v>158</v>
      </c>
      <c r="U38" s="76" t="s">
        <v>159</v>
      </c>
    </row>
    <row r="39" spans="1:21" ht="28" x14ac:dyDescent="0.15">
      <c r="A39" s="63">
        <f>score_attack_expanded_floors!$C$2</f>
        <v>41002</v>
      </c>
      <c r="B39" s="64" t="str">
        <f ca="1">VLOOKUP($A39,OFFSET([2]quests!$A$1,0,0,COUNTA([2]quests!$A:$A),MATCH(B$1,[2]quests!$1:$1,0)-MATCH($A$1,[2]quests!$1:$1,0)+1),MATCH(B$1,[2]quests!$1:$1,0)-MATCH($A$1,[2]quests!$1:$1,0)+1,FALSE)</f>
        <v>アザゼル襲来！</v>
      </c>
      <c r="C39" s="64" t="str">
        <f ca="1">VLOOKUP($A39,OFFSET([2]quests!$A$1,0,0,COUNTA([2]quests!$A:$A),MATCH(C$1,[2]quests!$1:$1,0)-MATCH($A$1,[2]quests!$1:$1,0)+1),MATCH(C$1,[2]quests!$1:$1,0)-MATCH($A$1,[2]quests!$1:$1,0)+1,FALSE)</f>
        <v>降臨1</v>
      </c>
      <c r="D39" s="94">
        <v>26</v>
      </c>
      <c r="E39" s="95">
        <v>35</v>
      </c>
      <c r="F39" s="73" t="str">
        <f t="shared" si="0"/>
        <v>410020035</v>
      </c>
      <c r="G39" t="str">
        <f>F39&amp;TEXT(COUNTIF(F$2:F39,F39),"00")</f>
        <v>41002003503</v>
      </c>
      <c r="H39" s="75" t="s">
        <v>63</v>
      </c>
      <c r="I39" s="75">
        <v>150000</v>
      </c>
      <c r="J39" s="75" t="s">
        <v>162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1</v>
      </c>
      <c r="Q39" s="75">
        <v>1</v>
      </c>
      <c r="R39" s="75" t="s">
        <v>138</v>
      </c>
      <c r="S39" s="75" t="s">
        <v>188</v>
      </c>
      <c r="T39" s="75" t="s">
        <v>158</v>
      </c>
      <c r="U39" s="76" t="s">
        <v>159</v>
      </c>
    </row>
    <row r="40" spans="1:21" ht="28" x14ac:dyDescent="0.15">
      <c r="A40" s="63">
        <f>score_attack_expanded_floors!$C$2</f>
        <v>41002</v>
      </c>
      <c r="B40" s="64" t="str">
        <f ca="1">VLOOKUP($A40,OFFSET([2]quests!$A$1,0,0,COUNTA([2]quests!$A:$A),MATCH(B$1,[2]quests!$1:$1,0)-MATCH($A$1,[2]quests!$1:$1,0)+1),MATCH(B$1,[2]quests!$1:$1,0)-MATCH($A$1,[2]quests!$1:$1,0)+1,FALSE)</f>
        <v>アザゼル襲来！</v>
      </c>
      <c r="C40" s="64" t="str">
        <f ca="1">VLOOKUP($A40,OFFSET([2]quests!$A$1,0,0,COUNTA([2]quests!$A:$A),MATCH(C$1,[2]quests!$1:$1,0)-MATCH($A$1,[2]quests!$1:$1,0)+1),MATCH(C$1,[2]quests!$1:$1,0)-MATCH($A$1,[2]quests!$1:$1,0)+1,FALSE)</f>
        <v>降臨1</v>
      </c>
      <c r="D40" s="94">
        <v>36</v>
      </c>
      <c r="E40" s="95">
        <v>1000</v>
      </c>
      <c r="F40" s="73" t="str">
        <f t="shared" si="0"/>
        <v>410021000</v>
      </c>
      <c r="G40" t="str">
        <f>F40&amp;TEXT(COUNTIF(F$2:F40,F40),"00")</f>
        <v>41002100001</v>
      </c>
      <c r="H40" s="75" t="s">
        <v>161</v>
      </c>
      <c r="I40" s="75">
        <v>1</v>
      </c>
      <c r="J40" s="75" t="s">
        <v>162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1</v>
      </c>
      <c r="Q40" s="75">
        <v>1</v>
      </c>
      <c r="R40" s="75" t="s">
        <v>138</v>
      </c>
      <c r="S40" s="75" t="s">
        <v>189</v>
      </c>
      <c r="T40" s="75" t="s">
        <v>158</v>
      </c>
      <c r="U40" s="76" t="s">
        <v>159</v>
      </c>
    </row>
    <row r="41" spans="1:21" ht="28" x14ac:dyDescent="0.15">
      <c r="A41" s="63">
        <f>score_attack_expanded_floors!$C$2</f>
        <v>41002</v>
      </c>
      <c r="B41" s="64" t="str">
        <f ca="1">VLOOKUP($A41,OFFSET([2]quests!$A$1,0,0,COUNTA([2]quests!$A:$A),MATCH(B$1,[2]quests!$1:$1,0)-MATCH($A$1,[2]quests!$1:$1,0)+1),MATCH(B$1,[2]quests!$1:$1,0)-MATCH($A$1,[2]quests!$1:$1,0)+1,FALSE)</f>
        <v>アザゼル襲来！</v>
      </c>
      <c r="C41" s="64" t="str">
        <f ca="1">VLOOKUP($A41,OFFSET([2]quests!$A$1,0,0,COUNTA([2]quests!$A:$A),MATCH(C$1,[2]quests!$1:$1,0)-MATCH($A$1,[2]quests!$1:$1,0)+1),MATCH(C$1,[2]quests!$1:$1,0)-MATCH($A$1,[2]quests!$1:$1,0)+1,FALSE)</f>
        <v>降臨1</v>
      </c>
      <c r="D41" s="94">
        <v>36</v>
      </c>
      <c r="E41" s="95">
        <v>1000</v>
      </c>
      <c r="F41" s="73" t="str">
        <f t="shared" si="0"/>
        <v>410021000</v>
      </c>
      <c r="G41" t="str">
        <f>F41&amp;TEXT(COUNTIF(F$2:F41,F41),"00")</f>
        <v>41002100002</v>
      </c>
      <c r="H41" s="75" t="s">
        <v>178</v>
      </c>
      <c r="I41" s="75">
        <v>1000</v>
      </c>
      <c r="J41" s="75" t="s">
        <v>162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</v>
      </c>
      <c r="Q41" s="75">
        <v>1</v>
      </c>
      <c r="R41" s="75" t="s">
        <v>138</v>
      </c>
      <c r="S41" s="75" t="s">
        <v>187</v>
      </c>
      <c r="T41" s="75" t="s">
        <v>158</v>
      </c>
      <c r="U41" s="76" t="s">
        <v>159</v>
      </c>
    </row>
    <row r="42" spans="1:21" ht="28" x14ac:dyDescent="0.15">
      <c r="A42" s="63">
        <f>score_attack_expanded_floors!$C$2</f>
        <v>41002</v>
      </c>
      <c r="B42" s="64" t="str">
        <f ca="1">VLOOKUP($A42,OFFSET([2]quests!$A$1,0,0,COUNTA([2]quests!$A:$A),MATCH(B$1,[2]quests!$1:$1,0)-MATCH($A$1,[2]quests!$1:$1,0)+1),MATCH(B$1,[2]quests!$1:$1,0)-MATCH($A$1,[2]quests!$1:$1,0)+1,FALSE)</f>
        <v>アザゼル襲来！</v>
      </c>
      <c r="C42" s="64" t="str">
        <f ca="1">VLOOKUP($A42,OFFSET([2]quests!$A$1,0,0,COUNTA([2]quests!$A:$A),MATCH(C$1,[2]quests!$1:$1,0)-MATCH($A$1,[2]quests!$1:$1,0)+1),MATCH(C$1,[2]quests!$1:$1,0)-MATCH($A$1,[2]quests!$1:$1,0)+1,FALSE)</f>
        <v>降臨1</v>
      </c>
      <c r="D42" s="94">
        <v>36</v>
      </c>
      <c r="E42" s="95">
        <v>1000</v>
      </c>
      <c r="F42" s="73" t="str">
        <f t="shared" si="0"/>
        <v>410021000</v>
      </c>
      <c r="G42" t="str">
        <f>F42&amp;TEXT(COUNTIF(F$2:F42,F42),"00")</f>
        <v>41002100003</v>
      </c>
      <c r="H42" s="75" t="s">
        <v>63</v>
      </c>
      <c r="I42" s="75">
        <v>100000</v>
      </c>
      <c r="J42" s="75" t="s">
        <v>162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1</v>
      </c>
      <c r="Q42" s="75">
        <v>1</v>
      </c>
      <c r="R42" s="75" t="s">
        <v>138</v>
      </c>
      <c r="S42" s="75" t="s">
        <v>190</v>
      </c>
      <c r="T42" s="75" t="s">
        <v>158</v>
      </c>
      <c r="U42" s="76" t="s">
        <v>159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J4"/>
  <sheetViews>
    <sheetView workbookViewId="0">
      <selection activeCell="H9" sqref="H9"/>
    </sheetView>
  </sheetViews>
  <sheetFormatPr baseColWidth="12" defaultRowHeight="15" x14ac:dyDescent="0.15"/>
  <cols>
    <col min="1" max="1" width="27.1640625" bestFit="1" customWidth="1"/>
  </cols>
  <sheetData>
    <row r="1" spans="1:10" x14ac:dyDescent="0.15">
      <c r="A1" s="113" t="s">
        <v>215</v>
      </c>
      <c r="B1" s="113" t="s">
        <v>0</v>
      </c>
      <c r="C1" s="113" t="s">
        <v>1</v>
      </c>
      <c r="D1" s="113" t="s">
        <v>216</v>
      </c>
      <c r="E1" s="113" t="s">
        <v>217</v>
      </c>
      <c r="F1" s="113" t="s">
        <v>218</v>
      </c>
      <c r="G1" s="113" t="s">
        <v>219</v>
      </c>
      <c r="H1" s="113" t="s">
        <v>220</v>
      </c>
      <c r="I1" s="113" t="s">
        <v>221</v>
      </c>
      <c r="J1" s="177" t="s">
        <v>493</v>
      </c>
    </row>
    <row r="2" spans="1:10" ht="26" customHeight="1" x14ac:dyDescent="0.15">
      <c r="A2" s="114">
        <v>200</v>
      </c>
      <c r="B2" s="114">
        <f>output!C2</f>
        <v>41002</v>
      </c>
      <c r="C2" s="114">
        <v>4</v>
      </c>
      <c r="D2" s="114" t="s">
        <v>507</v>
      </c>
      <c r="E2" s="114" t="s">
        <v>508</v>
      </c>
      <c r="F2" s="114" t="s">
        <v>222</v>
      </c>
      <c r="G2" s="114">
        <v>0.08</v>
      </c>
      <c r="H2" s="115">
        <v>36526</v>
      </c>
      <c r="I2" s="115">
        <v>371454</v>
      </c>
    </row>
    <row r="3" spans="1:10" ht="26" customHeight="1" x14ac:dyDescent="0.15">
      <c r="A3" s="114">
        <v>201</v>
      </c>
      <c r="B3" s="114">
        <f>$B$2</f>
        <v>41002</v>
      </c>
      <c r="C3" s="114">
        <v>4</v>
      </c>
      <c r="D3" s="114" t="s">
        <v>505</v>
      </c>
      <c r="E3" s="114" t="s">
        <v>503</v>
      </c>
      <c r="F3" s="114" t="s">
        <v>222</v>
      </c>
      <c r="G3" s="114">
        <v>0.04</v>
      </c>
      <c r="H3" s="115">
        <v>36526</v>
      </c>
      <c r="I3" s="115">
        <v>371454</v>
      </c>
    </row>
    <row r="4" spans="1:10" ht="26" customHeight="1" x14ac:dyDescent="0.15">
      <c r="A4" s="114">
        <v>202</v>
      </c>
      <c r="B4" s="114">
        <f>$B$2</f>
        <v>41002</v>
      </c>
      <c r="C4" s="114">
        <v>4</v>
      </c>
      <c r="D4" s="114" t="s">
        <v>506</v>
      </c>
      <c r="E4" s="114" t="s">
        <v>504</v>
      </c>
      <c r="F4" s="114" t="s">
        <v>222</v>
      </c>
      <c r="G4" s="114">
        <v>0.04</v>
      </c>
      <c r="H4" s="115">
        <v>36526</v>
      </c>
      <c r="I4" s="115">
        <v>371454</v>
      </c>
    </row>
  </sheetData>
  <phoneticPr fontId="11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D2" sqref="D2"/>
      <selection pane="bottomLeft" activeCell="L14" sqref="L14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361</v>
      </c>
      <c r="B1" s="14" t="s">
        <v>362</v>
      </c>
      <c r="C1" s="153" t="s">
        <v>0</v>
      </c>
      <c r="D1" s="13" t="s">
        <v>363</v>
      </c>
      <c r="E1" s="13" t="s">
        <v>20</v>
      </c>
      <c r="F1" s="153" t="s">
        <v>1</v>
      </c>
      <c r="G1" s="20" t="s">
        <v>364</v>
      </c>
      <c r="H1" s="13" t="s">
        <v>363</v>
      </c>
      <c r="I1" s="153" t="s">
        <v>12</v>
      </c>
      <c r="J1" s="153" t="s">
        <v>13</v>
      </c>
      <c r="K1" s="153" t="s">
        <v>14</v>
      </c>
    </row>
    <row r="2" spans="1:11" ht="21" customHeight="1" x14ac:dyDescent="0.15">
      <c r="A2" s="14" t="str">
        <f>G2&amp;"-"&amp;I2</f>
        <v>41002_4-1</v>
      </c>
      <c r="B2" s="14" t="str">
        <f>IF(COUNTIF(enemy_habitats!$H:$H,A2),"OK","NG")</f>
        <v>OK</v>
      </c>
      <c r="C2" s="131">
        <f>output!C2</f>
        <v>41002</v>
      </c>
      <c r="D2" s="16" t="str">
        <f ca="1">VLOOKUP($C2,OFFSET([2]quests!$A$1,0,0,COUNTA([2]quests!$A:$A),MATCH(D$1,[2]quests!$1:$1,0)-MATCH($C$1,[2]quests!$1:$1,0)+1),MATCH(D$1,[2]quests!$1:$1,0)-MATCH($C$1,[2]quests!$1:$1,0)+1,FALSE)</f>
        <v>アザゼル襲来！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降臨1</v>
      </c>
      <c r="F2" s="96">
        <v>4</v>
      </c>
      <c r="G2" s="20" t="str">
        <f>C2&amp;"_"&amp;F2</f>
        <v>41002_4</v>
      </c>
      <c r="H2" s="13" t="str">
        <f ca="1">VLOOKUP($G2,OFFSET([2]stages!$A$1,0,0,COUNTA([2]stages!$A:$A),MATCH(H$1,[2]stages!$2:$2,0)-MATCH($G$1,[2]stages!$2:$2,0)+1),MATCH(H$1,[2]stages!$2:$2,0)-MATCH($G$1,[2]stages!$2:$2,0)+1,FALSE)</f>
        <v>【スコアアタック】アザゼル襲来</v>
      </c>
      <c r="I2" s="96">
        <v>1</v>
      </c>
      <c r="J2" s="32">
        <v>60</v>
      </c>
      <c r="K2" s="32">
        <v>60</v>
      </c>
    </row>
    <row r="3" spans="1:11" ht="21" customHeight="1" x14ac:dyDescent="0.15">
      <c r="A3" s="14" t="str">
        <f>G3&amp;"-"&amp;I3</f>
        <v>41002_4-2</v>
      </c>
      <c r="B3" s="14" t="str">
        <f>IF(COUNTIF(enemy_habitats!$H:$H,A3),"OK","NG")</f>
        <v>OK</v>
      </c>
      <c r="C3" s="131">
        <f>$C$2</f>
        <v>41002</v>
      </c>
      <c r="D3" s="16" t="str">
        <f ca="1">VLOOKUP($C3,OFFSET([2]quests!$A$1,0,0,COUNTA([2]quests!$A:$A),MATCH(D$1,[2]quests!$1:$1,0)-MATCH($C$1,[2]quests!$1:$1,0)+1),MATCH(D$1,[2]quests!$1:$1,0)-MATCH($C$1,[2]quests!$1:$1,0)+1,FALSE)</f>
        <v>アザゼル襲来！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降臨1</v>
      </c>
      <c r="F3" s="96">
        <v>4</v>
      </c>
      <c r="G3" s="20" t="str">
        <f>C3&amp;"_"&amp;F3</f>
        <v>41002_4</v>
      </c>
      <c r="H3" s="13" t="str">
        <f ca="1">VLOOKUP($G3,OFFSET([2]stages!$A$1,0,0,COUNTA([2]stages!$A:$A),MATCH(H$1,[2]stages!$2:$2,0)-MATCH($G$1,[2]stages!$2:$2,0)+1),MATCH(H$1,[2]stages!$2:$2,0)-MATCH($G$1,[2]stages!$2:$2,0)+1,FALSE)</f>
        <v>【スコアアタック】アザゼル襲来</v>
      </c>
      <c r="I3" s="96">
        <v>2</v>
      </c>
      <c r="J3" s="32">
        <v>60</v>
      </c>
      <c r="K3" s="32">
        <v>60</v>
      </c>
    </row>
    <row r="4" spans="1:11" ht="21" customHeight="1" x14ac:dyDescent="0.15">
      <c r="A4" s="14" t="str">
        <f>G4&amp;"-"&amp;I4</f>
        <v>41002_4-3</v>
      </c>
      <c r="B4" s="14" t="str">
        <f>IF(COUNTIF(enemy_habitats!$H:$H,A4),"OK","NG")</f>
        <v>OK</v>
      </c>
      <c r="C4" s="131">
        <f>$C$2</f>
        <v>41002</v>
      </c>
      <c r="D4" s="16" t="str">
        <f ca="1">VLOOKUP($C4,OFFSET([2]quests!$A$1,0,0,COUNTA([2]quests!$A:$A),MATCH(D$1,[2]quests!$1:$1,0)-MATCH($C$1,[2]quests!$1:$1,0)+1),MATCH(D$1,[2]quests!$1:$1,0)-MATCH($C$1,[2]quests!$1:$1,0)+1,FALSE)</f>
        <v>アザゼル襲来！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降臨1</v>
      </c>
      <c r="F4" s="96">
        <v>4</v>
      </c>
      <c r="G4" s="20" t="str">
        <f>C4&amp;"_"&amp;F4</f>
        <v>41002_4</v>
      </c>
      <c r="H4" s="13" t="str">
        <f ca="1">VLOOKUP($G4,OFFSET([2]stages!$A$1,0,0,COUNTA([2]stages!$A:$A),MATCH(H$1,[2]stages!$2:$2,0)-MATCH($G$1,[2]stages!$2:$2,0)+1),MATCH(H$1,[2]stages!$2:$2,0)-MATCH($G$1,[2]stages!$2:$2,0)+1,FALSE)</f>
        <v>【スコアアタック】アザゼル襲来</v>
      </c>
      <c r="I4" s="96">
        <v>3</v>
      </c>
      <c r="J4" s="32">
        <v>60</v>
      </c>
      <c r="K4" s="32">
        <v>60</v>
      </c>
    </row>
    <row r="5" spans="1:11" ht="21" customHeight="1" x14ac:dyDescent="0.15">
      <c r="A5" s="14" t="str">
        <f>G5&amp;"-"&amp;I5</f>
        <v>41002_4-4</v>
      </c>
      <c r="B5" s="14" t="str">
        <f>IF(COUNTIF(enemy_habitats!$H:$H,A5),"OK","NG")</f>
        <v>OK</v>
      </c>
      <c r="C5" s="131">
        <f>$C$2</f>
        <v>41002</v>
      </c>
      <c r="D5" s="16" t="str">
        <f ca="1">VLOOKUP($C5,OFFSET([2]quests!$A$1,0,0,COUNTA([2]quests!$A:$A),MATCH(D$1,[2]quests!$1:$1,0)-MATCH($C$1,[2]quests!$1:$1,0)+1),MATCH(D$1,[2]quests!$1:$1,0)-MATCH($C$1,[2]quests!$1:$1,0)+1,FALSE)</f>
        <v>アザゼル襲来！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降臨1</v>
      </c>
      <c r="F5" s="96">
        <v>4</v>
      </c>
      <c r="G5" s="20" t="str">
        <f>C5&amp;"_"&amp;F5</f>
        <v>41002_4</v>
      </c>
      <c r="H5" s="13" t="str">
        <f ca="1">VLOOKUP($G5,OFFSET([2]stages!$A$1,0,0,COUNTA([2]stages!$A:$A),MATCH(H$1,[2]stages!$2:$2,0)-MATCH($G$1,[2]stages!$2:$2,0)+1),MATCH(H$1,[2]stages!$2:$2,0)-MATCH($G$1,[2]stages!$2:$2,0)+1,FALSE)</f>
        <v>【スコアアタック】アザゼル襲来</v>
      </c>
      <c r="I5" s="96">
        <v>4</v>
      </c>
      <c r="J5" s="32">
        <v>60</v>
      </c>
      <c r="K5" s="32">
        <v>60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N10"/>
  <sheetViews>
    <sheetView showGridLines="0" workbookViewId="0">
      <pane xSplit="17" ySplit="1" topLeftCell="R2" activePane="bottomRight" state="frozen"/>
      <selection activeCell="D2" sqref="D2"/>
      <selection pane="topRight" activeCell="D2" sqref="D2"/>
      <selection pane="bottomLeft" activeCell="D2" sqref="D2"/>
      <selection pane="bottomRight" activeCell="S20" sqref="S20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1" bestFit="1" customWidth="1" outlineLevel="1"/>
    <col min="30" max="30" width="8" style="12" bestFit="1" customWidth="1" outlineLevel="1"/>
    <col min="31" max="31" width="12" style="12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9" customFormat="1" ht="21" customHeight="1" x14ac:dyDescent="0.15">
      <c r="A1" s="23" t="s">
        <v>365</v>
      </c>
      <c r="B1" s="22" t="s">
        <v>0</v>
      </c>
      <c r="C1" s="22" t="s">
        <v>1</v>
      </c>
      <c r="D1" s="24" t="s">
        <v>366</v>
      </c>
      <c r="E1" s="24" t="s">
        <v>367</v>
      </c>
      <c r="F1" s="24" t="s">
        <v>367</v>
      </c>
      <c r="G1" s="22" t="s">
        <v>368</v>
      </c>
      <c r="H1" s="24" t="s">
        <v>369</v>
      </c>
      <c r="I1" s="24" t="s">
        <v>13</v>
      </c>
      <c r="J1" s="24" t="s">
        <v>14</v>
      </c>
      <c r="K1" s="30" t="s">
        <v>370</v>
      </c>
      <c r="L1" s="30" t="s">
        <v>2</v>
      </c>
      <c r="M1" s="25" t="s">
        <v>367</v>
      </c>
      <c r="N1" s="24" t="s">
        <v>371</v>
      </c>
      <c r="O1" s="24" t="s">
        <v>372</v>
      </c>
      <c r="P1" s="26" t="s">
        <v>373</v>
      </c>
      <c r="Q1" s="24" t="s">
        <v>374</v>
      </c>
      <c r="R1" s="22" t="s">
        <v>3</v>
      </c>
      <c r="S1" s="22" t="s">
        <v>375</v>
      </c>
      <c r="T1" s="22" t="s">
        <v>376</v>
      </c>
      <c r="U1" s="22" t="s">
        <v>377</v>
      </c>
      <c r="V1" s="24" t="s">
        <v>378</v>
      </c>
      <c r="W1" s="22" t="s">
        <v>379</v>
      </c>
      <c r="X1" s="22" t="s">
        <v>4</v>
      </c>
      <c r="Y1" s="22" t="s">
        <v>5</v>
      </c>
      <c r="Z1" s="22" t="s">
        <v>6</v>
      </c>
      <c r="AA1" s="22" t="s">
        <v>7</v>
      </c>
      <c r="AB1" s="27" t="s">
        <v>8</v>
      </c>
      <c r="AC1" s="28" t="s">
        <v>380</v>
      </c>
      <c r="AD1" s="28" t="s">
        <v>381</v>
      </c>
      <c r="AE1" s="28" t="s">
        <v>382</v>
      </c>
      <c r="AF1" s="27" t="s">
        <v>9</v>
      </c>
      <c r="AG1" s="22" t="s">
        <v>10</v>
      </c>
      <c r="AH1" s="22" t="s">
        <v>11</v>
      </c>
      <c r="AI1" s="22" t="s">
        <v>353</v>
      </c>
      <c r="AJ1" s="22" t="s">
        <v>354</v>
      </c>
      <c r="AK1" s="22" t="s">
        <v>355</v>
      </c>
      <c r="AL1" s="22" t="s">
        <v>356</v>
      </c>
      <c r="AM1" s="22" t="s">
        <v>357</v>
      </c>
      <c r="AN1" s="30" t="s">
        <v>352</v>
      </c>
    </row>
    <row r="2" spans="1:40" ht="21" customHeight="1" x14ac:dyDescent="0.15">
      <c r="A2" s="14" t="str">
        <f t="shared" ref="A2:A9" ca="1" si="0">B2&amp;"_"&amp;C2&amp;"-"&amp;G2&amp;"/"&amp;L2&amp;"&lt;lv"&amp;R2&amp;"&gt;s"&amp;AA2</f>
        <v>41002_4-1/806&lt;lv70&gt;s2</v>
      </c>
      <c r="B2" s="19">
        <v>41002</v>
      </c>
      <c r="C2" s="96">
        <v>4</v>
      </c>
      <c r="D2" s="13" t="str">
        <f t="shared" ref="D2:D9" si="1">B2&amp;"_"&amp;C2</f>
        <v>41002_4</v>
      </c>
      <c r="E2" s="4" t="str">
        <f ca="1">VLOOKUP($B2,OFFSET([2]quests!$A$1,0,0,COUNTA([2]quests!$A:$A),MATCH(E$1,[2]quests!$1:$1,0)-MATCH($B$1,[2]quests!$1:$1,0)+1),MATCH(E$1,[2]quests!$1:$1,0)-MATCH($B$1,[2]quests!$1:$1,0)+1,FALSE)</f>
        <v>アザゼル襲来！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【スコアアタック】アザゼル襲来</v>
      </c>
      <c r="G2" s="96">
        <v>1</v>
      </c>
      <c r="H2" s="13" t="str">
        <f t="shared" ref="H2:H9" si="2">B2&amp;"_"&amp;C2&amp;"-"&amp;G2</f>
        <v>41002_4-1</v>
      </c>
      <c r="I2" s="4" t="e">
        <v>#N/A</v>
      </c>
      <c r="J2" s="4" t="e">
        <v>#N/A</v>
      </c>
      <c r="K2" s="32" t="s">
        <v>494</v>
      </c>
      <c r="L2" s="129">
        <v>806</v>
      </c>
      <c r="M2" s="15" t="str">
        <f ca="1">VLOOKUP($L2,OFFSET([3]enemies!$A$1,0,0,COUNTA([3]enemies!$A:$A),MATCH(M$1,[3]enemies!$1:$1,0)-MATCH($L$1,[3]enemies!$1:$1,0)+1),MATCH(M$1,[3]enemies!$1:$1,0)-MATCH($L$1,[3]enemies!$1:$1,0)+1,FALSE)</f>
        <v>全解の預智聖 オセ</v>
      </c>
      <c r="N2" s="15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5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5">
        <f ca="1">VLOOKUP($L2,OFFSET([3]enemies!$A$1,0,0,COUNTA([3]enemies!$A:$A),MATCH(Q$1,[3]enemies!$1:$1,0)-MATCH($L$1,[3]enemies!$1:$1,0)+1),MATCH(Q$1,[3]enemies!$1:$1,0)-MATCH($L$1,[3]enemies!$1:$1,0)+1,FALSE)</f>
        <v>60</v>
      </c>
      <c r="R2" s="179">
        <v>70</v>
      </c>
      <c r="S2" s="180">
        <v>3.6</v>
      </c>
      <c r="T2" s="180">
        <v>1.3</v>
      </c>
      <c r="U2" s="5">
        <v>0</v>
      </c>
      <c r="V2" s="4" t="s">
        <v>496</v>
      </c>
      <c r="W2" s="181">
        <v>41002001</v>
      </c>
      <c r="X2" s="182">
        <v>0</v>
      </c>
      <c r="Y2" s="182">
        <v>100</v>
      </c>
      <c r="Z2" s="182">
        <v>1</v>
      </c>
      <c r="AA2" s="15">
        <f ca="1">VLOOKUP($L2,OFFSET([3]enemies!$A$1,0,0,COUNTA([3]enemies!$A:$A),MATCH(AA$1,[3]enemies!$1:$1,0)-MATCH($L$1,[3]enemies!$1:$1,0)+1),MATCH(AA$1,[3]enemies!$1:$1,0)-MATCH($L$1,[3]enemies!$1:$1,0)+1,FALSE)</f>
        <v>2</v>
      </c>
      <c r="AB2" s="130">
        <f t="shared" ref="AB2:AB6" si="3">L2</f>
        <v>806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全解の預智聖 オセ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6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131">
        <v>1</v>
      </c>
      <c r="AG2" s="130">
        <f t="shared" ref="AG2:AG9" ca="1" si="4">AD2</f>
        <v>6</v>
      </c>
      <c r="AH2" s="154">
        <v>0</v>
      </c>
      <c r="AI2" s="131">
        <v>0</v>
      </c>
      <c r="AJ2" s="131">
        <v>0</v>
      </c>
      <c r="AK2" s="131">
        <v>0</v>
      </c>
      <c r="AL2" s="131">
        <v>0</v>
      </c>
      <c r="AM2" s="131">
        <v>1</v>
      </c>
      <c r="AN2" s="56">
        <v>1</v>
      </c>
    </row>
    <row r="3" spans="1:40" ht="21" customHeight="1" x14ac:dyDescent="0.15">
      <c r="A3" s="14" t="str">
        <f t="shared" si="0"/>
        <v>41002_4-2/361&lt;lv60&gt;s2</v>
      </c>
      <c r="B3" s="19">
        <v>41002</v>
      </c>
      <c r="C3" s="96">
        <v>4</v>
      </c>
      <c r="D3" s="13" t="str">
        <f t="shared" si="1"/>
        <v>41002_4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【スコアアタック】アザゼル襲来</v>
      </c>
      <c r="G3" s="96">
        <v>2</v>
      </c>
      <c r="H3" s="13" t="str">
        <f t="shared" si="2"/>
        <v>41002_4-2</v>
      </c>
      <c r="I3" s="4" t="e">
        <v>#N/A</v>
      </c>
      <c r="J3" s="4" t="e">
        <v>#N/A</v>
      </c>
      <c r="K3" s="32" t="s">
        <v>494</v>
      </c>
      <c r="L3" s="129">
        <v>361</v>
      </c>
      <c r="M3" s="15" t="str">
        <f ca="1">VLOOKUP($L3,OFFSET([3]enemies!$A$1,0,0,COUNTA([3]enemies!$A:$A),MATCH(M$1,[3]enemies!$1:$1,0)-MATCH($L$1,[3]enemies!$1:$1,0)+1),MATCH(M$1,[3]enemies!$1:$1,0)-MATCH($L$1,[3]enemies!$1:$1,0)+1,FALSE)</f>
        <v>灼熱の鉄板 ガンテツ</v>
      </c>
      <c r="N3" s="15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179">
        <v>60</v>
      </c>
      <c r="S3" s="21">
        <v>3</v>
      </c>
      <c r="T3" s="21">
        <v>1.5</v>
      </c>
      <c r="U3" s="5">
        <v>0</v>
      </c>
      <c r="V3" s="4" t="s">
        <v>497</v>
      </c>
      <c r="W3" s="181">
        <v>41002008</v>
      </c>
      <c r="X3" s="6">
        <v>1</v>
      </c>
      <c r="Y3" s="6">
        <v>100</v>
      </c>
      <c r="Z3" s="6">
        <v>0</v>
      </c>
      <c r="AA3" s="183">
        <v>2</v>
      </c>
      <c r="AB3" s="130">
        <f t="shared" si="3"/>
        <v>361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131">
        <v>1</v>
      </c>
      <c r="AG3" s="130">
        <f t="shared" ca="1" si="4"/>
        <v>3</v>
      </c>
      <c r="AH3" s="154">
        <v>0</v>
      </c>
      <c r="AI3" s="131">
        <v>0</v>
      </c>
      <c r="AJ3" s="131">
        <v>0</v>
      </c>
      <c r="AK3" s="131">
        <v>0</v>
      </c>
      <c r="AL3" s="131">
        <v>0</v>
      </c>
      <c r="AM3" s="131">
        <v>1</v>
      </c>
      <c r="AN3" s="56">
        <v>1</v>
      </c>
    </row>
    <row r="4" spans="1:40" ht="21" customHeight="1" x14ac:dyDescent="0.15">
      <c r="A4" s="14" t="str">
        <f t="shared" si="0"/>
        <v>41002_4-2/363&lt;lv60&gt;s2</v>
      </c>
      <c r="B4" s="19">
        <v>41002</v>
      </c>
      <c r="C4" s="96">
        <v>4</v>
      </c>
      <c r="D4" s="13" t="str">
        <f t="shared" si="1"/>
        <v>41002_4</v>
      </c>
      <c r="E4" s="4" t="str">
        <f ca="1">VLOOKUP($B4,OFFSET([2]quests!$A$1,0,0,COUNTA([2]quests!$A:$A),MATCH(E$1,[2]quests!$1:$1,0)-MATCH($B$1,[2]quests!$1:$1,0)+1),MATCH(E$1,[2]quests!$1:$1,0)-MATCH($B$1,[2]quests!$1:$1,0)+1,FALSE)</f>
        <v>アザゼル襲来！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【スコアアタック】アザゼル襲来</v>
      </c>
      <c r="G4" s="96">
        <v>2</v>
      </c>
      <c r="H4" s="13" t="str">
        <f t="shared" si="2"/>
        <v>41002_4-2</v>
      </c>
      <c r="I4" s="4" t="e">
        <v>#N/A</v>
      </c>
      <c r="J4" s="4" t="e">
        <v>#N/A</v>
      </c>
      <c r="K4" s="32" t="s">
        <v>494</v>
      </c>
      <c r="L4" s="129">
        <v>363</v>
      </c>
      <c r="M4" s="15" t="str">
        <f ca="1">VLOOKUP($L4,OFFSET([3]enemies!$A$1,0,0,COUNTA([3]enemies!$A:$A),MATCH(M$1,[3]enemies!$1:$1,0)-MATCH($L$1,[3]enemies!$1:$1,0)+1),MATCH(M$1,[3]enemies!$1:$1,0)-MATCH($L$1,[3]enemies!$1:$1,0)+1,FALSE)</f>
        <v>花咲く幼精 ゆらら</v>
      </c>
      <c r="N4" s="15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5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5">
        <f ca="1">VLOOKUP($L4,OFFSET([3]enemies!$A$1,0,0,COUNTA([3]enemies!$A:$A),MATCH(Q$1,[3]enemies!$1:$1,0)-MATCH($L$1,[3]enemies!$1:$1,0)+1),MATCH(Q$1,[3]enemies!$1:$1,0)-MATCH($L$1,[3]enemies!$1:$1,0)+1,FALSE)</f>
        <v>15</v>
      </c>
      <c r="R4" s="179">
        <v>60</v>
      </c>
      <c r="S4" s="21">
        <v>3.3</v>
      </c>
      <c r="T4" s="21">
        <v>1.5</v>
      </c>
      <c r="U4" s="5">
        <v>0</v>
      </c>
      <c r="V4" s="4" t="s">
        <v>498</v>
      </c>
      <c r="W4" s="181">
        <v>41002009</v>
      </c>
      <c r="X4" s="6">
        <v>1</v>
      </c>
      <c r="Y4" s="6">
        <v>100</v>
      </c>
      <c r="Z4" s="6">
        <v>0</v>
      </c>
      <c r="AA4" s="183">
        <v>2</v>
      </c>
      <c r="AB4" s="130">
        <f t="shared" si="3"/>
        <v>363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花咲く幼精 ゆらら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131">
        <v>1</v>
      </c>
      <c r="AG4" s="130">
        <f t="shared" ca="1" si="4"/>
        <v>3</v>
      </c>
      <c r="AH4" s="154">
        <v>0</v>
      </c>
      <c r="AI4" s="131">
        <v>0</v>
      </c>
      <c r="AJ4" s="131">
        <v>0</v>
      </c>
      <c r="AK4" s="131">
        <v>0</v>
      </c>
      <c r="AL4" s="131">
        <v>0</v>
      </c>
      <c r="AM4" s="131">
        <v>1</v>
      </c>
      <c r="AN4" s="56">
        <v>1</v>
      </c>
    </row>
    <row r="5" spans="1:40" ht="21" customHeight="1" x14ac:dyDescent="0.15">
      <c r="A5" s="14" t="str">
        <f t="shared" si="0"/>
        <v>41002_4-2/365&lt;lv60&gt;s2</v>
      </c>
      <c r="B5" s="19">
        <v>41002</v>
      </c>
      <c r="C5" s="96">
        <v>4</v>
      </c>
      <c r="D5" s="13" t="str">
        <f t="shared" si="1"/>
        <v>41002_4</v>
      </c>
      <c r="E5" s="4" t="str">
        <f ca="1">VLOOKUP($B5,OFFSET([2]quests!$A$1,0,0,COUNTA([2]quests!$A:$A),MATCH(E$1,[2]quests!$1:$1,0)-MATCH($B$1,[2]quests!$1:$1,0)+1),MATCH(E$1,[2]quests!$1:$1,0)-MATCH($B$1,[2]quests!$1:$1,0)+1,FALSE)</f>
        <v>アザゼル襲来！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【スコアアタック】アザゼル襲来</v>
      </c>
      <c r="G5" s="96">
        <v>2</v>
      </c>
      <c r="H5" s="13" t="str">
        <f t="shared" si="2"/>
        <v>41002_4-2</v>
      </c>
      <c r="I5" s="4" t="e">
        <v>#N/A</v>
      </c>
      <c r="J5" s="4" t="e">
        <v>#N/A</v>
      </c>
      <c r="K5" s="32" t="s">
        <v>494</v>
      </c>
      <c r="L5" s="129">
        <v>365</v>
      </c>
      <c r="M5" s="15" t="str">
        <f ca="1">VLOOKUP($L5,OFFSET([3]enemies!$A$1,0,0,COUNTA([3]enemies!$A:$A),MATCH(M$1,[3]enemies!$1:$1,0)-MATCH($L$1,[3]enemies!$1:$1,0)+1),MATCH(M$1,[3]enemies!$1:$1,0)-MATCH($L$1,[3]enemies!$1:$1,0)+1,FALSE)</f>
        <v>惨劇の人形 ノエル</v>
      </c>
      <c r="N5" s="15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5">
        <f ca="1">VLOOKUP($L5,OFFSET([3]enemies!$A$1,0,0,COUNTA([3]enemies!$A:$A),MATCH(Q$1,[3]enemies!$1:$1,0)-MATCH($L$1,[3]enemies!$1:$1,0)+1),MATCH(Q$1,[3]enemies!$1:$1,0)-MATCH($L$1,[3]enemies!$1:$1,0)+1,FALSE)</f>
        <v>15</v>
      </c>
      <c r="R5" s="179">
        <v>60</v>
      </c>
      <c r="S5" s="21">
        <v>2.8</v>
      </c>
      <c r="T5" s="21">
        <v>1</v>
      </c>
      <c r="U5" s="5">
        <v>0</v>
      </c>
      <c r="V5" s="4" t="s">
        <v>499</v>
      </c>
      <c r="W5" s="181">
        <v>41002010</v>
      </c>
      <c r="X5" s="6">
        <v>1</v>
      </c>
      <c r="Y5" s="6">
        <v>100</v>
      </c>
      <c r="Z5" s="6">
        <v>0</v>
      </c>
      <c r="AA5" s="183">
        <v>2</v>
      </c>
      <c r="AB5" s="130">
        <f t="shared" si="3"/>
        <v>365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惨劇の人形 ノエル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131">
        <v>1</v>
      </c>
      <c r="AG5" s="130">
        <f t="shared" ca="1" si="4"/>
        <v>3</v>
      </c>
      <c r="AH5" s="154">
        <v>0</v>
      </c>
      <c r="AI5" s="131">
        <v>0</v>
      </c>
      <c r="AJ5" s="131">
        <v>0</v>
      </c>
      <c r="AK5" s="131">
        <v>0</v>
      </c>
      <c r="AL5" s="131">
        <v>0</v>
      </c>
      <c r="AM5" s="131">
        <v>1</v>
      </c>
      <c r="AN5" s="56">
        <v>1</v>
      </c>
    </row>
    <row r="6" spans="1:40" ht="21" customHeight="1" x14ac:dyDescent="0.15">
      <c r="A6" s="14" t="str">
        <f t="shared" si="0"/>
        <v>41002_4-2/367&lt;lv60&gt;s2</v>
      </c>
      <c r="B6" s="19">
        <v>41002</v>
      </c>
      <c r="C6" s="96">
        <v>4</v>
      </c>
      <c r="D6" s="13" t="str">
        <f t="shared" si="1"/>
        <v>41002_4</v>
      </c>
      <c r="E6" s="4" t="str">
        <f ca="1">VLOOKUP($B6,OFFSET([2]quests!$A$1,0,0,COUNTA([2]quests!$A:$A),MATCH(E$1,[2]quests!$1:$1,0)-MATCH($B$1,[2]quests!$1:$1,0)+1),MATCH(E$1,[2]quests!$1:$1,0)-MATCH($B$1,[2]quests!$1:$1,0)+1,FALSE)</f>
        <v>アザゼル襲来！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【スコアアタック】アザゼル襲来</v>
      </c>
      <c r="G6" s="96">
        <v>2</v>
      </c>
      <c r="H6" s="13" t="str">
        <f t="shared" si="2"/>
        <v>41002_4-2</v>
      </c>
      <c r="I6" s="4" t="e">
        <v>#N/A</v>
      </c>
      <c r="J6" s="4" t="e">
        <v>#N/A</v>
      </c>
      <c r="K6" s="32" t="s">
        <v>494</v>
      </c>
      <c r="L6" s="129">
        <v>367</v>
      </c>
      <c r="M6" s="15" t="str">
        <f ca="1">VLOOKUP($L6,OFFSET([3]enemies!$A$1,0,0,COUNTA([3]enemies!$A:$A),MATCH(M$1,[3]enemies!$1:$1,0)-MATCH($L$1,[3]enemies!$1:$1,0)+1),MATCH(M$1,[3]enemies!$1:$1,0)-MATCH($L$1,[3]enemies!$1:$1,0)+1,FALSE)</f>
        <v>爆進の小兵 トト</v>
      </c>
      <c r="N6" s="15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5">
        <f ca="1">VLOOKUP($L6,OFFSET([3]enemies!$A$1,0,0,COUNTA([3]enemies!$A:$A),MATCH(Q$1,[3]enemies!$1:$1,0)-MATCH($L$1,[3]enemies!$1:$1,0)+1),MATCH(Q$1,[3]enemies!$1:$1,0)-MATCH($L$1,[3]enemies!$1:$1,0)+1,FALSE)</f>
        <v>15</v>
      </c>
      <c r="R6" s="179">
        <v>60</v>
      </c>
      <c r="S6" s="21">
        <v>3.1</v>
      </c>
      <c r="T6" s="21">
        <v>1.2</v>
      </c>
      <c r="U6" s="5">
        <v>0</v>
      </c>
      <c r="V6" s="4" t="s">
        <v>500</v>
      </c>
      <c r="W6" s="181">
        <v>41002011</v>
      </c>
      <c r="X6" s="6">
        <v>1</v>
      </c>
      <c r="Y6" s="6">
        <v>100</v>
      </c>
      <c r="Z6" s="6">
        <v>0</v>
      </c>
      <c r="AA6" s="183">
        <v>2</v>
      </c>
      <c r="AB6" s="130">
        <f t="shared" si="3"/>
        <v>367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爆進の小兵 トト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131">
        <v>1</v>
      </c>
      <c r="AG6" s="130">
        <f t="shared" ca="1" si="4"/>
        <v>3</v>
      </c>
      <c r="AH6" s="154">
        <v>0</v>
      </c>
      <c r="AI6" s="131">
        <v>0</v>
      </c>
      <c r="AJ6" s="131">
        <v>0</v>
      </c>
      <c r="AK6" s="131">
        <v>0</v>
      </c>
      <c r="AL6" s="131">
        <v>0</v>
      </c>
      <c r="AM6" s="131">
        <v>1</v>
      </c>
      <c r="AN6" s="56">
        <v>1</v>
      </c>
    </row>
    <row r="7" spans="1:40" ht="21" customHeight="1" x14ac:dyDescent="0.15">
      <c r="A7" s="14" t="str">
        <f>B7&amp;"_"&amp;C7&amp;"-"&amp;G7&amp;"/"&amp;L7&amp;"&lt;lv"&amp;R7&amp;"&gt;s"&amp;AA7</f>
        <v>41002_4-3/161&lt;lv60&gt;s2</v>
      </c>
      <c r="B7" s="19">
        <v>41002</v>
      </c>
      <c r="C7" s="96">
        <v>4</v>
      </c>
      <c r="D7" s="13" t="str">
        <f>B7&amp;"_"&amp;C7</f>
        <v>41002_4</v>
      </c>
      <c r="E7" s="4" t="str">
        <f ca="1">VLOOKUP($B7,OFFSET([2]quests!$A$1,0,0,COUNTA([2]quests!$A:$A),MATCH(E$1,[2]quests!$1:$1,0)-MATCH($B$1,[2]quests!$1:$1,0)+1),MATCH(E$1,[2]quests!$1:$1,0)-MATCH($B$1,[2]quests!$1:$1,0)+1,FALSE)</f>
        <v>アザゼル襲来！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【スコアアタック】アザゼル襲来</v>
      </c>
      <c r="G7" s="96">
        <v>3</v>
      </c>
      <c r="H7" s="13" t="str">
        <f>B7&amp;"_"&amp;C7&amp;"-"&amp;G7</f>
        <v>41002_4-3</v>
      </c>
      <c r="I7" s="4" t="e">
        <v>#N/A</v>
      </c>
      <c r="J7" s="4" t="e">
        <v>#N/A</v>
      </c>
      <c r="K7" s="32" t="s">
        <v>494</v>
      </c>
      <c r="L7" s="129">
        <v>161</v>
      </c>
      <c r="M7" s="15" t="str">
        <f ca="1">VLOOKUP($L7,OFFSET([3]enemies!$A$1,0,0,COUNTA([3]enemies!$A:$A),MATCH(M$1,[3]enemies!$1:$1,0)-MATCH($L$1,[3]enemies!$1:$1,0)+1),MATCH(M$1,[3]enemies!$1:$1,0)-MATCH($L$1,[3]enemies!$1:$1,0)+1,FALSE)</f>
        <v>咆哮の先導者 クリエ</v>
      </c>
      <c r="N7" s="15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5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5">
        <f ca="1">VLOOKUP($L7,OFFSET([3]enemies!$A$1,0,0,COUNTA([3]enemies!$A:$A),MATCH(Q$1,[3]enemies!$1:$1,0)-MATCH($L$1,[3]enemies!$1:$1,0)+1),MATCH(Q$1,[3]enemies!$1:$1,0)-MATCH($L$1,[3]enemies!$1:$1,0)+1,FALSE)</f>
        <v>30</v>
      </c>
      <c r="R7" s="179">
        <v>60</v>
      </c>
      <c r="S7" s="21">
        <v>3.2</v>
      </c>
      <c r="T7" s="21">
        <v>5</v>
      </c>
      <c r="U7" s="5">
        <v>0</v>
      </c>
      <c r="V7" s="4" t="s">
        <v>501</v>
      </c>
      <c r="W7" s="181">
        <v>41002005</v>
      </c>
      <c r="X7" s="6">
        <v>0</v>
      </c>
      <c r="Y7" s="6">
        <v>100</v>
      </c>
      <c r="Z7" s="6">
        <v>1</v>
      </c>
      <c r="AA7" s="183">
        <v>2</v>
      </c>
      <c r="AB7" s="130">
        <f>L7</f>
        <v>161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咆哮の先導者 クリエ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7" s="131">
        <v>1</v>
      </c>
      <c r="AG7" s="130">
        <f ca="1">AD7</f>
        <v>4</v>
      </c>
      <c r="AH7" s="154">
        <v>0</v>
      </c>
      <c r="AI7" s="131">
        <v>0</v>
      </c>
      <c r="AJ7" s="131">
        <v>0</v>
      </c>
      <c r="AK7" s="131">
        <v>0</v>
      </c>
      <c r="AL7" s="131">
        <v>0</v>
      </c>
      <c r="AM7" s="131">
        <v>1</v>
      </c>
      <c r="AN7" s="56">
        <v>1</v>
      </c>
    </row>
    <row r="8" spans="1:40" ht="21" customHeight="1" x14ac:dyDescent="0.15">
      <c r="A8" s="14" t="str">
        <f>B8&amp;"_"&amp;C8&amp;"-"&amp;G8&amp;"/"&amp;L8&amp;"&lt;lv"&amp;R8&amp;"&gt;s"&amp;AA8</f>
        <v>41002_4-3/35&lt;lv60&gt;s4</v>
      </c>
      <c r="B8" s="184">
        <v>41002</v>
      </c>
      <c r="C8" s="185">
        <v>4</v>
      </c>
      <c r="D8" s="186" t="str">
        <f>B8&amp;"_"&amp;C8</f>
        <v>41002_4</v>
      </c>
      <c r="E8" s="187" t="str">
        <f ca="1">VLOOKUP($B8,OFFSET([2]quests!$A$1,0,0,COUNTA([2]quests!$A:$A),MATCH(E$1,[2]quests!$1:$1,0)-MATCH($B$1,[2]quests!$1:$1,0)+1),MATCH(E$1,[2]quests!$1:$1,0)-MATCH($B$1,[2]quests!$1:$1,0)+1,FALSE)</f>
        <v>アザゼル襲来！</v>
      </c>
      <c r="F8" s="187" t="str">
        <f ca="1">VLOOKUP($D8,OFFSET([2]stages!$A$1,0,0,COUNTA([2]stages!$A:$A),MATCH(F$1,[2]stages!$2:$2,0)-MATCH($D$1,[2]stages!$2:$2,0)+1),MATCH(F$1,[2]stages!$2:$2,0)-MATCH($D$1,[2]stages!$2:$2,0)+1,FALSE)</f>
        <v>【スコアアタック】アザゼル襲来</v>
      </c>
      <c r="G8" s="185">
        <v>3</v>
      </c>
      <c r="H8" s="186" t="str">
        <f>B8&amp;"_"&amp;C8&amp;"-"&amp;G8</f>
        <v>41002_4-3</v>
      </c>
      <c r="I8" s="187" t="e">
        <v>#N/A</v>
      </c>
      <c r="J8" s="187" t="e">
        <v>#N/A</v>
      </c>
      <c r="K8" s="188" t="s">
        <v>494</v>
      </c>
      <c r="L8" s="189">
        <v>35</v>
      </c>
      <c r="M8" s="190" t="str">
        <f ca="1">VLOOKUP($L8,OFFSET([3]enemies!$A$1,0,0,COUNTA([3]enemies!$A:$A),MATCH(M$1,[3]enemies!$1:$1,0)-MATCH($L$1,[3]enemies!$1:$1,0)+1),MATCH(M$1,[3]enemies!$1:$1,0)-MATCH($L$1,[3]enemies!$1:$1,0)+1,FALSE)</f>
        <v>F2</v>
      </c>
      <c r="N8" s="190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90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90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90">
        <f ca="1">VLOOKUP($L8,OFFSET([3]enemies!$A$1,0,0,COUNTA([3]enemies!$A:$A),MATCH(Q$1,[3]enemies!$1:$1,0)-MATCH($L$1,[3]enemies!$1:$1,0)+1),MATCH(Q$1,[3]enemies!$1:$1,0)-MATCH($L$1,[3]enemies!$1:$1,0)+1,FALSE)</f>
        <v>15</v>
      </c>
      <c r="R8" s="191">
        <v>60</v>
      </c>
      <c r="S8" s="192">
        <v>4.5</v>
      </c>
      <c r="T8" s="192">
        <v>4.5</v>
      </c>
      <c r="U8" s="193">
        <v>0</v>
      </c>
      <c r="V8" s="187" t="s">
        <v>502</v>
      </c>
      <c r="W8" s="194">
        <v>41002006</v>
      </c>
      <c r="X8" s="195">
        <v>2</v>
      </c>
      <c r="Y8" s="195">
        <v>100</v>
      </c>
      <c r="Z8" s="195">
        <v>0</v>
      </c>
      <c r="AA8" s="196">
        <v>4</v>
      </c>
      <c r="AB8" s="197">
        <f>L8</f>
        <v>35</v>
      </c>
      <c r="AC8" s="187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F2</v>
      </c>
      <c r="AD8" s="187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187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198">
        <v>1</v>
      </c>
      <c r="AG8" s="197">
        <f ca="1">AD8</f>
        <v>2</v>
      </c>
      <c r="AH8" s="199">
        <v>0</v>
      </c>
      <c r="AI8" s="198">
        <v>0</v>
      </c>
      <c r="AJ8" s="198">
        <v>0</v>
      </c>
      <c r="AK8" s="198">
        <v>0</v>
      </c>
      <c r="AL8" s="198">
        <v>0</v>
      </c>
      <c r="AM8" s="198">
        <v>1</v>
      </c>
      <c r="AN8" s="200">
        <v>1</v>
      </c>
    </row>
    <row r="9" spans="1:40" s="203" customFormat="1" ht="21" customHeight="1" x14ac:dyDescent="0.15">
      <c r="A9" s="174" t="str">
        <f t="shared" si="0"/>
        <v>41002_4-4/297&lt;lv70&gt;s3</v>
      </c>
      <c r="B9" s="207">
        <v>41002</v>
      </c>
      <c r="C9" s="96">
        <v>4</v>
      </c>
      <c r="D9" s="13" t="str">
        <f t="shared" si="1"/>
        <v>41002_4</v>
      </c>
      <c r="E9" s="16" t="str">
        <f ca="1">VLOOKUP($B9,OFFSET([2]quests!$A$1,0,0,COUNTA([2]quests!$A:$A),MATCH(E$1,[2]quests!$1:$1,0)-MATCH($B$1,[2]quests!$1:$1,0)+1),MATCH(E$1,[2]quests!$1:$1,0)-MATCH($B$1,[2]quests!$1:$1,0)+1,FALSE)</f>
        <v>アザゼル襲来！</v>
      </c>
      <c r="F9" s="16" t="str">
        <f ca="1">VLOOKUP($D9,OFFSET([2]stages!$A$1,0,0,COUNTA([2]stages!$A:$A),MATCH(F$1,[2]stages!$2:$2,0)-MATCH($D$1,[2]stages!$2:$2,0)+1),MATCH(F$1,[2]stages!$2:$2,0)-MATCH($D$1,[2]stages!$2:$2,0)+1,FALSE)</f>
        <v>【スコアアタック】アザゼル襲来</v>
      </c>
      <c r="G9" s="96">
        <v>4</v>
      </c>
      <c r="H9" s="13" t="str">
        <f t="shared" si="2"/>
        <v>41002_4-4</v>
      </c>
      <c r="I9" s="16" t="e">
        <v>#N/A</v>
      </c>
      <c r="J9" s="16" t="e">
        <v>#N/A</v>
      </c>
      <c r="K9" s="32">
        <v>2</v>
      </c>
      <c r="L9" s="129">
        <v>297</v>
      </c>
      <c r="M9" s="16" t="str">
        <f ca="1">VLOOKUP($L9,OFFSET([3]enemies!$A$1,0,0,COUNTA([3]enemies!$A:$A),MATCH(M$1,[3]enemies!$1:$1,0)-MATCH($L$1,[3]enemies!$1:$1,0)+1),MATCH(M$1,[3]enemies!$1:$1,0)-MATCH($L$1,[3]enemies!$1:$1,0)+1,FALSE)</f>
        <v>狂靭なる双撃 アザゼル</v>
      </c>
      <c r="N9" s="16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208">
        <v>70</v>
      </c>
      <c r="S9" s="209">
        <v>3.5</v>
      </c>
      <c r="T9" s="209">
        <v>3</v>
      </c>
      <c r="U9" s="208">
        <v>0</v>
      </c>
      <c r="V9" s="16" t="s">
        <v>496</v>
      </c>
      <c r="W9" s="210">
        <v>41002012</v>
      </c>
      <c r="X9" s="56">
        <v>0</v>
      </c>
      <c r="Y9" s="56">
        <v>100</v>
      </c>
      <c r="Z9" s="56">
        <v>1</v>
      </c>
      <c r="AA9" s="211">
        <v>3</v>
      </c>
      <c r="AB9" s="212">
        <v>296</v>
      </c>
      <c r="AC9" s="16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アザゼル</v>
      </c>
      <c r="AD9" s="16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6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31">
        <v>1</v>
      </c>
      <c r="AG9" s="130">
        <f t="shared" ca="1" si="4"/>
        <v>4</v>
      </c>
      <c r="AH9" s="56">
        <v>0</v>
      </c>
      <c r="AI9" s="131">
        <v>0</v>
      </c>
      <c r="AJ9" s="131">
        <v>0</v>
      </c>
      <c r="AK9" s="131">
        <v>0</v>
      </c>
      <c r="AL9" s="131">
        <v>0</v>
      </c>
      <c r="AM9" s="131">
        <v>1</v>
      </c>
      <c r="AN9" s="56">
        <v>1</v>
      </c>
    </row>
    <row r="10" spans="1:40" s="203" customFormat="1" ht="21" customHeight="1" x14ac:dyDescent="0.15">
      <c r="A10" s="206"/>
      <c r="D10" s="205"/>
      <c r="L10" s="202"/>
      <c r="AC10" s="201"/>
      <c r="AD10" s="205"/>
      <c r="AE10" s="205"/>
      <c r="AF10" s="204"/>
    </row>
  </sheetData>
  <sheetProtection selectLockedCells="1" selectUnlockedCells="1"/>
  <autoFilter ref="B1:AH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Y3"/>
  <sheetViews>
    <sheetView showGridLines="0" workbookViewId="0">
      <pane xSplit="18" ySplit="1" topLeftCell="S2" activePane="bottomRight" state="frozen"/>
      <selection activeCell="D2" sqref="D2"/>
      <selection pane="topRight" activeCell="D2" sqref="D2"/>
      <selection pane="bottomLeft" activeCell="D2" sqref="D2"/>
      <selection pane="bottomRight" activeCell="Q16" sqref="Q16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29" customFormat="1" ht="21" customHeight="1" thickBot="1" x14ac:dyDescent="0.2">
      <c r="A1" s="23" t="s">
        <v>365</v>
      </c>
      <c r="B1" s="22" t="s">
        <v>0</v>
      </c>
      <c r="C1" s="22" t="s">
        <v>1</v>
      </c>
      <c r="D1" s="24" t="s">
        <v>366</v>
      </c>
      <c r="E1" s="24" t="s">
        <v>367</v>
      </c>
      <c r="F1" s="24" t="s">
        <v>367</v>
      </c>
      <c r="G1" s="22" t="s">
        <v>368</v>
      </c>
      <c r="H1" s="24" t="s">
        <v>369</v>
      </c>
      <c r="I1" s="24" t="s">
        <v>13</v>
      </c>
      <c r="J1" s="24" t="s">
        <v>14</v>
      </c>
      <c r="K1" s="30" t="s">
        <v>370</v>
      </c>
      <c r="L1" s="30" t="s">
        <v>383</v>
      </c>
      <c r="M1" s="30" t="s">
        <v>2</v>
      </c>
      <c r="N1" s="25" t="s">
        <v>367</v>
      </c>
      <c r="O1" s="24" t="s">
        <v>371</v>
      </c>
      <c r="P1" s="24" t="s">
        <v>372</v>
      </c>
      <c r="Q1" s="26" t="s">
        <v>373</v>
      </c>
      <c r="R1" s="24" t="s">
        <v>374</v>
      </c>
      <c r="S1" s="22" t="s">
        <v>3</v>
      </c>
      <c r="T1" s="22" t="s">
        <v>384</v>
      </c>
      <c r="U1" s="22" t="s">
        <v>385</v>
      </c>
      <c r="V1" s="22" t="s">
        <v>386</v>
      </c>
      <c r="W1" s="22" t="s">
        <v>387</v>
      </c>
      <c r="X1" s="24" t="s">
        <v>388</v>
      </c>
      <c r="Y1" s="22" t="s">
        <v>7</v>
      </c>
    </row>
    <row r="2" spans="1:25" s="225" customFormat="1" ht="21" customHeight="1" x14ac:dyDescent="0.15">
      <c r="A2" s="213" t="str">
        <f t="shared" ref="A2:A3" si="0">B2&amp;"_"&amp;C2&amp;"-"&amp;G2&amp;"/"&amp;M2&amp;"&lt;lv"&amp;S2&amp;"&gt;sq"&amp;K2&amp;"st"&amp;L2</f>
        <v>41002_4-4/812&lt;lv80&gt;sq2st2</v>
      </c>
      <c r="B2" s="214">
        <v>41002</v>
      </c>
      <c r="C2" s="215">
        <v>4</v>
      </c>
      <c r="D2" s="216" t="str">
        <f t="shared" ref="D2:D3" si="1">B2&amp;"_"&amp;C2</f>
        <v>41002_4</v>
      </c>
      <c r="E2" s="217" t="str">
        <f ca="1">VLOOKUP($B2,OFFSET([2]quests!$A$1,0,0,COUNTA([2]quests!$A:$A),MATCH(E$1,[2]quests!$1:$1,0)-MATCH($B$1,[2]quests!$1:$1,0)+1),MATCH(E$1,[2]quests!$1:$1,0)-MATCH($B$1,[2]quests!$1:$1,0)+1,FALSE)</f>
        <v>アザゼル襲来！</v>
      </c>
      <c r="F2" s="217" t="str">
        <f ca="1">VLOOKUP($D2,OFFSET([2]stages!$A$1,0,0,COUNTA([2]stages!$A:$A),MATCH(F$1,[2]stages!$2:$2,0)-MATCH($D$1,[2]stages!$2:$2,0)+1),MATCH(F$1,[2]stages!$2:$2,0)-MATCH($D$1,[2]stages!$2:$2,0)+1,FALSE)</f>
        <v>【スコアアタック】アザゼル襲来</v>
      </c>
      <c r="G2" s="215">
        <v>4</v>
      </c>
      <c r="H2" s="216" t="str">
        <f t="shared" ref="H2:H3" si="2">B2&amp;"_"&amp;C2&amp;"-"&amp;G2</f>
        <v>41002_4-4</v>
      </c>
      <c r="I2" s="217" t="e">
        <v>#N/A</v>
      </c>
      <c r="J2" s="217" t="e">
        <v>#N/A</v>
      </c>
      <c r="K2" s="218">
        <v>2</v>
      </c>
      <c r="L2" s="218">
        <v>2</v>
      </c>
      <c r="M2" s="219">
        <v>812</v>
      </c>
      <c r="N2" s="220" t="str">
        <f ca="1">VLOOKUP($M2,OFFSET([3]enemies!$A$1,0,0,COUNTA([3]enemies!$A:$A),MATCH(N$1,[3]enemies!$1:$1,0)-MATCH($M$1,[3]enemies!$1:$1,0)+1),MATCH(N$1,[3]enemies!$1:$1,0)-MATCH($M$1,[3]enemies!$1:$1,0)+1,FALSE)</f>
        <v>凶膨なる殲滅 アザゼル</v>
      </c>
      <c r="O2" s="220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220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220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220">
        <f ca="1">VLOOKUP($M2,OFFSET([3]enemies!$A$1,0,0,COUNTA([3]enemies!$A:$A),MATCH(R$1,[3]enemies!$1:$1,0)-MATCH($M$1,[3]enemies!$1:$1,0)+1),MATCH(R$1,[3]enemies!$1:$1,0)-MATCH($M$1,[3]enemies!$1:$1,0)+1,FALSE)</f>
        <v>60</v>
      </c>
      <c r="S2" s="221">
        <v>80</v>
      </c>
      <c r="T2" s="222">
        <v>4.5999999999999996</v>
      </c>
      <c r="U2" s="222">
        <v>2.2000000000000002</v>
      </c>
      <c r="V2" s="221">
        <v>0</v>
      </c>
      <c r="W2" s="217" t="e">
        <v>#VALUE!</v>
      </c>
      <c r="X2" s="223">
        <v>41002013</v>
      </c>
      <c r="Y2" s="224">
        <v>2</v>
      </c>
    </row>
    <row r="3" spans="1:25" ht="21" customHeight="1" x14ac:dyDescent="0.15">
      <c r="A3" s="14" t="str">
        <f t="shared" si="0"/>
        <v>41002_4-4/812&lt;lv80&gt;sq2st3</v>
      </c>
      <c r="B3" s="19">
        <v>41002</v>
      </c>
      <c r="C3" s="96">
        <v>4</v>
      </c>
      <c r="D3" s="13" t="str">
        <f t="shared" si="1"/>
        <v>41002_4</v>
      </c>
      <c r="E3" s="4" t="str">
        <f ca="1">VLOOKUP($B3,OFFSET([2]quests!$A$1,0,0,COUNTA([2]quests!$A:$A),MATCH(E$1,[2]quests!$1:$1,0)-MATCH($B$1,[2]quests!$1:$1,0)+1),MATCH(E$1,[2]quests!$1:$1,0)-MATCH($B$1,[2]quests!$1:$1,0)+1,FALSE)</f>
        <v>アザゼル襲来！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【スコアアタック】アザゼル襲来</v>
      </c>
      <c r="G3" s="96">
        <v>4</v>
      </c>
      <c r="H3" s="13" t="str">
        <f t="shared" si="2"/>
        <v>41002_4-4</v>
      </c>
      <c r="I3" s="4" t="e">
        <v>#N/A</v>
      </c>
      <c r="J3" s="4" t="e">
        <v>#N/A</v>
      </c>
      <c r="K3" s="32">
        <v>2</v>
      </c>
      <c r="L3" s="32">
        <v>3</v>
      </c>
      <c r="M3" s="129">
        <v>812</v>
      </c>
      <c r="N3" s="15" t="str">
        <f ca="1">VLOOKUP($M3,OFFSET([3]enemies!$A$1,0,0,COUNTA([3]enemies!$A:$A),MATCH(N$1,[3]enemies!$1:$1,0)-MATCH($M$1,[3]enemies!$1:$1,0)+1),MATCH(N$1,[3]enemies!$1:$1,0)-MATCH($M$1,[3]enemies!$1:$1,0)+1,FALSE)</f>
        <v>凶膨なる殲滅 アザゼル</v>
      </c>
      <c r="O3" s="15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1">
        <v>5.4</v>
      </c>
      <c r="U3" s="21">
        <v>2.2999999999999998</v>
      </c>
      <c r="V3" s="5">
        <v>0</v>
      </c>
      <c r="W3" s="4" t="e">
        <v>#VALUE!</v>
      </c>
      <c r="X3" s="226">
        <v>41002014</v>
      </c>
      <c r="Y3" s="227">
        <v>2</v>
      </c>
    </row>
  </sheetData>
  <sheetProtection selectLockedCells="1" selectUnlockedCells="1"/>
  <autoFilter ref="B1:Y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D2" sqref="D2"/>
      <selection pane="topRight" activeCell="D2" sqref="D2"/>
      <selection pane="bottomLeft" activeCell="D2" sqref="D2"/>
      <selection pane="bottomRight" activeCell="C2" sqref="C2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389</v>
      </c>
      <c r="B1" s="34" t="s">
        <v>390</v>
      </c>
      <c r="C1" s="34" t="s">
        <v>391</v>
      </c>
      <c r="D1" s="35" t="s">
        <v>392</v>
      </c>
      <c r="E1" s="35" t="s">
        <v>393</v>
      </c>
      <c r="F1" s="36" t="s">
        <v>394</v>
      </c>
      <c r="G1" s="37" t="s">
        <v>395</v>
      </c>
      <c r="H1" s="37" t="s">
        <v>396</v>
      </c>
      <c r="I1" s="37" t="s">
        <v>397</v>
      </c>
      <c r="J1" s="37" t="s">
        <v>398</v>
      </c>
      <c r="K1" s="38" t="s">
        <v>399</v>
      </c>
      <c r="L1" s="38" t="s">
        <v>400</v>
      </c>
      <c r="M1" s="37" t="s">
        <v>401</v>
      </c>
      <c r="N1" s="37" t="s">
        <v>402</v>
      </c>
      <c r="O1" s="37" t="s">
        <v>403</v>
      </c>
      <c r="P1" s="35" t="s">
        <v>28</v>
      </c>
      <c r="Q1" s="35" t="s">
        <v>29</v>
      </c>
      <c r="R1" s="35" t="s">
        <v>30</v>
      </c>
    </row>
    <row r="2" spans="1:18" ht="21" customHeight="1" x14ac:dyDescent="0.15">
      <c r="A2" s="33" t="str">
        <f t="shared" ref="A2" si="0">B2&amp;"_"&amp;C2</f>
        <v>65535010_65535010</v>
      </c>
      <c r="B2" s="41">
        <v>65535010</v>
      </c>
      <c r="C2" s="41">
        <v>65535010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1">
        <v>65535010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</sheetData>
  <autoFilter ref="A1:R1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customWidth="1" outlineLevel="1"/>
    <col min="8" max="8" width="18.33203125" style="43" customWidth="1" outlineLevel="1"/>
    <col min="9" max="11" width="18.6640625" style="43" customWidth="1" outlineLevel="1"/>
    <col min="12" max="12" width="23.6640625" style="43" customWidth="1"/>
    <col min="13" max="18" width="23.6640625" style="43" customWidth="1" outlineLevel="1"/>
    <col min="19" max="19" width="23.6640625" style="43" customWidth="1"/>
    <col min="20" max="24" width="23.6640625" style="43" customWidth="1" outlineLevel="1"/>
    <col min="25" max="25" width="23.6640625" style="43" customWidth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31</v>
      </c>
      <c r="B1" s="34" t="s">
        <v>404</v>
      </c>
      <c r="C1" s="34" t="s">
        <v>32</v>
      </c>
      <c r="D1" s="34" t="s">
        <v>405</v>
      </c>
      <c r="E1" s="34" t="s">
        <v>406</v>
      </c>
      <c r="F1" s="34" t="s">
        <v>407</v>
      </c>
      <c r="G1" s="35" t="s">
        <v>44</v>
      </c>
      <c r="H1" s="35" t="s">
        <v>50</v>
      </c>
      <c r="I1" s="35" t="s">
        <v>52</v>
      </c>
      <c r="J1" s="35" t="s">
        <v>51</v>
      </c>
      <c r="K1" s="35" t="s">
        <v>53</v>
      </c>
      <c r="L1" s="35" t="s">
        <v>45</v>
      </c>
      <c r="M1" s="35" t="s">
        <v>43</v>
      </c>
      <c r="N1" s="35" t="s">
        <v>46</v>
      </c>
      <c r="O1" s="35" t="s">
        <v>54</v>
      </c>
      <c r="P1" s="35" t="s">
        <v>55</v>
      </c>
      <c r="Q1" s="35" t="s">
        <v>56</v>
      </c>
      <c r="R1" s="35" t="s">
        <v>57</v>
      </c>
      <c r="S1" s="35" t="s">
        <v>47</v>
      </c>
      <c r="T1" s="35" t="s">
        <v>48</v>
      </c>
      <c r="U1" s="35" t="s">
        <v>58</v>
      </c>
      <c r="V1" s="35" t="s">
        <v>59</v>
      </c>
      <c r="W1" s="35" t="s">
        <v>60</v>
      </c>
      <c r="X1" s="35" t="s">
        <v>61</v>
      </c>
      <c r="Y1" s="35" t="s">
        <v>49</v>
      </c>
      <c r="Z1" s="35" t="s">
        <v>28</v>
      </c>
      <c r="AA1" s="35" t="s">
        <v>29</v>
      </c>
      <c r="AB1" s="35" t="s">
        <v>30</v>
      </c>
    </row>
    <row r="2" spans="1:28" ht="21" customHeight="1" x14ac:dyDescent="0.15">
      <c r="A2" s="41">
        <v>65535010</v>
      </c>
      <c r="B2" s="41" t="s">
        <v>408</v>
      </c>
      <c r="C2" s="44">
        <v>1</v>
      </c>
      <c r="D2" s="44" t="s">
        <v>409</v>
      </c>
      <c r="E2" s="45" t="s">
        <v>410</v>
      </c>
      <c r="F2" s="45" t="s">
        <v>411</v>
      </c>
      <c r="G2" s="54" t="str">
        <f>IFERROR(LEFT(B2,FIND("],",B2)),B2)</f>
        <v>[effect:heal, target:enemy_one, val:0.1, animation:enemy_heal]</v>
      </c>
      <c r="H2" s="54">
        <f>FIND("effect:",G2)+7</f>
        <v>9</v>
      </c>
      <c r="I2" s="54">
        <f>IFERROR(FIND(",",G2),LEN(G2))</f>
        <v>13</v>
      </c>
      <c r="J2" s="54">
        <f>FIND("target:",G2)+7</f>
        <v>22</v>
      </c>
      <c r="K2" s="54">
        <f>FIND(",",G2,I2+1)</f>
        <v>31</v>
      </c>
      <c r="L2" s="54" t="str">
        <f>IFERROR(VLOOKUP(MID(G2,J2,K2-J2),[5]skilldef!$C:$D,2,FALSE),"-") &amp; " / " &amp; IFERROR(VLOOKUP(MID(G2,H2,I2-H2),[5]skilldef!$A:$B,2,FALSE),"-")</f>
        <v>敵単体に / 回復</v>
      </c>
      <c r="M2" s="54" t="str">
        <f>IFERROR(RIGHT(B2,LEN(B2)-FIND("],",B2)-1),"none")</f>
        <v>none</v>
      </c>
      <c r="N2" s="42" t="str">
        <f>IFERROR(LEFT(M2,FIND("],",M2)+S12),M2)</f>
        <v>none</v>
      </c>
      <c r="O2" s="54" t="e">
        <f>FIND("effect:",N2)+7</f>
        <v>#VALUE!</v>
      </c>
      <c r="P2" s="54">
        <f>IFERROR(FIND(",",N2),LEN(N2))</f>
        <v>4</v>
      </c>
      <c r="Q2" s="54" t="e">
        <f>FIND("target:",N2)+7</f>
        <v>#VALUE!</v>
      </c>
      <c r="R2" s="54" t="e">
        <f>FIND(",",N2,P2+1)</f>
        <v>#VALUE!</v>
      </c>
      <c r="S2" s="54" t="str">
        <f>IFERROR(VLOOKUP(MID(N2,Q2,R2-Q2),[5]skilldef!$C:$D,2,FALSE),"-") &amp; " / " &amp; IFERROR(VLOOKUP(MID(N2,O2,P2-O2),[5]skilldef!$A:$B,2,FALSE),"-")</f>
        <v>- / -</v>
      </c>
      <c r="T2" s="42" t="str">
        <f>IFERROR(RIGHT(M2,LEN(M2)-FIND("],",M2)-1),"none")</f>
        <v>none</v>
      </c>
      <c r="U2" s="54" t="e">
        <f>FIND("effect:",T2)+7</f>
        <v>#VALUE!</v>
      </c>
      <c r="V2" s="54">
        <f>IFERROR(FIND(",",T2),LEN(T2))</f>
        <v>4</v>
      </c>
      <c r="W2" s="54" t="e">
        <f>FIND("target:",T2)+7</f>
        <v>#VALUE!</v>
      </c>
      <c r="X2" s="54" t="e">
        <f>FIND(",",T2,V2+1)</f>
        <v>#VALUE!</v>
      </c>
      <c r="Y2" s="54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</row>
  </sheetData>
  <autoFilter ref="A1:AB1"/>
  <phoneticPr fontId="11"/>
  <pageMargins left="0.75" right="0.75" top="1" bottom="1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412</v>
      </c>
      <c r="B1" s="36" t="s">
        <v>413</v>
      </c>
      <c r="C1" s="36" t="s">
        <v>396</v>
      </c>
      <c r="D1" s="36" t="s">
        <v>397</v>
      </c>
      <c r="E1" s="36" t="s">
        <v>398</v>
      </c>
      <c r="F1" s="47" t="s">
        <v>414</v>
      </c>
      <c r="G1" s="47" t="s">
        <v>415</v>
      </c>
      <c r="H1" s="36" t="s">
        <v>416</v>
      </c>
      <c r="I1" s="36" t="s">
        <v>417</v>
      </c>
      <c r="J1" s="36" t="s">
        <v>418</v>
      </c>
      <c r="K1" s="48" t="s">
        <v>33</v>
      </c>
    </row>
    <row r="2" spans="1:11" ht="21" customHeight="1" x14ac:dyDescent="0.15">
      <c r="A2" s="41">
        <v>65535010</v>
      </c>
      <c r="B2" s="41">
        <v>0</v>
      </c>
      <c r="C2" s="41" t="s">
        <v>419</v>
      </c>
      <c r="D2" s="41">
        <v>100</v>
      </c>
      <c r="E2" s="41" t="s">
        <v>419</v>
      </c>
      <c r="F2" s="41" t="s">
        <v>419</v>
      </c>
      <c r="G2" s="41" t="s">
        <v>419</v>
      </c>
      <c r="H2" s="41" t="s">
        <v>419</v>
      </c>
      <c r="I2" s="41" t="s">
        <v>419</v>
      </c>
      <c r="J2" s="42">
        <f t="shared" ref="J2" si="0">D2</f>
        <v>100</v>
      </c>
    </row>
  </sheetData>
  <autoFilter ref="A1:G1"/>
  <phoneticPr fontId="11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55" t="s">
        <v>420</v>
      </c>
      <c r="B1" s="155" t="s">
        <v>421</v>
      </c>
      <c r="C1" s="156" t="s">
        <v>422</v>
      </c>
      <c r="D1" s="157" t="s">
        <v>423</v>
      </c>
      <c r="E1" s="158" t="s">
        <v>424</v>
      </c>
      <c r="F1" s="155" t="s">
        <v>425</v>
      </c>
      <c r="G1" s="155" t="s">
        <v>426</v>
      </c>
      <c r="H1" s="155" t="s">
        <v>427</v>
      </c>
      <c r="I1" s="155" t="s">
        <v>428</v>
      </c>
      <c r="J1" s="155" t="s">
        <v>429</v>
      </c>
      <c r="K1" s="155" t="s">
        <v>430</v>
      </c>
      <c r="L1" s="155" t="s">
        <v>431</v>
      </c>
      <c r="M1" s="155" t="s">
        <v>432</v>
      </c>
      <c r="N1" s="155" t="s">
        <v>433</v>
      </c>
      <c r="O1" s="155" t="s">
        <v>434</v>
      </c>
      <c r="P1" s="155" t="s">
        <v>435</v>
      </c>
      <c r="Q1" s="155" t="s">
        <v>436</v>
      </c>
      <c r="R1" s="155" t="s">
        <v>437</v>
      </c>
    </row>
    <row r="2" spans="1:18" x14ac:dyDescent="0.15">
      <c r="A2" s="51">
        <f>floors!C2</f>
        <v>41002</v>
      </c>
      <c r="B2" s="51">
        <v>10</v>
      </c>
      <c r="C2" s="132" t="str">
        <f>A2&amp; "_"&amp;B2</f>
        <v>41002_10</v>
      </c>
      <c r="D2" s="16" t="e">
        <f ca="1">VLOOKUP($C2,OFFSET([2]stages!$A$1,0,0,COUNTA([2]stages!$A:$A),MATCH(D$1,[2]stages!$2:$2,0)-MATCH($C$1,[2]stages!$2:$2,0)+1),MATCH(D$1,[2]stages!$2:$2,0)-MATCH($C$1,[2]stages!$2:$2,0)+1,FALSE)</f>
        <v>#N/A</v>
      </c>
      <c r="E2" s="51">
        <v>1</v>
      </c>
      <c r="F2" s="51" t="s">
        <v>63</v>
      </c>
      <c r="G2" s="51">
        <v>1000</v>
      </c>
      <c r="H2" s="51" t="s">
        <v>438</v>
      </c>
      <c r="I2" s="51">
        <v>1</v>
      </c>
      <c r="J2" s="51">
        <v>1</v>
      </c>
      <c r="K2" s="51">
        <v>0</v>
      </c>
      <c r="L2" s="51">
        <v>0</v>
      </c>
      <c r="M2" s="51">
        <v>0</v>
      </c>
      <c r="N2" s="51">
        <v>0</v>
      </c>
      <c r="O2" s="51">
        <v>1</v>
      </c>
      <c r="P2" s="51">
        <v>100</v>
      </c>
      <c r="Q2" s="51" t="s">
        <v>240</v>
      </c>
      <c r="R2" s="51" t="s">
        <v>241</v>
      </c>
    </row>
    <row r="3" spans="1:18" x14ac:dyDescent="0.1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</row>
    <row r="4" spans="1:18" x14ac:dyDescent="0.15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</row>
    <row r="5" spans="1:18" x14ac:dyDescent="0.1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</row>
  </sheetData>
  <phoneticPr fontId="11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activeCell="D2" sqref="D2"/>
      <selection pane="bottomLeft" activeCell="H10" sqref="H10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8" t="s">
        <v>483</v>
      </c>
      <c r="B1" s="57" t="s">
        <v>481</v>
      </c>
      <c r="C1" s="59" t="s">
        <v>484</v>
      </c>
      <c r="D1" s="59" t="s">
        <v>20</v>
      </c>
      <c r="E1" s="57" t="s">
        <v>485</v>
      </c>
      <c r="F1" s="59" t="s">
        <v>484</v>
      </c>
      <c r="G1" s="59" t="s">
        <v>20</v>
      </c>
      <c r="H1" s="57" t="s">
        <v>486</v>
      </c>
      <c r="I1" s="67" t="s">
        <v>487</v>
      </c>
      <c r="J1" s="61" t="s">
        <v>488</v>
      </c>
      <c r="K1" s="60" t="s">
        <v>489</v>
      </c>
      <c r="L1" s="68" t="s">
        <v>490</v>
      </c>
      <c r="M1" s="62" t="s">
        <v>491</v>
      </c>
    </row>
  </sheetData>
  <phoneticPr fontId="11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activeCell="D2" sqref="D2"/>
      <selection pane="bottomLeft" activeCell="I16" sqref="I16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8" t="s">
        <v>440</v>
      </c>
      <c r="B1" s="57" t="s">
        <v>441</v>
      </c>
      <c r="C1" s="59" t="s">
        <v>442</v>
      </c>
      <c r="D1" s="59" t="s">
        <v>20</v>
      </c>
      <c r="E1" s="57" t="s">
        <v>443</v>
      </c>
      <c r="F1" s="59" t="s">
        <v>442</v>
      </c>
      <c r="G1" s="59" t="s">
        <v>20</v>
      </c>
      <c r="H1" s="57" t="s">
        <v>444</v>
      </c>
      <c r="I1" s="66" t="s">
        <v>445</v>
      </c>
      <c r="J1" s="67" t="s">
        <v>446</v>
      </c>
      <c r="K1" s="61" t="s">
        <v>447</v>
      </c>
      <c r="L1" s="60" t="s">
        <v>448</v>
      </c>
      <c r="M1" s="68" t="s">
        <v>449</v>
      </c>
      <c r="N1" s="62" t="s">
        <v>450</v>
      </c>
    </row>
    <row r="2" spans="1:14" x14ac:dyDescent="0.15">
      <c r="A2" s="133" t="s">
        <v>242</v>
      </c>
      <c r="B2" s="63">
        <f>floors!$C$2</f>
        <v>41002</v>
      </c>
      <c r="C2" s="64" t="str">
        <f ca="1">VLOOKUP($B2,OFFSET([2]quests!$A$1,0,0,COUNTA([2]quests!$A:$A),MATCH(C$1,[2]quests!$1:$1,0)-MATCH($B$1,[2]quests!$1:$1,0)+1),MATCH(C$1,[2]quests!$1:$1,0)-MATCH($B$1,[2]quests!$1:$1,0)+1,FALSE)</f>
        <v>アザゼル襲来！</v>
      </c>
      <c r="D2" s="64" t="str">
        <f ca="1">VLOOKUP($B2,OFFSET([2]quests!$A$1,0,0,COUNTA([2]quests!$A:$A),MATCH(D$1,[2]quests!$1:$1,0)-MATCH($B$1,[2]quests!$1:$1,0)+1),MATCH(D$1,[2]quests!$1:$1,0)-MATCH($B$1,[2]quests!$1:$1,0)+1,FALSE)</f>
        <v>降臨1</v>
      </c>
      <c r="E2" s="134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38">
        <v>1</v>
      </c>
      <c r="I2" s="135">
        <f>ROW()-1</f>
        <v>1</v>
      </c>
      <c r="J2" s="136" t="str">
        <f>B2&amp;TEXT(I2,"00")</f>
        <v>4100201</v>
      </c>
      <c r="K2" s="134" t="s">
        <v>451</v>
      </c>
      <c r="L2" s="137" t="s">
        <v>243</v>
      </c>
      <c r="M2" s="159"/>
      <c r="N2" s="51" t="s">
        <v>452</v>
      </c>
    </row>
  </sheetData>
  <phoneticPr fontId="11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X3"/>
  <sheetViews>
    <sheetView showGridLines="0" topLeftCell="B1" workbookViewId="0">
      <pane ySplit="1" topLeftCell="A2" activePane="bottomLeft" state="frozen"/>
      <selection activeCell="D2" sqref="D2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60" t="s">
        <v>453</v>
      </c>
      <c r="B1" s="161" t="s">
        <v>454</v>
      </c>
      <c r="C1" s="59" t="s">
        <v>455</v>
      </c>
      <c r="D1" s="59" t="s">
        <v>20</v>
      </c>
      <c r="E1" s="161" t="s">
        <v>456</v>
      </c>
      <c r="F1" s="59" t="s">
        <v>455</v>
      </c>
      <c r="G1" s="59" t="s">
        <v>20</v>
      </c>
      <c r="H1" s="161" t="s">
        <v>457</v>
      </c>
      <c r="I1" s="161" t="s">
        <v>458</v>
      </c>
      <c r="J1" s="161" t="s">
        <v>459</v>
      </c>
      <c r="K1" s="57" t="s">
        <v>460</v>
      </c>
      <c r="L1" s="57" t="s">
        <v>461</v>
      </c>
      <c r="M1" s="57" t="s">
        <v>462</v>
      </c>
      <c r="N1" s="59" t="s">
        <v>455</v>
      </c>
      <c r="O1" s="57" t="s">
        <v>463</v>
      </c>
      <c r="P1" s="57" t="s">
        <v>464</v>
      </c>
      <c r="Q1" s="57" t="s">
        <v>465</v>
      </c>
      <c r="R1" s="57" t="s">
        <v>466</v>
      </c>
      <c r="S1" s="57" t="s">
        <v>467</v>
      </c>
      <c r="T1" s="57" t="s">
        <v>468</v>
      </c>
      <c r="U1" s="57" t="s">
        <v>469</v>
      </c>
      <c r="V1" s="57" t="s">
        <v>470</v>
      </c>
      <c r="W1" s="57" t="s">
        <v>471</v>
      </c>
      <c r="X1" s="57" t="s">
        <v>472</v>
      </c>
    </row>
    <row r="2" spans="1:24" x14ac:dyDescent="0.15">
      <c r="A2" s="162" t="str">
        <f>B2&amp;"_"&amp;E2&amp;"_"&amp;H2&amp;"_"&amp;I2&amp;"_"&amp;J2</f>
        <v>41002_10_everyone_clear_1</v>
      </c>
      <c r="B2" s="63">
        <f>floors!$C$2</f>
        <v>41002</v>
      </c>
      <c r="C2" s="64" t="str">
        <f ca="1">VLOOKUP($B2,OFFSET([2]quests!$A$1,0,0,COUNTA([2]quests!$A:$A),MATCH(C$1,[2]quests!$1:$1,0)-MATCH($B$1,[2]quests!$1:$1,0)+1),MATCH(C$1,[2]quests!$1:$1,0)-MATCH($B$1,[2]quests!$1:$1,0)+1,FALSE)</f>
        <v>アザゼル襲来！</v>
      </c>
      <c r="D2" s="64" t="str">
        <f ca="1">VLOOKUP($B2,OFFSET([2]quests!$A$1,0,0,COUNTA([2]quests!$A:$A),MATCH(D$1,[2]quests!$1:$1,0)-MATCH($B$1,[2]quests!$1:$1,0)+1),MATCH(D$1,[2]quests!$1:$1,0)-MATCH($B$1,[2]quests!$1:$1,0)+1,FALSE)</f>
        <v>降臨1</v>
      </c>
      <c r="E2" s="134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38" t="s">
        <v>473</v>
      </c>
      <c r="I2" s="134" t="s">
        <v>474</v>
      </c>
      <c r="J2" s="134">
        <v>1</v>
      </c>
      <c r="K2" s="134">
        <v>610</v>
      </c>
      <c r="L2" s="134" t="s">
        <v>475</v>
      </c>
      <c r="M2" s="134">
        <v>334</v>
      </c>
      <c r="N2" s="16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134">
        <v>1</v>
      </c>
      <c r="P2" s="134">
        <v>1</v>
      </c>
      <c r="Q2" s="134">
        <v>1</v>
      </c>
      <c r="R2" s="134">
        <v>0</v>
      </c>
      <c r="S2" s="134">
        <v>0</v>
      </c>
      <c r="T2" s="134">
        <v>0</v>
      </c>
      <c r="U2" s="134">
        <v>0</v>
      </c>
      <c r="V2" s="134">
        <v>1</v>
      </c>
      <c r="W2" s="164" t="s">
        <v>476</v>
      </c>
      <c r="X2" s="165" t="s">
        <v>477</v>
      </c>
    </row>
    <row r="3" spans="1:24" x14ac:dyDescent="0.15">
      <c r="A3" s="162" t="str">
        <f>B3&amp;"_"&amp;E3&amp;"_"&amp;H3&amp;"_"&amp;I3&amp;"_"&amp;J3</f>
        <v>41002_10_everyone_no_continue_1</v>
      </c>
      <c r="B3" s="63">
        <f>floors!$C$2</f>
        <v>41002</v>
      </c>
      <c r="C3" s="64" t="str">
        <f ca="1">VLOOKUP($B3,OFFSET([2]quests!$A$1,0,0,COUNTA([2]quests!$A:$A),MATCH(C$1,[2]quests!$1:$1,0)-MATCH($B$1,[2]quests!$1:$1,0)+1),MATCH(C$1,[2]quests!$1:$1,0)-MATCH($B$1,[2]quests!$1:$1,0)+1,FALSE)</f>
        <v>アザゼル襲来！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降臨1</v>
      </c>
      <c r="E3" s="134">
        <v>10</v>
      </c>
      <c r="F3" s="6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6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138" t="s">
        <v>473</v>
      </c>
      <c r="I3" s="134" t="s">
        <v>478</v>
      </c>
      <c r="J3" s="134">
        <v>1</v>
      </c>
      <c r="K3" s="134">
        <v>610</v>
      </c>
      <c r="L3" s="134" t="s">
        <v>475</v>
      </c>
      <c r="M3" s="134">
        <v>334</v>
      </c>
      <c r="N3" s="16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134">
        <v>1</v>
      </c>
      <c r="P3" s="134">
        <v>1</v>
      </c>
      <c r="Q3" s="134">
        <v>1</v>
      </c>
      <c r="R3" s="134">
        <v>0</v>
      </c>
      <c r="S3" s="134">
        <v>0</v>
      </c>
      <c r="T3" s="134">
        <v>0</v>
      </c>
      <c r="U3" s="134">
        <v>0</v>
      </c>
      <c r="V3" s="134">
        <v>1</v>
      </c>
      <c r="W3" s="164" t="s">
        <v>479</v>
      </c>
      <c r="X3" s="165" t="s">
        <v>480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2017-06-07T10:17:00Z</dcterms:modified>
</cp:coreProperties>
</file>