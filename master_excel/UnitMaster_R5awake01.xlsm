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2900" yWindow="2540" windowWidth="25900" windowHeight="1412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2" i="23"/>
  <c r="BR2" i="23"/>
  <c r="J5" i="52"/>
  <c r="H5" i="52"/>
  <c r="E5" i="52"/>
  <c r="R2" i="58"/>
  <c r="J4" i="52"/>
  <c r="J2" i="52"/>
  <c r="G4" i="53"/>
  <c r="E3" i="53"/>
  <c r="AX2" i="23"/>
  <c r="E4" i="52"/>
  <c r="E3" i="52"/>
  <c r="T2" i="58"/>
  <c r="B16" i="54"/>
  <c r="E16" i="54"/>
  <c r="I16" i="54"/>
  <c r="B17" i="54"/>
  <c r="E17" i="54"/>
  <c r="I17" i="54"/>
  <c r="B12" i="54"/>
  <c r="E12" i="54"/>
  <c r="I12" i="54"/>
  <c r="B13" i="54"/>
  <c r="E13" i="54"/>
  <c r="I13" i="54"/>
  <c r="I9" i="54"/>
  <c r="E9" i="54"/>
  <c r="B9" i="54"/>
  <c r="I8" i="54"/>
  <c r="E8" i="54"/>
  <c r="B8" i="54"/>
  <c r="B4" i="54"/>
  <c r="E4" i="54"/>
  <c r="I4" i="54"/>
  <c r="B5" i="54"/>
  <c r="E5" i="54"/>
  <c r="I5" i="54"/>
  <c r="I15" i="54"/>
  <c r="E15" i="54"/>
  <c r="B15" i="54"/>
  <c r="I11" i="54"/>
  <c r="E11" i="54"/>
  <c r="B11" i="54"/>
  <c r="I7" i="54"/>
  <c r="E7" i="54"/>
  <c r="B7" i="54"/>
  <c r="I3" i="54"/>
  <c r="E3" i="54"/>
  <c r="B3" i="54"/>
  <c r="J3" i="52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J3" i="3"/>
  <c r="J2" i="3"/>
  <c r="H4" i="3"/>
  <c r="C4" i="3"/>
  <c r="F4" i="3"/>
  <c r="E4" i="3"/>
  <c r="D4" i="3"/>
  <c r="A4" i="3"/>
  <c r="H3" i="3"/>
  <c r="C3" i="3"/>
  <c r="F3" i="3"/>
  <c r="E3" i="3"/>
  <c r="D3" i="3"/>
  <c r="A3" i="3"/>
  <c r="I14" i="54"/>
  <c r="E14" i="54"/>
  <c r="B14" i="54"/>
  <c r="I10" i="54"/>
  <c r="E10" i="54"/>
  <c r="B10" i="54"/>
  <c r="I6" i="54"/>
  <c r="E6" i="54"/>
  <c r="B6" i="54"/>
  <c r="I2" i="54"/>
  <c r="E2" i="54"/>
  <c r="B2" i="54"/>
  <c r="G2" i="58"/>
  <c r="U2" i="58"/>
  <c r="G5" i="58"/>
  <c r="U5" i="58"/>
  <c r="R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R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R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5" i="53"/>
  <c r="E5" i="53"/>
  <c r="E4" i="53"/>
  <c r="G3" i="53"/>
  <c r="H4" i="52"/>
  <c r="H3" i="52"/>
  <c r="I2" i="23"/>
  <c r="J2" i="23"/>
  <c r="I3" i="23"/>
  <c r="J3" i="23"/>
  <c r="I4" i="23"/>
  <c r="J4" i="23"/>
  <c r="G2" i="5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G4" i="23"/>
  <c r="BC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G3" i="23"/>
  <c r="BC3" i="23"/>
  <c r="BD3" i="23"/>
  <c r="Q3" i="23"/>
  <c r="V3" i="23"/>
  <c r="W3" i="23"/>
  <c r="AD3" i="23"/>
  <c r="M3" i="23"/>
  <c r="BN3" i="23"/>
  <c r="U3" i="23"/>
  <c r="AC3" i="23"/>
  <c r="L3" i="23"/>
  <c r="BM3" i="23"/>
  <c r="T3" i="23"/>
  <c r="AB3" i="23"/>
  <c r="K3" i="23"/>
  <c r="BL3" i="23"/>
  <c r="S3" i="23"/>
  <c r="AA3" i="23"/>
  <c r="BK3" i="23"/>
  <c r="BE3" i="23"/>
  <c r="BJ3" i="23"/>
  <c r="BI3" i="23"/>
  <c r="BH3" i="23"/>
  <c r="BG3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E3" i="49"/>
  <c r="E5" i="49"/>
  <c r="C2" i="3"/>
  <c r="H2" i="3"/>
  <c r="F2" i="3"/>
  <c r="E2" i="3"/>
  <c r="D2" i="3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E15" i="49"/>
  <c r="E14" i="49"/>
  <c r="E13" i="49"/>
  <c r="G2" i="23"/>
  <c r="P2" i="23"/>
  <c r="G10" i="13"/>
  <c r="G9" i="13"/>
  <c r="G8" i="13"/>
  <c r="G4" i="13"/>
  <c r="G3" i="13"/>
  <c r="G2" i="13"/>
  <c r="B2" i="23"/>
  <c r="C2" i="23"/>
  <c r="D2" i="23"/>
  <c r="E2" i="23"/>
  <c r="F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  <c r="T3" i="58"/>
  <c r="T4" i="58"/>
  <c r="T5" i="58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草野：全角６０文字まで
</t>
        </r>
      </text>
    </comment>
    <comment ref="I1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草野：エネミースキルは使用できない
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F1" authorId="0">
      <text>
        <r>
          <rPr>
            <b/>
            <sz val="11"/>
            <color indexed="81"/>
            <rFont val="ＭＳ Ｐゴシック"/>
            <family val="3"/>
            <charset val="128"/>
          </rPr>
          <t>草野：パズル影響系のスキルは使用できない</t>
        </r>
      </text>
    </comment>
  </commentList>
</comments>
</file>

<file path=xl/sharedStrings.xml><?xml version="1.0" encoding="utf-8"?>
<sst xmlns="http://schemas.openxmlformats.org/spreadsheetml/2006/main" count="897" uniqueCount="369">
  <si>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</si>
  <si>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</si>
  <si>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</si>
  <si>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</si>
  <si>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</si>
  <si>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</si>
  <si>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</si>
  <si>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</si>
  <si>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</si>
  <si>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</si>
  <si>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</si>
  <si>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</si>
  <si>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</si>
  <si>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</si>
  <si>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</si>
  <si>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</si>
  <si>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</si>
  <si>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</si>
  <si>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</si>
  <si>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</si>
  <si>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</si>
  <si>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</si>
  <si>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</si>
  <si>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</si>
  <si>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</si>
  <si>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</si>
  <si>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</si>
  <si>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</si>
  <si>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</si>
  <si>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</si>
  <si>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</si>
  <si>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</si>
  <si>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</si>
  <si>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</si>
  <si>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</si>
  <si>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</si>
  <si>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</si>
  <si>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</si>
  <si>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</si>
  <si>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</si>
  <si>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</si>
  <si>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</si>
  <si>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</si>
  <si>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</si>
  <si>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</si>
  <si>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</si>
  <si>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</si>
  <si>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</si>
  <si>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</si>
  <si>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</si>
  <si>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</si>
  <si>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</si>
  <si>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</si>
  <si>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</si>
  <si>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</si>
  <si>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</si>
  <si>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</si>
  <si>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</si>
  <si>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</si>
  <si>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</si>
  <si>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</si>
  <si>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</si>
  <si>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</si>
  <si>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</si>
  <si>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</si>
  <si>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</si>
  <si>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</si>
  <si>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</si>
  <si>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</si>
  <si>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</si>
  <si>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</si>
  <si>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</si>
  <si>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</si>
  <si>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</si>
  <si>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</si>
  <si>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</si>
  <si>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</si>
  <si>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</si>
  <si>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</si>
  <si>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</si>
  <si>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</si>
  <si>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</si>
  <si>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</si>
  <si>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</si>
  <si>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</si>
  <si>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</si>
  <si>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</si>
  <si>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</si>
  <si>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</si>
  <si>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</si>
  <si>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</si>
  <si>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</si>
  <si>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</si>
  <si>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</si>
  <si>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</si>
  <si>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</si>
  <si>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</si>
  <si>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</si>
  <si>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</si>
  <si>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</si>
  <si>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</si>
  <si>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</si>
  <si>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</si>
  <si>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</si>
  <si>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</si>
  <si>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</si>
  <si>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</si>
  <si>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</si>
  <si>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</si>
  <si>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</si>
  <si>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</si>
  <si>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</si>
  <si>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</si>
  <si>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</si>
  <si>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</si>
  <si>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</si>
  <si>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</si>
  <si>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</si>
  <si>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</si>
  <si>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</si>
  <si>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</si>
  <si>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</si>
  <si>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</si>
  <si>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</si>
  <si>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</si>
  <si>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</si>
  <si>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</si>
  <si>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</si>
  <si>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</si>
  <si>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</si>
  <si>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</si>
  <si>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</si>
  <si>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</si>
  <si>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</si>
  <si>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</si>
  <si>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</si>
  <si>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</si>
  <si>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</si>
  <si>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</si>
  <si>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</si>
  <si>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</si>
  <si>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</si>
  <si>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</si>
  <si>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</si>
  <si>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</si>
  <si>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</si>
  <si>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</si>
  <si>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</si>
  <si>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</si>
  <si>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</si>
  <si>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</si>
  <si>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</si>
  <si>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</si>
  <si>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</si>
  <si>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</si>
  <si>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</si>
  <si>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</si>
  <si>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</si>
  <si>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</si>
  <si>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</si>
  <si>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</si>
  <si>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</si>
  <si>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</si>
  <si>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</si>
  <si>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</si>
  <si>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</si>
  <si>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</si>
  <si>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</si>
  <si>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</si>
  <si>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</si>
  <si>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</si>
  <si>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</si>
  <si>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</si>
  <si>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</si>
  <si>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</si>
  <si>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</si>
  <si>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</si>
  <si>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</si>
  <si>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</si>
  <si>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</si>
  <si>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</si>
  <si>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</si>
  <si>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</si>
  <si>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</si>
  <si>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</si>
  <si>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</si>
  <si>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</si>
  <si>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</si>
  <si>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frame_type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</si>
  <si>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</si>
  <si>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</si>
  <si>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</si>
  <si>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</si>
  <si>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</si>
  <si>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</si>
  <si>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</si>
  <si>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</si>
  <si>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</si>
  <si>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</si>
  <si>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</si>
  <si>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</si>
  <si>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</si>
  <si>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</si>
  <si>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</si>
  <si>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</si>
  <si>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</si>
  <si>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</si>
  <si>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</si>
  <si>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</si>
  <si>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</si>
  <si>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</si>
  <si>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</si>
  <si>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</si>
  <si>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</si>
  <si>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</si>
  <si>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</si>
  <si>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</si>
  <si>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</si>
  <si>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</si>
  <si>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</si>
  <si>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</si>
  <si>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</si>
  <si>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</si>
  <si>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</si>
  <si>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</si>
  <si>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</si>
  <si>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</si>
  <si>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</si>
  <si>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</si>
  <si>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</si>
  <si>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</si>
  <si>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</si>
  <si>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</si>
  <si>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</si>
  <si>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</si>
  <si>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</si>
  <si>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</si>
  <si>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</si>
  <si>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</si>
  <si>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</si>
  <si>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</si>
  <si>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</si>
  <si>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</si>
  <si>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</si>
  <si>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</si>
  <si>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</si>
  <si>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</si>
  <si>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</si>
  <si>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</si>
  <si>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</si>
  <si>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</si>
  <si>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</si>
  <si>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</si>
  <si>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</si>
  <si>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</si>
  <si>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</si>
  <si>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</si>
  <si>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</si>
  <si>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</si>
  <si>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</si>
  <si>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</si>
  <si>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</si>
  <si>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</si>
  <si>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</si>
  <si>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</si>
  <si>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</si>
  <si>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</si>
  <si>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</si>
  <si>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</si>
  <si>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</si>
  <si>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</si>
  <si>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</si>
  <si>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</si>
  <si>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</si>
  <si>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</si>
  <si>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</si>
  <si>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</si>
  <si>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</si>
  <si>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</si>
  <si>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</si>
  <si>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normal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</si>
  <si>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</si>
  <si>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</si>
  <si>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</si>
  <si>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</si>
  <si>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</si>
  <si>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</si>
  <si>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</si>
  <si>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</si>
  <si>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</si>
  <si>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</si>
  <si>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</si>
  <si>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</si>
  <si>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</si>
  <si>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</si>
  <si>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serif_type</t>
    <phoneticPr fontId="22"/>
  </si>
  <si>
    <t>temp</t>
    <phoneticPr fontId="22"/>
  </si>
  <si>
    <t>serif_id</t>
    <phoneticPr fontId="22"/>
  </si>
  <si>
    <t>language</t>
    <phoneticPr fontId="22"/>
  </si>
  <si>
    <t>serif</t>
    <phoneticPr fontId="22"/>
  </si>
  <si>
    <t>ja</t>
    <phoneticPr fontId="22"/>
  </si>
  <si>
    <t>skill</t>
  </si>
  <si>
    <t>giza</t>
  </si>
  <si>
    <t>好き勝手させない！</t>
    <phoneticPr fontId="22"/>
  </si>
  <si>
    <t>kumo</t>
  </si>
  <si>
    <t>驚いた？ここよ！！</t>
    <phoneticPr fontId="22"/>
  </si>
  <si>
    <t>消し炭にしてやる</t>
    <phoneticPr fontId="22"/>
  </si>
  <si>
    <t>最速で斬る！</t>
  </si>
  <si>
    <t>skill_cost</t>
    <phoneticPr fontId="22"/>
  </si>
  <si>
    <t>見切れるものか！</t>
    <phoneticPr fontId="22"/>
  </si>
  <si>
    <t>old</t>
  </si>
  <si>
    <t>r5awake</t>
    <phoneticPr fontId="22"/>
  </si>
  <si>
    <t>森のみんな！力を貸して！</t>
    <phoneticPr fontId="22"/>
  </si>
  <si>
    <t>オレの拳は堅いぞ</t>
    <phoneticPr fontId="22"/>
  </si>
  <si>
    <t>自然の力を見せてあげる！</t>
    <phoneticPr fontId="22"/>
  </si>
  <si>
    <t>[effect:enhance_unit, target:unit_blue, turn:4, status:attack, val:0.3, calc:mul, animation:enhance_unit_all_attack04],[effect:counter_new, target:unit_all, invoke_condition:enemy_all, counter_target:attacker, turn:4, val:4, animation:counter_buff03]</t>
    <phoneticPr fontId="22"/>
  </si>
  <si>
    <t>森羅躍動の神風</t>
    <phoneticPr fontId="22"/>
  </si>
  <si>
    <t>駆け巡る護刃風</t>
    <phoneticPr fontId="22"/>
  </si>
  <si>
    <t>どこからでもかかってこい！</t>
    <phoneticPr fontId="22"/>
  </si>
  <si>
    <t>力がみなぎってくる！</t>
    <phoneticPr fontId="22"/>
  </si>
  <si>
    <t>湧き上がる衝動</t>
    <phoneticPr fontId="22"/>
  </si>
  <si>
    <t>狂乱の蒼き咆哮</t>
    <phoneticPr fontId="22"/>
  </si>
  <si>
    <t>[effect:enhance_unit, target:unit_green, turn:4, status:attack, val:0.3, calc:mul, animation:enhance_unit_all_attack04], [effect:cure, bad_status:virus, animation:cure01]</t>
    <phoneticPr fontId="22"/>
  </si>
  <si>
    <t>単体に大ダメージ
赤属性に効果特大</t>
    <phoneticPr fontId="22"/>
  </si>
  <si>
    <t>ウィルス解除+4ターンの間緑属性のユニットの攻撃力を超大UP</t>
    <phoneticPr fontId="22"/>
  </si>
  <si>
    <t>黄属性に効果特大の単体ダメージ+
2ターン緑属性の防御力UP</t>
    <phoneticPr fontId="22"/>
  </si>
  <si>
    <t>[effect:damage_anti_color, target:enemy_one, color:red, val1:3.37, val2:1.68, animation:damage_one_blue05]</t>
    <phoneticPr fontId="22"/>
  </si>
  <si>
    <t>[effect:damage_anti_color, target:enemy_one, color:blue, val1:3.37, val2:1.68, animation:damage_one_yellow05]</t>
    <phoneticPr fontId="22"/>
  </si>
  <si>
    <t>単体に大ダメージ
緑属性に効果特大</t>
    <phoneticPr fontId="22"/>
  </si>
  <si>
    <t>お邪魔パネルを赤のボムパネル(大)に変換+4ターンの間赤属性のユニットの攻撃力を超大UP</t>
    <phoneticPr fontId="22"/>
  </si>
  <si>
    <t>[effect:force_change_block, new_block:crack_bomb, target:jammer, ignore01:crash, ignore02:crack_bomb, color:block_red,count:0, val:20, animation:change_block],[effect:enhance_unit, target:unit_red, turn:4, status:attack, val:0.3, calc:mul, animation:enhance_unit_all_attack04]</t>
    <phoneticPr fontId="22"/>
  </si>
  <si>
    <t>貧弱だね！</t>
    <phoneticPr fontId="22"/>
  </si>
  <si>
    <t>この骨は砕けないよ！</t>
    <phoneticPr fontId="22"/>
  </si>
  <si>
    <t>[effect:enhance_unit, target:unit_green, turn:2, status:defense, val:72, calc:add,animation:enhance_unit_all_defence02_unit01],[effect:damage_anti_color, target:enemy_one, color:yellow, val1:3.37, val2:1.68, animation:damage_one_green05]</t>
    <phoneticPr fontId="22"/>
  </si>
  <si>
    <t>[effect:damage_anti_color, target:enemy_one, color:green, val1:3.37, val2:1.68, animation:damage_one_red05]</t>
    <phoneticPr fontId="22"/>
  </si>
  <si>
    <t>荒れ狂う炎で包んでやるよ！</t>
    <phoneticPr fontId="22"/>
  </si>
  <si>
    <t>噴炎熱破の乱舞</t>
  </si>
  <si>
    <t>膨雷電導の飛翔</t>
  </si>
  <si>
    <t>膨れ上がれ雷の力！</t>
    <phoneticPr fontId="22"/>
  </si>
  <si>
    <t>斬鉄の雷撃</t>
  </si>
  <si>
    <t>極炎の骨撃</t>
  </si>
  <si>
    <t>閃光の如く斬り伏せる！</t>
    <phoneticPr fontId="22"/>
  </si>
  <si>
    <t>単体に大ダメージ
青属性に効果特大</t>
    <phoneticPr fontId="22"/>
  </si>
  <si>
    <t>4ターンの間青属性のユニットの攻撃力を超大UP+超大カウンター</t>
    <phoneticPr fontId="22"/>
  </si>
  <si>
    <t>[effect:enhance_unit, target:unit_yellow, turn:4, status:attack, val:0.3, calc:mul, animation:enhance_unit_all_attack04],[effect:enhance_unit, target:unit_yellow, turn:3, status:action, val:2.0, calc:mul, animation:enhance_unit_one_action02]</t>
    <phoneticPr fontId="22"/>
  </si>
  <si>
    <t>4ターンの間黄属性のユニットの攻撃力を超大UP+3ターン黄属性のタップ回数を2増やす</t>
    <phoneticPr fontId="22"/>
  </si>
  <si>
    <t>さぁて暴れてやろうか！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</si>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</sst>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ＭＳ Ｐゴシック"/>
      <family val="3"/>
      <charset val="128"/>
      <scheme val="minor"/>
    </font>
    <font>
      <b/>
      <sz val="11"/>
      <color indexed="81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0" tint="-0.14999847407452621"/>
        <bgColor indexed="55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7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16" fillId="0" borderId="4" xfId="0" applyFont="1" applyFill="1" applyBorder="1"/>
    <xf numFmtId="0" fontId="16" fillId="29" borderId="4" xfId="0" applyFont="1" applyFill="1" applyBorder="1"/>
    <xf numFmtId="0" fontId="16" fillId="7" borderId="18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right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wrapText="1"/>
    </xf>
    <xf numFmtId="0" fontId="26" fillId="0" borderId="7" xfId="0" applyFont="1" applyFill="1" applyBorder="1" applyAlignment="1">
      <alignment horizontal="right" vertical="center" wrapText="1"/>
    </xf>
    <xf numFmtId="0" fontId="26" fillId="0" borderId="4" xfId="0" applyFont="1" applyFill="1" applyBorder="1" applyAlignment="1">
      <alignment horizontal="left" vertical="center" wrapText="1"/>
    </xf>
    <xf numFmtId="0" fontId="26" fillId="0" borderId="0" xfId="0" applyFont="1" applyFill="1" applyAlignment="1">
      <alignment vertical="center" wrapText="1"/>
    </xf>
    <xf numFmtId="0" fontId="13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horizontal="left" vertical="center" wrapText="1"/>
    </xf>
  </cellXfs>
  <cellStyles count="457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opLeftCell="K1" workbookViewId="0">
      <selection activeCell="R8" sqref="R8"/>
    </sheetView>
  </sheetViews>
  <sheetFormatPr baseColWidth="12" defaultRowHeight="15" x14ac:dyDescent="0.15"/>
  <cols>
    <col min="2" max="2" width="22.1640625" customWidth="1"/>
    <col min="5" max="5" width="33.33203125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310</v>
      </c>
      <c r="B2" s="109" t="s">
        <v>129</v>
      </c>
      <c r="C2" s="166" t="s">
        <v>311</v>
      </c>
      <c r="D2" s="109" t="s">
        <v>128</v>
      </c>
      <c r="E2" s="108" t="str">
        <f>B2&amp;C2&amp;D2</f>
        <v>units_r5awake.tmp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347</v>
      </c>
      <c r="S2" s="109"/>
      <c r="T2" s="109"/>
      <c r="U2" s="109"/>
      <c r="V2" s="109"/>
      <c r="W2" s="109"/>
    </row>
    <row r="3" spans="1:29" x14ac:dyDescent="0.15">
      <c r="A3" s="109" t="s">
        <v>310</v>
      </c>
      <c r="B3" s="109" t="s">
        <v>286</v>
      </c>
      <c r="C3" s="166" t="s">
        <v>311</v>
      </c>
      <c r="D3" s="109" t="s">
        <v>128</v>
      </c>
      <c r="E3" s="108" t="str">
        <f>B3&amp;C3&amp;D3</f>
        <v>fork_awake_units_r5awake.tmp</v>
      </c>
      <c r="F3" s="109" t="s">
        <v>287</v>
      </c>
      <c r="G3" s="63" t="s">
        <v>17</v>
      </c>
      <c r="H3" s="64" t="s">
        <v>288</v>
      </c>
      <c r="I3" s="64" t="s">
        <v>289</v>
      </c>
      <c r="J3" s="64" t="s">
        <v>290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310</v>
      </c>
      <c r="B4" s="109" t="s">
        <v>130</v>
      </c>
      <c r="C4" s="166" t="s">
        <v>311</v>
      </c>
      <c r="D4" s="109" t="s">
        <v>128</v>
      </c>
      <c r="E4" s="108" t="str">
        <f>B4&amp;C4&amp;D4</f>
        <v>awake_materials_r5awake.tmp</v>
      </c>
      <c r="F4" s="109" t="s">
        <v>123</v>
      </c>
      <c r="G4" s="110" t="s">
        <v>38</v>
      </c>
      <c r="H4" s="111" t="s">
        <v>36</v>
      </c>
      <c r="I4" s="111" t="s">
        <v>37</v>
      </c>
      <c r="J4" s="113" t="s">
        <v>126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310</v>
      </c>
      <c r="B5" s="109" t="s">
        <v>285</v>
      </c>
      <c r="C5" s="166" t="s">
        <v>311</v>
      </c>
      <c r="D5" s="109" t="s">
        <v>128</v>
      </c>
      <c r="E5" s="108" t="str">
        <f>B5&amp;C5&amp;D5</f>
        <v>fork_awake_materials_r5awake.tmp</v>
      </c>
      <c r="F5" s="109" t="s">
        <v>123</v>
      </c>
      <c r="G5" s="188" t="s">
        <v>291</v>
      </c>
      <c r="H5" s="188" t="s">
        <v>292</v>
      </c>
      <c r="I5" s="188" t="s">
        <v>36</v>
      </c>
      <c r="J5" s="188" t="s">
        <v>37</v>
      </c>
      <c r="K5" s="188" t="s">
        <v>293</v>
      </c>
      <c r="L5" s="188" t="s">
        <v>294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310</v>
      </c>
      <c r="B6" s="109" t="s">
        <v>131</v>
      </c>
      <c r="C6" s="166" t="s">
        <v>311</v>
      </c>
      <c r="D6" s="109" t="s">
        <v>132</v>
      </c>
      <c r="E6" s="108" t="str">
        <f t="shared" ref="E6" si="0">B6&amp;C6&amp;D6</f>
        <v>unit_levels_calc_r5awake.tmp</v>
      </c>
      <c r="F6" s="109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9" t="s">
        <v>310</v>
      </c>
      <c r="B7" s="109" t="s">
        <v>143</v>
      </c>
      <c r="C7" s="166" t="s">
        <v>311</v>
      </c>
      <c r="D7" s="109" t="s">
        <v>144</v>
      </c>
      <c r="E7" s="108" t="str">
        <f>B7&amp;C7&amp;D7</f>
        <v>unit_skills_data_r5awake.tmp</v>
      </c>
      <c r="F7" s="109" t="s">
        <v>145</v>
      </c>
      <c r="G7" s="117" t="s">
        <v>20</v>
      </c>
      <c r="H7" s="117" t="s">
        <v>146</v>
      </c>
      <c r="I7" s="117" t="s">
        <v>2</v>
      </c>
      <c r="J7" s="117" t="s">
        <v>147</v>
      </c>
      <c r="K7" s="117" t="s">
        <v>148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310</v>
      </c>
      <c r="B8" s="109" t="s">
        <v>149</v>
      </c>
      <c r="C8" s="166" t="s">
        <v>311</v>
      </c>
      <c r="D8" s="109" t="s">
        <v>128</v>
      </c>
      <c r="E8" s="108" t="str">
        <f>B8&amp;C8&amp;D8</f>
        <v>unit_skills_i18n_r5awake.tmp</v>
      </c>
      <c r="F8" s="109" t="s">
        <v>145</v>
      </c>
      <c r="G8" s="117" t="s">
        <v>150</v>
      </c>
      <c r="H8" s="117" t="s">
        <v>134</v>
      </c>
      <c r="I8" s="117" t="s">
        <v>151</v>
      </c>
      <c r="J8" s="117" t="s">
        <v>152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310</v>
      </c>
      <c r="B9" s="109" t="s">
        <v>153</v>
      </c>
      <c r="C9" s="166" t="s">
        <v>311</v>
      </c>
      <c r="D9" s="109" t="s">
        <v>154</v>
      </c>
      <c r="E9" s="108" t="str">
        <f>B9&amp;C9&amp;D9</f>
        <v>crash_skills_data_r5awake.tmp</v>
      </c>
      <c r="F9" s="109" t="s">
        <v>155</v>
      </c>
      <c r="G9" s="117" t="s">
        <v>156</v>
      </c>
      <c r="H9" s="117" t="s">
        <v>148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310</v>
      </c>
      <c r="B10" s="109" t="s">
        <v>157</v>
      </c>
      <c r="C10" s="166" t="s">
        <v>311</v>
      </c>
      <c r="D10" s="109" t="s">
        <v>158</v>
      </c>
      <c r="E10" s="108" t="str">
        <f t="shared" ref="E10" si="1">B10&amp;C10&amp;D10</f>
        <v>crash_skills_i18n_r5awake.tmp</v>
      </c>
      <c r="F10" s="109" t="s">
        <v>155</v>
      </c>
      <c r="G10" s="117" t="s">
        <v>159</v>
      </c>
      <c r="H10" s="117" t="s">
        <v>160</v>
      </c>
      <c r="I10" s="117" t="s">
        <v>161</v>
      </c>
      <c r="J10" s="117" t="s">
        <v>162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310</v>
      </c>
      <c r="B11" s="112" t="s">
        <v>135</v>
      </c>
      <c r="C11" s="166" t="s">
        <v>311</v>
      </c>
      <c r="D11" s="109" t="s">
        <v>158</v>
      </c>
      <c r="E11" s="108" t="str">
        <f t="shared" ref="E11:E12" si="2">B11&amp;C11&amp;D11</f>
        <v>unit_serifs_data_r5awake.tmp</v>
      </c>
      <c r="F11" s="112" t="s">
        <v>137</v>
      </c>
      <c r="G11" s="116" t="s">
        <v>138</v>
      </c>
      <c r="H11" s="117" t="s">
        <v>139</v>
      </c>
      <c r="I11" s="117" t="s">
        <v>133</v>
      </c>
      <c r="J11" s="115" t="s">
        <v>188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310</v>
      </c>
      <c r="B12" s="112" t="s">
        <v>136</v>
      </c>
      <c r="C12" s="166" t="s">
        <v>311</v>
      </c>
      <c r="D12" s="109" t="s">
        <v>158</v>
      </c>
      <c r="E12" s="108" t="str">
        <f t="shared" si="2"/>
        <v>unit_serifs_i18n_r5awake.tmp</v>
      </c>
      <c r="F12" s="112" t="s">
        <v>137</v>
      </c>
      <c r="G12" s="116" t="s">
        <v>140</v>
      </c>
      <c r="H12" s="117" t="s">
        <v>141</v>
      </c>
      <c r="I12" s="117" t="s">
        <v>142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42" t="s">
        <v>184</v>
      </c>
      <c r="B13" s="109" t="s">
        <v>245</v>
      </c>
      <c r="C13" s="166" t="s">
        <v>311</v>
      </c>
      <c r="D13" s="109" t="s">
        <v>246</v>
      </c>
      <c r="E13" s="108" t="str">
        <f>B13&amp;C13&amp;D13</f>
        <v>abilities_r5awake.tmp</v>
      </c>
      <c r="F13" s="109" t="s">
        <v>247</v>
      </c>
      <c r="G13" s="167" t="s">
        <v>248</v>
      </c>
      <c r="H13" s="167" t="s">
        <v>249</v>
      </c>
      <c r="I13" s="167" t="s">
        <v>250</v>
      </c>
      <c r="J13" s="167"/>
      <c r="K13" s="168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42" t="s">
        <v>184</v>
      </c>
      <c r="B14" s="109" t="s">
        <v>251</v>
      </c>
      <c r="C14" s="166" t="s">
        <v>311</v>
      </c>
      <c r="D14" s="109" t="s">
        <v>128</v>
      </c>
      <c r="E14" s="108" t="str">
        <f>B14&amp;C14&amp;D14</f>
        <v>abilities_i18n_r5awake.tmp</v>
      </c>
      <c r="F14" s="109" t="s">
        <v>252</v>
      </c>
      <c r="G14" s="167" t="s">
        <v>248</v>
      </c>
      <c r="H14" s="167" t="s">
        <v>141</v>
      </c>
      <c r="I14" s="167" t="s">
        <v>253</v>
      </c>
      <c r="J14" s="167" t="s">
        <v>152</v>
      </c>
      <c r="K14" s="168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42" t="s">
        <v>184</v>
      </c>
      <c r="B15" s="109" t="s">
        <v>254</v>
      </c>
      <c r="C15" s="166" t="s">
        <v>311</v>
      </c>
      <c r="D15" s="109" t="s">
        <v>128</v>
      </c>
      <c r="E15" s="108" t="str">
        <f>B15&amp;C15&amp;D15</f>
        <v>unit_abilities_r5awake.tmp</v>
      </c>
      <c r="F15" s="109" t="s">
        <v>255</v>
      </c>
      <c r="G15" s="167" t="s">
        <v>138</v>
      </c>
      <c r="H15" s="169" t="s">
        <v>256</v>
      </c>
      <c r="I15" s="169" t="s">
        <v>257</v>
      </c>
      <c r="J15" s="170" t="s">
        <v>258</v>
      </c>
      <c r="K15" s="167" t="s">
        <v>259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BL2" activePane="bottomRight" state="frozen"/>
      <selection pane="topRight" activeCell="J1" sqref="J1"/>
      <selection pane="bottomLeft" activeCell="A3" sqref="A3"/>
      <selection pane="bottomRight" activeCell="BS9" sqref="BS9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33.3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348</v>
      </c>
    </row>
    <row r="2" spans="1:70" ht="26" customHeight="1" x14ac:dyDescent="0.15">
      <c r="A2" s="12">
        <v>560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暴骨炎舞の狂賢者 ユノ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R５覚醒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アバター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美しい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PremiumW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26</v>
      </c>
      <c r="O2" s="11">
        <f ca="1">INDEX(レベル!$A$1:$I$21,MATCH(H2,レベル!$A$1:$A$21,FALSE),MATCH(G2,レベル!$A$1:$I$1,FALSE))</f>
        <v>80</v>
      </c>
      <c r="P2" s="48">
        <f ca="1">IF(G2 &gt;= 6, 99,G2*15)</f>
        <v>75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 t="s">
        <v>183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126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骨器使い ユノ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5"/>
      <c r="AP2" s="67">
        <v>560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噴炎熱破の乱舞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お邪魔パネルを赤のボムパネル(大)に変換+4ターンの間赤属性のユニットの攻撃力を超大UP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v>560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極炎の骨撃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単体に大ダメージ_x000D_緑属性に効果特大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1.2</v>
      </c>
      <c r="AZ2" s="68">
        <v>1.1499999999999999</v>
      </c>
      <c r="BA2" s="68">
        <v>0</v>
      </c>
      <c r="BB2" s="68">
        <v>0.8</v>
      </c>
      <c r="BC2" s="11">
        <f ca="1">INDEX('RC6SV'!$A$1:$G$20,MATCH(H2,'RC6SV'!$A$1:$A$20,FALSE),MATCH(G2,'RC6SV'!$A$1:$G$1,FALSE))</f>
        <v>9000</v>
      </c>
      <c r="BD2" s="48">
        <f t="shared" ref="BD2" ca="1" si="1">ROUND(BC2*IF(AJ2=1,0.95,IF(AJ2=2,1,IF(AJ2,1.05,0))),0)</f>
        <v>9000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2538</v>
      </c>
      <c r="BH2" s="16">
        <f ca="1">IF($BE2&lt;=0,ROUND(BL2*0.5,0), ROUND($BE2*T2*AB2*K2*AZ2*0.8*[1]ステータス!$C$2,0))</f>
        <v>2085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633</v>
      </c>
      <c r="BK2" s="11">
        <f ca="1">ROUND(BD2*S2*AA2*J2*AY2*[1]ステータス!$B$2,0)</f>
        <v>5076</v>
      </c>
      <c r="BL2" s="11">
        <f ca="1">ROUND(BD2*T2*AB2*K2*AZ2*[1]ステータス!$C$2,0)</f>
        <v>4170</v>
      </c>
      <c r="BM2" s="11">
        <f ca="1">ROUND(BD2*U2*AC2*L2*BA2*[1]ステータス!$D$2,0)</f>
        <v>0</v>
      </c>
      <c r="BN2" s="11">
        <f ca="1">ROUND(BD2*V2*AD2*M2*BB2*[1]ステータス!$E$2,0)</f>
        <v>1265</v>
      </c>
      <c r="BO2" s="10">
        <v>0</v>
      </c>
      <c r="BP2" s="10">
        <v>1</v>
      </c>
      <c r="BQ2" s="38" t="s">
        <v>47</v>
      </c>
      <c r="BR2" s="10">
        <f ca="1">VLOOKUP(H2,ghosts_label!$A$2:$B$19,2,FALSE)</f>
        <v>500</v>
      </c>
    </row>
    <row r="3" spans="1:70" ht="26" customHeight="1" x14ac:dyDescent="0.15">
      <c r="A3" s="12">
        <v>561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森翠統べる獣姫 アマラ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R５覚醒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PremiumW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8">
        <f ca="1">IF(G3 &gt;= 6, 99,G3*15)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animal</v>
      </c>
      <c r="Z3" s="5" t="str">
        <f ca="1">VLOOKUP(Y3,[1]character_tribe_i18n!$A:$H,3,FALSE)</f>
        <v>アニマル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183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128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野生児 アマラ</v>
      </c>
      <c r="AI3" s="11" t="str">
        <f>IF(AE3="NULL","NULL",VLOOKUP(G3,ビット!$A$2:$B$7,2))</f>
        <v>NULL</v>
      </c>
      <c r="AJ3" s="6">
        <v>2</v>
      </c>
      <c r="AK3" s="7" t="str">
        <f t="shared" ref="AK3:AK5" si="2">IF(AJ3=1,"早熟",IF(AJ3=2,"普通",IF(AJ3=3,"晩成","")))</f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v>561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森羅躍動の神風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ウィルス解除+4ターンの間緑属性のユニットの攻撃力を超大UP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v>561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駆け巡る護刃風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黄属性に効果特大の単体ダメージ+_x000D_2ターン緑属性の防御力UP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1.2</v>
      </c>
      <c r="AZ3" s="68">
        <v>1.02</v>
      </c>
      <c r="BA3" s="68">
        <v>0</v>
      </c>
      <c r="BB3" s="68">
        <v>1</v>
      </c>
      <c r="BC3" s="11">
        <f ca="1">INDEX('RC6SV'!$A$1:$G$20,MATCH(H3,'RC6SV'!$A$1:$A$20,FALSE),MATCH(G3,'RC6SV'!$A$1:$G$1,FALSE))</f>
        <v>9000</v>
      </c>
      <c r="BD3" s="48">
        <f t="shared" ref="BD3:BD5" ca="1" si="3">ROUND(BC3*IF(AJ3=1,0.95,IF(AJ3=2,1,IF(AJ3,1.05,0))),0)</f>
        <v>9000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2589</v>
      </c>
      <c r="BH3" s="16">
        <f ca="1">IF($BE3&lt;=0,ROUND(BL3*0.5,0), ROUND($BE3*T3*AB3*K3*AZ3*0.8*[1]ステータス!$C$2,0))</f>
        <v>1777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807</v>
      </c>
      <c r="BK3" s="11">
        <f ca="1">ROUND(BD3*S3*AA3*J3*AY3*[1]ステータス!$B$2,0)</f>
        <v>5178</v>
      </c>
      <c r="BL3" s="11">
        <f ca="1">ROUND(BD3*T3*AB3*K3*AZ3*[1]ステータス!$C$2,0)</f>
        <v>3554</v>
      </c>
      <c r="BM3" s="11">
        <f ca="1">ROUND(BD3*U3*AC3*L3*BA3*[1]ステータス!$D$2,0)</f>
        <v>0</v>
      </c>
      <c r="BN3" s="11">
        <f ca="1">ROUND(BD3*V3*AD3*M3*BB3*[1]ステータス!$E$2,0)</f>
        <v>1613</v>
      </c>
      <c r="BO3" s="10">
        <v>0</v>
      </c>
      <c r="BP3" s="10">
        <v>1</v>
      </c>
      <c r="BQ3" s="38" t="s">
        <v>47</v>
      </c>
      <c r="BR3" s="10">
        <f ca="1">VLOOKUP(H3,ghosts_label!$A$2:$B$19,2,FALSE)</f>
        <v>500</v>
      </c>
    </row>
    <row r="4" spans="1:70" ht="26" customHeight="1" x14ac:dyDescent="0.15">
      <c r="A4" s="12">
        <v>562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月夜砕く蒼狂狼 ローレンス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R５覚醒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アバター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PremiumW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26</v>
      </c>
      <c r="O4" s="11">
        <f ca="1">INDEX(レベル!$A$1:$I$21,MATCH(H4,レベル!$A$1:$A$21,FALSE),MATCH(G4,レベル!$A$1:$I$1,FALSE))</f>
        <v>80</v>
      </c>
      <c r="P4" s="48">
        <f ca="1">IF(G4 &gt;= 6, 99,G4*15)</f>
        <v>75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 t="s">
        <v>183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v>130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狼男 ローレンス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6400</v>
      </c>
      <c r="AN4" s="17">
        <f ca="1">VLOOKUP(G4,ビット!$G$2:$H$7,2)</f>
        <v>900</v>
      </c>
      <c r="AO4" s="45"/>
      <c r="AP4" s="67">
        <v>562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狂乱の蒼き咆哮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4ターンの間青属性のユニットの攻撃力を超大UP+超大カウンター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v>562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湧き上がる衝動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単体に大ダメージ_x000D_赤属性に効果特大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1.2</v>
      </c>
      <c r="BA4" s="68">
        <v>0</v>
      </c>
      <c r="BB4" s="68">
        <v>0.98</v>
      </c>
      <c r="BC4" s="11">
        <f ca="1">INDEX('RC6SV'!$A$1:$G$20,MATCH(H4,'RC6SV'!$A$1:$A$20,FALSE),MATCH(G4,'RC6SV'!$A$1:$G$1,FALSE))</f>
        <v>9000</v>
      </c>
      <c r="BD4" s="48">
        <f t="shared" ca="1" si="3"/>
        <v>9000</v>
      </c>
      <c r="BE4" s="11">
        <f ca="1">ROUND(IFERROR(INDIRECT(ADDRESS(MATCH($A4,$AE:$AE,0),MATCH($BC$1,$1:$1,0))),0),0)</f>
        <v>0</v>
      </c>
      <c r="BF4" s="11">
        <f ca="1">ROUND(IFERROR(INDIRECT(ADDRESS(MATCH($A4,$AE:$AE,0),10)),INDIRECT(ADDRESS(MATCH($A4,$A:$A,0),10))),0)</f>
        <v>1</v>
      </c>
      <c r="BG4" s="16">
        <f ca="1">IF($BE4&lt;=0,ROUND(BK4*0.5,0), ROUND($BE4*S4*AA4*J4*AY4*0.8*[1]ステータス!$B$2,0))</f>
        <v>2250</v>
      </c>
      <c r="BH4" s="16">
        <f ca="1">IF($BE4&lt;=0,ROUND(BL4*0.5,0), ROUND($BE4*T4*AB4*K4*AZ4*0.8*[1]ステータス!$C$2,0))</f>
        <v>2323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678</v>
      </c>
      <c r="BK4" s="11">
        <f ca="1">ROUND(BD4*S4*AA4*J4*AY4*[1]ステータス!$B$2,0)</f>
        <v>4500</v>
      </c>
      <c r="BL4" s="11">
        <f ca="1">ROUND(BD4*T4*AB4*K4*AZ4*[1]ステータス!$C$2,0)</f>
        <v>4645</v>
      </c>
      <c r="BM4" s="11">
        <f ca="1">ROUND(BD4*U4*AC4*L4*BA4*[1]ステータス!$D$2,0)</f>
        <v>0</v>
      </c>
      <c r="BN4" s="11">
        <f ca="1">ROUND(BD4*V4*AD4*M4*BB4*[1]ステータス!$E$2,0)</f>
        <v>1356</v>
      </c>
      <c r="BO4" s="10">
        <v>0</v>
      </c>
      <c r="BP4" s="10">
        <v>1</v>
      </c>
      <c r="BQ4" s="38" t="s">
        <v>47</v>
      </c>
      <c r="BR4" s="10">
        <f ca="1">VLOOKUP(H4,ghosts_label!$A$2:$B$19,2,FALSE)</f>
        <v>500</v>
      </c>
    </row>
    <row r="5" spans="1:70" ht="26" customHeight="1" x14ac:dyDescent="0.15">
      <c r="A5" s="12">
        <v>563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電翔紫閃の雷刃 ハヤト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R５覚醒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アバター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PremiumW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8">
        <f ca="1">IF(G5 &gt;= 6, 99,G5*15)</f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183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v>132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鳥人ハヤト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v>563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膨雷電導の飛翔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4ターンの間黄属性のユニットの攻撃力を超大UP+3ターン黄属性のタップ回数を2増やす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v>563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斬鉄の雷撃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単体に大ダメージ_x000D_青属性に効果特大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1.1499999999999999</v>
      </c>
      <c r="AZ5" s="68">
        <v>1.18</v>
      </c>
      <c r="BA5" s="68">
        <v>0</v>
      </c>
      <c r="BB5" s="68">
        <v>0.9</v>
      </c>
      <c r="BC5" s="11">
        <f ca="1">INDEX('RC6SV'!$A$1:$G$20,MATCH(H5,'RC6SV'!$A$1:$A$20,FALSE),MATCH(G5,'RC6SV'!$A$1:$G$1,FALSE))</f>
        <v>9000</v>
      </c>
      <c r="BD5" s="48">
        <f t="shared" ca="1" si="3"/>
        <v>9000</v>
      </c>
      <c r="BE5" s="11">
        <f ca="1">ROUND(IFERROR(INDIRECT(ADDRESS(MATCH($A5,$AE:$AE,0),MATCH($BC$1,$1:$1,0))),0),0)</f>
        <v>0</v>
      </c>
      <c r="BF5" s="11">
        <f ca="1">ROUND(IFERROR(INDIRECT(ADDRESS(MATCH($A5,$AE:$AE,0),10)),INDIRECT(ADDRESS(MATCH($A5,$A:$A,0),10))),0)</f>
        <v>1</v>
      </c>
      <c r="BG5" s="16">
        <f ca="1">IF($BE5&lt;=0,ROUND(BK5*0.5,0), ROUND($BE5*S5*AA5*J5*AY5*0.8*[1]ステータス!$B$2,0))</f>
        <v>2384</v>
      </c>
      <c r="BH5" s="16">
        <f ca="1">IF($BE5&lt;=0,ROUND(BL5*0.5,0), ROUND($BE5*T5*AB5*K5*AZ5*0.8*[1]ステータス!$C$2,0))</f>
        <v>2119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733</v>
      </c>
      <c r="BK5" s="11">
        <f ca="1">ROUND(BD5*S5*AA5*J5*AY5*[1]ステータス!$B$2,0)</f>
        <v>4767</v>
      </c>
      <c r="BL5" s="11">
        <f ca="1">ROUND(BD5*T5*AB5*K5*AZ5*[1]ステータス!$C$2,0)</f>
        <v>4237</v>
      </c>
      <c r="BM5" s="11">
        <f ca="1">ROUND(BD5*U5*AC5*L5*BA5*[1]ステータス!$D$2,0)</f>
        <v>0</v>
      </c>
      <c r="BN5" s="11">
        <f ca="1">ROUND(BD5*V5*AD5*M5*BB5*[1]ステータス!$E$2,0)</f>
        <v>1466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500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7" zoomScaleNormal="125" zoomScalePageLayoutView="12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2" sqref="I2:I5"/>
    </sheetView>
  </sheetViews>
  <sheetFormatPr baseColWidth="12" defaultColWidth="13" defaultRowHeight="21" customHeight="1" outlineLevelCol="1" x14ac:dyDescent="0.15"/>
  <cols>
    <col min="1" max="1" width="14.6640625" style="13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9" width="57.6640625" style="131" customWidth="1"/>
    <col min="10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308</v>
      </c>
      <c r="G1" s="123" t="s">
        <v>2</v>
      </c>
      <c r="H1" s="123" t="s">
        <v>165</v>
      </c>
      <c r="I1" s="123" t="s">
        <v>166</v>
      </c>
      <c r="J1" s="124" t="s">
        <v>185</v>
      </c>
      <c r="K1" s="123" t="s">
        <v>4</v>
      </c>
      <c r="L1" s="125" t="s">
        <v>167</v>
      </c>
      <c r="M1" s="126" t="s">
        <v>168</v>
      </c>
      <c r="N1" s="126" t="s">
        <v>169</v>
      </c>
      <c r="O1" s="126" t="s">
        <v>170</v>
      </c>
      <c r="P1" s="126" t="s">
        <v>171</v>
      </c>
      <c r="Q1" s="127" t="s">
        <v>172</v>
      </c>
      <c r="R1" s="128" t="s">
        <v>173</v>
      </c>
      <c r="S1" s="129" t="s">
        <v>174</v>
      </c>
    </row>
    <row r="2" spans="1:19" ht="66" customHeight="1" x14ac:dyDescent="0.15">
      <c r="A2" s="12">
        <v>560</v>
      </c>
      <c r="B2" s="202" t="s">
        <v>186</v>
      </c>
      <c r="C2" s="203" t="s">
        <v>336</v>
      </c>
      <c r="D2" s="204" t="s">
        <v>329</v>
      </c>
      <c r="E2" s="135">
        <f t="shared" ref="E2" si="0">LEN(D2)</f>
        <v>44</v>
      </c>
      <c r="F2" s="118">
        <v>12</v>
      </c>
      <c r="G2" s="118">
        <v>5</v>
      </c>
      <c r="H2" s="136">
        <f>2001</f>
        <v>2001</v>
      </c>
      <c r="I2" s="136" t="s">
        <v>330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暴骨炎舞の狂賢者 ユノ</v>
      </c>
      <c r="K2" s="137">
        <v>3</v>
      </c>
      <c r="L2" s="138"/>
      <c r="M2" s="139"/>
      <c r="N2" s="139"/>
      <c r="O2" s="139"/>
      <c r="P2" s="139"/>
      <c r="Q2" s="139"/>
      <c r="R2" s="134"/>
      <c r="S2" s="140"/>
    </row>
    <row r="3" spans="1:19" ht="53" customHeight="1" x14ac:dyDescent="0.15">
      <c r="A3" s="12">
        <v>561</v>
      </c>
      <c r="B3" s="202" t="s">
        <v>186</v>
      </c>
      <c r="C3" s="203" t="s">
        <v>316</v>
      </c>
      <c r="D3" s="203" t="s">
        <v>324</v>
      </c>
      <c r="E3" s="135">
        <f>LEN(D3)</f>
        <v>30</v>
      </c>
      <c r="F3" s="118">
        <v>12</v>
      </c>
      <c r="G3" s="118">
        <v>5</v>
      </c>
      <c r="H3" s="136">
        <f>2001</f>
        <v>2001</v>
      </c>
      <c r="I3" s="136" t="s">
        <v>322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森翠統べる獣姫 アマラ</v>
      </c>
      <c r="K3" s="137">
        <v>3</v>
      </c>
      <c r="L3" s="138"/>
      <c r="M3" s="139"/>
      <c r="N3" s="139"/>
      <c r="O3" s="139"/>
      <c r="P3" s="139"/>
      <c r="Q3" s="139"/>
      <c r="R3" s="134"/>
      <c r="S3" s="140"/>
    </row>
    <row r="4" spans="1:19" ht="53" customHeight="1" x14ac:dyDescent="0.15">
      <c r="A4" s="12">
        <v>562</v>
      </c>
      <c r="B4" s="202" t="s">
        <v>186</v>
      </c>
      <c r="C4" s="203" t="s">
        <v>321</v>
      </c>
      <c r="D4" s="203" t="s">
        <v>343</v>
      </c>
      <c r="E4" s="135">
        <f>LEN(D4)</f>
        <v>31</v>
      </c>
      <c r="F4" s="118">
        <v>12</v>
      </c>
      <c r="G4" s="118">
        <v>5</v>
      </c>
      <c r="H4" s="136">
        <f>2001</f>
        <v>2001</v>
      </c>
      <c r="I4" s="136" t="s">
        <v>315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月夜砕く蒼狂狼 ローレンス</v>
      </c>
      <c r="K4" s="137">
        <v>3</v>
      </c>
      <c r="L4" s="138"/>
      <c r="M4" s="139"/>
      <c r="N4" s="139"/>
      <c r="O4" s="139"/>
      <c r="P4" s="139"/>
      <c r="Q4" s="139"/>
      <c r="R4" s="134"/>
      <c r="S4" s="140"/>
    </row>
    <row r="5" spans="1:19" ht="48" customHeight="1" x14ac:dyDescent="0.15">
      <c r="A5" s="12">
        <v>563</v>
      </c>
      <c r="B5" s="202" t="s">
        <v>187</v>
      </c>
      <c r="C5" s="203" t="s">
        <v>337</v>
      </c>
      <c r="D5" s="203" t="s">
        <v>345</v>
      </c>
      <c r="E5" s="135">
        <f t="shared" ref="E5" si="1">LEN(D5)</f>
        <v>42</v>
      </c>
      <c r="F5" s="118">
        <v>12</v>
      </c>
      <c r="G5" s="118">
        <v>5</v>
      </c>
      <c r="H5" s="136">
        <f>2001</f>
        <v>2001</v>
      </c>
      <c r="I5" s="136" t="s">
        <v>344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電翔紫閃の雷刃 ハヤト</v>
      </c>
      <c r="K5" s="137">
        <v>3</v>
      </c>
      <c r="L5" s="138"/>
      <c r="M5" s="139"/>
      <c r="N5" s="139"/>
      <c r="O5" s="139"/>
      <c r="P5" s="139"/>
      <c r="Q5" s="139"/>
      <c r="R5" s="134"/>
      <c r="S5" s="140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29" priority="10" operator="greaterThan">
      <formula>41</formula>
    </cfRule>
  </conditionalFormatting>
  <conditionalFormatting sqref="E2">
    <cfRule type="cellIs" dxfId="28" priority="4" operator="greaterThan">
      <formula>41</formula>
    </cfRule>
  </conditionalFormatting>
  <conditionalFormatting sqref="E3:E4">
    <cfRule type="cellIs" dxfId="27" priority="2" operator="greaterThan">
      <formula>41</formula>
    </cfRule>
  </conditionalFormatting>
  <conditionalFormatting sqref="E5">
    <cfRule type="cellIs" dxfId="2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T8"/>
  <sheetViews>
    <sheetView showGridLines="0" zoomScale="119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8" sqref="F8"/>
    </sheetView>
  </sheetViews>
  <sheetFormatPr baseColWidth="12" defaultColWidth="13" defaultRowHeight="21" customHeight="1" x14ac:dyDescent="0.15"/>
  <cols>
    <col min="1" max="2" width="12.1640625" style="131" customWidth="1"/>
    <col min="3" max="3" width="23.33203125" style="132" customWidth="1"/>
    <col min="4" max="4" width="43.1640625" style="132" customWidth="1"/>
    <col min="5" max="5" width="10.5" style="132" customWidth="1"/>
    <col min="6" max="6" width="59.1640625" style="132" customWidth="1"/>
    <col min="7" max="7" width="34.33203125" style="132" customWidth="1"/>
    <col min="8" max="8" width="7.1640625" style="131" customWidth="1"/>
    <col min="9" max="9" width="20.33203125" style="131" customWidth="1"/>
    <col min="10" max="10" width="13.83203125" style="131" customWidth="1"/>
    <col min="11" max="16384" width="13" style="131"/>
  </cols>
  <sheetData>
    <row r="1" spans="1:20" ht="21" customHeight="1" x14ac:dyDescent="0.15">
      <c r="A1" s="119" t="s">
        <v>182</v>
      </c>
      <c r="B1" s="120" t="s">
        <v>181</v>
      </c>
      <c r="C1" s="121" t="s">
        <v>180</v>
      </c>
      <c r="D1" s="122" t="s">
        <v>179</v>
      </c>
      <c r="E1" s="122" t="s">
        <v>178</v>
      </c>
      <c r="F1" s="123" t="s">
        <v>177</v>
      </c>
      <c r="G1" s="124" t="s">
        <v>185</v>
      </c>
      <c r="H1" s="123" t="s">
        <v>176</v>
      </c>
      <c r="I1" s="124" t="s">
        <v>175</v>
      </c>
      <c r="J1" s="128" t="s">
        <v>174</v>
      </c>
    </row>
    <row r="2" spans="1:20" ht="43" customHeight="1" x14ac:dyDescent="0.15">
      <c r="A2" s="12">
        <v>560</v>
      </c>
      <c r="B2" s="202" t="s">
        <v>187</v>
      </c>
      <c r="C2" s="134" t="s">
        <v>340</v>
      </c>
      <c r="D2" s="134" t="s">
        <v>328</v>
      </c>
      <c r="E2" s="135">
        <f t="shared" ref="E2" si="0">LEN(D2)</f>
        <v>17</v>
      </c>
      <c r="F2" s="205" t="s">
        <v>334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暴骨炎舞の狂賢者 ユノ</v>
      </c>
      <c r="H2" s="136">
        <v>3</v>
      </c>
      <c r="I2" s="136"/>
      <c r="J2" s="136"/>
      <c r="K2" s="192"/>
      <c r="L2" s="193"/>
      <c r="M2" s="194"/>
      <c r="N2" s="194"/>
      <c r="O2" s="194"/>
      <c r="P2" s="194"/>
      <c r="Q2" s="194"/>
      <c r="R2" s="195"/>
      <c r="S2" s="196"/>
      <c r="T2" s="197"/>
    </row>
    <row r="3" spans="1:20" ht="43" customHeight="1" x14ac:dyDescent="0.15">
      <c r="A3" s="12">
        <v>561</v>
      </c>
      <c r="B3" s="202" t="s">
        <v>187</v>
      </c>
      <c r="C3" s="134" t="s">
        <v>317</v>
      </c>
      <c r="D3" s="134" t="s">
        <v>325</v>
      </c>
      <c r="E3" s="135">
        <f>LEN(D3)</f>
        <v>30</v>
      </c>
      <c r="F3" s="206" t="s">
        <v>333</v>
      </c>
      <c r="G3" s="191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森翠統べる獣姫 アマラ</v>
      </c>
      <c r="H3" s="136">
        <v>3</v>
      </c>
      <c r="I3" s="136"/>
      <c r="J3" s="141"/>
      <c r="K3" s="192"/>
      <c r="L3" s="193"/>
      <c r="M3" s="194"/>
      <c r="N3" s="194"/>
      <c r="O3" s="194"/>
      <c r="P3" s="194"/>
      <c r="Q3" s="194"/>
      <c r="R3" s="195"/>
      <c r="S3" s="196"/>
      <c r="T3" s="197"/>
    </row>
    <row r="4" spans="1:20" ht="46" customHeight="1" x14ac:dyDescent="0.15">
      <c r="A4" s="12">
        <v>562</v>
      </c>
      <c r="B4" s="202" t="s">
        <v>187</v>
      </c>
      <c r="C4" s="134" t="s">
        <v>320</v>
      </c>
      <c r="D4" s="134" t="s">
        <v>323</v>
      </c>
      <c r="E4" s="135">
        <f t="shared" ref="E4:E5" si="1">LEN(D4)</f>
        <v>17</v>
      </c>
      <c r="F4" s="205" t="s">
        <v>326</v>
      </c>
      <c r="G4" s="191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月夜砕く蒼狂狼 ローレンス</v>
      </c>
      <c r="H4" s="136">
        <v>3</v>
      </c>
      <c r="I4" s="136"/>
      <c r="J4" s="141"/>
      <c r="K4" s="192"/>
      <c r="L4" s="193"/>
      <c r="M4" s="194"/>
      <c r="N4" s="194"/>
      <c r="O4" s="194"/>
      <c r="P4" s="194"/>
      <c r="Q4" s="194"/>
      <c r="R4" s="195"/>
      <c r="S4" s="196"/>
      <c r="T4" s="197"/>
    </row>
    <row r="5" spans="1:20" ht="43" customHeight="1" x14ac:dyDescent="0.15">
      <c r="A5" s="12">
        <v>563</v>
      </c>
      <c r="B5" s="202" t="s">
        <v>187</v>
      </c>
      <c r="C5" s="134" t="s">
        <v>339</v>
      </c>
      <c r="D5" s="134" t="s">
        <v>342</v>
      </c>
      <c r="E5" s="135">
        <f t="shared" si="1"/>
        <v>17</v>
      </c>
      <c r="F5" s="205" t="s">
        <v>327</v>
      </c>
      <c r="G5" s="191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電翔紫閃の雷刃 ハヤト</v>
      </c>
      <c r="H5" s="136">
        <v>3</v>
      </c>
      <c r="I5" s="136"/>
      <c r="J5" s="141"/>
      <c r="K5" s="192"/>
      <c r="L5" s="193"/>
      <c r="M5" s="194"/>
      <c r="N5" s="194"/>
      <c r="O5" s="194"/>
      <c r="P5" s="194"/>
      <c r="Q5" s="194"/>
      <c r="R5" s="195"/>
      <c r="S5" s="196"/>
      <c r="T5" s="197"/>
    </row>
    <row r="6" spans="1:20" ht="21" customHeight="1" x14ac:dyDescent="0.15">
      <c r="K6" s="197"/>
      <c r="L6" s="197"/>
      <c r="M6" s="197"/>
      <c r="N6" s="197"/>
      <c r="O6" s="197"/>
      <c r="P6" s="197"/>
      <c r="Q6" s="197"/>
      <c r="R6" s="197"/>
      <c r="S6" s="197"/>
      <c r="T6" s="197"/>
    </row>
    <row r="8" spans="1:20" ht="21" customHeight="1" x14ac:dyDescent="0.15">
      <c r="F8" s="131"/>
    </row>
  </sheetData>
  <sheetProtection selectLockedCells="1" selectUnlockedCells="1"/>
  <autoFilter ref="A1:J1"/>
  <phoneticPr fontId="22"/>
  <conditionalFormatting sqref="E2">
    <cfRule type="cellIs" dxfId="25" priority="2" operator="greaterThan">
      <formula>41</formula>
    </cfRule>
  </conditionalFormatting>
  <conditionalFormatting sqref="E3:E5">
    <cfRule type="cellIs" dxfId="24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I17"/>
  <sheetViews>
    <sheetView workbookViewId="0">
      <selection activeCell="H15" sqref="H15"/>
    </sheetView>
  </sheetViews>
  <sheetFormatPr baseColWidth="12" defaultRowHeight="15" outlineLevelCol="1" x14ac:dyDescent="0.15"/>
  <cols>
    <col min="2" max="2" width="20.83203125" style="143" customWidth="1"/>
    <col min="4" max="4" width="12.83203125" style="143" customWidth="1" outlineLevel="1"/>
    <col min="5" max="5" width="12.83203125" style="143"/>
    <col min="8" max="8" width="43.1640625" customWidth="1"/>
  </cols>
  <sheetData>
    <row r="1" spans="1:9" x14ac:dyDescent="0.15">
      <c r="A1" s="115" t="s">
        <v>138</v>
      </c>
      <c r="B1" s="142" t="s">
        <v>151</v>
      </c>
      <c r="C1" s="115" t="s">
        <v>295</v>
      </c>
      <c r="D1" s="142" t="s">
        <v>296</v>
      </c>
      <c r="E1" s="142" t="s">
        <v>297</v>
      </c>
      <c r="F1" s="113" t="s">
        <v>298</v>
      </c>
      <c r="G1" s="115" t="s">
        <v>188</v>
      </c>
      <c r="H1" s="113" t="s">
        <v>299</v>
      </c>
    </row>
    <row r="2" spans="1:9" x14ac:dyDescent="0.15">
      <c r="A2" s="109">
        <v>560</v>
      </c>
      <c r="B2" s="142" t="str">
        <f>VLOOKUP(A2,[1]characters!$A:$C,3,FALSE)</f>
        <v>暴骨炎舞の狂賢者 ユノ</v>
      </c>
      <c r="C2" s="109" t="s">
        <v>301</v>
      </c>
      <c r="D2" s="142"/>
      <c r="E2" s="142" t="str">
        <f>A2&amp;+(COUNTIF(A$2:A2,A2)-1)</f>
        <v>5600</v>
      </c>
      <c r="F2" s="109" t="s">
        <v>300</v>
      </c>
      <c r="G2" s="109" t="s">
        <v>189</v>
      </c>
      <c r="H2" s="201" t="s">
        <v>335</v>
      </c>
      <c r="I2">
        <f t="shared" ref="I2" si="0">LEN(H2)</f>
        <v>13</v>
      </c>
    </row>
    <row r="3" spans="1:9" x14ac:dyDescent="0.15">
      <c r="A3" s="109">
        <v>560</v>
      </c>
      <c r="B3" s="142" t="str">
        <f>VLOOKUP(A3,[1]characters!$A:$C,3,FALSE)</f>
        <v>暴骨炎舞の狂賢者 ユノ</v>
      </c>
      <c r="C3" s="109" t="s">
        <v>190</v>
      </c>
      <c r="D3" s="142"/>
      <c r="E3" s="142" t="str">
        <f>A3&amp;+(COUNTIF(A$2:A3,A3)-1)</f>
        <v>5601</v>
      </c>
      <c r="F3" s="109" t="s">
        <v>186</v>
      </c>
      <c r="G3" s="109" t="s">
        <v>189</v>
      </c>
      <c r="H3" s="201" t="s">
        <v>331</v>
      </c>
      <c r="I3">
        <f t="shared" ref="I3" si="1">LEN(H3)</f>
        <v>5</v>
      </c>
    </row>
    <row r="4" spans="1:9" x14ac:dyDescent="0.15">
      <c r="A4" s="109">
        <v>560</v>
      </c>
      <c r="B4" s="142" t="str">
        <f>VLOOKUP(A4,[1]characters!$A:$C,3,FALSE)</f>
        <v>暴骨炎舞の狂賢者 ユノ</v>
      </c>
      <c r="C4" s="109" t="s">
        <v>190</v>
      </c>
      <c r="D4" s="142"/>
      <c r="E4" s="142" t="str">
        <f>A4&amp;+(COUNTIF(A$2:A4,A4)-1)</f>
        <v>5602</v>
      </c>
      <c r="F4" s="109" t="s">
        <v>186</v>
      </c>
      <c r="G4" s="109" t="s">
        <v>302</v>
      </c>
      <c r="H4" s="201" t="s">
        <v>332</v>
      </c>
      <c r="I4">
        <f t="shared" ref="I4:I5" si="2">LEN(H4)</f>
        <v>10</v>
      </c>
    </row>
    <row r="5" spans="1:9" x14ac:dyDescent="0.15">
      <c r="A5" s="109">
        <v>560</v>
      </c>
      <c r="B5" s="142" t="str">
        <f>VLOOKUP(A5,[1]characters!$A:$C,3,FALSE)</f>
        <v>暴骨炎舞の狂賢者 ユノ</v>
      </c>
      <c r="C5" s="109" t="s">
        <v>190</v>
      </c>
      <c r="D5" s="142"/>
      <c r="E5" s="142" t="str">
        <f>A5&amp;+(COUNTIF(A$2:A5,A5)-1)</f>
        <v>5603</v>
      </c>
      <c r="F5" s="109" t="s">
        <v>186</v>
      </c>
      <c r="G5" s="109" t="s">
        <v>189</v>
      </c>
      <c r="H5" s="201" t="s">
        <v>346</v>
      </c>
      <c r="I5">
        <f t="shared" si="2"/>
        <v>11</v>
      </c>
    </row>
    <row r="6" spans="1:9" x14ac:dyDescent="0.15">
      <c r="A6" s="109">
        <v>561</v>
      </c>
      <c r="B6" s="142" t="str">
        <f>VLOOKUP(A6,[1]characters!$A:$C,3,FALSE)</f>
        <v>森翠統べる獣姫 アマラ</v>
      </c>
      <c r="C6" s="109" t="s">
        <v>301</v>
      </c>
      <c r="D6" s="142"/>
      <c r="E6" s="142" t="str">
        <f>A6&amp;+(COUNTIF(A$2:A6,A6)-1)</f>
        <v>5610</v>
      </c>
      <c r="F6" s="109" t="s">
        <v>300</v>
      </c>
      <c r="G6" s="109" t="s">
        <v>304</v>
      </c>
      <c r="H6" s="201" t="s">
        <v>312</v>
      </c>
      <c r="I6">
        <f t="shared" ref="I6:I14" si="3">LEN(H6)</f>
        <v>12</v>
      </c>
    </row>
    <row r="7" spans="1:9" x14ac:dyDescent="0.15">
      <c r="A7" s="109">
        <v>561</v>
      </c>
      <c r="B7" s="142" t="str">
        <f>VLOOKUP(A7,[1]characters!$A:$C,3,FALSE)</f>
        <v>森翠統べる獣姫 アマラ</v>
      </c>
      <c r="C7" s="109" t="s">
        <v>190</v>
      </c>
      <c r="D7" s="142"/>
      <c r="E7" s="142" t="str">
        <f>A7&amp;+(COUNTIF(A$2:A7,A7)-1)</f>
        <v>5611</v>
      </c>
      <c r="F7" s="109" t="s">
        <v>186</v>
      </c>
      <c r="G7" s="109" t="s">
        <v>302</v>
      </c>
      <c r="H7" s="201" t="s">
        <v>303</v>
      </c>
      <c r="I7">
        <f t="shared" ref="I7" si="4">LEN(H7)</f>
        <v>9</v>
      </c>
    </row>
    <row r="8" spans="1:9" x14ac:dyDescent="0.15">
      <c r="A8" s="109">
        <v>561</v>
      </c>
      <c r="B8" s="142" t="str">
        <f>VLOOKUP(A8,[1]characters!$A:$C,3,FALSE)</f>
        <v>森翠統べる獣姫 アマラ</v>
      </c>
      <c r="C8" s="109" t="s">
        <v>190</v>
      </c>
      <c r="D8" s="142"/>
      <c r="E8" s="142" t="str">
        <f>A8&amp;+(COUNTIF(A$2:A8,A8)-1)</f>
        <v>5612</v>
      </c>
      <c r="F8" s="109" t="s">
        <v>186</v>
      </c>
      <c r="G8" s="109" t="s">
        <v>302</v>
      </c>
      <c r="H8" s="201" t="s">
        <v>305</v>
      </c>
      <c r="I8">
        <f t="shared" ref="I8:I9" si="5">LEN(H8)</f>
        <v>9</v>
      </c>
    </row>
    <row r="9" spans="1:9" x14ac:dyDescent="0.15">
      <c r="A9" s="109">
        <v>561</v>
      </c>
      <c r="B9" s="142" t="str">
        <f>VLOOKUP(A9,[1]characters!$A:$C,3,FALSE)</f>
        <v>森翠統べる獣姫 アマラ</v>
      </c>
      <c r="C9" s="109" t="s">
        <v>190</v>
      </c>
      <c r="D9" s="142"/>
      <c r="E9" s="142" t="str">
        <f>A9&amp;+(COUNTIF(A$2:A9,A9)-1)</f>
        <v>5613</v>
      </c>
      <c r="F9" s="109" t="s">
        <v>186</v>
      </c>
      <c r="G9" s="109" t="s">
        <v>189</v>
      </c>
      <c r="H9" s="201" t="s">
        <v>314</v>
      </c>
      <c r="I9">
        <f t="shared" si="5"/>
        <v>12</v>
      </c>
    </row>
    <row r="10" spans="1:9" x14ac:dyDescent="0.15">
      <c r="A10" s="109">
        <v>562</v>
      </c>
      <c r="B10" s="142" t="str">
        <f>VLOOKUP(A10,[1]characters!$A:$C,3,FALSE)</f>
        <v>月夜砕く蒼狂狼 ローレンス</v>
      </c>
      <c r="C10" s="109" t="s">
        <v>301</v>
      </c>
      <c r="D10" s="142"/>
      <c r="E10" s="142" t="str">
        <f>A10&amp;+(COUNTIF(A$2:A10,A10)-1)</f>
        <v>5620</v>
      </c>
      <c r="F10" s="109" t="s">
        <v>300</v>
      </c>
      <c r="G10" s="109" t="s">
        <v>189</v>
      </c>
      <c r="H10" s="201" t="s">
        <v>318</v>
      </c>
      <c r="I10">
        <f t="shared" si="3"/>
        <v>13</v>
      </c>
    </row>
    <row r="11" spans="1:9" x14ac:dyDescent="0.15">
      <c r="A11" s="109">
        <v>562</v>
      </c>
      <c r="B11" s="142" t="str">
        <f>VLOOKUP(A11,[1]characters!$A:$C,3,FALSE)</f>
        <v>月夜砕く蒼狂狼 ローレンス</v>
      </c>
      <c r="C11" s="109" t="s">
        <v>190</v>
      </c>
      <c r="D11" s="142"/>
      <c r="E11" s="142" t="str">
        <f>A11&amp;+(COUNTIF(A$2:A11,A11)-1)</f>
        <v>5621</v>
      </c>
      <c r="F11" s="109" t="s">
        <v>186</v>
      </c>
      <c r="G11" s="109" t="s">
        <v>189</v>
      </c>
      <c r="H11" s="201" t="s">
        <v>306</v>
      </c>
      <c r="I11">
        <f t="shared" ref="I11" si="6">LEN(H11)</f>
        <v>8</v>
      </c>
    </row>
    <row r="12" spans="1:9" x14ac:dyDescent="0.15">
      <c r="A12" s="109">
        <v>562</v>
      </c>
      <c r="B12" s="142" t="str">
        <f>VLOOKUP(A12,[1]characters!$A:$C,3,FALSE)</f>
        <v>月夜砕く蒼狂狼 ローレンス</v>
      </c>
      <c r="C12" s="109" t="s">
        <v>190</v>
      </c>
      <c r="D12" s="142"/>
      <c r="E12" s="142" t="str">
        <f>A12&amp;+(COUNTIF(A$2:A12,A12)-1)</f>
        <v>5622</v>
      </c>
      <c r="F12" s="109" t="s">
        <v>186</v>
      </c>
      <c r="G12" s="109" t="s">
        <v>189</v>
      </c>
      <c r="H12" s="201" t="s">
        <v>313</v>
      </c>
      <c r="I12">
        <f t="shared" ref="I12:I13" si="7">LEN(H12)</f>
        <v>8</v>
      </c>
    </row>
    <row r="13" spans="1:9" x14ac:dyDescent="0.15">
      <c r="A13" s="109">
        <v>562</v>
      </c>
      <c r="B13" s="142" t="str">
        <f>VLOOKUP(A13,[1]characters!$A:$C,3,FALSE)</f>
        <v>月夜砕く蒼狂狼 ローレンス</v>
      </c>
      <c r="C13" s="109" t="s">
        <v>190</v>
      </c>
      <c r="D13" s="142"/>
      <c r="E13" s="142" t="str">
        <f>A13&amp;+(COUNTIF(A$2:A13,A13)-1)</f>
        <v>5623</v>
      </c>
      <c r="F13" s="109" t="s">
        <v>186</v>
      </c>
      <c r="G13" s="109" t="s">
        <v>189</v>
      </c>
      <c r="H13" s="201" t="s">
        <v>319</v>
      </c>
      <c r="I13">
        <f t="shared" si="7"/>
        <v>10</v>
      </c>
    </row>
    <row r="14" spans="1:9" x14ac:dyDescent="0.15">
      <c r="A14" s="109">
        <v>563</v>
      </c>
      <c r="B14" s="142" t="str">
        <f>VLOOKUP(A14,[1]characters!$A:$C,3,FALSE)</f>
        <v>電翔紫閃の雷刃 ハヤト</v>
      </c>
      <c r="C14" s="109" t="s">
        <v>301</v>
      </c>
      <c r="D14" s="142"/>
      <c r="E14" s="142" t="str">
        <f>A14&amp;+(COUNTIF(A$2:A14,A14)-1)</f>
        <v>5630</v>
      </c>
      <c r="F14" s="109" t="s">
        <v>300</v>
      </c>
      <c r="G14" s="109" t="s">
        <v>189</v>
      </c>
      <c r="H14" s="201" t="s">
        <v>338</v>
      </c>
      <c r="I14">
        <f t="shared" si="3"/>
        <v>9</v>
      </c>
    </row>
    <row r="15" spans="1:9" x14ac:dyDescent="0.15">
      <c r="A15" s="109">
        <v>563</v>
      </c>
      <c r="B15" s="142" t="str">
        <f>VLOOKUP(A15,[1]characters!$A:$C,3,FALSE)</f>
        <v>電翔紫閃の雷刃 ハヤト</v>
      </c>
      <c r="C15" s="109" t="s">
        <v>190</v>
      </c>
      <c r="D15" s="142"/>
      <c r="E15" s="142" t="str">
        <f>A15&amp;+(COUNTIF(A$2:A15,A15)-1)</f>
        <v>5631</v>
      </c>
      <c r="F15" s="109" t="s">
        <v>186</v>
      </c>
      <c r="G15" s="109" t="s">
        <v>189</v>
      </c>
      <c r="H15" s="201" t="s">
        <v>307</v>
      </c>
      <c r="I15">
        <f t="shared" ref="I15" si="8">LEN(H15)</f>
        <v>6</v>
      </c>
    </row>
    <row r="16" spans="1:9" x14ac:dyDescent="0.15">
      <c r="A16" s="109">
        <v>563</v>
      </c>
      <c r="B16" s="142" t="str">
        <f>VLOOKUP(A16,[1]characters!$A:$C,3,FALSE)</f>
        <v>電翔紫閃の雷刃 ハヤト</v>
      </c>
      <c r="C16" s="109" t="s">
        <v>190</v>
      </c>
      <c r="D16" s="142"/>
      <c r="E16" s="142" t="str">
        <f>A16&amp;+(COUNTIF(A$2:A16,A16)-1)</f>
        <v>5632</v>
      </c>
      <c r="F16" s="109" t="s">
        <v>186</v>
      </c>
      <c r="G16" s="109" t="s">
        <v>189</v>
      </c>
      <c r="H16" s="201" t="s">
        <v>309</v>
      </c>
      <c r="I16">
        <f t="shared" ref="I16:I17" si="9">LEN(H16)</f>
        <v>8</v>
      </c>
    </row>
    <row r="17" spans="1:9" x14ac:dyDescent="0.15">
      <c r="A17" s="109">
        <v>563</v>
      </c>
      <c r="B17" s="142" t="str">
        <f>VLOOKUP(A17,[1]characters!$A:$C,3,FALSE)</f>
        <v>電翔紫閃の雷刃 ハヤト</v>
      </c>
      <c r="C17" s="109" t="s">
        <v>190</v>
      </c>
      <c r="D17" s="142"/>
      <c r="E17" s="142" t="str">
        <f>A17&amp;+(COUNTIF(A$2:A17,A17)-1)</f>
        <v>5633</v>
      </c>
      <c r="F17" s="109" t="s">
        <v>186</v>
      </c>
      <c r="G17" s="109" t="s">
        <v>189</v>
      </c>
      <c r="H17" s="201" t="s">
        <v>341</v>
      </c>
      <c r="I17">
        <f t="shared" si="9"/>
        <v>11</v>
      </c>
    </row>
  </sheetData>
  <phoneticPr fontId="22"/>
  <dataValidations count="2">
    <dataValidation type="list" allowBlank="1" showInputMessage="1" showErrorMessage="1" sqref="G2:G17">
      <formula1>"maru,giza,kumo"</formula1>
    </dataValidation>
    <dataValidation type="list" allowBlank="1" showInputMessage="1" showErrorMessage="1" sqref="C2:C1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8" sqref="Q8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16" style="12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1" t="s">
        <v>267</v>
      </c>
      <c r="B1" s="95" t="s">
        <v>268</v>
      </c>
      <c r="C1" s="86" t="s">
        <v>269</v>
      </c>
      <c r="D1" s="86" t="s">
        <v>270</v>
      </c>
      <c r="E1" s="86" t="s">
        <v>271</v>
      </c>
      <c r="F1" s="86" t="s">
        <v>272</v>
      </c>
      <c r="G1" s="86" t="s">
        <v>1</v>
      </c>
      <c r="H1" s="181" t="s">
        <v>19</v>
      </c>
      <c r="I1" s="86" t="s">
        <v>0</v>
      </c>
      <c r="J1" s="85" t="s">
        <v>273</v>
      </c>
      <c r="K1" s="86" t="s">
        <v>268</v>
      </c>
      <c r="L1" s="87" t="s">
        <v>49</v>
      </c>
      <c r="M1" s="87" t="s">
        <v>48</v>
      </c>
      <c r="N1" s="87" t="s">
        <v>274</v>
      </c>
      <c r="O1" s="87" t="s">
        <v>275</v>
      </c>
      <c r="P1" s="92" t="s">
        <v>276</v>
      </c>
      <c r="Q1" s="91" t="s">
        <v>277</v>
      </c>
      <c r="R1" s="80" t="s">
        <v>268</v>
      </c>
      <c r="S1" s="92" t="s">
        <v>278</v>
      </c>
      <c r="T1" s="80" t="s">
        <v>268</v>
      </c>
      <c r="U1" s="92" t="s">
        <v>279</v>
      </c>
    </row>
    <row r="2" spans="1:21" ht="21" customHeight="1" x14ac:dyDescent="0.15">
      <c r="A2" s="182">
        <v>127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狂喜の賢者 ユノ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初期ガチャ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アバター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美しい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PremiumW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7" t="str">
        <f ca="1">VLOOKUP($A2,OFFSET([1]characters!$A$1,0,0,COUNTA([1]characters!$A:$A),MATCH(J$1,[1]characters!$1:$1,0)-MATCH($A$1,[1]characters!$1:$1,0)+1),MATCH(J$1,[1]characters!$1:$1,0)-MATCH($A$1,[1]characters!$1:$1,0)+1,FALSE)</f>
        <v>animal</v>
      </c>
      <c r="K2" s="5" t="str">
        <f ca="1">VLOOKUP(J2,[1]character_tribe_i18n!$A:$H,3,FALSE)</f>
        <v>アニマル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2" t="s">
        <v>280</v>
      </c>
      <c r="Q2" s="9">
        <v>560</v>
      </c>
      <c r="R2" s="62" t="str">
        <f ca="1">IF(Q2="NULL","",VLOOKUP($Q2,OFFSET([1]characters!$A$1,0,0,COUNTA([1]characters!$A:$A),MATCH(R$1,[1]characters!$1:$1,0)-MATCH($A$1,[1]characters!$1:$1,0)+1),MATCH(R$1,[1]characters!$1:$1,0)-MATCH($A$1,[1]characters!$1:$1,0)+1,FALSE))</f>
        <v>暴骨炎舞の狂賢者 ユノ</v>
      </c>
      <c r="S2" s="5">
        <v>126</v>
      </c>
      <c r="T2" s="62" t="str">
        <f ca="1">VLOOKUP($S2,OFFSET([1]characters!$A$1,0,0,COUNTA([1]characters!$A:$A),MATCH(T$1,[1]characters!$1:$1,0)-MATCH($A$1,[1]characters!$1:$1,0)+1),MATCH(T$1,[1]characters!$1:$1,0)-MATCH($A$1,[1]characters!$1:$1,0)+1,FALSE)</f>
        <v>骨器使い ユノ</v>
      </c>
      <c r="U2" s="11">
        <f ca="1">IF(Q2="NULL","NULL",VLOOKUP(G2,[2]ビット!$A$2:$B$7,2))</f>
        <v>50000</v>
      </c>
    </row>
    <row r="3" spans="1:21" ht="21" customHeight="1" x14ac:dyDescent="0.15">
      <c r="A3" s="182">
        <v>129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孤高の狼憑き アマラ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初期ガチャ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PremiumW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7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2" t="s">
        <v>280</v>
      </c>
      <c r="Q3" s="9">
        <v>561</v>
      </c>
      <c r="R3" s="62" t="str">
        <f ca="1">IF(Q3="NULL","",VLOOKUP($Q3,OFFSET([1]characters!$A$1,0,0,COUNTA([1]characters!$A:$A),MATCH(R$1,[1]characters!$1:$1,0)-MATCH($A$1,[1]characters!$1:$1,0)+1),MATCH(R$1,[1]characters!$1:$1,0)-MATCH($A$1,[1]characters!$1:$1,0)+1,FALSE))</f>
        <v>森翠統べる獣姫 アマラ</v>
      </c>
      <c r="S3" s="5">
        <v>128</v>
      </c>
      <c r="T3" s="62" t="str">
        <f ca="1">VLOOKUP($S3,OFFSET([1]characters!$A$1,0,0,COUNTA([1]characters!$A:$A),MATCH(T$1,[1]characters!$1:$1,0)-MATCH($A$1,[1]characters!$1:$1,0)+1),MATCH(T$1,[1]characters!$1:$1,0)-MATCH($A$1,[1]characters!$1:$1,0)+1,FALSE)</f>
        <v>野生児 アマラ</v>
      </c>
      <c r="U3" s="11">
        <f ca="1">IF(Q3="NULL","NULL",VLOOKUP(G3,[2]ビット!$A$2:$B$7,2))</f>
        <v>50000</v>
      </c>
    </row>
    <row r="4" spans="1:21" ht="21" customHeight="1" x14ac:dyDescent="0.15">
      <c r="A4" s="182">
        <v>131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月下の人狼 ローレンス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初期ガチャ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アバター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PremiumW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7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2" t="s">
        <v>280</v>
      </c>
      <c r="Q4" s="9">
        <v>562</v>
      </c>
      <c r="R4" s="62" t="str">
        <f ca="1">IF(Q4="NULL","",VLOOKUP($Q4,OFFSET([1]characters!$A$1,0,0,COUNTA([1]characters!$A:$A),MATCH(R$1,[1]characters!$1:$1,0)-MATCH($A$1,[1]characters!$1:$1,0)+1),MATCH(R$1,[1]characters!$1:$1,0)-MATCH($A$1,[1]characters!$1:$1,0)+1,FALSE))</f>
        <v>月夜砕く蒼狂狼 ローレンス</v>
      </c>
      <c r="S4" s="5">
        <v>130</v>
      </c>
      <c r="T4" s="62" t="str">
        <f ca="1">VLOOKUP($S4,OFFSET([1]characters!$A$1,0,0,COUNTA([1]characters!$A:$A),MATCH(T$1,[1]characters!$1:$1,0)-MATCH($A$1,[1]characters!$1:$1,0)+1),MATCH(T$1,[1]characters!$1:$1,0)-MATCH($A$1,[1]characters!$1:$1,0)+1,FALSE)</f>
        <v>狼男 ローレンス</v>
      </c>
      <c r="U4" s="11">
        <f ca="1">IF(Q4="NULL","NULL",VLOOKUP(G4,[2]ビット!$A$2:$B$7,2))</f>
        <v>50000</v>
      </c>
    </row>
    <row r="5" spans="1:21" ht="21" customHeight="1" x14ac:dyDescent="0.15">
      <c r="A5" s="182">
        <v>133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迅雷の刀剣 ハヤト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初期ガチャ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アバター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4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PremiumW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7" t="str">
        <f ca="1">VLOOKUP($A5,OFFSET([1]characters!$A$1,0,0,COUNTA([1]characters!$A:$A),MATCH(J$1,[1]characters!$1:$1,0)-MATCH($A$1,[1]characters!$1:$1,0)+1),MATCH(J$1,[1]characters!$1:$1,0)-MATCH($A$1,[1]characters!$1:$1,0)+1,FALSE)</f>
        <v>animal</v>
      </c>
      <c r="K5" s="5" t="str">
        <f ca="1">VLOOKUP(J5,[1]character_tribe_i18n!$A:$H,3,FALSE)</f>
        <v>アニマル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2" t="s">
        <v>280</v>
      </c>
      <c r="Q5" s="9">
        <v>563</v>
      </c>
      <c r="R5" s="62" t="str">
        <f ca="1">IF(Q5="NULL","",VLOOKUP($Q5,OFFSET([1]characters!$A$1,0,0,COUNTA([1]characters!$A:$A),MATCH(R$1,[1]characters!$1:$1,0)-MATCH($A$1,[1]characters!$1:$1,0)+1),MATCH(R$1,[1]characters!$1:$1,0)-MATCH($A$1,[1]characters!$1:$1,0)+1,FALSE))</f>
        <v>電翔紫閃の雷刃 ハヤト</v>
      </c>
      <c r="S5" s="5">
        <v>132</v>
      </c>
      <c r="T5" s="62" t="str">
        <f ca="1">VLOOKUP($S5,OFFSET([1]characters!$A$1,0,0,COUNTA([1]characters!$A:$A),MATCH(T$1,[1]characters!$1:$1,0)-MATCH($A$1,[1]characters!$1:$1,0)+1),MATCH(T$1,[1]characters!$1:$1,0)-MATCH($A$1,[1]characters!$1:$1,0)+1,FALSE)</f>
        <v>鳥人ハヤト</v>
      </c>
      <c r="U5" s="11">
        <f ca="1">IF(Q5="NULL","NULL",VLOOKUP(G5,[2]ビット!$A$2:$B$7,2))</f>
        <v>50000</v>
      </c>
    </row>
  </sheetData>
  <autoFilter ref="A1:U2"/>
  <phoneticPr fontId="22"/>
  <conditionalFormatting sqref="W1:W2 W6:W1048576">
    <cfRule type="cellIs" dxfId="23" priority="2" operator="equal">
      <formula>"FALSE"</formula>
    </cfRule>
  </conditionalFormatting>
  <conditionalFormatting sqref="W3:W5">
    <cfRule type="cellIs" dxfId="22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3"/>
  <sheetViews>
    <sheetView showGridLines="0" workbookViewId="0">
      <pane ySplit="1" topLeftCell="A2" activePane="bottomLeft" state="frozen"/>
      <selection pane="bottomLeft" activeCell="G19" sqref="G19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23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5" t="s">
        <v>99</v>
      </c>
      <c r="B1" s="42" t="s">
        <v>38</v>
      </c>
      <c r="C1" s="183" t="s">
        <v>281</v>
      </c>
      <c r="D1" s="20" t="s">
        <v>40</v>
      </c>
      <c r="E1" s="20" t="s">
        <v>42</v>
      </c>
      <c r="F1" s="20" t="s">
        <v>43</v>
      </c>
      <c r="G1" s="183" t="s">
        <v>282</v>
      </c>
      <c r="H1" s="20" t="s">
        <v>40</v>
      </c>
      <c r="I1" s="43" t="s">
        <v>36</v>
      </c>
      <c r="J1" s="20" t="s">
        <v>41</v>
      </c>
      <c r="K1" s="19" t="s">
        <v>37</v>
      </c>
      <c r="L1" s="186" t="s">
        <v>127</v>
      </c>
      <c r="M1" s="187" t="s">
        <v>284</v>
      </c>
    </row>
    <row r="2" spans="1:14" ht="21" customHeight="1" x14ac:dyDescent="0.15">
      <c r="A2" s="65" t="str">
        <f>B2&amp;"_"&amp;I2</f>
        <v>127_104</v>
      </c>
      <c r="B2" s="44">
        <v>127</v>
      </c>
      <c r="C2" s="184">
        <f>B2</f>
        <v>127</v>
      </c>
      <c r="D2" s="57" t="str">
        <f ca="1">VLOOKUP($C2,OFFSET([1]characters!$A$1,0,0,COUNTA([1]characters!$A:$A),MATCH(D$1,[1]characters!$1:$1,0)-MATCH($C$1,[1]characters!$1:$1,0)+1),MATCH(D$1,[1]characters!$1:$1,0)-MATCH($C$1,[1]characters!$1:$1,0)+1,FALSE)</f>
        <v>狂喜の賢者 ユノ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PremiumW</v>
      </c>
      <c r="G2" s="185">
        <v>560</v>
      </c>
      <c r="H2" s="57" t="str">
        <f ca="1">VLOOKUP($G2,OFFSET([1]characters!$A$1,0,0,COUNTA([1]characters!$A:$A),MATCH(H$1,[1]characters!$1:$1,0)-MATCH($C$1,[1]characters!$1:$1,0)+1),MATCH(H$1,[1]characters!$1:$1,0)-MATCH($C$1,[1]characters!$1:$1,0)+1,FALSE)</f>
        <v>暴骨炎舞の狂賢者 ユノ</v>
      </c>
      <c r="I2" s="189">
        <v>104</v>
      </c>
      <c r="J2" s="190" t="str">
        <f>VLOOKUP(I2,[1]characters!$A:$C,3,FALSE)</f>
        <v>炎のマッドハッター</v>
      </c>
      <c r="K2" s="18">
        <v>2</v>
      </c>
      <c r="L2" s="114">
        <v>1</v>
      </c>
      <c r="M2" s="114">
        <v>10</v>
      </c>
      <c r="N2" s="2" t="s">
        <v>283</v>
      </c>
    </row>
    <row r="3" spans="1:14" ht="21" customHeight="1" x14ac:dyDescent="0.15">
      <c r="A3" s="65" t="str">
        <f t="shared" ref="A3:A4" si="0">B3&amp;"_"&amp;I3</f>
        <v>127_103</v>
      </c>
      <c r="B3" s="44">
        <v>127</v>
      </c>
      <c r="C3" s="184">
        <f t="shared" ref="C3:C13" si="1">B3</f>
        <v>127</v>
      </c>
      <c r="D3" s="57" t="str">
        <f ca="1">VLOOKUP($C3,OFFSET([1]characters!$A$1,0,0,COUNTA([1]characters!$A:$A),MATCH(D$1,[1]characters!$1:$1,0)-MATCH($C$1,[1]characters!$1:$1,0)+1),MATCH(D$1,[1]characters!$1:$1,0)-MATCH($C$1,[1]characters!$1:$1,0)+1,FALSE)</f>
        <v>狂喜の賢者 ユノ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PremiumW</v>
      </c>
      <c r="G3" s="185">
        <v>560</v>
      </c>
      <c r="H3" s="57" t="str">
        <f ca="1">VLOOKUP($G3,OFFSET([1]characters!$A$1,0,0,COUNTA([1]characters!$A:$A),MATCH(H$1,[1]characters!$1:$1,0)-MATCH($C$1,[1]characters!$1:$1,0)+1),MATCH(H$1,[1]characters!$1:$1,0)-MATCH($C$1,[1]characters!$1:$1,0)+1,FALSE)</f>
        <v>暴骨炎舞の狂賢者 ユノ</v>
      </c>
      <c r="I3" s="189">
        <v>103</v>
      </c>
      <c r="J3" s="190" t="str">
        <f>VLOOKUP(I3,[1]characters!$A:$C,3,FALSE)</f>
        <v>レッドキャタップ</v>
      </c>
      <c r="K3" s="18">
        <v>2</v>
      </c>
      <c r="L3" s="114">
        <v>1</v>
      </c>
      <c r="M3" s="114">
        <v>10</v>
      </c>
    </row>
    <row r="4" spans="1:14" ht="21" customHeight="1" x14ac:dyDescent="0.15">
      <c r="A4" s="65" t="str">
        <f t="shared" si="0"/>
        <v>127_102</v>
      </c>
      <c r="B4" s="44">
        <v>127</v>
      </c>
      <c r="C4" s="184">
        <f t="shared" si="1"/>
        <v>127</v>
      </c>
      <c r="D4" s="57" t="str">
        <f ca="1">VLOOKUP($C4,OFFSET([1]characters!$A$1,0,0,COUNTA([1]characters!$A:$A),MATCH(D$1,[1]characters!$1:$1,0)-MATCH($C$1,[1]characters!$1:$1,0)+1),MATCH(D$1,[1]characters!$1:$1,0)-MATCH($C$1,[1]characters!$1:$1,0)+1,FALSE)</f>
        <v>狂喜の賢者 ユノ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PremiumW</v>
      </c>
      <c r="G4" s="185">
        <v>560</v>
      </c>
      <c r="H4" s="57" t="str">
        <f ca="1">VLOOKUP($G4,OFFSET([1]characters!$A$1,0,0,COUNTA([1]characters!$A:$A),MATCH(H$1,[1]characters!$1:$1,0)-MATCH($C$1,[1]characters!$1:$1,0)+1),MATCH(H$1,[1]characters!$1:$1,0)-MATCH($C$1,[1]characters!$1:$1,0)+1,FALSE)</f>
        <v>暴骨炎舞の狂賢者 ユノ</v>
      </c>
      <c r="I4" s="189">
        <v>102</v>
      </c>
      <c r="J4" s="190" t="str">
        <f>VLOOKUP(I4,[1]characters!$A:$C,3,FALSE)</f>
        <v>レッドラビット</v>
      </c>
      <c r="K4" s="18">
        <v>1</v>
      </c>
      <c r="L4" s="114">
        <v>1</v>
      </c>
      <c r="M4" s="114">
        <v>10</v>
      </c>
    </row>
    <row r="5" spans="1:14" ht="21" customHeight="1" x14ac:dyDescent="0.15">
      <c r="A5" s="65" t="str">
        <f>B5&amp;"_"&amp;I5</f>
        <v>129_108</v>
      </c>
      <c r="B5" s="44">
        <v>129</v>
      </c>
      <c r="C5" s="184">
        <f>B5</f>
        <v>129</v>
      </c>
      <c r="D5" s="57" t="str">
        <f ca="1">VLOOKUP($C5,OFFSET([1]characters!$A$1,0,0,COUNTA([1]characters!$A:$A),MATCH(D$1,[1]characters!$1:$1,0)-MATCH($C$1,[1]characters!$1:$1,0)+1),MATCH(D$1,[1]characters!$1:$1,0)-MATCH($C$1,[1]characters!$1:$1,0)+1,FALSE)</f>
        <v>孤高の狼憑き アマラ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4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PremiumW</v>
      </c>
      <c r="G5" s="185">
        <v>561</v>
      </c>
      <c r="H5" s="57" t="str">
        <f ca="1">VLOOKUP($G5,OFFSET([1]characters!$A$1,0,0,COUNTA([1]characters!$A:$A),MATCH(H$1,[1]characters!$1:$1,0)-MATCH($C$1,[1]characters!$1:$1,0)+1),MATCH(H$1,[1]characters!$1:$1,0)-MATCH($C$1,[1]characters!$1:$1,0)+1,FALSE)</f>
        <v>森翠統べる獣姫 アマラ</v>
      </c>
      <c r="I5" s="189">
        <v>108</v>
      </c>
      <c r="J5" s="190" t="str">
        <f>VLOOKUP(I5,[1]characters!$A:$C,3,FALSE)</f>
        <v>森のマッドハッター</v>
      </c>
      <c r="K5" s="18">
        <v>2</v>
      </c>
      <c r="L5" s="114">
        <v>1</v>
      </c>
      <c r="M5" s="114">
        <v>10</v>
      </c>
    </row>
    <row r="6" spans="1:14" ht="21" customHeight="1" x14ac:dyDescent="0.15">
      <c r="A6" s="65" t="str">
        <f t="shared" ref="A6:A7" si="2">B6&amp;"_"&amp;I6</f>
        <v>129_107</v>
      </c>
      <c r="B6" s="44">
        <v>129</v>
      </c>
      <c r="C6" s="184">
        <f t="shared" si="1"/>
        <v>129</v>
      </c>
      <c r="D6" s="57" t="str">
        <f ca="1">VLOOKUP($C6,OFFSET([1]characters!$A$1,0,0,COUNTA([1]characters!$A:$A),MATCH(D$1,[1]characters!$1:$1,0)-MATCH($C$1,[1]characters!$1:$1,0)+1),MATCH(D$1,[1]characters!$1:$1,0)-MATCH($C$1,[1]characters!$1:$1,0)+1,FALSE)</f>
        <v>孤高の狼憑き アマラ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4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PremiumW</v>
      </c>
      <c r="G6" s="185">
        <v>561</v>
      </c>
      <c r="H6" s="57" t="str">
        <f ca="1">VLOOKUP($G6,OFFSET([1]characters!$A$1,0,0,COUNTA([1]characters!$A:$A),MATCH(H$1,[1]characters!$1:$1,0)-MATCH($C$1,[1]characters!$1:$1,0)+1),MATCH(H$1,[1]characters!$1:$1,0)-MATCH($C$1,[1]characters!$1:$1,0)+1,FALSE)</f>
        <v>森翠統べる獣姫 アマラ</v>
      </c>
      <c r="I6" s="189">
        <v>107</v>
      </c>
      <c r="J6" s="190" t="str">
        <f>VLOOKUP(I6,[1]characters!$A:$C,3,FALSE)</f>
        <v>グリーンキャタップ</v>
      </c>
      <c r="K6" s="18">
        <v>2</v>
      </c>
      <c r="L6" s="114">
        <v>1</v>
      </c>
      <c r="M6" s="114">
        <v>10</v>
      </c>
    </row>
    <row r="7" spans="1:14" ht="21" customHeight="1" x14ac:dyDescent="0.15">
      <c r="A7" s="65" t="str">
        <f t="shared" si="2"/>
        <v>129_106</v>
      </c>
      <c r="B7" s="44">
        <v>129</v>
      </c>
      <c r="C7" s="184">
        <f t="shared" si="1"/>
        <v>129</v>
      </c>
      <c r="D7" s="57" t="str">
        <f ca="1">VLOOKUP($C7,OFFSET([1]characters!$A$1,0,0,COUNTA([1]characters!$A:$A),MATCH(D$1,[1]characters!$1:$1,0)-MATCH($C$1,[1]characters!$1:$1,0)+1),MATCH(D$1,[1]characters!$1:$1,0)-MATCH($C$1,[1]characters!$1:$1,0)+1,FALSE)</f>
        <v>孤高の狼憑き アマラ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4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PremiumW</v>
      </c>
      <c r="G7" s="185">
        <v>561</v>
      </c>
      <c r="H7" s="57" t="str">
        <f ca="1">VLOOKUP($G7,OFFSET([1]characters!$A$1,0,0,COUNTA([1]characters!$A:$A),MATCH(H$1,[1]characters!$1:$1,0)-MATCH($C$1,[1]characters!$1:$1,0)+1),MATCH(H$1,[1]characters!$1:$1,0)-MATCH($C$1,[1]characters!$1:$1,0)+1,FALSE)</f>
        <v>森翠統べる獣姫 アマラ</v>
      </c>
      <c r="I7" s="189">
        <v>106</v>
      </c>
      <c r="J7" s="190" t="str">
        <f>VLOOKUP(I7,[1]characters!$A:$C,3,FALSE)</f>
        <v>グリーンラビット</v>
      </c>
      <c r="K7" s="18">
        <v>1</v>
      </c>
      <c r="L7" s="114">
        <v>1</v>
      </c>
      <c r="M7" s="114">
        <v>10</v>
      </c>
    </row>
    <row r="8" spans="1:14" ht="21" customHeight="1" x14ac:dyDescent="0.15">
      <c r="A8" s="65" t="str">
        <f>B8&amp;"_"&amp;I8</f>
        <v>131_112</v>
      </c>
      <c r="B8" s="44">
        <v>131</v>
      </c>
      <c r="C8" s="184">
        <f>B8</f>
        <v>131</v>
      </c>
      <c r="D8" s="57" t="str">
        <f ca="1">VLOOKUP($C8,OFFSET([1]characters!$A$1,0,0,COUNTA([1]characters!$A:$A),MATCH(D$1,[1]characters!$1:$1,0)-MATCH($C$1,[1]characters!$1:$1,0)+1),MATCH(D$1,[1]characters!$1:$1,0)-MATCH($C$1,[1]characters!$1:$1,0)+1,FALSE)</f>
        <v>月下の人狼 ローレンス</v>
      </c>
      <c r="E8" s="57">
        <f ca="1">VLOOKUP($C8,OFFSET([1]characters!$A$1,0,0,COUNTA([1]characters!$A:$A),MATCH(E$1,[1]characters!$1:$1,0)-MATCH($C$1,[1]characters!$1:$1,0)+1),MATCH(E$1,[1]characters!$1:$1,0)-MATCH($C$1,[1]characters!$1:$1,0)+1,FALSE)</f>
        <v>4</v>
      </c>
      <c r="F8" s="57" t="str">
        <f ca="1">VLOOKUP($C8,OFFSET([1]characters!$A$1,0,0,COUNTA([1]characters!$A:$A),MATCH(F$1,[1]characters!$1:$1,0)-MATCH($C$1,[1]characters!$1:$1,0)+1),MATCH(F$1,[1]characters!$1:$1,0)-MATCH($C$1,[1]characters!$1:$1,0)+1,FALSE)</f>
        <v>PremiumW</v>
      </c>
      <c r="G8" s="185">
        <v>562</v>
      </c>
      <c r="H8" s="57" t="str">
        <f ca="1">VLOOKUP($G8,OFFSET([1]characters!$A$1,0,0,COUNTA([1]characters!$A:$A),MATCH(H$1,[1]characters!$1:$1,0)-MATCH($C$1,[1]characters!$1:$1,0)+1),MATCH(H$1,[1]characters!$1:$1,0)-MATCH($C$1,[1]characters!$1:$1,0)+1,FALSE)</f>
        <v>月夜砕く蒼狂狼 ローレンス</v>
      </c>
      <c r="I8" s="189">
        <v>112</v>
      </c>
      <c r="J8" s="190" t="str">
        <f>VLOOKUP(I8,[1]characters!$A:$C,3,FALSE)</f>
        <v>水のマッドハッター</v>
      </c>
      <c r="K8" s="18">
        <v>2</v>
      </c>
      <c r="L8" s="114">
        <v>1</v>
      </c>
      <c r="M8" s="114">
        <v>10</v>
      </c>
    </row>
    <row r="9" spans="1:14" ht="21" customHeight="1" x14ac:dyDescent="0.15">
      <c r="A9" s="65" t="str">
        <f t="shared" ref="A9:A10" si="3">B9&amp;"_"&amp;I9</f>
        <v>131_111</v>
      </c>
      <c r="B9" s="44">
        <v>131</v>
      </c>
      <c r="C9" s="184">
        <f t="shared" si="1"/>
        <v>131</v>
      </c>
      <c r="D9" s="57" t="str">
        <f ca="1">VLOOKUP($C9,OFFSET([1]characters!$A$1,0,0,COUNTA([1]characters!$A:$A),MATCH(D$1,[1]characters!$1:$1,0)-MATCH($C$1,[1]characters!$1:$1,0)+1),MATCH(D$1,[1]characters!$1:$1,0)-MATCH($C$1,[1]characters!$1:$1,0)+1,FALSE)</f>
        <v>月下の人狼 ローレンス</v>
      </c>
      <c r="E9" s="57">
        <f ca="1">VLOOKUP($C9,OFFSET([1]characters!$A$1,0,0,COUNTA([1]characters!$A:$A),MATCH(E$1,[1]characters!$1:$1,0)-MATCH($C$1,[1]characters!$1:$1,0)+1),MATCH(E$1,[1]characters!$1:$1,0)-MATCH($C$1,[1]characters!$1:$1,0)+1,FALSE)</f>
        <v>4</v>
      </c>
      <c r="F9" s="57" t="str">
        <f ca="1">VLOOKUP($C9,OFFSET([1]characters!$A$1,0,0,COUNTA([1]characters!$A:$A),MATCH(F$1,[1]characters!$1:$1,0)-MATCH($C$1,[1]characters!$1:$1,0)+1),MATCH(F$1,[1]characters!$1:$1,0)-MATCH($C$1,[1]characters!$1:$1,0)+1,FALSE)</f>
        <v>PremiumW</v>
      </c>
      <c r="G9" s="185">
        <v>562</v>
      </c>
      <c r="H9" s="57" t="str">
        <f ca="1">VLOOKUP($G9,OFFSET([1]characters!$A$1,0,0,COUNTA([1]characters!$A:$A),MATCH(H$1,[1]characters!$1:$1,0)-MATCH($C$1,[1]characters!$1:$1,0)+1),MATCH(H$1,[1]characters!$1:$1,0)-MATCH($C$1,[1]characters!$1:$1,0)+1,FALSE)</f>
        <v>月夜砕く蒼狂狼 ローレンス</v>
      </c>
      <c r="I9" s="189">
        <v>111</v>
      </c>
      <c r="J9" s="190" t="str">
        <f>VLOOKUP(I9,[1]characters!$A:$C,3,FALSE)</f>
        <v>ブルーキャタップ</v>
      </c>
      <c r="K9" s="18">
        <v>2</v>
      </c>
      <c r="L9" s="114">
        <v>1</v>
      </c>
      <c r="M9" s="114">
        <v>10</v>
      </c>
    </row>
    <row r="10" spans="1:14" ht="21" customHeight="1" x14ac:dyDescent="0.15">
      <c r="A10" s="65" t="str">
        <f t="shared" si="3"/>
        <v>131_110</v>
      </c>
      <c r="B10" s="44">
        <v>131</v>
      </c>
      <c r="C10" s="184">
        <f t="shared" si="1"/>
        <v>131</v>
      </c>
      <c r="D10" s="57" t="str">
        <f ca="1">VLOOKUP($C10,OFFSET([1]characters!$A$1,0,0,COUNTA([1]characters!$A:$A),MATCH(D$1,[1]characters!$1:$1,0)-MATCH($C$1,[1]characters!$1:$1,0)+1),MATCH(D$1,[1]characters!$1:$1,0)-MATCH($C$1,[1]characters!$1:$1,0)+1,FALSE)</f>
        <v>月下の人狼 ローレンス</v>
      </c>
      <c r="E10" s="57">
        <f ca="1">VLOOKUP($C10,OFFSET([1]characters!$A$1,0,0,COUNTA([1]characters!$A:$A),MATCH(E$1,[1]characters!$1:$1,0)-MATCH($C$1,[1]characters!$1:$1,0)+1),MATCH(E$1,[1]characters!$1:$1,0)-MATCH($C$1,[1]characters!$1:$1,0)+1,FALSE)</f>
        <v>4</v>
      </c>
      <c r="F10" s="57" t="str">
        <f ca="1">VLOOKUP($C10,OFFSET([1]characters!$A$1,0,0,COUNTA([1]characters!$A:$A),MATCH(F$1,[1]characters!$1:$1,0)-MATCH($C$1,[1]characters!$1:$1,0)+1),MATCH(F$1,[1]characters!$1:$1,0)-MATCH($C$1,[1]characters!$1:$1,0)+1,FALSE)</f>
        <v>PremiumW</v>
      </c>
      <c r="G10" s="185">
        <v>562</v>
      </c>
      <c r="H10" s="57" t="str">
        <f ca="1">VLOOKUP($G10,OFFSET([1]characters!$A$1,0,0,COUNTA([1]characters!$A:$A),MATCH(H$1,[1]characters!$1:$1,0)-MATCH($C$1,[1]characters!$1:$1,0)+1),MATCH(H$1,[1]characters!$1:$1,0)-MATCH($C$1,[1]characters!$1:$1,0)+1,FALSE)</f>
        <v>月夜砕く蒼狂狼 ローレンス</v>
      </c>
      <c r="I10" s="189">
        <v>110</v>
      </c>
      <c r="J10" s="190" t="str">
        <f>VLOOKUP(I10,[1]characters!$A:$C,3,FALSE)</f>
        <v>ブルーラビット</v>
      </c>
      <c r="K10" s="18">
        <v>1</v>
      </c>
      <c r="L10" s="114">
        <v>1</v>
      </c>
      <c r="M10" s="114">
        <v>10</v>
      </c>
    </row>
    <row r="11" spans="1:14" ht="21" customHeight="1" x14ac:dyDescent="0.15">
      <c r="A11" s="65" t="str">
        <f>B11&amp;"_"&amp;I11</f>
        <v>133_116</v>
      </c>
      <c r="B11" s="44">
        <v>133</v>
      </c>
      <c r="C11" s="184">
        <f>B11</f>
        <v>133</v>
      </c>
      <c r="D11" s="57" t="str">
        <f ca="1">VLOOKUP($C11,OFFSET([1]characters!$A$1,0,0,COUNTA([1]characters!$A:$A),MATCH(D$1,[1]characters!$1:$1,0)-MATCH($C$1,[1]characters!$1:$1,0)+1),MATCH(D$1,[1]characters!$1:$1,0)-MATCH($C$1,[1]characters!$1:$1,0)+1,FALSE)</f>
        <v>迅雷の刀剣 ハヤト</v>
      </c>
      <c r="E11" s="57">
        <f ca="1">VLOOKUP($C11,OFFSET([1]characters!$A$1,0,0,COUNTA([1]characters!$A:$A),MATCH(E$1,[1]characters!$1:$1,0)-MATCH($C$1,[1]characters!$1:$1,0)+1),MATCH(E$1,[1]characters!$1:$1,0)-MATCH($C$1,[1]characters!$1:$1,0)+1,FALSE)</f>
        <v>4</v>
      </c>
      <c r="F11" s="57" t="str">
        <f ca="1">VLOOKUP($C11,OFFSET([1]characters!$A$1,0,0,COUNTA([1]characters!$A:$A),MATCH(F$1,[1]characters!$1:$1,0)-MATCH($C$1,[1]characters!$1:$1,0)+1),MATCH(F$1,[1]characters!$1:$1,0)-MATCH($C$1,[1]characters!$1:$1,0)+1,FALSE)</f>
        <v>PremiumW</v>
      </c>
      <c r="G11" s="185">
        <v>563</v>
      </c>
      <c r="H11" s="57" t="str">
        <f ca="1">VLOOKUP($G11,OFFSET([1]characters!$A$1,0,0,COUNTA([1]characters!$A:$A),MATCH(H$1,[1]characters!$1:$1,0)-MATCH($C$1,[1]characters!$1:$1,0)+1),MATCH(H$1,[1]characters!$1:$1,0)-MATCH($C$1,[1]characters!$1:$1,0)+1,FALSE)</f>
        <v>電翔紫閃の雷刃 ハヤト</v>
      </c>
      <c r="I11" s="189">
        <v>116</v>
      </c>
      <c r="J11" s="190" t="str">
        <f>VLOOKUP(I11,[1]characters!$A:$C,3,FALSE)</f>
        <v>雷のマッドハッター</v>
      </c>
      <c r="K11" s="18">
        <v>2</v>
      </c>
      <c r="L11" s="114">
        <v>1</v>
      </c>
      <c r="M11" s="114">
        <v>10</v>
      </c>
    </row>
    <row r="12" spans="1:14" ht="21" customHeight="1" x14ac:dyDescent="0.15">
      <c r="A12" s="65" t="str">
        <f t="shared" ref="A12:A13" si="4">B12&amp;"_"&amp;I12</f>
        <v>133_115</v>
      </c>
      <c r="B12" s="44">
        <v>133</v>
      </c>
      <c r="C12" s="184">
        <f t="shared" si="1"/>
        <v>133</v>
      </c>
      <c r="D12" s="57" t="str">
        <f ca="1">VLOOKUP($C12,OFFSET([1]characters!$A$1,0,0,COUNTA([1]characters!$A:$A),MATCH(D$1,[1]characters!$1:$1,0)-MATCH($C$1,[1]characters!$1:$1,0)+1),MATCH(D$1,[1]characters!$1:$1,0)-MATCH($C$1,[1]characters!$1:$1,0)+1,FALSE)</f>
        <v>迅雷の刀剣 ハヤト</v>
      </c>
      <c r="E12" s="57">
        <f ca="1">VLOOKUP($C12,OFFSET([1]characters!$A$1,0,0,COUNTA([1]characters!$A:$A),MATCH(E$1,[1]characters!$1:$1,0)-MATCH($C$1,[1]characters!$1:$1,0)+1),MATCH(E$1,[1]characters!$1:$1,0)-MATCH($C$1,[1]characters!$1:$1,0)+1,FALSE)</f>
        <v>4</v>
      </c>
      <c r="F12" s="57" t="str">
        <f ca="1">VLOOKUP($C12,OFFSET([1]characters!$A$1,0,0,COUNTA([1]characters!$A:$A),MATCH(F$1,[1]characters!$1:$1,0)-MATCH($C$1,[1]characters!$1:$1,0)+1),MATCH(F$1,[1]characters!$1:$1,0)-MATCH($C$1,[1]characters!$1:$1,0)+1,FALSE)</f>
        <v>PremiumW</v>
      </c>
      <c r="G12" s="185">
        <v>563</v>
      </c>
      <c r="H12" s="57" t="str">
        <f ca="1">VLOOKUP($G12,OFFSET([1]characters!$A$1,0,0,COUNTA([1]characters!$A:$A),MATCH(H$1,[1]characters!$1:$1,0)-MATCH($C$1,[1]characters!$1:$1,0)+1),MATCH(H$1,[1]characters!$1:$1,0)-MATCH($C$1,[1]characters!$1:$1,0)+1,FALSE)</f>
        <v>電翔紫閃の雷刃 ハヤト</v>
      </c>
      <c r="I12" s="189">
        <v>115</v>
      </c>
      <c r="J12" s="190" t="str">
        <f>VLOOKUP(I12,[1]characters!$A:$C,3,FALSE)</f>
        <v>イエローキャタップ</v>
      </c>
      <c r="K12" s="18">
        <v>2</v>
      </c>
      <c r="L12" s="114">
        <v>1</v>
      </c>
      <c r="M12" s="114">
        <v>10</v>
      </c>
    </row>
    <row r="13" spans="1:14" ht="21" customHeight="1" x14ac:dyDescent="0.15">
      <c r="A13" s="65" t="str">
        <f t="shared" si="4"/>
        <v>133_114</v>
      </c>
      <c r="B13" s="44">
        <v>133</v>
      </c>
      <c r="C13" s="184">
        <f t="shared" si="1"/>
        <v>133</v>
      </c>
      <c r="D13" s="57" t="str">
        <f ca="1">VLOOKUP($C13,OFFSET([1]characters!$A$1,0,0,COUNTA([1]characters!$A:$A),MATCH(D$1,[1]characters!$1:$1,0)-MATCH($C$1,[1]characters!$1:$1,0)+1),MATCH(D$1,[1]characters!$1:$1,0)-MATCH($C$1,[1]characters!$1:$1,0)+1,FALSE)</f>
        <v>迅雷の刀剣 ハヤト</v>
      </c>
      <c r="E13" s="57">
        <f ca="1">VLOOKUP($C13,OFFSET([1]characters!$A$1,0,0,COUNTA([1]characters!$A:$A),MATCH(E$1,[1]characters!$1:$1,0)-MATCH($C$1,[1]characters!$1:$1,0)+1),MATCH(E$1,[1]characters!$1:$1,0)-MATCH($C$1,[1]characters!$1:$1,0)+1,FALSE)</f>
        <v>4</v>
      </c>
      <c r="F13" s="57" t="str">
        <f ca="1">VLOOKUP($C13,OFFSET([1]characters!$A$1,0,0,COUNTA([1]characters!$A:$A),MATCH(F$1,[1]characters!$1:$1,0)-MATCH($C$1,[1]characters!$1:$1,0)+1),MATCH(F$1,[1]characters!$1:$1,0)-MATCH($C$1,[1]characters!$1:$1,0)+1,FALSE)</f>
        <v>PremiumW</v>
      </c>
      <c r="G13" s="185">
        <v>563</v>
      </c>
      <c r="H13" s="57" t="str">
        <f ca="1">VLOOKUP($G13,OFFSET([1]characters!$A$1,0,0,COUNTA([1]characters!$A:$A),MATCH(H$1,[1]characters!$1:$1,0)-MATCH($C$1,[1]characters!$1:$1,0)+1),MATCH(H$1,[1]characters!$1:$1,0)-MATCH($C$1,[1]characters!$1:$1,0)+1,FALSE)</f>
        <v>電翔紫閃の雷刃 ハヤト</v>
      </c>
      <c r="I13" s="189">
        <v>114</v>
      </c>
      <c r="J13" s="190" t="str">
        <f>VLOOKUP(I13,[1]characters!$A:$C,3,FALSE)</f>
        <v>イエローラビット</v>
      </c>
      <c r="K13" s="18">
        <v>1</v>
      </c>
      <c r="L13" s="114">
        <v>1</v>
      </c>
      <c r="M13" s="114">
        <v>10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F2"/>
  <sheetViews>
    <sheetView workbookViewId="0">
      <selection activeCell="A2" sqref="A2:F2"/>
    </sheetView>
  </sheetViews>
  <sheetFormatPr baseColWidth="12" defaultRowHeight="15" x14ac:dyDescent="0.15"/>
  <cols>
    <col min="4" max="4" width="43.1640625" customWidth="1"/>
    <col min="5" max="5" width="105.1640625" customWidth="1"/>
  </cols>
  <sheetData>
    <row r="1" spans="1:6" s="23" customFormat="1" ht="21" customHeight="1" x14ac:dyDescent="0.15">
      <c r="A1" s="171" t="s">
        <v>248</v>
      </c>
      <c r="B1" s="120" t="s">
        <v>141</v>
      </c>
      <c r="C1" s="121" t="s">
        <v>40</v>
      </c>
      <c r="D1" s="122" t="s">
        <v>163</v>
      </c>
      <c r="E1" s="172" t="s">
        <v>249</v>
      </c>
      <c r="F1" s="172" t="s">
        <v>250</v>
      </c>
    </row>
    <row r="2" spans="1:6" s="23" customFormat="1" ht="21" customHeight="1" x14ac:dyDescent="0.15">
      <c r="A2" s="66"/>
      <c r="B2" s="173"/>
      <c r="C2" s="174"/>
      <c r="D2" s="174"/>
      <c r="E2" s="174"/>
      <c r="F2" s="175"/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F9" sqref="F9"/>
    </sheetView>
  </sheetViews>
  <sheetFormatPr baseColWidth="12" defaultRowHeight="15" x14ac:dyDescent="0.15"/>
  <cols>
    <col min="2" max="2" width="24" customWidth="1"/>
    <col min="5" max="5" width="22.6640625" customWidth="1"/>
    <col min="6" max="6" width="47.83203125" customWidth="1"/>
  </cols>
  <sheetData>
    <row r="1" spans="1:8" s="23" customFormat="1" ht="21" customHeight="1" x14ac:dyDescent="0.15">
      <c r="A1" s="171" t="s">
        <v>138</v>
      </c>
      <c r="B1" s="176" t="s">
        <v>260</v>
      </c>
      <c r="C1" s="120" t="s">
        <v>261</v>
      </c>
      <c r="D1" s="120" t="s">
        <v>262</v>
      </c>
      <c r="E1" s="177" t="s">
        <v>263</v>
      </c>
      <c r="F1" s="177" t="s">
        <v>264</v>
      </c>
      <c r="G1" s="123" t="s">
        <v>265</v>
      </c>
      <c r="H1" s="171" t="s">
        <v>266</v>
      </c>
    </row>
    <row r="2" spans="1:8" s="4" customFormat="1" ht="21" customHeight="1" x14ac:dyDescent="0.15">
      <c r="A2" s="173"/>
      <c r="B2" s="178"/>
      <c r="C2" s="173"/>
      <c r="D2" s="173"/>
      <c r="E2" s="179"/>
      <c r="F2" s="179"/>
      <c r="G2" s="180"/>
      <c r="H2" s="180"/>
    </row>
    <row r="3" spans="1:8" s="4" customFormat="1" ht="21" customHeight="1" x14ac:dyDescent="0.15">
      <c r="A3" s="173"/>
      <c r="B3" s="178"/>
      <c r="C3" s="173"/>
      <c r="D3" s="173"/>
      <c r="E3" s="179"/>
      <c r="F3" s="179"/>
      <c r="G3" s="180"/>
      <c r="H3" s="180"/>
    </row>
    <row r="4" spans="1:8" s="4" customFormat="1" ht="21" customHeight="1" x14ac:dyDescent="0.15">
      <c r="A4" s="173"/>
      <c r="B4" s="178"/>
      <c r="C4" s="173"/>
      <c r="D4" s="173"/>
      <c r="E4" s="179"/>
      <c r="F4" s="179"/>
      <c r="G4" s="180"/>
      <c r="H4" s="180"/>
    </row>
    <row r="5" spans="1:8" s="4" customFormat="1" ht="21" customHeight="1" x14ac:dyDescent="0.15">
      <c r="A5" s="173"/>
      <c r="B5" s="178"/>
      <c r="C5" s="173"/>
      <c r="D5" s="173"/>
      <c r="E5" s="179"/>
      <c r="F5" s="179"/>
      <c r="G5" s="180"/>
      <c r="H5" s="180"/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349</v>
      </c>
      <c r="B1" t="s">
        <v>350</v>
      </c>
    </row>
    <row r="2" spans="1:2" x14ac:dyDescent="0.15">
      <c r="A2" t="s">
        <v>351</v>
      </c>
      <c r="B2">
        <v>1</v>
      </c>
    </row>
    <row r="3" spans="1:2" x14ac:dyDescent="0.15">
      <c r="A3" t="s">
        <v>352</v>
      </c>
      <c r="B3">
        <v>1</v>
      </c>
    </row>
    <row r="4" spans="1:2" x14ac:dyDescent="0.15">
      <c r="A4" t="s">
        <v>353</v>
      </c>
      <c r="B4">
        <v>1</v>
      </c>
    </row>
    <row r="5" spans="1:2" x14ac:dyDescent="0.15">
      <c r="A5" t="s">
        <v>354</v>
      </c>
      <c r="B5">
        <v>1</v>
      </c>
    </row>
    <row r="6" spans="1:2" x14ac:dyDescent="0.15">
      <c r="A6" t="s">
        <v>355</v>
      </c>
      <c r="B6">
        <v>1</v>
      </c>
    </row>
    <row r="7" spans="1:2" x14ac:dyDescent="0.15">
      <c r="A7" t="s">
        <v>356</v>
      </c>
      <c r="B7">
        <v>1</v>
      </c>
    </row>
    <row r="8" spans="1:2" x14ac:dyDescent="0.15">
      <c r="A8" t="s">
        <v>357</v>
      </c>
      <c r="B8">
        <v>1</v>
      </c>
    </row>
    <row r="9" spans="1:2" x14ac:dyDescent="0.15">
      <c r="A9" t="s">
        <v>358</v>
      </c>
      <c r="B9">
        <v>1</v>
      </c>
    </row>
    <row r="10" spans="1:2" x14ac:dyDescent="0.15">
      <c r="A10" t="s">
        <v>359</v>
      </c>
      <c r="B10">
        <v>1</v>
      </c>
    </row>
    <row r="11" spans="1:2" x14ac:dyDescent="0.15">
      <c r="A11" t="s">
        <v>360</v>
      </c>
      <c r="B11">
        <v>1</v>
      </c>
    </row>
    <row r="12" spans="1:2" x14ac:dyDescent="0.15">
      <c r="A12" t="s">
        <v>361</v>
      </c>
      <c r="B12">
        <v>1</v>
      </c>
    </row>
    <row r="13" spans="1:2" x14ac:dyDescent="0.15">
      <c r="A13" t="s">
        <v>362</v>
      </c>
      <c r="B13">
        <v>0</v>
      </c>
    </row>
    <row r="14" spans="1:2" x14ac:dyDescent="0.15">
      <c r="A14" t="s">
        <v>363</v>
      </c>
      <c r="B14">
        <v>500</v>
      </c>
    </row>
    <row r="15" spans="1:2" x14ac:dyDescent="0.15">
      <c r="A15" t="s">
        <v>364</v>
      </c>
      <c r="B15">
        <v>600</v>
      </c>
    </row>
    <row r="16" spans="1:2" x14ac:dyDescent="0.15">
      <c r="A16" t="s">
        <v>365</v>
      </c>
      <c r="B16">
        <v>700</v>
      </c>
    </row>
    <row r="17" spans="1:2" x14ac:dyDescent="0.15">
      <c r="A17" t="s">
        <v>366</v>
      </c>
      <c r="B17">
        <v>5500</v>
      </c>
    </row>
    <row r="18" spans="1:2" x14ac:dyDescent="0.15">
      <c r="A18" t="s">
        <v>367</v>
      </c>
      <c r="B18">
        <v>6000</v>
      </c>
    </row>
    <row r="19" spans="1:2" x14ac:dyDescent="0.15">
      <c r="A19" t="s">
        <v>368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topLeftCell="A3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226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227</v>
      </c>
      <c r="B2" s="146"/>
      <c r="C2" s="147"/>
      <c r="D2" s="148" t="s">
        <v>228</v>
      </c>
      <c r="E2" s="148">
        <v>30</v>
      </c>
      <c r="F2" s="148">
        <v>40</v>
      </c>
      <c r="G2" s="148">
        <f>15+F2</f>
        <v>55</v>
      </c>
      <c r="H2" s="147"/>
      <c r="I2" s="147"/>
    </row>
    <row r="3" spans="1:9" s="4" customFormat="1" ht="21" customHeight="1" x14ac:dyDescent="0.15">
      <c r="A3" s="145" t="s">
        <v>229</v>
      </c>
      <c r="B3" s="149"/>
      <c r="C3" s="150"/>
      <c r="D3" s="151" t="s">
        <v>228</v>
      </c>
      <c r="E3" s="151">
        <v>25</v>
      </c>
      <c r="F3" s="151">
        <v>35</v>
      </c>
      <c r="G3" s="148">
        <f t="shared" ref="G3:G4" si="0">15+F3</f>
        <v>50</v>
      </c>
      <c r="H3" s="150"/>
      <c r="I3" s="150"/>
    </row>
    <row r="4" spans="1:9" s="4" customFormat="1" ht="21" customHeight="1" x14ac:dyDescent="0.15">
      <c r="A4" s="145" t="s">
        <v>230</v>
      </c>
      <c r="B4" s="152"/>
      <c r="C4" s="153"/>
      <c r="D4" s="154">
        <v>10</v>
      </c>
      <c r="E4" s="154">
        <v>20</v>
      </c>
      <c r="F4" s="154">
        <v>30</v>
      </c>
      <c r="G4" s="154">
        <f t="shared" si="0"/>
        <v>45</v>
      </c>
      <c r="H4" s="153"/>
      <c r="I4" s="153"/>
    </row>
    <row r="5" spans="1:9" s="4" customFormat="1" ht="21" customHeight="1" x14ac:dyDescent="0.15">
      <c r="A5" s="164" t="s">
        <v>231</v>
      </c>
      <c r="B5" s="159"/>
      <c r="C5" s="160"/>
      <c r="D5" s="28">
        <v>9</v>
      </c>
      <c r="E5" s="28">
        <v>18</v>
      </c>
      <c r="F5" s="28">
        <v>28</v>
      </c>
      <c r="G5" s="39">
        <v>38</v>
      </c>
      <c r="H5" s="160"/>
      <c r="I5" s="160"/>
    </row>
    <row r="6" spans="1:9" s="4" customFormat="1" ht="21" customHeight="1" x14ac:dyDescent="0.15">
      <c r="A6" s="164" t="s">
        <v>232</v>
      </c>
      <c r="B6" s="159"/>
      <c r="C6" s="160"/>
      <c r="D6" s="28">
        <v>7</v>
      </c>
      <c r="E6" s="28">
        <v>16</v>
      </c>
      <c r="F6" s="69" t="s">
        <v>11</v>
      </c>
      <c r="G6" s="69" t="s">
        <v>11</v>
      </c>
      <c r="H6" s="160"/>
      <c r="I6" s="160"/>
    </row>
    <row r="7" spans="1:9" ht="21" customHeight="1" x14ac:dyDescent="0.15">
      <c r="A7" s="74" t="s">
        <v>233</v>
      </c>
      <c r="B7" s="47" t="s">
        <v>11</v>
      </c>
      <c r="C7" s="47" t="s">
        <v>11</v>
      </c>
      <c r="D7" s="39" t="s">
        <v>228</v>
      </c>
      <c r="E7" s="39" t="s">
        <v>228</v>
      </c>
      <c r="F7" s="39" t="s">
        <v>228</v>
      </c>
      <c r="G7" s="39" t="s">
        <v>228</v>
      </c>
      <c r="H7" s="39" t="s">
        <v>228</v>
      </c>
      <c r="I7" s="39" t="s">
        <v>228</v>
      </c>
    </row>
    <row r="8" spans="1:9" ht="21" customHeight="1" x14ac:dyDescent="0.15">
      <c r="A8" s="75" t="s">
        <v>234</v>
      </c>
      <c r="B8" s="47" t="s">
        <v>11</v>
      </c>
      <c r="C8" s="47" t="s">
        <v>11</v>
      </c>
      <c r="D8" s="39" t="s">
        <v>228</v>
      </c>
      <c r="E8" s="39">
        <v>30</v>
      </c>
      <c r="F8" s="39">
        <v>40</v>
      </c>
      <c r="G8" s="39">
        <f>15+F8</f>
        <v>55</v>
      </c>
      <c r="H8" s="39" t="s">
        <v>228</v>
      </c>
      <c r="I8" s="39" t="s">
        <v>228</v>
      </c>
    </row>
    <row r="9" spans="1:9" s="46" customFormat="1" ht="21" customHeight="1" x14ac:dyDescent="0.15">
      <c r="A9" s="76" t="s">
        <v>235</v>
      </c>
      <c r="B9" s="28" t="s">
        <v>11</v>
      </c>
      <c r="C9" s="28" t="s">
        <v>11</v>
      </c>
      <c r="D9" s="106" t="s">
        <v>228</v>
      </c>
      <c r="E9" s="106">
        <v>25</v>
      </c>
      <c r="F9" s="106">
        <v>35</v>
      </c>
      <c r="G9" s="39">
        <f t="shared" ref="G9:G10" si="1">15+F9</f>
        <v>50</v>
      </c>
      <c r="H9" s="106" t="s">
        <v>228</v>
      </c>
      <c r="I9" s="106" t="s">
        <v>228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8">
        <v>10</v>
      </c>
      <c r="E10" s="28">
        <v>20</v>
      </c>
      <c r="F10" s="28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236</v>
      </c>
      <c r="B11" s="69" t="s">
        <v>11</v>
      </c>
      <c r="C11" s="69" t="s">
        <v>11</v>
      </c>
      <c r="D11" s="28">
        <v>9</v>
      </c>
      <c r="E11" s="28">
        <v>18</v>
      </c>
      <c r="F11" s="28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237</v>
      </c>
      <c r="B12" s="69" t="s">
        <v>11</v>
      </c>
      <c r="C12" s="69" t="s">
        <v>11</v>
      </c>
      <c r="D12" s="28">
        <v>7</v>
      </c>
      <c r="E12" s="28">
        <v>16</v>
      </c>
      <c r="F12" s="198">
        <v>26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238</v>
      </c>
      <c r="B13" s="69" t="s">
        <v>11</v>
      </c>
      <c r="C13" s="69" t="s">
        <v>11</v>
      </c>
      <c r="D13" s="28">
        <v>8</v>
      </c>
      <c r="E13" s="28">
        <v>17</v>
      </c>
      <c r="F13" s="28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239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240</v>
      </c>
      <c r="B15" s="69" t="s">
        <v>11</v>
      </c>
      <c r="C15" s="69" t="s">
        <v>11</v>
      </c>
      <c r="D15" s="28">
        <v>6</v>
      </c>
      <c r="E15" s="28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241</v>
      </c>
      <c r="B16" s="69" t="s">
        <v>11</v>
      </c>
      <c r="C16" s="28">
        <v>4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8">
        <v>2</v>
      </c>
      <c r="C17" s="28">
        <v>4</v>
      </c>
      <c r="D17" s="28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1">
        <v>1</v>
      </c>
      <c r="C18" s="31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242</v>
      </c>
      <c r="B19" s="26">
        <v>1</v>
      </c>
      <c r="C19" s="26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7" t="s">
        <v>243</v>
      </c>
      <c r="B20" s="36">
        <v>99</v>
      </c>
      <c r="C20" s="36">
        <v>99</v>
      </c>
      <c r="D20" s="36">
        <v>99</v>
      </c>
      <c r="E20" s="36">
        <v>99</v>
      </c>
      <c r="F20" s="36">
        <v>99</v>
      </c>
      <c r="G20" s="36">
        <v>99</v>
      </c>
      <c r="H20" s="36">
        <v>99</v>
      </c>
      <c r="I20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F13" sqref="F13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5" t="s">
        <v>227</v>
      </c>
      <c r="B2" s="161"/>
      <c r="C2" s="147"/>
      <c r="D2" s="155" t="s">
        <v>109</v>
      </c>
      <c r="E2" s="155">
        <v>60</v>
      </c>
      <c r="F2" s="155">
        <v>80</v>
      </c>
      <c r="G2" s="155">
        <v>99</v>
      </c>
      <c r="H2" s="147"/>
      <c r="I2" s="147"/>
    </row>
    <row r="3" spans="1:9" s="4" customFormat="1" ht="21" customHeight="1" x14ac:dyDescent="0.15">
      <c r="A3" s="145" t="s">
        <v>229</v>
      </c>
      <c r="B3" s="162"/>
      <c r="C3" s="150"/>
      <c r="D3" s="155" t="s">
        <v>109</v>
      </c>
      <c r="E3" s="155">
        <v>60</v>
      </c>
      <c r="F3" s="155">
        <v>80</v>
      </c>
      <c r="G3" s="155">
        <v>99</v>
      </c>
      <c r="H3" s="150"/>
      <c r="I3" s="150"/>
    </row>
    <row r="4" spans="1:9" s="4" customFormat="1" ht="21" customHeight="1" x14ac:dyDescent="0.15">
      <c r="A4" s="145" t="s">
        <v>223</v>
      </c>
      <c r="B4" s="163"/>
      <c r="C4" s="153"/>
      <c r="D4" s="155">
        <v>40</v>
      </c>
      <c r="E4" s="155">
        <v>60</v>
      </c>
      <c r="F4" s="155">
        <v>80</v>
      </c>
      <c r="G4" s="155">
        <v>99</v>
      </c>
      <c r="H4" s="153"/>
      <c r="I4" s="153"/>
    </row>
    <row r="5" spans="1:9" s="4" customFormat="1" ht="21" customHeight="1" x14ac:dyDescent="0.15">
      <c r="A5" s="164" t="s">
        <v>231</v>
      </c>
      <c r="B5" s="159"/>
      <c r="C5" s="160"/>
      <c r="D5" s="155">
        <v>40</v>
      </c>
      <c r="E5" s="155">
        <v>60</v>
      </c>
      <c r="F5" s="155">
        <v>80</v>
      </c>
      <c r="G5" s="155">
        <v>99</v>
      </c>
      <c r="H5" s="160"/>
      <c r="I5" s="160"/>
    </row>
    <row r="6" spans="1:9" s="4" customFormat="1" ht="21" customHeight="1" x14ac:dyDescent="0.15">
      <c r="A6" s="164" t="s">
        <v>232</v>
      </c>
      <c r="B6" s="159"/>
      <c r="C6" s="160"/>
      <c r="D6" s="155">
        <v>40</v>
      </c>
      <c r="E6" s="155">
        <v>60</v>
      </c>
      <c r="F6" s="155" t="s">
        <v>109</v>
      </c>
      <c r="G6" s="155" t="s">
        <v>109</v>
      </c>
      <c r="H6" s="160"/>
      <c r="I6" s="160"/>
    </row>
    <row r="7" spans="1:9" ht="21" customHeight="1" x14ac:dyDescent="0.15">
      <c r="A7" s="74" t="s">
        <v>199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234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235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6">
        <v>40</v>
      </c>
      <c r="E10" s="36">
        <v>60</v>
      </c>
      <c r="F10" s="36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202</v>
      </c>
      <c r="B11" s="71" t="s">
        <v>109</v>
      </c>
      <c r="C11" s="71" t="s">
        <v>109</v>
      </c>
      <c r="D11" s="36">
        <v>40</v>
      </c>
      <c r="E11" s="36">
        <v>60</v>
      </c>
      <c r="F11" s="36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198</v>
      </c>
      <c r="B12" s="71" t="s">
        <v>109</v>
      </c>
      <c r="C12" s="71" t="s">
        <v>109</v>
      </c>
      <c r="D12" s="36">
        <v>40</v>
      </c>
      <c r="E12" s="36">
        <v>60</v>
      </c>
      <c r="F12" s="199">
        <v>80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238</v>
      </c>
      <c r="B13" s="71" t="s">
        <v>109</v>
      </c>
      <c r="C13" s="71" t="s">
        <v>109</v>
      </c>
      <c r="D13" s="36">
        <v>40</v>
      </c>
      <c r="E13" s="36">
        <v>60</v>
      </c>
      <c r="F13" s="36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239</v>
      </c>
      <c r="B14" s="71" t="s">
        <v>109</v>
      </c>
      <c r="C14" s="71" t="s">
        <v>109</v>
      </c>
      <c r="D14" s="36">
        <v>40</v>
      </c>
      <c r="E14" s="36">
        <v>60</v>
      </c>
      <c r="F14" s="36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6">
        <v>30</v>
      </c>
      <c r="D15" s="36">
        <v>40</v>
      </c>
      <c r="E15" s="36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241</v>
      </c>
      <c r="B16" s="71" t="s">
        <v>109</v>
      </c>
      <c r="C16" s="36">
        <v>30</v>
      </c>
      <c r="D16" s="36">
        <v>40</v>
      </c>
      <c r="E16" s="36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6">
        <v>15</v>
      </c>
      <c r="C17" s="36">
        <v>30</v>
      </c>
      <c r="D17" s="36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6">
        <v>15</v>
      </c>
      <c r="C18" s="36">
        <v>30</v>
      </c>
      <c r="D18" s="36">
        <v>40</v>
      </c>
      <c r="E18" s="71" t="s">
        <v>208</v>
      </c>
      <c r="F18" s="71" t="s">
        <v>208</v>
      </c>
      <c r="G18" s="71" t="s">
        <v>208</v>
      </c>
      <c r="H18" s="71" t="s">
        <v>208</v>
      </c>
      <c r="I18" s="71" t="s">
        <v>208</v>
      </c>
    </row>
    <row r="19" spans="1:9" ht="21" customHeight="1" x14ac:dyDescent="0.15">
      <c r="A19" s="78" t="s">
        <v>242</v>
      </c>
      <c r="B19" s="36">
        <v>10</v>
      </c>
      <c r="C19" s="36">
        <v>20</v>
      </c>
      <c r="D19" s="71" t="s">
        <v>208</v>
      </c>
      <c r="E19" s="71" t="s">
        <v>208</v>
      </c>
      <c r="F19" s="71" t="s">
        <v>208</v>
      </c>
      <c r="G19" s="71" t="s">
        <v>208</v>
      </c>
      <c r="H19" s="71" t="s">
        <v>208</v>
      </c>
      <c r="I19" s="71" t="s">
        <v>208</v>
      </c>
    </row>
    <row r="20" spans="1:9" ht="21" customHeight="1" x14ac:dyDescent="0.15">
      <c r="A20" s="37" t="s">
        <v>243</v>
      </c>
      <c r="B20" s="36">
        <v>1</v>
      </c>
      <c r="C20" s="36">
        <v>1</v>
      </c>
      <c r="D20" s="36">
        <v>1</v>
      </c>
      <c r="E20" s="36">
        <v>1</v>
      </c>
      <c r="F20" s="36">
        <v>1</v>
      </c>
      <c r="G20" s="36">
        <v>1</v>
      </c>
      <c r="H20" s="36">
        <v>1</v>
      </c>
      <c r="I20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J8" sqref="J8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5" t="s">
        <v>227</v>
      </c>
      <c r="B2" s="146"/>
      <c r="C2" s="147"/>
      <c r="D2" s="155" t="s">
        <v>109</v>
      </c>
      <c r="E2" s="156" t="s">
        <v>59</v>
      </c>
      <c r="F2" s="156" t="s">
        <v>59</v>
      </c>
      <c r="G2" s="156" t="s">
        <v>244</v>
      </c>
      <c r="H2" s="147"/>
      <c r="I2" s="147"/>
    </row>
    <row r="3" spans="1:11" s="4" customFormat="1" ht="21" customHeight="1" x14ac:dyDescent="0.15">
      <c r="A3" s="145" t="s">
        <v>229</v>
      </c>
      <c r="B3" s="149"/>
      <c r="C3" s="150"/>
      <c r="D3" s="156" t="s">
        <v>59</v>
      </c>
      <c r="E3" s="156" t="s">
        <v>59</v>
      </c>
      <c r="F3" s="156" t="s">
        <v>59</v>
      </c>
      <c r="G3" s="156" t="s">
        <v>222</v>
      </c>
      <c r="H3" s="150"/>
      <c r="I3" s="150"/>
    </row>
    <row r="4" spans="1:11" s="4" customFormat="1" ht="21" customHeight="1" x14ac:dyDescent="0.15">
      <c r="A4" s="145" t="s">
        <v>223</v>
      </c>
      <c r="B4" s="152"/>
      <c r="C4" s="153"/>
      <c r="D4" s="157" t="s">
        <v>59</v>
      </c>
      <c r="E4" s="157" t="s">
        <v>59</v>
      </c>
      <c r="F4" s="157" t="s">
        <v>59</v>
      </c>
      <c r="G4" s="156" t="s">
        <v>222</v>
      </c>
      <c r="H4" s="153"/>
      <c r="I4" s="153"/>
    </row>
    <row r="5" spans="1:11" s="4" customFormat="1" ht="21" customHeight="1" x14ac:dyDescent="0.15">
      <c r="A5" s="164" t="s">
        <v>231</v>
      </c>
      <c r="B5" s="159"/>
      <c r="C5" s="160"/>
      <c r="D5" s="157" t="s">
        <v>59</v>
      </c>
      <c r="E5" s="157" t="s">
        <v>59</v>
      </c>
      <c r="F5" s="157" t="s">
        <v>59</v>
      </c>
      <c r="G5" s="156" t="s">
        <v>212</v>
      </c>
      <c r="H5" s="160"/>
      <c r="I5" s="160"/>
    </row>
    <row r="6" spans="1:11" s="4" customFormat="1" ht="21" customHeight="1" x14ac:dyDescent="0.15">
      <c r="A6" s="164" t="s">
        <v>232</v>
      </c>
      <c r="B6" s="159"/>
      <c r="C6" s="160"/>
      <c r="D6" s="165" t="s">
        <v>60</v>
      </c>
      <c r="E6" s="165" t="s">
        <v>60</v>
      </c>
      <c r="F6" s="155" t="s">
        <v>109</v>
      </c>
      <c r="G6" s="155" t="s">
        <v>109</v>
      </c>
      <c r="H6" s="160"/>
      <c r="I6" s="160"/>
    </row>
    <row r="7" spans="1:11" ht="21" customHeight="1" x14ac:dyDescent="0.15">
      <c r="A7" s="74" t="s">
        <v>199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234</v>
      </c>
      <c r="B8" s="40" t="s">
        <v>109</v>
      </c>
      <c r="C8" s="40" t="s">
        <v>109</v>
      </c>
      <c r="D8" s="40" t="s">
        <v>209</v>
      </c>
      <c r="E8" s="52" t="s">
        <v>115</v>
      </c>
      <c r="F8" s="52" t="s">
        <v>115</v>
      </c>
      <c r="G8" s="52" t="s">
        <v>210</v>
      </c>
      <c r="H8" s="40" t="s">
        <v>209</v>
      </c>
      <c r="I8" s="40" t="s">
        <v>109</v>
      </c>
    </row>
    <row r="9" spans="1:11" s="46" customFormat="1" ht="21" customHeight="1" x14ac:dyDescent="0.15">
      <c r="A9" s="76" t="s">
        <v>235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211</v>
      </c>
      <c r="I9" s="66" t="s">
        <v>211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212</v>
      </c>
      <c r="H10" s="71" t="s">
        <v>211</v>
      </c>
      <c r="I10" s="71" t="s">
        <v>211</v>
      </c>
      <c r="K10" s="27" t="s">
        <v>12</v>
      </c>
    </row>
    <row r="11" spans="1:11" ht="21" customHeight="1" x14ac:dyDescent="0.15">
      <c r="A11" s="76" t="s">
        <v>202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212</v>
      </c>
      <c r="H11" s="71" t="s">
        <v>211</v>
      </c>
      <c r="I11" s="71" t="s">
        <v>211</v>
      </c>
      <c r="K11" s="29" t="s">
        <v>13</v>
      </c>
    </row>
    <row r="12" spans="1:11" ht="21" customHeight="1" x14ac:dyDescent="0.15">
      <c r="A12" s="76" t="s">
        <v>198</v>
      </c>
      <c r="B12" s="71" t="s">
        <v>109</v>
      </c>
      <c r="C12" s="71" t="s">
        <v>109</v>
      </c>
      <c r="D12" s="54" t="s">
        <v>60</v>
      </c>
      <c r="E12" s="54" t="s">
        <v>60</v>
      </c>
      <c r="F12" s="200" t="s">
        <v>59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238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239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241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242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7" t="s">
        <v>243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3" t="s">
        <v>14</v>
      </c>
    </row>
    <row r="26" spans="1:9" ht="21" customHeight="1" x14ac:dyDescent="0.15">
      <c r="A26" s="21" t="s">
        <v>64</v>
      </c>
      <c r="B26" s="21" t="s">
        <v>65</v>
      </c>
    </row>
    <row r="27" spans="1:9" ht="21" customHeight="1" x14ac:dyDescent="0.15">
      <c r="A27" s="24">
        <v>1</v>
      </c>
      <c r="B27" s="24">
        <v>200</v>
      </c>
    </row>
    <row r="28" spans="1:9" ht="21" customHeight="1" x14ac:dyDescent="0.15">
      <c r="A28" s="24">
        <v>2</v>
      </c>
      <c r="B28" s="24">
        <v>600</v>
      </c>
    </row>
    <row r="29" spans="1:9" ht="21" customHeight="1" x14ac:dyDescent="0.15">
      <c r="A29" s="24">
        <v>3</v>
      </c>
      <c r="B29" s="24">
        <v>1500</v>
      </c>
    </row>
    <row r="30" spans="1:9" ht="21" customHeight="1" x14ac:dyDescent="0.15">
      <c r="A30" s="24">
        <v>4</v>
      </c>
      <c r="B30" s="24">
        <v>3400</v>
      </c>
    </row>
    <row r="31" spans="1:9" ht="21" customHeight="1" x14ac:dyDescent="0.15">
      <c r="A31" s="24">
        <v>5</v>
      </c>
      <c r="B31" s="24">
        <v>6400</v>
      </c>
    </row>
  </sheetData>
  <sheetProtection selectLockedCells="1" selectUnlockedCells="1"/>
  <phoneticPr fontId="9"/>
  <conditionalFormatting sqref="A34:I65540 J1:IV1 J10:J13 L10:IV13 J14:IV65540 J7:IV7">
    <cfRule type="cellIs" dxfId="21" priority="27" stopIfTrue="1" operator="equal">
      <formula>1</formula>
    </cfRule>
  </conditionalFormatting>
  <conditionalFormatting sqref="A24:B25 A32:B33 C24:I33">
    <cfRule type="cellIs" dxfId="20" priority="26" stopIfTrue="1" operator="equal">
      <formula>1</formula>
    </cfRule>
  </conditionalFormatting>
  <conditionalFormatting sqref="K10:K13">
    <cfRule type="cellIs" dxfId="19" priority="22" stopIfTrue="1" operator="equal">
      <formula>1</formula>
    </cfRule>
  </conditionalFormatting>
  <conditionalFormatting sqref="J8:IV8">
    <cfRule type="cellIs" dxfId="18" priority="21" stopIfTrue="1" operator="equal">
      <formula>1</formula>
    </cfRule>
  </conditionalFormatting>
  <conditionalFormatting sqref="J9:IV9">
    <cfRule type="cellIs" dxfId="17" priority="20" stopIfTrue="1" operator="equal">
      <formula>1</formula>
    </cfRule>
  </conditionalFormatting>
  <conditionalFormatting sqref="G19:I19">
    <cfRule type="cellIs" dxfId="16" priority="12" stopIfTrue="1" operator="equal">
      <formula>1</formula>
    </cfRule>
  </conditionalFormatting>
  <conditionalFormatting sqref="D18:G18 F15:G17 H15:I18">
    <cfRule type="cellIs" dxfId="15" priority="11" stopIfTrue="1" operator="equal">
      <formula>1</formula>
    </cfRule>
  </conditionalFormatting>
  <conditionalFormatting sqref="F17:G17">
    <cfRule type="cellIs" dxfId="14" priority="10" stopIfTrue="1" operator="equal">
      <formula>1</formula>
    </cfRule>
  </conditionalFormatting>
  <conditionalFormatting sqref="A20">
    <cfRule type="cellIs" dxfId="13" priority="9" stopIfTrue="1" operator="equal">
      <formula>1</formula>
    </cfRule>
  </conditionalFormatting>
  <conditionalFormatting sqref="G12:I14 H10:I11">
    <cfRule type="cellIs" dxfId="12" priority="8" stopIfTrue="1" operator="equal">
      <formula>1</formula>
    </cfRule>
  </conditionalFormatting>
  <conditionalFormatting sqref="B10:C15">
    <cfRule type="cellIs" dxfId="11" priority="7" stopIfTrue="1" operator="equal">
      <formula>1</formula>
    </cfRule>
  </conditionalFormatting>
  <conditionalFormatting sqref="B16">
    <cfRule type="cellIs" dxfId="10" priority="6" stopIfTrue="1" operator="equal">
      <formula>1</formula>
    </cfRule>
  </conditionalFormatting>
  <conditionalFormatting sqref="E17">
    <cfRule type="cellIs" dxfId="9" priority="5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K14" sqref="K14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5" t="s">
        <v>220</v>
      </c>
      <c r="B2" s="146"/>
      <c r="C2" s="147"/>
      <c r="D2" s="158" t="s">
        <v>11</v>
      </c>
      <c r="E2" s="158">
        <v>8000</v>
      </c>
      <c r="F2" s="158">
        <v>10000</v>
      </c>
      <c r="G2" s="158">
        <v>14000</v>
      </c>
      <c r="H2" s="147"/>
      <c r="I2" s="147"/>
    </row>
    <row r="3" spans="1:9" s="4" customFormat="1" ht="21" customHeight="1" x14ac:dyDescent="0.15">
      <c r="A3" s="145" t="s">
        <v>221</v>
      </c>
      <c r="B3" s="149"/>
      <c r="C3" s="150"/>
      <c r="D3" s="158" t="s">
        <v>11</v>
      </c>
      <c r="E3" s="158">
        <v>7500</v>
      </c>
      <c r="F3" s="158">
        <v>9500</v>
      </c>
      <c r="G3" s="158">
        <v>13000</v>
      </c>
      <c r="H3" s="150"/>
      <c r="I3" s="150"/>
    </row>
    <row r="4" spans="1:9" s="4" customFormat="1" ht="21" customHeight="1" x14ac:dyDescent="0.15">
      <c r="A4" s="145" t="s">
        <v>223</v>
      </c>
      <c r="B4" s="152"/>
      <c r="C4" s="153"/>
      <c r="D4" s="158">
        <v>5000</v>
      </c>
      <c r="E4" s="158">
        <v>7000</v>
      </c>
      <c r="F4" s="158">
        <v>9000</v>
      </c>
      <c r="G4" s="158">
        <v>12000</v>
      </c>
      <c r="H4" s="153"/>
      <c r="I4" s="153"/>
    </row>
    <row r="5" spans="1:9" s="4" customFormat="1" ht="21" customHeight="1" x14ac:dyDescent="0.15">
      <c r="A5" s="164" t="s">
        <v>224</v>
      </c>
      <c r="B5" s="159"/>
      <c r="C5" s="160"/>
      <c r="D5" s="158">
        <v>4900</v>
      </c>
      <c r="E5" s="158">
        <v>6700</v>
      </c>
      <c r="F5" s="158">
        <v>8500</v>
      </c>
      <c r="G5" s="158">
        <v>11000</v>
      </c>
      <c r="H5" s="160"/>
      <c r="I5" s="160"/>
    </row>
    <row r="6" spans="1:9" s="4" customFormat="1" ht="21" customHeight="1" x14ac:dyDescent="0.15">
      <c r="A6" s="164" t="s">
        <v>225</v>
      </c>
      <c r="B6" s="159"/>
      <c r="C6" s="160"/>
      <c r="D6" s="158">
        <v>4800</v>
      </c>
      <c r="E6" s="158">
        <v>6600</v>
      </c>
      <c r="F6" s="158" t="s">
        <v>11</v>
      </c>
      <c r="G6" s="158" t="s">
        <v>11</v>
      </c>
      <c r="H6" s="160"/>
      <c r="I6" s="160"/>
    </row>
    <row r="7" spans="1:9" ht="21" customHeight="1" x14ac:dyDescent="0.15">
      <c r="A7" s="74" t="s">
        <v>199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200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201</v>
      </c>
      <c r="B9" s="28" t="s">
        <v>11</v>
      </c>
      <c r="C9" s="28" t="s">
        <v>11</v>
      </c>
      <c r="D9" s="28" t="s">
        <v>11</v>
      </c>
      <c r="E9" s="28">
        <v>7500</v>
      </c>
      <c r="F9" s="28">
        <v>9500</v>
      </c>
      <c r="G9" s="47">
        <v>13000</v>
      </c>
      <c r="H9" s="28" t="s">
        <v>11</v>
      </c>
      <c r="I9" s="28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8">
        <v>5000</v>
      </c>
      <c r="E10" s="28">
        <v>7000</v>
      </c>
      <c r="F10" s="28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202</v>
      </c>
      <c r="B11" s="69" t="s">
        <v>11</v>
      </c>
      <c r="C11" s="69" t="s">
        <v>11</v>
      </c>
      <c r="D11" s="28">
        <v>4900</v>
      </c>
      <c r="E11" s="28">
        <v>6700</v>
      </c>
      <c r="F11" s="28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8">
        <v>4800</v>
      </c>
      <c r="E12" s="28">
        <v>6600</v>
      </c>
      <c r="F12" s="198">
        <v>9000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203</v>
      </c>
      <c r="B13" s="69" t="s">
        <v>11</v>
      </c>
      <c r="C13" s="69" t="s">
        <v>11</v>
      </c>
      <c r="D13" s="69" t="s">
        <v>11</v>
      </c>
      <c r="E13" s="28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204</v>
      </c>
      <c r="B14" s="69" t="s">
        <v>11</v>
      </c>
      <c r="C14" s="69" t="s">
        <v>11</v>
      </c>
      <c r="D14" s="28">
        <v>4600</v>
      </c>
      <c r="E14" s="28">
        <v>5800</v>
      </c>
      <c r="F14" s="28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8">
        <v>4400</v>
      </c>
      <c r="E15" s="28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205</v>
      </c>
      <c r="B16" s="69" t="s">
        <v>11</v>
      </c>
      <c r="C16" s="28">
        <v>3000</v>
      </c>
      <c r="D16" s="28">
        <v>4200</v>
      </c>
      <c r="E16" s="28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8">
        <v>2000</v>
      </c>
      <c r="C17" s="28">
        <v>2800</v>
      </c>
      <c r="D17" s="28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8">
        <v>1750</v>
      </c>
      <c r="C18" s="28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206</v>
      </c>
      <c r="B19" s="28">
        <v>1500</v>
      </c>
      <c r="C19" s="28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7" t="s">
        <v>207</v>
      </c>
      <c r="B20" s="36">
        <v>1000</v>
      </c>
      <c r="C20" s="36">
        <v>1000</v>
      </c>
      <c r="D20" s="36">
        <v>1000</v>
      </c>
      <c r="E20" s="36">
        <v>1000</v>
      </c>
      <c r="F20" s="36">
        <v>1000</v>
      </c>
      <c r="G20" s="36">
        <v>1000</v>
      </c>
      <c r="H20" s="36">
        <v>1000</v>
      </c>
      <c r="I20" s="36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E15" sqref="E15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26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191</v>
      </c>
      <c r="B2" s="12">
        <v>591</v>
      </c>
    </row>
    <row r="3" spans="1:4" x14ac:dyDescent="0.15">
      <c r="A3" t="s">
        <v>192</v>
      </c>
      <c r="B3" s="133">
        <v>592</v>
      </c>
    </row>
    <row r="4" spans="1:4" x14ac:dyDescent="0.15">
      <c r="A4" t="s">
        <v>193</v>
      </c>
      <c r="B4" s="133">
        <v>593</v>
      </c>
    </row>
    <row r="7" spans="1:4" x14ac:dyDescent="0.15">
      <c r="A7" t="s">
        <v>194</v>
      </c>
    </row>
    <row r="8" spans="1:4" x14ac:dyDescent="0.15">
      <c r="A8" t="str">
        <f ca="1">A2 &amp;" "&amp;IF(B2="","",B2)&amp;" "&amp; IFERROR(VLOOKUP(B2,units!A:B,2),"なし")</f>
        <v>R3 591 電翔紫閃の雷刃 ハヤト</v>
      </c>
    </row>
    <row r="9" spans="1:4" x14ac:dyDescent="0.15">
      <c r="A9" t="str">
        <f ca="1">A3 &amp;" "&amp;IF(B3="","",B3)&amp;" "&amp; IFERROR(VLOOKUP(B3,units!A:B,2),"なし")</f>
        <v>R4 592 電翔紫閃の雷刃 ハヤト</v>
      </c>
    </row>
    <row r="10" spans="1:4" x14ac:dyDescent="0.15">
      <c r="A10" t="str">
        <f ca="1">A4 &amp;" "&amp;IF(B4="","",B4)&amp;" "&amp; IFERROR(VLOOKUP(B4,units!A:B,2),"なし")</f>
        <v>R5 593 電翔紫閃の雷刃 ハヤト</v>
      </c>
    </row>
    <row r="12" spans="1:4" x14ac:dyDescent="0.15">
      <c r="A12" t="s">
        <v>213</v>
      </c>
    </row>
    <row r="13" spans="1:4" x14ac:dyDescent="0.15">
      <c r="B13" t="s">
        <v>217</v>
      </c>
      <c r="C13" t="s">
        <v>218</v>
      </c>
      <c r="D13" t="s">
        <v>219</v>
      </c>
    </row>
    <row r="14" spans="1:4" x14ac:dyDescent="0.15">
      <c r="A14" t="s">
        <v>215</v>
      </c>
      <c r="B14">
        <f ca="1">VLOOKUP($B2,units!$A:$BN,63)</f>
        <v>4767</v>
      </c>
      <c r="C14">
        <f ca="1">VLOOKUP($B2,units!$A:$BN,64)</f>
        <v>4237</v>
      </c>
      <c r="D14">
        <f ca="1">VLOOKUP($B2,units!$A:$BN,66)</f>
        <v>1466</v>
      </c>
    </row>
    <row r="15" spans="1:4" x14ac:dyDescent="0.15">
      <c r="A15" t="s">
        <v>216</v>
      </c>
      <c r="B15">
        <f ca="1">VLOOKUP($B3,units!$A:$BN,63)</f>
        <v>4767</v>
      </c>
      <c r="C15">
        <f ca="1">VLOOKUP($B3,units!$A:$BN,64)</f>
        <v>4237</v>
      </c>
      <c r="D15">
        <f ca="1">VLOOKUP($B3,units!$A:$BN,66)</f>
        <v>1466</v>
      </c>
    </row>
    <row r="16" spans="1:4" x14ac:dyDescent="0.15">
      <c r="A16" t="s">
        <v>214</v>
      </c>
      <c r="B16">
        <f ca="1">VLOOKUP($B4,units!$A:$BN,63)</f>
        <v>4767</v>
      </c>
      <c r="C16">
        <f ca="1">VLOOKUP($B4,units!$A:$BN,64)</f>
        <v>4237</v>
      </c>
      <c r="D16">
        <f ca="1">VLOOKUP($B4,units!$A:$BN,66)</f>
        <v>1466</v>
      </c>
    </row>
    <row r="19" spans="1:1" ht="19" customHeight="1" x14ac:dyDescent="0.15">
      <c r="A19" t="s">
        <v>195</v>
      </c>
    </row>
    <row r="20" spans="1:1" x14ac:dyDescent="0.15">
      <c r="A20" t="str">
        <f>IFERROR(VLOOKUP($B$2,unit_skills!A:I,3),"なし")</f>
        <v>膨雷電導の飛翔</v>
      </c>
    </row>
    <row r="21" spans="1:1" x14ac:dyDescent="0.15">
      <c r="A21" t="str">
        <f>IFERROR(VLOOKUP($B$2,unit_skills!A:I,4),"なし")</f>
        <v>4ターンの間黄属性のユニットの攻撃力を超大UP+3ターン黄属性のタップ回数を2増やす</v>
      </c>
    </row>
    <row r="22" spans="1:1" x14ac:dyDescent="0.15">
      <c r="A22" t="str">
        <f>"cost:"&amp;IFERROR(VLOOKUP($B$2,unit_skills!A:I,6),"なし")</f>
        <v>cost:12</v>
      </c>
    </row>
    <row r="23" spans="1:1" x14ac:dyDescent="0.15">
      <c r="A23" t="str">
        <f>IFERROR(VLOOKUP($B$2,unit_skills!A:I,9),"なし")</f>
        <v>[effect:enhance_unit, target:unit_yellow, turn:4, status:attack, val:0.3, calc:mul, animation:enhance_unit_all_attack04],[effect:enhance_unit, target:unit_yellow, turn:3, status:action, val:2.0, calc:mul, animation:enhance_unit_one_action02]</v>
      </c>
    </row>
    <row r="25" spans="1:1" x14ac:dyDescent="0.15">
      <c r="A25" t="str">
        <f>IFERROR(VLOOKUP($B$3,unit_skills!A:I,3),"なし")</f>
        <v>膨雷電導の飛翔</v>
      </c>
    </row>
    <row r="26" spans="1:1" x14ac:dyDescent="0.15">
      <c r="A26" t="str">
        <f>IFERROR(VLOOKUP($B$3,unit_skills!A:I,4),"なし")</f>
        <v>4ターンの間黄属性のユニットの攻撃力を超大UP+3ターン黄属性のタップ回数を2増やす</v>
      </c>
    </row>
    <row r="27" spans="1:1" x14ac:dyDescent="0.15">
      <c r="A27" t="str">
        <f>"cost:"&amp;IFERROR(VLOOKUP($B$3,unit_skills!A:I,6),"なし")</f>
        <v>cost:12</v>
      </c>
    </row>
    <row r="28" spans="1:1" x14ac:dyDescent="0.15">
      <c r="A28" t="str">
        <f>IFERROR(VLOOKUP($B$3,unit_skills!A:I,9),"なし")</f>
        <v>[effect:enhance_unit, target:unit_yellow, turn:4, status:attack, val:0.3, calc:mul, animation:enhance_unit_all_attack04],[effect:enhance_unit, target:unit_yellow, turn:3, status:action, val:2.0, calc:mul, animation:enhance_unit_one_action02]</v>
      </c>
    </row>
    <row r="30" spans="1:1" x14ac:dyDescent="0.15">
      <c r="A30" t="str">
        <f>IFERROR(VLOOKUP($B$4,unit_skills!A:I,3),"なし")</f>
        <v>膨雷電導の飛翔</v>
      </c>
    </row>
    <row r="31" spans="1:1" x14ac:dyDescent="0.15">
      <c r="A31" t="str">
        <f>IFERROR(VLOOKUP($B$4,unit_skills!A:I,4),"なし")</f>
        <v>4ターンの間黄属性のユニットの攻撃力を超大UP+3ターン黄属性のタップ回数を2増やす</v>
      </c>
    </row>
    <row r="32" spans="1:1" x14ac:dyDescent="0.15">
      <c r="A32" t="str">
        <f>"cost:"&amp;IFERROR(VLOOKUP($B$4,unit_skills!A:I,6),"なし")</f>
        <v>cost:12</v>
      </c>
    </row>
    <row r="33" spans="1:1" x14ac:dyDescent="0.15">
      <c r="A33" t="str">
        <f>IFERROR(VLOOKUP($B$4,unit_skills!A:I,9),"なし")</f>
        <v>[effect:enhance_unit, target:unit_yellow, turn:4, status:attack, val:0.3, calc:mul, animation:enhance_unit_all_attack04],[effect:enhance_unit, target:unit_yellow, turn:3, status:action, val:2.0, calc:mul, animation:enhance_unit_one_action02]</v>
      </c>
    </row>
    <row r="35" spans="1:1" x14ac:dyDescent="0.15">
      <c r="A35" t="s">
        <v>196</v>
      </c>
    </row>
    <row r="36" spans="1:1" x14ac:dyDescent="0.15">
      <c r="A36" t="str">
        <f>IFERROR(VLOOKUP($B$2,crash_skills!A:I,3),"なし")</f>
        <v>斬鉄の雷撃</v>
      </c>
    </row>
    <row r="37" spans="1:1" x14ac:dyDescent="0.15">
      <c r="A37" t="str">
        <f>IFERROR(VLOOKUP($B$2,crash_skills!A:I,4),"なし")</f>
        <v>単体に大ダメージ_x000D_青属性に効果特大</v>
      </c>
    </row>
    <row r="38" spans="1:1" x14ac:dyDescent="0.15">
      <c r="A38" t="str">
        <f>IFERROR(VLOOKUP($B$2,crash_skills!A:I,6),"なし")</f>
        <v>[effect:damage_anti_color, target:enemy_one, color:blue, val1:3.37, val2:1.68, animation:damage_one_yellow05]</v>
      </c>
    </row>
    <row r="40" spans="1:1" x14ac:dyDescent="0.15">
      <c r="A40" t="str">
        <f>IFERROR(VLOOKUP($B$3,crash_skills!A:I,3),"なし")</f>
        <v>斬鉄の雷撃</v>
      </c>
    </row>
    <row r="41" spans="1:1" x14ac:dyDescent="0.15">
      <c r="A41" t="str">
        <f>IFERROR(VLOOKUP($B$3,crash_skills!A:I,4),"なし")</f>
        <v>単体に大ダメージ_x000D_青属性に効果特大</v>
      </c>
    </row>
    <row r="42" spans="1:1" x14ac:dyDescent="0.15">
      <c r="A42" t="str">
        <f>IFERROR(VLOOKUP($B$3,crash_skills!A:I,6),"なし")</f>
        <v>[effect:damage_anti_color, target:enemy_one, color:blue, val1:3.37, val2:1.68, animation:damage_one_yellow05]</v>
      </c>
    </row>
    <row r="44" spans="1:1" x14ac:dyDescent="0.15">
      <c r="A44" t="str">
        <f>IFERROR(VLOOKUP($B$4,crash_skills!A:I,3),"なし")</f>
        <v>斬鉄の雷撃</v>
      </c>
    </row>
    <row r="45" spans="1:1" x14ac:dyDescent="0.15">
      <c r="A45" t="str">
        <f>IFERROR(VLOOKUP($B$4,crash_skills!A:I,4),"なし")</f>
        <v>単体に大ダメージ_x000D_青属性に効果特大</v>
      </c>
    </row>
    <row r="46" spans="1:1" x14ac:dyDescent="0.15">
      <c r="A46" t="str">
        <f>IFERROR(VLOOKUP($B$4,crash_skills!A:I,6),"なし")</f>
        <v>[effect:damage_anti_color, target:enemy_one, color:blue, val1:3.37, val2:1.68, animation:damage_one_yellow05]</v>
      </c>
    </row>
    <row r="48" spans="1:1" x14ac:dyDescent="0.15">
      <c r="A48" t="s">
        <v>197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4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2017-06-06T09:46:09Z</dcterms:modified>
</cp:coreProperties>
</file>