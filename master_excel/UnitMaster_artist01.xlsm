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3" l="1"/>
  <c r="BR2" i="23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14" i="23"/>
  <c r="BR14" i="23"/>
  <c r="H15" i="23"/>
  <c r="BR15" i="23"/>
  <c r="E10" i="52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E29" i="54"/>
  <c r="E30" i="54"/>
  <c r="E31" i="54"/>
  <c r="E32" i="54"/>
  <c r="E33" i="54"/>
  <c r="E34" i="54"/>
  <c r="E35" i="54"/>
  <c r="E36" i="54"/>
  <c r="E37" i="54"/>
  <c r="E38" i="54"/>
  <c r="E39" i="54"/>
  <c r="E40" i="54"/>
  <c r="E41" i="54"/>
  <c r="E42" i="54"/>
  <c r="E43" i="54"/>
  <c r="E44" i="54"/>
  <c r="E45" i="54"/>
  <c r="E46" i="54"/>
  <c r="E47" i="54"/>
  <c r="E48" i="54"/>
  <c r="E49" i="54"/>
  <c r="E50" i="54"/>
  <c r="E51" i="54"/>
  <c r="E52" i="54"/>
  <c r="E53" i="54"/>
  <c r="E54" i="54"/>
  <c r="E55" i="54"/>
  <c r="E56" i="54"/>
  <c r="E57" i="54"/>
  <c r="E58" i="54"/>
  <c r="E2" i="54"/>
  <c r="G15" i="23"/>
  <c r="BC15" i="23"/>
  <c r="BD15" i="23"/>
  <c r="Q15" i="23"/>
  <c r="S15" i="23"/>
  <c r="W15" i="23"/>
  <c r="AA15" i="23"/>
  <c r="I15" i="23"/>
  <c r="J15" i="23"/>
  <c r="BK15" i="23"/>
  <c r="D58" i="54"/>
  <c r="D2" i="54"/>
  <c r="D3" i="54"/>
  <c r="D4" i="54"/>
  <c r="D5" i="54"/>
  <c r="D6" i="54"/>
  <c r="D7" i="54"/>
  <c r="D8" i="54"/>
  <c r="D9" i="54"/>
  <c r="D10" i="54"/>
  <c r="D11" i="54"/>
  <c r="D12" i="54"/>
  <c r="D13" i="54"/>
  <c r="D14" i="54"/>
  <c r="D15" i="54"/>
  <c r="D16" i="54"/>
  <c r="D17" i="54"/>
  <c r="D18" i="54"/>
  <c r="D19" i="54"/>
  <c r="D20" i="54"/>
  <c r="D21" i="54"/>
  <c r="D22" i="54"/>
  <c r="D23" i="54"/>
  <c r="D24" i="54"/>
  <c r="D25" i="54"/>
  <c r="D26" i="54"/>
  <c r="D27" i="54"/>
  <c r="D28" i="54"/>
  <c r="D29" i="54"/>
  <c r="D30" i="54"/>
  <c r="D31" i="54"/>
  <c r="D32" i="54"/>
  <c r="D33" i="54"/>
  <c r="D34" i="54"/>
  <c r="D35" i="54"/>
  <c r="D36" i="54"/>
  <c r="D37" i="54"/>
  <c r="D38" i="54"/>
  <c r="D39" i="54"/>
  <c r="D40" i="54"/>
  <c r="D41" i="54"/>
  <c r="D42" i="54"/>
  <c r="D43" i="54"/>
  <c r="D44" i="54"/>
  <c r="D45" i="54"/>
  <c r="D46" i="54"/>
  <c r="D47" i="54"/>
  <c r="D48" i="54"/>
  <c r="D49" i="54"/>
  <c r="D50" i="54"/>
  <c r="D51" i="54"/>
  <c r="D52" i="54"/>
  <c r="D53" i="54"/>
  <c r="D54" i="54"/>
  <c r="D55" i="54"/>
  <c r="D56" i="54"/>
  <c r="D57" i="54"/>
  <c r="B58" i="54"/>
  <c r="B57" i="54"/>
  <c r="B56" i="54"/>
  <c r="B55" i="54"/>
  <c r="B54" i="54"/>
  <c r="B53" i="54"/>
  <c r="B52" i="54"/>
  <c r="B51" i="54"/>
  <c r="B50" i="54"/>
  <c r="B49" i="54"/>
  <c r="B48" i="54"/>
  <c r="B47" i="54"/>
  <c r="B46" i="54"/>
  <c r="B45" i="54"/>
  <c r="B44" i="54"/>
  <c r="B43" i="54"/>
  <c r="B42" i="54"/>
  <c r="B41" i="54"/>
  <c r="B40" i="54"/>
  <c r="B39" i="54"/>
  <c r="B38" i="54"/>
  <c r="B37" i="54"/>
  <c r="B36" i="54"/>
  <c r="B35" i="54"/>
  <c r="B34" i="54"/>
  <c r="B33" i="54"/>
  <c r="B32" i="54"/>
  <c r="B31" i="54"/>
  <c r="B30" i="54"/>
  <c r="B29" i="54"/>
  <c r="B28" i="54"/>
  <c r="B27" i="54"/>
  <c r="B26" i="54"/>
  <c r="B25" i="54"/>
  <c r="B24" i="54"/>
  <c r="B23" i="54"/>
  <c r="B22" i="54"/>
  <c r="B21" i="54"/>
  <c r="B20" i="54"/>
  <c r="B19" i="54"/>
  <c r="B18" i="54"/>
  <c r="B17" i="54"/>
  <c r="B16" i="54"/>
  <c r="B15" i="54"/>
  <c r="B14" i="54"/>
  <c r="B13" i="54"/>
  <c r="B12" i="54"/>
  <c r="B11" i="54"/>
  <c r="B10" i="54"/>
  <c r="B9" i="54"/>
  <c r="B8" i="54"/>
  <c r="B7" i="54"/>
  <c r="B6" i="54"/>
  <c r="B5" i="54"/>
  <c r="B4" i="54"/>
  <c r="AE4" i="23"/>
  <c r="AE6" i="23"/>
  <c r="AE8" i="23"/>
  <c r="AE10" i="23"/>
  <c r="AE12" i="23"/>
  <c r="AE14" i="23"/>
  <c r="AE2" i="23"/>
  <c r="AG14" i="23"/>
  <c r="AG15" i="23"/>
  <c r="AG12" i="23"/>
  <c r="AG13" i="23"/>
  <c r="AG10" i="23"/>
  <c r="AG11" i="23"/>
  <c r="AG8" i="23"/>
  <c r="AG9" i="23"/>
  <c r="AG6" i="23"/>
  <c r="AG7" i="23"/>
  <c r="AG4" i="23"/>
  <c r="AG5" i="23"/>
  <c r="AG2" i="23"/>
  <c r="AG3" i="23"/>
  <c r="G2" i="23"/>
  <c r="BC2" i="23"/>
  <c r="BD2" i="23"/>
  <c r="Q2" i="23"/>
  <c r="T2" i="23"/>
  <c r="W2" i="23"/>
  <c r="AB2" i="23"/>
  <c r="I2" i="23"/>
  <c r="K2" i="23"/>
  <c r="BL2" i="23"/>
  <c r="T15" i="23"/>
  <c r="AB15" i="23"/>
  <c r="K15" i="23"/>
  <c r="BL15" i="23"/>
  <c r="J26" i="3"/>
  <c r="J14" i="3"/>
  <c r="B4" i="23"/>
  <c r="D3" i="3"/>
  <c r="D4" i="3"/>
  <c r="D5" i="3"/>
  <c r="D6" i="3"/>
  <c r="B6" i="23"/>
  <c r="D7" i="3"/>
  <c r="D8" i="3"/>
  <c r="D9" i="3"/>
  <c r="D10" i="3"/>
  <c r="B8" i="23"/>
  <c r="D11" i="3"/>
  <c r="D12" i="3"/>
  <c r="D13" i="3"/>
  <c r="D14" i="3"/>
  <c r="D15" i="3"/>
  <c r="B10" i="23"/>
  <c r="D16" i="3"/>
  <c r="D17" i="3"/>
  <c r="D18" i="3"/>
  <c r="D19" i="3"/>
  <c r="D20" i="3"/>
  <c r="B12" i="23"/>
  <c r="D21" i="3"/>
  <c r="D22" i="3"/>
  <c r="D23" i="3"/>
  <c r="B14" i="23"/>
  <c r="D24" i="3"/>
  <c r="D25" i="3"/>
  <c r="D26" i="3"/>
  <c r="D27" i="3"/>
  <c r="D28" i="3"/>
  <c r="B2" i="23"/>
  <c r="D2" i="3"/>
  <c r="J15" i="3"/>
  <c r="G15" i="3"/>
  <c r="H15" i="3"/>
  <c r="C15" i="3"/>
  <c r="F15" i="3"/>
  <c r="E15" i="3"/>
  <c r="A15" i="3"/>
  <c r="G14" i="3"/>
  <c r="H14" i="3"/>
  <c r="C14" i="3"/>
  <c r="F14" i="3"/>
  <c r="E14" i="3"/>
  <c r="A14" i="3"/>
  <c r="G3" i="3"/>
  <c r="G4" i="3"/>
  <c r="G5" i="3"/>
  <c r="G6" i="3"/>
  <c r="G7" i="3"/>
  <c r="G8" i="3"/>
  <c r="G9" i="3"/>
  <c r="G10" i="3"/>
  <c r="G11" i="3"/>
  <c r="G12" i="3"/>
  <c r="G13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" i="3"/>
  <c r="J28" i="3"/>
  <c r="H28" i="3"/>
  <c r="C28" i="3"/>
  <c r="F28" i="3"/>
  <c r="E28" i="3"/>
  <c r="A28" i="3"/>
  <c r="J27" i="3"/>
  <c r="H27" i="3"/>
  <c r="C27" i="3"/>
  <c r="F27" i="3"/>
  <c r="E27" i="3"/>
  <c r="A27" i="3"/>
  <c r="H26" i="3"/>
  <c r="C26" i="3"/>
  <c r="F26" i="3"/>
  <c r="E26" i="3"/>
  <c r="A26" i="3"/>
  <c r="J25" i="3"/>
  <c r="H25" i="3"/>
  <c r="C25" i="3"/>
  <c r="F25" i="3"/>
  <c r="E25" i="3"/>
  <c r="A25" i="3"/>
  <c r="J24" i="3"/>
  <c r="H24" i="3"/>
  <c r="C24" i="3"/>
  <c r="F24" i="3"/>
  <c r="E24" i="3"/>
  <c r="A24" i="3"/>
  <c r="J23" i="3"/>
  <c r="H23" i="3"/>
  <c r="C23" i="3"/>
  <c r="F23" i="3"/>
  <c r="E23" i="3"/>
  <c r="A23" i="3"/>
  <c r="J22" i="3"/>
  <c r="H22" i="3"/>
  <c r="C22" i="3"/>
  <c r="F22" i="3"/>
  <c r="E22" i="3"/>
  <c r="A22" i="3"/>
  <c r="J21" i="3"/>
  <c r="H21" i="3"/>
  <c r="C21" i="3"/>
  <c r="F21" i="3"/>
  <c r="E21" i="3"/>
  <c r="A21" i="3"/>
  <c r="J20" i="3"/>
  <c r="H20" i="3"/>
  <c r="C20" i="3"/>
  <c r="F20" i="3"/>
  <c r="E20" i="3"/>
  <c r="A20" i="3"/>
  <c r="J19" i="3"/>
  <c r="H19" i="3"/>
  <c r="C19" i="3"/>
  <c r="F19" i="3"/>
  <c r="E19" i="3"/>
  <c r="A19" i="3"/>
  <c r="J18" i="3"/>
  <c r="H18" i="3"/>
  <c r="C18" i="3"/>
  <c r="F18" i="3"/>
  <c r="E18" i="3"/>
  <c r="A18" i="3"/>
  <c r="J17" i="3"/>
  <c r="H17" i="3"/>
  <c r="C17" i="3"/>
  <c r="F17" i="3"/>
  <c r="E17" i="3"/>
  <c r="A17" i="3"/>
  <c r="J16" i="3"/>
  <c r="H16" i="3"/>
  <c r="C16" i="3"/>
  <c r="F16" i="3"/>
  <c r="E16" i="3"/>
  <c r="A16" i="3"/>
  <c r="J13" i="3"/>
  <c r="H13" i="3"/>
  <c r="C13" i="3"/>
  <c r="F13" i="3"/>
  <c r="E13" i="3"/>
  <c r="A13" i="3"/>
  <c r="J12" i="3"/>
  <c r="H12" i="3"/>
  <c r="C12" i="3"/>
  <c r="F12" i="3"/>
  <c r="E12" i="3"/>
  <c r="A12" i="3"/>
  <c r="J11" i="3"/>
  <c r="H11" i="3"/>
  <c r="C11" i="3"/>
  <c r="F11" i="3"/>
  <c r="E11" i="3"/>
  <c r="A11" i="3"/>
  <c r="J10" i="3"/>
  <c r="H10" i="3"/>
  <c r="C10" i="3"/>
  <c r="F10" i="3"/>
  <c r="E10" i="3"/>
  <c r="A10" i="3"/>
  <c r="J9" i="3"/>
  <c r="H9" i="3"/>
  <c r="C9" i="3"/>
  <c r="F9" i="3"/>
  <c r="E9" i="3"/>
  <c r="A9" i="3"/>
  <c r="J8" i="3"/>
  <c r="H8" i="3"/>
  <c r="C8" i="3"/>
  <c r="F8" i="3"/>
  <c r="E8" i="3"/>
  <c r="A8" i="3"/>
  <c r="J7" i="3"/>
  <c r="H7" i="3"/>
  <c r="C7" i="3"/>
  <c r="F7" i="3"/>
  <c r="E7" i="3"/>
  <c r="A7" i="3"/>
  <c r="J6" i="3"/>
  <c r="H6" i="3"/>
  <c r="C6" i="3"/>
  <c r="F6" i="3"/>
  <c r="E6" i="3"/>
  <c r="A6" i="3"/>
  <c r="J5" i="3"/>
  <c r="H5" i="3"/>
  <c r="C5" i="3"/>
  <c r="F5" i="3"/>
  <c r="E5" i="3"/>
  <c r="A5" i="3"/>
  <c r="J4" i="3"/>
  <c r="H4" i="3"/>
  <c r="C4" i="3"/>
  <c r="F4" i="3"/>
  <c r="E4" i="3"/>
  <c r="A4" i="3"/>
  <c r="J3" i="3"/>
  <c r="H3" i="3"/>
  <c r="C3" i="3"/>
  <c r="F3" i="3"/>
  <c r="E3" i="3"/>
  <c r="A3" i="3"/>
  <c r="J2" i="3"/>
  <c r="H2" i="3"/>
  <c r="C2" i="3"/>
  <c r="F2" i="3"/>
  <c r="E2" i="3"/>
  <c r="A2" i="3"/>
  <c r="A3" i="58"/>
  <c r="A4" i="58"/>
  <c r="B4" i="58"/>
  <c r="C4" i="58"/>
  <c r="D4" i="58"/>
  <c r="E4" i="58"/>
  <c r="F4" i="58"/>
  <c r="G4" i="58"/>
  <c r="H4" i="58"/>
  <c r="I4" i="58"/>
  <c r="J4" i="58"/>
  <c r="K4" i="58"/>
  <c r="L4" i="58"/>
  <c r="M4" i="58"/>
  <c r="N4" i="58"/>
  <c r="O4" i="58"/>
  <c r="Q4" i="58"/>
  <c r="P4" i="58"/>
  <c r="R4" i="58"/>
  <c r="Q2" i="58"/>
  <c r="Q3" i="58"/>
  <c r="A5" i="58"/>
  <c r="Q5" i="58"/>
  <c r="A6" i="58"/>
  <c r="Q6" i="58"/>
  <c r="A7" i="58"/>
  <c r="Q7" i="58"/>
  <c r="A8" i="58"/>
  <c r="Q8" i="58"/>
  <c r="S4" i="58"/>
  <c r="T4" i="58"/>
  <c r="U4" i="58"/>
  <c r="B5" i="58"/>
  <c r="C5" i="58"/>
  <c r="D5" i="58"/>
  <c r="E5" i="58"/>
  <c r="F5" i="58"/>
  <c r="G5" i="58"/>
  <c r="H5" i="58"/>
  <c r="I5" i="58"/>
  <c r="J5" i="58"/>
  <c r="K5" i="58"/>
  <c r="L5" i="58"/>
  <c r="M5" i="58"/>
  <c r="N5" i="58"/>
  <c r="O5" i="58"/>
  <c r="P5" i="58"/>
  <c r="R5" i="58"/>
  <c r="S5" i="58"/>
  <c r="T5" i="58"/>
  <c r="U5" i="58"/>
  <c r="B6" i="58"/>
  <c r="C6" i="58"/>
  <c r="D6" i="58"/>
  <c r="E6" i="58"/>
  <c r="F6" i="58"/>
  <c r="G6" i="58"/>
  <c r="H6" i="58"/>
  <c r="I6" i="58"/>
  <c r="J6" i="58"/>
  <c r="K6" i="58"/>
  <c r="L6" i="58"/>
  <c r="M6" i="58"/>
  <c r="N6" i="58"/>
  <c r="O6" i="58"/>
  <c r="P6" i="58"/>
  <c r="R6" i="58"/>
  <c r="S6" i="58"/>
  <c r="T6" i="58"/>
  <c r="U6" i="58"/>
  <c r="B7" i="58"/>
  <c r="C7" i="58"/>
  <c r="D7" i="58"/>
  <c r="E7" i="58"/>
  <c r="F7" i="58"/>
  <c r="G7" i="58"/>
  <c r="H7" i="58"/>
  <c r="I7" i="58"/>
  <c r="J7" i="58"/>
  <c r="K7" i="58"/>
  <c r="L7" i="58"/>
  <c r="M7" i="58"/>
  <c r="N7" i="58"/>
  <c r="O7" i="58"/>
  <c r="P7" i="58"/>
  <c r="R7" i="58"/>
  <c r="S7" i="58"/>
  <c r="T7" i="58"/>
  <c r="U7" i="58"/>
  <c r="B8" i="58"/>
  <c r="C8" i="58"/>
  <c r="D8" i="58"/>
  <c r="E8" i="58"/>
  <c r="F8" i="58"/>
  <c r="G8" i="58"/>
  <c r="H8" i="58"/>
  <c r="I8" i="58"/>
  <c r="J8" i="58"/>
  <c r="K8" i="58"/>
  <c r="L8" i="58"/>
  <c r="M8" i="58"/>
  <c r="N8" i="58"/>
  <c r="O8" i="58"/>
  <c r="P8" i="58"/>
  <c r="R8" i="58"/>
  <c r="S8" i="58"/>
  <c r="T8" i="58"/>
  <c r="U8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B5" i="57"/>
  <c r="F5" i="57"/>
  <c r="E5" i="57"/>
  <c r="B3" i="57"/>
  <c r="B2" i="57"/>
  <c r="F3" i="57"/>
  <c r="E3" i="57"/>
  <c r="F2" i="57"/>
  <c r="E2" i="57"/>
  <c r="E9" i="52"/>
  <c r="E8" i="52"/>
  <c r="E4" i="57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2" i="23"/>
  <c r="P2" i="58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G12" i="53"/>
  <c r="E12" i="53"/>
  <c r="G13" i="53"/>
  <c r="E13" i="53"/>
  <c r="G14" i="53"/>
  <c r="E14" i="53"/>
  <c r="G15" i="53"/>
  <c r="E15" i="53"/>
  <c r="G3" i="53"/>
  <c r="E3" i="53"/>
  <c r="J4" i="52"/>
  <c r="E4" i="52"/>
  <c r="H4" i="52"/>
  <c r="J5" i="52"/>
  <c r="E5" i="52"/>
  <c r="H5" i="52"/>
  <c r="J6" i="52"/>
  <c r="E6" i="52"/>
  <c r="H6" i="52"/>
  <c r="J7" i="52"/>
  <c r="E7" i="52"/>
  <c r="H7" i="52"/>
  <c r="J8" i="52"/>
  <c r="H8" i="52"/>
  <c r="J9" i="52"/>
  <c r="H9" i="52"/>
  <c r="J10" i="52"/>
  <c r="H10" i="52"/>
  <c r="J11" i="52"/>
  <c r="E11" i="52"/>
  <c r="H11" i="52"/>
  <c r="J12" i="52"/>
  <c r="E12" i="52"/>
  <c r="H12" i="52"/>
  <c r="J13" i="52"/>
  <c r="E13" i="52"/>
  <c r="H13" i="52"/>
  <c r="J14" i="52"/>
  <c r="E14" i="52"/>
  <c r="H14" i="52"/>
  <c r="J15" i="52"/>
  <c r="E15" i="52"/>
  <c r="H15" i="52"/>
  <c r="J3" i="52"/>
  <c r="H3" i="52"/>
  <c r="E3" i="52"/>
  <c r="V15" i="23"/>
  <c r="AD15" i="23"/>
  <c r="M15" i="23"/>
  <c r="BN15" i="23"/>
  <c r="U15" i="23"/>
  <c r="AC15" i="23"/>
  <c r="L15" i="23"/>
  <c r="BM15" i="23"/>
  <c r="G14" i="23"/>
  <c r="BC14" i="23"/>
  <c r="BE15" i="23"/>
  <c r="BJ15" i="23"/>
  <c r="BI15" i="23"/>
  <c r="BH15" i="23"/>
  <c r="BG15" i="23"/>
  <c r="I14" i="23"/>
  <c r="J14" i="23"/>
  <c r="BF15" i="23"/>
  <c r="AX15" i="23"/>
  <c r="AW15" i="23"/>
  <c r="AV15" i="23"/>
  <c r="G2" i="53"/>
  <c r="AU15" i="23"/>
  <c r="AS15" i="23"/>
  <c r="AR15" i="23"/>
  <c r="J2" i="52"/>
  <c r="AQ15" i="23"/>
  <c r="AN15" i="23"/>
  <c r="AM15" i="23"/>
  <c r="AL15" i="23"/>
  <c r="AK15" i="23"/>
  <c r="AI15" i="23"/>
  <c r="AH15" i="23"/>
  <c r="AF15" i="23"/>
  <c r="Y15" i="23"/>
  <c r="Z15" i="23"/>
  <c r="X15" i="23"/>
  <c r="R15" i="23"/>
  <c r="P15" i="23"/>
  <c r="O15" i="23"/>
  <c r="G10" i="13"/>
  <c r="N15" i="23"/>
  <c r="F15" i="23"/>
  <c r="E15" i="23"/>
  <c r="D15" i="23"/>
  <c r="C15" i="23"/>
  <c r="B15" i="23"/>
  <c r="BD14" i="23"/>
  <c r="Q14" i="23"/>
  <c r="V14" i="23"/>
  <c r="W14" i="23"/>
  <c r="AD14" i="23"/>
  <c r="M14" i="23"/>
  <c r="BN14" i="23"/>
  <c r="U14" i="23"/>
  <c r="AC14" i="23"/>
  <c r="L14" i="23"/>
  <c r="BM14" i="23"/>
  <c r="T14" i="23"/>
  <c r="AB14" i="23"/>
  <c r="K14" i="23"/>
  <c r="BL14" i="23"/>
  <c r="S14" i="23"/>
  <c r="AA14" i="23"/>
  <c r="BK14" i="23"/>
  <c r="BE14" i="23"/>
  <c r="BJ14" i="23"/>
  <c r="BI14" i="23"/>
  <c r="BH14" i="23"/>
  <c r="BG14" i="23"/>
  <c r="BF14" i="23"/>
  <c r="AX14" i="23"/>
  <c r="AW14" i="23"/>
  <c r="AV14" i="23"/>
  <c r="AU14" i="23"/>
  <c r="AS14" i="23"/>
  <c r="AR14" i="23"/>
  <c r="AQ14" i="23"/>
  <c r="AN14" i="23"/>
  <c r="AM14" i="23"/>
  <c r="AL14" i="23"/>
  <c r="AK14" i="23"/>
  <c r="AI14" i="23"/>
  <c r="AH14" i="23"/>
  <c r="AF14" i="23"/>
  <c r="Y14" i="23"/>
  <c r="Z14" i="23"/>
  <c r="X14" i="23"/>
  <c r="R14" i="23"/>
  <c r="P14" i="23"/>
  <c r="O14" i="23"/>
  <c r="N14" i="23"/>
  <c r="F14" i="23"/>
  <c r="E14" i="23"/>
  <c r="D14" i="23"/>
  <c r="C14" i="23"/>
  <c r="G13" i="23"/>
  <c r="BC13" i="23"/>
  <c r="BD13" i="23"/>
  <c r="Q13" i="23"/>
  <c r="V13" i="23"/>
  <c r="W13" i="23"/>
  <c r="AD13" i="23"/>
  <c r="I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J13" i="23"/>
  <c r="BK13" i="23"/>
  <c r="G12" i="23"/>
  <c r="BC12" i="23"/>
  <c r="BE13" i="23"/>
  <c r="BJ13" i="23"/>
  <c r="BI13" i="23"/>
  <c r="BH13" i="23"/>
  <c r="BG13" i="23"/>
  <c r="I12" i="23"/>
  <c r="J12" i="23"/>
  <c r="BF13" i="23"/>
  <c r="AX13" i="23"/>
  <c r="AW13" i="23"/>
  <c r="AV13" i="23"/>
  <c r="AU13" i="23"/>
  <c r="AS13" i="23"/>
  <c r="AR13" i="23"/>
  <c r="AQ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N13" i="23"/>
  <c r="F13" i="23"/>
  <c r="E13" i="23"/>
  <c r="D13" i="23"/>
  <c r="C13" i="23"/>
  <c r="B13" i="23"/>
  <c r="BD12" i="23"/>
  <c r="Q12" i="23"/>
  <c r="V12" i="23"/>
  <c r="W12" i="23"/>
  <c r="AD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BK12" i="23"/>
  <c r="BE12" i="23"/>
  <c r="BJ12" i="23"/>
  <c r="BI12" i="23"/>
  <c r="BH12" i="23"/>
  <c r="BG12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G10" i="23"/>
  <c r="BC10" i="23"/>
  <c r="BE11" i="23"/>
  <c r="BJ11" i="23"/>
  <c r="BI11" i="23"/>
  <c r="BH11" i="23"/>
  <c r="BG11" i="23"/>
  <c r="I10" i="23"/>
  <c r="J10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9" i="13"/>
  <c r="N11" i="23"/>
  <c r="F11" i="23"/>
  <c r="E11" i="23"/>
  <c r="D11" i="23"/>
  <c r="C11" i="23"/>
  <c r="B11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G8" i="23"/>
  <c r="BC8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G6" i="23"/>
  <c r="BC6" i="23"/>
  <c r="BE7" i="23"/>
  <c r="BJ7" i="23"/>
  <c r="BI7" i="23"/>
  <c r="BH7" i="23"/>
  <c r="BG7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4" i="13"/>
  <c r="N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G4" i="23"/>
  <c r="BC4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J2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J2" i="56"/>
  <c r="E3" i="49"/>
  <c r="E5" i="49"/>
  <c r="G2" i="58"/>
  <c r="U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F4" i="57"/>
  <c r="B4" i="57"/>
  <c r="E15" i="49"/>
  <c r="E14" i="49"/>
  <c r="E13" i="49"/>
  <c r="P2" i="23"/>
  <c r="G11" i="13"/>
  <c r="G8" i="13"/>
  <c r="G3" i="13"/>
  <c r="G2" i="13"/>
  <c r="C2" i="23"/>
  <c r="D2" i="23"/>
  <c r="E2" i="23"/>
  <c r="F2" i="23"/>
  <c r="L2" i="23"/>
  <c r="M2" i="23"/>
  <c r="N2" i="23"/>
  <c r="O2" i="23"/>
  <c r="R2" i="23"/>
  <c r="S2" i="23"/>
  <c r="U2" i="23"/>
  <c r="V2" i="23"/>
  <c r="X2" i="23"/>
  <c r="Y2" i="23"/>
  <c r="Z2" i="23"/>
  <c r="AA2" i="23"/>
  <c r="AC2" i="23"/>
  <c r="AD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E2" i="23"/>
  <c r="BF2" i="23"/>
  <c r="BK2" i="23"/>
  <c r="BG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3" i="54"/>
  <c r="B2" i="54"/>
  <c r="E2" i="53"/>
  <c r="H2" i="52"/>
  <c r="E2" i="52"/>
  <c r="E10" i="49"/>
  <c r="E9" i="49"/>
  <c r="E8" i="49"/>
  <c r="E7" i="49"/>
  <c r="E11" i="49"/>
  <c r="E12" i="49"/>
  <c r="E4" i="49"/>
  <c r="E6" i="49"/>
  <c r="E2" i="49"/>
  <c r="S2" i="58"/>
  <c r="T2" i="58"/>
</calcChain>
</file>

<file path=xl/sharedStrings.xml><?xml version="1.0" encoding="utf-8"?>
<sst xmlns="http://schemas.openxmlformats.org/spreadsheetml/2006/main" count="1205" uniqueCount="498">
  <si>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</si>
  <si>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</si>
  <si>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</si>
  <si>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</si>
  <si>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</si>
  <si>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</si>
  <si>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</si>
  <si>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</si>
  <si>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</si>
  <si>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</si>
  <si>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</si>
  <si>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</si>
  <si>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</si>
  <si>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</si>
  <si>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</si>
  <si>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</si>
  <si>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</si>
  <si>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</si>
  <si>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</si>
  <si>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</si>
  <si>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</si>
  <si>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</si>
  <si>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</si>
  <si>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</si>
  <si>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</si>
  <si>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</si>
  <si>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</si>
  <si>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</si>
  <si>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</si>
  <si>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</si>
  <si>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</si>
  <si>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</si>
  <si>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</si>
  <si>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</si>
  <si>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</si>
  <si>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</si>
  <si>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</si>
  <si>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</si>
  <si>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</si>
  <si>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</si>
  <si>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</si>
  <si>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</si>
  <si>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</si>
  <si>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</si>
  <si>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</si>
  <si>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</si>
  <si>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</si>
  <si>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</si>
  <si>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</si>
  <si>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</si>
  <si>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</si>
  <si>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</si>
  <si>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</si>
  <si>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</si>
  <si>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</si>
  <si>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</si>
  <si>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</si>
  <si>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</si>
  <si>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</si>
  <si>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</si>
  <si>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</si>
  <si>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</si>
  <si>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</si>
  <si>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</si>
  <si>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</si>
  <si>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</si>
  <si>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</si>
  <si>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</si>
  <si>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</si>
  <si>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</si>
  <si>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</si>
  <si>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</si>
  <si>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</si>
  <si>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</si>
  <si>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</si>
  <si>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</si>
  <si>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</si>
  <si>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</si>
  <si>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</si>
  <si>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</si>
  <si>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</si>
  <si>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</si>
  <si>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</si>
  <si>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</si>
  <si>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</si>
  <si>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</si>
  <si>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</si>
  <si>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</si>
  <si>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</si>
  <si>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</si>
  <si>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</si>
  <si>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</si>
  <si>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</si>
  <si>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</si>
  <si>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</si>
  <si>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</si>
  <si>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</si>
  <si>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</si>
  <si>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</si>
  <si>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</si>
  <si>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</si>
  <si>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</si>
  <si>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</si>
  <si>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</si>
  <si>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</si>
  <si>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</si>
  <si>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</si>
  <si>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</si>
  <si>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</si>
  <si>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</si>
  <si>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</si>
  <si>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</si>
  <si>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</si>
  <si>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</si>
  <si>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</si>
  <si>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</si>
  <si>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</si>
  <si>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</si>
  <si>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</si>
  <si>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</si>
  <si>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</si>
  <si>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</si>
  <si>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</si>
  <si>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</si>
  <si>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</si>
  <si>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</si>
  <si>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</si>
  <si>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</si>
  <si>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</si>
  <si>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</si>
  <si>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</si>
  <si>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</si>
  <si>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</si>
  <si>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</si>
  <si>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</si>
  <si>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</si>
  <si>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</si>
  <si>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</si>
  <si>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</si>
  <si>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</si>
  <si>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</si>
  <si>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</si>
  <si>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</si>
  <si>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</si>
  <si>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</si>
  <si>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</si>
  <si>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</si>
  <si>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</si>
  <si>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</si>
  <si>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</si>
  <si>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</si>
  <si>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</si>
  <si>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</si>
  <si>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</si>
  <si>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</si>
  <si>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</si>
  <si>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</si>
  <si>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</si>
  <si>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</si>
  <si>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</si>
  <si>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</si>
  <si>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</si>
  <si>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</si>
  <si>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</si>
  <si>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</si>
  <si>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</si>
  <si>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</si>
  <si>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</si>
  <si>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</si>
  <si>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</si>
  <si>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</si>
  <si>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</si>
  <si>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</si>
  <si>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</si>
  <si>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</si>
  <si>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</si>
  <si>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</si>
  <si>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</si>
  <si>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</si>
  <si>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</si>
  <si>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</si>
  <si>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</si>
  <si>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</si>
  <si>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</si>
  <si>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</si>
  <si>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</si>
  <si>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</si>
  <si>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</si>
  <si>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</si>
  <si>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</si>
  <si>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</si>
  <si>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</si>
  <si>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</si>
  <si>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</si>
  <si>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</si>
  <si>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</si>
  <si>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</si>
  <si>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</si>
  <si>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</si>
  <si>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</si>
  <si>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</si>
  <si>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</si>
  <si>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</si>
  <si>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</si>
  <si>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</si>
  <si>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</si>
  <si>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</si>
  <si>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</si>
  <si>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</si>
  <si>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</si>
  <si>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</si>
  <si>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</si>
  <si>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</si>
  <si>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</si>
  <si>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</si>
  <si>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</si>
  <si>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</si>
  <si>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</si>
  <si>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</si>
  <si>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</si>
  <si>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</si>
  <si>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</si>
  <si>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</si>
  <si>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</si>
  <si>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</si>
  <si>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</si>
  <si>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</si>
  <si>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</si>
  <si>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</si>
  <si>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</si>
  <si>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</si>
  <si>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</si>
  <si>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</si>
  <si>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</si>
  <si>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</si>
  <si>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</si>
  <si>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</si>
  <si>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</si>
  <si>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</si>
  <si>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</si>
  <si>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</si>
  <si>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</si>
  <si>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</si>
  <si>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</si>
  <si>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</si>
  <si>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</si>
  <si>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</si>
  <si>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</si>
  <si>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</si>
  <si>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</si>
  <si>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</si>
  <si>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</si>
  <si>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</si>
  <si>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</si>
  <si>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</si>
  <si>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</si>
  <si>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</si>
  <si>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</si>
  <si>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</si>
  <si>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</si>
  <si>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</si>
  <si>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</si>
  <si>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</si>
  <si>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</si>
  <si>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</si>
  <si>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</si>
  <si>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</si>
  <si>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</si>
  <si>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</si>
  <si>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</si>
  <si>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</si>
  <si>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</si>
  <si>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</si>
  <si>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</si>
  <si>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</si>
  <si>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</si>
  <si>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</si>
  <si>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</si>
  <si>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</si>
  <si>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</si>
  <si>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</si>
  <si>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</si>
  <si>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</si>
  <si>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</si>
  <si>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</si>
  <si>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</si>
  <si>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</si>
  <si>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</si>
  <si>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</si>
  <si>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</si>
  <si>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</si>
  <si>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</si>
  <si>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</si>
  <si>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</si>
  <si>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</si>
  <si>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</si>
  <si>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</si>
  <si>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</si>
  <si>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</si>
  <si>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</si>
  <si>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</si>
  <si>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</si>
  <si>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</si>
  <si>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</si>
  <si>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</si>
  <si>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</si>
  <si>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</si>
  <si>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</si>
  <si>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</si>
  <si>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</si>
  <si>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</si>
  <si>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</si>
  <si>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</si>
  <si>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ja</t>
    <phoneticPr fontId="22"/>
  </si>
  <si>
    <t>1.7.0</t>
    <phoneticPr fontId="22"/>
  </si>
  <si>
    <t>[effect:enhance_unit, target:myself, turn:1, status:attack, val:0.2, calc:mul, animation:enhance_unit_all_attack03]</t>
    <phoneticPr fontId="22"/>
  </si>
  <si>
    <t>0</t>
    <phoneticPr fontId="22"/>
  </si>
  <si>
    <t>テスト</t>
    <phoneticPr fontId="22"/>
  </si>
  <si>
    <t>テスト</t>
    <phoneticPr fontId="22"/>
  </si>
  <si>
    <t>[condition:active_unit],[condition:panel_chain,count:16]</t>
    <phoneticPr fontId="22"/>
  </si>
  <si>
    <t>PremiumSSw</t>
    <phoneticPr fontId="9"/>
  </si>
  <si>
    <t>PremiumSSw</t>
    <phoneticPr fontId="9"/>
  </si>
  <si>
    <t>PremiumSSw</t>
    <phoneticPr fontId="9"/>
  </si>
  <si>
    <t>artist01</t>
    <phoneticPr fontId="22"/>
  </si>
  <si>
    <t>old</t>
    <phoneticPr fontId="22"/>
  </si>
  <si>
    <t>old</t>
    <phoneticPr fontId="22"/>
  </si>
  <si>
    <t>1体に特大ダメージ+
1ターン緑属性の防御力UP</t>
    <phoneticPr fontId="22"/>
  </si>
  <si>
    <t>[effect:reduction, target:unit_all, turn:1, color:yellow, val:0.5, animation:reduction_one03],[effect:break_enchance_unit, target:unit_green, val:0.014, lowest_val:0.2, count :-1, status:attack, turn:3, block01:block_red, block02:block_blue, calc:mul, animation:enhance_unit_all_attack04] ,[effect:enhance_unit, target:unit_green, turn:3, status:heal, val:0.45, calc:mul, animation:enhance_unit_all_heal04_unit01]</t>
    <phoneticPr fontId="22"/>
  </si>
  <si>
    <t>[effect:damage, target:enemy_one, color:green, val:2.5, animation:damage_one_green04],
[effect:enhance_unit, target:unit_green, turn:1, status:defense, val:72, calc:add,animation:enhance_unit_all_deffence02_unit01]</t>
    <phoneticPr fontId="22"/>
  </si>
  <si>
    <t>1体に超大ダメージ+
1ターン緑属性の防御力UP</t>
    <phoneticPr fontId="22"/>
  </si>
  <si>
    <t>[effect:reduction, target:unit_all, turn:1, color:yellow, val:0.5, animation:reduction_one03],[effect:break_enchance_unit, target:unit_green, val:0.014, lowest_val:0.2, count :-1, status:attack, turn:3, block01:block_red, block02:block_blue, calc:mul, animation:enhance_unit_all_attack04] ,[effect:enhance_unit, target:unit_green, turn:3, status:heal, val:0.45, calc:mul, animation:enhance_unit_all_heal04_unit01]</t>
    <phoneticPr fontId="22"/>
  </si>
  <si>
    <t>暗闇解除+3ターン種族アニマルの攻撃力と回復力を特大UP</t>
    <phoneticPr fontId="22"/>
  </si>
  <si>
    <t>2ターン種族ヒューマンとUnknownの攻撃力UP(時限式ダメージパネルを全て吸収して効果UP)</t>
    <phoneticPr fontId="22"/>
  </si>
  <si>
    <t>[effect:force_change_block, new_block:block_yellow, target:block_red, ignore01:block_yellow, count:0, val:0, animation:change_block],[effect:force_change_block, new_block:block_yellow, target:block_green, ignore01:block_yellow, count:0, val:0, animation:change_block],[effect:crash_condition, target:unit_yellow, val:-4, turn:3, animation:crash_panel_reduce03]</t>
    <phoneticPr fontId="22"/>
  </si>
  <si>
    <t>赤・緑パネルを黄パネルに変換+3ターン黄属性のCパネル生成を短縮(効果特大)</t>
    <phoneticPr fontId="22"/>
  </si>
  <si>
    <t>[effect:force_change_block, new_block:block_yellow, target:block_red, ignore01:block_yellow, count:0, val:0, animation:change_block],[effect:force_change_block, new_block:block_yellow, target:block_green, ignore01:block_yellow, count:0, val:0, animation:change_block],[effect:crash_condition, target:unit_yellow, val:-4, turn:3, animation:crash_panel_reduce03]</t>
    <phoneticPr fontId="22"/>
  </si>
  <si>
    <t>[effect:cure, bad_status:dark, animation:dark_heal],
[effect:enhance_unit, target:unit_animal, turn:3, status:attack, val:0.213, calc:mul, animation:enhance_unit_all_attack04],[effect:enhance_unit, target:unit_animal, turn:3, status:heal, val:0.45, calc:mul, animation:enhance_unit_all_heal04_unit01]</t>
    <phoneticPr fontId="22"/>
  </si>
  <si>
    <t>1体に大ダメージ+
全体に小ダメージ</t>
    <phoneticPr fontId="22"/>
  </si>
  <si>
    <t>1体に特大ダメージ
Unknownに効果超大</t>
    <phoneticPr fontId="22"/>
  </si>
  <si>
    <t>[effect:damage_anti_tribe, target:enemy_one, tribe:unknown, val1:3.75, val2:1.5, animation:damage_one_blue04]</t>
    <phoneticPr fontId="22"/>
  </si>
  <si>
    <t>[effect:damage, target:enemy_one, color:green, val:2.25, animation:damage_one_green04],
[effect:enhance_unit, target:unit_green, turn:1, status:defense, val:72, calc:add,animation:enhance_unit_all_deffence02_unit01]</t>
    <phoneticPr fontId="22"/>
  </si>
  <si>
    <t>1体に大ダメージ</t>
    <phoneticPr fontId="22"/>
  </si>
  <si>
    <t>1体に特大ダメージ</t>
    <phoneticPr fontId="22"/>
  </si>
  <si>
    <t>[effect:damage, target:enemy_one, color:blue, val:2.25, animation:damage_one_blue04]</t>
    <phoneticPr fontId="22"/>
  </si>
  <si>
    <t>[effect:damage, target:enemy_one, color:blue, val:2.0, animation:damage_one_blue03]</t>
    <phoneticPr fontId="22"/>
  </si>
  <si>
    <t>[effect:damage, target:enemy_one, color:yellow, val:2.25, animation:damage_one_yellow04]</t>
    <phoneticPr fontId="22"/>
  </si>
  <si>
    <t>1体に特大ダメージ</t>
    <phoneticPr fontId="22"/>
  </si>
  <si>
    <t>1体に大ダメージ</t>
    <phoneticPr fontId="22"/>
  </si>
  <si>
    <t>[effect:damage, target:enemy_one, color:yellow, val:2.0, animation:damage_one_yellow03]</t>
    <phoneticPr fontId="22"/>
  </si>
  <si>
    <t>NULL</t>
    <phoneticPr fontId="9"/>
  </si>
  <si>
    <t>筆斬スクォラ・ディ・アテナイ</t>
    <phoneticPr fontId="22"/>
  </si>
  <si>
    <t>筆斬スクォラ・ディ・アテナイ</t>
    <phoneticPr fontId="22"/>
  </si>
  <si>
    <t>インヴェクティブ・ピクチャー</t>
    <phoneticPr fontId="22"/>
  </si>
  <si>
    <t>アカフジ・ドロップシャドウ</t>
    <phoneticPr fontId="22"/>
  </si>
  <si>
    <t>アカフジ・テクスチャリング</t>
    <phoneticPr fontId="22"/>
  </si>
  <si>
    <t>惚死のファム・ファタール</t>
    <phoneticPr fontId="22"/>
  </si>
  <si>
    <t>『消費構造と雑食獣の反芻』</t>
    <rPh sb="6" eb="8">
      <t>ザッショク</t>
    </rPh>
    <phoneticPr fontId="22"/>
  </si>
  <si>
    <t>病める時も健やかなる時も</t>
    <phoneticPr fontId="22"/>
  </si>
  <si>
    <t>死がふたりを分かつまで</t>
    <phoneticPr fontId="22"/>
  </si>
  <si>
    <t>暗闇解除+3ターン種族アニマルの攻撃力と回復力を大UP</t>
    <phoneticPr fontId="22"/>
  </si>
  <si>
    <t>[effect:cure, bad_status:dark, animation:dark_heal],
[effect:enhance_unit, target:unit_animal, turn:3, status:attack, val:0.175, calc:mul, animation:enhance_unit_all_attack04],[effect:enhance_unit, target:unit_animal, turn:3, status:heal, val:0.315, calc:mul, animation:enhance_unit_all_heal04_unit01]</t>
    <phoneticPr fontId="22"/>
  </si>
  <si>
    <t>狂妄発展イエロー・ピリオド</t>
    <rPh sb="2" eb="4">
      <t>ハッテン</t>
    </rPh>
    <phoneticPr fontId="22"/>
  </si>
  <si>
    <t>ホワット・イズ・ラブ？</t>
    <phoneticPr fontId="22"/>
  </si>
  <si>
    <t>ディス・イズ・ラブ！</t>
    <phoneticPr fontId="22"/>
  </si>
  <si>
    <t>ジャ・リダルサの見た夢</t>
    <phoneticPr fontId="22"/>
  </si>
  <si>
    <t>ジャ・リダルサが喰った悪夢</t>
    <phoneticPr fontId="22"/>
  </si>
  <si>
    <t>分析的パストデストラクション</t>
    <phoneticPr fontId="22"/>
  </si>
  <si>
    <t>1体に中ダメージ
Unknownに効果特大</t>
    <phoneticPr fontId="22"/>
  </si>
  <si>
    <t>1体に中ダメージ
Unknownに効果超大</t>
    <phoneticPr fontId="22"/>
  </si>
  <si>
    <t>[effect:damage_anti_tribe, target:enemy_one, tribe:unknown, val1:3.375, val2:1.13, animation:damage_one_red04]</t>
    <phoneticPr fontId="22"/>
  </si>
  <si>
    <t>1体に大ダメージ
ゴッドに効果特大</t>
    <phoneticPr fontId="22"/>
  </si>
  <si>
    <t>[effect:damage_anti_tribe, target:enemy_one, tribe:god, val1:3.375, val2:1.31, animation:damage_one_yellow04]</t>
    <phoneticPr fontId="22"/>
  </si>
  <si>
    <t>排他的フューチャーコラージュ</t>
    <phoneticPr fontId="22"/>
  </si>
  <si>
    <t>浦波拡散スペシャルブラッシュ</t>
    <phoneticPr fontId="22"/>
  </si>
  <si>
    <t>波形掌握ストレンジブラッシュ</t>
    <phoneticPr fontId="22"/>
  </si>
  <si>
    <t>紫金の陰影</t>
    <rPh sb="0" eb="1">
      <t>ムラサキ</t>
    </rPh>
    <phoneticPr fontId="22"/>
  </si>
  <si>
    <t>1体に大ダメージ
Unknownに効果特大</t>
    <phoneticPr fontId="22"/>
  </si>
  <si>
    <t>[effect:damage_anti_tribe, target:enemy_one, tribe:unknown, val1:3.375, val2:1.31, animation:damage_one_blue04]</t>
    <phoneticPr fontId="22"/>
  </si>
  <si>
    <t>紫金の陰影・咎</t>
    <phoneticPr fontId="22"/>
  </si>
  <si>
    <t>ブラッシュ・ルネッサンス</t>
    <phoneticPr fontId="22"/>
  </si>
  <si>
    <t>ブラッシュ・スラッシュ</t>
    <phoneticPr fontId="22"/>
  </si>
  <si>
    <t>ボディガード・バレリーナ</t>
    <phoneticPr fontId="22"/>
  </si>
  <si>
    <t>マイティガード・バレリーナ</t>
    <phoneticPr fontId="22"/>
  </si>
  <si>
    <t>giza</t>
    <phoneticPr fontId="22"/>
  </si>
  <si>
    <t>過去なんているか！</t>
    <phoneticPr fontId="22"/>
  </si>
  <si>
    <t>maru</t>
    <phoneticPr fontId="22"/>
  </si>
  <si>
    <t>止まるなんて無理なの！</t>
    <phoneticPr fontId="22"/>
  </si>
  <si>
    <t>オラー！これが未来だ！</t>
    <phoneticPr fontId="22"/>
  </si>
  <si>
    <t>giza</t>
    <phoneticPr fontId="22"/>
  </si>
  <si>
    <t>アタシの世界に入るな！</t>
    <phoneticPr fontId="22"/>
  </si>
  <si>
    <t>giza</t>
    <phoneticPr fontId="22"/>
  </si>
  <si>
    <t>この世の全てを描いてやる…</t>
    <phoneticPr fontId="22"/>
  </si>
  <si>
    <t>giza</t>
    <phoneticPr fontId="22"/>
  </si>
  <si>
    <t>新たな時代が開いたわよ！</t>
    <phoneticPr fontId="22"/>
  </si>
  <si>
    <t>きゃ〜愛が溢れてるわ〜！</t>
  </si>
  <si>
    <t>maru</t>
    <phoneticPr fontId="22"/>
  </si>
  <si>
    <t>神聖な式なんだからね！</t>
    <phoneticPr fontId="22"/>
  </si>
  <si>
    <t>maru</t>
    <phoneticPr fontId="22"/>
  </si>
  <si>
    <t>問い続けるのが愛なのね</t>
    <phoneticPr fontId="22"/>
  </si>
  <si>
    <t>私が手ほどきしてあげる</t>
    <phoneticPr fontId="22"/>
  </si>
  <si>
    <t>maru</t>
    <phoneticPr fontId="22"/>
  </si>
  <si>
    <t>問い続けるのが愛なのね</t>
    <phoneticPr fontId="22"/>
  </si>
  <si>
    <t>私が手ほどきしてあげる</t>
    <phoneticPr fontId="22"/>
  </si>
  <si>
    <t>maru</t>
    <phoneticPr fontId="22"/>
  </si>
  <si>
    <t>大傑作の完成なのよ〜</t>
    <phoneticPr fontId="22"/>
  </si>
  <si>
    <t>maru</t>
    <phoneticPr fontId="22"/>
  </si>
  <si>
    <t>自我は現実を超越するのだよ</t>
    <phoneticPr fontId="22"/>
  </si>
  <si>
    <t>maru</t>
    <phoneticPr fontId="22"/>
  </si>
  <si>
    <t>君に何が見えるか興味がある</t>
    <phoneticPr fontId="22"/>
  </si>
  <si>
    <t>maru</t>
    <phoneticPr fontId="22"/>
  </si>
  <si>
    <t>私の深層に触れてみるか</t>
    <phoneticPr fontId="22"/>
  </si>
  <si>
    <t>ふっ…偏執狂的批判法だ</t>
    <phoneticPr fontId="22"/>
  </si>
  <si>
    <t>私の深層に触れてみるか</t>
    <phoneticPr fontId="22"/>
  </si>
  <si>
    <t>ふっ…偏執狂的批判法だ</t>
    <phoneticPr fontId="22"/>
  </si>
  <si>
    <t>giza</t>
    <phoneticPr fontId="22"/>
  </si>
  <si>
    <t>さぁ今すぐ私を認めろ！</t>
    <phoneticPr fontId="22"/>
  </si>
  <si>
    <r>
      <t>瞬間を捉える…こうだ！</t>
    </r>
    <r>
      <rPr>
        <sz val="10"/>
        <color rgb="FFFF0000"/>
        <rFont val="ＭＳ Ｐゴシック"/>
        <family val="3"/>
        <charset val="128"/>
      </rPr>
      <t/>
    </r>
    <phoneticPr fontId="22"/>
  </si>
  <si>
    <t>maru</t>
    <phoneticPr fontId="22"/>
  </si>
  <si>
    <t>俺は少し特殊な絵師でな</t>
    <phoneticPr fontId="22"/>
  </si>
  <si>
    <t>俺が再現してみせよう！</t>
    <phoneticPr fontId="22"/>
  </si>
  <si>
    <t>giza</t>
    <phoneticPr fontId="22"/>
  </si>
  <si>
    <t>真っ赤に染まっていただこう</t>
    <phoneticPr fontId="22"/>
  </si>
  <si>
    <t>giza</t>
    <phoneticPr fontId="22"/>
  </si>
  <si>
    <t>俺は筆を止められんのだ！</t>
    <phoneticPr fontId="22"/>
  </si>
  <si>
    <t>giza</t>
    <phoneticPr fontId="22"/>
  </si>
  <si>
    <t>一筆一筆が俺の魂だ！</t>
    <phoneticPr fontId="22"/>
  </si>
  <si>
    <t>maru</t>
    <phoneticPr fontId="22"/>
  </si>
  <si>
    <t>不適切？価値観の相違だ</t>
    <phoneticPr fontId="22"/>
  </si>
  <si>
    <t>陰があれば光もある…</t>
    <phoneticPr fontId="22"/>
  </si>
  <si>
    <t>恋は死に似ているね</t>
    <phoneticPr fontId="22"/>
  </si>
  <si>
    <t>君の生を壊したくなった</t>
    <rPh sb="2" eb="3">
      <t>セイ</t>
    </rPh>
    <phoneticPr fontId="22"/>
  </si>
  <si>
    <t>美しさは時に命を奪うんだ</t>
    <phoneticPr fontId="22"/>
  </si>
  <si>
    <t>maru</t>
    <phoneticPr fontId="22"/>
  </si>
  <si>
    <t>giza</t>
    <phoneticPr fontId="22"/>
  </si>
  <si>
    <r>
      <t>塗りなおしてあげるよ！</t>
    </r>
    <r>
      <rPr>
        <sz val="10"/>
        <color rgb="FFFF0000"/>
        <rFont val="ＭＳ Ｐゴシック"/>
        <family val="3"/>
        <charset val="128"/>
      </rPr>
      <t/>
    </r>
    <phoneticPr fontId="22"/>
  </si>
  <si>
    <t>まったく…炎上ばっか！</t>
    <phoneticPr fontId="22"/>
  </si>
  <si>
    <t>アタシにおまかせあれ！</t>
    <phoneticPr fontId="22"/>
  </si>
  <si>
    <t>giza</t>
    <phoneticPr fontId="22"/>
  </si>
  <si>
    <t>渾身の一作、アップするよ！</t>
    <phoneticPr fontId="22"/>
  </si>
  <si>
    <t>giza</t>
    <phoneticPr fontId="22"/>
  </si>
  <si>
    <t>素直に評価してよね！</t>
    <phoneticPr fontId="22"/>
  </si>
  <si>
    <t>giza</t>
    <phoneticPr fontId="22"/>
  </si>
  <si>
    <t>よいしょ…準備完了！</t>
    <phoneticPr fontId="22"/>
  </si>
  <si>
    <t>時限式ダメージパネルと黄パネルを青パネルに変換+4ターン種族UnknownのCパネル生成短縮(効果特大)</t>
    <phoneticPr fontId="22"/>
  </si>
  <si>
    <t>時限式ダメージパネルと黄パネルを青パネルに変換+4ターン種族UnknownのCパネル生成短縮(効果特大)</t>
    <phoneticPr fontId="22"/>
  </si>
  <si>
    <t>30</t>
    <phoneticPr fontId="22"/>
  </si>
  <si>
    <t>kumo</t>
    <phoneticPr fontId="22"/>
  </si>
  <si>
    <t>見たままに…描いてるだけ…</t>
    <phoneticPr fontId="22"/>
  </si>
  <si>
    <t>kumo</t>
    <phoneticPr fontId="22"/>
  </si>
  <si>
    <t>怖いのは…みんなの…ほう</t>
    <phoneticPr fontId="22"/>
  </si>
  <si>
    <t>踊れる…だけじゃない…</t>
    <phoneticPr fontId="22"/>
  </si>
  <si>
    <t>maru</t>
    <phoneticPr fontId="22"/>
  </si>
  <si>
    <t>味方は…沢山…います</t>
    <phoneticPr fontId="22"/>
  </si>
  <si>
    <t>社会は怖い…ところです</t>
    <phoneticPr fontId="22"/>
  </si>
  <si>
    <t>いいよ…やっちゃえ……</t>
    <phoneticPr fontId="22"/>
  </si>
  <si>
    <t>[effect:break_enchance_unit, val:0.005, lowest_val:0.2, count :-1, status:attack, turn:2, block:time_bomb, target:unit_human/unit_unknown/or, calc:mul, animation:enhance_unit_all_attack04]</t>
    <phoneticPr fontId="22"/>
  </si>
  <si>
    <t>[effect:break_enchance_unit, val:0.005, lowest_val:0.2, count :-1, status:attack, turn:2, block:time_bomb, target:unit_human/unit_unknown/or, calc:mul, animation:enhance_unit_all_attack04]</t>
    <phoneticPr fontId="22"/>
  </si>
  <si>
    <t>1体に大ダメージ
ゴッドに効果超大</t>
    <phoneticPr fontId="22"/>
  </si>
  <si>
    <t>[effect:damage_anti_tribe, target:enemy_one, tribe:god, val1:3.75, val2:1.31, animation:damage_one_yellow04]</t>
    <phoneticPr fontId="22"/>
  </si>
  <si>
    <t>[effect:damage_anti_tribe, target:enemy_one, tribe:unknown, val1:3.75, val2:1.13, animation:damage_one_red04]</t>
    <phoneticPr fontId="22"/>
  </si>
  <si>
    <t>3ターン緑属性の攻撃力UP(赤・青パネルを吸収し効果特大UP)し、回復力特大UP+1ターン黄属性からのダメージを50％軽減</t>
    <phoneticPr fontId="22"/>
  </si>
  <si>
    <t>1体に特大ダメージ+
全体に小ダメージ</t>
    <phoneticPr fontId="22"/>
  </si>
  <si>
    <t>[effect:enhance_unit, target:unit_samurai, turn:3, status:attack, val:0.28, calc:mul, animation:enhance_unit_all_attack04_unit01],[effect:force_change_block, new_block:crack_bomb, target:block_yellow, ignore01:block_red,color:block_red, count:0, val:0, animation:change_block],[effect:change_panel_ratio, turn:3, block_type:red, val:0.6,animation:block_incidence04]</t>
    <phoneticPr fontId="22"/>
  </si>
  <si>
    <t>[effect:enhance_unit, target:unit_samurai/unit_animal/or, turn:3, status:attack, val:0.28, calc:mul, animation:enhance_unit_all_attack04_unit01],[effect:force_change_block, new_block:crack_bomb, target:block_yellow, ignore01:block_red,color:block_red, count:0, val:0, animation:change_block],[effect:change_panel_ratio, turn:3, block_type:red, val:0.6,animation:block_incidence04]</t>
    <phoneticPr fontId="22"/>
  </si>
  <si>
    <t>[effect:force_change_block, new_block:block_blue, target:time_bomb, ignore01:block_blue, count:0, val:0, animation:change_block],[effect:force_change_block, new_block:block_blue, target:block_yellow, ignore01:block_blue, count:0, val:0, animation:change_block],[effect:crash_condition, target:unit_unknown, val:-4, turn:4, animation:crash_panel_reduce04]</t>
    <phoneticPr fontId="22"/>
  </si>
  <si>
    <t>[effect:force_change_block, new_block:block_green, target:block_red, ignore01:block_green, count:0, val:0, animation:change_block],[effect:force_change_block, new_block:block_yellow, target:block_blue, ignore01:block_yellow, count:0, val:0, animation:change_block],[effect:change_panel_ratio, turn:3, block_type:red, val:0.05]</t>
    <phoneticPr fontId="22"/>
  </si>
  <si>
    <t>[effect:force_change_block, new_block:block_green, target:block_red, ignore01:block_green, count:0, val:0, animation:change_block],[effect:force_change_block, new_block:block_yellow, target:block_blue, ignore01:block_yellow, count:0, val:0, animation:change_block],[effect:change_panel_ratio, turn:3, block_type:red, val:0.05]</t>
    <phoneticPr fontId="22"/>
  </si>
  <si>
    <t>赤パネルを緑パネルに、青パネルを黄パネルに変換+3ターン赤パネルの出現率DOWN</t>
    <phoneticPr fontId="22"/>
  </si>
  <si>
    <t>赤パネルを緑パネルに、青パネルを黄パネルに変換+3ターン赤パネルの出現率DOWN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</si>
  <si>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</si>
  <si>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</si>
  <si>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</si>
  <si>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</si>
  <si>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</si>
  <si>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</si>
  <si>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</si>
  <si>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</si>
  <si>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</si>
  <si>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</si>
  <si>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</si>
  <si>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</si>
  <si>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</si>
  <si>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</si>
  <si>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</si>
  <si>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</si>
  <si>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</si>
  <si>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</si>
  <si>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</si>
  <si>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</si>
  <si>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</si>
  <si>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</si>
  <si>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[effect:damage, target:enemy_all, color:red, val:0.375, animation:damage_all_red03],
[effect:damage, target:enemy_one, color:red, val:1.4, animation:damage_one_red03]</t>
    <phoneticPr fontId="22"/>
  </si>
  <si>
    <t>[effect:damage, target:enemy_all, color:red, val:0.75, animation:damage_all_red03],
[effect:damage, target:enemy_one, color:red, val:1.6, animation:damage_one_red04]</t>
    <phoneticPr fontId="22"/>
  </si>
  <si>
    <t>黄パネルを赤ボムパネルに変換+3ターン種族サムライの攻撃力を超大UPし、全ユニットの赤パネル出現率大UP</t>
    <phoneticPr fontId="22"/>
  </si>
  <si>
    <t>黄パネルを赤ボムパネルに変換+3ターン種族サムライとアニマルの攻撃力を超大UPし、全ユニットの赤パネル出現率大UP</t>
    <phoneticPr fontId="22"/>
  </si>
  <si>
    <t>その他</t>
    <phoneticPr fontId="22"/>
  </si>
  <si>
    <t>category</t>
    <phoneticPr fontId="22"/>
  </si>
  <si>
    <t>category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</si>
</sst>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FF0000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F5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9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12" fillId="22" borderId="4" xfId="0" applyNumberFormat="1" applyFont="1" applyFill="1" applyBorder="1" applyAlignment="1">
      <alignment vertical="center"/>
    </xf>
    <xf numFmtId="0" fontId="8" fillId="14" borderId="1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right" vertical="center"/>
    </xf>
    <xf numFmtId="0" fontId="13" fillId="0" borderId="4" xfId="0" applyFont="1" applyFill="1" applyBorder="1" applyAlignment="1">
      <alignment vertical="center" wrapText="1"/>
    </xf>
    <xf numFmtId="0" fontId="16" fillId="29" borderId="4" xfId="0" applyFont="1" applyFill="1" applyBorder="1"/>
    <xf numFmtId="0" fontId="16" fillId="0" borderId="4" xfId="0" applyFont="1" applyFill="1" applyBorder="1"/>
    <xf numFmtId="0" fontId="14" fillId="30" borderId="4" xfId="0" applyFont="1" applyFill="1" applyBorder="1" applyAlignment="1">
      <alignment horizontal="right" vertical="center" wrapText="1"/>
    </xf>
    <xf numFmtId="0" fontId="16" fillId="31" borderId="4" xfId="0" applyFont="1" applyFill="1" applyBorder="1"/>
    <xf numFmtId="0" fontId="14" fillId="32" borderId="4" xfId="0" applyFont="1" applyFill="1" applyBorder="1" applyAlignment="1">
      <alignment horizontal="right" vertical="center" wrapText="1"/>
    </xf>
    <xf numFmtId="0" fontId="16" fillId="30" borderId="4" xfId="0" applyFont="1" applyFill="1" applyBorder="1"/>
    <xf numFmtId="0" fontId="14" fillId="25" borderId="4" xfId="0" applyFont="1" applyFill="1" applyBorder="1" applyAlignment="1">
      <alignment horizontal="right" vertical="center" wrapText="1"/>
    </xf>
    <xf numFmtId="0" fontId="14" fillId="33" borderId="4" xfId="0" applyFont="1" applyFill="1" applyBorder="1" applyAlignment="1">
      <alignment horizontal="right" vertical="center" wrapText="1"/>
    </xf>
    <xf numFmtId="0" fontId="16" fillId="32" borderId="4" xfId="0" applyFont="1" applyFill="1" applyBorder="1"/>
    <xf numFmtId="0" fontId="16" fillId="33" borderId="4" xfId="0" applyFont="1" applyFill="1" applyBorder="1"/>
    <xf numFmtId="0" fontId="12" fillId="34" borderId="4" xfId="0" applyFont="1" applyFill="1" applyBorder="1" applyAlignment="1">
      <alignment horizontal="left" vertical="center" wrapText="1"/>
    </xf>
    <xf numFmtId="0" fontId="12" fillId="35" borderId="4" xfId="0" applyFont="1" applyFill="1" applyBorder="1" applyAlignment="1">
      <alignment horizontal="left" vertical="center" wrapText="1"/>
    </xf>
    <xf numFmtId="0" fontId="16" fillId="35" borderId="4" xfId="0" applyFont="1" applyFill="1" applyBorder="1" applyAlignment="1">
      <alignment horizontal="left" vertical="center" wrapText="1"/>
    </xf>
    <xf numFmtId="0" fontId="13" fillId="36" borderId="4" xfId="0" applyFont="1" applyFill="1" applyBorder="1" applyAlignment="1">
      <alignment vertical="center" wrapText="1"/>
    </xf>
  </cellXfs>
  <cellStyles count="469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赤字強調" xfId="4"/>
    <cellStyle name="青字強調" xfId="3"/>
  </cellStyles>
  <dxfs count="3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437</v>
          </cell>
          <cell r="B105" t="str">
            <v>ja</v>
          </cell>
          <cell r="C105" t="str">
            <v>対サムライ&amp;ドラゴン ダメージUP</v>
          </cell>
          <cell r="D105" t="str">
            <v>自身の攻撃対象が種族サムライ、ドラゴンの場合全ての攻撃の威力をUP</v>
          </cell>
        </row>
        <row r="106">
          <cell r="A106">
            <v>500</v>
          </cell>
          <cell r="B106" t="str">
            <v>ja</v>
          </cell>
          <cell r="C106" t="str">
            <v>青属性キラー</v>
          </cell>
          <cell r="D106" t="str">
            <v>攻撃対象が青属性の場合威力UP</v>
          </cell>
        </row>
        <row r="107">
          <cell r="A107">
            <v>600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601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602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603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604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605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606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607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608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609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610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611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612</v>
          </cell>
          <cell r="B119" t="str">
            <v>ja</v>
          </cell>
          <cell r="C119" t="str">
            <v>全属性耐性10</v>
          </cell>
          <cell r="D119" t="str">
            <v>自身に対する全属性の敵からの攻撃を10％軽減</v>
          </cell>
        </row>
        <row r="120">
          <cell r="A120">
            <v>613</v>
          </cell>
          <cell r="B120" t="str">
            <v>ja</v>
          </cell>
          <cell r="C120" t="str">
            <v>赤属性耐性10</v>
          </cell>
          <cell r="D120" t="str">
            <v>自身に対する赤属性の敵からの攻撃を10％軽減</v>
          </cell>
        </row>
        <row r="121">
          <cell r="A121">
            <v>614</v>
          </cell>
          <cell r="B121" t="str">
            <v>ja</v>
          </cell>
          <cell r="C121" t="str">
            <v>青属性耐性10</v>
          </cell>
          <cell r="D121" t="str">
            <v>自身に対する青属性の敵からの攻撃を10％軽減</v>
          </cell>
        </row>
        <row r="122">
          <cell r="A122">
            <v>615</v>
          </cell>
          <cell r="B122" t="str">
            <v>ja</v>
          </cell>
          <cell r="C122" t="str">
            <v>緑属性耐性10</v>
          </cell>
          <cell r="D122" t="str">
            <v>自身に対する緑属性の敵からの攻撃を10％軽減</v>
          </cell>
        </row>
        <row r="123">
          <cell r="A123">
            <v>616</v>
          </cell>
          <cell r="B123" t="str">
            <v>ja</v>
          </cell>
          <cell r="C123" t="str">
            <v>黄属性耐性10</v>
          </cell>
          <cell r="D123" t="str">
            <v>自身に対する黄属性の敵からの攻撃を10％軽減</v>
          </cell>
        </row>
        <row r="124">
          <cell r="A124">
            <v>617</v>
          </cell>
          <cell r="B124" t="str">
            <v>ja</v>
          </cell>
          <cell r="C124" t="str">
            <v>ゴッド種族耐性10</v>
          </cell>
          <cell r="D124" t="str">
            <v>自身に対するゴッド種族の敵からの攻撃を25％軽減</v>
          </cell>
        </row>
        <row r="125">
          <cell r="A125">
            <v>618</v>
          </cell>
          <cell r="B125" t="str">
            <v>ja</v>
          </cell>
          <cell r="C125" t="str">
            <v>赤属性耐性8</v>
          </cell>
          <cell r="D125" t="str">
            <v>自身に対する赤属性の敵からの攻撃を8%軽減</v>
          </cell>
        </row>
        <row r="126">
          <cell r="A126">
            <v>619</v>
          </cell>
          <cell r="B126" t="str">
            <v>ja</v>
          </cell>
          <cell r="C126" t="str">
            <v>青属性耐性8</v>
          </cell>
          <cell r="D126" t="str">
            <v>自身に対する青属性の敵からの攻撃を8%軽減</v>
          </cell>
        </row>
        <row r="127">
          <cell r="A127">
            <v>620</v>
          </cell>
          <cell r="B127" t="str">
            <v>ja</v>
          </cell>
          <cell r="C127" t="str">
            <v>緑属性耐性8</v>
          </cell>
          <cell r="D127" t="str">
            <v>自身に対する緑属性の敵からの攻撃を8%軽減</v>
          </cell>
        </row>
        <row r="128">
          <cell r="A128">
            <v>621</v>
          </cell>
          <cell r="B128" t="str">
            <v>ja</v>
          </cell>
          <cell r="C128" t="str">
            <v>黄属性耐性8</v>
          </cell>
          <cell r="D128" t="str">
            <v>自身に対する黄属性の敵からの攻撃を8%軽減</v>
          </cell>
        </row>
        <row r="129">
          <cell r="A129">
            <v>622</v>
          </cell>
          <cell r="B129" t="str">
            <v>ja</v>
          </cell>
          <cell r="C129" t="str">
            <v>赤・青属性耐性15</v>
          </cell>
          <cell r="D129" t="str">
            <v>自身に対する赤・青属性の敵からの攻撃を15%軽減</v>
          </cell>
        </row>
        <row r="130">
          <cell r="A130">
            <v>700</v>
          </cell>
          <cell r="B130" t="str">
            <v>ja</v>
          </cell>
          <cell r="C130" t="str">
            <v>フロア 回復</v>
          </cell>
          <cell r="D130" t="str">
            <v>全フロアの1ターン目終了時にパーティの合計HPの20％を回復する</v>
          </cell>
        </row>
        <row r="131">
          <cell r="A131">
            <v>701</v>
          </cell>
          <cell r="B131" t="str">
            <v>ja</v>
          </cell>
          <cell r="C131" t="str">
            <v>フロア 防御力アップ</v>
          </cell>
          <cell r="D131" t="str">
            <v>全フロアの1ターン目終了時に全ユニットの防御力を1ターン400UP</v>
          </cell>
        </row>
        <row r="132">
          <cell r="A132">
            <v>800</v>
          </cell>
          <cell r="B132" t="str">
            <v>ja</v>
          </cell>
          <cell r="C132" t="str">
            <v>パネルブレイク30 攻撃力UP</v>
          </cell>
          <cell r="D132" t="str">
            <v>自身が先頭の時、1ターンの間に合計30個以上パネルを破壊した場合に攻撃力UP</v>
          </cell>
        </row>
        <row r="133">
          <cell r="A133">
            <v>801</v>
          </cell>
          <cell r="B133" t="str">
            <v>ja</v>
          </cell>
          <cell r="C133" t="str">
            <v>パネルブレイク30 回復力UP</v>
          </cell>
          <cell r="D133" t="str">
            <v>自身が先頭の時、1ターンの間に合計30個以上パネルを破壊した場合に回復力UP</v>
          </cell>
        </row>
        <row r="134">
          <cell r="A134">
            <v>802</v>
          </cell>
          <cell r="B134" t="str">
            <v>ja</v>
          </cell>
          <cell r="C134" t="str">
            <v>パネルブレイク30 防御力小UP</v>
          </cell>
          <cell r="D134" t="str">
            <v>自身が先頭の時、1ターンの間に合計30個以上パネルを破壊した場合に防御力小UP</v>
          </cell>
        </row>
        <row r="135">
          <cell r="A135">
            <v>803</v>
          </cell>
          <cell r="B135" t="str">
            <v>ja</v>
          </cell>
          <cell r="C135" t="str">
            <v>パネルブレイク30 防御力UP</v>
          </cell>
          <cell r="D135" t="str">
            <v>自身が先頭の時、1ターンの間に合計30個以上パネルを破壊した場合に防御力UP</v>
          </cell>
        </row>
        <row r="136">
          <cell r="A136">
            <v>804</v>
          </cell>
          <cell r="B136" t="str">
            <v>ja</v>
          </cell>
          <cell r="C136" t="str">
            <v>パネルブレイク30 防御力大UP</v>
          </cell>
          <cell r="D136" t="str">
            <v>自身が先頭の時、1ターンの間に合計30個以上パネルを破壊した場合に防御力大UP</v>
          </cell>
        </row>
        <row r="137">
          <cell r="A137">
            <v>805</v>
          </cell>
          <cell r="B137" t="str">
            <v>ja</v>
          </cell>
          <cell r="C137" t="str">
            <v>パネルブレイク30 防御力特大UP</v>
          </cell>
          <cell r="D137" t="str">
            <v>自身が先頭の時、1ターンの間に合計30個以上パネルを破壊した場合に防御力特大UP</v>
          </cell>
        </row>
        <row r="138">
          <cell r="A138">
            <v>806</v>
          </cell>
          <cell r="B138" t="str">
            <v>ja</v>
          </cell>
          <cell r="C138" t="str">
            <v>ボムブレイク10 防御力UP</v>
          </cell>
          <cell r="D138" t="str">
            <v>自身または味方が1ターンの間に合計10個以上ボムパネルを破壊した場合に防御力UP</v>
          </cell>
        </row>
        <row r="139">
          <cell r="A139">
            <v>807</v>
          </cell>
          <cell r="B139" t="str">
            <v>ja</v>
          </cell>
          <cell r="C139" t="str">
            <v>パネル18 破壊フィーバーゲージ上昇</v>
          </cell>
          <cell r="D139" t="str">
            <v>自身が先頭の時、1ターンの間に合計18個以上パネルを破壊した場合にフィーバーゲージ上昇</v>
          </cell>
        </row>
        <row r="140">
          <cell r="A140">
            <v>808</v>
          </cell>
          <cell r="B140" t="str">
            <v>ja</v>
          </cell>
          <cell r="C140" t="str">
            <v>パネルブレイク40 防御力UP</v>
          </cell>
          <cell r="D140" t="str">
            <v>自身が先頭の時、1ターンの間に合計40個以上パネルを破壊した場合に青属性ユニットの防御力を400UP</v>
          </cell>
        </row>
        <row r="141">
          <cell r="A141">
            <v>809</v>
          </cell>
          <cell r="B141" t="str">
            <v>ja</v>
          </cell>
          <cell r="C141" t="str">
            <v>パネルブレイク40 攻撃力UP</v>
          </cell>
          <cell r="D141" t="str">
            <v>自身が先頭の時、1ターンの間に合計40個以上パネルを破壊した場合に攻撃力UP</v>
          </cell>
        </row>
        <row r="142">
          <cell r="A142">
            <v>810</v>
          </cell>
          <cell r="B142" t="str">
            <v>ja</v>
          </cell>
          <cell r="C142" t="str">
            <v>パネルブレイク40 攻撃力小UP</v>
          </cell>
          <cell r="D142" t="str">
            <v>自身が先頭の時、1ターンの間に合計40個以上パネルを破壊した場合に攻撃力小UP</v>
          </cell>
        </row>
        <row r="143">
          <cell r="A143">
            <v>811</v>
          </cell>
          <cell r="B143" t="str">
            <v>ja</v>
          </cell>
          <cell r="C143" t="str">
            <v>パネルブレイク30 攻撃力小UP</v>
          </cell>
          <cell r="D143" t="str">
            <v>自身が先頭の時、1ターンの間に合計30個以上パネルを破壊した場合に攻撃力小UP</v>
          </cell>
        </row>
        <row r="144">
          <cell r="A144">
            <v>812</v>
          </cell>
          <cell r="B144" t="str">
            <v>ja</v>
          </cell>
          <cell r="C144" t="str">
            <v>パネルブレイク40 HP小回復</v>
          </cell>
          <cell r="D144" t="str">
            <v>自身が先頭の時、1ターンの間に合計40個以上パネルを破壊した場合にターン終了時HP小回復</v>
          </cell>
        </row>
        <row r="145">
          <cell r="A145">
            <v>813</v>
          </cell>
          <cell r="B145" t="str">
            <v>ja</v>
          </cell>
          <cell r="C145" t="str">
            <v>パネルブレイク100 攻撃力UP</v>
          </cell>
          <cell r="D145" t="str">
            <v>自身が先頭の時、1ターンの間に合計100個以上パネルを破壊した場合に攻撃力2140UP</v>
          </cell>
        </row>
        <row r="146">
          <cell r="A146">
            <v>814</v>
          </cell>
          <cell r="B146" t="str">
            <v>ja</v>
          </cell>
          <cell r="C146" t="str">
            <v>パネルブレイク50 タップ回数UP</v>
          </cell>
          <cell r="D146" t="str">
            <v>自身が先頭の時、1ターンの間に合計50個以上パネルを破壊した場合にタップ回数を1回増やす</v>
          </cell>
        </row>
        <row r="147">
          <cell r="A147">
            <v>815</v>
          </cell>
          <cell r="B147" t="str">
            <v>ja</v>
          </cell>
          <cell r="C147" t="str">
            <v>パネルブレイク50 HP回復</v>
          </cell>
          <cell r="D147" t="str">
            <v>自身が先頭の時、1ターンの間に合計50個以上パネルを破壊した場合にターン終了時HP回復</v>
          </cell>
        </row>
        <row r="148">
          <cell r="A148">
            <v>816</v>
          </cell>
          <cell r="B148" t="str">
            <v>ja</v>
          </cell>
          <cell r="C148" t="str">
            <v>ボムブレイク10 黄属性攻撃力UP</v>
          </cell>
          <cell r="D148" t="str">
            <v>自身または味方が1ターンの間に合計10個以上ボムパネルを破壊した場合に黄属性ユニットの攻撃力UP</v>
          </cell>
        </row>
        <row r="149">
          <cell r="A149">
            <v>817</v>
          </cell>
          <cell r="B149" t="str">
            <v>ja</v>
          </cell>
          <cell r="C149" t="str">
            <v>パネルブレイク50 生成短縮激烈</v>
          </cell>
          <cell r="D149" t="str">
            <v>自身が先頭の時、1ターンの間に合計50個以上パネルを破壊した場合にCパネル生成に必要なチェイン数を12短縮する</v>
          </cell>
        </row>
        <row r="150">
          <cell r="A150">
            <v>818</v>
          </cell>
          <cell r="B150" t="str">
            <v>ja</v>
          </cell>
          <cell r="C150" t="str">
            <v>パネルブレイク33 赤･緑属性防御UP</v>
          </cell>
          <cell r="D150" t="str">
            <v>自身が先頭の時、1ターンの間に合計33個以上パネルを破壊した場合に赤・緑属性の防御力を330UP</v>
          </cell>
        </row>
        <row r="151">
          <cell r="A151">
            <v>819</v>
          </cell>
          <cell r="B151" t="str">
            <v>ja</v>
          </cell>
          <cell r="C151" t="str">
            <v>パネルブレイク25 回復力UP</v>
          </cell>
          <cell r="D151" t="str">
            <v>自身が先頭の時、1ターンの間に合計25個以上パネルを破壊した場合に回復力UP</v>
          </cell>
        </row>
        <row r="152">
          <cell r="A152">
            <v>820</v>
          </cell>
          <cell r="B152" t="str">
            <v>ja</v>
          </cell>
          <cell r="C152" t="str">
            <v>パネルブレイク90 タップ回数UP</v>
          </cell>
          <cell r="D152" t="str">
            <v>自身が先頭の時、1ターンの間に合計90個以上パネルを破壊した場合にタップ回数を1回増やす</v>
          </cell>
        </row>
        <row r="153">
          <cell r="A153">
            <v>821</v>
          </cell>
          <cell r="B153" t="str">
            <v>ja</v>
          </cell>
          <cell r="C153" t="str">
            <v>パネルブレイク80 攻撃力特大UP</v>
          </cell>
          <cell r="D153" t="str">
            <v>自身が先頭の時、1ターンの間に合計80個以上パネルを破壊した場合に攻撃力特大UP</v>
          </cell>
        </row>
        <row r="154">
          <cell r="A154">
            <v>822</v>
          </cell>
          <cell r="B154" t="str">
            <v>ja</v>
          </cell>
          <cell r="C154" t="str">
            <v>パネルブレイク35 CP生成短縮(特大)</v>
          </cell>
          <cell r="D154" t="str">
            <v>自身または、味方が1ターンの間に合計35個以上パネルを破壊した場合に先頭ユニットのCパネル生成短縮(効果特大)(1ターンに1度だけ発動)</v>
          </cell>
        </row>
        <row r="155">
          <cell r="A155">
            <v>823</v>
          </cell>
          <cell r="B155" t="str">
            <v>ja</v>
          </cell>
          <cell r="C155" t="str">
            <v>パネルブレイク100 タップ回数UP</v>
          </cell>
          <cell r="D155" t="str">
            <v>自身が先頭の時、1ターンの間に合計100個以上パネルを破壊した場合にタップ回数を1回増やす</v>
          </cell>
        </row>
        <row r="156">
          <cell r="A156">
            <v>824</v>
          </cell>
          <cell r="B156" t="str">
            <v>ja</v>
          </cell>
          <cell r="C156" t="str">
            <v>パネルブレイク40 CP生成短縮(特大)</v>
          </cell>
          <cell r="D156" t="str">
            <v>自身または、味方が1ターンの間に合計40個以上パネル破壊した場合に先頭ユニットのCP生成短縮(特大)(1ターンに1度だけ発動)</v>
          </cell>
        </row>
        <row r="157">
          <cell r="A157">
            <v>825</v>
          </cell>
          <cell r="B157" t="str">
            <v>ja</v>
          </cell>
          <cell r="C157" t="str">
            <v>パネルブレイク60 HP回復</v>
          </cell>
          <cell r="D157" t="str">
            <v>自身が先頭の時、1ターンの間に合計60個以上パネルを破壊した場合にターン終了時HP回復</v>
          </cell>
        </row>
        <row r="158">
          <cell r="A158">
            <v>830</v>
          </cell>
          <cell r="B158" t="str">
            <v>ja</v>
          </cell>
          <cell r="C158" t="str">
            <v>パネルブレイク40 ウィルス解除</v>
          </cell>
          <cell r="D158" t="str">
            <v>自身または、味方が1ターンの間に合計40個以上パネル破壊した場合に全ユニットウィルス解除(1ターンに1度だけ発動)</v>
          </cell>
        </row>
        <row r="159">
          <cell r="A159">
            <v>900</v>
          </cell>
          <cell r="B159" t="str">
            <v>ja</v>
          </cell>
          <cell r="C159" t="str">
            <v>チェイン12 攻撃力UP</v>
          </cell>
          <cell r="D159" t="str">
            <v>自身が先頭の時、1タップで12個以上パネルを繋げた場合に攻撃力UP(1ターンに1度だけ発動)</v>
          </cell>
        </row>
        <row r="160">
          <cell r="A160">
            <v>901</v>
          </cell>
          <cell r="B160" t="str">
            <v>ja</v>
          </cell>
          <cell r="C160" t="str">
            <v>チェイン12 回復力UP</v>
          </cell>
          <cell r="D160" t="str">
            <v>自身が先頭の時、1タップで12個以上パネルを繋げた場合に回復力UP(1ターンに1度だけ発動)</v>
          </cell>
        </row>
        <row r="161">
          <cell r="A161">
            <v>902</v>
          </cell>
          <cell r="B161" t="str">
            <v>ja</v>
          </cell>
          <cell r="C161" t="str">
            <v>チェイン12 タップ回数UP</v>
          </cell>
          <cell r="D161" t="str">
            <v>自身が先頭の時、1タップで12個以上パネルを繋げた場合にタップ回数を1回増やす(1ターンに1度だけ発動)</v>
          </cell>
        </row>
        <row r="162">
          <cell r="A162">
            <v>903</v>
          </cell>
          <cell r="B162" t="str">
            <v>ja</v>
          </cell>
          <cell r="C162" t="str">
            <v>チェイン18 スキルゲージUP</v>
          </cell>
          <cell r="D162" t="str">
            <v>自身が先頭の時、1タップで18個以上パネルを繋げた場合に自身のスキルゲージを1増やす(1ターンに1度だけ発動)</v>
          </cell>
        </row>
        <row r="163">
          <cell r="A163">
            <v>904</v>
          </cell>
          <cell r="B163" t="str">
            <v>ja</v>
          </cell>
          <cell r="C163" t="str">
            <v>チェイン17 回復力UP</v>
          </cell>
          <cell r="D163" t="str">
            <v>自身が先頭の時、1タップで17個以上パネルを繋げた場合に自身の回復力を2017UP(1ターンに1度だけ発動)</v>
          </cell>
        </row>
        <row r="164">
          <cell r="A164">
            <v>905</v>
          </cell>
          <cell r="B164" t="str">
            <v>ja</v>
          </cell>
          <cell r="C164" t="str">
            <v>チェイン12 攻撃力小UP</v>
          </cell>
          <cell r="D164" t="str">
            <v>自身が先頭の時、1タップで12個以上パネルを繋げた場合に攻撃力小UP(1ターンに1度だけ発動)</v>
          </cell>
        </row>
        <row r="165">
          <cell r="A165">
            <v>906</v>
          </cell>
          <cell r="B165" t="str">
            <v>ja</v>
          </cell>
          <cell r="C165" t="str">
            <v>チェイン14 回復力小UP</v>
          </cell>
          <cell r="D165" t="str">
            <v>自身が先頭の時、1タップで14個以上パネルを繋げた場合に回復力小UP(1ターンに1度だけ発動)</v>
          </cell>
        </row>
        <row r="166">
          <cell r="A166">
            <v>907</v>
          </cell>
          <cell r="B166" t="str">
            <v>ja</v>
          </cell>
          <cell r="C166" t="str">
            <v>チェイン14 攻撃力UP</v>
          </cell>
          <cell r="D166" t="str">
            <v>自身が先頭の時、1タップで14個以上パネルを繋げた場合に攻撃力UP(1ターンに1度だけ発動)</v>
          </cell>
        </row>
        <row r="167">
          <cell r="A167">
            <v>908</v>
          </cell>
          <cell r="B167" t="str">
            <v>ja</v>
          </cell>
          <cell r="C167" t="str">
            <v>チェイン16 黄属性防御力UP</v>
          </cell>
          <cell r="D167" t="str">
            <v>自身が先頭の時、1タップで16個以上パネルを繋げた場合に黄属性ユニットの防御力UP(1ターンに1度だけ発動)</v>
          </cell>
        </row>
        <row r="168">
          <cell r="A168">
            <v>909</v>
          </cell>
          <cell r="B168" t="str">
            <v>ja</v>
          </cell>
          <cell r="C168" t="str">
            <v>チェイン30 Cパネル生成短縮(激烈)</v>
          </cell>
          <cell r="D168" t="str">
            <v>自身が先頭の時、1タップで30個以上パネルを繋げた場合にCパネル生成短縮(効果激烈)(1ターンに1度だけ発動)</v>
          </cell>
        </row>
        <row r="169">
          <cell r="A169">
            <v>910</v>
          </cell>
          <cell r="B169" t="str">
            <v>ja</v>
          </cell>
          <cell r="C169" t="str">
            <v>チェイン18 HP回復</v>
          </cell>
          <cell r="D169" t="str">
            <v>自身が先頭の時、1タップで18個以上パネルを繋げた場合にHPを2500回復(1ターンに1度だけ発動)</v>
          </cell>
        </row>
        <row r="170">
          <cell r="A170">
            <v>911</v>
          </cell>
          <cell r="B170" t="str">
            <v>ja</v>
          </cell>
          <cell r="C170" t="str">
            <v>チェイン24 ダメージ軽減</v>
          </cell>
          <cell r="D170" t="str">
            <v>自身が先頭の時、1タップで24個以上パネルを繋げた場合に敵からのダメージを15％軽減(1ターンに1度だけ発動)</v>
          </cell>
        </row>
        <row r="171">
          <cell r="A171">
            <v>912</v>
          </cell>
          <cell r="B171" t="str">
            <v>ja</v>
          </cell>
          <cell r="C171" t="str">
            <v>チェイン22 スキルゲージUP</v>
          </cell>
          <cell r="D171" t="str">
            <v>自身が先頭の時、1タップで22個以上パネルを繋げた場合に自身のスキルゲージを1増やす(1ターンに1度だけ発動)</v>
          </cell>
        </row>
        <row r="172">
          <cell r="A172">
            <v>913</v>
          </cell>
          <cell r="B172" t="str">
            <v>ja</v>
          </cell>
          <cell r="C172" t="str">
            <v>チェイン26 Cパネル生成短縮(特大)</v>
          </cell>
          <cell r="D172" t="str">
            <v>自身または、味方が1タップで26個以上パネルを繋げた場合に先頭ユニットのCパネル生成短縮(効果特大)(1ターンに1度だけ発動)</v>
          </cell>
        </row>
        <row r="173">
          <cell r="A173">
            <v>914</v>
          </cell>
          <cell r="B173" t="str">
            <v>ja</v>
          </cell>
          <cell r="C173" t="str">
            <v>チェイン14 スキルバインド解除</v>
          </cell>
          <cell r="D173" t="str">
            <v>自身が先頭の時、1タップで14個以上パネルを繋げた場合にスキルバインドを解除する</v>
          </cell>
        </row>
        <row r="174">
          <cell r="A174">
            <v>915</v>
          </cell>
          <cell r="B174" t="str">
            <v>ja</v>
          </cell>
          <cell r="C174" t="str">
            <v>チェイン16 スキルゲージUP</v>
          </cell>
          <cell r="D174" t="str">
            <v>自身が先頭の時、1タップで16個以上パネルを繋げた場合に自身のスキルゲージを1増やす(1ターンに1度だけ発動)</v>
          </cell>
        </row>
        <row r="175">
          <cell r="A175">
            <v>916</v>
          </cell>
          <cell r="B175" t="str">
            <v>ja</v>
          </cell>
          <cell r="C175" t="str">
            <v>チェイン14 黄属性防御力UP</v>
          </cell>
          <cell r="D175" t="str">
            <v>自身が先頭の時、1タップで14個以上パネルを繋げた場合に黄属性ユニットの防御力UP(1ターンに1度だけ発動)</v>
          </cell>
        </row>
        <row r="176">
          <cell r="A176">
            <v>1100</v>
          </cell>
          <cell r="B176" t="str">
            <v>ja</v>
          </cell>
          <cell r="C176" t="str">
            <v>Cパネル生成短縮</v>
          </cell>
          <cell r="D176" t="str">
            <v>自身が先頭の時、Cパネル生成に必要なチェイン数を1短縮する</v>
          </cell>
        </row>
        <row r="177">
          <cell r="A177">
            <v>1101</v>
          </cell>
          <cell r="B177" t="str">
            <v>ja</v>
          </cell>
          <cell r="C177" t="str">
            <v>Cパネル生成短縮(大)</v>
          </cell>
          <cell r="D177" t="str">
            <v>自身が先頭の時、Cパネル生成に必要なチェイン数を2短縮する</v>
          </cell>
        </row>
        <row r="178">
          <cell r="A178">
            <v>1200</v>
          </cell>
          <cell r="B178" t="str">
            <v>ja</v>
          </cell>
          <cell r="C178" t="str">
            <v>フィーバー攻撃UP</v>
          </cell>
          <cell r="D178" t="str">
            <v>自身が先頭の時、フィーバー発動時に緑属性の攻撃力と回復力UP</v>
          </cell>
        </row>
        <row r="179">
          <cell r="A179">
            <v>1300</v>
          </cell>
          <cell r="B179" t="str">
            <v>ja</v>
          </cell>
          <cell r="C179" t="str">
            <v>チェイン12 HP回復</v>
          </cell>
          <cell r="D179" t="str">
            <v>自身が先頭の時、1タップで12個以上パネルを繋げた場合にHPを2000回復(1ターンに1度だけ発動)</v>
          </cell>
        </row>
        <row r="180">
          <cell r="A180">
            <v>1400</v>
          </cell>
          <cell r="B180" t="str">
            <v>ja</v>
          </cell>
          <cell r="C180" t="str">
            <v>カウンター威力UP</v>
          </cell>
          <cell r="D180" t="str">
            <v>4ターン毎に自身のカウンタースキルの威力が1ターンの間UP</v>
          </cell>
        </row>
        <row r="181">
          <cell r="A181">
            <v>1500</v>
          </cell>
          <cell r="B181" t="str">
            <v>ja</v>
          </cell>
          <cell r="C181" t="str">
            <v>バリア15000</v>
          </cell>
          <cell r="D181" t="str">
            <v>戦闘開始時に、自身への直接ダメージを15000まで防ぐバリアを一度だけ展開(バリアは破壊されると復活しない)</v>
          </cell>
        </row>
        <row r="182">
          <cell r="A182">
            <v>1501</v>
          </cell>
          <cell r="B182" t="str">
            <v>ja</v>
          </cell>
          <cell r="C182" t="str">
            <v>バリア</v>
          </cell>
          <cell r="D182" t="str">
            <v>戦闘開始時に、ダメージを25000まで防ぐバリアを一度だけ展開</v>
          </cell>
        </row>
        <row r="183">
          <cell r="A183">
            <v>1502</v>
          </cell>
          <cell r="B183" t="str">
            <v>ja</v>
          </cell>
          <cell r="C183" t="str">
            <v>バリア</v>
          </cell>
          <cell r="D183" t="str">
            <v>戦闘開始時に、ダメージを50000まで防ぐバリアを一度だけ展開</v>
          </cell>
        </row>
        <row r="184">
          <cell r="A184">
            <v>1503</v>
          </cell>
          <cell r="B184" t="str">
            <v>ja</v>
          </cell>
          <cell r="C184" t="str">
            <v>バリア8000</v>
          </cell>
          <cell r="D184" t="str">
            <v>戦闘開始時に、自身への直接ダメージを8000まで防ぐバリアを一度だけ展開(バリアは破壊されると復活しない)</v>
          </cell>
        </row>
        <row r="185">
          <cell r="A185">
            <v>1504</v>
          </cell>
          <cell r="B185" t="str">
            <v>ja</v>
          </cell>
          <cell r="C185" t="str">
            <v>バリア10000</v>
          </cell>
          <cell r="D185" t="str">
            <v>戦闘開始時に、自身への直接ダメージを10000まで防ぐバリアを一度だけ展開(バリアは破壊されると復活しない)</v>
          </cell>
        </row>
        <row r="186">
          <cell r="A186">
            <v>1505</v>
          </cell>
          <cell r="B186" t="str">
            <v>ja</v>
          </cell>
          <cell r="C186" t="str">
            <v>バリア3939</v>
          </cell>
          <cell r="D186" t="str">
            <v>戦闘開始時に、自身への直接ダメージを3939まで防ぐバリアを一度だけ展開(バリアは破壊されると復活しない)</v>
          </cell>
        </row>
        <row r="187">
          <cell r="A187">
            <v>1600</v>
          </cell>
          <cell r="B187" t="str">
            <v>ja</v>
          </cell>
          <cell r="C187" t="str">
            <v>攻撃力・回復力UP</v>
          </cell>
          <cell r="D187" t="str">
            <v>自身の攻撃力と回復力をUP</v>
          </cell>
        </row>
        <row r="188">
          <cell r="A188">
            <v>1700</v>
          </cell>
          <cell r="B188" t="str">
            <v>ja</v>
          </cell>
          <cell r="C188" t="str">
            <v>パネルブレイク30 ターンHP小回復</v>
          </cell>
          <cell r="D188" t="str">
            <v>自身が先頭の時、1ターンの間に合計30個以上パネルを破壊した場合に1ターン HP小回復</v>
          </cell>
        </row>
        <row r="189">
          <cell r="A189">
            <v>1701</v>
          </cell>
          <cell r="B189" t="str">
            <v>ja</v>
          </cell>
          <cell r="C189" t="str">
            <v>3ターン毎 HP1200回復</v>
          </cell>
          <cell r="D189" t="str">
            <v>3ターン毎にHPを1200回復する</v>
          </cell>
        </row>
        <row r="190">
          <cell r="A190">
            <v>1800</v>
          </cell>
          <cell r="B190" t="str">
            <v>ja</v>
          </cell>
          <cell r="C190" t="str">
            <v>フィーバー強化</v>
          </cell>
          <cell r="D190" t="str">
            <v>フィーバー時自身の攻撃力、回復力を特大UP</v>
          </cell>
        </row>
        <row r="191">
          <cell r="A191">
            <v>1900</v>
          </cell>
          <cell r="B191" t="str">
            <v>ja</v>
          </cell>
          <cell r="C191" t="str">
            <v>ハート出現率UP</v>
          </cell>
          <cell r="D191" t="str">
            <v>自身が先頭の時、ハートパネルの出現率UP</v>
          </cell>
        </row>
        <row r="192">
          <cell r="A192">
            <v>2000</v>
          </cell>
          <cell r="B192" t="str">
            <v>ja</v>
          </cell>
          <cell r="C192" t="str">
            <v>赤パネル出現率UP</v>
          </cell>
          <cell r="D192" t="str">
            <v>自身が先頭の時、赤パネルの出現率UP</v>
          </cell>
        </row>
        <row r="193">
          <cell r="A193">
            <v>2100</v>
          </cell>
          <cell r="B193" t="str">
            <v>ja</v>
          </cell>
          <cell r="C193" t="str">
            <v>緑パネル出現率UP</v>
          </cell>
          <cell r="D193" t="str">
            <v>自身が先頭の時、緑パネルの出現率UP</v>
          </cell>
        </row>
        <row r="194">
          <cell r="A194">
            <v>2101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2200</v>
          </cell>
          <cell r="B195" t="str">
            <v>ja</v>
          </cell>
          <cell r="C195" t="str">
            <v>青パネル出現率UP</v>
          </cell>
          <cell r="D195" t="str">
            <v>自身が先頭の時、青パネルの出現率UP</v>
          </cell>
        </row>
        <row r="196">
          <cell r="A196">
            <v>2201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2300</v>
          </cell>
          <cell r="B197" t="str">
            <v>ja</v>
          </cell>
          <cell r="C197" t="str">
            <v>黄パネル出現率UP</v>
          </cell>
          <cell r="D197" t="str">
            <v>自身が先頭の時、黄パネルの出現率UP</v>
          </cell>
        </row>
        <row r="198">
          <cell r="A198">
            <v>2400</v>
          </cell>
          <cell r="B198" t="str">
            <v>ja</v>
          </cell>
          <cell r="C198" t="str">
            <v>ハートボムパネルドロップ</v>
          </cell>
          <cell r="D198" t="str">
            <v>自身が先頭の時、ハートパネルを確率でハートボムパネルに変換しドロップ</v>
          </cell>
        </row>
        <row r="199">
          <cell r="A199">
            <v>2401</v>
          </cell>
          <cell r="B199" t="str">
            <v>ja</v>
          </cell>
          <cell r="C199" t="str">
            <v>赤ボムパネルドロップ</v>
          </cell>
          <cell r="D199" t="str">
            <v>自身が先頭の時、赤パネルを低確率で赤ボムパネルに変換しドロップ</v>
          </cell>
        </row>
        <row r="200">
          <cell r="A200">
            <v>2402</v>
          </cell>
          <cell r="B200" t="str">
            <v>ja</v>
          </cell>
          <cell r="C200" t="str">
            <v>緑ボムパネルドロップ</v>
          </cell>
          <cell r="D200" t="str">
            <v>自身が先頭の時、緑パネルを低確率で緑ボムパネルに変換しドロップ</v>
          </cell>
        </row>
        <row r="201">
          <cell r="A201">
            <v>2403</v>
          </cell>
          <cell r="B201" t="str">
            <v>ja</v>
          </cell>
          <cell r="C201" t="str">
            <v>青ボムパネルドロップ</v>
          </cell>
          <cell r="D201" t="str">
            <v>自身が先頭の時、青パネルを確率で青ボムパネルに変換しドロップ</v>
          </cell>
        </row>
        <row r="202">
          <cell r="A202">
            <v>2500</v>
          </cell>
          <cell r="B202" t="str">
            <v>ja</v>
          </cell>
          <cell r="C202" t="str">
            <v>青パネルドロップ</v>
          </cell>
          <cell r="D202" t="str">
            <v>自身が先頭の時、緑パネルを確率で青パネルに変換しドロップ</v>
          </cell>
        </row>
        <row r="203">
          <cell r="A203">
            <v>2501</v>
          </cell>
          <cell r="B203" t="str">
            <v>ja</v>
          </cell>
          <cell r="C203" t="str">
            <v>黄パネルドロップ</v>
          </cell>
          <cell r="D203" t="str">
            <v>自身が先頭の時、青パネルを確率で黄パネルに変換しドロップ</v>
          </cell>
        </row>
        <row r="204">
          <cell r="A204">
            <v>2502</v>
          </cell>
          <cell r="B204" t="str">
            <v>ja</v>
          </cell>
          <cell r="C204" t="str">
            <v>赤パネルドロップ</v>
          </cell>
          <cell r="D204" t="str">
            <v>自身が先頭の時、黄パネルを確率で赤パネルに変換しドロップ</v>
          </cell>
        </row>
        <row r="205">
          <cell r="A205">
            <v>2503</v>
          </cell>
          <cell r="B205" t="str">
            <v>ja</v>
          </cell>
          <cell r="C205" t="str">
            <v>黄パネルドロップ</v>
          </cell>
          <cell r="D205" t="str">
            <v>自身が先頭の時、赤パネルを確率で黄パネルに変換しドロップ</v>
          </cell>
        </row>
        <row r="206">
          <cell r="A206">
            <v>2504</v>
          </cell>
          <cell r="B206" t="str">
            <v>ja</v>
          </cell>
          <cell r="C206" t="str">
            <v>SCパネルドロップ</v>
          </cell>
          <cell r="D206" t="str">
            <v>自身が先頭の時、緑パネルを確率でSCパネルに変換しドロップ</v>
          </cell>
        </row>
        <row r="207">
          <cell r="A207">
            <v>2505</v>
          </cell>
          <cell r="B207" t="str">
            <v>ja</v>
          </cell>
          <cell r="C207" t="str">
            <v>緑ボムパネル(大)ドロップ</v>
          </cell>
          <cell r="D207" t="str">
            <v>自身が先頭の時、低確率で緑ボムパネル(大)をドロップ</v>
          </cell>
        </row>
        <row r="208">
          <cell r="A208">
            <v>2506</v>
          </cell>
          <cell r="B208" t="str">
            <v>ja</v>
          </cell>
          <cell r="C208" t="str">
            <v>ハートボムパネル(大)ドロップ</v>
          </cell>
          <cell r="D208" t="str">
            <v>自身が先頭の時、低確率でハートボムパネル(大)をドロップ</v>
          </cell>
        </row>
        <row r="209">
          <cell r="A209">
            <v>2507</v>
          </cell>
          <cell r="B209" t="str">
            <v>ja</v>
          </cell>
          <cell r="C209" t="str">
            <v>Cパネルドロップ</v>
          </cell>
          <cell r="D209" t="str">
            <v>自身が先頭の時、低確率でCパネルをドロップ</v>
          </cell>
        </row>
        <row r="210">
          <cell r="A210">
            <v>2508</v>
          </cell>
          <cell r="B210" t="str">
            <v>ja</v>
          </cell>
          <cell r="C210" t="str">
            <v>黄パネルドロップ</v>
          </cell>
          <cell r="D210" t="str">
            <v>自身が先頭の時、緑パネルを確率で黄パネルに変換しドロップ</v>
          </cell>
        </row>
        <row r="211">
          <cell r="A211">
            <v>2509</v>
          </cell>
          <cell r="B211" t="str">
            <v>ja</v>
          </cell>
          <cell r="C211" t="str">
            <v>赤ボムパネル(大)ドロップ</v>
          </cell>
          <cell r="D211" t="str">
            <v>自身が先頭の時、低確率で赤ボムパネル(大)をドロップ</v>
          </cell>
        </row>
        <row r="212">
          <cell r="A212">
            <v>2510</v>
          </cell>
          <cell r="B212" t="str">
            <v>ja</v>
          </cell>
          <cell r="C212" t="str">
            <v>青ボムパネル(大)ドロップ</v>
          </cell>
          <cell r="D212" t="str">
            <v>自身が先頭の時、低確率で青ボムパネル(大)をドロップ</v>
          </cell>
        </row>
        <row r="213">
          <cell r="A213">
            <v>2511</v>
          </cell>
          <cell r="B213" t="str">
            <v>ja</v>
          </cell>
          <cell r="C213" t="str">
            <v>緑ボムパネルドロップ</v>
          </cell>
          <cell r="D213" t="str">
            <v>自身が先頭の時、ハートパネルを確率で緑ボムパネルに変換しドロップ</v>
          </cell>
        </row>
        <row r="214">
          <cell r="A214">
            <v>2512</v>
          </cell>
          <cell r="B214" t="str">
            <v>ja</v>
          </cell>
          <cell r="C214" t="str">
            <v>ハートボムパネル(大)ドロップ</v>
          </cell>
          <cell r="D214" t="str">
            <v>自身が先頭の時、低確率でハートボムパネル(大)をドロップ</v>
          </cell>
        </row>
        <row r="215">
          <cell r="A215">
            <v>2513</v>
          </cell>
          <cell r="B215" t="str">
            <v>ja</v>
          </cell>
          <cell r="C215" t="str">
            <v>緑ボムパネル(大)ドロップ</v>
          </cell>
          <cell r="D215" t="str">
            <v>自身が先頭の時、低確率で緑ボムパネル(大)をドロップ</v>
          </cell>
        </row>
        <row r="216">
          <cell r="A216">
            <v>2600</v>
          </cell>
          <cell r="B216" t="str">
            <v>ja</v>
          </cell>
          <cell r="C216" t="str">
            <v>回復力400UP</v>
          </cell>
          <cell r="D216" t="str">
            <v>自身の回復力を400UP</v>
          </cell>
        </row>
        <row r="217">
          <cell r="A217">
            <v>2601</v>
          </cell>
          <cell r="B217" t="str">
            <v>ja</v>
          </cell>
          <cell r="C217" t="str">
            <v>回復力300UP</v>
          </cell>
          <cell r="D217" t="str">
            <v>自身の回復力を300UP</v>
          </cell>
        </row>
        <row r="218">
          <cell r="A218">
            <v>2700</v>
          </cell>
          <cell r="B218" t="str">
            <v>ja</v>
          </cell>
          <cell r="C218" t="str">
            <v>攻撃力UP</v>
          </cell>
          <cell r="D218" t="str">
            <v>自身の攻撃力を300UP</v>
          </cell>
        </row>
        <row r="219">
          <cell r="A219">
            <v>2701</v>
          </cell>
          <cell r="B219" t="str">
            <v>ja</v>
          </cell>
          <cell r="C219" t="str">
            <v>攻撃力UP</v>
          </cell>
          <cell r="D219" t="str">
            <v>自身の攻撃力を500UP</v>
          </cell>
        </row>
        <row r="220">
          <cell r="A220">
            <v>2800</v>
          </cell>
          <cell r="B220" t="str">
            <v>ja</v>
          </cell>
          <cell r="C220" t="str">
            <v>防御力UP</v>
          </cell>
          <cell r="D220" t="str">
            <v>自身の防御力を250UP</v>
          </cell>
        </row>
        <row r="221">
          <cell r="A221">
            <v>2801</v>
          </cell>
          <cell r="B221" t="str">
            <v>ja</v>
          </cell>
          <cell r="C221" t="str">
            <v>防御力UP</v>
          </cell>
          <cell r="D221" t="str">
            <v>自身の防御力を350UP</v>
          </cell>
        </row>
        <row r="222">
          <cell r="A222">
            <v>2802</v>
          </cell>
          <cell r="B222" t="str">
            <v>ja</v>
          </cell>
          <cell r="C222" t="str">
            <v>防御力UP</v>
          </cell>
          <cell r="D222" t="str">
            <v>自身の防御力を300UP</v>
          </cell>
        </row>
        <row r="223">
          <cell r="A223">
            <v>2803</v>
          </cell>
          <cell r="B223" t="str">
            <v>ja</v>
          </cell>
          <cell r="C223" t="str">
            <v>防御力UP</v>
          </cell>
          <cell r="D223" t="str">
            <v>自身の防御力を400UP</v>
          </cell>
        </row>
        <row r="224">
          <cell r="A224">
            <v>2804</v>
          </cell>
          <cell r="B224" t="str">
            <v>ja</v>
          </cell>
          <cell r="C224" t="str">
            <v>防御力UP</v>
          </cell>
          <cell r="D224" t="str">
            <v>自身の防御力を280UP</v>
          </cell>
        </row>
        <row r="225">
          <cell r="A225">
            <v>2900</v>
          </cell>
          <cell r="B225" t="str">
            <v>ja</v>
          </cell>
          <cell r="C225" t="str">
            <v>フィーバー50 攻撃力小UP</v>
          </cell>
          <cell r="D225" t="str">
            <v>フィーバーゲージが50％以上の時、自身の攻撃力小UP</v>
          </cell>
        </row>
        <row r="226">
          <cell r="A226">
            <v>2901</v>
          </cell>
          <cell r="B226" t="str">
            <v>ja</v>
          </cell>
          <cell r="C226" t="str">
            <v>フィーバー40 攻撃力UP</v>
          </cell>
          <cell r="D226" t="str">
            <v>フィーバーゲージが40％以上の時、自身の攻撃力UP</v>
          </cell>
        </row>
        <row r="227">
          <cell r="A227">
            <v>2902</v>
          </cell>
          <cell r="B227" t="str">
            <v>ja</v>
          </cell>
          <cell r="C227" t="str">
            <v>フィーバー80 攻撃力大UP</v>
          </cell>
          <cell r="D227" t="str">
            <v>フィーバーゲージが80％以上の時、自身の攻撃力大UP</v>
          </cell>
        </row>
        <row r="228">
          <cell r="A228">
            <v>2903</v>
          </cell>
          <cell r="B228" t="str">
            <v>ja</v>
          </cell>
          <cell r="C228" t="str">
            <v>フィーバー100 攻撃参加</v>
          </cell>
          <cell r="D228" t="str">
            <v>フィーバーゲージが100％の時、自身が先頭以外でも通常攻撃に参加する</v>
          </cell>
        </row>
        <row r="229">
          <cell r="A229">
            <v>3000</v>
          </cell>
          <cell r="B229" t="str">
            <v>ja</v>
          </cell>
          <cell r="C229" t="str">
            <v>攻撃参加</v>
          </cell>
          <cell r="D229" t="str">
            <v>最初の1ターン目と、その後7ターン毎に自身が先頭以外でも通常攻撃に参加する</v>
          </cell>
        </row>
        <row r="230">
          <cell r="A230">
            <v>3001</v>
          </cell>
          <cell r="B230" t="str">
            <v>ja</v>
          </cell>
          <cell r="C230" t="str">
            <v>攻撃参加</v>
          </cell>
          <cell r="D230" t="str">
            <v>最初の1ターン目と、その後6ターン毎に自身が先頭以外でも通常攻撃に参加する</v>
          </cell>
        </row>
        <row r="231">
          <cell r="A231">
            <v>3002</v>
          </cell>
          <cell r="B231" t="str">
            <v>ja</v>
          </cell>
          <cell r="C231" t="str">
            <v>攻撃参加</v>
          </cell>
          <cell r="D231" t="str">
            <v>最初の1ターン目と、その後9ターン毎に自身が先頭以外でも通常攻撃に参加する</v>
          </cell>
        </row>
        <row r="232">
          <cell r="A232">
            <v>3100</v>
          </cell>
          <cell r="B232" t="str">
            <v>ja</v>
          </cell>
          <cell r="C232" t="str">
            <v>ボスフロア Cパネル生成短縮(特大)</v>
          </cell>
          <cell r="D232" t="str">
            <v>ボスフロア内で自身が先頭の時、Cパネル生成に必要なチェイン数を短縮する</v>
          </cell>
        </row>
        <row r="233">
          <cell r="A233">
            <v>3101</v>
          </cell>
          <cell r="B233" t="str">
            <v>ja</v>
          </cell>
          <cell r="C233" t="str">
            <v>ボスフロア時 バリア3000</v>
          </cell>
          <cell r="D233" t="str">
            <v>ボスフロア到達時に自身への直接ダメージを3000まで防ぐバリアを一度だけ展開(バリアは破壊されると復活しない)</v>
          </cell>
        </row>
        <row r="234">
          <cell r="A234">
            <v>3102</v>
          </cell>
          <cell r="B234" t="str">
            <v>ja</v>
          </cell>
          <cell r="C234" t="str">
            <v>ボスフロア時 Cスキル威力UP</v>
          </cell>
          <cell r="D234" t="str">
            <v>ボスフロアの1ターン目終了時に自身のCスキルの威力をUP</v>
          </cell>
        </row>
        <row r="235">
          <cell r="A235">
            <v>3103</v>
          </cell>
          <cell r="B235" t="str">
            <v>ja</v>
          </cell>
          <cell r="C235" t="str">
            <v>ボスフロア 攻撃力UP</v>
          </cell>
          <cell r="D235" t="str">
            <v>ボスフロア内で自身の攻撃力を700UP</v>
          </cell>
        </row>
        <row r="236">
          <cell r="A236">
            <v>3200</v>
          </cell>
          <cell r="B236" t="str">
            <v>ja</v>
          </cell>
          <cell r="C236" t="str">
            <v>HP33%以下 攻撃力UP</v>
          </cell>
          <cell r="D236" t="str">
            <v>自身が先頭の時、残りHPが33%以下で攻撃力特大UP</v>
          </cell>
        </row>
        <row r="237">
          <cell r="A237">
            <v>3201</v>
          </cell>
          <cell r="B237" t="str">
            <v>ja</v>
          </cell>
          <cell r="C237" t="str">
            <v>HP35%以下 回復力UP</v>
          </cell>
          <cell r="D237" t="str">
            <v>自身が先頭の時、残りHPが35%以下で回復力40%UP</v>
          </cell>
        </row>
        <row r="238">
          <cell r="A238">
            <v>3202</v>
          </cell>
          <cell r="B238" t="str">
            <v>ja</v>
          </cell>
          <cell r="C238" t="str">
            <v>HP90%以上 全属性耐性15</v>
          </cell>
          <cell r="D238" t="str">
            <v>自身が先頭の時、残りHPが90%以上で全ユニットに対する全属性の敵からの攻撃を15％軽減</v>
          </cell>
        </row>
        <row r="239">
          <cell r="A239">
            <v>3203</v>
          </cell>
          <cell r="B239" t="str">
            <v>ja</v>
          </cell>
          <cell r="C239" t="str">
            <v>HP50%以下 防御力UP</v>
          </cell>
          <cell r="D239" t="str">
            <v>自身が先頭の時、残りHPが50%以下で防御力398UP</v>
          </cell>
        </row>
        <row r="240">
          <cell r="A240">
            <v>3204</v>
          </cell>
          <cell r="B240" t="str">
            <v>ja</v>
          </cell>
          <cell r="C240" t="str">
            <v>HP30%以下 攻撃力大UP</v>
          </cell>
          <cell r="D240" t="str">
            <v>自身が先頭の時、残りHPが30%以下で攻撃力大UP</v>
          </cell>
        </row>
        <row r="241">
          <cell r="A241">
            <v>3205</v>
          </cell>
          <cell r="B241" t="str">
            <v>ja</v>
          </cell>
          <cell r="C241" t="str">
            <v>HP90%以上 ダメージ軽減</v>
          </cell>
          <cell r="D241" t="str">
            <v>残りHPが90%以上の時、全ユニットが敵からの攻撃を15％軽減</v>
          </cell>
        </row>
        <row r="242">
          <cell r="A242">
            <v>4000</v>
          </cell>
          <cell r="B242" t="str">
            <v>ja</v>
          </cell>
          <cell r="C242" t="str">
            <v>被ダメージ時 HP回復</v>
          </cell>
          <cell r="D242" t="str">
            <v>自身が攻撃を受けた場合、次のターンの開始時にHP500回復する</v>
          </cell>
        </row>
        <row r="243">
          <cell r="A243">
            <v>8000</v>
          </cell>
          <cell r="B243" t="str">
            <v>ja</v>
          </cell>
          <cell r="C243" t="str">
            <v>ユニットが一番右にいるとき 攻撃力UP</v>
          </cell>
          <cell r="D243" t="str">
            <v>自身が一番右にいる場合、全ユニットの攻撃力UP</v>
          </cell>
        </row>
        <row r="244">
          <cell r="A244">
            <v>8001</v>
          </cell>
          <cell r="B244" t="str">
            <v>ja</v>
          </cell>
          <cell r="C244" t="str">
            <v>敵に青属性がいる場合 小カウンター</v>
          </cell>
          <cell r="D244" t="str">
            <v>敵に青属性がいる場合、小カウンター</v>
          </cell>
        </row>
        <row r="245">
          <cell r="A245">
            <v>8002</v>
          </cell>
          <cell r="B245" t="str">
            <v>ja</v>
          </cell>
          <cell r="C245" t="str">
            <v>テスト</v>
          </cell>
          <cell r="D245" t="str">
            <v>フロアスタート時、1ターン全ユニットの攻撃力UP</v>
          </cell>
        </row>
        <row r="246">
          <cell r="A246">
            <v>8003</v>
          </cell>
          <cell r="B246" t="str">
            <v>ja</v>
          </cell>
          <cell r="C246" t="str">
            <v>HP70%以上 ウィルス無効</v>
          </cell>
          <cell r="D246" t="str">
            <v>残りHPが70%以上で自身にかかるウィルスを無効化する</v>
          </cell>
        </row>
        <row r="247">
          <cell r="A247">
            <v>9000</v>
          </cell>
          <cell r="B247" t="str">
            <v>ja</v>
          </cell>
          <cell r="C247" t="str">
            <v>ハップルチャレンジ ダメージUP</v>
          </cell>
          <cell r="D247" t="str">
            <v>ハップルチャレンジ内で自身の全ての攻撃の威力をUP</v>
          </cell>
        </row>
        <row r="248">
          <cell r="A248">
            <v>9001</v>
          </cell>
          <cell r="B248" t="str">
            <v>ja</v>
          </cell>
          <cell r="C248" t="str">
            <v>クロネッカーチャレンジ ダメージUP</v>
          </cell>
          <cell r="D248" t="str">
            <v>クロネッカーチャレンジ内で自身の全ての攻撃の威力をUP</v>
          </cell>
        </row>
        <row r="249">
          <cell r="A249">
            <v>9002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クロネッカーチャレンジ内で自身の全ての攻撃+カウンターの威力をUP</v>
          </cell>
        </row>
        <row r="250">
          <cell r="A250">
            <v>9003</v>
          </cell>
          <cell r="B250" t="str">
            <v>ja</v>
          </cell>
          <cell r="C250" t="str">
            <v>オイラーチャレンジ ダメージUP</v>
          </cell>
          <cell r="D250" t="str">
            <v>オイラーチャレンジ内で自身の全ての攻撃の威力をUP</v>
          </cell>
        </row>
        <row r="251">
          <cell r="A251">
            <v>9004</v>
          </cell>
          <cell r="B251" t="str">
            <v>ja</v>
          </cell>
          <cell r="C251" t="str">
            <v>オイラーチャレンジ ダメージ究極UP</v>
          </cell>
          <cell r="D251" t="str">
            <v>オイラーチャレンジ内で自身の全ての攻撃の威力を究極UP</v>
          </cell>
        </row>
        <row r="252">
          <cell r="A252">
            <v>119402</v>
          </cell>
          <cell r="B252" t="str">
            <v>ja</v>
          </cell>
          <cell r="C252" t="str">
            <v>ハロウィンナイトパニック！ 威力UP</v>
          </cell>
          <cell r="D252" t="str">
            <v>ハロウィンナイトパニック！内で自身の全ての攻撃の威力を究極UP</v>
          </cell>
        </row>
        <row r="253">
          <cell r="A253">
            <v>500801</v>
          </cell>
          <cell r="B253" t="str">
            <v>ja</v>
          </cell>
          <cell r="C253" t="str">
            <v>パネルブレイク35 攻撃力小UP</v>
          </cell>
          <cell r="D253" t="str">
            <v>自身が先頭の時、1ターンの間に合計35個以上パネルを破壊した場合に攻撃力小UP</v>
          </cell>
        </row>
        <row r="254">
          <cell r="A254">
            <v>808082</v>
          </cell>
          <cell r="B254" t="str">
            <v>ja</v>
          </cell>
          <cell r="C254" t="str">
            <v>Cパネルドロップ</v>
          </cell>
          <cell r="D254" t="str">
            <v>自身が先頭の時、低確率でCパネルをドロップ</v>
          </cell>
        </row>
        <row r="255">
          <cell r="A255">
            <v>900000</v>
          </cell>
          <cell r="B255" t="str">
            <v>ja</v>
          </cell>
          <cell r="C255" t="str">
            <v>フィーバー100 プロテクトブレイク</v>
          </cell>
          <cell r="D255" t="str">
            <v>フィーバーゲージが100％以上の時、1ターンプロテクトブレイク</v>
          </cell>
        </row>
        <row r="256">
          <cell r="A256">
            <v>900001</v>
          </cell>
          <cell r="B256" t="str">
            <v>ja</v>
          </cell>
          <cell r="C256" t="str">
            <v>フィーバー100 お邪魔ブレイク</v>
          </cell>
          <cell r="D256" t="str">
            <v>フィーバーゲージが100％以上の時、1ターンお邪魔ブレイク</v>
          </cell>
        </row>
        <row r="257">
          <cell r="A257">
            <v>900402</v>
          </cell>
          <cell r="B257" t="str">
            <v>ja</v>
          </cell>
          <cell r="C257" t="str">
            <v>バリア3500</v>
          </cell>
          <cell r="D257" t="str">
            <v>戦闘開始時に、自身への直接ダメージを3500まで防ぐバリアを一度だけ展開(バリアは破壊されると復活しない)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最終フロアのターン終了時にパーティの合計HPの60％を回復する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3200</v>
          </cell>
          <cell r="B267" t="str">
            <v>ja</v>
          </cell>
          <cell r="C267" t="str">
            <v>HP33%以下 攻撃力UP</v>
          </cell>
          <cell r="D267" t="str">
            <v>自身が先頭の時、残りHPが33%以下で攻撃力特大UP</v>
          </cell>
        </row>
        <row r="268">
          <cell r="A268">
            <v>3201</v>
          </cell>
          <cell r="B268" t="str">
            <v>ja</v>
          </cell>
          <cell r="C268" t="str">
            <v>HP35%以下 回復力UP</v>
          </cell>
          <cell r="D268" t="str">
            <v>自身が先頭の時、残りHPが35%以下で回復力40%UP</v>
          </cell>
        </row>
        <row r="269">
          <cell r="A269">
            <v>3202</v>
          </cell>
          <cell r="B269" t="str">
            <v>ja</v>
          </cell>
          <cell r="C269" t="str">
            <v>HP90%以上 全属性耐性15</v>
          </cell>
          <cell r="D269" t="str">
            <v>自身が先頭の時、残りHPが90%以上で全ユニットに対する全属性の敵からの攻撃を15％軽減</v>
          </cell>
        </row>
        <row r="270">
          <cell r="A270">
            <v>3203</v>
          </cell>
          <cell r="B270" t="str">
            <v>ja</v>
          </cell>
          <cell r="C270" t="str">
            <v>HP50%以下 防御力UP</v>
          </cell>
          <cell r="D270" t="str">
            <v>自身が先頭の時、残りHPが50%以下で防御力398UP</v>
          </cell>
        </row>
        <row r="271">
          <cell r="A271">
            <v>3204</v>
          </cell>
          <cell r="B271" t="str">
            <v>ja</v>
          </cell>
          <cell r="C271" t="str">
            <v>HP30%以下 攻撃力大UP</v>
          </cell>
          <cell r="D271" t="str">
            <v>自身が先頭の時、残りHPが30%以下で攻撃力大UP</v>
          </cell>
        </row>
        <row r="272">
          <cell r="A272">
            <v>3205</v>
          </cell>
          <cell r="B272" t="str">
            <v>ja</v>
          </cell>
          <cell r="C272" t="str">
            <v>HP90%以上 ダメージ軽減</v>
          </cell>
          <cell r="D272" t="str">
            <v>残りHPが90%以上の時、全ユニットが敵からの攻撃を15％軽減</v>
          </cell>
        </row>
        <row r="273">
          <cell r="A273">
            <v>3206</v>
          </cell>
          <cell r="B273" t="str">
            <v>ja</v>
          </cell>
          <cell r="C273" t="str">
            <v>HP30%以下 回復力UP</v>
          </cell>
          <cell r="D273" t="str">
            <v>残りHPが30%以下の時、全ユニットの回復力20%UP</v>
          </cell>
        </row>
        <row r="274">
          <cell r="A274">
            <v>3207</v>
          </cell>
          <cell r="B274" t="str">
            <v>ja</v>
          </cell>
          <cell r="C274" t="str">
            <v>HP50%以下 回復力UP</v>
          </cell>
          <cell r="D274" t="str">
            <v>残りHPが50%以下の時、全ユニットの回復力365UP</v>
          </cell>
        </row>
        <row r="275">
          <cell r="A275">
            <v>3208</v>
          </cell>
          <cell r="B275" t="str">
            <v>ja</v>
          </cell>
          <cell r="C275" t="str">
            <v>HP35%以下 防御力UP</v>
          </cell>
          <cell r="D275" t="str">
            <v>残りHPが35%以下の時、自身の防御力800UP</v>
          </cell>
        </row>
        <row r="276">
          <cell r="A276">
            <v>4000</v>
          </cell>
          <cell r="B276" t="str">
            <v>ja</v>
          </cell>
          <cell r="C276" t="str">
            <v>被ダメージ時 HP回復</v>
          </cell>
          <cell r="D276" t="str">
            <v>自身が攻撃を受けた場合、次のターンの開始時にHP500回復する</v>
          </cell>
        </row>
        <row r="277">
          <cell r="A277">
            <v>5000</v>
          </cell>
          <cell r="B277" t="str">
            <v>ja</v>
          </cell>
          <cell r="C277" t="str">
            <v>パーティー内ゴッド 攻撃力UP</v>
          </cell>
          <cell r="D277" t="str">
            <v>パーティー内に種族ゴッドがいる時、全ユニットの攻撃力を500UP</v>
          </cell>
        </row>
        <row r="278">
          <cell r="A278">
            <v>5001</v>
          </cell>
          <cell r="B278" t="str">
            <v>ja</v>
          </cell>
          <cell r="C278" t="str">
            <v>パーティー内バランス 回復力UP</v>
          </cell>
          <cell r="D278" t="str">
            <v>パーティー内にバランスタイプがいる時、全ユニットの回復力を500UP</v>
          </cell>
        </row>
        <row r="279">
          <cell r="A279">
            <v>5002</v>
          </cell>
          <cell r="B279" t="str">
            <v>ja</v>
          </cell>
          <cell r="C279" t="str">
            <v>パーティー内青属性 攻撃力UP</v>
          </cell>
          <cell r="D279" t="str">
            <v>パーティー内に青属性ユニットがいる時、全ユニットの攻撃力を700UP</v>
          </cell>
        </row>
        <row r="280">
          <cell r="A280">
            <v>5003</v>
          </cell>
          <cell r="B280" t="str">
            <v>ja</v>
          </cell>
          <cell r="C280" t="str">
            <v>パーティー内赤属性 自身攻撃力UP</v>
          </cell>
          <cell r="D280" t="str">
            <v>パーティー内に赤属性ユニットがいる時、自身の攻撃力を1500UP</v>
          </cell>
        </row>
        <row r="281">
          <cell r="A281">
            <v>8000</v>
          </cell>
          <cell r="B281" t="str">
            <v>ja</v>
          </cell>
          <cell r="C281" t="str">
            <v>ユニットが一番右にいるとき 攻撃力UP</v>
          </cell>
          <cell r="D281" t="str">
            <v>自身が一番右にいる場合、全ユニットの攻撃力UP</v>
          </cell>
        </row>
        <row r="282">
          <cell r="A282">
            <v>8001</v>
          </cell>
          <cell r="B282" t="str">
            <v>ja</v>
          </cell>
          <cell r="C282" t="str">
            <v>敵に青属性がいる場合 小カウンター</v>
          </cell>
          <cell r="D282" t="str">
            <v>敵に青属性がいる場合、小カウンター</v>
          </cell>
        </row>
        <row r="283">
          <cell r="A283">
            <v>8002</v>
          </cell>
          <cell r="B283" t="str">
            <v>ja</v>
          </cell>
          <cell r="C283" t="str">
            <v>テスト</v>
          </cell>
          <cell r="D283" t="str">
            <v>フロアスタート時、1ターン全ユニットの攻撃力UP</v>
          </cell>
        </row>
        <row r="284">
          <cell r="A284">
            <v>8003</v>
          </cell>
          <cell r="B284" t="str">
            <v>ja</v>
          </cell>
          <cell r="C284" t="str">
            <v>HP70%以上 ウィルス無効</v>
          </cell>
          <cell r="D284" t="str">
            <v>残りHPが70%以上で自身にかかるウィルスを無効化する</v>
          </cell>
        </row>
        <row r="285">
          <cell r="A285">
            <v>8004</v>
          </cell>
          <cell r="B285" t="str">
            <v>ja</v>
          </cell>
          <cell r="C285" t="str">
            <v>フロアスタート時 スキルブースト</v>
          </cell>
          <cell r="D285" t="str">
            <v>フロアスタート時、1ターンスキルブースト</v>
          </cell>
        </row>
        <row r="286">
          <cell r="A286">
            <v>8005</v>
          </cell>
          <cell r="B286" t="str">
            <v>ja</v>
          </cell>
          <cell r="C286" t="str">
            <v>ハートがハートボム大</v>
          </cell>
          <cell r="D286" t="str">
            <v>ハートがハートボム大</v>
          </cell>
        </row>
        <row r="287">
          <cell r="A287">
            <v>8006</v>
          </cell>
          <cell r="B287" t="str">
            <v>ja</v>
          </cell>
          <cell r="C287" t="str">
            <v>攻撃、回復、体力のCP短縮1</v>
          </cell>
          <cell r="D287" t="str">
            <v>攻撃、回復、体力のCP短縮1</v>
          </cell>
        </row>
        <row r="288">
          <cell r="A288">
            <v>8007</v>
          </cell>
          <cell r="B288" t="str">
            <v>ja</v>
          </cell>
          <cell r="C288" t="str">
            <v>自身の左ユニットが攻撃参加</v>
          </cell>
          <cell r="D288" t="str">
            <v>自身の左ユニットが攻撃参加</v>
          </cell>
        </row>
        <row r="289">
          <cell r="A289">
            <v>8008</v>
          </cell>
          <cell r="B289" t="str">
            <v>ja</v>
          </cell>
          <cell r="C289" t="str">
            <v>ターン経過回復力UP</v>
          </cell>
          <cell r="D289" t="str">
            <v>最初の1ターン目と、その後4ターン毎に2ターン全ユニットの回復力を1500UP</v>
          </cell>
        </row>
        <row r="290">
          <cell r="A290">
            <v>8009</v>
          </cell>
          <cell r="B290" t="str">
            <v>ja</v>
          </cell>
          <cell r="C290" t="str">
            <v>最終フロア Cパネル生成短縮(特大)</v>
          </cell>
          <cell r="D290" t="str">
            <v>最終フロア内で自身が先頭の時、Cパネル生成に必要なチェイン数を4短縮する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L25" sqref="L25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324</v>
      </c>
      <c r="B2" s="109" t="s">
        <v>129</v>
      </c>
      <c r="C2" s="167" t="s">
        <v>323</v>
      </c>
      <c r="D2" s="109" t="s">
        <v>128</v>
      </c>
      <c r="E2" s="108" t="str">
        <f>B2&amp;C2&amp;D2</f>
        <v>units_artist01.tmp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490</v>
      </c>
      <c r="S2" s="109"/>
      <c r="T2" s="109"/>
      <c r="U2" s="109"/>
      <c r="V2" s="109"/>
      <c r="W2" s="109"/>
    </row>
    <row r="3" spans="1:29" x14ac:dyDescent="0.15">
      <c r="A3" s="109" t="s">
        <v>324</v>
      </c>
      <c r="B3" s="109" t="s">
        <v>294</v>
      </c>
      <c r="C3" s="167" t="s">
        <v>323</v>
      </c>
      <c r="D3" s="109" t="s">
        <v>128</v>
      </c>
      <c r="E3" s="108" t="str">
        <f>B3&amp;C3&amp;D3</f>
        <v>fork_awake_units_artist01.tmp</v>
      </c>
      <c r="F3" s="109" t="s">
        <v>295</v>
      </c>
      <c r="G3" s="63" t="s">
        <v>17</v>
      </c>
      <c r="H3" s="64" t="s">
        <v>296</v>
      </c>
      <c r="I3" s="64" t="s">
        <v>297</v>
      </c>
      <c r="J3" s="64" t="s">
        <v>298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324</v>
      </c>
      <c r="B4" s="109" t="s">
        <v>130</v>
      </c>
      <c r="C4" s="167" t="s">
        <v>323</v>
      </c>
      <c r="D4" s="109" t="s">
        <v>128</v>
      </c>
      <c r="E4" s="108" t="str">
        <f>B4&amp;C4&amp;D4</f>
        <v>awake_materials_artist01.tmp</v>
      </c>
      <c r="F4" s="109" t="s">
        <v>123</v>
      </c>
      <c r="G4" s="110" t="s">
        <v>38</v>
      </c>
      <c r="H4" s="111" t="s">
        <v>36</v>
      </c>
      <c r="I4" s="111" t="s">
        <v>37</v>
      </c>
      <c r="J4" s="113" t="s">
        <v>126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324</v>
      </c>
      <c r="B5" s="109" t="s">
        <v>293</v>
      </c>
      <c r="C5" s="167" t="s">
        <v>323</v>
      </c>
      <c r="D5" s="109" t="s">
        <v>128</v>
      </c>
      <c r="E5" s="108" t="str">
        <f>B5&amp;C5&amp;D5</f>
        <v>fork_awake_materials_artist01.tmp</v>
      </c>
      <c r="F5" s="109" t="s">
        <v>123</v>
      </c>
      <c r="G5" s="188" t="s">
        <v>299</v>
      </c>
      <c r="H5" s="188" t="s">
        <v>300</v>
      </c>
      <c r="I5" s="188" t="s">
        <v>36</v>
      </c>
      <c r="J5" s="188" t="s">
        <v>37</v>
      </c>
      <c r="K5" s="188" t="s">
        <v>301</v>
      </c>
      <c r="L5" s="188" t="s">
        <v>302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324</v>
      </c>
      <c r="B6" s="109" t="s">
        <v>131</v>
      </c>
      <c r="C6" s="167" t="s">
        <v>323</v>
      </c>
      <c r="D6" s="109" t="s">
        <v>132</v>
      </c>
      <c r="E6" s="108" t="str">
        <f t="shared" ref="E6" si="0">B6&amp;C6&amp;D6</f>
        <v>unit_levels_calc_artist01.tmp</v>
      </c>
      <c r="F6" s="109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9" t="s">
        <v>324</v>
      </c>
      <c r="B7" s="109" t="s">
        <v>143</v>
      </c>
      <c r="C7" s="167" t="s">
        <v>323</v>
      </c>
      <c r="D7" s="109" t="s">
        <v>144</v>
      </c>
      <c r="E7" s="108" t="str">
        <f>B7&amp;C7&amp;D7</f>
        <v>unit_skills_data_artist01.tmp</v>
      </c>
      <c r="F7" s="109" t="s">
        <v>145</v>
      </c>
      <c r="G7" s="117" t="s">
        <v>20</v>
      </c>
      <c r="H7" s="117" t="s">
        <v>146</v>
      </c>
      <c r="I7" s="117" t="s">
        <v>2</v>
      </c>
      <c r="J7" s="117" t="s">
        <v>147</v>
      </c>
      <c r="K7" s="117" t="s">
        <v>148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324</v>
      </c>
      <c r="B8" s="109" t="s">
        <v>149</v>
      </c>
      <c r="C8" s="167" t="s">
        <v>323</v>
      </c>
      <c r="D8" s="109" t="s">
        <v>128</v>
      </c>
      <c r="E8" s="108" t="str">
        <f>B8&amp;C8&amp;D8</f>
        <v>unit_skills_i18n_artist01.tmp</v>
      </c>
      <c r="F8" s="109" t="s">
        <v>145</v>
      </c>
      <c r="G8" s="117" t="s">
        <v>150</v>
      </c>
      <c r="H8" s="117" t="s">
        <v>134</v>
      </c>
      <c r="I8" s="117" t="s">
        <v>151</v>
      </c>
      <c r="J8" s="117" t="s">
        <v>152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324</v>
      </c>
      <c r="B9" s="109" t="s">
        <v>153</v>
      </c>
      <c r="C9" s="167" t="s">
        <v>323</v>
      </c>
      <c r="D9" s="109" t="s">
        <v>154</v>
      </c>
      <c r="E9" s="108" t="str">
        <f>B9&amp;C9&amp;D9</f>
        <v>crash_skills_data_artist01.tmp</v>
      </c>
      <c r="F9" s="109" t="s">
        <v>155</v>
      </c>
      <c r="G9" s="117" t="s">
        <v>156</v>
      </c>
      <c r="H9" s="117" t="s">
        <v>148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324</v>
      </c>
      <c r="B10" s="109" t="s">
        <v>157</v>
      </c>
      <c r="C10" s="167" t="s">
        <v>323</v>
      </c>
      <c r="D10" s="109" t="s">
        <v>158</v>
      </c>
      <c r="E10" s="108" t="str">
        <f t="shared" ref="E10" si="1">B10&amp;C10&amp;D10</f>
        <v>crash_skills_i18n_artist01.tmp</v>
      </c>
      <c r="F10" s="109" t="s">
        <v>155</v>
      </c>
      <c r="G10" s="117" t="s">
        <v>159</v>
      </c>
      <c r="H10" s="117" t="s">
        <v>160</v>
      </c>
      <c r="I10" s="117" t="s">
        <v>161</v>
      </c>
      <c r="J10" s="117" t="s">
        <v>162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324</v>
      </c>
      <c r="B11" s="112" t="s">
        <v>135</v>
      </c>
      <c r="C11" s="167" t="s">
        <v>323</v>
      </c>
      <c r="D11" s="109" t="s">
        <v>158</v>
      </c>
      <c r="E11" s="108" t="str">
        <f t="shared" ref="E11:E12" si="2">B11&amp;C11&amp;D11</f>
        <v>unit_serifs_data_artist01.tmp</v>
      </c>
      <c r="F11" s="112" t="s">
        <v>137</v>
      </c>
      <c r="G11" s="116" t="s">
        <v>138</v>
      </c>
      <c r="H11" s="117" t="s">
        <v>139</v>
      </c>
      <c r="I11" s="117" t="s">
        <v>133</v>
      </c>
      <c r="J11" s="115" t="s">
        <v>189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324</v>
      </c>
      <c r="B12" s="112" t="s">
        <v>136</v>
      </c>
      <c r="C12" s="167" t="s">
        <v>323</v>
      </c>
      <c r="D12" s="109" t="s">
        <v>158</v>
      </c>
      <c r="E12" s="108" t="str">
        <f t="shared" si="2"/>
        <v>unit_serifs_i18n_artist01.tmp</v>
      </c>
      <c r="F12" s="112" t="s">
        <v>137</v>
      </c>
      <c r="G12" s="116" t="s">
        <v>140</v>
      </c>
      <c r="H12" s="117" t="s">
        <v>141</v>
      </c>
      <c r="I12" s="117" t="s">
        <v>142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325</v>
      </c>
      <c r="B13" s="109" t="s">
        <v>252</v>
      </c>
      <c r="C13" s="167" t="s">
        <v>323</v>
      </c>
      <c r="D13" s="109" t="s">
        <v>253</v>
      </c>
      <c r="E13" s="108" t="str">
        <f>B13&amp;C13&amp;D13</f>
        <v>abilities_artist01.tmp</v>
      </c>
      <c r="F13" s="109" t="s">
        <v>254</v>
      </c>
      <c r="G13" s="168" t="s">
        <v>255</v>
      </c>
      <c r="H13" s="168" t="s">
        <v>256</v>
      </c>
      <c r="I13" s="168" t="s">
        <v>257</v>
      </c>
      <c r="J13" s="168"/>
      <c r="K13" s="16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325</v>
      </c>
      <c r="B14" s="109" t="s">
        <v>258</v>
      </c>
      <c r="C14" s="167" t="s">
        <v>323</v>
      </c>
      <c r="D14" s="109" t="s">
        <v>128</v>
      </c>
      <c r="E14" s="108" t="str">
        <f>B14&amp;C14&amp;D14</f>
        <v>abilities_i18n_artist01.tmp</v>
      </c>
      <c r="F14" s="109" t="s">
        <v>259</v>
      </c>
      <c r="G14" s="168" t="s">
        <v>255</v>
      </c>
      <c r="H14" s="168" t="s">
        <v>141</v>
      </c>
      <c r="I14" s="168" t="s">
        <v>260</v>
      </c>
      <c r="J14" s="168" t="s">
        <v>152</v>
      </c>
      <c r="K14" s="169" t="s">
        <v>497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325</v>
      </c>
      <c r="B15" s="109" t="s">
        <v>261</v>
      </c>
      <c r="C15" s="167" t="s">
        <v>323</v>
      </c>
      <c r="D15" s="109" t="s">
        <v>128</v>
      </c>
      <c r="E15" s="108" t="str">
        <f>B15&amp;C15&amp;D15</f>
        <v>unit_abilities_artist01.tmp</v>
      </c>
      <c r="F15" s="109" t="s">
        <v>262</v>
      </c>
      <c r="G15" s="168" t="s">
        <v>138</v>
      </c>
      <c r="H15" s="170" t="s">
        <v>263</v>
      </c>
      <c r="I15" s="170" t="s">
        <v>264</v>
      </c>
      <c r="J15" s="171" t="s">
        <v>265</v>
      </c>
      <c r="K15" s="168" t="s">
        <v>266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5"/>
  <sheetViews>
    <sheetView showGridLines="0" zoomScale="90" zoomScaleNormal="90" zoomScalePageLayoutView="90" workbookViewId="0">
      <pane xSplit="9" ySplit="1" topLeftCell="AV2" activePane="bottomRight" state="frozen"/>
      <selection pane="topRight" activeCell="J1" sqref="J1"/>
      <selection pane="bottomLeft" activeCell="A3" sqref="A3"/>
      <selection pane="bottomRight" activeCell="G18" sqref="G18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2" t="s">
        <v>489</v>
      </c>
    </row>
    <row r="2" spans="1:70" ht="26" customHeight="1" x14ac:dyDescent="0.15">
      <c r="A2" s="191">
        <v>1094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メルクシャ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INDEX(コスト!$A$1:$I$21,MATCH(H2,コスト!$A$1:$A$21,FALSE),MATCH(G2,コスト!$A$1:$I$1,FALSE))</f>
        <v>17</v>
      </c>
      <c r="O2" s="11">
        <f ca="1">INDEX(レベル!$A$1:$I$22,MATCH(H2,レベル!$A$1:$A$22,FALSE),MATCH(G2,レベル!$A$1:$I$1,FALSE))</f>
        <v>60</v>
      </c>
      <c r="P2" s="48">
        <f t="shared" ref="P2:P15" ca="1" si="0">IF(G2 &gt;= 6, 99,G2*15)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1">
        <f ca="1">VLOOKUP(Q2,[1]character_type_i18n!$A:$H,4,FALSE)</f>
        <v>0.9</v>
      </c>
      <c r="T2" s="11">
        <f ca="1">VLOOKUP(Q2,[1]character_type_i18n!$A:$H,5,FALSE)</f>
        <v>0.9</v>
      </c>
      <c r="U2" s="11">
        <f ca="1">VLOOKUP(Q2,[1]character_type_i18n!$A:$H,6,FALSE)</f>
        <v>1</v>
      </c>
      <c r="V2" s="11">
        <f ca="1">VLOOKUP(Q2,[1]character_type_i18n!$A:$H,7,FALSE)</f>
        <v>0.9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animal</v>
      </c>
      <c r="X2" s="5" t="str">
        <f ca="1">VLOOKUP(W2,[1]character_tribe_i18n!$A:$H,3,FALSE)</f>
        <v>アニマル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1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0.9</v>
      </c>
      <c r="AE2" s="9">
        <f>A3</f>
        <v>1095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誓愛の絵花 メルクシャ</v>
      </c>
      <c r="AG2" s="5">
        <f t="shared" ref="AG2:AG14" ca="1" si="1">IF(ISNA(MATCH(A2,AE:AE,0)),A2,INDIRECT(ADDRESS(MATCH(A2,AE:AE,0),COLUMN())))</f>
        <v>1094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メルクシャ</v>
      </c>
      <c r="AI2" s="11">
        <f ca="1">IF(AE2="NULL","NULL",VLOOKUP(G2,ビット!$A$2:$B$7,2))</f>
        <v>50000</v>
      </c>
      <c r="AJ2" s="6">
        <v>2</v>
      </c>
      <c r="AK2" s="7" t="str">
        <f t="shared" ref="AK2" si="2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3400</v>
      </c>
      <c r="AN2" s="17">
        <f ca="1">VLOOKUP(G2,ビット!$G$2:$H$7,2)</f>
        <v>600</v>
      </c>
      <c r="AO2" s="45"/>
      <c r="AP2" s="67">
        <f>A2</f>
        <v>1094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病める時も健やかなる時も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暗闇解除+3ターン種族アニマルの攻撃力と回復力を大UP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1094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ホワット・イズ・ラブ？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1.1000000000000001</v>
      </c>
      <c r="AZ2" s="68">
        <v>1.2</v>
      </c>
      <c r="BA2" s="68">
        <v>0</v>
      </c>
      <c r="BB2" s="68">
        <v>1.1000000000000001</v>
      </c>
      <c r="BC2" s="11">
        <f ca="1">INDEX('RC6SV'!$A$1:$G$21,MATCH(H2,'RC6SV'!$A$1:$A$21,FALSE),MATCH(G2,'RC6SV'!$A$1:$G$1,FALSE))</f>
        <v>5800</v>
      </c>
      <c r="BD2" s="48">
        <f t="shared" ref="BD2" ca="1" si="3">ROUND(BC2*IF(AJ2=1,0.95,IF(AJ2=2,1,IF(AJ2,1.05,0))),0)</f>
        <v>5800</v>
      </c>
      <c r="BE2" s="11">
        <f t="shared" ref="BE2:BE15" ca="1" si="4">ROUND(IFERROR(INDIRECT(ADDRESS(MATCH($A2,$AE:$AE,0),MATCH($BC$1,$1:$1,0))),0),0)</f>
        <v>0</v>
      </c>
      <c r="BF2" s="11">
        <f t="shared" ref="BF2:BF15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1436</v>
      </c>
      <c r="BH2" s="16">
        <f ca="1">IF($BE2&lt;=0,ROUND(BL2*0.5,0), ROUND($BE2*T2*AB2*K2*AZ2*0.8*[1]ステータス!$C$2,0))</f>
        <v>1013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659</v>
      </c>
      <c r="BK2" s="11">
        <f ca="1">ROUND(BD2*S2*AA2*J2*AY2*[1]ステータス!$B$2,0)</f>
        <v>2871</v>
      </c>
      <c r="BL2" s="11">
        <f ca="1">ROUND(BD2*T2*AB2*K2*AZ2*[1]ステータス!$C$2,0)</f>
        <v>2026</v>
      </c>
      <c r="BM2" s="11">
        <f ca="1">ROUND(BD2*U2*AC2*L2*BA2*[1]ステータス!$D$2,0)</f>
        <v>0</v>
      </c>
      <c r="BN2" s="11">
        <f ca="1">ROUND(BD2*V2*AD2*M2*BB2*[1]ステータス!$E$2,0)</f>
        <v>1318</v>
      </c>
      <c r="BO2" s="10">
        <v>0</v>
      </c>
      <c r="BP2" s="10">
        <v>1</v>
      </c>
      <c r="BQ2" s="38" t="s">
        <v>47</v>
      </c>
      <c r="BR2" s="12">
        <f ca="1">VLOOKUP(H2,ghosts_label!$A$2:$B$19,2,FALSE)</f>
        <v>1</v>
      </c>
    </row>
    <row r="3" spans="1:70" ht="26" customHeight="1" x14ac:dyDescent="0.15">
      <c r="A3" s="191">
        <v>1095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誓愛の絵花 メルクシャ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INDEX(コスト!$A$1:$I$21,MATCH(H3,コスト!$A$1:$A$21,FALSE),MATCH(G3,コスト!$A$1:$I$1,FALSE))</f>
        <v>26</v>
      </c>
      <c r="O3" s="11">
        <f ca="1">INDEX(レベル!$A$1:$I$22,MATCH(H3,レベル!$A$1:$A$22,FALSE),MATCH(G3,レベル!$A$1:$I$1,FALSE))</f>
        <v>80</v>
      </c>
      <c r="P3" s="48">
        <f t="shared" ca="1" si="0"/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technical</v>
      </c>
      <c r="R3" s="5" t="str">
        <f ca="1">VLOOKUP(Q3,[1]character_type_i18n!$A:$H,3,FALSE)</f>
        <v>テクニカルタイプ</v>
      </c>
      <c r="S3" s="11">
        <f ca="1">VLOOKUP(Q3,[1]character_type_i18n!$A:$H,4,FALSE)</f>
        <v>0.9</v>
      </c>
      <c r="T3" s="11">
        <f ca="1">VLOOKUP(Q3,[1]character_type_i18n!$A:$H,5,FALSE)</f>
        <v>0.9</v>
      </c>
      <c r="U3" s="11">
        <f ca="1">VLOOKUP(Q3,[1]character_type_i18n!$A:$H,6,FALSE)</f>
        <v>1</v>
      </c>
      <c r="V3" s="11">
        <f ca="1">VLOOKUP(Q3,[1]character_type_i18n!$A:$H,7,FALSE)</f>
        <v>0.9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349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ca="1">AG2</f>
        <v>1094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メルクシャ</v>
      </c>
      <c r="AI3" s="11" t="str">
        <f>IF(AE3="NULL","NULL",VLOOKUP(G3,ビット!$A$2:$B$7,2))</f>
        <v>NULL</v>
      </c>
      <c r="AJ3" s="6">
        <v>2</v>
      </c>
      <c r="AK3" s="7" t="str">
        <f t="shared" ref="AK3:AK6" si="6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7">
        <f ca="1">VLOOKUP(G3,ビット!$G$2:$H$7,2)</f>
        <v>900</v>
      </c>
      <c r="AO3" s="45"/>
      <c r="AP3" s="67">
        <f t="shared" ref="AP3:AP15" si="7">A3</f>
        <v>1095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死がふたりを分かつまで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暗闇解除+3ターン種族アニマルの攻撃力と回復力を特大UP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15" si="8">A3</f>
        <v>1095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ディス・イズ・ラブ！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1.2</v>
      </c>
      <c r="AZ3" s="68">
        <v>1.4</v>
      </c>
      <c r="BA3" s="68">
        <v>0</v>
      </c>
      <c r="BB3" s="68">
        <v>1.1000000000000001</v>
      </c>
      <c r="BC3" s="11">
        <f ca="1">INDEX('RC6SV'!$A$1:$G$21,MATCH(H3,'RC6SV'!$A$1:$A$21,FALSE),MATCH(G3,'RC6SV'!$A$1:$G$1,FALSE))</f>
        <v>7600</v>
      </c>
      <c r="BD3" s="48">
        <f t="shared" ref="BD3:BD6" ca="1" si="9">ROUND(BC3*IF(AJ3=1,0.95,IF(AJ3=2,1,IF(AJ3,1.05,0))),0)</f>
        <v>7600</v>
      </c>
      <c r="BE3" s="11">
        <f t="shared" ca="1" si="4"/>
        <v>5800</v>
      </c>
      <c r="BF3" s="11">
        <f t="shared" ca="1" si="5"/>
        <v>1</v>
      </c>
      <c r="BG3" s="16">
        <f ca="1">IF($BE3&lt;=0,ROUND(BK3*0.5,0), ROUND($BE3*S3*AA3*J3*AY3*0.8*[1]ステータス!$B$2,0))</f>
        <v>2506</v>
      </c>
      <c r="BH3" s="16">
        <f ca="1">IF($BE3&lt;=0,ROUND(BL3*0.5,0), ROUND($BE3*T3*AB3*K3*AZ3*0.8*[1]ステータス!$C$2,0))</f>
        <v>1891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1054</v>
      </c>
      <c r="BK3" s="11">
        <f ca="1">ROUND(BD3*S3*AA3*J3*AY3*[1]ステータス!$B$2,0)</f>
        <v>4104</v>
      </c>
      <c r="BL3" s="11">
        <f ca="1">ROUND(BD3*T3*AB3*K3*AZ3*[1]ステータス!$C$2,0)</f>
        <v>3097</v>
      </c>
      <c r="BM3" s="11">
        <f ca="1">ROUND(BD3*U3*AC3*L3*BA3*[1]ステータス!$D$2,0)</f>
        <v>0</v>
      </c>
      <c r="BN3" s="11">
        <f ca="1">ROUND(BD3*V3*AD3*M3*BB3*[1]ステータス!$E$2,0)</f>
        <v>1727</v>
      </c>
      <c r="BO3" s="10">
        <v>0</v>
      </c>
      <c r="BP3" s="10">
        <v>1</v>
      </c>
      <c r="BQ3" s="38" t="s">
        <v>47</v>
      </c>
      <c r="BR3" s="12">
        <f ca="1">VLOOKUP(H3,ghosts_label!$A$2:$B$19,2,FALSE)</f>
        <v>1</v>
      </c>
    </row>
    <row r="4" spans="1:70" ht="26" customHeight="1" x14ac:dyDescent="0.15">
      <c r="A4" s="191">
        <v>1096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ジャ・リダルサ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INDEX(コスト!$A$1:$I$21,MATCH(H4,コスト!$A$1:$A$21,FALSE),MATCH(G4,コスト!$A$1:$I$1,FALSE))</f>
        <v>17</v>
      </c>
      <c r="O4" s="11">
        <f ca="1">INDEX(レベル!$A$1:$I$22,MATCH(H4,レベル!$A$1:$A$22,FALSE),MATCH(G4,レベル!$A$1:$I$1,FALSE))</f>
        <v>60</v>
      </c>
      <c r="P4" s="48">
        <f t="shared" ca="1" si="0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1">
        <f ca="1">VLOOKUP(Q4,[1]character_type_i18n!$A:$H,4,FALSE)</f>
        <v>0.9</v>
      </c>
      <c r="T4" s="11">
        <f ca="1">VLOOKUP(Q4,[1]character_type_i18n!$A:$H,5,FALSE)</f>
        <v>0.9</v>
      </c>
      <c r="U4" s="11">
        <f ca="1">VLOOKUP(Q4,[1]character_type_i18n!$A:$H,6,FALSE)</f>
        <v>1</v>
      </c>
      <c r="V4" s="11">
        <f ca="1">VLOOKUP(Q4,[1]character_type_i18n!$A:$H,7,FALSE)</f>
        <v>0.9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 t="shared" ref="AE4" si="10">A5</f>
        <v>1097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超現実才奇 ジャ・リダルサ</v>
      </c>
      <c r="AG4" s="5">
        <f t="shared" ca="1" si="1"/>
        <v>1096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ジャ・リダルサ</v>
      </c>
      <c r="AI4" s="11">
        <f ca="1">IF(AE4="NULL","NULL",VLOOKUP(G4,ビット!$A$2:$B$7,2))</f>
        <v>50000</v>
      </c>
      <c r="AJ4" s="6">
        <v>2</v>
      </c>
      <c r="AK4" s="7" t="str">
        <f t="shared" si="6"/>
        <v>普通</v>
      </c>
      <c r="AL4" s="11" t="str">
        <f ca="1">INDEX(経験値!$A$1:$I$21,MATCH(H4,経験値!$A$1:$A$21,FALSE),MATCH(G4,経験値!$A$1:$I$1,FALSE))</f>
        <v>required_exp_200</v>
      </c>
      <c r="AM4" s="8">
        <f ca="1">VLOOKUP(G4,経験値!$A$28:$B$32,2)</f>
        <v>3400</v>
      </c>
      <c r="AN4" s="17">
        <f ca="1">VLOOKUP(G4,ビット!$G$2:$H$7,2)</f>
        <v>600</v>
      </c>
      <c r="AO4" s="45"/>
      <c r="AP4" s="67">
        <f t="shared" si="7"/>
        <v>1096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『消費構造と雑食獣の反芻』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2ターン種族ヒューマンとUnknownの攻撃力UP(時限式ダメージパネルを全て吸収して効果UP)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8"/>
        <v>1096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ジャ・リダルサの見た夢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1体に中ダメージ_x000D_Unknownに効果特大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1.07</v>
      </c>
      <c r="AZ4" s="68">
        <v>1.1000000000000001</v>
      </c>
      <c r="BA4" s="68">
        <v>0</v>
      </c>
      <c r="BB4" s="68">
        <v>1</v>
      </c>
      <c r="BC4" s="11">
        <f ca="1">INDEX('RC6SV'!$A$1:$G$21,MATCH(H4,'RC6SV'!$A$1:$A$21,FALSE),MATCH(G4,'RC6SV'!$A$1:$G$1,FALSE))</f>
        <v>5800</v>
      </c>
      <c r="BD4" s="48">
        <f t="shared" ca="1" si="9"/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1397</v>
      </c>
      <c r="BH4" s="16">
        <f ca="1">IF($BE4&lt;=0,ROUND(BL4*0.5,0), ROUND($BE4*T4*AB4*K4*AZ4*0.8*[1]ステータス!$C$2,0))</f>
        <v>879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640</v>
      </c>
      <c r="BK4" s="11">
        <f ca="1">ROUND(BD4*S4*AA4*J4*AY4*[1]ステータス!$B$2,0)</f>
        <v>2793</v>
      </c>
      <c r="BL4" s="11">
        <f ca="1">ROUND(BD4*T4*AB4*K4*AZ4*[1]ステータス!$C$2,0)</f>
        <v>1757</v>
      </c>
      <c r="BM4" s="11">
        <f ca="1">ROUND(BD4*U4*AC4*L4*BA4*[1]ステータス!$D$2,0)</f>
        <v>0</v>
      </c>
      <c r="BN4" s="11">
        <f ca="1">ROUND(BD4*V4*AD4*M4*BB4*[1]ステータス!$E$2,0)</f>
        <v>1279</v>
      </c>
      <c r="BO4" s="10">
        <v>0</v>
      </c>
      <c r="BP4" s="10">
        <v>1</v>
      </c>
      <c r="BQ4" s="38" t="s">
        <v>47</v>
      </c>
      <c r="BR4" s="12">
        <f ca="1">VLOOKUP(H4,ghosts_label!$A$2:$B$19,2,FALSE)</f>
        <v>1</v>
      </c>
    </row>
    <row r="5" spans="1:70" ht="26" customHeight="1" x14ac:dyDescent="0.15">
      <c r="A5" s="191">
        <v>1097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超現実才奇 ジャ・リダルサ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INDEX(コスト!$A$1:$I$21,MATCH(H5,コスト!$A$1:$A$21,FALSE),MATCH(G5,コスト!$A$1:$I$1,FALSE))</f>
        <v>26</v>
      </c>
      <c r="O5" s="11">
        <f ca="1">INDEX(レベル!$A$1:$I$22,MATCH(H5,レベル!$A$1:$A$22,FALSE),MATCH(G5,レベル!$A$1:$I$1,FALSE))</f>
        <v>80</v>
      </c>
      <c r="P5" s="48">
        <f t="shared" ca="1" si="0"/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349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ca="1">AG4</f>
        <v>1096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ジャ・リダルサ</v>
      </c>
      <c r="AI5" s="11" t="str">
        <f>IF(AE5="NULL","NULL",VLOOKUP(G5,ビット!$A$2:$B$7,2))</f>
        <v>NULL</v>
      </c>
      <c r="AJ5" s="6">
        <v>2</v>
      </c>
      <c r="AK5" s="7" t="str">
        <f t="shared" si="6"/>
        <v>普通</v>
      </c>
      <c r="AL5" s="11" t="str">
        <f ca="1">INDEX(経験値!$A$1:$I$21,MATCH(H5,経験値!$A$1:$A$21,FALSE),MATCH(G5,経験値!$A$1:$I$1,FALSE))</f>
        <v>required_exp_200</v>
      </c>
      <c r="AM5" s="8">
        <f ca="1">VLOOKUP(G5,経験値!$A$28:$B$32,2)</f>
        <v>6400</v>
      </c>
      <c r="AN5" s="17">
        <f ca="1">VLOOKUP(G5,ビット!$G$2:$H$7,2)</f>
        <v>900</v>
      </c>
      <c r="AO5" s="45"/>
      <c r="AP5" s="67">
        <f t="shared" si="7"/>
        <v>1097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『消費構造と雑食獣の反芻』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2ターン種族ヒューマンとUnknownの攻撃力UP(時限式ダメージパネルを全て吸収して効果UP)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8"/>
        <v>1097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ジャ・リダルサが喰った悪夢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1体に中ダメージ_x000D_Unknownに効果超大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1.07</v>
      </c>
      <c r="AZ5" s="68">
        <v>1.1000000000000001</v>
      </c>
      <c r="BA5" s="68">
        <v>0</v>
      </c>
      <c r="BB5" s="68">
        <v>1</v>
      </c>
      <c r="BC5" s="11">
        <f ca="1">INDEX('RC6SV'!$A$1:$G$21,MATCH(H5,'RC6SV'!$A$1:$A$21,FALSE),MATCH(G5,'RC6SV'!$A$1:$G$1,FALSE))</f>
        <v>7600</v>
      </c>
      <c r="BD5" s="48">
        <f t="shared" ca="1" si="9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2234</v>
      </c>
      <c r="BH5" s="16">
        <f ca="1">IF($BE5&lt;=0,ROUND(BL5*0.5,0), ROUND($BE5*T5*AB5*K5*AZ5*0.8*[1]ステータス!$C$2,0))</f>
        <v>1406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1023</v>
      </c>
      <c r="BK5" s="11">
        <f ca="1">ROUND(BD5*S5*AA5*J5*AY5*[1]ステータス!$B$2,0)</f>
        <v>3659</v>
      </c>
      <c r="BL5" s="11">
        <f ca="1">ROUND(BD5*T5*AB5*K5*AZ5*[1]ステータス!$C$2,0)</f>
        <v>2302</v>
      </c>
      <c r="BM5" s="11">
        <f ca="1">ROUND(BD5*U5*AC5*L5*BA5*[1]ステータス!$D$2,0)</f>
        <v>0</v>
      </c>
      <c r="BN5" s="11">
        <f ca="1">ROUND(BD5*V5*AD5*M5*BB5*[1]ステータス!$E$2,0)</f>
        <v>1676</v>
      </c>
      <c r="BO5" s="10">
        <v>0</v>
      </c>
      <c r="BP5" s="10">
        <v>1</v>
      </c>
      <c r="BQ5" s="38" t="s">
        <v>47</v>
      </c>
      <c r="BR5" s="12">
        <f ca="1">VLOOKUP(H5,ghosts_label!$A$2:$B$19,2,FALSE)</f>
        <v>1</v>
      </c>
    </row>
    <row r="6" spans="1:70" ht="26" customHeight="1" x14ac:dyDescent="0.15">
      <c r="A6" s="191">
        <v>1098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ルピカ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1">
        <f ca="1">VLOOKUP(I6,[1]属性!$A:$E,2,FALSE)</f>
        <v>0.98</v>
      </c>
      <c r="K6" s="11">
        <f ca="1">VLOOKUP(I6,[1]属性!$A:$E,3,FALSE)</f>
        <v>1.01</v>
      </c>
      <c r="L6" s="11">
        <f ca="1">VLOOKUP(I6,[1]属性!$A:$E,4,FALSE)</f>
        <v>1</v>
      </c>
      <c r="M6" s="11">
        <f ca="1">VLOOKUP(I6,[1]属性!$A:$E,5,FALSE)</f>
        <v>1.01</v>
      </c>
      <c r="N6" s="11">
        <f ca="1">INDEX(コスト!$A$1:$I$21,MATCH(H6,コスト!$A$1:$A$21,FALSE),MATCH(G6,コスト!$A$1:$I$1,FALSE))</f>
        <v>30</v>
      </c>
      <c r="O6" s="11">
        <f ca="1">INDEX(レベル!$A$1:$I$22,MATCH(H6,レベル!$A$1:$A$22,FALSE),MATCH(G6,レベル!$A$1:$I$1,FALSE))</f>
        <v>80</v>
      </c>
      <c r="P6" s="48">
        <f t="shared" ca="1" si="0"/>
        <v>75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technical</v>
      </c>
      <c r="R6" s="5" t="str">
        <f ca="1">VLOOKUP(Q6,[1]character_type_i18n!$A:$H,3,FALSE)</f>
        <v>テクニカルタイプ</v>
      </c>
      <c r="S6" s="11">
        <f ca="1">VLOOKUP(Q6,[1]character_type_i18n!$A:$H,4,FALSE)</f>
        <v>0.9</v>
      </c>
      <c r="T6" s="11">
        <f ca="1">VLOOKUP(Q6,[1]character_type_i18n!$A:$H,5,FALSE)</f>
        <v>0.9</v>
      </c>
      <c r="U6" s="11">
        <f ca="1">VLOOKUP(Q6,[1]character_type_i18n!$A:$H,6,FALSE)</f>
        <v>1</v>
      </c>
      <c r="V6" s="11">
        <f ca="1">VLOOKUP(Q6,[1]character_type_i18n!$A:$H,7,FALSE)</f>
        <v>0.9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f t="shared" ref="AE6" si="11">A7</f>
        <v>1099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破築の連創 ルピカ</v>
      </c>
      <c r="AG6" s="5">
        <f t="shared" ca="1" si="1"/>
        <v>1098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ルピカ</v>
      </c>
      <c r="AI6" s="11">
        <f ca="1">IF(AE6="NULL","NULL",VLOOKUP(G6,ビット!$A$2:$B$7,2))</f>
        <v>200000</v>
      </c>
      <c r="AJ6" s="6">
        <v>2</v>
      </c>
      <c r="AK6" s="7" t="str">
        <f t="shared" si="6"/>
        <v>普通</v>
      </c>
      <c r="AL6" s="11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7">
        <f ca="1">VLOOKUP(G6,ビット!$G$2:$H$7,2)</f>
        <v>900</v>
      </c>
      <c r="AO6" s="45"/>
      <c r="AP6" s="67">
        <f t="shared" si="7"/>
        <v>1098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狂妄発展イエロー・ピリオド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赤パネルを緑パネルに、青パネルを黄パネルに変換+3ターン赤パネルの出現率DOWN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8"/>
        <v>1098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分析的パストデストラクション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1体に大ダメージ_x000D_ゴッドに効果特大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1.2</v>
      </c>
      <c r="AZ6" s="68">
        <v>1.3</v>
      </c>
      <c r="BA6" s="68">
        <v>0</v>
      </c>
      <c r="BB6" s="68">
        <v>1</v>
      </c>
      <c r="BC6" s="11">
        <f ca="1">INDEX('RC6SV'!$A$1:$G$21,MATCH(H6,'RC6SV'!$A$1:$A$21,FALSE),MATCH(G6,'RC6SV'!$A$1:$G$1,FALSE))</f>
        <v>9000</v>
      </c>
      <c r="BD6" s="48">
        <f t="shared" ca="1" si="9"/>
        <v>9000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2239</v>
      </c>
      <c r="BH6" s="16">
        <f ca="1">IF($BE6&lt;=0,ROUND(BL6*0.5,0), ROUND($BE6*T6*AB6*K6*AZ6*0.8*[1]ステータス!$C$2,0))</f>
        <v>1580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1094</v>
      </c>
      <c r="BK6" s="11">
        <f ca="1">ROUND(BD6*S6*AA6*J6*AY6*[1]ステータス!$B$2,0)</f>
        <v>4477</v>
      </c>
      <c r="BL6" s="11">
        <f ca="1">ROUND(BD6*T6*AB6*K6*AZ6*[1]ステータス!$C$2,0)</f>
        <v>3159</v>
      </c>
      <c r="BM6" s="11">
        <f ca="1">ROUND(BD6*U6*AC6*L6*BA6*[1]ステータス!$D$2,0)</f>
        <v>0</v>
      </c>
      <c r="BN6" s="11">
        <f ca="1">ROUND(BD6*V6*AD6*M6*BB6*[1]ステータス!$E$2,0)</f>
        <v>2188</v>
      </c>
      <c r="BO6" s="10">
        <v>0</v>
      </c>
      <c r="BP6" s="10">
        <v>1</v>
      </c>
      <c r="BQ6" s="38" t="s">
        <v>47</v>
      </c>
      <c r="BR6" s="12">
        <f ca="1">VLOOKUP(H6,ghosts_label!$A$2:$B$19,2,FALSE)</f>
        <v>1</v>
      </c>
    </row>
    <row r="7" spans="1:70" ht="26" customHeight="1" x14ac:dyDescent="0.15">
      <c r="A7" s="191">
        <v>1099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破築の連創 ルピカ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1">
        <f ca="1">VLOOKUP(I7,[1]属性!$A:$E,2,FALSE)</f>
        <v>0.98</v>
      </c>
      <c r="K7" s="11">
        <f ca="1">VLOOKUP(I7,[1]属性!$A:$E,3,FALSE)</f>
        <v>1.01</v>
      </c>
      <c r="L7" s="11">
        <f ca="1">VLOOKUP(I7,[1]属性!$A:$E,4,FALSE)</f>
        <v>1</v>
      </c>
      <c r="M7" s="11">
        <f ca="1">VLOOKUP(I7,[1]属性!$A:$E,5,FALSE)</f>
        <v>1.01</v>
      </c>
      <c r="N7" s="11">
        <f ca="1">INDEX(コスト!$A$1:$I$21,MATCH(H7,コスト!$A$1:$A$21,FALSE),MATCH(G7,コスト!$A$1:$I$1,FALSE))</f>
        <v>45</v>
      </c>
      <c r="O7" s="11">
        <f ca="1">INDEX(レベル!$A$1:$I$22,MATCH(H7,レベル!$A$1:$A$22,FALSE),MATCH(G7,レベル!$A$1:$I$1,FALSE))</f>
        <v>99</v>
      </c>
      <c r="P7" s="48">
        <f t="shared" ca="1" si="0"/>
        <v>99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technical</v>
      </c>
      <c r="R7" s="5" t="str">
        <f ca="1">VLOOKUP(Q7,[1]character_type_i18n!$A:$H,3,FALSE)</f>
        <v>テクニカルタイプ</v>
      </c>
      <c r="S7" s="11">
        <f ca="1">VLOOKUP(Q7,[1]character_type_i18n!$A:$H,4,FALSE)</f>
        <v>0.9</v>
      </c>
      <c r="T7" s="11">
        <f ca="1">VLOOKUP(Q7,[1]character_type_i18n!$A:$H,5,FALSE)</f>
        <v>0.9</v>
      </c>
      <c r="U7" s="11">
        <f ca="1">VLOOKUP(Q7,[1]character_type_i18n!$A:$H,6,FALSE)</f>
        <v>1</v>
      </c>
      <c r="V7" s="11">
        <f ca="1">VLOOKUP(Q7,[1]character_type_i18n!$A:$H,7,FALSE)</f>
        <v>0.9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349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ca="1">AG6</f>
        <v>1098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ルピカ</v>
      </c>
      <c r="AI7" s="11" t="str">
        <f>IF(AE7="NULL","NULL",VLOOKUP(G7,ビット!$A$2:$B$7,2))</f>
        <v>NULL</v>
      </c>
      <c r="AJ7" s="6">
        <v>2</v>
      </c>
      <c r="AK7" s="7" t="str">
        <f t="shared" ref="AK7:AK14" si="12">IF(AJ7=1,"早熟",IF(AJ7=2,"普通",IF(AJ7=3,"晩成","")))</f>
        <v>普通</v>
      </c>
      <c r="AL7" s="11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7">
        <f ca="1">VLOOKUP(G7,ビット!$G$2:$H$7,2)</f>
        <v>900</v>
      </c>
      <c r="AO7" s="45"/>
      <c r="AP7" s="67">
        <f t="shared" si="7"/>
        <v>1099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狂妄発展イエロー・ピリオド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赤パネルを緑パネルに、青パネルを黄パネルに変換+3ターン赤パネルの出現率DOWN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8"/>
        <v>1099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排他的フューチャーコラージュ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1体に大ダメージ_x000D_ゴッドに効果超大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1.2</v>
      </c>
      <c r="AZ7" s="68">
        <v>1.3</v>
      </c>
      <c r="BA7" s="68">
        <v>0</v>
      </c>
      <c r="BB7" s="68">
        <v>1</v>
      </c>
      <c r="BC7" s="11">
        <f ca="1">INDEX('RC6SV'!$A$1:$G$21,MATCH(H7,'RC6SV'!$A$1:$A$21,FALSE),MATCH(G7,'RC6SV'!$A$1:$G$1,FALSE))</f>
        <v>12000</v>
      </c>
      <c r="BD7" s="48">
        <f t="shared" ref="BD7:BD14" ca="1" si="13">ROUND(BC7*IF(AJ7=1,0.95,IF(AJ7=2,1,IF(AJ7,1.05,0))),0)</f>
        <v>12000</v>
      </c>
      <c r="BE7" s="11">
        <f t="shared" ca="1" si="4"/>
        <v>9000</v>
      </c>
      <c r="BF7" s="11">
        <f t="shared" ca="1" si="5"/>
        <v>1</v>
      </c>
      <c r="BG7" s="16">
        <f ca="1">IF($BE7&lt;=0,ROUND(BK7*0.5,0), ROUND($BE7*S7*AA7*J7*AY7*0.8*[1]ステータス!$B$2,0))</f>
        <v>3582</v>
      </c>
      <c r="BH7" s="16">
        <f ca="1">IF($BE7&lt;=0,ROUND(BL7*0.5,0), ROUND($BE7*T7*AB7*K7*AZ7*0.8*[1]ステータス!$C$2,0))</f>
        <v>2527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1751</v>
      </c>
      <c r="BK7" s="11">
        <f ca="1">ROUND(BD7*S7*AA7*J7*AY7*[1]ステータス!$B$2,0)</f>
        <v>5969</v>
      </c>
      <c r="BL7" s="11">
        <f ca="1">ROUND(BD7*T7*AB7*K7*AZ7*[1]ステータス!$C$2,0)</f>
        <v>4212</v>
      </c>
      <c r="BM7" s="11">
        <f ca="1">ROUND(BD7*U7*AC7*L7*BA7*[1]ステータス!$D$2,0)</f>
        <v>0</v>
      </c>
      <c r="BN7" s="11">
        <f ca="1">ROUND(BD7*V7*AD7*M7*BB7*[1]ステータス!$E$2,0)</f>
        <v>2918</v>
      </c>
      <c r="BO7" s="10">
        <v>0</v>
      </c>
      <c r="BP7" s="10">
        <v>1</v>
      </c>
      <c r="BQ7" s="38" t="s">
        <v>47</v>
      </c>
      <c r="BR7" s="12">
        <f ca="1">VLOOKUP(H7,ghosts_label!$A$2:$B$19,2,FALSE)</f>
        <v>1</v>
      </c>
    </row>
    <row r="8" spans="1:70" ht="26" customHeight="1" x14ac:dyDescent="0.15">
      <c r="A8" s="191">
        <v>1100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北斎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red</v>
      </c>
      <c r="J8" s="11">
        <f ca="1">VLOOKUP(I8,[1]属性!$A:$E,2,FALSE)</f>
        <v>1</v>
      </c>
      <c r="K8" s="11">
        <f ca="1">VLOOKUP(I8,[1]属性!$A:$E,3,FALSE)</f>
        <v>1.02</v>
      </c>
      <c r="L8" s="11">
        <f ca="1">VLOOKUP(I8,[1]属性!$A:$E,4,FALSE)</f>
        <v>1</v>
      </c>
      <c r="M8" s="11">
        <f ca="1">VLOOKUP(I8,[1]属性!$A:$E,5,FALSE)</f>
        <v>0.98</v>
      </c>
      <c r="N8" s="11">
        <f ca="1">INDEX(コスト!$A$1:$I$21,MATCH(H8,コスト!$A$1:$A$21,FALSE),MATCH(G8,コスト!$A$1:$I$1,FALSE))</f>
        <v>35</v>
      </c>
      <c r="O8" s="11">
        <f ca="1">INDEX(レベル!$A$1:$I$22,MATCH(H8,レベル!$A$1:$A$22,FALSE),MATCH(G8,レベル!$A$1:$I$1,FALSE))</f>
        <v>80</v>
      </c>
      <c r="P8" s="48">
        <f t="shared" ca="1" si="0"/>
        <v>75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samurai</v>
      </c>
      <c r="Z8" s="5" t="str">
        <f ca="1">VLOOKUP(Y8,[1]character_tribe_i18n!$A:$H,3,FALSE)</f>
        <v>サムライ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>
        <f t="shared" ref="AE8" si="14">A9</f>
        <v>1101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浮世万物の筆刻者 北斎</v>
      </c>
      <c r="AG8" s="5">
        <f t="shared" ca="1" si="1"/>
        <v>1100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北斎</v>
      </c>
      <c r="AI8" s="11">
        <f ca="1">IF(AE8="NULL","NULL",VLOOKUP(G8,ビット!$A$2:$B$7,2))</f>
        <v>200000</v>
      </c>
      <c r="AJ8" s="6">
        <v>2</v>
      </c>
      <c r="AK8" s="7" t="str">
        <f t="shared" si="12"/>
        <v>普通</v>
      </c>
      <c r="AL8" s="11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7">
        <f ca="1">VLOOKUP(G8,ビット!$G$2:$H$7,2)</f>
        <v>900</v>
      </c>
      <c r="AO8" s="45"/>
      <c r="AP8" s="67">
        <f t="shared" si="7"/>
        <v>1100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アカフジ・ドロップシャドウ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黄パネルを赤ボムパネルに変換+3ターン種族サムライの攻撃力を超大UPし、全ユニットの赤パネル出現率大UP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8"/>
        <v>1100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波形掌握ストレンジブラッシュ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1体に大ダメージ+_x000D_全体に小ダメージ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1.04</v>
      </c>
      <c r="BA8" s="68">
        <v>0</v>
      </c>
      <c r="BB8" s="68">
        <v>1</v>
      </c>
      <c r="BC8" s="11">
        <f ca="1">INDEX('RC6SV'!$A$1:$G$21,MATCH(H8,'RC6SV'!$A$1:$A$21,FALSE),MATCH(G8,'RC6SV'!$A$1:$G$1,FALSE))</f>
        <v>9500</v>
      </c>
      <c r="BD8" s="48">
        <f t="shared" ca="1" si="13"/>
        <v>9500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2233</v>
      </c>
      <c r="BH8" s="16">
        <f ca="1">IF($BE8&lt;=0,ROUND(BL8*0.5,0), ROUND($BE8*T8*AB8*K8*AZ8*0.8*[1]ステータス!$C$2,0))</f>
        <v>1991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835</v>
      </c>
      <c r="BK8" s="11">
        <f ca="1">ROUND(BD8*S8*AA8*J8*AY8*[1]ステータス!$B$2,0)</f>
        <v>4465</v>
      </c>
      <c r="BL8" s="11">
        <f ca="1">ROUND(BD8*T8*AB8*K8*AZ8*[1]ステータス!$C$2,0)</f>
        <v>3981</v>
      </c>
      <c r="BM8" s="11">
        <f ca="1">ROUND(BD8*U8*AC8*L8*BA8*[1]ステータス!$D$2,0)</f>
        <v>0</v>
      </c>
      <c r="BN8" s="11">
        <f ca="1">ROUND(BD8*V8*AD8*M8*BB8*[1]ステータス!$E$2,0)</f>
        <v>1669</v>
      </c>
      <c r="BO8" s="10">
        <v>0</v>
      </c>
      <c r="BP8" s="10">
        <v>1</v>
      </c>
      <c r="BQ8" s="38" t="s">
        <v>47</v>
      </c>
      <c r="BR8" s="12">
        <f ca="1">VLOOKUP(H8,ghosts_label!$A$2:$B$19,2,FALSE)</f>
        <v>5500</v>
      </c>
    </row>
    <row r="9" spans="1:70" ht="26" customHeight="1" x14ac:dyDescent="0.15">
      <c r="A9" s="191">
        <v>1101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浮世万物の筆刻者 北斎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未定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アリス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世界観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PremiumSS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1">
        <f ca="1">VLOOKUP(I9,[1]属性!$A:$E,2,FALSE)</f>
        <v>1</v>
      </c>
      <c r="K9" s="11">
        <f ca="1">VLOOKUP(I9,[1]属性!$A:$E,3,FALSE)</f>
        <v>1.02</v>
      </c>
      <c r="L9" s="11">
        <f ca="1">VLOOKUP(I9,[1]属性!$A:$E,4,FALSE)</f>
        <v>1</v>
      </c>
      <c r="M9" s="11">
        <f ca="1">VLOOKUP(I9,[1]属性!$A:$E,5,FALSE)</f>
        <v>0.98</v>
      </c>
      <c r="N9" s="11">
        <f ca="1">INDEX(コスト!$A$1:$I$21,MATCH(H9,コスト!$A$1:$A$21,FALSE),MATCH(G9,コスト!$A$1:$I$1,FALSE))</f>
        <v>50</v>
      </c>
      <c r="O9" s="11">
        <f ca="1">INDEX(レベル!$A$1:$I$22,MATCH(H9,レベル!$A$1:$A$22,FALSE),MATCH(G9,レベル!$A$1:$I$1,FALSE))</f>
        <v>99</v>
      </c>
      <c r="P9" s="48">
        <f t="shared" ca="1" si="0"/>
        <v>99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samurai</v>
      </c>
      <c r="Z9" s="5" t="str">
        <f ca="1">VLOOKUP(Y9,[1]character_tribe_i18n!$A:$H,3,FALSE)</f>
        <v>サムライ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349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ca="1">AG8</f>
        <v>1100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北斎</v>
      </c>
      <c r="AI9" s="11" t="str">
        <f>IF(AE9="NULL","NULL",VLOOKUP(G9,ビット!$A$2:$B$7,2))</f>
        <v>NULL</v>
      </c>
      <c r="AJ9" s="6">
        <v>2</v>
      </c>
      <c r="AK9" s="7" t="str">
        <f t="shared" si="12"/>
        <v>普通</v>
      </c>
      <c r="AL9" s="11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7">
        <f ca="1">VLOOKUP(G9,ビット!$G$2:$H$7,2)</f>
        <v>900</v>
      </c>
      <c r="AO9" s="45"/>
      <c r="AP9" s="67">
        <f t="shared" si="7"/>
        <v>1101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アカフジ・テクスチャリング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黄パネルを赤ボムパネルに変換+3ターン種族サムライとアニマルの攻撃力を超大UPし、全ユニットの赤パネル出現率大UP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8"/>
        <v>1101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浦波拡散スペシャルブラッシュ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1体に特大ダメージ+_x000D_全体に小ダメージ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1.1639999999999999</v>
      </c>
      <c r="AZ9" s="68">
        <v>1.0980000000000001</v>
      </c>
      <c r="BA9" s="68">
        <v>0</v>
      </c>
      <c r="BB9" s="68">
        <v>1</v>
      </c>
      <c r="BC9" s="11">
        <f ca="1">INDEX('RC6SV'!$A$1:$G$21,MATCH(H9,'RC6SV'!$A$1:$A$21,FALSE),MATCH(G9,'RC6SV'!$A$1:$G$1,FALSE))</f>
        <v>13000</v>
      </c>
      <c r="BD9" s="48">
        <f t="shared" ca="1" si="13"/>
        <v>13000</v>
      </c>
      <c r="BE9" s="11">
        <f t="shared" ca="1" si="4"/>
        <v>9500</v>
      </c>
      <c r="BF9" s="11">
        <f t="shared" ca="1" si="5"/>
        <v>1</v>
      </c>
      <c r="BG9" s="16">
        <f ca="1">IF($BE9&lt;=0,ROUND(BK9*0.5,0), ROUND($BE9*S9*AA9*J9*AY9*0.8*[1]ステータス!$B$2,0))</f>
        <v>4158</v>
      </c>
      <c r="BH9" s="16">
        <f ca="1">IF($BE9&lt;=0,ROUND(BL9*0.5,0), ROUND($BE9*T9*AB9*K9*AZ9*0.8*[1]ステータス!$C$2,0))</f>
        <v>3362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1335</v>
      </c>
      <c r="BK9" s="11">
        <f ca="1">ROUND(BD9*S9*AA9*J9*AY9*[1]ステータス!$B$2,0)</f>
        <v>7112</v>
      </c>
      <c r="BL9" s="11">
        <f ca="1">ROUND(BD9*T9*AB9*K9*AZ9*[1]ステータス!$C$2,0)</f>
        <v>5751</v>
      </c>
      <c r="BM9" s="11">
        <f ca="1">ROUND(BD9*U9*AC9*L9*BA9*[1]ステータス!$D$2,0)</f>
        <v>0</v>
      </c>
      <c r="BN9" s="11">
        <f ca="1">ROUND(BD9*V9*AD9*M9*BB9*[1]ステータス!$E$2,0)</f>
        <v>2283</v>
      </c>
      <c r="BO9" s="10">
        <v>0</v>
      </c>
      <c r="BP9" s="10">
        <v>1</v>
      </c>
      <c r="BQ9" s="38" t="s">
        <v>47</v>
      </c>
      <c r="BR9" s="12">
        <f ca="1">VLOOKUP(H9,ghosts_label!$A$2:$B$19,2,FALSE)</f>
        <v>5500</v>
      </c>
    </row>
    <row r="10" spans="1:70" ht="26" customHeight="1" x14ac:dyDescent="0.15">
      <c r="A10" s="191">
        <v>1102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ドガ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未定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アリス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世界観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PremiumSSw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11">
        <f ca="1">VLOOKUP(I10,[1]属性!$A:$E,2,FALSE)</f>
        <v>1.02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</v>
      </c>
      <c r="N10" s="11">
        <f ca="1">INDEX(コスト!$A$1:$I$21,MATCH(H10,コスト!$A$1:$A$21,FALSE),MATCH(G10,コスト!$A$1:$I$1,FALSE))</f>
        <v>38</v>
      </c>
      <c r="O10" s="11">
        <f ca="1">INDEX(レベル!$A$1:$I$22,MATCH(H10,レベル!$A$1:$A$22,FALSE),MATCH(G10,レベル!$A$1:$I$1,FALSE))</f>
        <v>80</v>
      </c>
      <c r="P10" s="48">
        <f t="shared" ca="1" si="0"/>
        <v>75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animal</v>
      </c>
      <c r="X10" s="5" t="str">
        <f ca="1">VLOOKUP(W10,[1]character_tribe_i18n!$A:$H,3,FALSE)</f>
        <v>アニマル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1.1000000000000001</v>
      </c>
      <c r="AC10" s="11">
        <f ca="1">VLOOKUP(W10,[1]character_tribe_i18n!$A:$H,6,FALSE)</f>
        <v>1</v>
      </c>
      <c r="AD10" s="11">
        <f ca="1">VLOOKUP(W10,[1]character_tribe_i18n!$A:$H,7,FALSE)</f>
        <v>0.9</v>
      </c>
      <c r="AE10" s="9">
        <f t="shared" ref="AE10" si="15">A11</f>
        <v>1103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舞台裏の鼠展 ドガ</v>
      </c>
      <c r="AG10" s="5">
        <f t="shared" ca="1" si="1"/>
        <v>1102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ドガ</v>
      </c>
      <c r="AI10" s="11">
        <f ca="1">IF(AE10="NULL","NULL",VLOOKUP(G10,ビット!$A$2:$B$7,2))</f>
        <v>200000</v>
      </c>
      <c r="AJ10" s="6">
        <v>2</v>
      </c>
      <c r="AK10" s="7" t="str">
        <f t="shared" si="12"/>
        <v>普通</v>
      </c>
      <c r="AL10" s="11" t="str">
        <f ca="1">INDEX(経験値!$A$1:$I$21,MATCH(H10,経験値!$A$1:$A$21,FALSE),MATCH(G10,経験値!$A$1:$I$1,FALSE))</f>
        <v>required_exp_200</v>
      </c>
      <c r="AM10" s="8">
        <f ca="1">VLOOKUP(G10,経験値!$A$28:$B$32,2)</f>
        <v>6400</v>
      </c>
      <c r="AN10" s="17">
        <f ca="1">VLOOKUP(G10,ビット!$G$2:$H$7,2)</f>
        <v>900</v>
      </c>
      <c r="AO10" s="45"/>
      <c r="AP10" s="67">
        <f t="shared" si="7"/>
        <v>1102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インヴェクティブ・ピクチャー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3ターン緑属性の攻撃力UP(赤・青パネルを吸収し効果特大UP)し、回復力特大UP+1ターン黄属性からのダメージを50％軽減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8"/>
        <v>1102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ボディガード・バレリーナ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1体に特大ダメージ+_x000D_1ターン緑属性の防御力UP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1.04</v>
      </c>
      <c r="BA10" s="68">
        <v>0</v>
      </c>
      <c r="BB10" s="68">
        <v>1.04</v>
      </c>
      <c r="BC10" s="11">
        <f ca="1">INDEX('RC6SV'!$A$1:$G$21,MATCH(H10,'RC6SV'!$A$1:$A$21,FALSE),MATCH(G10,'RC6SV'!$A$1:$G$1,FALSE))</f>
        <v>10000</v>
      </c>
      <c r="BD10" s="48">
        <f t="shared" ca="1" si="13"/>
        <v>10000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2550</v>
      </c>
      <c r="BH10" s="16">
        <f ca="1">IF($BE10&lt;=0,ROUND(BL10*0.5,0), ROUND($BE10*T10*AB10*K10*AZ10*0.8*[1]ステータス!$C$2,0))</f>
        <v>1682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1170</v>
      </c>
      <c r="BK10" s="11">
        <f ca="1">ROUND(BD10*S10*AA10*J10*AY10*[1]ステータス!$B$2,0)</f>
        <v>5100</v>
      </c>
      <c r="BL10" s="11">
        <f ca="1">ROUND(BD10*T10*AB10*K10*AZ10*[1]ステータス!$C$2,0)</f>
        <v>3363</v>
      </c>
      <c r="BM10" s="11">
        <f ca="1">ROUND(BD10*U10*AC10*L10*BA10*[1]ステータス!$D$2,0)</f>
        <v>0</v>
      </c>
      <c r="BN10" s="11">
        <f ca="1">ROUND(BD10*V10*AD10*M10*BB10*[1]ステータス!$E$2,0)</f>
        <v>2340</v>
      </c>
      <c r="BO10" s="10">
        <v>0</v>
      </c>
      <c r="BP10" s="10">
        <v>1</v>
      </c>
      <c r="BQ10" s="38" t="s">
        <v>47</v>
      </c>
      <c r="BR10" s="12">
        <f ca="1">VLOOKUP(H10,ghosts_label!$A$2:$B$19,2,FALSE)</f>
        <v>6000</v>
      </c>
    </row>
    <row r="11" spans="1:70" ht="26" customHeight="1" x14ac:dyDescent="0.15">
      <c r="A11" s="191">
        <v>1103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舞台裏の鼠展 ドガ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未定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アリス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世界観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PremiumSSw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INDEX(コスト!$A$1:$I$21,MATCH(H11,コスト!$A$1:$A$21,FALSE),MATCH(G11,コスト!$A$1:$I$1,FALSE))</f>
        <v>53</v>
      </c>
      <c r="O11" s="11">
        <f ca="1">INDEX(レベル!$A$1:$I$22,MATCH(H11,レベル!$A$1:$A$22,FALSE),MATCH(G11,レベル!$A$1:$I$1,FALSE))</f>
        <v>99</v>
      </c>
      <c r="P11" s="48">
        <f t="shared" ca="1" si="0"/>
        <v>99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animal</v>
      </c>
      <c r="X11" s="5" t="str">
        <f ca="1">VLOOKUP(W11,[1]character_tribe_i18n!$A:$H,3,FALSE)</f>
        <v>アニマル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1.1000000000000001</v>
      </c>
      <c r="AC11" s="11">
        <f ca="1">VLOOKUP(W11,[1]character_tribe_i18n!$A:$H,6,FALSE)</f>
        <v>1</v>
      </c>
      <c r="AD11" s="11">
        <f ca="1">VLOOKUP(W11,[1]character_tribe_i18n!$A:$H,7,FALSE)</f>
        <v>0.9</v>
      </c>
      <c r="AE11" s="9" t="s">
        <v>349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ca="1">AG10</f>
        <v>1102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ドガ</v>
      </c>
      <c r="AI11" s="11" t="str">
        <f>IF(AE11="NULL","NULL",VLOOKUP(G11,ビット!$A$2:$B$7,2))</f>
        <v>NULL</v>
      </c>
      <c r="AJ11" s="6">
        <v>2</v>
      </c>
      <c r="AK11" s="7" t="str">
        <f t="shared" si="12"/>
        <v>普通</v>
      </c>
      <c r="AL11" s="11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7">
        <f ca="1">VLOOKUP(G11,ビット!$G$2:$H$7,2)</f>
        <v>900</v>
      </c>
      <c r="AO11" s="45"/>
      <c r="AP11" s="67">
        <f t="shared" si="7"/>
        <v>1103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インヴェクティブ・ピクチャー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3ターン緑属性の攻撃力UP(赤・青パネルを吸収し効果特大UP)し、回復力特大UP+1ターン黄属性からのダメージを50％軽減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8"/>
        <v>1103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マイティガード・バレリーナ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1体に超大ダメージ+_x000D_1ターン緑属性の防御力UP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1.04</v>
      </c>
      <c r="BA11" s="68">
        <v>0</v>
      </c>
      <c r="BB11" s="68">
        <v>1.04</v>
      </c>
      <c r="BC11" s="11">
        <f ca="1">INDEX('RC6SV'!$A$1:$G$21,MATCH(H11,'RC6SV'!$A$1:$A$21,FALSE),MATCH(G11,'RC6SV'!$A$1:$G$1,FALSE))</f>
        <v>14000</v>
      </c>
      <c r="BD11" s="48">
        <f t="shared" ca="1" si="13"/>
        <v>14000</v>
      </c>
      <c r="BE11" s="11">
        <f t="shared" ca="1" si="4"/>
        <v>10000</v>
      </c>
      <c r="BF11" s="11">
        <f t="shared" ca="1" si="5"/>
        <v>1</v>
      </c>
      <c r="BG11" s="16">
        <f ca="1">IF($BE11&lt;=0,ROUND(BK11*0.5,0), ROUND($BE11*S11*AA11*J11*AY11*0.8*[1]ステータス!$B$2,0))</f>
        <v>4080</v>
      </c>
      <c r="BH11" s="16">
        <f ca="1">IF($BE11&lt;=0,ROUND(BL11*0.5,0), ROUND($BE11*T11*AB11*K11*AZ11*0.8*[1]ステータス!$C$2,0))</f>
        <v>2691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1872</v>
      </c>
      <c r="BK11" s="11">
        <f ca="1">ROUND(BD11*S11*AA11*J11*AY11*[1]ステータス!$B$2,0)</f>
        <v>7140</v>
      </c>
      <c r="BL11" s="11">
        <f ca="1">ROUND(BD11*T11*AB11*K11*AZ11*[1]ステータス!$C$2,0)</f>
        <v>4709</v>
      </c>
      <c r="BM11" s="11">
        <f ca="1">ROUND(BD11*U11*AC11*L11*BA11*[1]ステータス!$D$2,0)</f>
        <v>0</v>
      </c>
      <c r="BN11" s="11">
        <f ca="1">ROUND(BD11*V11*AD11*M11*BB11*[1]ステータス!$E$2,0)</f>
        <v>3276</v>
      </c>
      <c r="BO11" s="10">
        <v>0</v>
      </c>
      <c r="BP11" s="10">
        <v>1</v>
      </c>
      <c r="BQ11" s="38" t="s">
        <v>47</v>
      </c>
      <c r="BR11" s="12">
        <f ca="1">VLOOKUP(H11,ghosts_label!$A$2:$B$19,2,FALSE)</f>
        <v>6000</v>
      </c>
    </row>
    <row r="12" spans="1:70" ht="26" customHeight="1" x14ac:dyDescent="0.15">
      <c r="A12" s="191">
        <v>1104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クリムト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未定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アリス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世界観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INDEX(コスト!$A$1:$I$21,MATCH(H12,コスト!$A$1:$A$21,FALSE),MATCH(G12,コスト!$A$1:$I$1,FALSE))</f>
        <v>20</v>
      </c>
      <c r="O12" s="11">
        <f ca="1">INDEX(レベル!$A$1:$I$22,MATCH(H12,レベル!$A$1:$A$22,FALSE),MATCH(G12,レベル!$A$1:$I$1,FALSE))</f>
        <v>60</v>
      </c>
      <c r="P12" s="48">
        <f t="shared" ca="1" si="0"/>
        <v>60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technical</v>
      </c>
      <c r="R12" s="5" t="str">
        <f ca="1">VLOOKUP(Q12,[1]character_type_i18n!$A:$H,3,FALSE)</f>
        <v>テクニカルタイプ</v>
      </c>
      <c r="S12" s="11">
        <f ca="1">VLOOKUP(Q12,[1]character_type_i18n!$A:$H,4,FALSE)</f>
        <v>0.9</v>
      </c>
      <c r="T12" s="11">
        <f ca="1">VLOOKUP(Q12,[1]character_type_i18n!$A:$H,5,FALSE)</f>
        <v>0.9</v>
      </c>
      <c r="U12" s="11">
        <f ca="1">VLOOKUP(Q12,[1]character_type_i18n!$A:$H,6,FALSE)</f>
        <v>1</v>
      </c>
      <c r="V12" s="11">
        <f ca="1">VLOOKUP(Q12,[1]character_type_i18n!$A:$H,7,FALSE)</f>
        <v>0.9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unknown</v>
      </c>
      <c r="Z12" s="5" t="str">
        <f ca="1">VLOOKUP(Y12,[1]character_tribe_i18n!$A:$H,3,FALSE)</f>
        <v>Unknown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>
        <f t="shared" ref="AE12" si="16">A13</f>
        <v>1105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甘美なる背徳 クリムト</v>
      </c>
      <c r="AG12" s="5">
        <f t="shared" ca="1" si="1"/>
        <v>1104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クリムト</v>
      </c>
      <c r="AI12" s="11">
        <f ca="1">IF(AE12="NULL","NULL",VLOOKUP(G12,ビット!$A$2:$B$7,2))</f>
        <v>50000</v>
      </c>
      <c r="AJ12" s="6">
        <v>2</v>
      </c>
      <c r="AK12" s="7" t="str">
        <f t="shared" si="12"/>
        <v>普通</v>
      </c>
      <c r="AL12" s="11" t="str">
        <f ca="1">INDEX(経験値!$A$1:$I$21,MATCH(H12,経験値!$A$1:$A$21,FALSE),MATCH(G12,経験値!$A$1:$I$1,FALSE))</f>
        <v>required_exp_200</v>
      </c>
      <c r="AM12" s="8">
        <f ca="1">VLOOKUP(G12,経験値!$A$28:$B$32,2)</f>
        <v>3400</v>
      </c>
      <c r="AN12" s="17">
        <f ca="1">VLOOKUP(G12,ビット!$G$2:$H$7,2)</f>
        <v>600</v>
      </c>
      <c r="AO12" s="45"/>
      <c r="AP12" s="67">
        <f t="shared" si="7"/>
        <v>1104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惚死のファム・ファタール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時限式ダメージパネルと黄パネルを青パネルに変換+4ターン種族UnknownのCパネル生成短縮(効果特大)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8"/>
        <v>1104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紫金の陰影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1.1000000000000001</v>
      </c>
      <c r="BA12" s="68">
        <v>0</v>
      </c>
      <c r="BB12" s="68">
        <v>0.95</v>
      </c>
      <c r="BC12" s="11">
        <f ca="1">INDEX('RC6SV'!$A$1:$G$21,MATCH(H12,'RC6SV'!$A$1:$A$21,FALSE),MATCH(G12,'RC6SV'!$A$1:$G$1,FALSE))</f>
        <v>7000</v>
      </c>
      <c r="BD12" s="48">
        <f t="shared" ca="1" si="13"/>
        <v>7000</v>
      </c>
      <c r="BE12" s="11">
        <f t="shared" ca="1" si="4"/>
        <v>0</v>
      </c>
      <c r="BF12" s="11">
        <f t="shared" ca="1" si="5"/>
        <v>1</v>
      </c>
      <c r="BG12" s="16">
        <f ca="1">IF($BE12&lt;=0,ROUND(BK12*0.5,0), ROUND($BE12*S12*AA12*J12*AY12*0.8*[1]ステータス!$B$2,0))</f>
        <v>1481</v>
      </c>
      <c r="BH12" s="16">
        <f ca="1">IF($BE12&lt;=0,ROUND(BL12*0.5,0), ROUND($BE12*T12*AB12*K12*AZ12*0.8*[1]ステータス!$C$2,0))</f>
        <v>1009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817</v>
      </c>
      <c r="BK12" s="11">
        <f ca="1">ROUND(BD12*S12*AA12*J12*AY12*[1]ステータス!$B$2,0)</f>
        <v>2961</v>
      </c>
      <c r="BL12" s="11">
        <f ca="1">ROUND(BD12*T12*AB12*K12*AZ12*[1]ステータス!$C$2,0)</f>
        <v>2017</v>
      </c>
      <c r="BM12" s="11">
        <f ca="1">ROUND(BD12*U12*AC12*L12*BA12*[1]ステータス!$D$2,0)</f>
        <v>0</v>
      </c>
      <c r="BN12" s="11">
        <f ca="1">ROUND(BD12*V12*AD12*M12*BB12*[1]ステータス!$E$2,0)</f>
        <v>1633</v>
      </c>
      <c r="BO12" s="10">
        <v>0</v>
      </c>
      <c r="BP12" s="10">
        <v>1</v>
      </c>
      <c r="BQ12" s="38" t="s">
        <v>47</v>
      </c>
      <c r="BR12" s="12">
        <f ca="1">VLOOKUP(H12,ghosts_label!$A$2:$B$19,2,FALSE)</f>
        <v>700</v>
      </c>
    </row>
    <row r="13" spans="1:70" ht="26" customHeight="1" x14ac:dyDescent="0.15">
      <c r="A13" s="191">
        <v>1105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甘美なる背徳 クリムト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未定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アリス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世界観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blue</v>
      </c>
      <c r="J13" s="11">
        <f ca="1">VLOOKUP(I13,[1]属性!$A:$E,2,FALSE)</f>
        <v>1</v>
      </c>
      <c r="K13" s="11">
        <f ca="1">VLOOKUP(I13,[1]属性!$A:$E,3,FALSE)</f>
        <v>0.98</v>
      </c>
      <c r="L13" s="11">
        <f ca="1">VLOOKUP(I13,[1]属性!$A:$E,4,FALSE)</f>
        <v>1</v>
      </c>
      <c r="M13" s="11">
        <f ca="1">VLOOKUP(I13,[1]属性!$A:$E,5,FALSE)</f>
        <v>1.02</v>
      </c>
      <c r="N13" s="11">
        <f ca="1">INDEX(コスト!$A$1:$I$21,MATCH(H13,コスト!$A$1:$A$21,FALSE),MATCH(G13,コスト!$A$1:$I$1,FALSE))</f>
        <v>30</v>
      </c>
      <c r="O13" s="11">
        <f ca="1">INDEX(レベル!$A$1:$I$22,MATCH(H13,レベル!$A$1:$A$22,FALSE),MATCH(G13,レベル!$A$1:$I$1,FALSE))</f>
        <v>80</v>
      </c>
      <c r="P13" s="48">
        <f t="shared" ca="1" si="0"/>
        <v>75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technical</v>
      </c>
      <c r="R13" s="5" t="str">
        <f ca="1">VLOOKUP(Q13,[1]character_type_i18n!$A:$H,3,FALSE)</f>
        <v>テクニカルタイプ</v>
      </c>
      <c r="S13" s="11">
        <f ca="1">VLOOKUP(Q13,[1]character_type_i18n!$A:$H,4,FALSE)</f>
        <v>0.9</v>
      </c>
      <c r="T13" s="11">
        <f ca="1">VLOOKUP(Q13,[1]character_type_i18n!$A:$H,5,FALSE)</f>
        <v>0.9</v>
      </c>
      <c r="U13" s="11">
        <f ca="1">VLOOKUP(Q13,[1]character_type_i18n!$A:$H,6,FALSE)</f>
        <v>1</v>
      </c>
      <c r="V13" s="11">
        <f ca="1">VLOOKUP(Q13,[1]character_type_i18n!$A:$H,7,FALSE)</f>
        <v>0.9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unknown</v>
      </c>
      <c r="Z13" s="5" t="str">
        <f ca="1">VLOOKUP(Y13,[1]character_tribe_i18n!$A:$H,3,FALSE)</f>
        <v>Unknown</v>
      </c>
      <c r="AA13" s="11">
        <f ca="1">VLOOKUP(W13,[1]character_tribe_i18n!$A:$H,4,FALSE)</f>
        <v>0.94</v>
      </c>
      <c r="AB13" s="11">
        <f ca="1">VLOOKUP(W13,[1]character_tribe_i18n!$A:$H,5,FALSE)</f>
        <v>0.99</v>
      </c>
      <c r="AC13" s="11">
        <f ca="1">VLOOKUP(W13,[1]character_tribe_i18n!$A:$H,6,FALSE)</f>
        <v>1</v>
      </c>
      <c r="AD13" s="11">
        <f ca="1">VLOOKUP(W13,[1]character_tribe_i18n!$A:$H,7,FALSE)</f>
        <v>1.07</v>
      </c>
      <c r="AE13" s="9" t="s">
        <v>349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ca="1">AG12</f>
        <v>1104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クリムト</v>
      </c>
      <c r="AI13" s="11" t="str">
        <f>IF(AE13="NULL","NULL",VLOOKUP(G13,ビット!$A$2:$B$7,2))</f>
        <v>NULL</v>
      </c>
      <c r="AJ13" s="6">
        <v>2</v>
      </c>
      <c r="AK13" s="7" t="str">
        <f t="shared" si="12"/>
        <v>普通</v>
      </c>
      <c r="AL13" s="11" t="str">
        <f ca="1">INDEX(経験値!$A$1:$I$21,MATCH(H13,経験値!$A$1:$A$21,FALSE),MATCH(G13,経験値!$A$1:$I$1,FALSE))</f>
        <v>required_exp_200</v>
      </c>
      <c r="AM13" s="8">
        <f ca="1">VLOOKUP(G13,経験値!$A$28:$B$32,2)</f>
        <v>6400</v>
      </c>
      <c r="AN13" s="17">
        <f ca="1">VLOOKUP(G13,ビット!$G$2:$H$7,2)</f>
        <v>900</v>
      </c>
      <c r="AO13" s="45"/>
      <c r="AP13" s="67">
        <f t="shared" si="7"/>
        <v>1105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惚死のファム・ファタール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時限式ダメージパネルと黄パネルを青パネルに変換+4ターン種族UnknownのCパネル生成短縮(効果特大)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8"/>
        <v>1105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紫金の陰影・咎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1体に特大ダメージ_x000D_Unknownに効果超大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</v>
      </c>
      <c r="AZ13" s="68">
        <v>1.1000000000000001</v>
      </c>
      <c r="BA13" s="68">
        <v>0</v>
      </c>
      <c r="BB13" s="68">
        <v>0.95</v>
      </c>
      <c r="BC13" s="11">
        <f ca="1">INDEX('RC6SV'!$A$1:$G$21,MATCH(H13,'RC6SV'!$A$1:$A$21,FALSE),MATCH(G13,'RC6SV'!$A$1:$G$1,FALSE))</f>
        <v>9000</v>
      </c>
      <c r="BD13" s="48">
        <f t="shared" ca="1" si="13"/>
        <v>9000</v>
      </c>
      <c r="BE13" s="11">
        <f t="shared" ca="1" si="4"/>
        <v>7000</v>
      </c>
      <c r="BF13" s="11">
        <f t="shared" ca="1" si="5"/>
        <v>1</v>
      </c>
      <c r="BG13" s="16">
        <f ca="1">IF($BE13&lt;=0,ROUND(BK13*0.5,0), ROUND($BE13*S13*AA13*J13*AY13*0.8*[1]ステータス!$B$2,0))</f>
        <v>2369</v>
      </c>
      <c r="BH13" s="16">
        <f ca="1">IF($BE13&lt;=0,ROUND(BL13*0.5,0), ROUND($BE13*T13*AB13*K13*AZ13*0.8*[1]ステータス!$C$2,0))</f>
        <v>1614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1306</v>
      </c>
      <c r="BK13" s="11">
        <f ca="1">ROUND(BD13*S13*AA13*J13*AY13*[1]ステータス!$B$2,0)</f>
        <v>3807</v>
      </c>
      <c r="BL13" s="11">
        <f ca="1">ROUND(BD13*T13*AB13*K13*AZ13*[1]ステータス!$C$2,0)</f>
        <v>2593</v>
      </c>
      <c r="BM13" s="11">
        <f ca="1">ROUND(BD13*U13*AC13*L13*BA13*[1]ステータス!$D$2,0)</f>
        <v>0</v>
      </c>
      <c r="BN13" s="11">
        <f ca="1">ROUND(BD13*V13*AD13*M13*BB13*[1]ステータス!$E$2,0)</f>
        <v>2100</v>
      </c>
      <c r="BO13" s="10">
        <v>0</v>
      </c>
      <c r="BP13" s="10">
        <v>1</v>
      </c>
      <c r="BQ13" s="38" t="s">
        <v>47</v>
      </c>
      <c r="BR13" s="12">
        <f ca="1">VLOOKUP(H13,ghosts_label!$A$2:$B$19,2,FALSE)</f>
        <v>700</v>
      </c>
    </row>
    <row r="14" spans="1:70" ht="26" customHeight="1" x14ac:dyDescent="0.15">
      <c r="A14" s="191">
        <v>1106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ラファエロ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未定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アリス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世界観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不明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yellow</v>
      </c>
      <c r="J14" s="11">
        <f ca="1">VLOOKUP(I14,[1]属性!$A:$E,2,FALSE)</f>
        <v>0.98</v>
      </c>
      <c r="K14" s="11">
        <f ca="1">VLOOKUP(I14,[1]属性!$A:$E,3,FALSE)</f>
        <v>1.01</v>
      </c>
      <c r="L14" s="11">
        <f ca="1">VLOOKUP(I14,[1]属性!$A:$E,4,FALSE)</f>
        <v>1</v>
      </c>
      <c r="M14" s="11">
        <f ca="1">VLOOKUP(I14,[1]属性!$A:$E,5,FALSE)</f>
        <v>1.01</v>
      </c>
      <c r="N14" s="11">
        <f ca="1">INDEX(コスト!$A$1:$I$21,MATCH(H14,コスト!$A$1:$A$21,FALSE),MATCH(G14,コスト!$A$1:$I$1,FALSE))</f>
        <v>35</v>
      </c>
      <c r="O14" s="11">
        <f ca="1">INDEX(レベル!$A$1:$I$22,MATCH(H14,レベル!$A$1:$A$22,FALSE),MATCH(G14,レベル!$A$1:$I$1,FALSE))</f>
        <v>80</v>
      </c>
      <c r="P14" s="48">
        <f t="shared" ca="1" si="0"/>
        <v>75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attack</v>
      </c>
      <c r="R14" s="5" t="str">
        <f ca="1">VLOOKUP(Q14,[1]character_type_i18n!$A:$H,3,FALSE)</f>
        <v>攻撃タイプ</v>
      </c>
      <c r="S14" s="11">
        <f ca="1">VLOOKUP(Q14,[1]character_type_i18n!$A:$H,4,FALSE)</f>
        <v>1</v>
      </c>
      <c r="T14" s="11">
        <f ca="1">VLOOKUP(Q14,[1]character_type_i18n!$A:$H,5,FALSE)</f>
        <v>1.33</v>
      </c>
      <c r="U14" s="11">
        <f ca="1">VLOOKUP(Q14,[1]character_type_i18n!$A:$H,6,FALSE)</f>
        <v>1</v>
      </c>
      <c r="V14" s="11">
        <f ca="1">VLOOKUP(Q14,[1]character_type_i18n!$A:$H,7,FALSE)</f>
        <v>0.67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human</v>
      </c>
      <c r="X14" s="5" t="str">
        <f ca="1">VLOOKUP(W14,[1]character_tribe_i18n!$A:$H,3,FALSE)</f>
        <v>ヒューマン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god</v>
      </c>
      <c r="Z14" s="5" t="str">
        <f ca="1">VLOOKUP(Y14,[1]character_tribe_i18n!$A:$H,3,FALSE)</f>
        <v>ゴッド</v>
      </c>
      <c r="AA14" s="11">
        <f ca="1">VLOOKUP(W14,[1]character_tribe_i18n!$A:$H,4,FALSE)</f>
        <v>0.94</v>
      </c>
      <c r="AB14" s="11">
        <f ca="1">VLOOKUP(W14,[1]character_tribe_i18n!$A:$H,5,FALSE)</f>
        <v>0.99</v>
      </c>
      <c r="AC14" s="11">
        <f ca="1">VLOOKUP(W14,[1]character_tribe_i18n!$A:$H,6,FALSE)</f>
        <v>1</v>
      </c>
      <c r="AD14" s="11">
        <f ca="1">VLOOKUP(W14,[1]character_tribe_i18n!$A:$H,7,FALSE)</f>
        <v>1.07</v>
      </c>
      <c r="AE14" s="9">
        <f t="shared" ref="AE14" si="17">A15</f>
        <v>1107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天浄の鮮風 ラファエロ</v>
      </c>
      <c r="AG14" s="5">
        <f t="shared" ca="1" si="1"/>
        <v>1106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ラファエロ</v>
      </c>
      <c r="AI14" s="11">
        <f ca="1">IF(AE14="NULL","NULL",VLOOKUP(G14,ビット!$A$2:$B$7,2))</f>
        <v>200000</v>
      </c>
      <c r="AJ14" s="6">
        <v>2</v>
      </c>
      <c r="AK14" s="7" t="str">
        <f t="shared" si="12"/>
        <v>普通</v>
      </c>
      <c r="AL14" s="11" t="str">
        <f ca="1">INDEX(経験値!$A$1:$I$21,MATCH(H14,経験値!$A$1:$A$21,FALSE),MATCH(G14,経験値!$A$1:$I$1,FALSE))</f>
        <v>required_exp_200</v>
      </c>
      <c r="AM14" s="8">
        <f ca="1">VLOOKUP(G14,経験値!$A$28:$B$32,2)</f>
        <v>6400</v>
      </c>
      <c r="AN14" s="17">
        <f ca="1">VLOOKUP(G14,ビット!$G$2:$H$7,2)</f>
        <v>900</v>
      </c>
      <c r="AO14" s="45"/>
      <c r="AP14" s="67">
        <f t="shared" si="7"/>
        <v>1106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筆斬スクォラ・ディ・アテナイ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赤・緑パネルを黄パネルに変換+3ターン黄属性のCパネル生成を短縮(効果特大)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8"/>
        <v>1106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ブラッシュ・スラッシュ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</v>
      </c>
      <c r="AZ14" s="68">
        <v>1.05</v>
      </c>
      <c r="BA14" s="68">
        <v>0</v>
      </c>
      <c r="BB14" s="68">
        <v>1</v>
      </c>
      <c r="BC14" s="11">
        <f ca="1">INDEX('RC6SV'!$A$1:$G$21,MATCH(H14,'RC6SV'!$A$1:$A$21,FALSE),MATCH(G14,'RC6SV'!$A$1:$G$1,FALSE))</f>
        <v>9500</v>
      </c>
      <c r="BD14" s="48">
        <f t="shared" ca="1" si="13"/>
        <v>9500</v>
      </c>
      <c r="BE14" s="11">
        <f t="shared" ca="1" si="4"/>
        <v>0</v>
      </c>
      <c r="BF14" s="11">
        <f t="shared" ca="1" si="5"/>
        <v>1</v>
      </c>
      <c r="BG14" s="16">
        <f ca="1">IF($BE14&lt;=0,ROUND(BK14*0.5,0), ROUND($BE14*S14*AA14*J14*AY14*0.8*[1]ステータス!$B$2,0))</f>
        <v>2188</v>
      </c>
      <c r="BH14" s="16">
        <f ca="1">IF($BE14&lt;=0,ROUND(BL14*0.5,0), ROUND($BE14*T14*AB14*K14*AZ14*0.8*[1]ステータス!$C$2,0))</f>
        <v>1990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860</v>
      </c>
      <c r="BK14" s="11">
        <f ca="1">ROUND(BD14*S14*AA14*J14*AY14*[1]ステータス!$B$2,0)</f>
        <v>4376</v>
      </c>
      <c r="BL14" s="11">
        <f ca="1">ROUND(BD14*T14*AB14*K14*AZ14*[1]ステータス!$C$2,0)</f>
        <v>3980</v>
      </c>
      <c r="BM14" s="11">
        <f ca="1">ROUND(BD14*U14*AC14*L14*BA14*[1]ステータス!$D$2,0)</f>
        <v>0</v>
      </c>
      <c r="BN14" s="11">
        <f ca="1">ROUND(BD14*V14*AD14*M14*BB14*[1]ステータス!$E$2,0)</f>
        <v>1720</v>
      </c>
      <c r="BO14" s="10">
        <v>0</v>
      </c>
      <c r="BP14" s="10">
        <v>1</v>
      </c>
      <c r="BQ14" s="38" t="s">
        <v>47</v>
      </c>
      <c r="BR14" s="12">
        <f ca="1">VLOOKUP(H14,ghosts_label!$A$2:$B$19,2,FALSE)</f>
        <v>5500</v>
      </c>
    </row>
    <row r="15" spans="1:70" ht="26" customHeight="1" x14ac:dyDescent="0.15">
      <c r="A15" s="191">
        <v>1107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天浄の鮮風 ラファエロ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未定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アリス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世界観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不明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INDEX(コスト!$A$1:$I$21,MATCH(H15,コスト!$A$1:$A$21,FALSE),MATCH(G15,コスト!$A$1:$I$1,FALSE))</f>
        <v>50</v>
      </c>
      <c r="O15" s="11">
        <f ca="1">INDEX(レベル!$A$1:$I$22,MATCH(H15,レベル!$A$1:$A$22,FALSE),MATCH(G15,レベル!$A$1:$I$1,FALSE))</f>
        <v>99</v>
      </c>
      <c r="P15" s="48">
        <f t="shared" ca="1" si="0"/>
        <v>99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attack</v>
      </c>
      <c r="R15" s="5" t="str">
        <f ca="1">VLOOKUP(Q15,[1]character_type_i18n!$A:$H,3,FALSE)</f>
        <v>攻撃タイプ</v>
      </c>
      <c r="S15" s="11">
        <f ca="1">VLOOKUP(Q15,[1]character_type_i18n!$A:$H,4,FALSE)</f>
        <v>1</v>
      </c>
      <c r="T15" s="11">
        <f ca="1">VLOOKUP(Q15,[1]character_type_i18n!$A:$H,5,FALSE)</f>
        <v>1.33</v>
      </c>
      <c r="U15" s="11">
        <f ca="1">VLOOKUP(Q15,[1]character_type_i18n!$A:$H,6,FALSE)</f>
        <v>1</v>
      </c>
      <c r="V15" s="11">
        <f ca="1">VLOOKUP(Q15,[1]character_type_i18n!$A:$H,7,FALSE)</f>
        <v>0.67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human</v>
      </c>
      <c r="X15" s="5" t="str">
        <f ca="1">VLOOKUP(W15,[1]character_tribe_i18n!$A:$H,3,FALSE)</f>
        <v>ヒューマン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god</v>
      </c>
      <c r="Z15" s="5" t="str">
        <f ca="1">VLOOKUP(Y15,[1]character_tribe_i18n!$A:$H,3,FALSE)</f>
        <v>ゴッド</v>
      </c>
      <c r="AA15" s="11">
        <f ca="1">VLOOKUP(W15,[1]character_tribe_i18n!$A:$H,4,FALSE)</f>
        <v>0.94</v>
      </c>
      <c r="AB15" s="11">
        <f ca="1">VLOOKUP(W15,[1]character_tribe_i18n!$A:$H,5,FALSE)</f>
        <v>0.99</v>
      </c>
      <c r="AC15" s="11">
        <f ca="1">VLOOKUP(W15,[1]character_tribe_i18n!$A:$H,6,FALSE)</f>
        <v>1</v>
      </c>
      <c r="AD15" s="11">
        <f ca="1">VLOOKUP(W15,[1]character_tribe_i18n!$A:$H,7,FALSE)</f>
        <v>1.07</v>
      </c>
      <c r="AE15" s="9" t="s">
        <v>349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f ca="1">AG14</f>
        <v>1106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ラファエロ</v>
      </c>
      <c r="AI15" s="11" t="str">
        <f>IF(AE15="NULL","NULL",VLOOKUP(G15,ビット!$A$2:$B$7,2))</f>
        <v>NULL</v>
      </c>
      <c r="AJ15" s="6">
        <v>2</v>
      </c>
      <c r="AK15" s="7" t="str">
        <f t="shared" ref="AK15" si="18">IF(AJ15=1,"早熟",IF(AJ15=2,"普通",IF(AJ15=3,"晩成","")))</f>
        <v>普通</v>
      </c>
      <c r="AL15" s="11" t="str">
        <f ca="1">INDEX(経験値!$A$1:$I$21,MATCH(H15,経験値!$A$1:$A$21,FALSE),MATCH(G15,経験値!$A$1:$I$1,FALSE))</f>
        <v>required_exp_250</v>
      </c>
      <c r="AM15" s="8">
        <f ca="1">VLOOKUP(G15,経験値!$A$28:$B$32,2)</f>
        <v>6400</v>
      </c>
      <c r="AN15" s="17">
        <f ca="1">VLOOKUP(G15,ビット!$G$2:$H$7,2)</f>
        <v>900</v>
      </c>
      <c r="AO15" s="45"/>
      <c r="AP15" s="67">
        <f t="shared" si="7"/>
        <v>1107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筆斬スクォラ・ディ・アテナイ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赤・緑パネルを黄パネルに変換+3ターン黄属性のCパネル生成を短縮(効果特大)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8"/>
        <v>1107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ブラッシュ・ルネッサンス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</v>
      </c>
      <c r="AZ15" s="68">
        <v>1.05</v>
      </c>
      <c r="BA15" s="68">
        <v>0</v>
      </c>
      <c r="BB15" s="68">
        <v>1</v>
      </c>
      <c r="BC15" s="11">
        <f ca="1">INDEX('RC6SV'!$A$1:$G$21,MATCH(H15,'RC6SV'!$A$1:$A$21,FALSE),MATCH(G15,'RC6SV'!$A$1:$G$1,FALSE))</f>
        <v>13000</v>
      </c>
      <c r="BD15" s="48">
        <f t="shared" ref="BD15" ca="1" si="19">ROUND(BC15*IF(AJ15=1,0.95,IF(AJ15=2,1,IF(AJ15,1.05,0))),0)</f>
        <v>13000</v>
      </c>
      <c r="BE15" s="11">
        <f t="shared" ca="1" si="4"/>
        <v>9500</v>
      </c>
      <c r="BF15" s="11">
        <f t="shared" ca="1" si="5"/>
        <v>1</v>
      </c>
      <c r="BG15" s="16">
        <f ca="1">IF($BE15&lt;=0,ROUND(BK15*0.5,0), ROUND($BE15*S15*AA15*J15*AY15*0.8*[1]ステータス!$B$2,0))</f>
        <v>3501</v>
      </c>
      <c r="BH15" s="16">
        <f ca="1">IF($BE15&lt;=0,ROUND(BL15*0.5,0), ROUND($BE15*T15*AB15*K15*AZ15*0.8*[1]ステータス!$C$2,0))</f>
        <v>3184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1376</v>
      </c>
      <c r="BK15" s="11">
        <f ca="1">ROUND(BD15*S15*AA15*J15*AY15*[1]ステータス!$B$2,0)</f>
        <v>5988</v>
      </c>
      <c r="BL15" s="11">
        <f ca="1">ROUND(BD15*T15*AB15*K15*AZ15*[1]ステータス!$C$2,0)</f>
        <v>5446</v>
      </c>
      <c r="BM15" s="11">
        <f ca="1">ROUND(BD15*U15*AC15*L15*BA15*[1]ステータス!$D$2,0)</f>
        <v>0</v>
      </c>
      <c r="BN15" s="11">
        <f ca="1">ROUND(BD15*V15*AD15*M15*BB15*[1]ステータス!$E$2,0)</f>
        <v>2353</v>
      </c>
      <c r="BO15" s="10">
        <v>0</v>
      </c>
      <c r="BP15" s="10">
        <v>1</v>
      </c>
      <c r="BQ15" s="38" t="s">
        <v>47</v>
      </c>
      <c r="BR15" s="12">
        <f ca="1">VLOOKUP(H15,ghosts_label!$A$2:$B$19,2,FALSE)</f>
        <v>5500</v>
      </c>
    </row>
  </sheetData>
  <autoFilter ref="A1:BQ1"/>
  <phoneticPr fontId="10"/>
  <conditionalFormatting sqref="BO1">
    <cfRule type="cellIs" dxfId="33" priority="120" stopIfTrue="1" operator="equal">
      <formula>1</formula>
    </cfRule>
  </conditionalFormatting>
  <conditionalFormatting sqref="BQ1">
    <cfRule type="cellIs" dxfId="3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5"/>
  <sheetViews>
    <sheetView showGridLines="0" zoomScale="85" workbookViewId="0">
      <pane xSplit="4" ySplit="1" topLeftCell="E4" activePane="bottomRight" state="frozen"/>
      <selection pane="topRight" activeCell="D1" sqref="D1"/>
      <selection pane="bottomLeft" activeCell="A2" sqref="A2"/>
      <selection pane="bottomRight" activeCell="D10" sqref="D10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146</v>
      </c>
      <c r="G1" s="123" t="s">
        <v>2</v>
      </c>
      <c r="H1" s="123" t="s">
        <v>165</v>
      </c>
      <c r="I1" s="123" t="s">
        <v>166</v>
      </c>
      <c r="J1" s="124" t="s">
        <v>183</v>
      </c>
      <c r="K1" s="123" t="s">
        <v>4</v>
      </c>
      <c r="L1" s="125" t="s">
        <v>167</v>
      </c>
      <c r="M1" s="126" t="s">
        <v>168</v>
      </c>
      <c r="N1" s="126" t="s">
        <v>169</v>
      </c>
      <c r="O1" s="126" t="s">
        <v>170</v>
      </c>
      <c r="P1" s="126" t="s">
        <v>171</v>
      </c>
      <c r="Q1" s="127" t="s">
        <v>172</v>
      </c>
      <c r="R1" s="128" t="s">
        <v>173</v>
      </c>
      <c r="S1" s="129" t="s">
        <v>174</v>
      </c>
    </row>
    <row r="2" spans="1:19" ht="21" customHeight="1" x14ac:dyDescent="0.15">
      <c r="A2" s="191">
        <v>1094</v>
      </c>
      <c r="B2" s="134" t="s">
        <v>184</v>
      </c>
      <c r="C2" s="203" t="s">
        <v>357</v>
      </c>
      <c r="D2" s="135" t="s">
        <v>359</v>
      </c>
      <c r="E2" s="136">
        <f t="shared" ref="E2" si="0">LEN(D2)</f>
        <v>27</v>
      </c>
      <c r="F2" s="118">
        <v>12</v>
      </c>
      <c r="G2" s="118">
        <v>5</v>
      </c>
      <c r="H2" s="137">
        <f>2001</f>
        <v>2001</v>
      </c>
      <c r="I2" s="137" t="s">
        <v>360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メルクシャ</v>
      </c>
      <c r="K2" s="138">
        <v>3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91">
        <v>1095</v>
      </c>
      <c r="B3" s="134" t="s">
        <v>184</v>
      </c>
      <c r="C3" s="203" t="s">
        <v>358</v>
      </c>
      <c r="D3" s="135" t="s">
        <v>331</v>
      </c>
      <c r="E3" s="136">
        <f t="shared" ref="E3:E4" si="1">LEN(D3)</f>
        <v>28</v>
      </c>
      <c r="F3" s="118">
        <v>13</v>
      </c>
      <c r="G3" s="118">
        <v>5</v>
      </c>
      <c r="H3" s="137">
        <f>2001</f>
        <v>2001</v>
      </c>
      <c r="I3" s="137" t="s">
        <v>336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誓愛の絵花 メルクシャ</v>
      </c>
      <c r="K3" s="138">
        <v>3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91">
        <v>1096</v>
      </c>
      <c r="B4" s="134" t="s">
        <v>184</v>
      </c>
      <c r="C4" s="203" t="s">
        <v>356</v>
      </c>
      <c r="D4" s="135" t="s">
        <v>332</v>
      </c>
      <c r="E4" s="136">
        <f t="shared" si="1"/>
        <v>48</v>
      </c>
      <c r="F4" s="118">
        <v>9</v>
      </c>
      <c r="G4" s="118">
        <v>5</v>
      </c>
      <c r="H4" s="137">
        <f>2001</f>
        <v>2001</v>
      </c>
      <c r="I4" s="137" t="s">
        <v>455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ジャ・リダルサ</v>
      </c>
      <c r="K4" s="138">
        <v>3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91">
        <v>1097</v>
      </c>
      <c r="B5" s="134" t="s">
        <v>184</v>
      </c>
      <c r="C5" s="203" t="s">
        <v>356</v>
      </c>
      <c r="D5" s="135" t="s">
        <v>332</v>
      </c>
      <c r="E5" s="136">
        <f t="shared" ref="E5:E15" si="2">LEN(D5)</f>
        <v>48</v>
      </c>
      <c r="F5" s="118">
        <v>9</v>
      </c>
      <c r="G5" s="118">
        <v>5</v>
      </c>
      <c r="H5" s="137">
        <f>2001</f>
        <v>2001</v>
      </c>
      <c r="I5" s="137" t="s">
        <v>456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超現実才奇 ジャ・リダルサ</v>
      </c>
      <c r="K5" s="138">
        <v>3</v>
      </c>
      <c r="L5" s="139"/>
      <c r="M5" s="140"/>
      <c r="N5" s="140"/>
      <c r="O5" s="140"/>
      <c r="P5" s="140"/>
      <c r="Q5" s="140"/>
      <c r="R5" s="135"/>
      <c r="S5" s="141"/>
    </row>
    <row r="6" spans="1:19" ht="21" customHeight="1" x14ac:dyDescent="0.15">
      <c r="A6" s="191">
        <v>1098</v>
      </c>
      <c r="B6" s="134" t="s">
        <v>184</v>
      </c>
      <c r="C6" s="203" t="s">
        <v>361</v>
      </c>
      <c r="D6" s="135" t="s">
        <v>467</v>
      </c>
      <c r="E6" s="136">
        <f t="shared" si="2"/>
        <v>40</v>
      </c>
      <c r="F6" s="118">
        <v>12</v>
      </c>
      <c r="G6" s="118">
        <v>7</v>
      </c>
      <c r="H6" s="137">
        <f>2001</f>
        <v>2001</v>
      </c>
      <c r="I6" s="137" t="s">
        <v>466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ルピカ</v>
      </c>
      <c r="K6" s="138">
        <v>3</v>
      </c>
      <c r="L6" s="139"/>
      <c r="M6" s="140"/>
      <c r="N6" s="140"/>
      <c r="O6" s="140"/>
      <c r="P6" s="140"/>
      <c r="Q6" s="140"/>
      <c r="R6" s="135"/>
      <c r="S6" s="141"/>
    </row>
    <row r="7" spans="1:19" ht="21" customHeight="1" x14ac:dyDescent="0.15">
      <c r="A7" s="191">
        <v>1099</v>
      </c>
      <c r="B7" s="134" t="s">
        <v>184</v>
      </c>
      <c r="C7" s="203" t="s">
        <v>361</v>
      </c>
      <c r="D7" s="135" t="s">
        <v>468</v>
      </c>
      <c r="E7" s="136">
        <f t="shared" si="2"/>
        <v>40</v>
      </c>
      <c r="F7" s="118">
        <v>12</v>
      </c>
      <c r="G7" s="118">
        <v>7</v>
      </c>
      <c r="H7" s="137">
        <f>2001</f>
        <v>2001</v>
      </c>
      <c r="I7" s="137" t="s">
        <v>465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破築の連創 ルピカ</v>
      </c>
      <c r="K7" s="138">
        <v>3</v>
      </c>
      <c r="L7" s="139"/>
      <c r="M7" s="140"/>
      <c r="N7" s="140"/>
      <c r="O7" s="140"/>
      <c r="P7" s="140"/>
      <c r="Q7" s="140"/>
      <c r="R7" s="135"/>
      <c r="S7" s="141"/>
    </row>
    <row r="8" spans="1:19" ht="21" customHeight="1" x14ac:dyDescent="0.15">
      <c r="A8" s="191">
        <v>1100</v>
      </c>
      <c r="B8" s="134" t="s">
        <v>184</v>
      </c>
      <c r="C8" s="203" t="s">
        <v>353</v>
      </c>
      <c r="D8" s="135" t="s">
        <v>493</v>
      </c>
      <c r="E8" s="136">
        <f>LEN(D8)</f>
        <v>52</v>
      </c>
      <c r="F8" s="118">
        <v>12</v>
      </c>
      <c r="G8" s="118">
        <v>5</v>
      </c>
      <c r="H8" s="137">
        <f>2001</f>
        <v>2001</v>
      </c>
      <c r="I8" s="137" t="s">
        <v>462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北斎</v>
      </c>
      <c r="K8" s="138">
        <v>3</v>
      </c>
      <c r="L8" s="139"/>
      <c r="M8" s="140"/>
      <c r="N8" s="140"/>
      <c r="O8" s="140"/>
      <c r="P8" s="140"/>
      <c r="Q8" s="140"/>
      <c r="R8" s="135"/>
      <c r="S8" s="141"/>
    </row>
    <row r="9" spans="1:19" ht="21" customHeight="1" x14ac:dyDescent="0.15">
      <c r="A9" s="191">
        <v>1101</v>
      </c>
      <c r="B9" s="134" t="s">
        <v>184</v>
      </c>
      <c r="C9" s="203" t="s">
        <v>354</v>
      </c>
      <c r="D9" s="135" t="s">
        <v>494</v>
      </c>
      <c r="E9" s="136">
        <f>LEN(D9)</f>
        <v>57</v>
      </c>
      <c r="F9" s="118">
        <v>12</v>
      </c>
      <c r="G9" s="118">
        <v>5</v>
      </c>
      <c r="H9" s="137">
        <f>2001</f>
        <v>2001</v>
      </c>
      <c r="I9" s="137" t="s">
        <v>463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浮世万物の筆刻者 北斎</v>
      </c>
      <c r="K9" s="138">
        <v>3</v>
      </c>
      <c r="L9" s="139"/>
      <c r="M9" s="140"/>
      <c r="N9" s="140"/>
      <c r="O9" s="140"/>
      <c r="P9" s="140"/>
      <c r="Q9" s="140"/>
      <c r="R9" s="135"/>
      <c r="S9" s="141"/>
    </row>
    <row r="10" spans="1:19" ht="21" customHeight="1" x14ac:dyDescent="0.15">
      <c r="A10" s="191">
        <v>1102</v>
      </c>
      <c r="B10" s="134" t="s">
        <v>184</v>
      </c>
      <c r="C10" s="135" t="s">
        <v>352</v>
      </c>
      <c r="D10" s="135" t="s">
        <v>460</v>
      </c>
      <c r="E10" s="136">
        <f>LEN(D10)</f>
        <v>61</v>
      </c>
      <c r="F10" s="118">
        <v>11</v>
      </c>
      <c r="G10" s="118">
        <v>5</v>
      </c>
      <c r="H10" s="137">
        <f>2001</f>
        <v>2001</v>
      </c>
      <c r="I10" s="137" t="s">
        <v>330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ドガ</v>
      </c>
      <c r="K10" s="138">
        <v>3</v>
      </c>
      <c r="L10" s="139"/>
      <c r="M10" s="140"/>
      <c r="N10" s="140"/>
      <c r="O10" s="140"/>
      <c r="P10" s="140"/>
      <c r="Q10" s="140"/>
      <c r="R10" s="135"/>
      <c r="S10" s="141"/>
    </row>
    <row r="11" spans="1:19" ht="21" customHeight="1" x14ac:dyDescent="0.15">
      <c r="A11" s="191">
        <v>1103</v>
      </c>
      <c r="B11" s="134" t="s">
        <v>184</v>
      </c>
      <c r="C11" s="135" t="s">
        <v>352</v>
      </c>
      <c r="D11" s="135" t="s">
        <v>460</v>
      </c>
      <c r="E11" s="136">
        <f t="shared" si="2"/>
        <v>61</v>
      </c>
      <c r="F11" s="118">
        <v>11</v>
      </c>
      <c r="G11" s="118">
        <v>5</v>
      </c>
      <c r="H11" s="137">
        <f>2001</f>
        <v>2001</v>
      </c>
      <c r="I11" s="137" t="s">
        <v>327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舞台裏の鼠展 ドガ</v>
      </c>
      <c r="K11" s="138">
        <v>3</v>
      </c>
      <c r="L11" s="139"/>
      <c r="M11" s="140"/>
      <c r="N11" s="140"/>
      <c r="O11" s="140"/>
      <c r="P11" s="140"/>
      <c r="Q11" s="140"/>
      <c r="R11" s="135"/>
      <c r="S11" s="141"/>
    </row>
    <row r="12" spans="1:19" ht="21" customHeight="1" x14ac:dyDescent="0.15">
      <c r="A12" s="191">
        <v>1104</v>
      </c>
      <c r="B12" s="134" t="s">
        <v>184</v>
      </c>
      <c r="C12" s="203" t="s">
        <v>355</v>
      </c>
      <c r="D12" s="135" t="s">
        <v>443</v>
      </c>
      <c r="E12" s="136">
        <f t="shared" si="2"/>
        <v>52</v>
      </c>
      <c r="F12" s="118">
        <v>12</v>
      </c>
      <c r="G12" s="118">
        <v>5</v>
      </c>
      <c r="H12" s="137">
        <f>2001</f>
        <v>2001</v>
      </c>
      <c r="I12" s="137" t="s">
        <v>464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クリムト</v>
      </c>
      <c r="K12" s="138">
        <v>3</v>
      </c>
      <c r="L12" s="139"/>
      <c r="M12" s="140"/>
      <c r="N12" s="140"/>
      <c r="O12" s="140"/>
      <c r="P12" s="140"/>
      <c r="Q12" s="140"/>
      <c r="R12" s="135"/>
      <c r="S12" s="141"/>
    </row>
    <row r="13" spans="1:19" ht="21" customHeight="1" x14ac:dyDescent="0.15">
      <c r="A13" s="191">
        <v>1105</v>
      </c>
      <c r="B13" s="134" t="s">
        <v>184</v>
      </c>
      <c r="C13" s="203" t="s">
        <v>355</v>
      </c>
      <c r="D13" s="135" t="s">
        <v>444</v>
      </c>
      <c r="E13" s="136">
        <f t="shared" si="2"/>
        <v>52</v>
      </c>
      <c r="F13" s="118">
        <v>12</v>
      </c>
      <c r="G13" s="118">
        <v>5</v>
      </c>
      <c r="H13" s="137">
        <f>2001</f>
        <v>2001</v>
      </c>
      <c r="I13" s="137" t="s">
        <v>464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甘美なる背徳 クリムト</v>
      </c>
      <c r="K13" s="138">
        <v>3</v>
      </c>
      <c r="L13" s="139"/>
      <c r="M13" s="140"/>
      <c r="N13" s="140"/>
      <c r="O13" s="140"/>
      <c r="P13" s="140"/>
      <c r="Q13" s="140"/>
      <c r="R13" s="135"/>
      <c r="S13" s="141"/>
    </row>
    <row r="14" spans="1:19" ht="21" customHeight="1" x14ac:dyDescent="0.15">
      <c r="A14" s="191">
        <v>1106</v>
      </c>
      <c r="B14" s="134" t="s">
        <v>184</v>
      </c>
      <c r="C14" s="135" t="s">
        <v>350</v>
      </c>
      <c r="D14" s="135" t="s">
        <v>334</v>
      </c>
      <c r="E14" s="136">
        <f t="shared" si="2"/>
        <v>38</v>
      </c>
      <c r="F14" s="118">
        <v>11</v>
      </c>
      <c r="G14" s="118">
        <v>5</v>
      </c>
      <c r="H14" s="137">
        <f>2001</f>
        <v>2001</v>
      </c>
      <c r="I14" s="137" t="s">
        <v>333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ラファエロ</v>
      </c>
      <c r="K14" s="138">
        <v>3</v>
      </c>
      <c r="L14" s="139"/>
      <c r="M14" s="140"/>
      <c r="N14" s="140"/>
      <c r="O14" s="140"/>
      <c r="P14" s="140"/>
      <c r="Q14" s="140"/>
      <c r="R14" s="135"/>
      <c r="S14" s="141"/>
    </row>
    <row r="15" spans="1:19" ht="21" customHeight="1" x14ac:dyDescent="0.15">
      <c r="A15" s="191">
        <v>1107</v>
      </c>
      <c r="B15" s="134" t="s">
        <v>184</v>
      </c>
      <c r="C15" s="135" t="s">
        <v>351</v>
      </c>
      <c r="D15" s="135" t="s">
        <v>334</v>
      </c>
      <c r="E15" s="136">
        <f t="shared" si="2"/>
        <v>38</v>
      </c>
      <c r="F15" s="118">
        <v>11</v>
      </c>
      <c r="G15" s="118">
        <v>5</v>
      </c>
      <c r="H15" s="137">
        <f>2001</f>
        <v>2001</v>
      </c>
      <c r="I15" s="137" t="s">
        <v>335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天浄の鮮風 ラファエロ</v>
      </c>
      <c r="K15" s="138">
        <v>3</v>
      </c>
      <c r="L15" s="139"/>
      <c r="M15" s="140"/>
      <c r="N15" s="140"/>
      <c r="O15" s="140"/>
      <c r="P15" s="140"/>
      <c r="Q15" s="140"/>
      <c r="R15" s="135"/>
      <c r="S15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6:E1048576">
    <cfRule type="cellIs" dxfId="31" priority="8" operator="greaterThan">
      <formula>41</formula>
    </cfRule>
  </conditionalFormatting>
  <conditionalFormatting sqref="E2 E4 E6 E8 E10 E12 E14">
    <cfRule type="cellIs" dxfId="30" priority="2" operator="greaterThan">
      <formula>41</formula>
    </cfRule>
  </conditionalFormatting>
  <conditionalFormatting sqref="E3 E5 E7 E9 E11 E13 E15">
    <cfRule type="cellIs" dxfId="29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9" sqref="D9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182</v>
      </c>
      <c r="B1" s="120" t="s">
        <v>181</v>
      </c>
      <c r="C1" s="121" t="s">
        <v>180</v>
      </c>
      <c r="D1" s="122" t="s">
        <v>179</v>
      </c>
      <c r="E1" s="122" t="s">
        <v>178</v>
      </c>
      <c r="F1" s="123" t="s">
        <v>177</v>
      </c>
      <c r="G1" s="124" t="s">
        <v>183</v>
      </c>
      <c r="H1" s="123" t="s">
        <v>176</v>
      </c>
      <c r="I1" s="124" t="s">
        <v>175</v>
      </c>
      <c r="J1" s="128" t="s">
        <v>174</v>
      </c>
    </row>
    <row r="2" spans="1:19" ht="21" customHeight="1" x14ac:dyDescent="0.15">
      <c r="A2" s="12">
        <v>1094</v>
      </c>
      <c r="B2" s="134" t="s">
        <v>185</v>
      </c>
      <c r="C2" s="203" t="s">
        <v>362</v>
      </c>
      <c r="D2" s="135" t="s">
        <v>341</v>
      </c>
      <c r="E2" s="136">
        <f t="shared" ref="E2" si="0">LEN(D2)</f>
        <v>8</v>
      </c>
      <c r="F2" s="118" t="s">
        <v>344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メルクシャ</v>
      </c>
      <c r="H2" s="137">
        <v>3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1095</v>
      </c>
      <c r="B3" s="134" t="s">
        <v>185</v>
      </c>
      <c r="C3" s="203" t="s">
        <v>363</v>
      </c>
      <c r="D3" s="135" t="s">
        <v>342</v>
      </c>
      <c r="E3" s="136">
        <f t="shared" ref="E3:E4" si="1">LEN(D3)</f>
        <v>9</v>
      </c>
      <c r="F3" s="118" t="s">
        <v>343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誓愛の絵花 メルクシャ</v>
      </c>
      <c r="H3" s="137">
        <v>3</v>
      </c>
      <c r="I3" s="137"/>
      <c r="J3" s="142"/>
      <c r="K3" s="138">
        <v>1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1096</v>
      </c>
      <c r="B4" s="134" t="s">
        <v>185</v>
      </c>
      <c r="C4" s="203" t="s">
        <v>364</v>
      </c>
      <c r="D4" s="135" t="s">
        <v>367</v>
      </c>
      <c r="E4" s="136">
        <f t="shared" si="1"/>
        <v>21</v>
      </c>
      <c r="F4" s="118" t="s">
        <v>369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ジャ・リダルサ</v>
      </c>
      <c r="H4" s="137">
        <v>3</v>
      </c>
      <c r="I4" s="137"/>
      <c r="J4" s="142"/>
      <c r="K4" s="138">
        <v>1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1097</v>
      </c>
      <c r="B5" s="134" t="s">
        <v>185</v>
      </c>
      <c r="C5" s="203" t="s">
        <v>365</v>
      </c>
      <c r="D5" s="135" t="s">
        <v>368</v>
      </c>
      <c r="E5" s="136">
        <f t="shared" ref="E5:E15" si="2">LEN(D5)</f>
        <v>21</v>
      </c>
      <c r="F5" s="118" t="s">
        <v>459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超現実才奇 ジャ・リダルサ</v>
      </c>
      <c r="H5" s="137">
        <v>3</v>
      </c>
      <c r="I5" s="137"/>
      <c r="J5" s="142"/>
      <c r="K5" s="138">
        <v>1</v>
      </c>
      <c r="L5" s="139"/>
      <c r="M5" s="140"/>
      <c r="N5" s="140"/>
      <c r="O5" s="140"/>
      <c r="P5" s="140"/>
      <c r="Q5" s="140"/>
      <c r="R5" s="135"/>
      <c r="S5" s="141"/>
    </row>
    <row r="6" spans="1:19" ht="21" customHeight="1" x14ac:dyDescent="0.15">
      <c r="A6" s="12">
        <v>1098</v>
      </c>
      <c r="B6" s="134" t="s">
        <v>185</v>
      </c>
      <c r="C6" s="203" t="s">
        <v>366</v>
      </c>
      <c r="D6" s="135" t="s">
        <v>370</v>
      </c>
      <c r="E6" s="136">
        <f t="shared" si="2"/>
        <v>17</v>
      </c>
      <c r="F6" s="118" t="s">
        <v>371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ルピカ</v>
      </c>
      <c r="H6" s="137">
        <v>3</v>
      </c>
      <c r="I6" s="137"/>
      <c r="J6" s="142"/>
      <c r="K6" s="138">
        <v>1</v>
      </c>
      <c r="L6" s="139"/>
      <c r="M6" s="140"/>
      <c r="N6" s="140"/>
      <c r="O6" s="140"/>
      <c r="P6" s="140"/>
      <c r="Q6" s="140"/>
      <c r="R6" s="135"/>
      <c r="S6" s="141"/>
    </row>
    <row r="7" spans="1:19" ht="21" customHeight="1" x14ac:dyDescent="0.15">
      <c r="A7" s="12">
        <v>1099</v>
      </c>
      <c r="B7" s="134" t="s">
        <v>185</v>
      </c>
      <c r="C7" s="203" t="s">
        <v>372</v>
      </c>
      <c r="D7" s="135" t="s">
        <v>457</v>
      </c>
      <c r="E7" s="136">
        <f t="shared" si="2"/>
        <v>17</v>
      </c>
      <c r="F7" s="118" t="s">
        <v>458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破築の連創 ルピカ</v>
      </c>
      <c r="H7" s="137">
        <v>3</v>
      </c>
      <c r="I7" s="137"/>
      <c r="J7" s="142"/>
      <c r="K7" s="138">
        <v>1</v>
      </c>
      <c r="L7" s="139"/>
      <c r="M7" s="140"/>
      <c r="N7" s="140"/>
      <c r="O7" s="140"/>
      <c r="P7" s="140"/>
      <c r="Q7" s="140"/>
      <c r="R7" s="135"/>
      <c r="S7" s="141"/>
    </row>
    <row r="8" spans="1:19" ht="21" customHeight="1" x14ac:dyDescent="0.15">
      <c r="A8" s="12">
        <v>1100</v>
      </c>
      <c r="B8" s="134" t="s">
        <v>185</v>
      </c>
      <c r="C8" s="203" t="s">
        <v>374</v>
      </c>
      <c r="D8" s="135" t="s">
        <v>337</v>
      </c>
      <c r="E8" s="136">
        <f t="shared" si="2"/>
        <v>18</v>
      </c>
      <c r="F8" s="192" t="s">
        <v>491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北斎</v>
      </c>
      <c r="H8" s="137">
        <v>3</v>
      </c>
      <c r="I8" s="137"/>
      <c r="J8" s="142"/>
      <c r="K8" s="138">
        <v>1</v>
      </c>
      <c r="L8" s="139"/>
      <c r="M8" s="140"/>
      <c r="N8" s="140"/>
      <c r="O8" s="140"/>
      <c r="P8" s="140"/>
      <c r="Q8" s="140"/>
      <c r="R8" s="135"/>
      <c r="S8" s="141"/>
    </row>
    <row r="9" spans="1:19" ht="21" customHeight="1" x14ac:dyDescent="0.15">
      <c r="A9" s="12">
        <v>1101</v>
      </c>
      <c r="B9" s="134" t="s">
        <v>185</v>
      </c>
      <c r="C9" s="203" t="s">
        <v>373</v>
      </c>
      <c r="D9" s="135" t="s">
        <v>461</v>
      </c>
      <c r="E9" s="136">
        <f t="shared" si="2"/>
        <v>19</v>
      </c>
      <c r="F9" s="206" t="s">
        <v>492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浮世万物の筆刻者 北斎</v>
      </c>
      <c r="H9" s="137">
        <v>3</v>
      </c>
      <c r="I9" s="137"/>
      <c r="J9" s="142"/>
      <c r="K9" s="138">
        <v>1</v>
      </c>
      <c r="L9" s="139"/>
      <c r="M9" s="140"/>
      <c r="N9" s="140"/>
      <c r="O9" s="140"/>
      <c r="P9" s="140"/>
      <c r="Q9" s="140"/>
      <c r="R9" s="135"/>
      <c r="S9" s="141"/>
    </row>
    <row r="10" spans="1:19" ht="21" customHeight="1" x14ac:dyDescent="0.15">
      <c r="A10" s="12">
        <v>1102</v>
      </c>
      <c r="B10" s="134" t="s">
        <v>185</v>
      </c>
      <c r="C10" s="203" t="s">
        <v>381</v>
      </c>
      <c r="D10" s="135" t="s">
        <v>326</v>
      </c>
      <c r="E10" s="136">
        <f t="shared" si="2"/>
        <v>24</v>
      </c>
      <c r="F10" s="192" t="s">
        <v>340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ドガ</v>
      </c>
      <c r="H10" s="137">
        <v>3</v>
      </c>
      <c r="I10" s="137"/>
      <c r="J10" s="142"/>
      <c r="K10" s="138">
        <v>1</v>
      </c>
      <c r="L10" s="139"/>
      <c r="M10" s="140"/>
      <c r="N10" s="140"/>
      <c r="O10" s="140"/>
      <c r="P10" s="140"/>
      <c r="Q10" s="140"/>
      <c r="R10" s="135"/>
      <c r="S10" s="141"/>
    </row>
    <row r="11" spans="1:19" ht="21" customHeight="1" x14ac:dyDescent="0.15">
      <c r="A11" s="12">
        <v>1103</v>
      </c>
      <c r="B11" s="134" t="s">
        <v>185</v>
      </c>
      <c r="C11" s="203" t="s">
        <v>382</v>
      </c>
      <c r="D11" s="135" t="s">
        <v>329</v>
      </c>
      <c r="E11" s="136">
        <f t="shared" si="2"/>
        <v>24</v>
      </c>
      <c r="F11" s="192" t="s">
        <v>328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舞台裏の鼠展 ドガ</v>
      </c>
      <c r="H11" s="137">
        <v>3</v>
      </c>
      <c r="I11" s="137"/>
      <c r="J11" s="142"/>
      <c r="K11" s="138">
        <v>1</v>
      </c>
      <c r="L11" s="139"/>
      <c r="M11" s="140"/>
      <c r="N11" s="140"/>
      <c r="O11" s="140"/>
      <c r="P11" s="140"/>
      <c r="Q11" s="140"/>
      <c r="R11" s="135"/>
      <c r="S11" s="141"/>
    </row>
    <row r="12" spans="1:19" ht="21" customHeight="1" x14ac:dyDescent="0.15">
      <c r="A12" s="12">
        <v>1104</v>
      </c>
      <c r="B12" s="134" t="s">
        <v>185</v>
      </c>
      <c r="C12" s="203" t="s">
        <v>375</v>
      </c>
      <c r="D12" s="135" t="s">
        <v>376</v>
      </c>
      <c r="E12" s="136">
        <f t="shared" si="2"/>
        <v>21</v>
      </c>
      <c r="F12" s="118" t="s">
        <v>377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クリムト</v>
      </c>
      <c r="H12" s="137">
        <v>3</v>
      </c>
      <c r="I12" s="137"/>
      <c r="J12" s="142"/>
      <c r="K12" s="138">
        <v>1</v>
      </c>
      <c r="L12" s="139"/>
      <c r="M12" s="140"/>
      <c r="N12" s="140"/>
      <c r="O12" s="140"/>
      <c r="P12" s="140"/>
      <c r="Q12" s="140"/>
      <c r="R12" s="135"/>
      <c r="S12" s="141"/>
    </row>
    <row r="13" spans="1:19" ht="21" customHeight="1" x14ac:dyDescent="0.15">
      <c r="A13" s="12">
        <v>1105</v>
      </c>
      <c r="B13" s="134" t="s">
        <v>185</v>
      </c>
      <c r="C13" s="203" t="s">
        <v>378</v>
      </c>
      <c r="D13" s="135" t="s">
        <v>338</v>
      </c>
      <c r="E13" s="136">
        <f t="shared" si="2"/>
        <v>22</v>
      </c>
      <c r="F13" s="118" t="s">
        <v>339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甘美なる背徳 クリムト</v>
      </c>
      <c r="H13" s="137">
        <v>3</v>
      </c>
      <c r="I13" s="137"/>
      <c r="J13" s="142"/>
      <c r="K13" s="138">
        <v>1</v>
      </c>
      <c r="L13" s="139"/>
      <c r="M13" s="140"/>
      <c r="N13" s="140"/>
      <c r="O13" s="140"/>
      <c r="P13" s="140"/>
      <c r="Q13" s="140"/>
      <c r="R13" s="135"/>
      <c r="S13" s="141"/>
    </row>
    <row r="14" spans="1:19" ht="21" customHeight="1" x14ac:dyDescent="0.15">
      <c r="A14" s="12">
        <v>1106</v>
      </c>
      <c r="B14" s="134" t="s">
        <v>185</v>
      </c>
      <c r="C14" s="203" t="s">
        <v>380</v>
      </c>
      <c r="D14" s="135" t="s">
        <v>347</v>
      </c>
      <c r="E14" s="136">
        <f t="shared" si="2"/>
        <v>8</v>
      </c>
      <c r="F14" s="118" t="s">
        <v>348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ラファエロ</v>
      </c>
      <c r="H14" s="137">
        <v>3</v>
      </c>
      <c r="I14" s="137"/>
      <c r="J14" s="142"/>
      <c r="K14" s="138">
        <v>1</v>
      </c>
      <c r="L14" s="139"/>
      <c r="M14" s="140"/>
      <c r="N14" s="140"/>
      <c r="O14" s="140"/>
      <c r="P14" s="140"/>
      <c r="Q14" s="140"/>
      <c r="R14" s="135"/>
      <c r="S14" s="141"/>
    </row>
    <row r="15" spans="1:19" ht="21" customHeight="1" x14ac:dyDescent="0.15">
      <c r="A15" s="12">
        <v>1107</v>
      </c>
      <c r="B15" s="134" t="s">
        <v>185</v>
      </c>
      <c r="C15" s="203" t="s">
        <v>379</v>
      </c>
      <c r="D15" s="135" t="s">
        <v>346</v>
      </c>
      <c r="E15" s="136">
        <f t="shared" si="2"/>
        <v>9</v>
      </c>
      <c r="F15" s="118" t="s">
        <v>345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天浄の鮮風 ラファエロ</v>
      </c>
      <c r="H15" s="137">
        <v>3</v>
      </c>
      <c r="I15" s="137"/>
      <c r="J15" s="142"/>
      <c r="K15" s="138">
        <v>1</v>
      </c>
      <c r="L15" s="139"/>
      <c r="M15" s="140"/>
      <c r="N15" s="140"/>
      <c r="O15" s="140"/>
      <c r="P15" s="140"/>
      <c r="Q15" s="140"/>
      <c r="R15" s="135"/>
      <c r="S15" s="141"/>
    </row>
  </sheetData>
  <sheetProtection selectLockedCells="1" selectUnlockedCells="1"/>
  <autoFilter ref="A1:J1"/>
  <phoneticPr fontId="22"/>
  <conditionalFormatting sqref="E2 E4 E6 E8 E10 E12 E14">
    <cfRule type="cellIs" dxfId="28" priority="2" operator="greaterThan">
      <formula>41</formula>
    </cfRule>
  </conditionalFormatting>
  <conditionalFormatting sqref="E3 E5 E7 E9 E11 E13 E15">
    <cfRule type="cellIs" dxfId="2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58"/>
  <sheetViews>
    <sheetView topLeftCell="A22" workbookViewId="0">
      <selection activeCell="B64" sqref="B64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  <col min="8" max="8" width="46.33203125" customWidth="1"/>
  </cols>
  <sheetData>
    <row r="1" spans="1:8" x14ac:dyDescent="0.15">
      <c r="A1" s="115" t="s">
        <v>186</v>
      </c>
      <c r="B1" s="143" t="s">
        <v>187</v>
      </c>
      <c r="C1" s="115" t="s">
        <v>188</v>
      </c>
      <c r="D1" s="143" t="s">
        <v>190</v>
      </c>
      <c r="E1" s="143" t="s">
        <v>191</v>
      </c>
      <c r="F1" s="113" t="s">
        <v>192</v>
      </c>
      <c r="G1" s="115" t="s">
        <v>189</v>
      </c>
      <c r="H1" s="113" t="s">
        <v>193</v>
      </c>
    </row>
    <row r="2" spans="1:8" x14ac:dyDescent="0.15">
      <c r="A2" s="109">
        <v>1094</v>
      </c>
      <c r="B2" s="143" t="str">
        <f>VLOOKUP(A2,[1]characters!$A:$C,3,FALSE)</f>
        <v>メルクシャ</v>
      </c>
      <c r="C2" s="109" t="s">
        <v>194</v>
      </c>
      <c r="D2" s="143" t="str">
        <f t="shared" ref="D2:D33" si="0">A2&amp;C2</f>
        <v>1094skill</v>
      </c>
      <c r="E2" s="143" t="str">
        <f>A2&amp;+(COUNTIF(A$2:A2,A2)-1)</f>
        <v>10940</v>
      </c>
      <c r="F2" s="109" t="s">
        <v>196</v>
      </c>
      <c r="G2" s="109" t="s">
        <v>195</v>
      </c>
      <c r="H2" s="109" t="s">
        <v>394</v>
      </c>
    </row>
    <row r="3" spans="1:8" x14ac:dyDescent="0.15">
      <c r="A3" s="109">
        <v>1094</v>
      </c>
      <c r="B3" s="143" t="str">
        <f>VLOOKUP(A3,[1]characters!$A:$C,3,FALSE)</f>
        <v>メルクシャ</v>
      </c>
      <c r="C3" s="109" t="s">
        <v>197</v>
      </c>
      <c r="D3" s="143" t="str">
        <f t="shared" si="0"/>
        <v>1094cskill</v>
      </c>
      <c r="E3" s="143" t="str">
        <f>A3&amp;+(COUNTIF(A$2:A3,A3)-1)</f>
        <v>10941</v>
      </c>
      <c r="F3" s="109" t="s">
        <v>196</v>
      </c>
      <c r="G3" s="203" t="s">
        <v>397</v>
      </c>
      <c r="H3" s="203" t="s">
        <v>398</v>
      </c>
    </row>
    <row r="4" spans="1:8" x14ac:dyDescent="0.15">
      <c r="A4" s="109">
        <v>1094</v>
      </c>
      <c r="B4" s="143" t="str">
        <f>VLOOKUP(A4,[1]characters!$A:$C,3,FALSE)</f>
        <v>メルクシャ</v>
      </c>
      <c r="C4" s="109" t="s">
        <v>197</v>
      </c>
      <c r="D4" s="143" t="str">
        <f t="shared" si="0"/>
        <v>1094cskill</v>
      </c>
      <c r="E4" s="143" t="str">
        <f>A4&amp;+(COUNTIF(A$2:A4,A4)-1)</f>
        <v>10942</v>
      </c>
      <c r="F4" s="109" t="s">
        <v>184</v>
      </c>
      <c r="G4" s="203" t="s">
        <v>397</v>
      </c>
      <c r="H4" s="203" t="s">
        <v>399</v>
      </c>
    </row>
    <row r="5" spans="1:8" x14ac:dyDescent="0.15">
      <c r="A5" s="109">
        <v>1095</v>
      </c>
      <c r="B5" s="143" t="str">
        <f>VLOOKUP(A5,[1]characters!$A:$C,3,FALSE)</f>
        <v>誓愛の絵花 メルクシャ</v>
      </c>
      <c r="C5" s="109" t="s">
        <v>194</v>
      </c>
      <c r="D5" s="143" t="str">
        <f t="shared" si="0"/>
        <v>1095skill</v>
      </c>
      <c r="E5" s="143" t="str">
        <f>A5&amp;+(COUNTIF(A$2:A5,A5)-1)</f>
        <v>10950</v>
      </c>
      <c r="F5" s="109" t="s">
        <v>184</v>
      </c>
      <c r="G5" s="203" t="s">
        <v>395</v>
      </c>
      <c r="H5" s="203" t="s">
        <v>396</v>
      </c>
    </row>
    <row r="6" spans="1:8" x14ac:dyDescent="0.15">
      <c r="A6" s="109">
        <v>1095</v>
      </c>
      <c r="B6" s="143" t="str">
        <f>VLOOKUP(A6,[1]characters!$A:$C,3,FALSE)</f>
        <v>誓愛の絵花 メルクシャ</v>
      </c>
      <c r="C6" s="109" t="s">
        <v>197</v>
      </c>
      <c r="D6" s="143" t="str">
        <f t="shared" si="0"/>
        <v>1095cskill</v>
      </c>
      <c r="E6" s="143" t="str">
        <f>A6&amp;+(COUNTIF(A$2:A6,A6)-1)</f>
        <v>10951</v>
      </c>
      <c r="F6" s="109" t="s">
        <v>184</v>
      </c>
      <c r="G6" s="203" t="s">
        <v>400</v>
      </c>
      <c r="H6" s="203" t="s">
        <v>401</v>
      </c>
    </row>
    <row r="7" spans="1:8" x14ac:dyDescent="0.15">
      <c r="A7" s="109">
        <v>1095</v>
      </c>
      <c r="B7" s="143" t="str">
        <f>VLOOKUP(A7,[1]characters!$A:$C,3,FALSE)</f>
        <v>誓愛の絵花 メルクシャ</v>
      </c>
      <c r="C7" s="109" t="s">
        <v>197</v>
      </c>
      <c r="D7" s="143" t="str">
        <f t="shared" si="0"/>
        <v>1095cskill</v>
      </c>
      <c r="E7" s="143" t="str">
        <f>A7&amp;+(COUNTIF(A$2:A7,A7)-1)</f>
        <v>10952</v>
      </c>
      <c r="F7" s="109" t="s">
        <v>184</v>
      </c>
      <c r="G7" s="203" t="s">
        <v>400</v>
      </c>
      <c r="H7" s="203" t="s">
        <v>402</v>
      </c>
    </row>
    <row r="8" spans="1:8" x14ac:dyDescent="0.15">
      <c r="A8" s="109">
        <v>1095</v>
      </c>
      <c r="B8" s="143" t="str">
        <f>VLOOKUP(A8,[1]characters!$A:$C,3,FALSE)</f>
        <v>誓愛の絵花 メルクシャ</v>
      </c>
      <c r="C8" s="109" t="s">
        <v>197</v>
      </c>
      <c r="D8" s="143" t="str">
        <f t="shared" si="0"/>
        <v>1095cskill</v>
      </c>
      <c r="E8" s="143" t="str">
        <f>A8&amp;+(COUNTIF(A$2:A8,A8)-1)</f>
        <v>10953</v>
      </c>
      <c r="F8" s="109" t="s">
        <v>184</v>
      </c>
      <c r="G8" s="203" t="s">
        <v>403</v>
      </c>
      <c r="H8" s="203" t="s">
        <v>404</v>
      </c>
    </row>
    <row r="9" spans="1:8" x14ac:dyDescent="0.15">
      <c r="A9" s="109">
        <v>1096</v>
      </c>
      <c r="B9" s="143" t="str">
        <f>VLOOKUP(A9,[1]characters!$A:$C,3,FALSE)</f>
        <v>ジャ・リダルサ</v>
      </c>
      <c r="C9" s="109" t="s">
        <v>194</v>
      </c>
      <c r="D9" s="143" t="str">
        <f t="shared" si="0"/>
        <v>1096skill</v>
      </c>
      <c r="E9" s="143" t="str">
        <f>A9&amp;+(COUNTIF(A$2:A9,A9)-1)</f>
        <v>10960</v>
      </c>
      <c r="F9" s="109" t="s">
        <v>184</v>
      </c>
      <c r="G9" s="203" t="s">
        <v>405</v>
      </c>
      <c r="H9" s="203" t="s">
        <v>406</v>
      </c>
    </row>
    <row r="10" spans="1:8" x14ac:dyDescent="0.15">
      <c r="A10" s="109">
        <v>1096</v>
      </c>
      <c r="B10" s="143" t="str">
        <f>VLOOKUP(A10,[1]characters!$A:$C,3,FALSE)</f>
        <v>ジャ・リダルサ</v>
      </c>
      <c r="C10" s="109" t="s">
        <v>197</v>
      </c>
      <c r="D10" s="143" t="str">
        <f t="shared" si="0"/>
        <v>1096cskill</v>
      </c>
      <c r="E10" s="143" t="str">
        <f>A10&amp;+(COUNTIF(A$2:A10,A10)-1)</f>
        <v>10961</v>
      </c>
      <c r="F10" s="109" t="s">
        <v>184</v>
      </c>
      <c r="G10" s="203" t="s">
        <v>409</v>
      </c>
      <c r="H10" s="203" t="s">
        <v>410</v>
      </c>
    </row>
    <row r="11" spans="1:8" x14ac:dyDescent="0.15">
      <c r="A11" s="109">
        <v>1096</v>
      </c>
      <c r="B11" s="143" t="str">
        <f>VLOOKUP(A11,[1]characters!$A:$C,3,FALSE)</f>
        <v>ジャ・リダルサ</v>
      </c>
      <c r="C11" s="109" t="s">
        <v>197</v>
      </c>
      <c r="D11" s="143" t="str">
        <f t="shared" si="0"/>
        <v>1096cskill</v>
      </c>
      <c r="E11" s="143" t="str">
        <f>A11&amp;+(COUNTIF(A$2:A11,A11)-1)</f>
        <v>10962</v>
      </c>
      <c r="F11" s="109" t="s">
        <v>184</v>
      </c>
      <c r="G11" s="203" t="s">
        <v>409</v>
      </c>
      <c r="H11" s="203" t="s">
        <v>411</v>
      </c>
    </row>
    <row r="12" spans="1:8" x14ac:dyDescent="0.15">
      <c r="A12" s="109">
        <v>1097</v>
      </c>
      <c r="B12" s="143" t="str">
        <f>VLOOKUP(A12,[1]characters!$A:$C,3,FALSE)</f>
        <v>超現実才奇 ジャ・リダルサ</v>
      </c>
      <c r="C12" s="109" t="s">
        <v>194</v>
      </c>
      <c r="D12" s="143" t="str">
        <f t="shared" si="0"/>
        <v>1097skill</v>
      </c>
      <c r="E12" s="143" t="str">
        <f>A12&amp;+(COUNTIF(A$2:A12,A12)-1)</f>
        <v>10970</v>
      </c>
      <c r="F12" s="109" t="s">
        <v>184</v>
      </c>
      <c r="G12" s="203" t="s">
        <v>407</v>
      </c>
      <c r="H12" s="203" t="s">
        <v>408</v>
      </c>
    </row>
    <row r="13" spans="1:8" x14ac:dyDescent="0.15">
      <c r="A13" s="109">
        <v>1097</v>
      </c>
      <c r="B13" s="143" t="str">
        <f>VLOOKUP(A13,[1]characters!$A:$C,3,FALSE)</f>
        <v>超現実才奇 ジャ・リダルサ</v>
      </c>
      <c r="C13" s="109" t="s">
        <v>197</v>
      </c>
      <c r="D13" s="143" t="str">
        <f t="shared" si="0"/>
        <v>1097cskill</v>
      </c>
      <c r="E13" s="143" t="str">
        <f>A13&amp;+(COUNTIF(A$2:A13,A13)-1)</f>
        <v>10971</v>
      </c>
      <c r="F13" s="109" t="s">
        <v>184</v>
      </c>
      <c r="G13" s="203" t="s">
        <v>405</v>
      </c>
      <c r="H13" s="203" t="s">
        <v>412</v>
      </c>
    </row>
    <row r="14" spans="1:8" x14ac:dyDescent="0.15">
      <c r="A14" s="109">
        <v>1097</v>
      </c>
      <c r="B14" s="143" t="str">
        <f>VLOOKUP(A14,[1]characters!$A:$C,3,FALSE)</f>
        <v>超現実才奇 ジャ・リダルサ</v>
      </c>
      <c r="C14" s="109" t="s">
        <v>197</v>
      </c>
      <c r="D14" s="143" t="str">
        <f t="shared" si="0"/>
        <v>1097cskill</v>
      </c>
      <c r="E14" s="143" t="str">
        <f>A14&amp;+(COUNTIF(A$2:A14,A14)-1)</f>
        <v>10972</v>
      </c>
      <c r="F14" s="109" t="s">
        <v>184</v>
      </c>
      <c r="G14" s="203" t="s">
        <v>405</v>
      </c>
      <c r="H14" s="203" t="s">
        <v>413</v>
      </c>
    </row>
    <row r="15" spans="1:8" x14ac:dyDescent="0.15">
      <c r="A15" s="109">
        <v>1097</v>
      </c>
      <c r="B15" s="143" t="str">
        <f>VLOOKUP(A15,[1]characters!$A:$C,3,FALSE)</f>
        <v>超現実才奇 ジャ・リダルサ</v>
      </c>
      <c r="C15" s="109" t="s">
        <v>197</v>
      </c>
      <c r="D15" s="143" t="str">
        <f t="shared" si="0"/>
        <v>1097cskill</v>
      </c>
      <c r="E15" s="143" t="str">
        <f>A15&amp;+(COUNTIF(A$2:A15,A15)-1)</f>
        <v>10973</v>
      </c>
      <c r="F15" s="109" t="s">
        <v>184</v>
      </c>
      <c r="G15" s="203" t="s">
        <v>414</v>
      </c>
      <c r="H15" s="203" t="s">
        <v>415</v>
      </c>
    </row>
    <row r="16" spans="1:8" x14ac:dyDescent="0.15">
      <c r="A16" s="109">
        <v>1098</v>
      </c>
      <c r="B16" s="143" t="str">
        <f>VLOOKUP(A16,[1]characters!$A:$C,3,FALSE)</f>
        <v>ルピカ</v>
      </c>
      <c r="C16" s="109" t="s">
        <v>194</v>
      </c>
      <c r="D16" s="143" t="str">
        <f t="shared" si="0"/>
        <v>1098skill</v>
      </c>
      <c r="E16" s="143" t="str">
        <f>A16&amp;+(COUNTIF(A$2:A16,A16)-1)</f>
        <v>10980</v>
      </c>
      <c r="F16" s="109" t="s">
        <v>184</v>
      </c>
      <c r="G16" s="203" t="s">
        <v>392</v>
      </c>
      <c r="H16" s="203" t="s">
        <v>393</v>
      </c>
    </row>
    <row r="17" spans="1:8" x14ac:dyDescent="0.15">
      <c r="A17" s="109">
        <v>1098</v>
      </c>
      <c r="B17" s="143" t="str">
        <f>VLOOKUP(A17,[1]characters!$A:$C,3,FALSE)</f>
        <v>ルピカ</v>
      </c>
      <c r="C17" s="109" t="s">
        <v>197</v>
      </c>
      <c r="D17" s="143" t="str">
        <f t="shared" si="0"/>
        <v>1098cskill</v>
      </c>
      <c r="E17" s="143" t="str">
        <f>A17&amp;+(COUNTIF(A$2:A17,A17)-1)</f>
        <v>10981</v>
      </c>
      <c r="F17" s="109" t="s">
        <v>184</v>
      </c>
      <c r="G17" s="203" t="s">
        <v>383</v>
      </c>
      <c r="H17" s="203" t="s">
        <v>384</v>
      </c>
    </row>
    <row r="18" spans="1:8" x14ac:dyDescent="0.15">
      <c r="A18" s="109">
        <v>1098</v>
      </c>
      <c r="B18" s="143" t="str">
        <f>VLOOKUP(A18,[1]characters!$A:$C,3,FALSE)</f>
        <v>ルピカ</v>
      </c>
      <c r="C18" s="109" t="s">
        <v>197</v>
      </c>
      <c r="D18" s="143" t="str">
        <f t="shared" si="0"/>
        <v>1098cskill</v>
      </c>
      <c r="E18" s="143" t="str">
        <f>A18&amp;+(COUNTIF(A$2:A18,A18)-1)</f>
        <v>10982</v>
      </c>
      <c r="F18" s="109" t="s">
        <v>184</v>
      </c>
      <c r="G18" s="203" t="s">
        <v>385</v>
      </c>
      <c r="H18" s="203" t="s">
        <v>386</v>
      </c>
    </row>
    <row r="19" spans="1:8" x14ac:dyDescent="0.15">
      <c r="A19" s="109">
        <v>1098</v>
      </c>
      <c r="B19" s="143" t="str">
        <f>VLOOKUP(A19,[1]characters!$A:$C,3,FALSE)</f>
        <v>ルピカ</v>
      </c>
      <c r="C19" s="109" t="s">
        <v>197</v>
      </c>
      <c r="D19" s="143" t="str">
        <f t="shared" si="0"/>
        <v>1098cskill</v>
      </c>
      <c r="E19" s="143" t="str">
        <f>A19&amp;+(COUNTIF(A$2:A19,A19)-1)</f>
        <v>10983</v>
      </c>
      <c r="F19" s="109" t="s">
        <v>184</v>
      </c>
      <c r="G19" s="203" t="s">
        <v>383</v>
      </c>
      <c r="H19" s="203" t="s">
        <v>387</v>
      </c>
    </row>
    <row r="20" spans="1:8" x14ac:dyDescent="0.15">
      <c r="A20" s="109">
        <v>1099</v>
      </c>
      <c r="B20" s="143" t="str">
        <f>VLOOKUP(A20,[1]characters!$A:$C,3,FALSE)</f>
        <v>破築の連創 ルピカ</v>
      </c>
      <c r="C20" s="109" t="s">
        <v>194</v>
      </c>
      <c r="D20" s="143" t="str">
        <f t="shared" si="0"/>
        <v>1099skill</v>
      </c>
      <c r="E20" s="143" t="str">
        <f>A20&amp;+(COUNTIF(A$2:A20,A20)-1)</f>
        <v>10990</v>
      </c>
      <c r="F20" s="109" t="s">
        <v>184</v>
      </c>
      <c r="G20" s="203" t="s">
        <v>390</v>
      </c>
      <c r="H20" s="203" t="s">
        <v>391</v>
      </c>
    </row>
    <row r="21" spans="1:8" x14ac:dyDescent="0.15">
      <c r="A21" s="109">
        <v>1099</v>
      </c>
      <c r="B21" s="143" t="str">
        <f>VLOOKUP(A21,[1]characters!$A:$C,3,FALSE)</f>
        <v>破築の連創 ルピカ</v>
      </c>
      <c r="C21" s="109" t="s">
        <v>197</v>
      </c>
      <c r="D21" s="143" t="str">
        <f t="shared" si="0"/>
        <v>1099cskill</v>
      </c>
      <c r="E21" s="143" t="str">
        <f>A21&amp;+(COUNTIF(A$2:A21,A21)-1)</f>
        <v>10991</v>
      </c>
      <c r="F21" s="109" t="s">
        <v>184</v>
      </c>
      <c r="G21" s="203" t="s">
        <v>388</v>
      </c>
      <c r="H21" s="203" t="s">
        <v>389</v>
      </c>
    </row>
    <row r="22" spans="1:8" x14ac:dyDescent="0.15">
      <c r="A22" s="109">
        <v>1099</v>
      </c>
      <c r="B22" s="143" t="str">
        <f>VLOOKUP(A22,[1]characters!$A:$C,3,FALSE)</f>
        <v>破築の連創 ルピカ</v>
      </c>
      <c r="C22" s="109" t="s">
        <v>197</v>
      </c>
      <c r="D22" s="143" t="str">
        <f t="shared" si="0"/>
        <v>1099cskill</v>
      </c>
      <c r="E22" s="143" t="str">
        <f>A22&amp;+(COUNTIF(A$2:A22,A22)-1)</f>
        <v>10992</v>
      </c>
      <c r="F22" s="109" t="s">
        <v>184</v>
      </c>
      <c r="G22" s="203" t="s">
        <v>383</v>
      </c>
      <c r="H22" s="203" t="s">
        <v>384</v>
      </c>
    </row>
    <row r="23" spans="1:8" x14ac:dyDescent="0.15">
      <c r="A23" s="109">
        <v>1099</v>
      </c>
      <c r="B23" s="143" t="str">
        <f>VLOOKUP(A23,[1]characters!$A:$C,3,FALSE)</f>
        <v>破築の連創 ルピカ</v>
      </c>
      <c r="C23" s="109" t="s">
        <v>197</v>
      </c>
      <c r="D23" s="143" t="str">
        <f t="shared" si="0"/>
        <v>1099cskill</v>
      </c>
      <c r="E23" s="143" t="str">
        <f>A23&amp;+(COUNTIF(A$2:A23,A23)-1)</f>
        <v>10993</v>
      </c>
      <c r="F23" s="109" t="s">
        <v>184</v>
      </c>
      <c r="G23" s="203" t="s">
        <v>385</v>
      </c>
      <c r="H23" s="203" t="s">
        <v>386</v>
      </c>
    </row>
    <row r="24" spans="1:8" x14ac:dyDescent="0.15">
      <c r="A24" s="109">
        <v>1099</v>
      </c>
      <c r="B24" s="143" t="str">
        <f>VLOOKUP(A24,[1]characters!$A:$C,3,FALSE)</f>
        <v>破築の連創 ルピカ</v>
      </c>
      <c r="C24" s="109" t="s">
        <v>197</v>
      </c>
      <c r="D24" s="143" t="str">
        <f t="shared" si="0"/>
        <v>1099cskill</v>
      </c>
      <c r="E24" s="143" t="str">
        <f>A24&amp;+(COUNTIF(A$2:A24,A24)-1)</f>
        <v>10994</v>
      </c>
      <c r="F24" s="109" t="s">
        <v>184</v>
      </c>
      <c r="G24" s="203" t="s">
        <v>383</v>
      </c>
      <c r="H24" s="203" t="s">
        <v>387</v>
      </c>
    </row>
    <row r="25" spans="1:8" x14ac:dyDescent="0.15">
      <c r="A25" s="109">
        <v>1100</v>
      </c>
      <c r="B25" s="143" t="str">
        <f>VLOOKUP(A25,[1]characters!$A:$C,3,FALSE)</f>
        <v>北斎</v>
      </c>
      <c r="C25" s="109" t="s">
        <v>194</v>
      </c>
      <c r="D25" s="143" t="str">
        <f t="shared" si="0"/>
        <v>1100skill</v>
      </c>
      <c r="E25" s="143" t="str">
        <f>A25&amp;+(COUNTIF(A$2:A25,A25)-1)</f>
        <v>11000</v>
      </c>
      <c r="F25" s="109" t="s">
        <v>184</v>
      </c>
      <c r="G25" s="203" t="s">
        <v>420</v>
      </c>
      <c r="H25" s="203" t="s">
        <v>421</v>
      </c>
    </row>
    <row r="26" spans="1:8" x14ac:dyDescent="0.15">
      <c r="A26" s="109">
        <v>1100</v>
      </c>
      <c r="B26" s="143" t="str">
        <f>VLOOKUP(A26,[1]characters!$A:$C,3,FALSE)</f>
        <v>北斎</v>
      </c>
      <c r="C26" s="109" t="s">
        <v>197</v>
      </c>
      <c r="D26" s="143" t="str">
        <f t="shared" si="0"/>
        <v>1100cskill</v>
      </c>
      <c r="E26" s="143" t="str">
        <f>A26&amp;+(COUNTIF(A$2:A26,A26)-1)</f>
        <v>11001</v>
      </c>
      <c r="F26" s="109" t="s">
        <v>184</v>
      </c>
      <c r="G26" s="203" t="s">
        <v>392</v>
      </c>
      <c r="H26" s="203" t="s">
        <v>416</v>
      </c>
    </row>
    <row r="27" spans="1:8" x14ac:dyDescent="0.15">
      <c r="A27" s="109">
        <v>1100</v>
      </c>
      <c r="B27" s="143" t="str">
        <f>VLOOKUP(A27,[1]characters!$A:$C,3,FALSE)</f>
        <v>北斎</v>
      </c>
      <c r="C27" s="109" t="s">
        <v>197</v>
      </c>
      <c r="D27" s="143" t="str">
        <f t="shared" si="0"/>
        <v>1100cskill</v>
      </c>
      <c r="E27" s="143" t="str">
        <f>A27&amp;+(COUNTIF(A$2:A27,A27)-1)</f>
        <v>11002</v>
      </c>
      <c r="F27" s="109" t="s">
        <v>184</v>
      </c>
      <c r="G27" s="203" t="s">
        <v>417</v>
      </c>
      <c r="H27" s="203" t="s">
        <v>418</v>
      </c>
    </row>
    <row r="28" spans="1:8" x14ac:dyDescent="0.15">
      <c r="A28" s="109">
        <v>1100</v>
      </c>
      <c r="B28" s="143" t="str">
        <f>VLOOKUP(A28,[1]characters!$A:$C,3,FALSE)</f>
        <v>北斎</v>
      </c>
      <c r="C28" s="109" t="s">
        <v>197</v>
      </c>
      <c r="D28" s="143" t="str">
        <f t="shared" si="0"/>
        <v>1100cskill</v>
      </c>
      <c r="E28" s="143" t="str">
        <f>A28&amp;+(COUNTIF(A$2:A28,A28)-1)</f>
        <v>11003</v>
      </c>
      <c r="F28" s="109" t="s">
        <v>184</v>
      </c>
      <c r="G28" s="203" t="s">
        <v>392</v>
      </c>
      <c r="H28" s="203" t="s">
        <v>419</v>
      </c>
    </row>
    <row r="29" spans="1:8" x14ac:dyDescent="0.15">
      <c r="A29" s="109">
        <v>1101</v>
      </c>
      <c r="B29" s="143" t="str">
        <f>VLOOKUP(A29,[1]characters!$A:$C,3,FALSE)</f>
        <v>浮世万物の筆刻者 北斎</v>
      </c>
      <c r="C29" s="109" t="s">
        <v>194</v>
      </c>
      <c r="D29" s="143" t="str">
        <f t="shared" si="0"/>
        <v>1101skill</v>
      </c>
      <c r="E29" s="143" t="str">
        <f>A29&amp;+(COUNTIF(A$2:A29,A29)-1)</f>
        <v>11010</v>
      </c>
      <c r="F29" s="109" t="s">
        <v>184</v>
      </c>
      <c r="G29" s="203" t="s">
        <v>422</v>
      </c>
      <c r="H29" s="203" t="s">
        <v>423</v>
      </c>
    </row>
    <row r="30" spans="1:8" x14ac:dyDescent="0.15">
      <c r="A30" s="109">
        <v>1101</v>
      </c>
      <c r="B30" s="143" t="str">
        <f>VLOOKUP(A30,[1]characters!$A:$C,3,FALSE)</f>
        <v>浮世万物の筆刻者 北斎</v>
      </c>
      <c r="C30" s="109" t="s">
        <v>197</v>
      </c>
      <c r="D30" s="143" t="str">
        <f t="shared" si="0"/>
        <v>1101cskill</v>
      </c>
      <c r="E30" s="143" t="str">
        <f>A30&amp;+(COUNTIF(A$2:A30,A30)-1)</f>
        <v>11011</v>
      </c>
      <c r="F30" s="109" t="s">
        <v>184</v>
      </c>
      <c r="G30" s="203" t="s">
        <v>424</v>
      </c>
      <c r="H30" s="203" t="s">
        <v>425</v>
      </c>
    </row>
    <row r="31" spans="1:8" x14ac:dyDescent="0.15">
      <c r="A31" s="109">
        <v>1101</v>
      </c>
      <c r="B31" s="143" t="str">
        <f>VLOOKUP(A31,[1]characters!$A:$C,3,FALSE)</f>
        <v>浮世万物の筆刻者 北斎</v>
      </c>
      <c r="C31" s="109" t="s">
        <v>197</v>
      </c>
      <c r="D31" s="143" t="str">
        <f t="shared" si="0"/>
        <v>1101cskill</v>
      </c>
      <c r="E31" s="143" t="str">
        <f>A31&amp;+(COUNTIF(A$2:A31,A31)-1)</f>
        <v>11012</v>
      </c>
      <c r="F31" s="109" t="s">
        <v>184</v>
      </c>
      <c r="G31" s="203" t="s">
        <v>392</v>
      </c>
      <c r="H31" s="203" t="s">
        <v>416</v>
      </c>
    </row>
    <row r="32" spans="1:8" x14ac:dyDescent="0.15">
      <c r="A32" s="109">
        <v>1101</v>
      </c>
      <c r="B32" s="143" t="str">
        <f>VLOOKUP(A32,[1]characters!$A:$C,3,FALSE)</f>
        <v>浮世万物の筆刻者 北斎</v>
      </c>
      <c r="C32" s="109" t="s">
        <v>197</v>
      </c>
      <c r="D32" s="143" t="str">
        <f t="shared" si="0"/>
        <v>1101cskill</v>
      </c>
      <c r="E32" s="143" t="str">
        <f>A32&amp;+(COUNTIF(A$2:A32,A32)-1)</f>
        <v>11013</v>
      </c>
      <c r="F32" s="109" t="s">
        <v>184</v>
      </c>
      <c r="G32" s="203" t="s">
        <v>417</v>
      </c>
      <c r="H32" s="203" t="s">
        <v>418</v>
      </c>
    </row>
    <row r="33" spans="1:8" x14ac:dyDescent="0.15">
      <c r="A33" s="109">
        <v>1101</v>
      </c>
      <c r="B33" s="143" t="str">
        <f>VLOOKUP(A33,[1]characters!$A:$C,3,FALSE)</f>
        <v>浮世万物の筆刻者 北斎</v>
      </c>
      <c r="C33" s="109" t="s">
        <v>197</v>
      </c>
      <c r="D33" s="143" t="str">
        <f t="shared" si="0"/>
        <v>1101cskill</v>
      </c>
      <c r="E33" s="143" t="str">
        <f>A33&amp;+(COUNTIF(A$2:A33,A33)-1)</f>
        <v>11014</v>
      </c>
      <c r="F33" s="109" t="s">
        <v>184</v>
      </c>
      <c r="G33" s="203" t="s">
        <v>392</v>
      </c>
      <c r="H33" s="203" t="s">
        <v>419</v>
      </c>
    </row>
    <row r="34" spans="1:8" x14ac:dyDescent="0.15">
      <c r="A34" s="109">
        <v>1102</v>
      </c>
      <c r="B34" s="143" t="str">
        <f>VLOOKUP(A34,[1]characters!$A:$C,3,FALSE)</f>
        <v>ドガ</v>
      </c>
      <c r="C34" s="109" t="s">
        <v>194</v>
      </c>
      <c r="D34" s="143" t="str">
        <f t="shared" ref="D34:D58" si="1">A34&amp;C34</f>
        <v>1102skill</v>
      </c>
      <c r="E34" s="143" t="str">
        <f>A34&amp;+(COUNTIF(A$2:A34,A34)-1)</f>
        <v>11020</v>
      </c>
      <c r="F34" s="109" t="s">
        <v>184</v>
      </c>
      <c r="G34" s="204" t="s">
        <v>446</v>
      </c>
      <c r="H34" s="204" t="s">
        <v>447</v>
      </c>
    </row>
    <row r="35" spans="1:8" x14ac:dyDescent="0.15">
      <c r="A35" s="109">
        <v>1102</v>
      </c>
      <c r="B35" s="143" t="str">
        <f>VLOOKUP(A35,[1]characters!$A:$C,3,FALSE)</f>
        <v>ドガ</v>
      </c>
      <c r="C35" s="109" t="s">
        <v>197</v>
      </c>
      <c r="D35" s="143" t="str">
        <f t="shared" si="1"/>
        <v>1102cskill</v>
      </c>
      <c r="E35" s="143" t="str">
        <f>A35&amp;+(COUNTIF(A$2:A35,A35)-1)</f>
        <v>11021</v>
      </c>
      <c r="F35" s="109" t="s">
        <v>184</v>
      </c>
      <c r="G35" s="204" t="s">
        <v>448</v>
      </c>
      <c r="H35" s="204" t="s">
        <v>450</v>
      </c>
    </row>
    <row r="36" spans="1:8" x14ac:dyDescent="0.15">
      <c r="A36" s="109">
        <v>1102</v>
      </c>
      <c r="B36" s="143" t="str">
        <f>VLOOKUP(A36,[1]characters!$A:$C,3,FALSE)</f>
        <v>ドガ</v>
      </c>
      <c r="C36" s="109" t="s">
        <v>197</v>
      </c>
      <c r="D36" s="143" t="str">
        <f t="shared" si="1"/>
        <v>1102cskill</v>
      </c>
      <c r="E36" s="143" t="str">
        <f>A36&amp;+(COUNTIF(A$2:A36,A36)-1)</f>
        <v>11022</v>
      </c>
      <c r="F36" s="109" t="s">
        <v>184</v>
      </c>
      <c r="G36" s="204" t="s">
        <v>451</v>
      </c>
      <c r="H36" s="204" t="s">
        <v>452</v>
      </c>
    </row>
    <row r="37" spans="1:8" x14ac:dyDescent="0.15">
      <c r="A37" s="109">
        <v>1102</v>
      </c>
      <c r="B37" s="143" t="str">
        <f>VLOOKUP(A37,[1]characters!$A:$C,3,FALSE)</f>
        <v>ドガ</v>
      </c>
      <c r="C37" s="109" t="s">
        <v>197</v>
      </c>
      <c r="D37" s="143" t="str">
        <f t="shared" si="1"/>
        <v>1102cskill</v>
      </c>
      <c r="E37" s="143" t="str">
        <f>A37&amp;+(COUNTIF(A$2:A37,A37)-1)</f>
        <v>11023</v>
      </c>
      <c r="F37" s="109" t="s">
        <v>184</v>
      </c>
      <c r="G37" s="204" t="s">
        <v>448</v>
      </c>
      <c r="H37" s="204" t="s">
        <v>453</v>
      </c>
    </row>
    <row r="38" spans="1:8" x14ac:dyDescent="0.15">
      <c r="A38" s="109">
        <v>1103</v>
      </c>
      <c r="B38" s="143" t="str">
        <f>VLOOKUP(A38,[1]characters!$A:$C,3,FALSE)</f>
        <v>舞台裏の鼠展 ドガ</v>
      </c>
      <c r="C38" s="109" t="s">
        <v>194</v>
      </c>
      <c r="D38" s="143" t="str">
        <f t="shared" si="1"/>
        <v>1103skill</v>
      </c>
      <c r="E38" s="143" t="str">
        <f>A38&amp;+(COUNTIF(A$2:A38,A38)-1)</f>
        <v>11030</v>
      </c>
      <c r="F38" s="109" t="s">
        <v>184</v>
      </c>
      <c r="G38" s="204" t="s">
        <v>448</v>
      </c>
      <c r="H38" s="204" t="s">
        <v>449</v>
      </c>
    </row>
    <row r="39" spans="1:8" x14ac:dyDescent="0.15">
      <c r="A39" s="109">
        <v>1103</v>
      </c>
      <c r="B39" s="143" t="str">
        <f>VLOOKUP(A39,[1]characters!$A:$C,3,FALSE)</f>
        <v>舞台裏の鼠展 ドガ</v>
      </c>
      <c r="C39" s="109" t="s">
        <v>197</v>
      </c>
      <c r="D39" s="143" t="str">
        <f t="shared" si="1"/>
        <v>1103cskill</v>
      </c>
      <c r="E39" s="143" t="str">
        <f>A39&amp;+(COUNTIF(A$2:A39,A39)-1)</f>
        <v>11031</v>
      </c>
      <c r="F39" s="109" t="s">
        <v>184</v>
      </c>
      <c r="G39" s="204" t="s">
        <v>448</v>
      </c>
      <c r="H39" s="204" t="s">
        <v>450</v>
      </c>
    </row>
    <row r="40" spans="1:8" x14ac:dyDescent="0.15">
      <c r="A40" s="109">
        <v>1103</v>
      </c>
      <c r="B40" s="143" t="str">
        <f>VLOOKUP(A40,[1]characters!$A:$C,3,FALSE)</f>
        <v>舞台裏の鼠展 ドガ</v>
      </c>
      <c r="C40" s="109" t="s">
        <v>197</v>
      </c>
      <c r="D40" s="143" t="str">
        <f t="shared" si="1"/>
        <v>1103cskill</v>
      </c>
      <c r="E40" s="143" t="str">
        <f>A40&amp;+(COUNTIF(A$2:A40,A40)-1)</f>
        <v>11032</v>
      </c>
      <c r="F40" s="109" t="s">
        <v>184</v>
      </c>
      <c r="G40" s="204" t="s">
        <v>451</v>
      </c>
      <c r="H40" s="204" t="s">
        <v>452</v>
      </c>
    </row>
    <row r="41" spans="1:8" x14ac:dyDescent="0.15">
      <c r="A41" s="109">
        <v>1103</v>
      </c>
      <c r="B41" s="143" t="str">
        <f>VLOOKUP(A41,[1]characters!$A:$C,3,FALSE)</f>
        <v>舞台裏の鼠展 ドガ</v>
      </c>
      <c r="C41" s="109" t="s">
        <v>197</v>
      </c>
      <c r="D41" s="143" t="str">
        <f t="shared" si="1"/>
        <v>1103cskill</v>
      </c>
      <c r="E41" s="143" t="str">
        <f>A41&amp;+(COUNTIF(A$2:A41,A41)-1)</f>
        <v>11033</v>
      </c>
      <c r="F41" s="109" t="s">
        <v>184</v>
      </c>
      <c r="G41" s="204" t="s">
        <v>448</v>
      </c>
      <c r="H41" s="204" t="s">
        <v>453</v>
      </c>
    </row>
    <row r="42" spans="1:8" x14ac:dyDescent="0.15">
      <c r="A42" s="109">
        <v>1103</v>
      </c>
      <c r="B42" s="143" t="str">
        <f>VLOOKUP(A42,[1]characters!$A:$C,3,FALSE)</f>
        <v>舞台裏の鼠展 ドガ</v>
      </c>
      <c r="C42" s="109" t="s">
        <v>197</v>
      </c>
      <c r="D42" s="143" t="str">
        <f t="shared" si="1"/>
        <v>1103cskill</v>
      </c>
      <c r="E42" s="143" t="str">
        <f>A42&amp;+(COUNTIF(A$2:A42,A42)-1)</f>
        <v>11034</v>
      </c>
      <c r="F42" s="109" t="s">
        <v>184</v>
      </c>
      <c r="G42" s="204" t="s">
        <v>385</v>
      </c>
      <c r="H42" s="205" t="s">
        <v>454</v>
      </c>
    </row>
    <row r="43" spans="1:8" x14ac:dyDescent="0.15">
      <c r="A43" s="109">
        <v>1104</v>
      </c>
      <c r="B43" s="143" t="str">
        <f>VLOOKUP(A43,[1]characters!$A:$C,3,FALSE)</f>
        <v>クリムト</v>
      </c>
      <c r="C43" s="109" t="s">
        <v>194</v>
      </c>
      <c r="D43" s="143" t="str">
        <f t="shared" si="1"/>
        <v>1104skill</v>
      </c>
      <c r="E43" s="143" t="str">
        <f>A43&amp;+(COUNTIF(A$2:A43,A43)-1)</f>
        <v>11040</v>
      </c>
      <c r="F43" s="109" t="s">
        <v>184</v>
      </c>
      <c r="G43" s="203" t="s">
        <v>417</v>
      </c>
      <c r="H43" s="203" t="s">
        <v>429</v>
      </c>
    </row>
    <row r="44" spans="1:8" x14ac:dyDescent="0.15">
      <c r="A44" s="109">
        <v>1104</v>
      </c>
      <c r="B44" s="143" t="str">
        <f>VLOOKUP(A44,[1]characters!$A:$C,3,FALSE)</f>
        <v>クリムト</v>
      </c>
      <c r="C44" s="109" t="s">
        <v>197</v>
      </c>
      <c r="D44" s="143" t="str">
        <f t="shared" si="1"/>
        <v>1104cskill</v>
      </c>
      <c r="E44" s="143" t="str">
        <f>A44&amp;+(COUNTIF(A$2:A44,A44)-1)</f>
        <v>11041</v>
      </c>
      <c r="F44" s="109" t="s">
        <v>184</v>
      </c>
      <c r="G44" s="203" t="s">
        <v>426</v>
      </c>
      <c r="H44" s="203" t="s">
        <v>427</v>
      </c>
    </row>
    <row r="45" spans="1:8" x14ac:dyDescent="0.15">
      <c r="A45" s="109">
        <v>1104</v>
      </c>
      <c r="B45" s="143" t="str">
        <f>VLOOKUP(A45,[1]characters!$A:$C,3,FALSE)</f>
        <v>クリムト</v>
      </c>
      <c r="C45" s="109" t="s">
        <v>197</v>
      </c>
      <c r="D45" s="143" t="str">
        <f t="shared" si="1"/>
        <v>1104cskill</v>
      </c>
      <c r="E45" s="143" t="str">
        <f>A45&amp;+(COUNTIF(A$2:A45,A45)-1)</f>
        <v>11042</v>
      </c>
      <c r="F45" s="109" t="s">
        <v>184</v>
      </c>
      <c r="G45" s="203" t="s">
        <v>426</v>
      </c>
      <c r="H45" s="203" t="s">
        <v>428</v>
      </c>
    </row>
    <row r="46" spans="1:8" x14ac:dyDescent="0.15">
      <c r="A46" s="109">
        <v>1105</v>
      </c>
      <c r="B46" s="143" t="str">
        <f>VLOOKUP(A46,[1]characters!$A:$C,3,FALSE)</f>
        <v>甘美なる背徳 クリムト</v>
      </c>
      <c r="C46" s="109" t="s">
        <v>194</v>
      </c>
      <c r="D46" s="143" t="str">
        <f t="shared" si="1"/>
        <v>1105skill</v>
      </c>
      <c r="E46" s="143" t="str">
        <f>A46&amp;+(COUNTIF(A$2:A46,A46)-1)</f>
        <v>11050</v>
      </c>
      <c r="F46" s="109" t="s">
        <v>184</v>
      </c>
      <c r="G46" s="203" t="s">
        <v>403</v>
      </c>
      <c r="H46" s="203" t="s">
        <v>431</v>
      </c>
    </row>
    <row r="47" spans="1:8" x14ac:dyDescent="0.15">
      <c r="A47" s="109">
        <v>1105</v>
      </c>
      <c r="B47" s="143" t="str">
        <f>VLOOKUP(A47,[1]characters!$A:$C,3,FALSE)</f>
        <v>甘美なる背徳 クリムト</v>
      </c>
      <c r="C47" s="109" t="s">
        <v>197</v>
      </c>
      <c r="D47" s="143" t="str">
        <f t="shared" si="1"/>
        <v>1105cskill</v>
      </c>
      <c r="E47" s="143" t="str">
        <f>A47&amp;+(COUNTIF(A$2:A47,A47)-1)</f>
        <v>11051</v>
      </c>
      <c r="F47" s="109" t="s">
        <v>184</v>
      </c>
      <c r="G47" s="203" t="s">
        <v>432</v>
      </c>
      <c r="H47" s="203" t="s">
        <v>430</v>
      </c>
    </row>
    <row r="48" spans="1:8" x14ac:dyDescent="0.15">
      <c r="A48" s="109">
        <v>1105</v>
      </c>
      <c r="B48" s="143" t="str">
        <f>VLOOKUP(A48,[1]characters!$A:$C,3,FALSE)</f>
        <v>甘美なる背徳 クリムト</v>
      </c>
      <c r="C48" s="109" t="s">
        <v>197</v>
      </c>
      <c r="D48" s="143" t="str">
        <f t="shared" si="1"/>
        <v>1105cskill</v>
      </c>
      <c r="E48" s="143" t="str">
        <f>A48&amp;+(COUNTIF(A$2:A48,A48)-1)</f>
        <v>11052</v>
      </c>
      <c r="F48" s="109" t="s">
        <v>184</v>
      </c>
      <c r="G48" s="203" t="s">
        <v>426</v>
      </c>
      <c r="H48" s="203" t="s">
        <v>427</v>
      </c>
    </row>
    <row r="49" spans="1:8" x14ac:dyDescent="0.15">
      <c r="A49" s="109">
        <v>1105</v>
      </c>
      <c r="B49" s="143" t="str">
        <f>VLOOKUP(A49,[1]characters!$A:$C,3,FALSE)</f>
        <v>甘美なる背徳 クリムト</v>
      </c>
      <c r="C49" s="109" t="s">
        <v>197</v>
      </c>
      <c r="D49" s="143" t="str">
        <f t="shared" si="1"/>
        <v>1105cskill</v>
      </c>
      <c r="E49" s="143" t="str">
        <f>A49&amp;+(COUNTIF(A$2:A49,A49)-1)</f>
        <v>11053</v>
      </c>
      <c r="F49" s="109" t="s">
        <v>184</v>
      </c>
      <c r="G49" s="203" t="s">
        <v>426</v>
      </c>
      <c r="H49" s="203" t="s">
        <v>428</v>
      </c>
    </row>
    <row r="50" spans="1:8" x14ac:dyDescent="0.15">
      <c r="A50" s="109">
        <v>1106</v>
      </c>
      <c r="B50" s="143" t="str">
        <f>VLOOKUP(A50,[1]characters!$A:$C,3,FALSE)</f>
        <v>ラファエロ</v>
      </c>
      <c r="C50" s="109" t="s">
        <v>194</v>
      </c>
      <c r="D50" s="143" t="str">
        <f t="shared" si="1"/>
        <v>1106skill</v>
      </c>
      <c r="E50" s="143" t="str">
        <f>A50&amp;+(COUNTIF(A$2:A50,A50)-1)</f>
        <v>11060</v>
      </c>
      <c r="F50" s="109" t="s">
        <v>184</v>
      </c>
      <c r="G50" s="203" t="s">
        <v>437</v>
      </c>
      <c r="H50" s="203" t="s">
        <v>438</v>
      </c>
    </row>
    <row r="51" spans="1:8" x14ac:dyDescent="0.15">
      <c r="A51" s="109">
        <v>1106</v>
      </c>
      <c r="B51" s="143" t="str">
        <f>VLOOKUP(A51,[1]characters!$A:$C,3,FALSE)</f>
        <v>ラファエロ</v>
      </c>
      <c r="C51" s="109" t="s">
        <v>197</v>
      </c>
      <c r="D51" s="143" t="str">
        <f t="shared" si="1"/>
        <v>1106cskill</v>
      </c>
      <c r="E51" s="143" t="str">
        <f>A51&amp;+(COUNTIF(A$2:A51,A51)-1)</f>
        <v>11061</v>
      </c>
      <c r="F51" s="109" t="s">
        <v>184</v>
      </c>
      <c r="G51" s="203" t="s">
        <v>433</v>
      </c>
      <c r="H51" s="203" t="s">
        <v>434</v>
      </c>
    </row>
    <row r="52" spans="1:8" x14ac:dyDescent="0.15">
      <c r="A52" s="109">
        <v>1106</v>
      </c>
      <c r="B52" s="143" t="str">
        <f>VLOOKUP(A52,[1]characters!$A:$C,3,FALSE)</f>
        <v>ラファエロ</v>
      </c>
      <c r="C52" s="109" t="s">
        <v>197</v>
      </c>
      <c r="D52" s="143" t="str">
        <f t="shared" si="1"/>
        <v>1106cskill</v>
      </c>
      <c r="E52" s="143" t="str">
        <f>A52&amp;+(COUNTIF(A$2:A52,A52)-1)</f>
        <v>11062</v>
      </c>
      <c r="F52" s="109" t="s">
        <v>184</v>
      </c>
      <c r="G52" s="203" t="s">
        <v>433</v>
      </c>
      <c r="H52" s="203" t="s">
        <v>435</v>
      </c>
    </row>
    <row r="53" spans="1:8" x14ac:dyDescent="0.15">
      <c r="A53" s="109">
        <v>1106</v>
      </c>
      <c r="B53" s="143" t="str">
        <f>VLOOKUP(A53,[1]characters!$A:$C,3,FALSE)</f>
        <v>ラファエロ</v>
      </c>
      <c r="C53" s="109" t="s">
        <v>197</v>
      </c>
      <c r="D53" s="143" t="str">
        <f t="shared" si="1"/>
        <v>1106cskill</v>
      </c>
      <c r="E53" s="143" t="str">
        <f>A53&amp;+(COUNTIF(A$2:A53,A53)-1)</f>
        <v>11063</v>
      </c>
      <c r="F53" s="109" t="s">
        <v>184</v>
      </c>
      <c r="G53" s="203" t="s">
        <v>433</v>
      </c>
      <c r="H53" s="203" t="s">
        <v>436</v>
      </c>
    </row>
    <row r="54" spans="1:8" x14ac:dyDescent="0.15">
      <c r="A54" s="109">
        <v>1107</v>
      </c>
      <c r="B54" s="143" t="str">
        <f>VLOOKUP(A54,[1]characters!$A:$C,3,FALSE)</f>
        <v>天浄の鮮風 ラファエロ</v>
      </c>
      <c r="C54" s="109" t="s">
        <v>194</v>
      </c>
      <c r="D54" s="143" t="str">
        <f t="shared" si="1"/>
        <v>1107skill</v>
      </c>
      <c r="E54" s="143" t="str">
        <f>A54&amp;+(COUNTIF(A$2:A54,A54)-1)</f>
        <v>11070</v>
      </c>
      <c r="F54" s="109" t="s">
        <v>184</v>
      </c>
      <c r="G54" s="203" t="s">
        <v>439</v>
      </c>
      <c r="H54" s="203" t="s">
        <v>440</v>
      </c>
    </row>
    <row r="55" spans="1:8" x14ac:dyDescent="0.15">
      <c r="A55" s="109">
        <v>1107</v>
      </c>
      <c r="B55" s="143" t="str">
        <f>VLOOKUP(A55,[1]characters!$A:$C,3,FALSE)</f>
        <v>天浄の鮮風 ラファエロ</v>
      </c>
      <c r="C55" s="109" t="s">
        <v>197</v>
      </c>
      <c r="D55" s="143" t="str">
        <f t="shared" si="1"/>
        <v>1107cskill</v>
      </c>
      <c r="E55" s="143" t="str">
        <f>A55&amp;+(COUNTIF(A$2:A55,A55)-1)</f>
        <v>11071</v>
      </c>
      <c r="F55" s="109" t="s">
        <v>184</v>
      </c>
      <c r="G55" s="203" t="s">
        <v>441</v>
      </c>
      <c r="H55" s="203" t="s">
        <v>442</v>
      </c>
    </row>
    <row r="56" spans="1:8" x14ac:dyDescent="0.15">
      <c r="A56" s="109">
        <v>1107</v>
      </c>
      <c r="B56" s="143" t="str">
        <f>VLOOKUP(A56,[1]characters!$A:$C,3,FALSE)</f>
        <v>天浄の鮮風 ラファエロ</v>
      </c>
      <c r="C56" s="109" t="s">
        <v>197</v>
      </c>
      <c r="D56" s="143" t="str">
        <f t="shared" si="1"/>
        <v>1107cskill</v>
      </c>
      <c r="E56" s="143" t="str">
        <f>A56&amp;+(COUNTIF(A$2:A56,A56)-1)</f>
        <v>11072</v>
      </c>
      <c r="F56" s="109" t="s">
        <v>184</v>
      </c>
      <c r="G56" s="203" t="s">
        <v>433</v>
      </c>
      <c r="H56" s="203" t="s">
        <v>434</v>
      </c>
    </row>
    <row r="57" spans="1:8" x14ac:dyDescent="0.15">
      <c r="A57" s="109">
        <v>1107</v>
      </c>
      <c r="B57" s="143" t="str">
        <f>VLOOKUP(A57,[1]characters!$A:$C,3,FALSE)</f>
        <v>天浄の鮮風 ラファエロ</v>
      </c>
      <c r="C57" s="109" t="s">
        <v>197</v>
      </c>
      <c r="D57" s="143" t="str">
        <f t="shared" si="1"/>
        <v>1107cskill</v>
      </c>
      <c r="E57" s="143" t="str">
        <f>A57&amp;+(COUNTIF(A$2:A57,A57)-1)</f>
        <v>11073</v>
      </c>
      <c r="F57" s="109" t="s">
        <v>184</v>
      </c>
      <c r="G57" s="203" t="s">
        <v>433</v>
      </c>
      <c r="H57" s="203" t="s">
        <v>435</v>
      </c>
    </row>
    <row r="58" spans="1:8" x14ac:dyDescent="0.15">
      <c r="A58" s="109">
        <v>1107</v>
      </c>
      <c r="B58" s="143" t="str">
        <f>VLOOKUP(A58,[1]characters!$A:$C,3,FALSE)</f>
        <v>天浄の鮮風 ラファエロ</v>
      </c>
      <c r="C58" s="109" t="s">
        <v>197</v>
      </c>
      <c r="D58" s="143" t="str">
        <f t="shared" si="1"/>
        <v>1107cskill</v>
      </c>
      <c r="E58" s="143" t="str">
        <f>A58&amp;+(COUNTIF(A$2:A58,A58)-1)</f>
        <v>11074</v>
      </c>
      <c r="F58" s="109" t="s">
        <v>184</v>
      </c>
      <c r="G58" s="203" t="s">
        <v>433</v>
      </c>
      <c r="H58" s="203" t="s">
        <v>436</v>
      </c>
    </row>
  </sheetData>
  <phoneticPr fontId="22"/>
  <dataValidations count="2">
    <dataValidation type="list" allowBlank="1" showInputMessage="1" showErrorMessage="1" sqref="G2:G58">
      <formula1>"maru,giza,kumo"</formula1>
    </dataValidation>
    <dataValidation type="list" allowBlank="1" showInputMessage="1" showErrorMessage="1" sqref="C2:C5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8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8" sqref="Q8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1" t="s">
        <v>276</v>
      </c>
      <c r="B1" s="95" t="s">
        <v>277</v>
      </c>
      <c r="C1" s="86" t="s">
        <v>278</v>
      </c>
      <c r="D1" s="86" t="s">
        <v>279</v>
      </c>
      <c r="E1" s="86" t="s">
        <v>280</v>
      </c>
      <c r="F1" s="86" t="s">
        <v>281</v>
      </c>
      <c r="G1" s="86" t="s">
        <v>1</v>
      </c>
      <c r="H1" s="182" t="s">
        <v>19</v>
      </c>
      <c r="I1" s="86" t="s">
        <v>0</v>
      </c>
      <c r="J1" s="85" t="s">
        <v>282</v>
      </c>
      <c r="K1" s="86" t="s">
        <v>277</v>
      </c>
      <c r="L1" s="87" t="s">
        <v>49</v>
      </c>
      <c r="M1" s="87" t="s">
        <v>48</v>
      </c>
      <c r="N1" s="87" t="s">
        <v>283</v>
      </c>
      <c r="O1" s="87" t="s">
        <v>284</v>
      </c>
      <c r="P1" s="92" t="s">
        <v>285</v>
      </c>
      <c r="Q1" s="91" t="s">
        <v>286</v>
      </c>
      <c r="R1" s="80" t="s">
        <v>277</v>
      </c>
      <c r="S1" s="92" t="s">
        <v>287</v>
      </c>
      <c r="T1" s="80" t="s">
        <v>277</v>
      </c>
      <c r="U1" s="92" t="s">
        <v>288</v>
      </c>
    </row>
    <row r="2" spans="1:21" ht="21" customHeight="1" x14ac:dyDescent="0.15">
      <c r="A2" s="183">
        <v>1094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メルクシャ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7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3" t="str">
        <f>VLOOKUP(Q2,[1]characters!$A:$AC,20)</f>
        <v>normal</v>
      </c>
      <c r="Q2" s="9">
        <f>A2+1</f>
        <v>1095</v>
      </c>
      <c r="R2" s="62" t="str">
        <f ca="1">IF(Q2="NULL","",VLOOKUP($Q2,OFFSET([1]characters!$A$1,0,0,COUNTA([1]characters!$A:$A),MATCH(R$1,[1]characters!$1:$1,0)-MATCH($A$1,[1]characters!$1:$1,0)+1),MATCH(R$1,[1]characters!$1:$1,0)-MATCH($A$1,[1]characters!$1:$1,0)+1,FALSE))</f>
        <v>誓愛の絵花 メルクシャ</v>
      </c>
      <c r="S2" s="5">
        <f t="shared" ref="S2:S8" ca="1" si="0">IF(ISNA(MATCH(A2,Q:Q,0)),A2,INDIRECT(ADDRESS(MATCH(A2,Q:Q,0),COLUMN())))</f>
        <v>1094</v>
      </c>
      <c r="T2" s="62" t="str">
        <f ca="1">VLOOKUP($S2,OFFSET([1]characters!$A$1,0,0,COUNTA([1]characters!$A:$A),MATCH(T$1,[1]characters!$1:$1,0)-MATCH($A$1,[1]characters!$1:$1,0)+1),MATCH(T$1,[1]characters!$1:$1,0)-MATCH($A$1,[1]characters!$1:$1,0)+1,FALSE)</f>
        <v>メルクシャ</v>
      </c>
      <c r="U2" s="11">
        <f ca="1">IF(Q2="NULL","NULL",VLOOKUP(G2,[2]ビット!$A$2:$B$7,2))</f>
        <v>50000</v>
      </c>
    </row>
    <row r="3" spans="1:21" ht="21" customHeight="1" x14ac:dyDescent="0.15">
      <c r="A3" s="183">
        <f>A2+2</f>
        <v>1096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ジャ・リダルサ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7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3" t="str">
        <f>VLOOKUP(Q3,[1]characters!$A:$AC,20)</f>
        <v>normal</v>
      </c>
      <c r="Q3" s="9">
        <f>A3+1</f>
        <v>1097</v>
      </c>
      <c r="R3" s="62" t="str">
        <f ca="1">IF(Q3="NULL","",VLOOKUP($Q3,OFFSET([1]characters!$A$1,0,0,COUNTA([1]characters!$A:$A),MATCH(R$1,[1]characters!$1:$1,0)-MATCH($A$1,[1]characters!$1:$1,0)+1),MATCH(R$1,[1]characters!$1:$1,0)-MATCH($A$1,[1]characters!$1:$1,0)+1,FALSE))</f>
        <v>超現実才奇 ジャ・リダルサ</v>
      </c>
      <c r="S3" s="5">
        <f t="shared" ca="1" si="0"/>
        <v>1096</v>
      </c>
      <c r="T3" s="62" t="str">
        <f ca="1">VLOOKUP($S3,OFFSET([1]characters!$A$1,0,0,COUNTA([1]characters!$A:$A),MATCH(T$1,[1]characters!$1:$1,0)-MATCH($A$1,[1]characters!$1:$1,0)+1),MATCH(T$1,[1]characters!$1:$1,0)-MATCH($A$1,[1]characters!$1:$1,0)+1,FALSE)</f>
        <v>ジャ・リダルサ</v>
      </c>
      <c r="U3" s="11">
        <f ca="1">IF(Q3="NULL","NULL",VLOOKUP(G3,[2]ビット!$A$2:$B$7,2))</f>
        <v>50000</v>
      </c>
    </row>
    <row r="4" spans="1:21" ht="21" customHeight="1" x14ac:dyDescent="0.15">
      <c r="A4" s="183">
        <f t="shared" ref="A4:A8" si="1">A3+2</f>
        <v>1098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ルピカ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57" t="str">
        <f ca="1">VLOOKUP($A4,OFFSET([1]characters!$A$1,0,0,COUNTA([1]characters!$A:$A),MATCH(J$1,[1]characters!$1:$1,0)-MATCH($A$1,[1]characters!$1:$1,0)+1),MATCH(J$1,[1]characters!$1:$1,0)-MATCH($A$1,[1]characters!$1:$1,0)+1,FALSE)</f>
        <v>unknown</v>
      </c>
      <c r="K4" s="5" t="str">
        <f ca="1">VLOOKUP(J4,[1]character_tribe_i18n!$A:$H,3,FALSE)</f>
        <v>Unknown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3" t="str">
        <f>VLOOKUP(Q4,[1]characters!$A:$AC,20)</f>
        <v>normal</v>
      </c>
      <c r="Q4" s="9">
        <f t="shared" ref="Q4:Q8" si="2">A4+1</f>
        <v>1099</v>
      </c>
      <c r="R4" s="62" t="str">
        <f ca="1">IF(Q4="NULL","",VLOOKUP($Q4,OFFSET([1]characters!$A$1,0,0,COUNTA([1]characters!$A:$A),MATCH(R$1,[1]characters!$1:$1,0)-MATCH($A$1,[1]characters!$1:$1,0)+1),MATCH(R$1,[1]characters!$1:$1,0)-MATCH($A$1,[1]characters!$1:$1,0)+1,FALSE))</f>
        <v>破築の連創 ルピカ</v>
      </c>
      <c r="S4" s="5">
        <f t="shared" ca="1" si="0"/>
        <v>1098</v>
      </c>
      <c r="T4" s="62" t="str">
        <f ca="1">VLOOKUP($S4,OFFSET([1]characters!$A$1,0,0,COUNTA([1]characters!$A:$A),MATCH(T$1,[1]characters!$1:$1,0)-MATCH($A$1,[1]characters!$1:$1,0)+1),MATCH(T$1,[1]characters!$1:$1,0)-MATCH($A$1,[1]characters!$1:$1,0)+1,FALSE)</f>
        <v>ルピカ</v>
      </c>
      <c r="U4" s="11">
        <f ca="1">IF(Q4="NULL","NULL",VLOOKUP(G4,[2]ビット!$A$2:$B$7,2))</f>
        <v>200000</v>
      </c>
    </row>
    <row r="5" spans="1:21" ht="21" customHeight="1" x14ac:dyDescent="0.15">
      <c r="A5" s="183">
        <f t="shared" si="1"/>
        <v>1100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北斎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57" t="str">
        <f ca="1">VLOOKUP($A5,OFFSET([1]characters!$A$1,0,0,COUNTA([1]characters!$A:$A),MATCH(J$1,[1]characters!$1:$1,0)-MATCH($A$1,[1]characters!$1:$1,0)+1),MATCH(J$1,[1]characters!$1:$1,0)-MATCH($A$1,[1]characters!$1:$1,0)+1,FALSE)</f>
        <v>samurai</v>
      </c>
      <c r="K5" s="5" t="str">
        <f ca="1">VLOOKUP(J5,[1]character_tribe_i18n!$A:$H,3,FALSE)</f>
        <v>サムライ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3" t="str">
        <f>VLOOKUP(Q5,[1]characters!$A:$AC,20)</f>
        <v>normal</v>
      </c>
      <c r="Q5" s="9">
        <f t="shared" si="2"/>
        <v>1101</v>
      </c>
      <c r="R5" s="62" t="str">
        <f ca="1">IF(Q5="NULL","",VLOOKUP($Q5,OFFSET([1]characters!$A$1,0,0,COUNTA([1]characters!$A:$A),MATCH(R$1,[1]characters!$1:$1,0)-MATCH($A$1,[1]characters!$1:$1,0)+1),MATCH(R$1,[1]characters!$1:$1,0)-MATCH($A$1,[1]characters!$1:$1,0)+1,FALSE))</f>
        <v>浮世万物の筆刻者 北斎</v>
      </c>
      <c r="S5" s="5">
        <f t="shared" ca="1" si="0"/>
        <v>1100</v>
      </c>
      <c r="T5" s="62" t="str">
        <f ca="1">VLOOKUP($S5,OFFSET([1]characters!$A$1,0,0,COUNTA([1]characters!$A:$A),MATCH(T$1,[1]characters!$1:$1,0)-MATCH($A$1,[1]characters!$1:$1,0)+1),MATCH(T$1,[1]characters!$1:$1,0)-MATCH($A$1,[1]characters!$1:$1,0)+1,FALSE)</f>
        <v>北斎</v>
      </c>
      <c r="U5" s="11">
        <f ca="1">IF(Q5="NULL","NULL",VLOOKUP(G5,[2]ビット!$A$2:$B$7,2))</f>
        <v>200000</v>
      </c>
    </row>
    <row r="6" spans="1:21" ht="21" customHeight="1" x14ac:dyDescent="0.15">
      <c r="A6" s="183">
        <f t="shared" si="1"/>
        <v>1102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ドガ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未定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PremiumSSw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57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83" t="str">
        <f>VLOOKUP(Q6,[1]characters!$A:$AC,20)</f>
        <v>normal</v>
      </c>
      <c r="Q6" s="9">
        <f t="shared" si="2"/>
        <v>1103</v>
      </c>
      <c r="R6" s="62" t="str">
        <f ca="1">IF(Q6="NULL","",VLOOKUP($Q6,OFFSET([1]characters!$A$1,0,0,COUNTA([1]characters!$A:$A),MATCH(R$1,[1]characters!$1:$1,0)-MATCH($A$1,[1]characters!$1:$1,0)+1),MATCH(R$1,[1]characters!$1:$1,0)-MATCH($A$1,[1]characters!$1:$1,0)+1,FALSE))</f>
        <v>舞台裏の鼠展 ドガ</v>
      </c>
      <c r="S6" s="5">
        <f t="shared" ca="1" si="0"/>
        <v>1102</v>
      </c>
      <c r="T6" s="62" t="str">
        <f ca="1">VLOOKUP($S6,OFFSET([1]characters!$A$1,0,0,COUNTA([1]characters!$A:$A),MATCH(T$1,[1]characters!$1:$1,0)-MATCH($A$1,[1]characters!$1:$1,0)+1),MATCH(T$1,[1]characters!$1:$1,0)-MATCH($A$1,[1]characters!$1:$1,0)+1,FALSE)</f>
        <v>ドガ</v>
      </c>
      <c r="U6" s="11">
        <f ca="1">IF(Q6="NULL","NULL",VLOOKUP(G6,[2]ビット!$A$2:$B$7,2))</f>
        <v>200000</v>
      </c>
    </row>
    <row r="7" spans="1:21" ht="21" customHeight="1" x14ac:dyDescent="0.15">
      <c r="A7" s="183">
        <f t="shared" si="1"/>
        <v>1104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クリムト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未定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57" t="str">
        <f ca="1">VLOOKUP($A7,OFFSET([1]characters!$A$1,0,0,COUNTA([1]characters!$A:$A),MATCH(J$1,[1]characters!$1:$1,0)-MATCH($A$1,[1]characters!$1:$1,0)+1),MATCH(J$1,[1]characters!$1:$1,0)-MATCH($A$1,[1]characters!$1:$1,0)+1,FALSE)</f>
        <v>unknown</v>
      </c>
      <c r="K7" s="5" t="str">
        <f ca="1">VLOOKUP(J7,[1]character_tribe_i18n!$A:$H,3,FALSE)</f>
        <v>Unknown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83" t="str">
        <f>VLOOKUP(Q7,[1]characters!$A:$AC,20)</f>
        <v>normal</v>
      </c>
      <c r="Q7" s="9">
        <f t="shared" si="2"/>
        <v>1105</v>
      </c>
      <c r="R7" s="62" t="str">
        <f ca="1">IF(Q7="NULL","",VLOOKUP($Q7,OFFSET([1]characters!$A$1,0,0,COUNTA([1]characters!$A:$A),MATCH(R$1,[1]characters!$1:$1,0)-MATCH($A$1,[1]characters!$1:$1,0)+1),MATCH(R$1,[1]characters!$1:$1,0)-MATCH($A$1,[1]characters!$1:$1,0)+1,FALSE))</f>
        <v>甘美なる背徳 クリムト</v>
      </c>
      <c r="S7" s="5">
        <f t="shared" ca="1" si="0"/>
        <v>1104</v>
      </c>
      <c r="T7" s="62" t="str">
        <f ca="1">VLOOKUP($S7,OFFSET([1]characters!$A$1,0,0,COUNTA([1]characters!$A:$A),MATCH(T$1,[1]characters!$1:$1,0)-MATCH($A$1,[1]characters!$1:$1,0)+1),MATCH(T$1,[1]characters!$1:$1,0)-MATCH($A$1,[1]characters!$1:$1,0)+1,FALSE)</f>
        <v>クリムト</v>
      </c>
      <c r="U7" s="11">
        <f ca="1">IF(Q7="NULL","NULL",VLOOKUP(G7,[2]ビット!$A$2:$B$7,2))</f>
        <v>50000</v>
      </c>
    </row>
    <row r="8" spans="1:21" ht="21" customHeight="1" x14ac:dyDescent="0.15">
      <c r="A8" s="183">
        <f t="shared" si="1"/>
        <v>1106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ラファエロ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未定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アリス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世界観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57" t="str">
        <f ca="1">VLOOKUP($A8,OFFSET([1]characters!$A$1,0,0,COUNTA([1]characters!$A:$A),MATCH(J$1,[1]characters!$1:$1,0)-MATCH($A$1,[1]characters!$1:$1,0)+1),MATCH(J$1,[1]characters!$1:$1,0)-MATCH($A$1,[1]characters!$1:$1,0)+1,FALSE)</f>
        <v>god</v>
      </c>
      <c r="K8" s="5" t="str">
        <f ca="1">VLOOKUP(J8,[1]character_tribe_i18n!$A:$H,3,FALSE)</f>
        <v>ゴッド</v>
      </c>
      <c r="L8" s="11" t="e">
        <f>VLOOKUP(#REF!,[1]character_tribe_i18n!$A:$H,4,FALSE)</f>
        <v>#REF!</v>
      </c>
      <c r="M8" s="11" t="e">
        <f>VLOOKUP(#REF!,[1]character_tribe_i18n!$A:$H,5,FALSE)</f>
        <v>#REF!</v>
      </c>
      <c r="N8" s="11" t="e">
        <f>VLOOKUP(#REF!,[1]character_tribe_i18n!$A:$H,6,FALSE)</f>
        <v>#REF!</v>
      </c>
      <c r="O8" s="11" t="e">
        <f>VLOOKUP(#REF!,[1]character_tribe_i18n!$A:$H,7,FALSE)</f>
        <v>#REF!</v>
      </c>
      <c r="P8" s="183" t="str">
        <f>VLOOKUP(Q8,[1]characters!$A:$AC,20)</f>
        <v>normal</v>
      </c>
      <c r="Q8" s="9">
        <f t="shared" si="2"/>
        <v>1107</v>
      </c>
      <c r="R8" s="62" t="str">
        <f ca="1">IF(Q8="NULL","",VLOOKUP($Q8,OFFSET([1]characters!$A$1,0,0,COUNTA([1]characters!$A:$A),MATCH(R$1,[1]characters!$1:$1,0)-MATCH($A$1,[1]characters!$1:$1,0)+1),MATCH(R$1,[1]characters!$1:$1,0)-MATCH($A$1,[1]characters!$1:$1,0)+1,FALSE))</f>
        <v>天浄の鮮風 ラファエロ</v>
      </c>
      <c r="S8" s="5">
        <f t="shared" ca="1" si="0"/>
        <v>1106</v>
      </c>
      <c r="T8" s="62" t="str">
        <f ca="1">VLOOKUP($S8,OFFSET([1]characters!$A$1,0,0,COUNTA([1]characters!$A:$A),MATCH(T$1,[1]characters!$1:$1,0)-MATCH($A$1,[1]characters!$1:$1,0)+1),MATCH(T$1,[1]characters!$1:$1,0)-MATCH($A$1,[1]characters!$1:$1,0)+1,FALSE)</f>
        <v>ラファエロ</v>
      </c>
      <c r="U8" s="11">
        <f ca="1">IF(Q8="NULL","NULL",VLOOKUP(G8,[2]ビット!$A$2:$B$7,2))</f>
        <v>200000</v>
      </c>
    </row>
  </sheetData>
  <autoFilter ref="A1:U2"/>
  <phoneticPr fontId="22"/>
  <conditionalFormatting sqref="W1:W2 W9:W1048576">
    <cfRule type="cellIs" dxfId="26" priority="2" operator="equal">
      <formula>"FALSE"</formula>
    </cfRule>
  </conditionalFormatting>
  <conditionalFormatting sqref="W3:W8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8"/>
  <sheetViews>
    <sheetView showGridLines="0" topLeftCell="B1" workbookViewId="0">
      <pane ySplit="1" topLeftCell="A2" activePane="bottomLeft" state="frozen"/>
      <selection pane="bottomLeft" activeCell="I34" sqref="I34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5" t="s">
        <v>99</v>
      </c>
      <c r="B1" s="42" t="s">
        <v>38</v>
      </c>
      <c r="C1" s="184" t="s">
        <v>289</v>
      </c>
      <c r="D1" s="20" t="s">
        <v>40</v>
      </c>
      <c r="E1" s="20" t="s">
        <v>42</v>
      </c>
      <c r="F1" s="20" t="s">
        <v>43</v>
      </c>
      <c r="G1" s="184" t="s">
        <v>290</v>
      </c>
      <c r="H1" s="20" t="s">
        <v>40</v>
      </c>
      <c r="I1" s="43" t="s">
        <v>36</v>
      </c>
      <c r="J1" s="20" t="s">
        <v>41</v>
      </c>
      <c r="K1" s="19" t="s">
        <v>37</v>
      </c>
      <c r="L1" s="186" t="s">
        <v>127</v>
      </c>
      <c r="M1" s="187" t="s">
        <v>292</v>
      </c>
    </row>
    <row r="2" spans="1:14" ht="21" customHeight="1" x14ac:dyDescent="0.15">
      <c r="A2" s="65" t="str">
        <f t="shared" ref="A2:A28" si="0">B2&amp;"_"&amp;I2</f>
        <v>1094_1094</v>
      </c>
      <c r="B2" s="44">
        <v>1094</v>
      </c>
      <c r="C2" s="185">
        <f t="shared" ref="C2:C28" si="1">B2</f>
        <v>1094</v>
      </c>
      <c r="D2" s="193" t="str">
        <f ca="1">VLOOKUP(B2,units!A:B,2)</f>
        <v>メルクシャ</v>
      </c>
      <c r="E2" s="193">
        <f ca="1">VLOOKUP($C2,OFFSET([1]characters!$A$1,0,0,COUNTA([1]characters!$A:$A),MATCH(E$1,[1]characters!$1:$1,0)-COLUMN(INDIRECT("character_id"))+1),MATCH(E$1,[1]characters!$1:$1,0)-COLUMN(INDIRECT("character_id"))+1,FALSE)</f>
        <v>4</v>
      </c>
      <c r="F2" s="193" t="str">
        <f ca="1">VLOOKUP($C2,OFFSET([1]characters!$A$1,0,0,COUNTA([1]characters!$A:$A),MATCH(F$1,[1]characters!$1:$1,0)-COLUMN(INDIRECT("character_id"))+1),MATCH(F$1,[1]characters!$1:$1,0)-COLUMN(INDIRECT("character_id"))+1,FALSE)</f>
        <v>Drop2N</v>
      </c>
      <c r="G2" s="194">
        <f>B2+1</f>
        <v>1095</v>
      </c>
      <c r="H2" s="193" t="str">
        <f ca="1">VLOOKUP(G2,OFFSET([1]characters!$A$1,0,0,COUNTA([1]characters!$A:$A),MATCH(H$1,[1]characters!$1:$1,0)-COLUMN(INDIRECT("character_id"))+1),MATCH(H$1,[1]characters!$1:$1,0)-COLUMN(INDIRECT("character_id"))+1,FALSE)</f>
        <v>誓愛の絵花 メルクシャ</v>
      </c>
      <c r="I2" s="195">
        <v>1094</v>
      </c>
      <c r="J2" s="193" t="str">
        <f>VLOOKUP(I2,[1]characters!$A:$C,3,FALSE)</f>
        <v>メルクシャ</v>
      </c>
      <c r="K2" s="18">
        <v>1</v>
      </c>
      <c r="L2" s="114">
        <v>10</v>
      </c>
      <c r="M2" s="114">
        <v>10</v>
      </c>
      <c r="N2" s="2" t="s">
        <v>291</v>
      </c>
    </row>
    <row r="3" spans="1:14" x14ac:dyDescent="0.15">
      <c r="A3" s="65" t="str">
        <f t="shared" si="0"/>
        <v>1096_101</v>
      </c>
      <c r="B3" s="44">
        <v>1096</v>
      </c>
      <c r="C3" s="185">
        <f t="shared" si="1"/>
        <v>1096</v>
      </c>
      <c r="D3" s="193" t="str">
        <f ca="1">VLOOKUP(B3,units!A:B,2)</f>
        <v>ジャ・リダルサ</v>
      </c>
      <c r="E3" s="193">
        <f ca="1">VLOOKUP($C3,OFFSET([1]characters!$A$1,0,0,COUNTA([1]characters!$A:$A),MATCH(E$1,[1]characters!$1:$1,0)-COLUMN(INDIRECT("character_id"))+1),MATCH(E$1,[1]characters!$1:$1,0)-COLUMN(INDIRECT("character_id"))+1,FALSE)</f>
        <v>4</v>
      </c>
      <c r="F3" s="193" t="str">
        <f ca="1">VLOOKUP($C3,OFFSET([1]characters!$A$1,0,0,COUNTA([1]characters!$A:$A),MATCH(F$1,[1]characters!$1:$1,0)-COLUMN(INDIRECT("character_id"))+1),MATCH(F$1,[1]characters!$1:$1,0)-COLUMN(INDIRECT("character_id"))+1,FALSE)</f>
        <v>Drop2N</v>
      </c>
      <c r="G3" s="194">
        <f t="shared" ref="G3:G28" si="2">B3+1</f>
        <v>1097</v>
      </c>
      <c r="H3" s="193" t="str">
        <f ca="1">VLOOKUP(G3,OFFSET([1]characters!$A$1,0,0,COUNTA([1]characters!$A:$A),MATCH(H$1,[1]characters!$1:$1,0)-COLUMN(INDIRECT("character_id"))+1),MATCH(H$1,[1]characters!$1:$1,0)-COLUMN(INDIRECT("character_id"))+1,FALSE)</f>
        <v>超現実才奇 ジャ・リダルサ</v>
      </c>
      <c r="I3" s="196">
        <v>101</v>
      </c>
      <c r="J3" s="193" t="str">
        <f>VLOOKUP(I3,[1]characters!$A:$C,3,FALSE)</f>
        <v>レッドチェシャ</v>
      </c>
      <c r="K3" s="18">
        <v>1</v>
      </c>
      <c r="L3" s="114">
        <v>1</v>
      </c>
      <c r="M3" s="114">
        <v>1</v>
      </c>
    </row>
    <row r="4" spans="1:14" x14ac:dyDescent="0.15">
      <c r="A4" s="65" t="str">
        <f t="shared" si="0"/>
        <v>1096_102</v>
      </c>
      <c r="B4" s="44">
        <v>1096</v>
      </c>
      <c r="C4" s="185">
        <f t="shared" si="1"/>
        <v>1096</v>
      </c>
      <c r="D4" s="193" t="str">
        <f ca="1">VLOOKUP(B4,units!A:B,2)</f>
        <v>ジャ・リダルサ</v>
      </c>
      <c r="E4" s="193">
        <f ca="1">VLOOKUP($C4,OFFSET([1]characters!$A$1,0,0,COUNTA([1]characters!$A:$A),MATCH(E$1,[1]characters!$1:$1,0)-COLUMN(INDIRECT("character_id"))+1),MATCH(E$1,[1]characters!$1:$1,0)-COLUMN(INDIRECT("character_id"))+1,FALSE)</f>
        <v>4</v>
      </c>
      <c r="F4" s="193" t="str">
        <f ca="1">VLOOKUP($C4,OFFSET([1]characters!$A$1,0,0,COUNTA([1]characters!$A:$A),MATCH(F$1,[1]characters!$1:$1,0)-COLUMN(INDIRECT("character_id"))+1),MATCH(F$1,[1]characters!$1:$1,0)-COLUMN(INDIRECT("character_id"))+1,FALSE)</f>
        <v>Drop2N</v>
      </c>
      <c r="G4" s="194">
        <f t="shared" si="2"/>
        <v>1097</v>
      </c>
      <c r="H4" s="193" t="str">
        <f ca="1">VLOOKUP(G4,OFFSET([1]characters!$A$1,0,0,COUNTA([1]characters!$A:$A),MATCH(H$1,[1]characters!$1:$1,0)-COLUMN(INDIRECT("character_id"))+1),MATCH(H$1,[1]characters!$1:$1,0)-COLUMN(INDIRECT("character_id"))+1,FALSE)</f>
        <v>超現実才奇 ジャ・リダルサ</v>
      </c>
      <c r="I4" s="196">
        <v>102</v>
      </c>
      <c r="J4" s="193" t="str">
        <f>VLOOKUP(I4,[1]characters!$A:$C,3,FALSE)</f>
        <v>レッドラビット</v>
      </c>
      <c r="K4" s="18">
        <v>2</v>
      </c>
      <c r="L4" s="114">
        <v>1</v>
      </c>
      <c r="M4" s="114">
        <v>1</v>
      </c>
    </row>
    <row r="5" spans="1:14" x14ac:dyDescent="0.15">
      <c r="A5" s="65" t="str">
        <f t="shared" si="0"/>
        <v>1096_103</v>
      </c>
      <c r="B5" s="44">
        <v>1096</v>
      </c>
      <c r="C5" s="185">
        <f t="shared" si="1"/>
        <v>1096</v>
      </c>
      <c r="D5" s="193" t="str">
        <f ca="1">VLOOKUP(B5,units!A:B,2)</f>
        <v>ジャ・リダルサ</v>
      </c>
      <c r="E5" s="193">
        <f ca="1">VLOOKUP($C5,OFFSET([1]characters!$A$1,0,0,COUNTA([1]characters!$A:$A),MATCH(E$1,[1]characters!$1:$1,0)-COLUMN(INDIRECT("character_id"))+1),MATCH(E$1,[1]characters!$1:$1,0)-COLUMN(INDIRECT("character_id"))+1,FALSE)</f>
        <v>4</v>
      </c>
      <c r="F5" s="193" t="str">
        <f ca="1">VLOOKUP($C5,OFFSET([1]characters!$A$1,0,0,COUNTA([1]characters!$A:$A),MATCH(F$1,[1]characters!$1:$1,0)-COLUMN(INDIRECT("character_id"))+1),MATCH(F$1,[1]characters!$1:$1,0)-COLUMN(INDIRECT("character_id"))+1,FALSE)</f>
        <v>Drop2N</v>
      </c>
      <c r="G5" s="194">
        <f t="shared" si="2"/>
        <v>1097</v>
      </c>
      <c r="H5" s="193" t="str">
        <f ca="1">VLOOKUP(G5,OFFSET([1]characters!$A$1,0,0,COUNTA([1]characters!$A:$A),MATCH(H$1,[1]characters!$1:$1,0)-COLUMN(INDIRECT("character_id"))+1),MATCH(H$1,[1]characters!$1:$1,0)-COLUMN(INDIRECT("character_id"))+1,FALSE)</f>
        <v>超現実才奇 ジャ・リダルサ</v>
      </c>
      <c r="I5" s="196">
        <v>103</v>
      </c>
      <c r="J5" s="193" t="str">
        <f>VLOOKUP(I5,[1]characters!$A:$C,3,FALSE)</f>
        <v>レッドキャタップ</v>
      </c>
      <c r="K5" s="18">
        <v>1</v>
      </c>
      <c r="L5" s="114">
        <v>1</v>
      </c>
      <c r="M5" s="114">
        <v>1</v>
      </c>
    </row>
    <row r="6" spans="1:14" x14ac:dyDescent="0.15">
      <c r="A6" s="65" t="str">
        <f t="shared" si="0"/>
        <v>1096_104</v>
      </c>
      <c r="B6" s="44">
        <v>1096</v>
      </c>
      <c r="C6" s="185">
        <f t="shared" si="1"/>
        <v>1096</v>
      </c>
      <c r="D6" s="193" t="str">
        <f ca="1">VLOOKUP(B6,units!A:B,2)</f>
        <v>ジャ・リダルサ</v>
      </c>
      <c r="E6" s="193">
        <f ca="1">VLOOKUP($C6,OFFSET([1]characters!$A$1,0,0,COUNTA([1]characters!$A:$A),MATCH(E$1,[1]characters!$1:$1,0)-COLUMN(INDIRECT("character_id"))+1),MATCH(E$1,[1]characters!$1:$1,0)-COLUMN(INDIRECT("character_id"))+1,FALSE)</f>
        <v>4</v>
      </c>
      <c r="F6" s="193" t="str">
        <f ca="1">VLOOKUP($C6,OFFSET([1]characters!$A$1,0,0,COUNTA([1]characters!$A:$A),MATCH(F$1,[1]characters!$1:$1,0)-COLUMN(INDIRECT("character_id"))+1),MATCH(F$1,[1]characters!$1:$1,0)-COLUMN(INDIRECT("character_id"))+1,FALSE)</f>
        <v>Drop2N</v>
      </c>
      <c r="G6" s="194">
        <f t="shared" si="2"/>
        <v>1097</v>
      </c>
      <c r="H6" s="193" t="str">
        <f ca="1">VLOOKUP(G6,OFFSET([1]characters!$A$1,0,0,COUNTA([1]characters!$A:$A),MATCH(H$1,[1]characters!$1:$1,0)-COLUMN(INDIRECT("character_id"))+1),MATCH(H$1,[1]characters!$1:$1,0)-COLUMN(INDIRECT("character_id"))+1,FALSE)</f>
        <v>超現実才奇 ジャ・リダルサ</v>
      </c>
      <c r="I6" s="196">
        <v>104</v>
      </c>
      <c r="J6" s="193" t="str">
        <f>VLOOKUP(I6,[1]characters!$A:$C,3,FALSE)</f>
        <v>炎のマッドハッター</v>
      </c>
      <c r="K6" s="18">
        <v>1</v>
      </c>
      <c r="L6" s="114">
        <v>1</v>
      </c>
      <c r="M6" s="114">
        <v>1</v>
      </c>
    </row>
    <row r="7" spans="1:14" x14ac:dyDescent="0.15">
      <c r="A7" s="65" t="str">
        <f t="shared" si="0"/>
        <v>1098_837</v>
      </c>
      <c r="B7" s="44">
        <v>1098</v>
      </c>
      <c r="C7" s="185">
        <f t="shared" si="1"/>
        <v>1098</v>
      </c>
      <c r="D7" s="193" t="str">
        <f ca="1">VLOOKUP(B7,units!A:B,2)</f>
        <v>ルピカ</v>
      </c>
      <c r="E7" s="193">
        <f ca="1">VLOOKUP($C7,OFFSET([1]characters!$A$1,0,0,COUNTA([1]characters!$A:$A),MATCH(E$1,[1]characters!$1:$1,0)-COLUMN(INDIRECT("character_id"))+1),MATCH(E$1,[1]characters!$1:$1,0)-COLUMN(INDIRECT("character_id"))+1,FALSE)</f>
        <v>5</v>
      </c>
      <c r="F7" s="193" t="str">
        <f ca="1">VLOOKUP($C7,OFFSET([1]characters!$A$1,0,0,COUNTA([1]characters!$A:$A),MATCH(F$1,[1]characters!$1:$1,0)-COLUMN(INDIRECT("character_id"))+1),MATCH(F$1,[1]characters!$1:$1,0)-COLUMN(INDIRECT("character_id"))+1,FALSE)</f>
        <v>DropWizS</v>
      </c>
      <c r="G7" s="194">
        <f t="shared" si="2"/>
        <v>1099</v>
      </c>
      <c r="H7" s="193" t="str">
        <f ca="1">VLOOKUP(G7,OFFSET([1]characters!$A$1,0,0,COUNTA([1]characters!$A:$A),MATCH(H$1,[1]characters!$1:$1,0)-COLUMN(INDIRECT("character_id"))+1),MATCH(H$1,[1]characters!$1:$1,0)-COLUMN(INDIRECT("character_id"))+1,FALSE)</f>
        <v>破築の連創 ルピカ</v>
      </c>
      <c r="I7" s="197">
        <v>837</v>
      </c>
      <c r="J7" s="193" t="str">
        <f>VLOOKUP(I7,[1]characters!$A:$C,3,FALSE)</f>
        <v>リトルハンプティ</v>
      </c>
      <c r="K7" s="18">
        <v>1</v>
      </c>
      <c r="L7" s="114">
        <v>1</v>
      </c>
      <c r="M7" s="114">
        <v>100</v>
      </c>
    </row>
    <row r="8" spans="1:14" x14ac:dyDescent="0.15">
      <c r="A8" s="65" t="str">
        <f t="shared" si="0"/>
        <v>1098_1094</v>
      </c>
      <c r="B8" s="44">
        <v>1098</v>
      </c>
      <c r="C8" s="185">
        <f t="shared" si="1"/>
        <v>1098</v>
      </c>
      <c r="D8" s="193" t="str">
        <f ca="1">VLOOKUP(B8,units!A:B,2)</f>
        <v>ルピカ</v>
      </c>
      <c r="E8" s="193">
        <f ca="1">VLOOKUP($C8,OFFSET([1]characters!$A$1,0,0,COUNTA([1]characters!$A:$A),MATCH(E$1,[1]characters!$1:$1,0)-COLUMN(INDIRECT("character_id"))+1),MATCH(E$1,[1]characters!$1:$1,0)-COLUMN(INDIRECT("character_id"))+1,FALSE)</f>
        <v>5</v>
      </c>
      <c r="F8" s="193" t="str">
        <f ca="1">VLOOKUP($C8,OFFSET([1]characters!$A$1,0,0,COUNTA([1]characters!$A:$A),MATCH(F$1,[1]characters!$1:$1,0)-COLUMN(INDIRECT("character_id"))+1),MATCH(F$1,[1]characters!$1:$1,0)-COLUMN(INDIRECT("character_id"))+1,FALSE)</f>
        <v>DropWizS</v>
      </c>
      <c r="G8" s="194">
        <f t="shared" si="2"/>
        <v>1099</v>
      </c>
      <c r="H8" s="193" t="str">
        <f ca="1">VLOOKUP(G8,OFFSET([1]characters!$A$1,0,0,COUNTA([1]characters!$A:$A),MATCH(H$1,[1]characters!$1:$1,0)-COLUMN(INDIRECT("character_id"))+1),MATCH(H$1,[1]characters!$1:$1,0)-COLUMN(INDIRECT("character_id"))+1,FALSE)</f>
        <v>破築の連創 ルピカ</v>
      </c>
      <c r="I8" s="197">
        <v>1094</v>
      </c>
      <c r="J8" s="193" t="str">
        <f>VLOOKUP(I8,[1]characters!$A:$C,3,FALSE)</f>
        <v>メルクシャ</v>
      </c>
      <c r="K8" s="18">
        <v>1</v>
      </c>
      <c r="L8" s="114">
        <v>3</v>
      </c>
      <c r="M8" s="114">
        <v>10</v>
      </c>
    </row>
    <row r="9" spans="1:14" x14ac:dyDescent="0.15">
      <c r="A9" s="65" t="str">
        <f t="shared" si="0"/>
        <v>1098_1096</v>
      </c>
      <c r="B9" s="44">
        <v>1098</v>
      </c>
      <c r="C9" s="185">
        <f t="shared" si="1"/>
        <v>1098</v>
      </c>
      <c r="D9" s="193" t="str">
        <f ca="1">VLOOKUP(B9,units!A:B,2)</f>
        <v>ルピカ</v>
      </c>
      <c r="E9" s="193">
        <f ca="1">VLOOKUP($C9,OFFSET([1]characters!$A$1,0,0,COUNTA([1]characters!$A:$A),MATCH(E$1,[1]characters!$1:$1,0)-COLUMN(INDIRECT("character_id"))+1),MATCH(E$1,[1]characters!$1:$1,0)-COLUMN(INDIRECT("character_id"))+1,FALSE)</f>
        <v>5</v>
      </c>
      <c r="F9" s="193" t="str">
        <f ca="1">VLOOKUP($C9,OFFSET([1]characters!$A$1,0,0,COUNTA([1]characters!$A:$A),MATCH(F$1,[1]characters!$1:$1,0)-COLUMN(INDIRECT("character_id"))+1),MATCH(F$1,[1]characters!$1:$1,0)-COLUMN(INDIRECT("character_id"))+1,FALSE)</f>
        <v>DropWizS</v>
      </c>
      <c r="G9" s="194">
        <f t="shared" si="2"/>
        <v>1099</v>
      </c>
      <c r="H9" s="193" t="str">
        <f ca="1">VLOOKUP(G9,OFFSET([1]characters!$A$1,0,0,COUNTA([1]characters!$A:$A),MATCH(H$1,[1]characters!$1:$1,0)-COLUMN(INDIRECT("character_id"))+1),MATCH(H$1,[1]characters!$1:$1,0)-COLUMN(INDIRECT("character_id"))+1,FALSE)</f>
        <v>破築の連創 ルピカ</v>
      </c>
      <c r="I9" s="197">
        <v>1096</v>
      </c>
      <c r="J9" s="193" t="str">
        <f>VLOOKUP(I9,[1]characters!$A:$C,3,FALSE)</f>
        <v>ジャ・リダルサ</v>
      </c>
      <c r="K9" s="18">
        <v>1</v>
      </c>
      <c r="L9" s="114">
        <v>2</v>
      </c>
      <c r="M9" s="114">
        <v>10</v>
      </c>
    </row>
    <row r="10" spans="1:14" x14ac:dyDescent="0.15">
      <c r="A10" s="65" t="str">
        <f t="shared" si="0"/>
        <v>1098_116</v>
      </c>
      <c r="B10" s="44">
        <v>1098</v>
      </c>
      <c r="C10" s="185">
        <f t="shared" si="1"/>
        <v>1098</v>
      </c>
      <c r="D10" s="193" t="str">
        <f ca="1">VLOOKUP(B10,units!A:B,2)</f>
        <v>ルピカ</v>
      </c>
      <c r="E10" s="193">
        <f ca="1">VLOOKUP($C10,OFFSET([1]characters!$A$1,0,0,COUNTA([1]characters!$A:$A),MATCH(E$1,[1]characters!$1:$1,0)-COLUMN(INDIRECT("character_id"))+1),MATCH(E$1,[1]characters!$1:$1,0)-COLUMN(INDIRECT("character_id"))+1,FALSE)</f>
        <v>5</v>
      </c>
      <c r="F10" s="193" t="str">
        <f ca="1">VLOOKUP($C10,OFFSET([1]characters!$A$1,0,0,COUNTA([1]characters!$A:$A),MATCH(F$1,[1]characters!$1:$1,0)-COLUMN(INDIRECT("character_id"))+1),MATCH(F$1,[1]characters!$1:$1,0)-COLUMN(INDIRECT("character_id"))+1,FALSE)</f>
        <v>DropWizS</v>
      </c>
      <c r="G10" s="194">
        <f t="shared" si="2"/>
        <v>1099</v>
      </c>
      <c r="H10" s="193" t="str">
        <f ca="1">VLOOKUP(G10,OFFSET([1]characters!$A$1,0,0,COUNTA([1]characters!$A:$A),MATCH(H$1,[1]characters!$1:$1,0)-COLUMN(INDIRECT("character_id"))+1),MATCH(H$1,[1]characters!$1:$1,0)-COLUMN(INDIRECT("character_id"))+1,FALSE)</f>
        <v>破築の連創 ルピカ</v>
      </c>
      <c r="I10" s="197">
        <v>116</v>
      </c>
      <c r="J10" s="193" t="str">
        <f>VLOOKUP(I10,[1]characters!$A:$C,3,FALSE)</f>
        <v>雷のマッドハッター</v>
      </c>
      <c r="K10" s="18">
        <v>1</v>
      </c>
      <c r="L10" s="114">
        <v>1</v>
      </c>
      <c r="M10" s="114">
        <v>10</v>
      </c>
    </row>
    <row r="11" spans="1:14" x14ac:dyDescent="0.15">
      <c r="A11" s="65" t="str">
        <f t="shared" si="0"/>
        <v>1100_837</v>
      </c>
      <c r="B11" s="44">
        <v>1100</v>
      </c>
      <c r="C11" s="185">
        <f t="shared" si="1"/>
        <v>1100</v>
      </c>
      <c r="D11" s="193" t="str">
        <f ca="1">VLOOKUP(B11,units!A:B,2)</f>
        <v>北斎</v>
      </c>
      <c r="E11" s="193">
        <f ca="1">VLOOKUP($C11,OFFSET([1]characters!$A$1,0,0,COUNTA([1]characters!$A:$A),MATCH(E$1,[1]characters!$1:$1,0)-COLUMN(INDIRECT("character_id"))+1),MATCH(E$1,[1]characters!$1:$1,0)-COLUMN(INDIRECT("character_id"))+1,FALSE)</f>
        <v>5</v>
      </c>
      <c r="F11" s="193" t="str">
        <f ca="1">VLOOKUP($C11,OFFSET([1]characters!$A$1,0,0,COUNTA([1]characters!$A:$A),MATCH(F$1,[1]characters!$1:$1,0)-COLUMN(INDIRECT("character_id"))+1),MATCH(F$1,[1]characters!$1:$1,0)-COLUMN(INDIRECT("character_id"))+1,FALSE)</f>
        <v>PremiumSS</v>
      </c>
      <c r="G11" s="194">
        <f t="shared" si="2"/>
        <v>1101</v>
      </c>
      <c r="H11" s="193" t="str">
        <f ca="1">VLOOKUP(G11,OFFSET([1]characters!$A$1,0,0,COUNTA([1]characters!$A:$A),MATCH(H$1,[1]characters!$1:$1,0)-COLUMN(INDIRECT("character_id"))+1),MATCH(H$1,[1]characters!$1:$1,0)-COLUMN(INDIRECT("character_id"))+1,FALSE)</f>
        <v>浮世万物の筆刻者 北斎</v>
      </c>
      <c r="I11" s="198">
        <v>837</v>
      </c>
      <c r="J11" s="193" t="str">
        <f>VLOOKUP(I11,[1]characters!$A:$C,3,FALSE)</f>
        <v>リトルハンプティ</v>
      </c>
      <c r="K11" s="18">
        <v>1</v>
      </c>
      <c r="L11" s="114">
        <v>1</v>
      </c>
      <c r="M11" s="114">
        <v>100</v>
      </c>
    </row>
    <row r="12" spans="1:14" x14ac:dyDescent="0.15">
      <c r="A12" s="65" t="str">
        <f t="shared" si="0"/>
        <v>1100_103</v>
      </c>
      <c r="B12" s="44">
        <v>1100</v>
      </c>
      <c r="C12" s="185">
        <f t="shared" si="1"/>
        <v>1100</v>
      </c>
      <c r="D12" s="193" t="str">
        <f ca="1">VLOOKUP(B12,units!A:B,2)</f>
        <v>北斎</v>
      </c>
      <c r="E12" s="193">
        <f ca="1">VLOOKUP($C12,OFFSET([1]characters!$A$1,0,0,COUNTA([1]characters!$A:$A),MATCH(E$1,[1]characters!$1:$1,0)-COLUMN(INDIRECT("character_id"))+1),MATCH(E$1,[1]characters!$1:$1,0)-COLUMN(INDIRECT("character_id"))+1,FALSE)</f>
        <v>5</v>
      </c>
      <c r="F12" s="193" t="str">
        <f ca="1">VLOOKUP($C12,OFFSET([1]characters!$A$1,0,0,COUNTA([1]characters!$A:$A),MATCH(F$1,[1]characters!$1:$1,0)-COLUMN(INDIRECT("character_id"))+1),MATCH(F$1,[1]characters!$1:$1,0)-COLUMN(INDIRECT("character_id"))+1,FALSE)</f>
        <v>PremiumSS</v>
      </c>
      <c r="G12" s="194">
        <f t="shared" si="2"/>
        <v>1101</v>
      </c>
      <c r="H12" s="193" t="str">
        <f ca="1">VLOOKUP(G12,OFFSET([1]characters!$A$1,0,0,COUNTA([1]characters!$A:$A),MATCH(H$1,[1]characters!$1:$1,0)-COLUMN(INDIRECT("character_id"))+1),MATCH(H$1,[1]characters!$1:$1,0)-COLUMN(INDIRECT("character_id"))+1,FALSE)</f>
        <v>浮世万物の筆刻者 北斎</v>
      </c>
      <c r="I12" s="198">
        <v>103</v>
      </c>
      <c r="J12" s="193" t="str">
        <f>VLOOKUP(I12,[1]characters!$A:$C,3,FALSE)</f>
        <v>レッドキャタップ</v>
      </c>
      <c r="K12" s="18">
        <v>1</v>
      </c>
      <c r="L12" s="114">
        <v>1</v>
      </c>
      <c r="M12" s="114">
        <v>1</v>
      </c>
    </row>
    <row r="13" spans="1:14" x14ac:dyDescent="0.15">
      <c r="A13" s="65" t="str">
        <f t="shared" si="0"/>
        <v>1100_1096</v>
      </c>
      <c r="B13" s="44">
        <v>1100</v>
      </c>
      <c r="C13" s="185">
        <f t="shared" si="1"/>
        <v>1100</v>
      </c>
      <c r="D13" s="193" t="str">
        <f ca="1">VLOOKUP(B13,units!A:B,2)</f>
        <v>北斎</v>
      </c>
      <c r="E13" s="193">
        <f ca="1">VLOOKUP($C13,OFFSET([1]characters!$A$1,0,0,COUNTA([1]characters!$A:$A),MATCH(E$1,[1]characters!$1:$1,0)-COLUMN(INDIRECT("character_id"))+1),MATCH(E$1,[1]characters!$1:$1,0)-COLUMN(INDIRECT("character_id"))+1,FALSE)</f>
        <v>5</v>
      </c>
      <c r="F13" s="193" t="str">
        <f ca="1">VLOOKUP($C13,OFFSET([1]characters!$A$1,0,0,COUNTA([1]characters!$A:$A),MATCH(F$1,[1]characters!$1:$1,0)-COLUMN(INDIRECT("character_id"))+1),MATCH(F$1,[1]characters!$1:$1,0)-COLUMN(INDIRECT("character_id"))+1,FALSE)</f>
        <v>PremiumSS</v>
      </c>
      <c r="G13" s="194">
        <f t="shared" si="2"/>
        <v>1101</v>
      </c>
      <c r="H13" s="193" t="str">
        <f ca="1">VLOOKUP(G13,OFFSET([1]characters!$A$1,0,0,COUNTA([1]characters!$A:$A),MATCH(H$1,[1]characters!$1:$1,0)-COLUMN(INDIRECT("character_id"))+1),MATCH(H$1,[1]characters!$1:$1,0)-COLUMN(INDIRECT("character_id"))+1,FALSE)</f>
        <v>浮世万物の筆刻者 北斎</v>
      </c>
      <c r="I13" s="198">
        <v>1096</v>
      </c>
      <c r="J13" s="193" t="str">
        <f>VLOOKUP(I13,[1]characters!$A:$C,3,FALSE)</f>
        <v>ジャ・リダルサ</v>
      </c>
      <c r="K13" s="18">
        <v>1</v>
      </c>
      <c r="L13" s="114">
        <v>1</v>
      </c>
      <c r="M13" s="114">
        <v>1</v>
      </c>
    </row>
    <row r="14" spans="1:14" x14ac:dyDescent="0.15">
      <c r="A14" s="65" t="str">
        <f t="shared" ref="A14" si="3">B14&amp;"_"&amp;I14</f>
        <v>1100_1020</v>
      </c>
      <c r="B14" s="44">
        <v>1100</v>
      </c>
      <c r="C14" s="185">
        <f t="shared" ref="C14" si="4">B14</f>
        <v>1100</v>
      </c>
      <c r="D14" s="193" t="str">
        <f ca="1">VLOOKUP(B14,units!A:B,2)</f>
        <v>北斎</v>
      </c>
      <c r="E14" s="193">
        <f ca="1">VLOOKUP($C14,OFFSET([1]characters!$A$1,0,0,COUNTA([1]characters!$A:$A),MATCH(E$1,[1]characters!$1:$1,0)-COLUMN(INDIRECT("character_id"))+1),MATCH(E$1,[1]characters!$1:$1,0)-COLUMN(INDIRECT("character_id"))+1,FALSE)</f>
        <v>5</v>
      </c>
      <c r="F14" s="193" t="str">
        <f ca="1">VLOOKUP($C14,OFFSET([1]characters!$A$1,0,0,COUNTA([1]characters!$A:$A),MATCH(F$1,[1]characters!$1:$1,0)-COLUMN(INDIRECT("character_id"))+1),MATCH(F$1,[1]characters!$1:$1,0)-COLUMN(INDIRECT("character_id"))+1,FALSE)</f>
        <v>PremiumSS</v>
      </c>
      <c r="G14" s="194">
        <f t="shared" ref="G14" si="5">B14+1</f>
        <v>1101</v>
      </c>
      <c r="H14" s="193" t="str">
        <f ca="1">VLOOKUP(G14,OFFSET([1]characters!$A$1,0,0,COUNTA([1]characters!$A:$A),MATCH(H$1,[1]characters!$1:$1,0)-COLUMN(INDIRECT("character_id"))+1),MATCH(H$1,[1]characters!$1:$1,0)-COLUMN(INDIRECT("character_id"))+1,FALSE)</f>
        <v>浮世万物の筆刻者 北斎</v>
      </c>
      <c r="I14" s="198">
        <v>1020</v>
      </c>
      <c r="J14" s="193" t="str">
        <f>VLOOKUP(I14,[1]characters!$A:$C,3,FALSE)</f>
        <v>静御前</v>
      </c>
      <c r="K14" s="18">
        <v>1</v>
      </c>
      <c r="L14" s="114">
        <v>1</v>
      </c>
      <c r="M14" s="114">
        <v>1</v>
      </c>
    </row>
    <row r="15" spans="1:14" x14ac:dyDescent="0.15">
      <c r="A15" s="65" t="str">
        <f t="shared" ref="A15" si="6">B15&amp;"_"&amp;I15</f>
        <v>1100_104</v>
      </c>
      <c r="B15" s="44">
        <v>1100</v>
      </c>
      <c r="C15" s="185">
        <f t="shared" ref="C15" si="7">B15</f>
        <v>1100</v>
      </c>
      <c r="D15" s="193" t="str">
        <f ca="1">VLOOKUP(B15,units!A:B,2)</f>
        <v>北斎</v>
      </c>
      <c r="E15" s="193">
        <f ca="1">VLOOKUP($C15,OFFSET([1]characters!$A$1,0,0,COUNTA([1]characters!$A:$A),MATCH(E$1,[1]characters!$1:$1,0)-COLUMN(INDIRECT("character_id"))+1),MATCH(E$1,[1]characters!$1:$1,0)-COLUMN(INDIRECT("character_id"))+1,FALSE)</f>
        <v>5</v>
      </c>
      <c r="F15" s="193" t="str">
        <f ca="1">VLOOKUP($C15,OFFSET([1]characters!$A$1,0,0,COUNTA([1]characters!$A:$A),MATCH(F$1,[1]characters!$1:$1,0)-COLUMN(INDIRECT("character_id"))+1),MATCH(F$1,[1]characters!$1:$1,0)-COLUMN(INDIRECT("character_id"))+1,FALSE)</f>
        <v>PremiumSS</v>
      </c>
      <c r="G15" s="194">
        <f t="shared" ref="G15" si="8">B15+1</f>
        <v>1101</v>
      </c>
      <c r="H15" s="193" t="str">
        <f ca="1">VLOOKUP(G15,OFFSET([1]characters!$A$1,0,0,COUNTA([1]characters!$A:$A),MATCH(H$1,[1]characters!$1:$1,0)-COLUMN(INDIRECT("character_id"))+1),MATCH(H$1,[1]characters!$1:$1,0)-COLUMN(INDIRECT("character_id"))+1,FALSE)</f>
        <v>浮世万物の筆刻者 北斎</v>
      </c>
      <c r="I15" s="198">
        <v>104</v>
      </c>
      <c r="J15" s="193" t="str">
        <f>VLOOKUP(I15,[1]characters!$A:$C,3,FALSE)</f>
        <v>炎のマッドハッター</v>
      </c>
      <c r="K15" s="18">
        <v>1</v>
      </c>
      <c r="L15" s="114">
        <v>1</v>
      </c>
      <c r="M15" s="114">
        <v>1</v>
      </c>
    </row>
    <row r="16" spans="1:14" x14ac:dyDescent="0.15">
      <c r="A16" s="65" t="str">
        <f t="shared" si="0"/>
        <v>1102_837</v>
      </c>
      <c r="B16" s="112">
        <v>1102</v>
      </c>
      <c r="C16" s="185">
        <f t="shared" si="1"/>
        <v>1102</v>
      </c>
      <c r="D16" s="193" t="str">
        <f ca="1">VLOOKUP(B16,units!A:B,2)</f>
        <v>ドガ</v>
      </c>
      <c r="E16" s="193">
        <f ca="1">VLOOKUP($C16,OFFSET([1]characters!$A$1,0,0,COUNTA([1]characters!$A:$A),MATCH(E$1,[1]characters!$1:$1,0)-COLUMN(INDIRECT("character_id"))+1),MATCH(E$1,[1]characters!$1:$1,0)-COLUMN(INDIRECT("character_id"))+1,FALSE)</f>
        <v>5</v>
      </c>
      <c r="F16" s="193" t="str">
        <f ca="1">VLOOKUP($C16,OFFSET([1]characters!$A$1,0,0,COUNTA([1]characters!$A:$A),MATCH(F$1,[1]characters!$1:$1,0)-COLUMN(INDIRECT("character_id"))+1),MATCH(F$1,[1]characters!$1:$1,0)-COLUMN(INDIRECT("character_id"))+1,FALSE)</f>
        <v>PremiumSSw</v>
      </c>
      <c r="G16" s="194">
        <f t="shared" si="2"/>
        <v>1103</v>
      </c>
      <c r="H16" s="193" t="str">
        <f ca="1">VLOOKUP(G16,OFFSET([1]characters!$A$1,0,0,COUNTA([1]characters!$A:$A),MATCH(H$1,[1]characters!$1:$1,0)-COLUMN(INDIRECT("character_id"))+1),MATCH(H$1,[1]characters!$1:$1,0)-COLUMN(INDIRECT("character_id"))+1,FALSE)</f>
        <v>舞台裏の鼠展 ドガ</v>
      </c>
      <c r="I16" s="196">
        <v>837</v>
      </c>
      <c r="J16" s="193" t="str">
        <f>VLOOKUP(I16,[1]characters!$A:$C,3,FALSE)</f>
        <v>リトルハンプティ</v>
      </c>
      <c r="K16" s="18">
        <v>1</v>
      </c>
      <c r="L16" s="114">
        <v>1</v>
      </c>
      <c r="M16" s="114">
        <v>100</v>
      </c>
    </row>
    <row r="17" spans="1:13" x14ac:dyDescent="0.15">
      <c r="A17" s="65" t="str">
        <f t="shared" si="0"/>
        <v>1102_1094</v>
      </c>
      <c r="B17" s="112">
        <v>1102</v>
      </c>
      <c r="C17" s="185">
        <f t="shared" si="1"/>
        <v>1102</v>
      </c>
      <c r="D17" s="193" t="str">
        <f ca="1">VLOOKUP(B17,units!A:B,2)</f>
        <v>ドガ</v>
      </c>
      <c r="E17" s="193">
        <f ca="1">VLOOKUP($C17,OFFSET([1]characters!$A$1,0,0,COUNTA([1]characters!$A:$A),MATCH(E$1,[1]characters!$1:$1,0)-COLUMN(INDIRECT("character_id"))+1),MATCH(E$1,[1]characters!$1:$1,0)-COLUMN(INDIRECT("character_id"))+1,FALSE)</f>
        <v>5</v>
      </c>
      <c r="F17" s="193" t="str">
        <f ca="1">VLOOKUP($C17,OFFSET([1]characters!$A$1,0,0,COUNTA([1]characters!$A:$A),MATCH(F$1,[1]characters!$1:$1,0)-COLUMN(INDIRECT("character_id"))+1),MATCH(F$1,[1]characters!$1:$1,0)-COLUMN(INDIRECT("character_id"))+1,FALSE)</f>
        <v>PremiumSSw</v>
      </c>
      <c r="G17" s="194">
        <f t="shared" si="2"/>
        <v>1103</v>
      </c>
      <c r="H17" s="193" t="str">
        <f ca="1">VLOOKUP(G17,OFFSET([1]characters!$A$1,0,0,COUNTA([1]characters!$A:$A),MATCH(H$1,[1]characters!$1:$1,0)-COLUMN(INDIRECT("character_id"))+1),MATCH(H$1,[1]characters!$1:$1,0)-COLUMN(INDIRECT("character_id"))+1,FALSE)</f>
        <v>舞台裏の鼠展 ドガ</v>
      </c>
      <c r="I17" s="196">
        <v>1094</v>
      </c>
      <c r="J17" s="193" t="str">
        <f>VLOOKUP(I17,[1]characters!$A:$C,3,FALSE)</f>
        <v>メルクシャ</v>
      </c>
      <c r="K17" s="18">
        <v>1</v>
      </c>
      <c r="L17" s="114">
        <v>1</v>
      </c>
      <c r="M17" s="114">
        <v>10</v>
      </c>
    </row>
    <row r="18" spans="1:13" x14ac:dyDescent="0.15">
      <c r="A18" s="65" t="str">
        <f t="shared" si="0"/>
        <v>1102_1096</v>
      </c>
      <c r="B18" s="112">
        <v>1102</v>
      </c>
      <c r="C18" s="185">
        <f t="shared" si="1"/>
        <v>1102</v>
      </c>
      <c r="D18" s="193" t="str">
        <f ca="1">VLOOKUP(B18,units!A:B,2)</f>
        <v>ドガ</v>
      </c>
      <c r="E18" s="193">
        <f ca="1">VLOOKUP($C18,OFFSET([1]characters!$A$1,0,0,COUNTA([1]characters!$A:$A),MATCH(E$1,[1]characters!$1:$1,0)-COLUMN(INDIRECT("character_id"))+1),MATCH(E$1,[1]characters!$1:$1,0)-COLUMN(INDIRECT("character_id"))+1,FALSE)</f>
        <v>5</v>
      </c>
      <c r="F18" s="193" t="str">
        <f ca="1">VLOOKUP($C18,OFFSET([1]characters!$A$1,0,0,COUNTA([1]characters!$A:$A),MATCH(F$1,[1]characters!$1:$1,0)-COLUMN(INDIRECT("character_id"))+1),MATCH(F$1,[1]characters!$1:$1,0)-COLUMN(INDIRECT("character_id"))+1,FALSE)</f>
        <v>PremiumSSw</v>
      </c>
      <c r="G18" s="194">
        <f t="shared" si="2"/>
        <v>1103</v>
      </c>
      <c r="H18" s="193" t="str">
        <f ca="1">VLOOKUP(G18,OFFSET([1]characters!$A$1,0,0,COUNTA([1]characters!$A:$A),MATCH(H$1,[1]characters!$1:$1,0)-COLUMN(INDIRECT("character_id"))+1),MATCH(H$1,[1]characters!$1:$1,0)-COLUMN(INDIRECT("character_id"))+1,FALSE)</f>
        <v>舞台裏の鼠展 ドガ</v>
      </c>
      <c r="I18" s="196">
        <v>1096</v>
      </c>
      <c r="J18" s="193" t="str">
        <f>VLOOKUP(I18,[1]characters!$A:$C,3,FALSE)</f>
        <v>ジャ・リダルサ</v>
      </c>
      <c r="K18" s="18">
        <v>1</v>
      </c>
      <c r="L18" s="114">
        <v>1</v>
      </c>
      <c r="M18" s="114">
        <v>10</v>
      </c>
    </row>
    <row r="19" spans="1:13" x14ac:dyDescent="0.15">
      <c r="A19" s="65" t="str">
        <f t="shared" si="0"/>
        <v>1102_107</v>
      </c>
      <c r="B19" s="112">
        <v>1102</v>
      </c>
      <c r="C19" s="185">
        <f t="shared" si="1"/>
        <v>1102</v>
      </c>
      <c r="D19" s="193" t="str">
        <f ca="1">VLOOKUP(B19,units!A:B,2)</f>
        <v>ドガ</v>
      </c>
      <c r="E19" s="193">
        <f ca="1">VLOOKUP($C19,OFFSET([1]characters!$A$1,0,0,COUNTA([1]characters!$A:$A),MATCH(E$1,[1]characters!$1:$1,0)-COLUMN(INDIRECT("character_id"))+1),MATCH(E$1,[1]characters!$1:$1,0)-COLUMN(INDIRECT("character_id"))+1,FALSE)</f>
        <v>5</v>
      </c>
      <c r="F19" s="193" t="str">
        <f ca="1">VLOOKUP($C19,OFFSET([1]characters!$A$1,0,0,COUNTA([1]characters!$A:$A),MATCH(F$1,[1]characters!$1:$1,0)-COLUMN(INDIRECT("character_id"))+1),MATCH(F$1,[1]characters!$1:$1,0)-COLUMN(INDIRECT("character_id"))+1,FALSE)</f>
        <v>PremiumSSw</v>
      </c>
      <c r="G19" s="194">
        <f t="shared" si="2"/>
        <v>1103</v>
      </c>
      <c r="H19" s="193" t="str">
        <f ca="1">VLOOKUP(G19,OFFSET([1]characters!$A$1,0,0,COUNTA([1]characters!$A:$A),MATCH(H$1,[1]characters!$1:$1,0)-COLUMN(INDIRECT("character_id"))+1),MATCH(H$1,[1]characters!$1:$1,0)-COLUMN(INDIRECT("character_id"))+1,FALSE)</f>
        <v>舞台裏の鼠展 ドガ</v>
      </c>
      <c r="I19" s="196">
        <v>107</v>
      </c>
      <c r="J19" s="193" t="str">
        <f>VLOOKUP(I19,[1]characters!$A:$C,3,FALSE)</f>
        <v>グリーンキャタップ</v>
      </c>
      <c r="K19" s="18">
        <v>1</v>
      </c>
      <c r="L19" s="114">
        <v>1</v>
      </c>
      <c r="M19" s="114">
        <v>1</v>
      </c>
    </row>
    <row r="20" spans="1:13" x14ac:dyDescent="0.15">
      <c r="A20" s="65" t="str">
        <f t="shared" si="0"/>
        <v>1102_108</v>
      </c>
      <c r="B20" s="112">
        <v>1102</v>
      </c>
      <c r="C20" s="185">
        <f t="shared" si="1"/>
        <v>1102</v>
      </c>
      <c r="D20" s="193" t="str">
        <f ca="1">VLOOKUP(B20,units!A:B,2)</f>
        <v>ドガ</v>
      </c>
      <c r="E20" s="193">
        <f ca="1">VLOOKUP($C20,OFFSET([1]characters!$A$1,0,0,COUNTA([1]characters!$A:$A),MATCH(E$1,[1]characters!$1:$1,0)-COLUMN(INDIRECT("character_id"))+1),MATCH(E$1,[1]characters!$1:$1,0)-COLUMN(INDIRECT("character_id"))+1,FALSE)</f>
        <v>5</v>
      </c>
      <c r="F20" s="193" t="str">
        <f ca="1">VLOOKUP($C20,OFFSET([1]characters!$A$1,0,0,COUNTA([1]characters!$A:$A),MATCH(F$1,[1]characters!$1:$1,0)-COLUMN(INDIRECT("character_id"))+1),MATCH(F$1,[1]characters!$1:$1,0)-COLUMN(INDIRECT("character_id"))+1,FALSE)</f>
        <v>PremiumSSw</v>
      </c>
      <c r="G20" s="194">
        <f t="shared" si="2"/>
        <v>1103</v>
      </c>
      <c r="H20" s="193" t="str">
        <f ca="1">VLOOKUP(G20,OFFSET([1]characters!$A$1,0,0,COUNTA([1]characters!$A:$A),MATCH(H$1,[1]characters!$1:$1,0)-COLUMN(INDIRECT("character_id"))+1),MATCH(H$1,[1]characters!$1:$1,0)-COLUMN(INDIRECT("character_id"))+1,FALSE)</f>
        <v>舞台裏の鼠展 ドガ</v>
      </c>
      <c r="I20" s="196">
        <v>108</v>
      </c>
      <c r="J20" s="193" t="str">
        <f>VLOOKUP(I20,[1]characters!$A:$C,3,FALSE)</f>
        <v>森のマッドハッター</v>
      </c>
      <c r="K20" s="18">
        <v>1</v>
      </c>
      <c r="L20" s="114">
        <v>1</v>
      </c>
      <c r="M20" s="114">
        <v>1</v>
      </c>
    </row>
    <row r="21" spans="1:13" x14ac:dyDescent="0.15">
      <c r="A21" s="65" t="str">
        <f>B21&amp;"_"&amp;I21</f>
        <v>1104_110</v>
      </c>
      <c r="B21" s="112">
        <v>1104</v>
      </c>
      <c r="C21" s="185">
        <f>B21</f>
        <v>1104</v>
      </c>
      <c r="D21" s="193" t="str">
        <f ca="1">VLOOKUP(B21,units!A:B,2)</f>
        <v>クリムト</v>
      </c>
      <c r="E21" s="193">
        <f ca="1">VLOOKUP($C21,OFFSET([1]characters!$A$1,0,0,COUNTA([1]characters!$A:$A),MATCH(E$1,[1]characters!$1:$1,0)-COLUMN(INDIRECT("character_id"))+1),MATCH(E$1,[1]characters!$1:$1,0)-COLUMN(INDIRECT("character_id"))+1,FALSE)</f>
        <v>4</v>
      </c>
      <c r="F21" s="193" t="str">
        <f ca="1">VLOOKUP($C21,OFFSET([1]characters!$A$1,0,0,COUNTA([1]characters!$A:$A),MATCH(F$1,[1]characters!$1:$1,0)-COLUMN(INDIRECT("character_id"))+1),MATCH(F$1,[1]characters!$1:$1,0)-COLUMN(INDIRECT("character_id"))+1,FALSE)</f>
        <v>PremiumS</v>
      </c>
      <c r="G21" s="194">
        <f t="shared" si="2"/>
        <v>1105</v>
      </c>
      <c r="H21" s="193" t="str">
        <f ca="1">VLOOKUP(G21,OFFSET([1]characters!$A$1,0,0,COUNTA([1]characters!$A:$A),MATCH(H$1,[1]characters!$1:$1,0)-COLUMN(INDIRECT("character_id"))+1),MATCH(H$1,[1]characters!$1:$1,0)-COLUMN(INDIRECT("character_id"))+1,FALSE)</f>
        <v>甘美なる背徳 クリムト</v>
      </c>
      <c r="I21" s="199">
        <v>110</v>
      </c>
      <c r="J21" s="193" t="str">
        <f>VLOOKUP(I21,[1]characters!$A:$C,3,FALSE)</f>
        <v>ブルーラビット</v>
      </c>
      <c r="K21" s="18">
        <v>1</v>
      </c>
      <c r="L21" s="114">
        <v>1</v>
      </c>
      <c r="M21" s="114">
        <v>1</v>
      </c>
    </row>
    <row r="22" spans="1:13" x14ac:dyDescent="0.15">
      <c r="A22" s="65" t="str">
        <f t="shared" si="0"/>
        <v>1104_111</v>
      </c>
      <c r="B22" s="112">
        <v>1104</v>
      </c>
      <c r="C22" s="185">
        <f t="shared" si="1"/>
        <v>1104</v>
      </c>
      <c r="D22" s="193" t="str">
        <f ca="1">VLOOKUP(B22,units!A:B,2)</f>
        <v>クリムト</v>
      </c>
      <c r="E22" s="193">
        <f ca="1">VLOOKUP($C22,OFFSET([1]characters!$A$1,0,0,COUNTA([1]characters!$A:$A),MATCH(E$1,[1]characters!$1:$1,0)-COLUMN(INDIRECT("character_id"))+1),MATCH(E$1,[1]characters!$1:$1,0)-COLUMN(INDIRECT("character_id"))+1,FALSE)</f>
        <v>4</v>
      </c>
      <c r="F22" s="193" t="str">
        <f ca="1">VLOOKUP($C22,OFFSET([1]characters!$A$1,0,0,COUNTA([1]characters!$A:$A),MATCH(F$1,[1]characters!$1:$1,0)-COLUMN(INDIRECT("character_id"))+1),MATCH(F$1,[1]characters!$1:$1,0)-COLUMN(INDIRECT("character_id"))+1,FALSE)</f>
        <v>PremiumS</v>
      </c>
      <c r="G22" s="194">
        <f t="shared" si="2"/>
        <v>1105</v>
      </c>
      <c r="H22" s="193" t="str">
        <f ca="1">VLOOKUP(G22,OFFSET([1]characters!$A$1,0,0,COUNTA([1]characters!$A:$A),MATCH(H$1,[1]characters!$1:$1,0)-COLUMN(INDIRECT("character_id"))+1),MATCH(H$1,[1]characters!$1:$1,0)-COLUMN(INDIRECT("character_id"))+1,FALSE)</f>
        <v>甘美なる背徳 クリムト</v>
      </c>
      <c r="I22" s="199">
        <v>111</v>
      </c>
      <c r="J22" s="193" t="str">
        <f>VLOOKUP(I22,[1]characters!$A:$C,3,FALSE)</f>
        <v>ブルーキャタップ</v>
      </c>
      <c r="K22" s="18">
        <v>1</v>
      </c>
      <c r="L22" s="114">
        <v>1</v>
      </c>
      <c r="M22" s="114">
        <v>1</v>
      </c>
    </row>
    <row r="23" spans="1:13" x14ac:dyDescent="0.15">
      <c r="A23" s="65" t="str">
        <f t="shared" si="0"/>
        <v>1104_112</v>
      </c>
      <c r="B23" s="112">
        <v>1104</v>
      </c>
      <c r="C23" s="185">
        <f t="shared" si="1"/>
        <v>1104</v>
      </c>
      <c r="D23" s="193" t="str">
        <f ca="1">VLOOKUP(B23,units!A:B,2)</f>
        <v>クリムト</v>
      </c>
      <c r="E23" s="193">
        <f ca="1">VLOOKUP($C23,OFFSET([1]characters!$A$1,0,0,COUNTA([1]characters!$A:$A),MATCH(E$1,[1]characters!$1:$1,0)-COLUMN(INDIRECT("character_id"))+1),MATCH(E$1,[1]characters!$1:$1,0)-COLUMN(INDIRECT("character_id"))+1,FALSE)</f>
        <v>4</v>
      </c>
      <c r="F23" s="193" t="str">
        <f ca="1">VLOOKUP($C23,OFFSET([1]characters!$A$1,0,0,COUNTA([1]characters!$A:$A),MATCH(F$1,[1]characters!$1:$1,0)-COLUMN(INDIRECT("character_id"))+1),MATCH(F$1,[1]characters!$1:$1,0)-COLUMN(INDIRECT("character_id"))+1,FALSE)</f>
        <v>PremiumS</v>
      </c>
      <c r="G23" s="194">
        <f t="shared" si="2"/>
        <v>1105</v>
      </c>
      <c r="H23" s="193" t="str">
        <f ca="1">VLOOKUP(G23,OFFSET([1]characters!$A$1,0,0,COUNTA([1]characters!$A:$A),MATCH(H$1,[1]characters!$1:$1,0)-COLUMN(INDIRECT("character_id"))+1),MATCH(H$1,[1]characters!$1:$1,0)-COLUMN(INDIRECT("character_id"))+1,FALSE)</f>
        <v>甘美なる背徳 クリムト</v>
      </c>
      <c r="I23" s="200">
        <v>112</v>
      </c>
      <c r="J23" s="193" t="str">
        <f>VLOOKUP(I23,[1]characters!$A:$C,3,FALSE)</f>
        <v>水のマッドハッター</v>
      </c>
      <c r="K23" s="18">
        <v>1</v>
      </c>
      <c r="L23" s="114">
        <v>1</v>
      </c>
      <c r="M23" s="114">
        <v>1</v>
      </c>
    </row>
    <row r="24" spans="1:13" x14ac:dyDescent="0.15">
      <c r="A24" s="65" t="str">
        <f t="shared" si="0"/>
        <v>1106_837</v>
      </c>
      <c r="B24" s="112">
        <v>1106</v>
      </c>
      <c r="C24" s="185">
        <f t="shared" si="1"/>
        <v>1106</v>
      </c>
      <c r="D24" s="193" t="str">
        <f ca="1">VLOOKUP(B24,units!A:B,2)</f>
        <v>ラファエロ</v>
      </c>
      <c r="E24" s="193">
        <f ca="1">VLOOKUP($C24,OFFSET([1]characters!$A$1,0,0,COUNTA([1]characters!$A:$A),MATCH(E$1,[1]characters!$1:$1,0)-COLUMN(INDIRECT("character_id"))+1),MATCH(E$1,[1]characters!$1:$1,0)-COLUMN(INDIRECT("character_id"))+1,FALSE)</f>
        <v>5</v>
      </c>
      <c r="F24" s="193" t="str">
        <f ca="1">VLOOKUP($C24,OFFSET([1]characters!$A$1,0,0,COUNTA([1]characters!$A:$A),MATCH(F$1,[1]characters!$1:$1,0)-COLUMN(INDIRECT("character_id"))+1),MATCH(F$1,[1]characters!$1:$1,0)-COLUMN(INDIRECT("character_id"))+1,FALSE)</f>
        <v>PremiumSS</v>
      </c>
      <c r="G24" s="194">
        <f t="shared" si="2"/>
        <v>1107</v>
      </c>
      <c r="H24" s="193" t="str">
        <f ca="1">VLOOKUP(G24,OFFSET([1]characters!$A$1,0,0,COUNTA([1]characters!$A:$A),MATCH(H$1,[1]characters!$1:$1,0)-COLUMN(INDIRECT("character_id"))+1),MATCH(H$1,[1]characters!$1:$1,0)-COLUMN(INDIRECT("character_id"))+1,FALSE)</f>
        <v>天浄の鮮風 ラファエロ</v>
      </c>
      <c r="I24" s="201">
        <v>837</v>
      </c>
      <c r="J24" s="193" t="str">
        <f>VLOOKUP(I24,[1]characters!$A:$C,3,FALSE)</f>
        <v>リトルハンプティ</v>
      </c>
      <c r="K24" s="18">
        <v>1</v>
      </c>
      <c r="L24" s="114">
        <v>1</v>
      </c>
      <c r="M24" s="114">
        <v>100</v>
      </c>
    </row>
    <row r="25" spans="1:13" x14ac:dyDescent="0.15">
      <c r="A25" s="65" t="str">
        <f t="shared" si="0"/>
        <v>1106_1094</v>
      </c>
      <c r="B25" s="112">
        <v>1106</v>
      </c>
      <c r="C25" s="185">
        <f t="shared" si="1"/>
        <v>1106</v>
      </c>
      <c r="D25" s="193" t="str">
        <f ca="1">VLOOKUP(B25,units!A:B,2)</f>
        <v>ラファエロ</v>
      </c>
      <c r="E25" s="193">
        <f ca="1">VLOOKUP($C25,OFFSET([1]characters!$A$1,0,0,COUNTA([1]characters!$A:$A),MATCH(E$1,[1]characters!$1:$1,0)-COLUMN(INDIRECT("character_id"))+1),MATCH(E$1,[1]characters!$1:$1,0)-COLUMN(INDIRECT("character_id"))+1,FALSE)</f>
        <v>5</v>
      </c>
      <c r="F25" s="193" t="str">
        <f ca="1">VLOOKUP($C25,OFFSET([1]characters!$A$1,0,0,COUNTA([1]characters!$A:$A),MATCH(F$1,[1]characters!$1:$1,0)-COLUMN(INDIRECT("character_id"))+1),MATCH(F$1,[1]characters!$1:$1,0)-COLUMN(INDIRECT("character_id"))+1,FALSE)</f>
        <v>PremiumSS</v>
      </c>
      <c r="G25" s="194">
        <f t="shared" si="2"/>
        <v>1107</v>
      </c>
      <c r="H25" s="193" t="str">
        <f ca="1">VLOOKUP(G25,OFFSET([1]characters!$A$1,0,0,COUNTA([1]characters!$A:$A),MATCH(H$1,[1]characters!$1:$1,0)-COLUMN(INDIRECT("character_id"))+1),MATCH(H$1,[1]characters!$1:$1,0)-COLUMN(INDIRECT("character_id"))+1,FALSE)</f>
        <v>天浄の鮮風 ラファエロ</v>
      </c>
      <c r="I25" s="201">
        <v>1094</v>
      </c>
      <c r="J25" s="193" t="str">
        <f>VLOOKUP(I25,[1]characters!$A:$C,3,FALSE)</f>
        <v>メルクシャ</v>
      </c>
      <c r="K25" s="18">
        <v>1</v>
      </c>
      <c r="L25" s="114">
        <v>1</v>
      </c>
      <c r="M25" s="114">
        <v>10</v>
      </c>
    </row>
    <row r="26" spans="1:13" x14ac:dyDescent="0.15">
      <c r="A26" s="65" t="str">
        <f t="shared" si="0"/>
        <v>1106_722</v>
      </c>
      <c r="B26" s="112">
        <v>1106</v>
      </c>
      <c r="C26" s="185">
        <f t="shared" si="1"/>
        <v>1106</v>
      </c>
      <c r="D26" s="193" t="str">
        <f ca="1">VLOOKUP(B26,units!A:B,2)</f>
        <v>ラファエロ</v>
      </c>
      <c r="E26" s="193">
        <f ca="1">VLOOKUP($C26,OFFSET([1]characters!$A$1,0,0,COUNTA([1]characters!$A:$A),MATCH(E$1,[1]characters!$1:$1,0)-COLUMN(INDIRECT("character_id"))+1),MATCH(E$1,[1]characters!$1:$1,0)-COLUMN(INDIRECT("character_id"))+1,FALSE)</f>
        <v>5</v>
      </c>
      <c r="F26" s="193" t="str">
        <f ca="1">VLOOKUP($C26,OFFSET([1]characters!$A$1,0,0,COUNTA([1]characters!$A:$A),MATCH(F$1,[1]characters!$1:$1,0)-COLUMN(INDIRECT("character_id"))+1),MATCH(F$1,[1]characters!$1:$1,0)-COLUMN(INDIRECT("character_id"))+1,FALSE)</f>
        <v>PremiumSS</v>
      </c>
      <c r="G26" s="194">
        <f t="shared" si="2"/>
        <v>1107</v>
      </c>
      <c r="H26" s="193" t="str">
        <f ca="1">VLOOKUP(G26,OFFSET([1]characters!$A$1,0,0,COUNTA([1]characters!$A:$A),MATCH(H$1,[1]characters!$1:$1,0)-COLUMN(INDIRECT("character_id"))+1),MATCH(H$1,[1]characters!$1:$1,0)-COLUMN(INDIRECT("character_id"))+1,FALSE)</f>
        <v>天浄の鮮風 ラファエロ</v>
      </c>
      <c r="I26" s="202">
        <v>722</v>
      </c>
      <c r="J26" s="193" t="str">
        <f>VLOOKUP(I26,[1]characters!$A:$C,3,FALSE)</f>
        <v>森蘭丸</v>
      </c>
      <c r="K26" s="18">
        <v>1</v>
      </c>
      <c r="L26" s="114">
        <v>1</v>
      </c>
      <c r="M26" s="114">
        <v>10</v>
      </c>
    </row>
    <row r="27" spans="1:13" x14ac:dyDescent="0.15">
      <c r="A27" s="65" t="str">
        <f t="shared" si="0"/>
        <v>1106_115</v>
      </c>
      <c r="B27" s="112">
        <v>1106</v>
      </c>
      <c r="C27" s="185">
        <f t="shared" si="1"/>
        <v>1106</v>
      </c>
      <c r="D27" s="193" t="str">
        <f ca="1">VLOOKUP(B27,units!A:B,2)</f>
        <v>ラファエロ</v>
      </c>
      <c r="E27" s="193">
        <f ca="1">VLOOKUP($C27,OFFSET([1]characters!$A$1,0,0,COUNTA([1]characters!$A:$A),MATCH(E$1,[1]characters!$1:$1,0)-COLUMN(INDIRECT("character_id"))+1),MATCH(E$1,[1]characters!$1:$1,0)-COLUMN(INDIRECT("character_id"))+1,FALSE)</f>
        <v>5</v>
      </c>
      <c r="F27" s="193" t="str">
        <f ca="1">VLOOKUP($C27,OFFSET([1]characters!$A$1,0,0,COUNTA([1]characters!$A:$A),MATCH(F$1,[1]characters!$1:$1,0)-COLUMN(INDIRECT("character_id"))+1),MATCH(F$1,[1]characters!$1:$1,0)-COLUMN(INDIRECT("character_id"))+1,FALSE)</f>
        <v>PremiumSS</v>
      </c>
      <c r="G27" s="194">
        <f t="shared" si="2"/>
        <v>1107</v>
      </c>
      <c r="H27" s="193" t="str">
        <f ca="1">VLOOKUP(G27,OFFSET([1]characters!$A$1,0,0,COUNTA([1]characters!$A:$A),MATCH(H$1,[1]characters!$1:$1,0)-COLUMN(INDIRECT("character_id"))+1),MATCH(H$1,[1]characters!$1:$1,0)-COLUMN(INDIRECT("character_id"))+1,FALSE)</f>
        <v>天浄の鮮風 ラファエロ</v>
      </c>
      <c r="I27" s="201">
        <v>115</v>
      </c>
      <c r="J27" s="193" t="str">
        <f>VLOOKUP(I27,[1]characters!$A:$C,3,FALSE)</f>
        <v>イエローキャタップ</v>
      </c>
      <c r="K27" s="18">
        <v>1</v>
      </c>
      <c r="L27" s="114">
        <v>1</v>
      </c>
      <c r="M27" s="114">
        <v>1</v>
      </c>
    </row>
    <row r="28" spans="1:13" x14ac:dyDescent="0.15">
      <c r="A28" s="65" t="str">
        <f t="shared" si="0"/>
        <v>1106_116</v>
      </c>
      <c r="B28" s="112">
        <v>1106</v>
      </c>
      <c r="C28" s="185">
        <f t="shared" si="1"/>
        <v>1106</v>
      </c>
      <c r="D28" s="193" t="str">
        <f ca="1">VLOOKUP(B28,units!A:B,2)</f>
        <v>ラファエロ</v>
      </c>
      <c r="E28" s="193">
        <f ca="1">VLOOKUP($C28,OFFSET([1]characters!$A$1,0,0,COUNTA([1]characters!$A:$A),MATCH(E$1,[1]characters!$1:$1,0)-COLUMN(INDIRECT("character_id"))+1),MATCH(E$1,[1]characters!$1:$1,0)-COLUMN(INDIRECT("character_id"))+1,FALSE)</f>
        <v>5</v>
      </c>
      <c r="F28" s="193" t="str">
        <f ca="1">VLOOKUP($C28,OFFSET([1]characters!$A$1,0,0,COUNTA([1]characters!$A:$A),MATCH(F$1,[1]characters!$1:$1,0)-COLUMN(INDIRECT("character_id"))+1),MATCH(F$1,[1]characters!$1:$1,0)-COLUMN(INDIRECT("character_id"))+1,FALSE)</f>
        <v>PremiumSS</v>
      </c>
      <c r="G28" s="194">
        <f t="shared" si="2"/>
        <v>1107</v>
      </c>
      <c r="H28" s="193" t="str">
        <f ca="1">VLOOKUP(G28,OFFSET([1]characters!$A$1,0,0,COUNTA([1]characters!$A:$A),MATCH(H$1,[1]characters!$1:$1,0)-COLUMN(INDIRECT("character_id"))+1),MATCH(H$1,[1]characters!$1:$1,0)-COLUMN(INDIRECT("character_id"))+1,FALSE)</f>
        <v>天浄の鮮風 ラファエロ</v>
      </c>
      <c r="I28" s="201">
        <v>116</v>
      </c>
      <c r="J28" s="193" t="str">
        <f>VLOOKUP(I28,[1]characters!$A:$C,3,FALSE)</f>
        <v>雷のマッドハッター</v>
      </c>
      <c r="K28" s="18">
        <v>1</v>
      </c>
      <c r="L28" s="114">
        <v>1</v>
      </c>
      <c r="M28" s="114">
        <v>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topLeftCell="B1" workbookViewId="0">
      <selection activeCell="H1" sqref="H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8" width="66.5" customWidth="1"/>
    <col min="9" max="9" width="11.6640625" customWidth="1"/>
    <col min="10" max="10" width="116.5" hidden="1" customWidth="1"/>
  </cols>
  <sheetData>
    <row r="1" spans="1:11" s="23" customFormat="1" ht="21" customHeight="1" x14ac:dyDescent="0.15">
      <c r="A1" s="172" t="s">
        <v>303</v>
      </c>
      <c r="B1" s="120" t="s">
        <v>304</v>
      </c>
      <c r="C1" s="121" t="s">
        <v>305</v>
      </c>
      <c r="D1" s="122" t="s">
        <v>306</v>
      </c>
      <c r="E1" s="122" t="s">
        <v>307</v>
      </c>
      <c r="F1" s="122" t="s">
        <v>308</v>
      </c>
      <c r="G1" s="122" t="s">
        <v>309</v>
      </c>
      <c r="H1" s="122" t="s">
        <v>496</v>
      </c>
      <c r="I1" s="122" t="s">
        <v>310</v>
      </c>
      <c r="J1" s="180" t="s">
        <v>311</v>
      </c>
      <c r="K1" s="173" t="s">
        <v>312</v>
      </c>
    </row>
    <row r="2" spans="1:11" s="23" customFormat="1" ht="21" customHeight="1" x14ac:dyDescent="0.15">
      <c r="A2" s="66">
        <v>109901</v>
      </c>
      <c r="B2" s="174" t="s">
        <v>313</v>
      </c>
      <c r="C2" s="175" t="s">
        <v>317</v>
      </c>
      <c r="D2" s="175" t="s">
        <v>318</v>
      </c>
      <c r="E2" s="175" t="s">
        <v>314</v>
      </c>
      <c r="F2" s="175" t="s">
        <v>319</v>
      </c>
      <c r="G2" s="175" t="s">
        <v>315</v>
      </c>
      <c r="H2" s="175" t="s">
        <v>495</v>
      </c>
      <c r="I2" s="175" t="s">
        <v>316</v>
      </c>
      <c r="J2" s="189" t="str">
        <f>"{"&amp;""""&amp;$E$1&amp;""""&amp;":"&amp;""""&amp;E2&amp;""""&amp;","""""&amp;"type"&amp;""""&amp;":"&amp;""""&amp;"ability"&amp;""""&amp;","&amp;""""&amp;$G$1&amp;""""&amp;":"&amp;""""&amp;G2&amp;""""&amp;","&amp;""""&amp;$F$1&amp;""""&amp;":"&amp;""""&amp;F2&amp;""""&amp;","&amp;""""&amp;$I$1&amp;""""&amp;":"&amp;I2&amp;"}"</f>
        <v>{"ver":"1.7.0",""type":"ability","effects":"[effect:enhance_unit, target:myself, turn:1, status:attack, val:0.2, calc:mul, animation:enhance_unit_all_attack03]","conditions":"[condition:active_unit],[condition:panel_chain,count:16]","priority":0}</v>
      </c>
      <c r="K2" s="176">
        <v>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F15" sqref="F15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2" t="s">
        <v>138</v>
      </c>
      <c r="B1" s="177" t="s">
        <v>267</v>
      </c>
      <c r="C1" s="120" t="s">
        <v>268</v>
      </c>
      <c r="D1" s="120" t="s">
        <v>269</v>
      </c>
      <c r="E1" s="178" t="s">
        <v>270</v>
      </c>
      <c r="F1" s="178" t="s">
        <v>271</v>
      </c>
      <c r="G1" s="123" t="s">
        <v>272</v>
      </c>
      <c r="H1" s="172" t="s">
        <v>273</v>
      </c>
    </row>
    <row r="2" spans="1:8" s="4" customFormat="1" ht="21" customHeight="1" x14ac:dyDescent="0.15">
      <c r="A2" s="174">
        <v>1099</v>
      </c>
      <c r="B2" s="179" t="str">
        <f>VLOOKUP(A2,[1]characters!$A:$C,3)</f>
        <v>破築の連創 ルピカ</v>
      </c>
      <c r="C2" s="174">
        <v>1</v>
      </c>
      <c r="D2" s="174">
        <v>103</v>
      </c>
      <c r="E2" s="180" t="str">
        <f>IF(ISERROR(VLOOKUP(D2,[3]abilities!A:D,3,FALSE))=FALSE,VLOOKUP(D2,[3]abilities!A:D,3),IF(ISERROR(VLOOKUP(D2,abilities!A:D,3,FALSE))=FALSE,VLOOKUP(D2,abilities!A:D,3),"なし"))</f>
        <v>お邪魔ブレイク</v>
      </c>
      <c r="F2" s="180" t="str">
        <f>IF(ISERROR(VLOOKUP(D2,[3]abilities!A:D,4,FALSE))=FALSE,VLOOKUP(D2,[3]abilities!A:D,4),IF(ISERROR(VLOOKUP(D2,abilities!A:D,4,FALSE))=FALSE,VLOOKUP(D2,abilities!A:D,4),"なし"))</f>
        <v>自身が先頭の時、お邪魔パネルを破壊できる</v>
      </c>
      <c r="G2" s="181" t="s">
        <v>274</v>
      </c>
      <c r="H2" s="181" t="s">
        <v>445</v>
      </c>
    </row>
    <row r="3" spans="1:8" s="4" customFormat="1" ht="21" customHeight="1" x14ac:dyDescent="0.15">
      <c r="A3" s="174">
        <v>1101</v>
      </c>
      <c r="B3" s="179" t="str">
        <f>VLOOKUP(A3,[1]characters!$A:$C,3)</f>
        <v>浮世万物の筆刻者 北斎</v>
      </c>
      <c r="C3" s="174">
        <v>1</v>
      </c>
      <c r="D3" s="174">
        <v>102</v>
      </c>
      <c r="E3" s="180" t="str">
        <f>IF(ISERROR(VLOOKUP(D3,[3]abilities!A:D,3,FALSE))=FALSE,VLOOKUP(D3,[3]abilities!A:D,3),IF(ISERROR(VLOOKUP(D3,abilities!A:D,3,FALSE))=FALSE,VLOOKUP(D3,abilities!A:D,3),"なし"))</f>
        <v>プロテクトブレイク</v>
      </c>
      <c r="F3" s="180" t="str">
        <f>IF(ISERROR(VLOOKUP(D3,[3]abilities!A:D,4,FALSE))=FALSE,VLOOKUP(D3,[3]abilities!A:D,4),IF(ISERROR(VLOOKUP(D3,abilities!A:D,4,FALSE))=FALSE,VLOOKUP(D3,abilities!A:D,4),"なし"))</f>
        <v>自身が先頭の時、プロテクトを無視してパネル破壊できる</v>
      </c>
      <c r="G3" s="181" t="s">
        <v>274</v>
      </c>
      <c r="H3" s="181" t="s">
        <v>275</v>
      </c>
    </row>
    <row r="4" spans="1:8" s="4" customFormat="1" ht="21" customHeight="1" x14ac:dyDescent="0.15">
      <c r="A4" s="174">
        <v>1103</v>
      </c>
      <c r="B4" s="179" t="str">
        <f>VLOOKUP(A4,[1]characters!$A:$C,3)</f>
        <v>舞台裏の鼠展 ドガ</v>
      </c>
      <c r="C4" s="174">
        <v>1</v>
      </c>
      <c r="D4" s="174">
        <v>102</v>
      </c>
      <c r="E4" s="180" t="str">
        <f>IF(ISERROR(VLOOKUP(D4,[3]abilities!A:D,3,FALSE))=FALSE,VLOOKUP(D4,[3]abilities!A:D,3),IF(ISERROR(VLOOKUP(D4,abilities!A:D,3,FALSE))=FALSE,VLOOKUP(D4,abilities!A:D,3),"なし"))</f>
        <v>プロテクトブレイク</v>
      </c>
      <c r="F4" s="180" t="str">
        <f>IF(ISERROR(VLOOKUP(D4,[3]abilities!A:D,4,FALSE))=FALSE,VLOOKUP(D4,[3]abilities!A:D,4),IF(ISERROR(VLOOKUP(D4,abilities!A:D,4,FALSE))=FALSE,VLOOKUP(D4,abilities!A:D,4),"なし"))</f>
        <v>自身が先頭の時、プロテクトを無視してパネル破壊できる</v>
      </c>
      <c r="G4" s="181" t="s">
        <v>274</v>
      </c>
      <c r="H4" s="181" t="s">
        <v>275</v>
      </c>
    </row>
    <row r="5" spans="1:8" s="4" customFormat="1" ht="21" customHeight="1" x14ac:dyDescent="0.15">
      <c r="A5" s="174">
        <v>1107</v>
      </c>
      <c r="B5" s="179" t="str">
        <f>VLOOKUP(A5,[1]characters!$A:$C,3)</f>
        <v>天浄の鮮風 ラファエロ</v>
      </c>
      <c r="C5" s="174">
        <v>1</v>
      </c>
      <c r="D5" s="174">
        <v>200</v>
      </c>
      <c r="E5" s="180" t="str">
        <f>IF(ISERROR(VLOOKUP(D5,[3]abilities!A:D,3,FALSE))=FALSE,VLOOKUP(D5,[3]abilities!A:D,3),IF(ISERROR(VLOOKUP(D5,abilities!A:D,3,FALSE))=FALSE,VLOOKUP(D5,abilities!A:D,3),"なし"))</f>
        <v>ウィルス無効</v>
      </c>
      <c r="F5" s="180" t="str">
        <f>IF(ISERROR(VLOOKUP(D5,[3]abilities!A:D,4,FALSE))=FALSE,VLOOKUP(D5,[3]abilities!A:D,4),IF(ISERROR(VLOOKUP(D5,abilities!A:D,4,FALSE))=FALSE,VLOOKUP(D5,abilities!A:D,4),"なし"))</f>
        <v>自身にかかるウィルスを無効化する</v>
      </c>
      <c r="G5" s="181" t="s">
        <v>274</v>
      </c>
      <c r="H5" s="181" t="s">
        <v>275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A16" sqref="A16:B16"/>
    </sheetView>
  </sheetViews>
  <sheetFormatPr baseColWidth="12" defaultRowHeight="15" x14ac:dyDescent="0.15"/>
  <sheetData>
    <row r="1" spans="1:2" x14ac:dyDescent="0.15">
      <c r="A1" t="s">
        <v>469</v>
      </c>
      <c r="B1" t="s">
        <v>470</v>
      </c>
    </row>
    <row r="2" spans="1:2" x14ac:dyDescent="0.15">
      <c r="A2" t="s">
        <v>471</v>
      </c>
      <c r="B2">
        <v>1</v>
      </c>
    </row>
    <row r="3" spans="1:2" x14ac:dyDescent="0.15">
      <c r="A3" t="s">
        <v>472</v>
      </c>
      <c r="B3">
        <v>1</v>
      </c>
    </row>
    <row r="4" spans="1:2" x14ac:dyDescent="0.15">
      <c r="A4" t="s">
        <v>473</v>
      </c>
      <c r="B4">
        <v>1</v>
      </c>
    </row>
    <row r="5" spans="1:2" x14ac:dyDescent="0.15">
      <c r="A5" t="s">
        <v>474</v>
      </c>
      <c r="B5">
        <v>1</v>
      </c>
    </row>
    <row r="6" spans="1:2" x14ac:dyDescent="0.15">
      <c r="A6" t="s">
        <v>475</v>
      </c>
      <c r="B6">
        <v>1</v>
      </c>
    </row>
    <row r="7" spans="1:2" x14ac:dyDescent="0.15">
      <c r="A7" t="s">
        <v>476</v>
      </c>
      <c r="B7">
        <v>1</v>
      </c>
    </row>
    <row r="8" spans="1:2" x14ac:dyDescent="0.15">
      <c r="A8" t="s">
        <v>477</v>
      </c>
      <c r="B8">
        <v>1</v>
      </c>
    </row>
    <row r="9" spans="1:2" x14ac:dyDescent="0.15">
      <c r="A9" t="s">
        <v>478</v>
      </c>
      <c r="B9">
        <v>1</v>
      </c>
    </row>
    <row r="10" spans="1:2" x14ac:dyDescent="0.15">
      <c r="A10" t="s">
        <v>479</v>
      </c>
      <c r="B10">
        <v>1</v>
      </c>
    </row>
    <row r="11" spans="1:2" x14ac:dyDescent="0.15">
      <c r="A11" t="s">
        <v>480</v>
      </c>
      <c r="B11">
        <v>1</v>
      </c>
    </row>
    <row r="12" spans="1:2" x14ac:dyDescent="0.15">
      <c r="A12" t="s">
        <v>481</v>
      </c>
      <c r="B12">
        <v>1</v>
      </c>
    </row>
    <row r="13" spans="1:2" x14ac:dyDescent="0.15">
      <c r="A13" t="s">
        <v>482</v>
      </c>
      <c r="B13">
        <v>0</v>
      </c>
    </row>
    <row r="14" spans="1:2" x14ac:dyDescent="0.15">
      <c r="A14" t="s">
        <v>483</v>
      </c>
      <c r="B14">
        <v>500</v>
      </c>
    </row>
    <row r="15" spans="1:2" x14ac:dyDescent="0.15">
      <c r="A15" t="s">
        <v>484</v>
      </c>
      <c r="B15">
        <v>600</v>
      </c>
    </row>
    <row r="16" spans="1:2" x14ac:dyDescent="0.15">
      <c r="A16" t="s">
        <v>485</v>
      </c>
      <c r="B16">
        <v>700</v>
      </c>
    </row>
    <row r="17" spans="1:2" x14ac:dyDescent="0.15">
      <c r="A17" t="s">
        <v>486</v>
      </c>
      <c r="B17">
        <v>5500</v>
      </c>
    </row>
    <row r="18" spans="1:2" x14ac:dyDescent="0.15">
      <c r="A18" t="s">
        <v>487</v>
      </c>
      <c r="B18">
        <v>6000</v>
      </c>
    </row>
    <row r="19" spans="1:2" x14ac:dyDescent="0.15">
      <c r="A19" t="s">
        <v>488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233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234</v>
      </c>
      <c r="B2" s="147"/>
      <c r="C2" s="148"/>
      <c r="D2" s="149" t="s">
        <v>235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236</v>
      </c>
      <c r="B3" s="150"/>
      <c r="C3" s="151"/>
      <c r="D3" s="152" t="s">
        <v>235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237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238</v>
      </c>
      <c r="B5" s="160"/>
      <c r="C5" s="161"/>
      <c r="D5" s="28">
        <v>9</v>
      </c>
      <c r="E5" s="28">
        <v>18</v>
      </c>
      <c r="F5" s="28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239</v>
      </c>
      <c r="B6" s="160"/>
      <c r="C6" s="161"/>
      <c r="D6" s="28">
        <v>7</v>
      </c>
      <c r="E6" s="28">
        <v>16</v>
      </c>
      <c r="F6" s="69" t="s">
        <v>11</v>
      </c>
      <c r="G6" s="69" t="s">
        <v>11</v>
      </c>
      <c r="H6" s="161"/>
      <c r="I6" s="161"/>
    </row>
    <row r="7" spans="1:9" ht="21" customHeight="1" x14ac:dyDescent="0.15">
      <c r="A7" s="74" t="s">
        <v>240</v>
      </c>
      <c r="B7" s="47" t="s">
        <v>11</v>
      </c>
      <c r="C7" s="47" t="s">
        <v>11</v>
      </c>
      <c r="D7" s="39" t="s">
        <v>235</v>
      </c>
      <c r="E7" s="39" t="s">
        <v>235</v>
      </c>
      <c r="F7" s="39" t="s">
        <v>235</v>
      </c>
      <c r="G7" s="39" t="s">
        <v>235</v>
      </c>
      <c r="H7" s="39" t="s">
        <v>235</v>
      </c>
      <c r="I7" s="39" t="s">
        <v>235</v>
      </c>
    </row>
    <row r="8" spans="1:9" ht="21" customHeight="1" x14ac:dyDescent="0.15">
      <c r="A8" s="75" t="s">
        <v>241</v>
      </c>
      <c r="B8" s="47" t="s">
        <v>11</v>
      </c>
      <c r="C8" s="47" t="s">
        <v>11</v>
      </c>
      <c r="D8" s="39" t="s">
        <v>235</v>
      </c>
      <c r="E8" s="39">
        <v>30</v>
      </c>
      <c r="F8" s="39">
        <v>40</v>
      </c>
      <c r="G8" s="39">
        <f>15+F8</f>
        <v>55</v>
      </c>
      <c r="H8" s="39" t="s">
        <v>235</v>
      </c>
      <c r="I8" s="39" t="s">
        <v>235</v>
      </c>
    </row>
    <row r="9" spans="1:9" s="46" customFormat="1" ht="21" customHeight="1" x14ac:dyDescent="0.15">
      <c r="A9" s="76" t="s">
        <v>320</v>
      </c>
      <c r="B9" s="28" t="s">
        <v>11</v>
      </c>
      <c r="C9" s="28" t="s">
        <v>11</v>
      </c>
      <c r="D9" s="106" t="s">
        <v>109</v>
      </c>
      <c r="E9" s="106" t="s">
        <v>109</v>
      </c>
      <c r="F9" s="106">
        <v>38</v>
      </c>
      <c r="G9" s="39">
        <f>15+F9</f>
        <v>53</v>
      </c>
      <c r="H9" s="106" t="s">
        <v>109</v>
      </c>
      <c r="I9" s="106" t="s">
        <v>109</v>
      </c>
    </row>
    <row r="10" spans="1:9" s="46" customFormat="1" ht="21" customHeight="1" x14ac:dyDescent="0.15">
      <c r="A10" s="76" t="s">
        <v>242</v>
      </c>
      <c r="B10" s="28" t="s">
        <v>11</v>
      </c>
      <c r="C10" s="28" t="s">
        <v>11</v>
      </c>
      <c r="D10" s="106" t="s">
        <v>235</v>
      </c>
      <c r="E10" s="106">
        <v>25</v>
      </c>
      <c r="F10" s="106">
        <v>35</v>
      </c>
      <c r="G10" s="39">
        <f t="shared" ref="G10:G11" si="1">15+F10</f>
        <v>50</v>
      </c>
      <c r="H10" s="106" t="s">
        <v>235</v>
      </c>
      <c r="I10" s="106" t="s">
        <v>235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10</v>
      </c>
      <c r="E11" s="28">
        <v>20</v>
      </c>
      <c r="F11" s="28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243</v>
      </c>
      <c r="B12" s="69" t="s">
        <v>11</v>
      </c>
      <c r="C12" s="69" t="s">
        <v>11</v>
      </c>
      <c r="D12" s="28">
        <v>9</v>
      </c>
      <c r="E12" s="28">
        <v>18</v>
      </c>
      <c r="F12" s="28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244</v>
      </c>
      <c r="B13" s="69" t="s">
        <v>11</v>
      </c>
      <c r="C13" s="69" t="s">
        <v>11</v>
      </c>
      <c r="D13" s="28">
        <v>7</v>
      </c>
      <c r="E13" s="28">
        <v>16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245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246</v>
      </c>
      <c r="B15" s="69" t="s">
        <v>11</v>
      </c>
      <c r="C15" s="69" t="s">
        <v>11</v>
      </c>
      <c r="D15" s="28">
        <v>8</v>
      </c>
      <c r="E15" s="28">
        <v>17</v>
      </c>
      <c r="F15" s="28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247</v>
      </c>
      <c r="B16" s="69" t="s">
        <v>11</v>
      </c>
      <c r="C16" s="69" t="s">
        <v>11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248</v>
      </c>
      <c r="B17" s="69" t="s">
        <v>11</v>
      </c>
      <c r="C17" s="28">
        <v>4</v>
      </c>
      <c r="D17" s="28">
        <v>6</v>
      </c>
      <c r="E17" s="28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</v>
      </c>
      <c r="C18" s="28">
        <v>4</v>
      </c>
      <c r="D18" s="28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1">
        <v>1</v>
      </c>
      <c r="C19" s="31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249</v>
      </c>
      <c r="B20" s="26">
        <v>1</v>
      </c>
      <c r="C20" s="26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7" t="s">
        <v>250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topLeftCell="P1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6" t="s">
        <v>234</v>
      </c>
      <c r="B2" s="162"/>
      <c r="C2" s="148"/>
      <c r="D2" s="156" t="s">
        <v>109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236</v>
      </c>
      <c r="B3" s="163"/>
      <c r="C3" s="151"/>
      <c r="D3" s="156" t="s">
        <v>109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230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238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239</v>
      </c>
      <c r="B6" s="160"/>
      <c r="C6" s="161"/>
      <c r="D6" s="156">
        <v>40</v>
      </c>
      <c r="E6" s="156">
        <v>60</v>
      </c>
      <c r="F6" s="156" t="s">
        <v>109</v>
      </c>
      <c r="G6" s="156" t="s">
        <v>109</v>
      </c>
      <c r="H6" s="161"/>
      <c r="I6" s="161"/>
    </row>
    <row r="7" spans="1:9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241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321</v>
      </c>
      <c r="B9" s="66" t="s">
        <v>109</v>
      </c>
      <c r="C9" s="66" t="s">
        <v>109</v>
      </c>
      <c r="D9" s="66" t="s">
        <v>109</v>
      </c>
      <c r="E9" s="66" t="s">
        <v>109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s="46" customFormat="1" ht="21" customHeight="1" x14ac:dyDescent="0.15">
      <c r="A10" s="76" t="s">
        <v>242</v>
      </c>
      <c r="B10" s="66" t="s">
        <v>109</v>
      </c>
      <c r="C10" s="66" t="s">
        <v>109</v>
      </c>
      <c r="D10" s="66" t="s">
        <v>109</v>
      </c>
      <c r="E10" s="66">
        <v>60</v>
      </c>
      <c r="F10" s="66">
        <v>80</v>
      </c>
      <c r="G10" s="66">
        <v>99</v>
      </c>
      <c r="H10" s="66" t="s">
        <v>109</v>
      </c>
      <c r="I10" s="66" t="s">
        <v>109</v>
      </c>
    </row>
    <row r="11" spans="1:9" ht="21" customHeight="1" x14ac:dyDescent="0.15">
      <c r="A11" s="76" t="s">
        <v>9</v>
      </c>
      <c r="B11" s="71" t="s">
        <v>109</v>
      </c>
      <c r="C11" s="71" t="s">
        <v>109</v>
      </c>
      <c r="D11" s="36">
        <v>40</v>
      </c>
      <c r="E11" s="36">
        <v>60</v>
      </c>
      <c r="F11" s="36">
        <v>80</v>
      </c>
      <c r="G11" s="40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209</v>
      </c>
      <c r="B12" s="71" t="s">
        <v>109</v>
      </c>
      <c r="C12" s="71" t="s">
        <v>109</v>
      </c>
      <c r="D12" s="36">
        <v>40</v>
      </c>
      <c r="E12" s="36">
        <v>60</v>
      </c>
      <c r="F12" s="36">
        <v>80</v>
      </c>
      <c r="G12" s="66">
        <v>99</v>
      </c>
      <c r="H12" s="71" t="s">
        <v>109</v>
      </c>
      <c r="I12" s="71" t="s">
        <v>109</v>
      </c>
    </row>
    <row r="13" spans="1:9" ht="21" customHeight="1" x14ac:dyDescent="0.15">
      <c r="A13" s="76" t="s">
        <v>205</v>
      </c>
      <c r="B13" s="71" t="s">
        <v>109</v>
      </c>
      <c r="C13" s="71" t="s">
        <v>109</v>
      </c>
      <c r="D13" s="36">
        <v>40</v>
      </c>
      <c r="E13" s="36">
        <v>60</v>
      </c>
      <c r="F13" s="71" t="s">
        <v>109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105" t="s">
        <v>245</v>
      </c>
      <c r="B14" s="71" t="s">
        <v>109</v>
      </c>
      <c r="C14" s="71" t="s">
        <v>109</v>
      </c>
      <c r="D14" s="36">
        <v>40</v>
      </c>
      <c r="E14" s="36">
        <v>60</v>
      </c>
      <c r="F14" s="36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246</v>
      </c>
      <c r="B15" s="71" t="s">
        <v>109</v>
      </c>
      <c r="C15" s="71" t="s">
        <v>109</v>
      </c>
      <c r="D15" s="36">
        <v>40</v>
      </c>
      <c r="E15" s="36">
        <v>60</v>
      </c>
      <c r="F15" s="36">
        <v>80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105</v>
      </c>
      <c r="B16" s="71" t="s">
        <v>109</v>
      </c>
      <c r="C16" s="36">
        <v>30</v>
      </c>
      <c r="D16" s="36">
        <v>40</v>
      </c>
      <c r="E16" s="36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248</v>
      </c>
      <c r="B17" s="71" t="s">
        <v>109</v>
      </c>
      <c r="C17" s="36">
        <v>30</v>
      </c>
      <c r="D17" s="36">
        <v>40</v>
      </c>
      <c r="E17" s="36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36">
        <v>15</v>
      </c>
      <c r="C18" s="36">
        <v>30</v>
      </c>
      <c r="D18" s="36">
        <v>40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36">
        <v>15</v>
      </c>
      <c r="C19" s="36">
        <v>30</v>
      </c>
      <c r="D19" s="36">
        <v>40</v>
      </c>
      <c r="E19" s="71" t="s">
        <v>215</v>
      </c>
      <c r="F19" s="71" t="s">
        <v>215</v>
      </c>
      <c r="G19" s="71" t="s">
        <v>215</v>
      </c>
      <c r="H19" s="71" t="s">
        <v>215</v>
      </c>
      <c r="I19" s="71" t="s">
        <v>215</v>
      </c>
    </row>
    <row r="20" spans="1:9" ht="21" customHeight="1" x14ac:dyDescent="0.15">
      <c r="A20" s="78" t="s">
        <v>249</v>
      </c>
      <c r="B20" s="36">
        <v>10</v>
      </c>
      <c r="C20" s="36">
        <v>20</v>
      </c>
      <c r="D20" s="71" t="s">
        <v>215</v>
      </c>
      <c r="E20" s="71" t="s">
        <v>215</v>
      </c>
      <c r="F20" s="71" t="s">
        <v>215</v>
      </c>
      <c r="G20" s="71" t="s">
        <v>215</v>
      </c>
      <c r="H20" s="71" t="s">
        <v>215</v>
      </c>
      <c r="I20" s="71" t="s">
        <v>215</v>
      </c>
    </row>
    <row r="21" spans="1:9" ht="21" customHeight="1" x14ac:dyDescent="0.15">
      <c r="A21" s="37" t="s">
        <v>250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6" t="s">
        <v>234</v>
      </c>
      <c r="B2" s="147"/>
      <c r="C2" s="148"/>
      <c r="D2" s="156" t="s">
        <v>109</v>
      </c>
      <c r="E2" s="157" t="s">
        <v>59</v>
      </c>
      <c r="F2" s="157" t="s">
        <v>59</v>
      </c>
      <c r="G2" s="157" t="s">
        <v>251</v>
      </c>
      <c r="H2" s="148"/>
      <c r="I2" s="148"/>
    </row>
    <row r="3" spans="1:11" s="4" customFormat="1" ht="21" customHeight="1" x14ac:dyDescent="0.15">
      <c r="A3" s="146" t="s">
        <v>236</v>
      </c>
      <c r="B3" s="150"/>
      <c r="C3" s="151"/>
      <c r="D3" s="157" t="s">
        <v>59</v>
      </c>
      <c r="E3" s="157" t="s">
        <v>59</v>
      </c>
      <c r="F3" s="157" t="s">
        <v>59</v>
      </c>
      <c r="G3" s="157" t="s">
        <v>229</v>
      </c>
      <c r="H3" s="151"/>
      <c r="I3" s="151"/>
    </row>
    <row r="4" spans="1:11" s="4" customFormat="1" ht="21" customHeight="1" x14ac:dyDescent="0.15">
      <c r="A4" s="146" t="s">
        <v>230</v>
      </c>
      <c r="B4" s="153"/>
      <c r="C4" s="154"/>
      <c r="D4" s="158" t="s">
        <v>59</v>
      </c>
      <c r="E4" s="158" t="s">
        <v>59</v>
      </c>
      <c r="F4" s="158" t="s">
        <v>59</v>
      </c>
      <c r="G4" s="157" t="s">
        <v>229</v>
      </c>
      <c r="H4" s="154"/>
      <c r="I4" s="154"/>
    </row>
    <row r="5" spans="1:11" s="4" customFormat="1" ht="21" customHeight="1" x14ac:dyDescent="0.15">
      <c r="A5" s="165" t="s">
        <v>238</v>
      </c>
      <c r="B5" s="160"/>
      <c r="C5" s="161"/>
      <c r="D5" s="158" t="s">
        <v>59</v>
      </c>
      <c r="E5" s="158" t="s">
        <v>59</v>
      </c>
      <c r="F5" s="158" t="s">
        <v>59</v>
      </c>
      <c r="G5" s="157" t="s">
        <v>219</v>
      </c>
      <c r="H5" s="161"/>
      <c r="I5" s="161"/>
    </row>
    <row r="6" spans="1:11" s="4" customFormat="1" ht="21" customHeight="1" x14ac:dyDescent="0.15">
      <c r="A6" s="165" t="s">
        <v>239</v>
      </c>
      <c r="B6" s="160"/>
      <c r="C6" s="161"/>
      <c r="D6" s="166" t="s">
        <v>60</v>
      </c>
      <c r="E6" s="166" t="s">
        <v>60</v>
      </c>
      <c r="F6" s="156" t="s">
        <v>109</v>
      </c>
      <c r="G6" s="156" t="s">
        <v>109</v>
      </c>
      <c r="H6" s="161"/>
      <c r="I6" s="161"/>
    </row>
    <row r="7" spans="1:11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241</v>
      </c>
      <c r="B8" s="40" t="s">
        <v>109</v>
      </c>
      <c r="C8" s="40" t="s">
        <v>109</v>
      </c>
      <c r="D8" s="40" t="s">
        <v>216</v>
      </c>
      <c r="E8" s="52" t="s">
        <v>115</v>
      </c>
      <c r="F8" s="52" t="s">
        <v>115</v>
      </c>
      <c r="G8" s="52" t="s">
        <v>217</v>
      </c>
      <c r="H8" s="40" t="s">
        <v>216</v>
      </c>
      <c r="I8" s="40" t="s">
        <v>109</v>
      </c>
    </row>
    <row r="9" spans="1:11" s="46" customFormat="1" ht="21" customHeight="1" x14ac:dyDescent="0.15">
      <c r="A9" s="76" t="s">
        <v>320</v>
      </c>
      <c r="B9" s="66" t="s">
        <v>109</v>
      </c>
      <c r="C9" s="66" t="s">
        <v>109</v>
      </c>
      <c r="D9" s="66" t="s">
        <v>109</v>
      </c>
      <c r="E9" s="66" t="s">
        <v>109</v>
      </c>
      <c r="F9" s="52" t="s">
        <v>59</v>
      </c>
      <c r="G9" s="52" t="s">
        <v>115</v>
      </c>
      <c r="H9" s="66" t="s">
        <v>109</v>
      </c>
      <c r="I9" s="66" t="s">
        <v>109</v>
      </c>
    </row>
    <row r="10" spans="1:11" s="46" customFormat="1" ht="21" customHeight="1" x14ac:dyDescent="0.15">
      <c r="A10" s="76" t="s">
        <v>242</v>
      </c>
      <c r="B10" s="66" t="s">
        <v>109</v>
      </c>
      <c r="C10" s="66" t="s">
        <v>109</v>
      </c>
      <c r="D10" s="66" t="s">
        <v>109</v>
      </c>
      <c r="E10" s="52" t="s">
        <v>59</v>
      </c>
      <c r="F10" s="52" t="s">
        <v>59</v>
      </c>
      <c r="G10" s="52" t="s">
        <v>115</v>
      </c>
      <c r="H10" s="66" t="s">
        <v>218</v>
      </c>
      <c r="I10" s="66" t="s">
        <v>218</v>
      </c>
    </row>
    <row r="11" spans="1:11" ht="21" customHeight="1" x14ac:dyDescent="0.15">
      <c r="A11" s="76" t="s">
        <v>9</v>
      </c>
      <c r="B11" s="71" t="s">
        <v>109</v>
      </c>
      <c r="C11" s="71" t="s">
        <v>109</v>
      </c>
      <c r="D11" s="52" t="s">
        <v>59</v>
      </c>
      <c r="E11" s="52" t="s">
        <v>59</v>
      </c>
      <c r="F11" s="52" t="s">
        <v>59</v>
      </c>
      <c r="G11" s="52" t="s">
        <v>219</v>
      </c>
      <c r="H11" s="71" t="s">
        <v>218</v>
      </c>
      <c r="I11" s="71" t="s">
        <v>218</v>
      </c>
      <c r="K11" s="27" t="s">
        <v>12</v>
      </c>
    </row>
    <row r="12" spans="1:11" ht="21" customHeight="1" x14ac:dyDescent="0.15">
      <c r="A12" s="76" t="s">
        <v>209</v>
      </c>
      <c r="B12" s="71" t="s">
        <v>109</v>
      </c>
      <c r="C12" s="71" t="s">
        <v>109</v>
      </c>
      <c r="D12" s="53" t="s">
        <v>59</v>
      </c>
      <c r="E12" s="53" t="s">
        <v>59</v>
      </c>
      <c r="F12" s="53" t="s">
        <v>59</v>
      </c>
      <c r="G12" s="52" t="s">
        <v>219</v>
      </c>
      <c r="H12" s="71" t="s">
        <v>218</v>
      </c>
      <c r="I12" s="71" t="s">
        <v>218</v>
      </c>
      <c r="K12" s="29" t="s">
        <v>13</v>
      </c>
    </row>
    <row r="13" spans="1:11" ht="21" customHeight="1" x14ac:dyDescent="0.15">
      <c r="A13" s="76" t="s">
        <v>205</v>
      </c>
      <c r="B13" s="71" t="s">
        <v>109</v>
      </c>
      <c r="C13" s="71" t="s">
        <v>109</v>
      </c>
      <c r="D13" s="54" t="s">
        <v>60</v>
      </c>
      <c r="E13" s="54" t="s">
        <v>60</v>
      </c>
      <c r="F13" s="71" t="s">
        <v>109</v>
      </c>
      <c r="G13" s="71" t="s">
        <v>109</v>
      </c>
      <c r="H13" s="71" t="s">
        <v>109</v>
      </c>
      <c r="I13" s="71" t="s">
        <v>109</v>
      </c>
      <c r="K13" s="72" t="s">
        <v>35</v>
      </c>
    </row>
    <row r="14" spans="1:11" ht="21" customHeight="1" x14ac:dyDescent="0.15">
      <c r="A14" s="105" t="s">
        <v>245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  <c r="K14" s="73"/>
    </row>
    <row r="15" spans="1:11" ht="21" customHeight="1" x14ac:dyDescent="0.15">
      <c r="A15" s="76" t="s">
        <v>246</v>
      </c>
      <c r="B15" s="71" t="s">
        <v>109</v>
      </c>
      <c r="C15" s="71" t="s">
        <v>109</v>
      </c>
      <c r="D15" s="55" t="s">
        <v>59</v>
      </c>
      <c r="E15" s="55" t="s">
        <v>59</v>
      </c>
      <c r="F15" s="55" t="s">
        <v>59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105</v>
      </c>
      <c r="B16" s="71" t="s">
        <v>109</v>
      </c>
      <c r="C16" s="71" t="s">
        <v>109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248</v>
      </c>
      <c r="B17" s="71" t="s">
        <v>109</v>
      </c>
      <c r="C17" s="55" t="s">
        <v>60</v>
      </c>
      <c r="D17" s="55" t="s">
        <v>60</v>
      </c>
      <c r="E17" s="55" t="s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78" t="s">
        <v>249</v>
      </c>
      <c r="B20" s="53" t="s">
        <v>63</v>
      </c>
      <c r="C20" s="53" t="s">
        <v>63</v>
      </c>
      <c r="D20" s="71" t="s">
        <v>109</v>
      </c>
      <c r="E20" s="71" t="s">
        <v>109</v>
      </c>
      <c r="F20" s="71" t="s">
        <v>109</v>
      </c>
      <c r="G20" s="71" t="s">
        <v>109</v>
      </c>
      <c r="H20" s="71" t="s">
        <v>109</v>
      </c>
      <c r="I20" s="71" t="s">
        <v>109</v>
      </c>
    </row>
    <row r="21" spans="1:9" ht="21" customHeight="1" x14ac:dyDescent="0.15">
      <c r="A21" s="37" t="s">
        <v>250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B26" sqref="B26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227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228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230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231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232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4" t="s">
        <v>206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207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190" t="s">
        <v>322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7">
        <v>14000</v>
      </c>
      <c r="H9" s="28" t="s">
        <v>11</v>
      </c>
      <c r="I9" s="28" t="s">
        <v>11</v>
      </c>
    </row>
    <row r="10" spans="1:9" s="46" customFormat="1" ht="21" customHeight="1" x14ac:dyDescent="0.15">
      <c r="A10" s="76" t="s">
        <v>208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7">
        <v>13000</v>
      </c>
      <c r="H10" s="28" t="s">
        <v>11</v>
      </c>
      <c r="I10" s="28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5000</v>
      </c>
      <c r="E11" s="28">
        <v>7000</v>
      </c>
      <c r="F11" s="28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209</v>
      </c>
      <c r="B12" s="69" t="s">
        <v>11</v>
      </c>
      <c r="C12" s="69" t="s">
        <v>11</v>
      </c>
      <c r="D12" s="28">
        <v>4900</v>
      </c>
      <c r="E12" s="28">
        <v>6700</v>
      </c>
      <c r="F12" s="28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106</v>
      </c>
      <c r="B13" s="69" t="s">
        <v>11</v>
      </c>
      <c r="C13" s="69" t="s">
        <v>11</v>
      </c>
      <c r="D13" s="28">
        <v>4800</v>
      </c>
      <c r="E13" s="28">
        <v>6600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210</v>
      </c>
      <c r="B14" s="69" t="s">
        <v>11</v>
      </c>
      <c r="C14" s="69" t="s">
        <v>11</v>
      </c>
      <c r="D14" s="69" t="s">
        <v>11</v>
      </c>
      <c r="E14" s="28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211</v>
      </c>
      <c r="B15" s="69" t="s">
        <v>11</v>
      </c>
      <c r="C15" s="69" t="s">
        <v>11</v>
      </c>
      <c r="D15" s="28">
        <v>4600</v>
      </c>
      <c r="E15" s="28">
        <v>5800</v>
      </c>
      <c r="F15" s="28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105</v>
      </c>
      <c r="B16" s="69" t="s">
        <v>11</v>
      </c>
      <c r="C16" s="69" t="s">
        <v>11</v>
      </c>
      <c r="D16" s="28">
        <v>4400</v>
      </c>
      <c r="E16" s="28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212</v>
      </c>
      <c r="B17" s="69" t="s">
        <v>11</v>
      </c>
      <c r="C17" s="28">
        <v>3000</v>
      </c>
      <c r="D17" s="28">
        <v>4200</v>
      </c>
      <c r="E17" s="28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2000</v>
      </c>
      <c r="C18" s="28">
        <v>2800</v>
      </c>
      <c r="D18" s="28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8">
        <v>1750</v>
      </c>
      <c r="C19" s="28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213</v>
      </c>
      <c r="B20" s="28">
        <v>1500</v>
      </c>
      <c r="C20" s="28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7" t="s">
        <v>214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2">
        <v>591</v>
      </c>
    </row>
    <row r="3" spans="1:4" x14ac:dyDescent="0.15">
      <c r="A3" t="s">
        <v>199</v>
      </c>
      <c r="B3" s="133">
        <v>592</v>
      </c>
    </row>
    <row r="4" spans="1:4" x14ac:dyDescent="0.15">
      <c r="A4" t="s">
        <v>200</v>
      </c>
      <c r="B4" s="133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2017-06-06T07:23:32Z</dcterms:modified>
</cp:coreProperties>
</file>