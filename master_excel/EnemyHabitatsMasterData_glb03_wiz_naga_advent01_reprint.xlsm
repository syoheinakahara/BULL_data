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7600" yWindow="640" windowWidth="30780" windowHeight="13060" tabRatio="740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97" i="10" l="1"/>
  <c r="T97" i="10"/>
  <c r="W97" i="10"/>
  <c r="V97" i="10"/>
  <c r="X97" i="10"/>
  <c r="U97" i="10"/>
  <c r="Y97" i="10"/>
  <c r="N97" i="10"/>
  <c r="Q97" i="10"/>
  <c r="P97" i="10"/>
  <c r="R97" i="10"/>
  <c r="O97" i="10"/>
  <c r="S97" i="10"/>
  <c r="G97" i="10"/>
  <c r="J97" i="10"/>
  <c r="I97" i="10"/>
  <c r="K97" i="10"/>
  <c r="H97" i="10"/>
  <c r="L97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M95" i="10"/>
  <c r="T95" i="10"/>
  <c r="W95" i="10"/>
  <c r="V95" i="10"/>
  <c r="X95" i="10"/>
  <c r="U95" i="10"/>
  <c r="Y95" i="10"/>
  <c r="N95" i="10"/>
  <c r="Q95" i="10"/>
  <c r="P95" i="10"/>
  <c r="R95" i="10"/>
  <c r="O95" i="10"/>
  <c r="S95" i="10"/>
  <c r="G95" i="10"/>
  <c r="J95" i="10"/>
  <c r="I95" i="10"/>
  <c r="K95" i="10"/>
  <c r="H95" i="10"/>
  <c r="L95" i="10"/>
  <c r="M94" i="10"/>
  <c r="T94" i="10"/>
  <c r="W94" i="10"/>
  <c r="V94" i="10"/>
  <c r="X94" i="10"/>
  <c r="U94" i="10"/>
  <c r="Y94" i="10"/>
  <c r="N94" i="10"/>
  <c r="Q94" i="10"/>
  <c r="P94" i="10"/>
  <c r="R94" i="10"/>
  <c r="O94" i="10"/>
  <c r="S94" i="10"/>
  <c r="G94" i="10"/>
  <c r="J94" i="10"/>
  <c r="I94" i="10"/>
  <c r="K94" i="10"/>
  <c r="H94" i="10"/>
  <c r="L94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W7" i="7"/>
  <c r="W6" i="7"/>
  <c r="W5" i="7"/>
  <c r="U7" i="7"/>
  <c r="U6" i="7"/>
  <c r="U5" i="7"/>
  <c r="W4" i="7"/>
  <c r="W3" i="7"/>
  <c r="W2" i="7"/>
  <c r="U4" i="7"/>
  <c r="U3" i="7"/>
  <c r="U2" i="7"/>
  <c r="V8" i="1"/>
  <c r="V7" i="1"/>
  <c r="V6" i="1"/>
  <c r="V5" i="1"/>
  <c r="V4" i="1"/>
  <c r="V3" i="1"/>
  <c r="V2" i="1"/>
  <c r="T7" i="1"/>
  <c r="T6" i="1"/>
  <c r="V14" i="1"/>
  <c r="V13" i="1"/>
  <c r="T12" i="1"/>
  <c r="T13" i="1"/>
  <c r="T14" i="1"/>
  <c r="T8" i="1"/>
  <c r="T5" i="1"/>
  <c r="T4" i="1"/>
  <c r="T3" i="1"/>
  <c r="T2" i="1"/>
  <c r="V15" i="1"/>
  <c r="V12" i="1"/>
  <c r="V11" i="1"/>
  <c r="V10" i="1"/>
  <c r="V9" i="1"/>
  <c r="T15" i="1"/>
  <c r="T11" i="1"/>
  <c r="T10" i="1"/>
  <c r="T9" i="1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/>
  <c r="J97" i="11"/>
  <c r="O97" i="9"/>
  <c r="N97" i="9"/>
  <c r="M97" i="9"/>
  <c r="L97" i="9"/>
  <c r="K97" i="9"/>
  <c r="J97" i="9"/>
  <c r="I97" i="9"/>
  <c r="H97" i="9"/>
  <c r="G97" i="9"/>
  <c r="E97" i="9"/>
  <c r="D97" i="9"/>
  <c r="J96" i="11"/>
  <c r="O96" i="9"/>
  <c r="N96" i="9"/>
  <c r="M96" i="9"/>
  <c r="L96" i="9"/>
  <c r="K96" i="9"/>
  <c r="J96" i="9"/>
  <c r="I96" i="9"/>
  <c r="H96" i="9"/>
  <c r="G96" i="9"/>
  <c r="E96" i="9"/>
  <c r="D96" i="9"/>
  <c r="J95" i="11"/>
  <c r="O95" i="9"/>
  <c r="N95" i="9"/>
  <c r="M95" i="9"/>
  <c r="L95" i="9"/>
  <c r="K95" i="9"/>
  <c r="J95" i="9"/>
  <c r="I95" i="9"/>
  <c r="H95" i="9"/>
  <c r="G95" i="9"/>
  <c r="E95" i="9"/>
  <c r="D95" i="9"/>
  <c r="J94" i="11"/>
  <c r="O94" i="9"/>
  <c r="N94" i="9"/>
  <c r="M94" i="9"/>
  <c r="L94" i="9"/>
  <c r="K94" i="9"/>
  <c r="J94" i="9"/>
  <c r="I94" i="9"/>
  <c r="H94" i="9"/>
  <c r="G94" i="9"/>
  <c r="E94" i="9"/>
  <c r="D94" i="9"/>
  <c r="J93" i="11"/>
  <c r="O93" i="9"/>
  <c r="N93" i="9"/>
  <c r="M93" i="9"/>
  <c r="L93" i="9"/>
  <c r="K93" i="9"/>
  <c r="J93" i="9"/>
  <c r="I93" i="9"/>
  <c r="H93" i="9"/>
  <c r="G93" i="9"/>
  <c r="E93" i="9"/>
  <c r="D93" i="9"/>
  <c r="J92" i="11"/>
  <c r="O92" i="9"/>
  <c r="N92" i="9"/>
  <c r="M92" i="9"/>
  <c r="L92" i="9"/>
  <c r="K92" i="9"/>
  <c r="J92" i="9"/>
  <c r="I92" i="9"/>
  <c r="H92" i="9"/>
  <c r="G92" i="9"/>
  <c r="E92" i="9"/>
  <c r="D92" i="9"/>
  <c r="J91" i="11"/>
  <c r="O91" i="9"/>
  <c r="N91" i="9"/>
  <c r="M91" i="9"/>
  <c r="L91" i="9"/>
  <c r="K91" i="9"/>
  <c r="J91" i="9"/>
  <c r="I91" i="9"/>
  <c r="H91" i="9"/>
  <c r="G91" i="9"/>
  <c r="E91" i="9"/>
  <c r="D91" i="9"/>
  <c r="J90" i="11"/>
  <c r="O90" i="9"/>
  <c r="N90" i="9"/>
  <c r="M90" i="9"/>
  <c r="L90" i="9"/>
  <c r="K90" i="9"/>
  <c r="J90" i="9"/>
  <c r="I90" i="9"/>
  <c r="H90" i="9"/>
  <c r="G90" i="9"/>
  <c r="E90" i="9"/>
  <c r="D90" i="9"/>
  <c r="J89" i="11"/>
  <c r="O89" i="9"/>
  <c r="N89" i="9"/>
  <c r="M89" i="9"/>
  <c r="L89" i="9"/>
  <c r="K89" i="9"/>
  <c r="J89" i="9"/>
  <c r="I89" i="9"/>
  <c r="H89" i="9"/>
  <c r="G89" i="9"/>
  <c r="E89" i="9"/>
  <c r="D89" i="9"/>
  <c r="J88" i="11"/>
  <c r="O88" i="9"/>
  <c r="N88" i="9"/>
  <c r="M88" i="9"/>
  <c r="L88" i="9"/>
  <c r="K88" i="9"/>
  <c r="J88" i="9"/>
  <c r="I88" i="9"/>
  <c r="H88" i="9"/>
  <c r="G88" i="9"/>
  <c r="E88" i="9"/>
  <c r="D88" i="9"/>
  <c r="J87" i="11"/>
  <c r="O87" i="9"/>
  <c r="N87" i="9"/>
  <c r="M87" i="9"/>
  <c r="L87" i="9"/>
  <c r="K87" i="9"/>
  <c r="J87" i="9"/>
  <c r="I87" i="9"/>
  <c r="H87" i="9"/>
  <c r="G87" i="9"/>
  <c r="E87" i="9"/>
  <c r="D87" i="9"/>
  <c r="J86" i="11"/>
  <c r="O86" i="9"/>
  <c r="N86" i="9"/>
  <c r="M86" i="9"/>
  <c r="L86" i="9"/>
  <c r="K86" i="9"/>
  <c r="J86" i="9"/>
  <c r="I86" i="9"/>
  <c r="H86" i="9"/>
  <c r="G86" i="9"/>
  <c r="E86" i="9"/>
  <c r="D86" i="9"/>
  <c r="J85" i="11"/>
  <c r="O85" i="9"/>
  <c r="N85" i="9"/>
  <c r="M85" i="9"/>
  <c r="L85" i="9"/>
  <c r="K85" i="9"/>
  <c r="J85" i="9"/>
  <c r="I85" i="9"/>
  <c r="H85" i="9"/>
  <c r="G85" i="9"/>
  <c r="E85" i="9"/>
  <c r="D85" i="9"/>
  <c r="J84" i="11"/>
  <c r="O84" i="9"/>
  <c r="N84" i="9"/>
  <c r="M84" i="9"/>
  <c r="L84" i="9"/>
  <c r="K84" i="9"/>
  <c r="J84" i="9"/>
  <c r="I84" i="9"/>
  <c r="H84" i="9"/>
  <c r="G84" i="9"/>
  <c r="E84" i="9"/>
  <c r="D84" i="9"/>
  <c r="J83" i="11"/>
  <c r="O83" i="9"/>
  <c r="N83" i="9"/>
  <c r="M83" i="9"/>
  <c r="L83" i="9"/>
  <c r="K83" i="9"/>
  <c r="J83" i="9"/>
  <c r="I83" i="9"/>
  <c r="H83" i="9"/>
  <c r="G83" i="9"/>
  <c r="E83" i="9"/>
  <c r="D83" i="9"/>
  <c r="J82" i="11"/>
  <c r="O82" i="9"/>
  <c r="N82" i="9"/>
  <c r="M82" i="9"/>
  <c r="L82" i="9"/>
  <c r="K82" i="9"/>
  <c r="J82" i="9"/>
  <c r="I82" i="9"/>
  <c r="H82" i="9"/>
  <c r="G82" i="9"/>
  <c r="E82" i="9"/>
  <c r="D82" i="9"/>
  <c r="J81" i="11"/>
  <c r="O81" i="9"/>
  <c r="N81" i="9"/>
  <c r="M81" i="9"/>
  <c r="L81" i="9"/>
  <c r="K81" i="9"/>
  <c r="J81" i="9"/>
  <c r="I81" i="9"/>
  <c r="H81" i="9"/>
  <c r="G81" i="9"/>
  <c r="E81" i="9"/>
  <c r="D81" i="9"/>
  <c r="J80" i="11"/>
  <c r="O80" i="9"/>
  <c r="N80" i="9"/>
  <c r="M80" i="9"/>
  <c r="L80" i="9"/>
  <c r="K80" i="9"/>
  <c r="J80" i="9"/>
  <c r="I80" i="9"/>
  <c r="H80" i="9"/>
  <c r="G80" i="9"/>
  <c r="E80" i="9"/>
  <c r="D80" i="9"/>
  <c r="J79" i="11"/>
  <c r="O79" i="9"/>
  <c r="N79" i="9"/>
  <c r="M79" i="9"/>
  <c r="L79" i="9"/>
  <c r="K79" i="9"/>
  <c r="J79" i="9"/>
  <c r="I79" i="9"/>
  <c r="H79" i="9"/>
  <c r="G79" i="9"/>
  <c r="E79" i="9"/>
  <c r="D79" i="9"/>
  <c r="J78" i="11"/>
  <c r="O78" i="9"/>
  <c r="N78" i="9"/>
  <c r="M78" i="9"/>
  <c r="L78" i="9"/>
  <c r="K78" i="9"/>
  <c r="J78" i="9"/>
  <c r="I78" i="9"/>
  <c r="H78" i="9"/>
  <c r="G78" i="9"/>
  <c r="E78" i="9"/>
  <c r="D78" i="9"/>
  <c r="J77" i="11"/>
  <c r="O77" i="9"/>
  <c r="N77" i="9"/>
  <c r="M77" i="9"/>
  <c r="L77" i="9"/>
  <c r="K77" i="9"/>
  <c r="J77" i="9"/>
  <c r="I77" i="9"/>
  <c r="H77" i="9"/>
  <c r="G77" i="9"/>
  <c r="E77" i="9"/>
  <c r="D77" i="9"/>
  <c r="J76" i="11"/>
  <c r="O76" i="9"/>
  <c r="N76" i="9"/>
  <c r="M76" i="9"/>
  <c r="L76" i="9"/>
  <c r="K76" i="9"/>
  <c r="J76" i="9"/>
  <c r="I76" i="9"/>
  <c r="H76" i="9"/>
  <c r="G76" i="9"/>
  <c r="E76" i="9"/>
  <c r="D76" i="9"/>
  <c r="J75" i="11"/>
  <c r="O75" i="9"/>
  <c r="N75" i="9"/>
  <c r="M75" i="9"/>
  <c r="L75" i="9"/>
  <c r="K75" i="9"/>
  <c r="J75" i="9"/>
  <c r="I75" i="9"/>
  <c r="H75" i="9"/>
  <c r="G75" i="9"/>
  <c r="E75" i="9"/>
  <c r="D75" i="9"/>
  <c r="J74" i="11"/>
  <c r="O74" i="9"/>
  <c r="N74" i="9"/>
  <c r="M74" i="9"/>
  <c r="L74" i="9"/>
  <c r="K74" i="9"/>
  <c r="J74" i="9"/>
  <c r="I74" i="9"/>
  <c r="H74" i="9"/>
  <c r="G74" i="9"/>
  <c r="E74" i="9"/>
  <c r="D74" i="9"/>
  <c r="J73" i="11"/>
  <c r="O73" i="9"/>
  <c r="N73" i="9"/>
  <c r="M73" i="9"/>
  <c r="L73" i="9"/>
  <c r="K73" i="9"/>
  <c r="J73" i="9"/>
  <c r="I73" i="9"/>
  <c r="H73" i="9"/>
  <c r="G73" i="9"/>
  <c r="E73" i="9"/>
  <c r="D73" i="9"/>
  <c r="J72" i="11"/>
  <c r="O72" i="9"/>
  <c r="N72" i="9"/>
  <c r="M72" i="9"/>
  <c r="L72" i="9"/>
  <c r="K72" i="9"/>
  <c r="J72" i="9"/>
  <c r="I72" i="9"/>
  <c r="H72" i="9"/>
  <c r="G72" i="9"/>
  <c r="E72" i="9"/>
  <c r="D72" i="9"/>
  <c r="J71" i="11"/>
  <c r="O71" i="9"/>
  <c r="N71" i="9"/>
  <c r="M71" i="9"/>
  <c r="L71" i="9"/>
  <c r="K71" i="9"/>
  <c r="J71" i="9"/>
  <c r="I71" i="9"/>
  <c r="H71" i="9"/>
  <c r="G71" i="9"/>
  <c r="E71" i="9"/>
  <c r="D71" i="9"/>
  <c r="J70" i="11"/>
  <c r="O70" i="9"/>
  <c r="N70" i="9"/>
  <c r="M70" i="9"/>
  <c r="L70" i="9"/>
  <c r="K70" i="9"/>
  <c r="J70" i="9"/>
  <c r="I70" i="9"/>
  <c r="H70" i="9"/>
  <c r="G70" i="9"/>
  <c r="E70" i="9"/>
  <c r="D70" i="9"/>
  <c r="J69" i="11"/>
  <c r="O69" i="9"/>
  <c r="N69" i="9"/>
  <c r="M69" i="9"/>
  <c r="L69" i="9"/>
  <c r="K69" i="9"/>
  <c r="J69" i="9"/>
  <c r="I69" i="9"/>
  <c r="H69" i="9"/>
  <c r="G69" i="9"/>
  <c r="E69" i="9"/>
  <c r="D69" i="9"/>
  <c r="O68" i="9"/>
  <c r="N68" i="9"/>
  <c r="M68" i="9"/>
  <c r="L68" i="9"/>
  <c r="K68" i="9"/>
  <c r="J68" i="9"/>
  <c r="I68" i="9"/>
  <c r="H68" i="9"/>
  <c r="G68" i="9"/>
  <c r="E68" i="9"/>
  <c r="D68" i="9"/>
  <c r="O67" i="9"/>
  <c r="N67" i="9"/>
  <c r="M67" i="9"/>
  <c r="L67" i="9"/>
  <c r="K67" i="9"/>
  <c r="J67" i="9"/>
  <c r="I67" i="9"/>
  <c r="H67" i="9"/>
  <c r="G67" i="9"/>
  <c r="E67" i="9"/>
  <c r="D67" i="9"/>
  <c r="J66" i="11"/>
  <c r="O66" i="9"/>
  <c r="N66" i="9"/>
  <c r="M66" i="9"/>
  <c r="L66" i="9"/>
  <c r="K66" i="9"/>
  <c r="J66" i="9"/>
  <c r="I66" i="9"/>
  <c r="H66" i="9"/>
  <c r="G66" i="9"/>
  <c r="E66" i="9"/>
  <c r="D66" i="9"/>
  <c r="J65" i="11"/>
  <c r="O65" i="9"/>
  <c r="N65" i="9"/>
  <c r="M65" i="9"/>
  <c r="L65" i="9"/>
  <c r="K65" i="9"/>
  <c r="J65" i="9"/>
  <c r="I65" i="9"/>
  <c r="H65" i="9"/>
  <c r="G65" i="9"/>
  <c r="E65" i="9"/>
  <c r="D65" i="9"/>
  <c r="J64" i="11"/>
  <c r="O64" i="9"/>
  <c r="N64" i="9"/>
  <c r="M64" i="9"/>
  <c r="L64" i="9"/>
  <c r="K64" i="9"/>
  <c r="J64" i="9"/>
  <c r="I64" i="9"/>
  <c r="H64" i="9"/>
  <c r="G64" i="9"/>
  <c r="E64" i="9"/>
  <c r="D64" i="9"/>
  <c r="J63" i="11"/>
  <c r="O63" i="9"/>
  <c r="N63" i="9"/>
  <c r="M63" i="9"/>
  <c r="L63" i="9"/>
  <c r="K63" i="9"/>
  <c r="J63" i="9"/>
  <c r="I63" i="9"/>
  <c r="H63" i="9"/>
  <c r="G63" i="9"/>
  <c r="E63" i="9"/>
  <c r="D63" i="9"/>
  <c r="J62" i="11"/>
  <c r="O62" i="9"/>
  <c r="N62" i="9"/>
  <c r="M62" i="9"/>
  <c r="L62" i="9"/>
  <c r="K62" i="9"/>
  <c r="J62" i="9"/>
  <c r="I62" i="9"/>
  <c r="H62" i="9"/>
  <c r="G62" i="9"/>
  <c r="E62" i="9"/>
  <c r="D62" i="9"/>
  <c r="J61" i="11"/>
  <c r="O61" i="9"/>
  <c r="N61" i="9"/>
  <c r="M61" i="9"/>
  <c r="L61" i="9"/>
  <c r="K61" i="9"/>
  <c r="J61" i="9"/>
  <c r="I61" i="9"/>
  <c r="H61" i="9"/>
  <c r="G61" i="9"/>
  <c r="E61" i="9"/>
  <c r="D61" i="9"/>
  <c r="J60" i="11"/>
  <c r="O60" i="9"/>
  <c r="N60" i="9"/>
  <c r="M60" i="9"/>
  <c r="L60" i="9"/>
  <c r="K60" i="9"/>
  <c r="J60" i="9"/>
  <c r="I60" i="9"/>
  <c r="H60" i="9"/>
  <c r="G60" i="9"/>
  <c r="E60" i="9"/>
  <c r="D60" i="9"/>
  <c r="J59" i="11"/>
  <c r="O59" i="9"/>
  <c r="N59" i="9"/>
  <c r="M59" i="9"/>
  <c r="L59" i="9"/>
  <c r="K59" i="9"/>
  <c r="J59" i="9"/>
  <c r="I59" i="9"/>
  <c r="H59" i="9"/>
  <c r="G59" i="9"/>
  <c r="E59" i="9"/>
  <c r="D59" i="9"/>
  <c r="J58" i="11"/>
  <c r="O58" i="9"/>
  <c r="N58" i="9"/>
  <c r="M58" i="9"/>
  <c r="L58" i="9"/>
  <c r="K58" i="9"/>
  <c r="J58" i="9"/>
  <c r="I58" i="9"/>
  <c r="H58" i="9"/>
  <c r="G58" i="9"/>
  <c r="E58" i="9"/>
  <c r="D58" i="9"/>
  <c r="J57" i="11"/>
  <c r="O57" i="9"/>
  <c r="N57" i="9"/>
  <c r="M57" i="9"/>
  <c r="L57" i="9"/>
  <c r="K57" i="9"/>
  <c r="J57" i="9"/>
  <c r="I57" i="9"/>
  <c r="H57" i="9"/>
  <c r="G57" i="9"/>
  <c r="E57" i="9"/>
  <c r="D57" i="9"/>
  <c r="J56" i="11"/>
  <c r="O56" i="9"/>
  <c r="N56" i="9"/>
  <c r="M56" i="9"/>
  <c r="L56" i="9"/>
  <c r="K56" i="9"/>
  <c r="J56" i="9"/>
  <c r="I56" i="9"/>
  <c r="H56" i="9"/>
  <c r="G56" i="9"/>
  <c r="E56" i="9"/>
  <c r="D56" i="9"/>
  <c r="J55" i="11"/>
  <c r="O55" i="9"/>
  <c r="N55" i="9"/>
  <c r="M55" i="9"/>
  <c r="L55" i="9"/>
  <c r="K55" i="9"/>
  <c r="J55" i="9"/>
  <c r="I55" i="9"/>
  <c r="H55" i="9"/>
  <c r="G55" i="9"/>
  <c r="E55" i="9"/>
  <c r="D55" i="9"/>
  <c r="J54" i="11"/>
  <c r="O54" i="9"/>
  <c r="N54" i="9"/>
  <c r="M54" i="9"/>
  <c r="L54" i="9"/>
  <c r="K54" i="9"/>
  <c r="J54" i="9"/>
  <c r="I54" i="9"/>
  <c r="H54" i="9"/>
  <c r="G54" i="9"/>
  <c r="E54" i="9"/>
  <c r="D54" i="9"/>
  <c r="J53" i="11"/>
  <c r="O53" i="9"/>
  <c r="N53" i="9"/>
  <c r="M53" i="9"/>
  <c r="L53" i="9"/>
  <c r="K53" i="9"/>
  <c r="J53" i="9"/>
  <c r="I53" i="9"/>
  <c r="H53" i="9"/>
  <c r="G53" i="9"/>
  <c r="E53" i="9"/>
  <c r="D53" i="9"/>
  <c r="J52" i="11"/>
  <c r="O52" i="9"/>
  <c r="N52" i="9"/>
  <c r="M52" i="9"/>
  <c r="L52" i="9"/>
  <c r="K52" i="9"/>
  <c r="J52" i="9"/>
  <c r="I52" i="9"/>
  <c r="H52" i="9"/>
  <c r="G52" i="9"/>
  <c r="E52" i="9"/>
  <c r="D52" i="9"/>
  <c r="J51" i="11"/>
  <c r="O51" i="9"/>
  <c r="N51" i="9"/>
  <c r="M51" i="9"/>
  <c r="L51" i="9"/>
  <c r="K51" i="9"/>
  <c r="J51" i="9"/>
  <c r="I51" i="9"/>
  <c r="H51" i="9"/>
  <c r="G51" i="9"/>
  <c r="E51" i="9"/>
  <c r="D51" i="9"/>
  <c r="J50" i="11"/>
  <c r="O50" i="9"/>
  <c r="N50" i="9"/>
  <c r="M50" i="9"/>
  <c r="L50" i="9"/>
  <c r="K50" i="9"/>
  <c r="J50" i="9"/>
  <c r="I50" i="9"/>
  <c r="H50" i="9"/>
  <c r="G50" i="9"/>
  <c r="E50" i="9"/>
  <c r="D50" i="9"/>
  <c r="J49" i="11"/>
  <c r="O49" i="9"/>
  <c r="N49" i="9"/>
  <c r="M49" i="9"/>
  <c r="L49" i="9"/>
  <c r="K49" i="9"/>
  <c r="J49" i="9"/>
  <c r="I49" i="9"/>
  <c r="H49" i="9"/>
  <c r="G49" i="9"/>
  <c r="E49" i="9"/>
  <c r="D49" i="9"/>
  <c r="J48" i="11"/>
  <c r="O48" i="9"/>
  <c r="N48" i="9"/>
  <c r="M48" i="9"/>
  <c r="L48" i="9"/>
  <c r="K48" i="9"/>
  <c r="J48" i="9"/>
  <c r="I48" i="9"/>
  <c r="H48" i="9"/>
  <c r="G48" i="9"/>
  <c r="E48" i="9"/>
  <c r="D48" i="9"/>
  <c r="J47" i="11"/>
  <c r="O47" i="9"/>
  <c r="N47" i="9"/>
  <c r="M47" i="9"/>
  <c r="L47" i="9"/>
  <c r="K47" i="9"/>
  <c r="J47" i="9"/>
  <c r="I47" i="9"/>
  <c r="H47" i="9"/>
  <c r="G47" i="9"/>
  <c r="E47" i="9"/>
  <c r="D47" i="9"/>
  <c r="J46" i="11"/>
  <c r="O46" i="9"/>
  <c r="N46" i="9"/>
  <c r="M46" i="9"/>
  <c r="L46" i="9"/>
  <c r="K46" i="9"/>
  <c r="J46" i="9"/>
  <c r="I46" i="9"/>
  <c r="H46" i="9"/>
  <c r="G46" i="9"/>
  <c r="E46" i="9"/>
  <c r="D46" i="9"/>
  <c r="J45" i="11"/>
  <c r="O45" i="9"/>
  <c r="N45" i="9"/>
  <c r="M45" i="9"/>
  <c r="L45" i="9"/>
  <c r="K45" i="9"/>
  <c r="J45" i="9"/>
  <c r="I45" i="9"/>
  <c r="H45" i="9"/>
  <c r="G45" i="9"/>
  <c r="E45" i="9"/>
  <c r="D45" i="9"/>
  <c r="J44" i="11"/>
  <c r="O44" i="9"/>
  <c r="N44" i="9"/>
  <c r="M44" i="9"/>
  <c r="L44" i="9"/>
  <c r="K44" i="9"/>
  <c r="J44" i="9"/>
  <c r="I44" i="9"/>
  <c r="H44" i="9"/>
  <c r="G44" i="9"/>
  <c r="E44" i="9"/>
  <c r="D44" i="9"/>
  <c r="J43" i="11"/>
  <c r="O43" i="9"/>
  <c r="N43" i="9"/>
  <c r="M43" i="9"/>
  <c r="L43" i="9"/>
  <c r="K43" i="9"/>
  <c r="J43" i="9"/>
  <c r="I43" i="9"/>
  <c r="H43" i="9"/>
  <c r="G43" i="9"/>
  <c r="E43" i="9"/>
  <c r="D43" i="9"/>
  <c r="J42" i="11"/>
  <c r="O42" i="9"/>
  <c r="N42" i="9"/>
  <c r="M42" i="9"/>
  <c r="L42" i="9"/>
  <c r="K42" i="9"/>
  <c r="J42" i="9"/>
  <c r="I42" i="9"/>
  <c r="H42" i="9"/>
  <c r="G42" i="9"/>
  <c r="E42" i="9"/>
  <c r="D42" i="9"/>
  <c r="J41" i="11"/>
  <c r="O41" i="9"/>
  <c r="N41" i="9"/>
  <c r="M41" i="9"/>
  <c r="L41" i="9"/>
  <c r="K41" i="9"/>
  <c r="J41" i="9"/>
  <c r="I41" i="9"/>
  <c r="H41" i="9"/>
  <c r="G41" i="9"/>
  <c r="E41" i="9"/>
  <c r="D41" i="9"/>
  <c r="J40" i="11"/>
  <c r="O40" i="9"/>
  <c r="N40" i="9"/>
  <c r="M40" i="9"/>
  <c r="L40" i="9"/>
  <c r="K40" i="9"/>
  <c r="J40" i="9"/>
  <c r="I40" i="9"/>
  <c r="H40" i="9"/>
  <c r="G40" i="9"/>
  <c r="E40" i="9"/>
  <c r="D40" i="9"/>
  <c r="J39" i="11"/>
  <c r="O39" i="9"/>
  <c r="N39" i="9"/>
  <c r="M39" i="9"/>
  <c r="L39" i="9"/>
  <c r="K39" i="9"/>
  <c r="J39" i="9"/>
  <c r="I39" i="9"/>
  <c r="H39" i="9"/>
  <c r="G39" i="9"/>
  <c r="E39" i="9"/>
  <c r="D39" i="9"/>
  <c r="J38" i="11"/>
  <c r="O38" i="9"/>
  <c r="N38" i="9"/>
  <c r="M38" i="9"/>
  <c r="L38" i="9"/>
  <c r="K38" i="9"/>
  <c r="J38" i="9"/>
  <c r="I38" i="9"/>
  <c r="H38" i="9"/>
  <c r="G38" i="9"/>
  <c r="E38" i="9"/>
  <c r="D38" i="9"/>
  <c r="J37" i="11"/>
  <c r="O37" i="9"/>
  <c r="N37" i="9"/>
  <c r="M37" i="9"/>
  <c r="L37" i="9"/>
  <c r="K37" i="9"/>
  <c r="J37" i="9"/>
  <c r="I37" i="9"/>
  <c r="H37" i="9"/>
  <c r="G37" i="9"/>
  <c r="E37" i="9"/>
  <c r="D37" i="9"/>
  <c r="J36" i="11"/>
  <c r="O36" i="9"/>
  <c r="N36" i="9"/>
  <c r="M36" i="9"/>
  <c r="L36" i="9"/>
  <c r="K36" i="9"/>
  <c r="J36" i="9"/>
  <c r="I36" i="9"/>
  <c r="H36" i="9"/>
  <c r="G36" i="9"/>
  <c r="E36" i="9"/>
  <c r="D36" i="9"/>
  <c r="J35" i="11"/>
  <c r="O35" i="9"/>
  <c r="N35" i="9"/>
  <c r="M35" i="9"/>
  <c r="L35" i="9"/>
  <c r="K35" i="9"/>
  <c r="J35" i="9"/>
  <c r="I35" i="9"/>
  <c r="H35" i="9"/>
  <c r="G35" i="9"/>
  <c r="E35" i="9"/>
  <c r="D35" i="9"/>
  <c r="J34" i="11"/>
  <c r="O34" i="9"/>
  <c r="N34" i="9"/>
  <c r="M34" i="9"/>
  <c r="L34" i="9"/>
  <c r="K34" i="9"/>
  <c r="J34" i="9"/>
  <c r="I34" i="9"/>
  <c r="H34" i="9"/>
  <c r="G34" i="9"/>
  <c r="E34" i="9"/>
  <c r="D34" i="9"/>
  <c r="J33" i="11"/>
  <c r="O33" i="9"/>
  <c r="N33" i="9"/>
  <c r="M33" i="9"/>
  <c r="L33" i="9"/>
  <c r="K33" i="9"/>
  <c r="J33" i="9"/>
  <c r="I33" i="9"/>
  <c r="H33" i="9"/>
  <c r="G33" i="9"/>
  <c r="E33" i="9"/>
  <c r="D33" i="9"/>
  <c r="J32" i="11"/>
  <c r="O32" i="9"/>
  <c r="N32" i="9"/>
  <c r="M32" i="9"/>
  <c r="L32" i="9"/>
  <c r="K32" i="9"/>
  <c r="J32" i="9"/>
  <c r="I32" i="9"/>
  <c r="H32" i="9"/>
  <c r="G32" i="9"/>
  <c r="E32" i="9"/>
  <c r="D32" i="9"/>
  <c r="J31" i="11"/>
  <c r="O31" i="9"/>
  <c r="N31" i="9"/>
  <c r="M31" i="9"/>
  <c r="L31" i="9"/>
  <c r="K31" i="9"/>
  <c r="J31" i="9"/>
  <c r="I31" i="9"/>
  <c r="H31" i="9"/>
  <c r="G31" i="9"/>
  <c r="E31" i="9"/>
  <c r="D31" i="9"/>
  <c r="J30" i="11"/>
  <c r="O30" i="9"/>
  <c r="N30" i="9"/>
  <c r="M30" i="9"/>
  <c r="L30" i="9"/>
  <c r="K30" i="9"/>
  <c r="J30" i="9"/>
  <c r="I30" i="9"/>
  <c r="H30" i="9"/>
  <c r="G30" i="9"/>
  <c r="E30" i="9"/>
  <c r="D30" i="9"/>
  <c r="J29" i="11"/>
  <c r="O29" i="9"/>
  <c r="N29" i="9"/>
  <c r="M29" i="9"/>
  <c r="L29" i="9"/>
  <c r="K29" i="9"/>
  <c r="J29" i="9"/>
  <c r="I29" i="9"/>
  <c r="H29" i="9"/>
  <c r="G29" i="9"/>
  <c r="E29" i="9"/>
  <c r="D29" i="9"/>
  <c r="J28" i="11"/>
  <c r="O28" i="9"/>
  <c r="N28" i="9"/>
  <c r="M28" i="9"/>
  <c r="L28" i="9"/>
  <c r="K28" i="9"/>
  <c r="J28" i="9"/>
  <c r="I28" i="9"/>
  <c r="H28" i="9"/>
  <c r="G28" i="9"/>
  <c r="E28" i="9"/>
  <c r="D28" i="9"/>
  <c r="J27" i="11"/>
  <c r="O27" i="9"/>
  <c r="N27" i="9"/>
  <c r="M27" i="9"/>
  <c r="L27" i="9"/>
  <c r="K27" i="9"/>
  <c r="J27" i="9"/>
  <c r="I27" i="9"/>
  <c r="H27" i="9"/>
  <c r="G27" i="9"/>
  <c r="E27" i="9"/>
  <c r="D27" i="9"/>
  <c r="J26" i="11"/>
  <c r="O26" i="9"/>
  <c r="N26" i="9"/>
  <c r="M26" i="9"/>
  <c r="L26" i="9"/>
  <c r="K26" i="9"/>
  <c r="J26" i="9"/>
  <c r="I26" i="9"/>
  <c r="H26" i="9"/>
  <c r="G26" i="9"/>
  <c r="E26" i="9"/>
  <c r="D26" i="9"/>
  <c r="J25" i="11"/>
  <c r="O25" i="9"/>
  <c r="N25" i="9"/>
  <c r="M25" i="9"/>
  <c r="L25" i="9"/>
  <c r="K25" i="9"/>
  <c r="J25" i="9"/>
  <c r="I25" i="9"/>
  <c r="H25" i="9"/>
  <c r="G25" i="9"/>
  <c r="E25" i="9"/>
  <c r="D25" i="9"/>
  <c r="J24" i="11"/>
  <c r="O24" i="9"/>
  <c r="N24" i="9"/>
  <c r="M24" i="9"/>
  <c r="L24" i="9"/>
  <c r="K24" i="9"/>
  <c r="J24" i="9"/>
  <c r="I24" i="9"/>
  <c r="H24" i="9"/>
  <c r="G24" i="9"/>
  <c r="E24" i="9"/>
  <c r="D24" i="9"/>
  <c r="J23" i="11"/>
  <c r="O23" i="9"/>
  <c r="N23" i="9"/>
  <c r="M23" i="9"/>
  <c r="L23" i="9"/>
  <c r="K23" i="9"/>
  <c r="J23" i="9"/>
  <c r="I23" i="9"/>
  <c r="H23" i="9"/>
  <c r="G23" i="9"/>
  <c r="E23" i="9"/>
  <c r="D23" i="9"/>
  <c r="J22" i="11"/>
  <c r="O22" i="9"/>
  <c r="N22" i="9"/>
  <c r="M22" i="9"/>
  <c r="L22" i="9"/>
  <c r="K22" i="9"/>
  <c r="J22" i="9"/>
  <c r="I22" i="9"/>
  <c r="H22" i="9"/>
  <c r="G22" i="9"/>
  <c r="E22" i="9"/>
  <c r="D22" i="9"/>
  <c r="J21" i="11"/>
  <c r="O21" i="9"/>
  <c r="N21" i="9"/>
  <c r="M21" i="9"/>
  <c r="L21" i="9"/>
  <c r="K21" i="9"/>
  <c r="J21" i="9"/>
  <c r="I21" i="9"/>
  <c r="H21" i="9"/>
  <c r="G21" i="9"/>
  <c r="E21" i="9"/>
  <c r="D21" i="9"/>
  <c r="O20" i="9"/>
  <c r="N20" i="9"/>
  <c r="M20" i="9"/>
  <c r="L20" i="9"/>
  <c r="K20" i="9"/>
  <c r="J20" i="9"/>
  <c r="I20" i="9"/>
  <c r="H20" i="9"/>
  <c r="G20" i="9"/>
  <c r="E20" i="9"/>
  <c r="D20" i="9"/>
  <c r="O19" i="9"/>
  <c r="N19" i="9"/>
  <c r="M19" i="9"/>
  <c r="L19" i="9"/>
  <c r="K19" i="9"/>
  <c r="J19" i="9"/>
  <c r="I19" i="9"/>
  <c r="H19" i="9"/>
  <c r="G19" i="9"/>
  <c r="E19" i="9"/>
  <c r="D19" i="9"/>
  <c r="J18" i="11"/>
  <c r="O18" i="9"/>
  <c r="N18" i="9"/>
  <c r="M18" i="9"/>
  <c r="L18" i="9"/>
  <c r="K18" i="9"/>
  <c r="J18" i="9"/>
  <c r="I18" i="9"/>
  <c r="H18" i="9"/>
  <c r="G18" i="9"/>
  <c r="E18" i="9"/>
  <c r="D18" i="9"/>
  <c r="J17" i="11"/>
  <c r="O17" i="9"/>
  <c r="N17" i="9"/>
  <c r="M17" i="9"/>
  <c r="L17" i="9"/>
  <c r="K17" i="9"/>
  <c r="J17" i="9"/>
  <c r="I17" i="9"/>
  <c r="H17" i="9"/>
  <c r="G17" i="9"/>
  <c r="E17" i="9"/>
  <c r="D17" i="9"/>
  <c r="J16" i="11"/>
  <c r="O16" i="9"/>
  <c r="N16" i="9"/>
  <c r="M16" i="9"/>
  <c r="L16" i="9"/>
  <c r="K16" i="9"/>
  <c r="J16" i="9"/>
  <c r="I16" i="9"/>
  <c r="H16" i="9"/>
  <c r="G16" i="9"/>
  <c r="E16" i="9"/>
  <c r="D16" i="9"/>
  <c r="J15" i="11"/>
  <c r="O15" i="9"/>
  <c r="N15" i="9"/>
  <c r="M15" i="9"/>
  <c r="L15" i="9"/>
  <c r="K15" i="9"/>
  <c r="J15" i="9"/>
  <c r="I15" i="9"/>
  <c r="H15" i="9"/>
  <c r="G15" i="9"/>
  <c r="E15" i="9"/>
  <c r="D15" i="9"/>
  <c r="J14" i="11"/>
  <c r="O14" i="9"/>
  <c r="N14" i="9"/>
  <c r="M14" i="9"/>
  <c r="L14" i="9"/>
  <c r="K14" i="9"/>
  <c r="J14" i="9"/>
  <c r="I14" i="9"/>
  <c r="H14" i="9"/>
  <c r="G14" i="9"/>
  <c r="E14" i="9"/>
  <c r="D14" i="9"/>
  <c r="J13" i="11"/>
  <c r="O13" i="9"/>
  <c r="N13" i="9"/>
  <c r="M13" i="9"/>
  <c r="L13" i="9"/>
  <c r="K13" i="9"/>
  <c r="J13" i="9"/>
  <c r="I13" i="9"/>
  <c r="H13" i="9"/>
  <c r="G13" i="9"/>
  <c r="E13" i="9"/>
  <c r="D13" i="9"/>
  <c r="J12" i="11"/>
  <c r="O12" i="9"/>
  <c r="N12" i="9"/>
  <c r="M12" i="9"/>
  <c r="L12" i="9"/>
  <c r="K12" i="9"/>
  <c r="J12" i="9"/>
  <c r="I12" i="9"/>
  <c r="H12" i="9"/>
  <c r="G12" i="9"/>
  <c r="E12" i="9"/>
  <c r="D12" i="9"/>
  <c r="J11" i="11"/>
  <c r="O11" i="9"/>
  <c r="N11" i="9"/>
  <c r="M11" i="9"/>
  <c r="L11" i="9"/>
  <c r="K11" i="9"/>
  <c r="J11" i="9"/>
  <c r="I11" i="9"/>
  <c r="H11" i="9"/>
  <c r="G11" i="9"/>
  <c r="E11" i="9"/>
  <c r="D11" i="9"/>
  <c r="J10" i="11"/>
  <c r="O10" i="9"/>
  <c r="N10" i="9"/>
  <c r="M10" i="9"/>
  <c r="L10" i="9"/>
  <c r="K10" i="9"/>
  <c r="J10" i="9"/>
  <c r="I10" i="9"/>
  <c r="H10" i="9"/>
  <c r="G10" i="9"/>
  <c r="E10" i="9"/>
  <c r="D10" i="9"/>
  <c r="J9" i="11"/>
  <c r="O9" i="9"/>
  <c r="N9" i="9"/>
  <c r="M9" i="9"/>
  <c r="L9" i="9"/>
  <c r="K9" i="9"/>
  <c r="J9" i="9"/>
  <c r="I9" i="9"/>
  <c r="H9" i="9"/>
  <c r="G9" i="9"/>
  <c r="E9" i="9"/>
  <c r="D9" i="9"/>
  <c r="J8" i="11"/>
  <c r="O8" i="9"/>
  <c r="N8" i="9"/>
  <c r="M8" i="9"/>
  <c r="L8" i="9"/>
  <c r="K8" i="9"/>
  <c r="J8" i="9"/>
  <c r="I8" i="9"/>
  <c r="H8" i="9"/>
  <c r="G8" i="9"/>
  <c r="E8" i="9"/>
  <c r="D8" i="9"/>
  <c r="J7" i="11"/>
  <c r="O7" i="9"/>
  <c r="N7" i="9"/>
  <c r="M7" i="9"/>
  <c r="L7" i="9"/>
  <c r="K7" i="9"/>
  <c r="J7" i="9"/>
  <c r="I7" i="9"/>
  <c r="H7" i="9"/>
  <c r="G7" i="9"/>
  <c r="E7" i="9"/>
  <c r="D7" i="9"/>
  <c r="J6" i="11"/>
  <c r="O6" i="9"/>
  <c r="N6" i="9"/>
  <c r="M6" i="9"/>
  <c r="L6" i="9"/>
  <c r="K6" i="9"/>
  <c r="J6" i="9"/>
  <c r="I6" i="9"/>
  <c r="H6" i="9"/>
  <c r="G6" i="9"/>
  <c r="E6" i="9"/>
  <c r="D6" i="9"/>
  <c r="J5" i="11"/>
  <c r="O5" i="9"/>
  <c r="N5" i="9"/>
  <c r="M5" i="9"/>
  <c r="L5" i="9"/>
  <c r="K5" i="9"/>
  <c r="J5" i="9"/>
  <c r="I5" i="9"/>
  <c r="H5" i="9"/>
  <c r="G5" i="9"/>
  <c r="E5" i="9"/>
  <c r="D5" i="9"/>
  <c r="J4" i="11"/>
  <c r="O4" i="9"/>
  <c r="N4" i="9"/>
  <c r="M4" i="9"/>
  <c r="L4" i="9"/>
  <c r="K4" i="9"/>
  <c r="J4" i="9"/>
  <c r="I4" i="9"/>
  <c r="H4" i="9"/>
  <c r="G4" i="9"/>
  <c r="E4" i="9"/>
  <c r="D4" i="9"/>
  <c r="J3" i="11"/>
  <c r="O3" i="9"/>
  <c r="N3" i="9"/>
  <c r="M3" i="9"/>
  <c r="L3" i="9"/>
  <c r="K3" i="9"/>
  <c r="J3" i="9"/>
  <c r="I3" i="9"/>
  <c r="H3" i="9"/>
  <c r="G3" i="9"/>
  <c r="E3" i="9"/>
  <c r="D3" i="9"/>
  <c r="J2" i="11"/>
  <c r="O2" i="9"/>
  <c r="N2" i="9"/>
  <c r="M2" i="9"/>
  <c r="L2" i="9"/>
  <c r="K2" i="9"/>
  <c r="J2" i="9"/>
  <c r="I2" i="9"/>
  <c r="H2" i="9"/>
  <c r="G2" i="9"/>
  <c r="E2" i="9"/>
  <c r="D2" i="9"/>
  <c r="Y7" i="7"/>
  <c r="H7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7" i="7"/>
  <c r="I7" i="7"/>
  <c r="Y6" i="7"/>
  <c r="H6" i="7"/>
  <c r="J6" i="7"/>
  <c r="I6" i="7"/>
  <c r="Y5" i="7"/>
  <c r="H5" i="7"/>
  <c r="J5" i="7"/>
  <c r="I5" i="7"/>
  <c r="Y4" i="7"/>
  <c r="H4" i="7"/>
  <c r="J4" i="7"/>
  <c r="I4" i="7"/>
  <c r="Y3" i="7"/>
  <c r="H3" i="7"/>
  <c r="J3" i="7"/>
  <c r="I3" i="7"/>
  <c r="Y2" i="7"/>
  <c r="H2" i="7"/>
  <c r="J2" i="7"/>
  <c r="I2" i="7"/>
  <c r="X15" i="1"/>
  <c r="H15" i="1"/>
  <c r="J15" i="1"/>
  <c r="I15" i="1"/>
  <c r="X14" i="1"/>
  <c r="H14" i="1"/>
  <c r="J14" i="1"/>
  <c r="I14" i="1"/>
  <c r="X13" i="1"/>
  <c r="H13" i="1"/>
  <c r="J13" i="1"/>
  <c r="I13" i="1"/>
  <c r="X12" i="1"/>
  <c r="H12" i="1"/>
  <c r="J12" i="1"/>
  <c r="I12" i="1"/>
  <c r="X11" i="1"/>
  <c r="H11" i="1"/>
  <c r="J11" i="1"/>
  <c r="I11" i="1"/>
  <c r="X10" i="1"/>
  <c r="H10" i="1"/>
  <c r="J10" i="1"/>
  <c r="I10" i="1"/>
  <c r="X9" i="1"/>
  <c r="H9" i="1"/>
  <c r="J9" i="1"/>
  <c r="I9" i="1"/>
  <c r="X8" i="1"/>
  <c r="H8" i="1"/>
  <c r="J8" i="1"/>
  <c r="I8" i="1"/>
  <c r="X7" i="1"/>
  <c r="H7" i="1"/>
  <c r="J7" i="1"/>
  <c r="I7" i="1"/>
  <c r="X6" i="1"/>
  <c r="H6" i="1"/>
  <c r="J6" i="1"/>
  <c r="I6" i="1"/>
  <c r="X5" i="1"/>
  <c r="H5" i="1"/>
  <c r="J5" i="1"/>
  <c r="I5" i="1"/>
  <c r="X4" i="1"/>
  <c r="H4" i="1"/>
  <c r="J4" i="1"/>
  <c r="I4" i="1"/>
  <c r="X3" i="1"/>
  <c r="H3" i="1"/>
  <c r="J3" i="1"/>
  <c r="I3" i="1"/>
  <c r="X2" i="1"/>
  <c r="H2" i="1"/>
  <c r="J2" i="1"/>
  <c r="I2" i="1"/>
  <c r="B9" i="2"/>
  <c r="B8" i="2"/>
  <c r="B7" i="2"/>
  <c r="B6" i="2"/>
  <c r="B5" i="2"/>
  <c r="B4" i="2"/>
  <c r="B3" i="2"/>
  <c r="B2" i="2"/>
  <c r="N3" i="22"/>
  <c r="G3" i="22"/>
  <c r="F3" i="22"/>
  <c r="D3" i="22"/>
  <c r="C3" i="22"/>
  <c r="A3" i="22"/>
  <c r="N2" i="22"/>
  <c r="G2" i="22"/>
  <c r="F2" i="22"/>
  <c r="D2" i="22"/>
  <c r="C2" i="22"/>
  <c r="A2" i="22"/>
  <c r="O27" i="21"/>
  <c r="I27" i="21"/>
  <c r="J27" i="21"/>
  <c r="G27" i="21"/>
  <c r="F27" i="21"/>
  <c r="D27" i="21"/>
  <c r="C27" i="21"/>
  <c r="O26" i="21"/>
  <c r="I26" i="21"/>
  <c r="J26" i="21"/>
  <c r="G26" i="21"/>
  <c r="F26" i="21"/>
  <c r="D26" i="21"/>
  <c r="C26" i="21"/>
  <c r="O25" i="21"/>
  <c r="I25" i="21"/>
  <c r="J25" i="21"/>
  <c r="G25" i="21"/>
  <c r="F25" i="21"/>
  <c r="D25" i="21"/>
  <c r="C25" i="21"/>
  <c r="O24" i="21"/>
  <c r="I24" i="21"/>
  <c r="J24" i="21"/>
  <c r="G24" i="21"/>
  <c r="F24" i="21"/>
  <c r="D24" i="21"/>
  <c r="C24" i="21"/>
  <c r="O23" i="21"/>
  <c r="I23" i="21"/>
  <c r="J23" i="21"/>
  <c r="G23" i="21"/>
  <c r="F23" i="21"/>
  <c r="D23" i="21"/>
  <c r="C23" i="21"/>
  <c r="O22" i="21"/>
  <c r="I22" i="21"/>
  <c r="J22" i="21"/>
  <c r="G22" i="21"/>
  <c r="F22" i="21"/>
  <c r="D22" i="21"/>
  <c r="C22" i="21"/>
  <c r="O21" i="21"/>
  <c r="I21" i="21"/>
  <c r="J21" i="21"/>
  <c r="G21" i="21"/>
  <c r="F21" i="21"/>
  <c r="D21" i="21"/>
  <c r="C21" i="21"/>
  <c r="O20" i="21"/>
  <c r="I20" i="21"/>
  <c r="J20" i="21"/>
  <c r="G20" i="21"/>
  <c r="F20" i="21"/>
  <c r="D20" i="21"/>
  <c r="C20" i="21"/>
  <c r="O19" i="21"/>
  <c r="I19" i="21"/>
  <c r="J19" i="21"/>
  <c r="G19" i="21"/>
  <c r="F19" i="21"/>
  <c r="D19" i="21"/>
  <c r="C19" i="21"/>
  <c r="O18" i="21"/>
  <c r="I18" i="21"/>
  <c r="J18" i="21"/>
  <c r="G18" i="21"/>
  <c r="F18" i="21"/>
  <c r="D18" i="21"/>
  <c r="C18" i="21"/>
  <c r="O17" i="21"/>
  <c r="I17" i="21"/>
  <c r="J17" i="21"/>
  <c r="G17" i="21"/>
  <c r="F17" i="21"/>
  <c r="D17" i="21"/>
  <c r="C17" i="21"/>
  <c r="O16" i="21"/>
  <c r="I16" i="21"/>
  <c r="J16" i="21"/>
  <c r="G16" i="21"/>
  <c r="F16" i="21"/>
  <c r="D16" i="21"/>
  <c r="C16" i="21"/>
  <c r="O15" i="21"/>
  <c r="I15" i="21"/>
  <c r="J15" i="21"/>
  <c r="G15" i="21"/>
  <c r="F15" i="21"/>
  <c r="D15" i="21"/>
  <c r="C15" i="21"/>
  <c r="O14" i="21"/>
  <c r="I14" i="21"/>
  <c r="J14" i="21"/>
  <c r="G14" i="21"/>
  <c r="F14" i="21"/>
  <c r="D14" i="21"/>
  <c r="C14" i="21"/>
  <c r="O13" i="21"/>
  <c r="I13" i="21"/>
  <c r="J13" i="21"/>
  <c r="G13" i="21"/>
  <c r="F13" i="21"/>
  <c r="D13" i="21"/>
  <c r="C13" i="21"/>
  <c r="O12" i="21"/>
  <c r="I12" i="21"/>
  <c r="J12" i="21"/>
  <c r="G12" i="21"/>
  <c r="F12" i="21"/>
  <c r="D12" i="21"/>
  <c r="C12" i="21"/>
  <c r="O11" i="21"/>
  <c r="I11" i="21"/>
  <c r="J11" i="21"/>
  <c r="G11" i="21"/>
  <c r="F11" i="21"/>
  <c r="D11" i="21"/>
  <c r="C11" i="21"/>
  <c r="O10" i="21"/>
  <c r="I10" i="21"/>
  <c r="J10" i="21"/>
  <c r="G10" i="21"/>
  <c r="F10" i="21"/>
  <c r="D10" i="21"/>
  <c r="C10" i="21"/>
  <c r="O9" i="21"/>
  <c r="I9" i="21"/>
  <c r="J9" i="21"/>
  <c r="G9" i="21"/>
  <c r="F9" i="21"/>
  <c r="D9" i="21"/>
  <c r="C9" i="21"/>
  <c r="O8" i="21"/>
  <c r="I8" i="21"/>
  <c r="J8" i="21"/>
  <c r="G8" i="21"/>
  <c r="F8" i="21"/>
  <c r="D8" i="21"/>
  <c r="C8" i="21"/>
  <c r="O7" i="21"/>
  <c r="I7" i="21"/>
  <c r="J7" i="21"/>
  <c r="G7" i="21"/>
  <c r="F7" i="21"/>
  <c r="D7" i="21"/>
  <c r="C7" i="21"/>
  <c r="O6" i="21"/>
  <c r="I6" i="21"/>
  <c r="J6" i="21"/>
  <c r="G6" i="21"/>
  <c r="F6" i="21"/>
  <c r="D6" i="21"/>
  <c r="C6" i="21"/>
  <c r="O5" i="21"/>
  <c r="I5" i="21"/>
  <c r="J5" i="21"/>
  <c r="G5" i="21"/>
  <c r="F5" i="21"/>
  <c r="D5" i="21"/>
  <c r="C5" i="21"/>
  <c r="O4" i="21"/>
  <c r="I4" i="21"/>
  <c r="J4" i="21"/>
  <c r="G4" i="21"/>
  <c r="F4" i="21"/>
  <c r="D4" i="21"/>
  <c r="C4" i="21"/>
  <c r="O3" i="21"/>
  <c r="I3" i="21"/>
  <c r="J3" i="21"/>
  <c r="G3" i="21"/>
  <c r="F3" i="21"/>
  <c r="D3" i="21"/>
  <c r="C3" i="21"/>
  <c r="O2" i="21"/>
  <c r="I2" i="21"/>
  <c r="J2" i="21"/>
  <c r="G2" i="21"/>
  <c r="F2" i="21"/>
  <c r="D2" i="21"/>
  <c r="C2" i="21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R7" i="7"/>
  <c r="Q7" i="7"/>
  <c r="P7" i="7"/>
  <c r="O7" i="7"/>
  <c r="N7" i="7"/>
  <c r="D7" i="7"/>
  <c r="F7" i="7"/>
  <c r="E7" i="7"/>
  <c r="A7" i="7"/>
  <c r="R6" i="7"/>
  <c r="Q6" i="7"/>
  <c r="P6" i="7"/>
  <c r="O6" i="7"/>
  <c r="N6" i="7"/>
  <c r="D6" i="7"/>
  <c r="F6" i="7"/>
  <c r="E6" i="7"/>
  <c r="A6" i="7"/>
  <c r="R5" i="7"/>
  <c r="Q5" i="7"/>
  <c r="P5" i="7"/>
  <c r="O5" i="7"/>
  <c r="N5" i="7"/>
  <c r="D5" i="7"/>
  <c r="F5" i="7"/>
  <c r="E5" i="7"/>
  <c r="A5" i="7"/>
  <c r="R4" i="7"/>
  <c r="Q4" i="7"/>
  <c r="P4" i="7"/>
  <c r="O4" i="7"/>
  <c r="N4" i="7"/>
  <c r="D4" i="7"/>
  <c r="F4" i="7"/>
  <c r="E4" i="7"/>
  <c r="A4" i="7"/>
  <c r="R3" i="7"/>
  <c r="Q3" i="7"/>
  <c r="P3" i="7"/>
  <c r="O3" i="7"/>
  <c r="N3" i="7"/>
  <c r="D3" i="7"/>
  <c r="F3" i="7"/>
  <c r="E3" i="7"/>
  <c r="A3" i="7"/>
  <c r="R2" i="7"/>
  <c r="Q2" i="7"/>
  <c r="P2" i="7"/>
  <c r="O2" i="7"/>
  <c r="N2" i="7"/>
  <c r="D2" i="7"/>
  <c r="F2" i="7"/>
  <c r="E2" i="7"/>
  <c r="A2" i="7"/>
  <c r="AF15" i="1"/>
  <c r="AI15" i="1"/>
  <c r="AG15" i="1"/>
  <c r="AE15" i="1"/>
  <c r="Q15" i="1"/>
  <c r="P15" i="1"/>
  <c r="O15" i="1"/>
  <c r="N15" i="1"/>
  <c r="M15" i="1"/>
  <c r="D15" i="1"/>
  <c r="F15" i="1"/>
  <c r="E15" i="1"/>
  <c r="A15" i="1"/>
  <c r="AF14" i="1"/>
  <c r="AI14" i="1"/>
  <c r="AG14" i="1"/>
  <c r="AE14" i="1"/>
  <c r="Q14" i="1"/>
  <c r="P14" i="1"/>
  <c r="O14" i="1"/>
  <c r="N14" i="1"/>
  <c r="M14" i="1"/>
  <c r="D14" i="1"/>
  <c r="F14" i="1"/>
  <c r="E14" i="1"/>
  <c r="A14" i="1"/>
  <c r="AF13" i="1"/>
  <c r="AI13" i="1"/>
  <c r="AG13" i="1"/>
  <c r="AE13" i="1"/>
  <c r="Q13" i="1"/>
  <c r="P13" i="1"/>
  <c r="O13" i="1"/>
  <c r="N13" i="1"/>
  <c r="M13" i="1"/>
  <c r="D13" i="1"/>
  <c r="F13" i="1"/>
  <c r="E13" i="1"/>
  <c r="A13" i="1"/>
  <c r="AF12" i="1"/>
  <c r="AI12" i="1"/>
  <c r="AG12" i="1"/>
  <c r="AE12" i="1"/>
  <c r="Q12" i="1"/>
  <c r="P12" i="1"/>
  <c r="O12" i="1"/>
  <c r="N12" i="1"/>
  <c r="M12" i="1"/>
  <c r="D12" i="1"/>
  <c r="F12" i="1"/>
  <c r="E12" i="1"/>
  <c r="A12" i="1"/>
  <c r="AF11" i="1"/>
  <c r="AI11" i="1"/>
  <c r="AG11" i="1"/>
  <c r="AE11" i="1"/>
  <c r="Q11" i="1"/>
  <c r="P11" i="1"/>
  <c r="O11" i="1"/>
  <c r="N11" i="1"/>
  <c r="M11" i="1"/>
  <c r="D11" i="1"/>
  <c r="F11" i="1"/>
  <c r="E11" i="1"/>
  <c r="A11" i="1"/>
  <c r="AF10" i="1"/>
  <c r="AI10" i="1"/>
  <c r="AG10" i="1"/>
  <c r="AE10" i="1"/>
  <c r="Q10" i="1"/>
  <c r="P10" i="1"/>
  <c r="O10" i="1"/>
  <c r="N10" i="1"/>
  <c r="M10" i="1"/>
  <c r="D10" i="1"/>
  <c r="F10" i="1"/>
  <c r="E10" i="1"/>
  <c r="A10" i="1"/>
  <c r="AF9" i="1"/>
  <c r="AI9" i="1"/>
  <c r="AG9" i="1"/>
  <c r="AE9" i="1"/>
  <c r="Q9" i="1"/>
  <c r="P9" i="1"/>
  <c r="O9" i="1"/>
  <c r="N9" i="1"/>
  <c r="M9" i="1"/>
  <c r="D9" i="1"/>
  <c r="F9" i="1"/>
  <c r="E9" i="1"/>
  <c r="A9" i="1"/>
  <c r="AF8" i="1"/>
  <c r="AI8" i="1"/>
  <c r="AG8" i="1"/>
  <c r="AE8" i="1"/>
  <c r="Q8" i="1"/>
  <c r="P8" i="1"/>
  <c r="O8" i="1"/>
  <c r="N8" i="1"/>
  <c r="M8" i="1"/>
  <c r="D8" i="1"/>
  <c r="F8" i="1"/>
  <c r="E8" i="1"/>
  <c r="A8" i="1"/>
  <c r="AF7" i="1"/>
  <c r="AI7" i="1"/>
  <c r="AG7" i="1"/>
  <c r="AE7" i="1"/>
  <c r="Q7" i="1"/>
  <c r="P7" i="1"/>
  <c r="O7" i="1"/>
  <c r="N7" i="1"/>
  <c r="M7" i="1"/>
  <c r="D7" i="1"/>
  <c r="F7" i="1"/>
  <c r="E7" i="1"/>
  <c r="A7" i="1"/>
  <c r="AF6" i="1"/>
  <c r="AI6" i="1"/>
  <c r="AG6" i="1"/>
  <c r="AE6" i="1"/>
  <c r="Q6" i="1"/>
  <c r="P6" i="1"/>
  <c r="O6" i="1"/>
  <c r="N6" i="1"/>
  <c r="M6" i="1"/>
  <c r="D6" i="1"/>
  <c r="F6" i="1"/>
  <c r="E6" i="1"/>
  <c r="A6" i="1"/>
  <c r="AF5" i="1"/>
  <c r="AI5" i="1"/>
  <c r="AG5" i="1"/>
  <c r="AE5" i="1"/>
  <c r="Q5" i="1"/>
  <c r="P5" i="1"/>
  <c r="O5" i="1"/>
  <c r="N5" i="1"/>
  <c r="M5" i="1"/>
  <c r="D5" i="1"/>
  <c r="F5" i="1"/>
  <c r="E5" i="1"/>
  <c r="A5" i="1"/>
  <c r="AF4" i="1"/>
  <c r="AI4" i="1"/>
  <c r="AG4" i="1"/>
  <c r="AE4" i="1"/>
  <c r="Q4" i="1"/>
  <c r="P4" i="1"/>
  <c r="O4" i="1"/>
  <c r="N4" i="1"/>
  <c r="M4" i="1"/>
  <c r="D4" i="1"/>
  <c r="F4" i="1"/>
  <c r="E4" i="1"/>
  <c r="A4" i="1"/>
  <c r="AF3" i="1"/>
  <c r="AI3" i="1"/>
  <c r="AG3" i="1"/>
  <c r="AE3" i="1"/>
  <c r="Q3" i="1"/>
  <c r="P3" i="1"/>
  <c r="O3" i="1"/>
  <c r="N3" i="1"/>
  <c r="M3" i="1"/>
  <c r="D3" i="1"/>
  <c r="F3" i="1"/>
  <c r="E3" i="1"/>
  <c r="A3" i="1"/>
  <c r="AF2" i="1"/>
  <c r="AI2" i="1"/>
  <c r="AG2" i="1"/>
  <c r="AE2" i="1"/>
  <c r="Q2" i="1"/>
  <c r="P2" i="1"/>
  <c r="O2" i="1"/>
  <c r="N2" i="1"/>
  <c r="M2" i="1"/>
  <c r="D2" i="1"/>
  <c r="F2" i="1"/>
  <c r="E2" i="1"/>
  <c r="A2" i="1"/>
  <c r="H9" i="2"/>
  <c r="E9" i="2"/>
  <c r="D9" i="2"/>
  <c r="H8" i="2"/>
  <c r="E8" i="2"/>
  <c r="D8" i="2"/>
  <c r="H7" i="2"/>
  <c r="E7" i="2"/>
  <c r="D7" i="2"/>
  <c r="H6" i="2"/>
  <c r="E6" i="2"/>
  <c r="D6" i="2"/>
  <c r="H5" i="2"/>
  <c r="E5" i="2"/>
  <c r="D5" i="2"/>
  <c r="H4" i="2"/>
  <c r="E4" i="2"/>
  <c r="D4" i="2"/>
  <c r="H3" i="2"/>
  <c r="E3" i="2"/>
  <c r="D3" i="2"/>
  <c r="H2" i="2"/>
  <c r="E2" i="2"/>
  <c r="D2" i="2"/>
  <c r="E13" i="16"/>
  <c r="E12" i="16"/>
  <c r="E11" i="16"/>
  <c r="E10" i="16"/>
  <c r="E9" i="16"/>
  <c r="E8" i="16"/>
  <c r="E7" i="16"/>
  <c r="E6" i="16"/>
  <c r="E5" i="16"/>
  <c r="E4" i="16"/>
  <c r="E3" i="16"/>
  <c r="E2" i="16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<sst xmlns="http://schemas.openxmlformats.org/spreadsheetml/2006/main" count="1944" uniqueCount="519">
  <si>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</si>
  <si>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</si>
  <si>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</si>
  <si>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</si>
  <si>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</si>
  <si>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</si>
  <si>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</si>
  <si>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</si>
  <si>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</si>
  <si>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</si>
  <si>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</si>
  <si>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</si>
  <si>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</si>
  <si>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</si>
  <si>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</si>
  <si>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</si>
  <si>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</si>
  <si>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</si>
  <si>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skill_set_id</t>
  </si>
  <si>
    <t>位置付け</t>
    <rPh sb="0" eb="3">
      <t>イチヅ</t>
    </rPh>
    <phoneticPr fontId="5"/>
  </si>
  <si>
    <t>hp_plus</t>
  </si>
  <si>
    <t>attack_plus</t>
  </si>
  <si>
    <t>defense_plus</t>
  </si>
  <si>
    <t>heal_plus</t>
  </si>
  <si>
    <t>bug</t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</si>
  <si>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</si>
  <si>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</si>
  <si>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</si>
  <si>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</si>
  <si>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</si>
  <si>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</si>
  <si>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</si>
  <si>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</si>
  <si>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</si>
  <si>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</si>
  <si>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</si>
  <si>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</si>
  <si>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comment</t>
    <phoneticPr fontId="7"/>
  </si>
  <si>
    <t>priority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</si>
  <si>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</si>
  <si>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</si>
  <si>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</si>
  <si>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</si>
  <si>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</si>
  <si>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</si>
  <si>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first_time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</si>
  <si>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</si>
  <si>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</si>
  <si>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</si>
  <si>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</si>
  <si>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</si>
  <si>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</si>
  <si>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</si>
  <si>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</si>
  <si>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</si>
  <si>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</si>
  <si>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</si>
  <si>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</si>
  <si>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</si>
  <si>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</si>
  <si>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</si>
  <si>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</si>
  <si>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</si>
  <si>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</si>
  <si>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</si>
  <si>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</si>
  <si>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</si>
  <si>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</si>
  <si>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</si>
  <si>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</si>
  <si>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</si>
  <si>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</si>
  <si>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</si>
  <si>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</si>
  <si>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</si>
  <si>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</si>
  <si>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</si>
  <si>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</si>
  <si>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</si>
  <si>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</si>
  <si>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</si>
  <si>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</si>
  <si>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</si>
  <si>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</si>
  <si>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</si>
  <si>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</si>
  <si>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</si>
  <si>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</si>
  <si>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</si>
  <si>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</si>
  <si>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</si>
  <si>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</si>
  <si>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</si>
  <si>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</si>
  <si>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</si>
  <si>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</si>
  <si>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</si>
  <si>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</si>
  <si>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</si>
  <si>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</si>
  <si>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</si>
  <si>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</si>
  <si>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</si>
  <si>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</si>
  <si>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</si>
  <si>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</si>
  <si>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</si>
  <si>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</si>
  <si>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</si>
  <si>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</si>
  <si>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</si>
  <si>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</si>
  <si>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</si>
  <si>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</si>
  <si>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</si>
  <si>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</si>
  <si>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</si>
  <si>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</si>
  <si>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</si>
  <si>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</si>
  <si>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</si>
  <si>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</si>
  <si>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</si>
  <si>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</si>
  <si>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</si>
  <si>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</si>
  <si>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</si>
  <si>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</si>
  <si>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</si>
  <si>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</si>
  <si>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</si>
  <si>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</si>
  <si>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</si>
  <si>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</si>
  <si>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</si>
  <si>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</si>
  <si>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</si>
  <si>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</si>
  <si>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</si>
  <si>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</si>
  <si>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title</t>
    <phoneticPr fontId="5"/>
  </si>
  <si>
    <t>filename</t>
    <phoneticPr fontId="5"/>
  </si>
  <si>
    <t>failure</t>
  </si>
  <si>
    <t>ja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</si>
  <si>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</si>
  <si>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</si>
  <si>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</si>
  <si>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</si>
  <si>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</si>
  <si>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</si>
  <si>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</si>
  <si>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</si>
  <si>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</si>
  <si>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</si>
  <si>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</si>
  <si>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</si>
  <si>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</si>
  <si>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</si>
  <si>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</si>
  <si>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</si>
  <si>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</si>
  <si>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</si>
  <si>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</si>
  <si>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</si>
  <si>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</si>
  <si>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</si>
  <si>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</si>
  <si>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</si>
  <si>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</si>
  <si>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</si>
  <si>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</si>
  <si>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</si>
  <si>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</si>
  <si>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</si>
  <si>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</si>
  <si>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</si>
  <si>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</si>
  <si>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</si>
  <si>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</si>
  <si>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</si>
  <si>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</si>
  <si>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</si>
  <si>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</si>
  <si>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</si>
  <si>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</si>
  <si>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temp_floor</t>
    <phoneticPr fontId="5"/>
  </si>
  <si>
    <t>status</t>
    <phoneticPr fontId="5"/>
  </si>
  <si>
    <t>temp_stage</t>
    <phoneticPr fontId="5"/>
  </si>
  <si>
    <t>temp_habitats</t>
    <phoneticPr fontId="5"/>
  </si>
  <si>
    <t>seq_no</t>
    <phoneticPr fontId="5"/>
  </si>
  <si>
    <t>color</t>
    <phoneticPr fontId="5"/>
  </si>
  <si>
    <t>drop_label</t>
    <phoneticPr fontId="5"/>
  </si>
  <si>
    <t>character_main_tribe_id</t>
    <phoneticPr fontId="5"/>
  </si>
  <si>
    <t>size</t>
    <phoneticPr fontId="5"/>
  </si>
  <si>
    <t>hp_coefficient</t>
    <phoneticPr fontId="5"/>
  </si>
  <si>
    <t>attack_coefficient</t>
    <phoneticPr fontId="5"/>
  </si>
  <si>
    <t>defense_correction</t>
    <phoneticPr fontId="5"/>
  </si>
  <si>
    <t>drop_label</t>
    <phoneticPr fontId="7"/>
  </si>
  <si>
    <t>state_no</t>
    <phoneticPr fontId="5"/>
  </si>
  <si>
    <t>effect_param</t>
    <phoneticPr fontId="5"/>
  </si>
  <si>
    <t>name</t>
    <phoneticPr fontId="7"/>
  </si>
  <si>
    <t>1フロア:ヒロ:雷の舞</t>
    <rPh sb="8" eb="9">
      <t>イカズチ</t>
    </rPh>
    <rPh sb="10" eb="11">
      <t>マイ</t>
    </rPh>
    <phoneticPr fontId="5"/>
  </si>
  <si>
    <t>クリティカル！</t>
    <phoneticPr fontId="5"/>
  </si>
  <si>
    <t>全体攻撃</t>
    <rPh sb="0" eb="4">
      <t>ゼンタイコウゲキ</t>
    </rPh>
    <phoneticPr fontId="5"/>
  </si>
  <si>
    <t>1フロア:サンダーバード:スパーク</t>
    <phoneticPr fontId="5"/>
  </si>
  <si>
    <t>開幕:アマラ1:毒の短刀</t>
    <rPh sb="0" eb="2">
      <t>カイマク</t>
    </rPh>
    <rPh sb="8" eb="9">
      <t>ドクノタントウ</t>
    </rPh>
    <phoneticPr fontId="5"/>
  </si>
  <si>
    <t>4ターンウィルス</t>
    <phoneticPr fontId="5"/>
  </si>
  <si>
    <t>HP30%以下:アマラ1:咆吼</t>
    <rPh sb="5" eb="7">
      <t>イカ</t>
    </rPh>
    <rPh sb="13" eb="15">
      <t>ホウコウ</t>
    </rPh>
    <phoneticPr fontId="5"/>
  </si>
  <si>
    <t>3ターン全体の回復力30％DOWN</t>
    <rPh sb="4" eb="6">
      <t>ゼンタイノ</t>
    </rPh>
    <rPh sb="7" eb="10">
      <t>カイフクリョク</t>
    </rPh>
    <phoneticPr fontId="5"/>
  </si>
  <si>
    <t>攻撃力UP</t>
    <rPh sb="0" eb="3">
      <t>コウゲキリョク</t>
    </rPh>
    <phoneticPr fontId="5"/>
  </si>
  <si>
    <t>開幕:アマラ2:野生の本能</t>
    <rPh sb="0" eb="2">
      <t>カイマク</t>
    </rPh>
    <phoneticPr fontId="5"/>
  </si>
  <si>
    <t>HP50%以下:アマラ2:大咆吼</t>
    <rPh sb="5" eb="7">
      <t>イカ</t>
    </rPh>
    <rPh sb="13" eb="14">
      <t>オオキイ</t>
    </rPh>
    <phoneticPr fontId="5"/>
  </si>
  <si>
    <t>3ターン全体の回復力50％DOWN</t>
    <rPh sb="4" eb="6">
      <t>ゼンタイノ</t>
    </rPh>
    <rPh sb="7" eb="10">
      <t>カイフクリョク</t>
    </rPh>
    <phoneticPr fontId="5"/>
  </si>
  <si>
    <t>HP30%以下:アマラ2:猛毒の短刀</t>
    <rPh sb="5" eb="7">
      <t>イカ</t>
    </rPh>
    <rPh sb="13" eb="15">
      <t>モウドク</t>
    </rPh>
    <phoneticPr fontId="5"/>
  </si>
  <si>
    <t>開幕:ハヌマーン:猿王迅瞬堅毛の術</t>
    <rPh sb="0" eb="2">
      <t>カイマク</t>
    </rPh>
    <rPh sb="13" eb="14">
      <t>ケンコ</t>
    </rPh>
    <rPh sb="14" eb="15">
      <t>モウ</t>
    </rPh>
    <phoneticPr fontId="5"/>
  </si>
  <si>
    <t>4ターン赤パネル吸収して防御力UP</t>
    <rPh sb="4" eb="5">
      <t>アカ</t>
    </rPh>
    <rPh sb="12" eb="14">
      <t>ボウギョ</t>
    </rPh>
    <phoneticPr fontId="5"/>
  </si>
  <si>
    <t>ランダムでお邪魔パネルに2個変換</t>
    <rPh sb="13" eb="14">
      <t>コ</t>
    </rPh>
    <rPh sb="14" eb="16">
      <t>ヘンカン</t>
    </rPh>
    <phoneticPr fontId="5"/>
  </si>
  <si>
    <t>HP50%まで：ハヌマーン:五行封印 臨</t>
    <rPh sb="14" eb="18">
      <t>ゴギョウフウイン</t>
    </rPh>
    <rPh sb="19" eb="20">
      <t>リン</t>
    </rPh>
    <phoneticPr fontId="5"/>
  </si>
  <si>
    <t>ランダムでお邪魔パネルに3個変換</t>
    <rPh sb="13" eb="14">
      <t>コ</t>
    </rPh>
    <rPh sb="14" eb="16">
      <t>ヘンカン</t>
    </rPh>
    <phoneticPr fontId="5"/>
  </si>
  <si>
    <t>HP50%まで：ハヌマーン:五行封印 兵</t>
    <rPh sb="19" eb="20">
      <t>ヘイシ</t>
    </rPh>
    <phoneticPr fontId="5"/>
  </si>
  <si>
    <t>HP50%まで：ハヌマーン:猿王迅瞬分身の術</t>
    <rPh sb="18" eb="20">
      <t>ブンシン</t>
    </rPh>
    <phoneticPr fontId="5"/>
  </si>
  <si>
    <t>お邪魔パネルを吸収してダメージ</t>
    <rPh sb="7" eb="9">
      <t>キュウシュウ</t>
    </rPh>
    <phoneticPr fontId="5"/>
  </si>
  <si>
    <t>HP50%以下：ハヌマーン:五行封印 兵</t>
    <rPh sb="5" eb="7">
      <t>イカ</t>
    </rPh>
    <phoneticPr fontId="5"/>
  </si>
  <si>
    <t>ランダムでお邪魔パネルに4個変換</t>
    <rPh sb="13" eb="14">
      <t>コ</t>
    </rPh>
    <rPh sb="14" eb="16">
      <t>ヘンカン</t>
    </rPh>
    <phoneticPr fontId="5"/>
  </si>
  <si>
    <t>HP50%以下：ハヌマーン:五行封印 闘</t>
    <rPh sb="5" eb="7">
      <t>イカ</t>
    </rPh>
    <rPh sb="19" eb="20">
      <t>トウソウ</t>
    </rPh>
    <phoneticPr fontId="5"/>
  </si>
  <si>
    <t>HP50%以下：ハヌマーン:猿王迅瞬分身の術</t>
    <rPh sb="5" eb="7">
      <t>イカ</t>
    </rPh>
    <rPh sb="18" eb="20">
      <t>ブンシン</t>
    </rPh>
    <phoneticPr fontId="5"/>
  </si>
  <si>
    <t>ゴクウ:如意棒</t>
    <rPh sb="4" eb="7">
      <t>ニョイボウ</t>
    </rPh>
    <phoneticPr fontId="5"/>
  </si>
  <si>
    <t>ゴクウ:HP30%以下:金斗雲</t>
    <rPh sb="9" eb="11">
      <t>イカ</t>
    </rPh>
    <phoneticPr fontId="5"/>
  </si>
  <si>
    <t>単体の攻撃頻度UP</t>
    <rPh sb="0" eb="2">
      <t>タンタイ</t>
    </rPh>
    <rPh sb="3" eb="5">
      <t>コウゲキ</t>
    </rPh>
    <rPh sb="5" eb="7">
      <t>ヒンド</t>
    </rPh>
    <phoneticPr fontId="5"/>
  </si>
  <si>
    <t>開幕:ナーガ1:セリフ:通常時</t>
    <rPh sb="0" eb="2">
      <t>カイマク</t>
    </rPh>
    <phoneticPr fontId="5"/>
  </si>
  <si>
    <t>ランダムでお邪魔パネルに5個変換+
4ターンウィルス</t>
    <rPh sb="13" eb="14">
      <t>コ</t>
    </rPh>
    <rPh sb="14" eb="16">
      <t>ヘンカン</t>
    </rPh>
    <phoneticPr fontId="5"/>
  </si>
  <si>
    <t>開幕:ナーガ1:セリフ:5001</t>
    <rPh sb="0" eb="2">
      <t>カイマク</t>
    </rPh>
    <phoneticPr fontId="5"/>
  </si>
  <si>
    <t>開幕:ナーガ1:セリフ:5002</t>
    <rPh sb="0" eb="2">
      <t>カイマク</t>
    </rPh>
    <phoneticPr fontId="5"/>
  </si>
  <si>
    <t>2ターンお邪魔パネルを吸収して
攻撃力特大UP+
攻撃頻度UP</t>
    <rPh sb="11" eb="13">
      <t>キュウシュウ</t>
    </rPh>
    <rPh sb="16" eb="18">
      <t>コウゲキ</t>
    </rPh>
    <rPh sb="18" eb="19">
      <t>ボウギョリョク</t>
    </rPh>
    <rPh sb="19" eb="21">
      <t>トクダイ</t>
    </rPh>
    <rPh sb="25" eb="29">
      <t>コウゲキヒンド</t>
    </rPh>
    <phoneticPr fontId="5"/>
  </si>
  <si>
    <t>次ターン:ナーガ1</t>
    <rPh sb="0" eb="1">
      <t>ジターン</t>
    </rPh>
    <phoneticPr fontId="5"/>
  </si>
  <si>
    <t>種族ヒューマンのユニットに大ダメージの全体攻撃</t>
    <rPh sb="0" eb="2">
      <t>シュゾク</t>
    </rPh>
    <rPh sb="13" eb="14">
      <t>ダイダメージ</t>
    </rPh>
    <rPh sb="19" eb="23">
      <t>ゼンタイコウゲキ</t>
    </rPh>
    <phoneticPr fontId="5"/>
  </si>
  <si>
    <t>HP50%まで:ナーガ1:神気を帯びし波動</t>
    <rPh sb="13" eb="15">
      <t>シンキ</t>
    </rPh>
    <rPh sb="16" eb="17">
      <t>オビシ</t>
    </rPh>
    <rPh sb="19" eb="21">
      <t>ハドウ</t>
    </rPh>
    <phoneticPr fontId="5"/>
  </si>
  <si>
    <t>HP50%以下1回:ナーガ1:出血毒</t>
    <rPh sb="5" eb="7">
      <t>イカ</t>
    </rPh>
    <rPh sb="8" eb="9">
      <t>カイ</t>
    </rPh>
    <rPh sb="15" eb="17">
      <t>シュッケツ</t>
    </rPh>
    <rPh sb="17" eb="18">
      <t>シンケイドク</t>
    </rPh>
    <phoneticPr fontId="5"/>
  </si>
  <si>
    <t>4ターン全体の回復力50％DOWN</t>
    <rPh sb="4" eb="6">
      <t>ゼンタイノ</t>
    </rPh>
    <rPh sb="7" eb="10">
      <t>カイフクリョク</t>
    </rPh>
    <phoneticPr fontId="5"/>
  </si>
  <si>
    <t>HP50%以下:ナーガ1:神気を帯びし波動</t>
    <rPh sb="5" eb="7">
      <t>イカ</t>
    </rPh>
    <phoneticPr fontId="5"/>
  </si>
  <si>
    <t>ランダムでお邪魔パネルに3個変換+
単体攻撃</t>
    <rPh sb="13" eb="14">
      <t>コ</t>
    </rPh>
    <rPh sb="14" eb="16">
      <t>ヘンカン</t>
    </rPh>
    <rPh sb="18" eb="22">
      <t>タンタイコウゲキ</t>
    </rPh>
    <phoneticPr fontId="5"/>
  </si>
  <si>
    <t>開幕:ナーガ2</t>
    <rPh sb="0" eb="2">
      <t>カイマク</t>
    </rPh>
    <phoneticPr fontId="5"/>
  </si>
  <si>
    <t>ランダムでお邪魔パネルに2個変換+
単体攻撃</t>
    <rPh sb="13" eb="14">
      <t>コ</t>
    </rPh>
    <rPh sb="14" eb="16">
      <t>ヘンカン</t>
    </rPh>
    <rPh sb="18" eb="22">
      <t>タンタイコウゲキ</t>
    </rPh>
    <phoneticPr fontId="5"/>
  </si>
  <si>
    <t>HP50%まで:ナーガ2</t>
    <phoneticPr fontId="5"/>
  </si>
  <si>
    <t>ランダムでお邪魔パネルに3個変換+
2回連続攻撃</t>
    <rPh sb="13" eb="14">
      <t>コ</t>
    </rPh>
    <rPh sb="14" eb="16">
      <t>ヘンカン</t>
    </rPh>
    <rPh sb="19" eb="20">
      <t>カイ</t>
    </rPh>
    <rPh sb="20" eb="24">
      <t>レンゾクコウゲキ</t>
    </rPh>
    <phoneticPr fontId="5"/>
  </si>
  <si>
    <t>4回連続攻撃</t>
    <rPh sb="1" eb="2">
      <t>カイ</t>
    </rPh>
    <rPh sb="2" eb="6">
      <t>レンゾクコウゲキ</t>
    </rPh>
    <phoneticPr fontId="5"/>
  </si>
  <si>
    <t>HP50%まで:ナーガ2:多頭咬み</t>
    <rPh sb="13" eb="15">
      <t>tatou</t>
    </rPh>
    <rPh sb="15" eb="16">
      <t>カミツキ</t>
    </rPh>
    <phoneticPr fontId="5"/>
  </si>
  <si>
    <t>ランダムでお邪魔パネルに5個変換</t>
    <rPh sb="13" eb="14">
      <t>コ</t>
    </rPh>
    <rPh sb="14" eb="16">
      <t>ヘンカン</t>
    </rPh>
    <phoneticPr fontId="5"/>
  </si>
  <si>
    <t>HP50%以下1回:ナーガ2</t>
    <rPh sb="5" eb="7">
      <t>イカ</t>
    </rPh>
    <rPh sb="8" eb="9">
      <t>カイ</t>
    </rPh>
    <phoneticPr fontId="5"/>
  </si>
  <si>
    <t>HP50%以下:ナーガ2</t>
    <rPh sb="5" eb="7">
      <t>イカ</t>
    </rPh>
    <phoneticPr fontId="5"/>
  </si>
  <si>
    <t>HP50%以下:ナーガ2:多頭咬み</t>
    <rPh sb="5" eb="7">
      <t>イカ</t>
    </rPh>
    <phoneticPr fontId="5"/>
  </si>
  <si>
    <t>お邪魔パネルを吸収して回復</t>
    <rPh sb="7" eb="9">
      <t>キュウシュウ</t>
    </rPh>
    <rPh sb="11" eb="13">
      <t>カイフク</t>
    </rPh>
    <phoneticPr fontId="5"/>
  </si>
  <si>
    <t>開幕:ナーガ3:通常時</t>
    <rPh sb="0" eb="2">
      <t>カイマク</t>
    </rPh>
    <rPh sb="8" eb="11">
      <t>ツウジョウジ</t>
    </rPh>
    <phoneticPr fontId="5"/>
  </si>
  <si>
    <t>ランダムでお邪魔パネルに5個変換+
3ターン攻撃頻度UP</t>
    <rPh sb="22" eb="26">
      <t>コウゲキヒンド</t>
    </rPh>
    <phoneticPr fontId="5"/>
  </si>
  <si>
    <t>開幕:ナーガ3:5001</t>
    <rPh sb="0" eb="2">
      <t>カイマク</t>
    </rPh>
    <phoneticPr fontId="5"/>
  </si>
  <si>
    <t>開幕:ナーガ3:5002</t>
    <rPh sb="0" eb="2">
      <t>カイマク</t>
    </rPh>
    <phoneticPr fontId="5"/>
  </si>
  <si>
    <t>ランダムでお邪魔パネルに3個変換+
全体攻撃</t>
    <rPh sb="18" eb="20">
      <t>ゼンタイ</t>
    </rPh>
    <rPh sb="20" eb="22">
      <t>コウゲキヒンド</t>
    </rPh>
    <phoneticPr fontId="5"/>
  </si>
  <si>
    <t>HP50%まで:ナーガ3</t>
    <phoneticPr fontId="5"/>
  </si>
  <si>
    <t>2ターンウィルス</t>
    <phoneticPr fontId="5"/>
  </si>
  <si>
    <t>HP75%以下1回:ナーガ3:神経毒</t>
    <rPh sb="5" eb="7">
      <t>イカ</t>
    </rPh>
    <rPh sb="8" eb="9">
      <t>カイイ</t>
    </rPh>
    <rPh sb="15" eb="18">
      <t>シンケイドク</t>
    </rPh>
    <phoneticPr fontId="5"/>
  </si>
  <si>
    <t>解除するまで全体の回復力90%DOWN</t>
    <rPh sb="0" eb="2">
      <t>カイジョスル</t>
    </rPh>
    <rPh sb="6" eb="8">
      <t>ゼンタイノ</t>
    </rPh>
    <rPh sb="9" eb="12">
      <t>カイフクリョク</t>
    </rPh>
    <phoneticPr fontId="5"/>
  </si>
  <si>
    <t>ランダムでお邪魔パネルに4個変換+
4回連続攻撃</t>
    <rPh sb="19" eb="20">
      <t>カイ</t>
    </rPh>
    <rPh sb="20" eb="22">
      <t>レンゾク</t>
    </rPh>
    <rPh sb="22" eb="24">
      <t>コウゲキヒンド</t>
    </rPh>
    <phoneticPr fontId="5"/>
  </si>
  <si>
    <t>HP50%以下:ナーガ3</t>
    <rPh sb="5" eb="7">
      <t>イカ</t>
    </rPh>
    <phoneticPr fontId="5"/>
  </si>
  <si>
    <t>お邪魔パネルを吸収して全体攻撃</t>
    <rPh sb="7" eb="9">
      <t>キュウシュウ</t>
    </rPh>
    <rPh sb="11" eb="13">
      <t>ゼンタイ</t>
    </rPh>
    <rPh sb="13" eb="15">
      <t>コウゲキ</t>
    </rPh>
    <phoneticPr fontId="5"/>
  </si>
  <si>
    <t>HP50%以下1回:ナーガ3</t>
    <rPh sb="5" eb="7">
      <t>イカ</t>
    </rPh>
    <rPh sb="8" eb="9">
      <t>カイ</t>
    </rPh>
    <phoneticPr fontId="5"/>
  </si>
  <si>
    <t>ランダムでお邪魔パネルに5個変換+
4ターンウィルス</t>
    <phoneticPr fontId="5"/>
  </si>
  <si>
    <t>HP25%以下1回:ナーガ3</t>
    <rPh sb="5" eb="7">
      <t>イカ</t>
    </rPh>
    <rPh sb="8" eb="9">
      <t>カイ</t>
    </rPh>
    <phoneticPr fontId="5"/>
  </si>
  <si>
    <t>次のターン青パネルを吸収して大ダメージ</t>
    <rPh sb="0" eb="1">
      <t>ツギノターン</t>
    </rPh>
    <rPh sb="5" eb="6">
      <t>アオパネル</t>
    </rPh>
    <rPh sb="10" eb="12">
      <t>キュウシュウ</t>
    </rPh>
    <rPh sb="14" eb="15">
      <t>ダイダメージ</t>
    </rPh>
    <phoneticPr fontId="5"/>
  </si>
  <si>
    <t>HP25%以下1回:ナーガ3:飢饉へ至りし旱魃</t>
    <rPh sb="5" eb="7">
      <t>イカ</t>
    </rPh>
    <rPh sb="8" eb="9">
      <t>カイ</t>
    </rPh>
    <rPh sb="15" eb="17">
      <t>キキン</t>
    </rPh>
    <rPh sb="18" eb="19">
      <t>イタリシ</t>
    </rPh>
    <rPh sb="21" eb="23">
      <t>カンバツ</t>
    </rPh>
    <phoneticPr fontId="5"/>
  </si>
  <si>
    <t>青パネルを吸収して大ダメージ+
青パネルドロップ率DOWN</t>
    <rPh sb="0" eb="1">
      <t>アオパネル</t>
    </rPh>
    <rPh sb="5" eb="7">
      <t>キュウシュウ</t>
    </rPh>
    <rPh sb="9" eb="10">
      <t>ダイダメージ</t>
    </rPh>
    <rPh sb="16" eb="17">
      <t>アオ</t>
    </rPh>
    <phoneticPr fontId="5"/>
  </si>
  <si>
    <t>死亡時:ナーガ3:通常時</t>
    <rPh sb="0" eb="3">
      <t>シボウジ</t>
    </rPh>
    <rPh sb="9" eb="12">
      <t>ツウジョウジ</t>
    </rPh>
    <phoneticPr fontId="5"/>
  </si>
  <si>
    <t>通常時</t>
    <rPh sb="0" eb="3">
      <t>ツウジョウジ</t>
    </rPh>
    <phoneticPr fontId="5"/>
  </si>
  <si>
    <t>死亡時:ナーガ3:5001</t>
    <rPh sb="0" eb="3">
      <t>シボウジ</t>
    </rPh>
    <phoneticPr fontId="5"/>
  </si>
  <si>
    <t>ガルーダ:5001</t>
    <phoneticPr fontId="5"/>
  </si>
  <si>
    <t>死亡時:ナーガ3:5002</t>
    <rPh sb="0" eb="3">
      <t>シボウジ</t>
    </rPh>
    <phoneticPr fontId="5"/>
  </si>
  <si>
    <t>ガルーダ:5002</t>
    <phoneticPr fontId="5"/>
  </si>
  <si>
    <t>[effect:enemy_message, val1:1.2, val2:2.1]</t>
  </si>
  <si>
    <t>skill_trigger_id</t>
    <phoneticPr fontId="7"/>
  </si>
  <si>
    <t>priority</t>
    <phoneticPr fontId="5"/>
  </si>
  <si>
    <t>hp_threshold</t>
    <phoneticPr fontId="5"/>
  </si>
  <si>
    <t>invoke_times</t>
    <phoneticPr fontId="5"/>
  </si>
  <si>
    <t>neighbor_dead_id</t>
    <phoneticPr fontId="5"/>
  </si>
  <si>
    <t>HP50%まで:ナーガ1</t>
    <phoneticPr fontId="5"/>
  </si>
  <si>
    <t>HP50%以下1回:ナーガ1</t>
    <rPh sb="5" eb="7">
      <t>イカ</t>
    </rPh>
    <rPh sb="8" eb="9">
      <t>カイ</t>
    </rPh>
    <phoneticPr fontId="5"/>
  </si>
  <si>
    <t>HP50%以下:ナーガ1</t>
    <rPh sb="5" eb="7">
      <t>イカ</t>
    </rPh>
    <phoneticPr fontId="5"/>
  </si>
  <si>
    <t>HP75%以下1回:ナーガ3</t>
    <rPh sb="5" eb="7">
      <t>イカ</t>
    </rPh>
    <rPh sb="8" eb="9">
      <t>カイイ</t>
    </rPh>
    <phoneticPr fontId="5"/>
  </si>
  <si>
    <t>skill_set_id</t>
    <phoneticPr fontId="7"/>
  </si>
  <si>
    <t>skill_id</t>
    <phoneticPr fontId="7"/>
  </si>
  <si>
    <t>1フロア:ヒロ</t>
    <phoneticPr fontId="5"/>
  </si>
  <si>
    <t>アマラ1</t>
    <phoneticPr fontId="5"/>
  </si>
  <si>
    <t>HP30%以下:アマラ1</t>
    <rPh sb="5" eb="7">
      <t>イカ</t>
    </rPh>
    <phoneticPr fontId="5"/>
  </si>
  <si>
    <t>3ターン回復力30％DOWN</t>
    <rPh sb="4" eb="7">
      <t>カイフクリョク</t>
    </rPh>
    <phoneticPr fontId="5"/>
  </si>
  <si>
    <t>開幕:アマラ2</t>
    <rPh sb="0" eb="2">
      <t>カイマク</t>
    </rPh>
    <phoneticPr fontId="5"/>
  </si>
  <si>
    <t>自身の攻撃力をUP</t>
    <rPh sb="0" eb="2">
      <t>jisinnno</t>
    </rPh>
    <rPh sb="3" eb="6">
      <t>コウゲキリョク</t>
    </rPh>
    <phoneticPr fontId="5"/>
  </si>
  <si>
    <t>HP50%以下:アマラ2</t>
    <rPh sb="5" eb="7">
      <t>イカ</t>
    </rPh>
    <phoneticPr fontId="5"/>
  </si>
  <si>
    <t>3ターン回復力50％DOWN</t>
    <rPh sb="4" eb="7">
      <t>カイフクリョク</t>
    </rPh>
    <phoneticPr fontId="5"/>
  </si>
  <si>
    <t>HP20%以下:アマラ2</t>
    <rPh sb="5" eb="7">
      <t>イカ</t>
    </rPh>
    <phoneticPr fontId="5"/>
  </si>
  <si>
    <t>開幕:ハヌマーン</t>
    <rPh sb="0" eb="2">
      <t>カイマク</t>
    </rPh>
    <phoneticPr fontId="5"/>
  </si>
  <si>
    <t>赤パネルを吸収して+
4ターン自身の防御力UP</t>
    <rPh sb="0" eb="1">
      <t>アカパネル</t>
    </rPh>
    <rPh sb="5" eb="7">
      <t>キュウシュウ</t>
    </rPh>
    <rPh sb="15" eb="17">
      <t>ジシンノ</t>
    </rPh>
    <rPh sb="18" eb="21">
      <t>ボウギョリョク</t>
    </rPh>
    <phoneticPr fontId="5"/>
  </si>
  <si>
    <t>HP50%まで：ハヌマーン</t>
    <phoneticPr fontId="5"/>
  </si>
  <si>
    <t>お邪魔パネル変換(1個)</t>
    <rPh sb="6" eb="8">
      <t>ヘンカン</t>
    </rPh>
    <rPh sb="10" eb="11">
      <t>コ</t>
    </rPh>
    <phoneticPr fontId="5"/>
  </si>
  <si>
    <t>お邪魔パネル変換(2個)</t>
    <rPh sb="6" eb="8">
      <t>ヘンカン</t>
    </rPh>
    <rPh sb="10" eb="11">
      <t>コ</t>
    </rPh>
    <phoneticPr fontId="5"/>
  </si>
  <si>
    <t>お邪魔パネルを吸収して+
2ターン自身の防御力UP</t>
    <rPh sb="7" eb="9">
      <t>キュウシュウ</t>
    </rPh>
    <rPh sb="17" eb="19">
      <t>ジシンノ</t>
    </rPh>
    <rPh sb="20" eb="23">
      <t>ボウギョリョク</t>
    </rPh>
    <phoneticPr fontId="5"/>
  </si>
  <si>
    <t>HP50%以下：ハヌマーン</t>
    <rPh sb="5" eb="7">
      <t>イカ</t>
    </rPh>
    <phoneticPr fontId="5"/>
  </si>
  <si>
    <t>お邪魔パネル変換(3個)</t>
    <rPh sb="6" eb="8">
      <t>ヘンカン</t>
    </rPh>
    <rPh sb="10" eb="11">
      <t>コ</t>
    </rPh>
    <phoneticPr fontId="5"/>
  </si>
  <si>
    <t>ゴクウ</t>
    <phoneticPr fontId="5"/>
  </si>
  <si>
    <t>HP30%以下:ゴクウ</t>
    <rPh sb="5" eb="7">
      <t>イカ</t>
    </rPh>
    <phoneticPr fontId="5"/>
  </si>
  <si>
    <t>ランダムに攻撃頻度を1にする</t>
    <rPh sb="5" eb="7">
      <t>コウゲキ</t>
    </rPh>
    <rPh sb="7" eb="9">
      <t>ヒンド</t>
    </rPh>
    <phoneticPr fontId="5"/>
  </si>
  <si>
    <t>開幕:ナーガ1</t>
    <rPh sb="0" eb="2">
      <t>カイマク</t>
    </rPh>
    <phoneticPr fontId="5"/>
  </si>
  <si>
    <t>お邪魔パネル変換(4個)</t>
    <rPh sb="6" eb="8">
      <t>ヘンカン</t>
    </rPh>
    <rPh sb="10" eb="11">
      <t>コ</t>
    </rPh>
    <phoneticPr fontId="5"/>
  </si>
  <si>
    <t>お邪魔パネルを吸収して+
2ターン自身の攻撃力特大UP+
2ターン攻撃頻度を1にする</t>
    <rPh sb="7" eb="9">
      <t>キュウシュウ</t>
    </rPh>
    <rPh sb="17" eb="19">
      <t>ジシンノ</t>
    </rPh>
    <rPh sb="20" eb="22">
      <t>コウゲキ</t>
    </rPh>
    <rPh sb="22" eb="23">
      <t>ボウギョリョク</t>
    </rPh>
    <rPh sb="23" eb="25">
      <t>トクダイ</t>
    </rPh>
    <rPh sb="33" eb="37">
      <t>コウゲキヒンド</t>
    </rPh>
    <phoneticPr fontId="5"/>
  </si>
  <si>
    <t>ヒューマンに大ダメージ</t>
    <rPh sb="6" eb="7">
      <t>ダイダメージ</t>
    </rPh>
    <phoneticPr fontId="5"/>
  </si>
  <si>
    <t>4ターン回復力50％DOWN</t>
    <rPh sb="4" eb="7">
      <t>カイフクリョク</t>
    </rPh>
    <phoneticPr fontId="5"/>
  </si>
  <si>
    <t>連続攻撃</t>
    <rPh sb="0" eb="4">
      <t>レンゾクコウゲキ</t>
    </rPh>
    <phoneticPr fontId="5"/>
  </si>
  <si>
    <t>開幕:ナーガ3</t>
    <rPh sb="0" eb="2">
      <t>カイマク</t>
    </rPh>
    <phoneticPr fontId="5"/>
  </si>
  <si>
    <t>お邪魔パネル変換(4個)+
3ターン攻撃頻度を1にする</t>
    <rPh sb="6" eb="8">
      <t>ヘンカン</t>
    </rPh>
    <rPh sb="10" eb="11">
      <t>コ</t>
    </rPh>
    <rPh sb="18" eb="22">
      <t>コウゲキヒンド</t>
    </rPh>
    <phoneticPr fontId="5"/>
  </si>
  <si>
    <t>お邪魔パネル変換(1個)+
攻撃</t>
    <rPh sb="6" eb="8">
      <t>ヘンカン</t>
    </rPh>
    <rPh sb="10" eb="11">
      <t>コ</t>
    </rPh>
    <rPh sb="14" eb="16">
      <t>コウゲキ</t>
    </rPh>
    <phoneticPr fontId="5"/>
  </si>
  <si>
    <t>解除するまで回復力90%DOWN</t>
    <rPh sb="0" eb="2">
      <t>カイジョスル</t>
    </rPh>
    <rPh sb="6" eb="9">
      <t>カイフクリョク</t>
    </rPh>
    <phoneticPr fontId="5"/>
  </si>
  <si>
    <t>お邪魔パネル変換(3個)+
連続攻撃</t>
    <rPh sb="6" eb="8">
      <t>ヘンカン</t>
    </rPh>
    <rPh sb="10" eb="11">
      <t>コ</t>
    </rPh>
    <rPh sb="14" eb="16">
      <t>レンゾク</t>
    </rPh>
    <rPh sb="16" eb="18">
      <t>コウゲキ</t>
    </rPh>
    <phoneticPr fontId="5"/>
  </si>
  <si>
    <t>お邪魔パネルを吸収して攻撃</t>
    <rPh sb="7" eb="9">
      <t>キュウシュウ</t>
    </rPh>
    <rPh sb="11" eb="13">
      <t>コウゲキ</t>
    </rPh>
    <phoneticPr fontId="5"/>
  </si>
  <si>
    <t>お邪魔パネル変換(4個)+
4ターンウィルス</t>
    <rPh sb="6" eb="8">
      <t>ヘンカン</t>
    </rPh>
    <rPh sb="10" eb="11">
      <t>コ</t>
    </rPh>
    <phoneticPr fontId="5"/>
  </si>
  <si>
    <t>青パネル吸収予告+
次ターン即死級攻撃</t>
    <rPh sb="0" eb="1">
      <t>アオパネル</t>
    </rPh>
    <rPh sb="4" eb="6">
      <t>キュウシュウ</t>
    </rPh>
    <rPh sb="6" eb="8">
      <t>ヨコク</t>
    </rPh>
    <rPh sb="10" eb="11">
      <t>ジターン</t>
    </rPh>
    <rPh sb="14" eb="16">
      <t>ソクシ</t>
    </rPh>
    <rPh sb="16" eb="17">
      <t>キュウ</t>
    </rPh>
    <rPh sb="17" eb="19">
      <t>コウゲキ</t>
    </rPh>
    <phoneticPr fontId="5"/>
  </si>
  <si>
    <t>青パネルを吸収して全体攻撃</t>
    <rPh sb="0" eb="1">
      <t>アオパネル</t>
    </rPh>
    <rPh sb="5" eb="7">
      <t>キュウシュウ</t>
    </rPh>
    <rPh sb="9" eb="11">
      <t>ゼンタイ</t>
    </rPh>
    <rPh sb="11" eb="13">
      <t>コウゲキ</t>
    </rPh>
    <phoneticPr fontId="5"/>
  </si>
  <si>
    <t>bonus_value</t>
    <phoneticPr fontId="5"/>
  </si>
  <si>
    <t>link</t>
    <phoneticPr fontId="5"/>
  </si>
  <si>
    <t>tmp_hint_id</t>
    <phoneticPr fontId="5"/>
  </si>
  <si>
    <t>NULL</t>
    <phoneticPr fontId="5"/>
  </si>
  <si>
    <t>ハヌマーンはお邪魔パネル変換と
パネル吸収攻撃のスキルを使用します</t>
    <phoneticPr fontId="5"/>
  </si>
  <si>
    <t>ナーガ</t>
    <phoneticPr fontId="5"/>
  </si>
  <si>
    <t>晴れを司るもの</t>
    <phoneticPr fontId="5"/>
  </si>
  <si>
    <t>抑えてきた感情を</t>
    <phoneticPr fontId="5"/>
  </si>
  <si>
    <t>ガルーダに止められたナーガは
今回の暴走を反省し以前よりも
抑えていた感情を
ガルーダに伝えるようになりました</t>
    <phoneticPr fontId="5"/>
  </si>
  <si>
    <t>bonus_category</t>
    <phoneticPr fontId="5"/>
  </si>
  <si>
    <t>no_continue</t>
    <phoneticPr fontId="5"/>
  </si>
  <si>
    <t>full_member</t>
    <phoneticPr fontId="5"/>
  </si>
  <si>
    <t>old</t>
  </si>
  <si>
    <t>[effect:enemy_message, val1:1.2, val2:1.2],[effect:enhance_enemy, target:myself, turn:-1, status:attack, val:0.4, calc:mul, animation:enemy_enhance_attack],[effect:fix_speed, target:myself, turn:2]</t>
  </si>
  <si>
    <t>[effect:enemy_message, val1:1.2, val2:3.1],[effect:break_enchance_enemy, target:myself, val:0.08, lowest_val:0.01, count:-1, status:attack, turn:2, block01:jammer, calc:mul, animation:enemy_enhance_attack],[effect:freq_turn, target:myself, turn:2, val:1, animation:enemy_freq_turn]</t>
  </si>
  <si>
    <t>[effect:enemy_message, val1:2.0, val2:2.3],[effect:damage_anti_tribe, target:unit_all, tribe:human, val1:0.7, val2:0.25]</t>
  </si>
  <si>
    <t>[effect:enemy_message, val1:1.2, val2:1.3],[effect:break_heal_ratio, target:myself, val:0.01, lowest_val:0.1, count:-1, block01:jammer, animation:enemy_heal]</t>
  </si>
  <si>
    <t>[effect:enemy_message, val1:1.2, val2:1.5],[effect:break_attack_fix, target:unit_all, val:500, lowest_val:1800, count:-1, color:green, block01:jammer]</t>
  </si>
  <si>
    <t>[effect:enemy_message, val1:1.2, val2:1.5],[effect:break_attack_fix, target:unit_all, val:250, lowest_val:1300, count:-1, color:green, block01:jammer]</t>
  </si>
  <si>
    <t>護緑の短刀</t>
  </si>
  <si>
    <t>緑パネルプロテクト</t>
  </si>
  <si>
    <t>ハートパネルプロテクト</t>
  </si>
  <si>
    <t>奪桃の短刀</t>
  </si>
  <si>
    <t>属性パネルプロテクト(最大10個)</t>
  </si>
  <si>
    <t>好きにはさせないわよ！</t>
  </si>
  <si>
    <t>ja</t>
  </si>
  <si>
    <t>きっついの…いくわよ！</t>
  </si>
  <si>
    <t>[effect:enemy_message, val1:1.2, val2:1.7],[effect:panel_freeze, target:block_heart, count:5]</t>
  </si>
  <si>
    <t>ハートパネルプロテクト(最大5個)</t>
  </si>
  <si>
    <t>緑パネルプロテクト(最大5個)</t>
  </si>
  <si>
    <t>属性パネルプロテクト(最大5個)</t>
  </si>
  <si>
    <t>[effect:enemy_message, val1:1.2, val2:1.8],[effect:force_change_block, new_block:jammer, target:block_all, ignore01:block_positive, ignore02:block_negative, count:2, val:0, animation:change_block]</t>
  </si>
  <si>
    <t>[effect:enemy_message, val1:1.2, val2:1.8],[effect:force_change_block, new_block:jammer, target:block_all, ignore01:block_positive, ignore02:block_negative, count:3, val:0, animation:change_block]</t>
  </si>
  <si>
    <t>[effect:enemy_message, val1:1.2, val2:1.8],[effect:force_change_block, new_block:jammer, target:block_all, ignore01:block_positive, ignore02:block_negative, count:4, val:0, animation:change_block]</t>
  </si>
  <si>
    <t>[effect:enemy_message, val1:1.2, val2:2.3],[effect:force_change_block, new_block:jammer, target:block_all, ignore01:block_positive, ignore02:block_negative, count:2, val:0, animation:change_block],[effect:rush, count:1, val:1]</t>
  </si>
  <si>
    <t>[effect:enemy_message, val1:1.3, val2:2.5],[effect:force_change_block, new_block:jammer, target:block_all, ignore01:block_positive, ignore02:block_negative, count:3, val:0, animation:change_block],[effect:rush, count:2, val:0.6]</t>
  </si>
  <si>
    <t>[effect:enemy_message, val1:1.7, val2:2.3],[effect:force_change_block, new_block:jammer, target:block_all, ignore01:block_positive, ignore02:block_negative, count:5, val:0, animation:change_block],[effect:rush, count:1, val:1]</t>
  </si>
  <si>
    <t>[effect:enemy_message, val1:1.2, val2:2.3],[effect:force_change_block, new_block:jammer, target:block_all, ignore01:block_positive, ignore02:block_negative, count:3, val:0, animation:change_block],[effect:spread, val:0.25]</t>
  </si>
  <si>
    <t>[effect:enemy_message, val1:1.2, val2:2.5],[effect:force_change_block, new_block:jammer, target:block_all, ignore01:block_positive, ignore02:block_negative, count:4, val:0, animation:change_block],[effect:rush, count:4, val:0.35]</t>
  </si>
  <si>
    <t>[effect:enemy_message, val1:1.2, val2:3.6],[effect:panel_freeze, target:normal, count:20],[effect:force_change_block, new_block:jammer, target:block_all, ignore01:block_positive, ignore02:block_negative, count:5, val:0, animation:change_block]</t>
  </si>
  <si>
    <t>[effect:enemy_message, val1:1.2, val2:1.8],[effect:force_change_block, new_block:jammer, target:block_all, ignore01:block_positive, ignore02:block_negative, count:1, val:0, animation:change_block]</t>
  </si>
  <si>
    <t>[effect:enemy_message, val1:1.3, val2:2.5],[effect:force_change_block, new_block:jammer, target:block_all, ignore01:block_positive, ignore02:block_negative, count:2, val:0, animation:change_block],[effect:rush, count:2, val:0.6]</t>
  </si>
  <si>
    <t>[effect:enemy_message, val1:1.7, val2:2.3],[effect:force_change_block, new_block:jammer, target:block_all, ignore01:block_positive, ignore02:block_negative, count:3, val:0, animation:change_block],[effect:rush, count:1, val:1]</t>
  </si>
  <si>
    <t>[effect:enemy_message, val1:1.3, val2:2.3],[effect:force_change_block, new_block:jammer, target:block_all, ignore01:block_positive, ignore02:block_negative, count:2, val:0, animation:change_block],[effect:rush, count:2, val:0.6]</t>
  </si>
  <si>
    <t>[effect:enemy_message, val1:1.2, val2:2.3],[effect:force_change_block, new_block:jammer, target:block_all, ignore01:block_positive, ignore02:block_negative, count:2, val:0, animation:change_block],[effect:spread, val:0.25]</t>
  </si>
  <si>
    <t>[effect:enemy_message, val1:1.2, val2:3.6],[effect:panel_freeze, target:normal, count:10],[effect:force_change_block, new_block:jammer, target:block_all, ignore01:block_positive, ignore02:block_negative, count:3, val:0, animation:change_block]</t>
  </si>
  <si>
    <t>[effect:enemy_message, val1:1.2, val2:1.2],[effect:critical, val:1.3, animation:enemy_critical]</t>
  </si>
  <si>
    <t>[effect:enemy_message, val1:1.2, val2:1.2],[effect:spread, val:0.25],[effect:fix_speed, target:myself, turn:1]</t>
  </si>
  <si>
    <t>[effect:enemy_message, val1:1.2, val2:1.2],[effect:panel_freeze, target:block_green, count:-1],[effect:fix_speed, target:myself, turn:2]</t>
  </si>
  <si>
    <t>[effect:enemy_message, val1:1.2, val2:2.0],[effect:degrade_unit, target:unit_all, turn:3, status:heal, val:0.3, calc:mul, animation:degrade_unit_all_heal]</t>
  </si>
  <si>
    <t>[effect:enemy_message, val1:1.2, val2:2.0],[effect:degrade_unit, target:unit_all, turn:3, status:heal, val:0.5, calc:mul, animation:degrade_unit_all_heal]</t>
  </si>
  <si>
    <t>[effect:enemy_message, val1:1.2, val2:1.2],[effect:panel_freeze, target:block_heart, count:-1]</t>
  </si>
  <si>
    <t>[effect:enemy_message, val1:1.2, val2:1.8],[effect:break_enchance_enemy, target:myself, val:100, lowest_val:500, count:-1, status:defense, turn:4, block01:block_red, calc:add, animation:enemy_enhance_defense],[effect:fix_speed, target:myself, turn:2]</t>
  </si>
  <si>
    <t xml:space="preserve">[effect:enemy_message, val1:1.2, val2:1.5],[effect:break_attack_fix, target:unit_all, val:130, lowest_val:1500, count:-1, color:green, block01:jammer] </t>
  </si>
  <si>
    <t>[effect:enemy_message, val1:1.5, val2:3.6],[effect:force_change_block, new_block:jammer, target:block_all, ignore01:block_positive, ignore02:block_negative, count:5, val:0, animation:change_block],[effect:panel_freeze, target:normal, count:10],[effect:fix_speed, target:myself, turn:2]</t>
  </si>
  <si>
    <t>[effect:enemy_message, val1:2.0, val2:3.6],[effect:force_change_block, new_block:jammer, target:block_all, ignore01:block_positive, ignore02:block_negative, count:5, val:0, animation:change_block],[effect:panel_freeze, target:normal, count:10],[effect:fix_speed, target:myself, turn:2]</t>
  </si>
  <si>
    <t>[effect:enemy_message, val1:1.5, val2:2.0],[effect:degrade_unit, target:unit_all, turn:4, status:heal, val:0.5, calc:mul, animation:degrade_unit_all_heal]</t>
  </si>
  <si>
    <t>[effect:enemy_message, val1:1.2, val2:1.2],[effect:rush, count:4, val:0.35]</t>
  </si>
  <si>
    <t>[effect:enemy_message, val1:2.0, val2:5.0],[effect:force_change_block, new_block:jammer, target:block_all, ignore01:block_positive, ignore02:block_negative, count:5, val:0, animation:change_block],[effect:attack_break, target:unit_all, turn:2, val:0.3, calc:mul, animation:attack_break01],[effect:fix_speed, target:myself, turn:2],[effect:freq_turn, target:myself, turn:2, val:1, animation:enemy_freq_turn]</t>
  </si>
  <si>
    <t>[effect:enemy_message, val1:1.9, val2:5.0],[effect:force_change_block, new_block:jammer, target:block_all, ignore01:block_positive, ignore02:block_negative, count:5, val:0, animation:change_block],[effect:attack_break, target:unit_all, turn:2, val:0.3, calc:mul, animation:attack_break01],[effect:fix_speed, target:myself, turn:2],[effect:freq_turn, target:myself, turn:2, val:1, animation:enemy_freq_turn]</t>
  </si>
  <si>
    <t>[effect:enemy_message, val1:1.2, val2:1.7],[effect:panel_freeze, target:normal, count:10]</t>
  </si>
  <si>
    <t>[effect:enemy_message, val1:1.7, val2:1.2],[effect:rush, count:4, val:0.4]</t>
  </si>
  <si>
    <t>[effect:enemy_message, val1:1.2, val2:2.0],[effect:degrade_unit, target:unit_all, turn:5, status:heal, val:0.9, calc:mul, animation:degrade_unit_all_heal]</t>
  </si>
  <si>
    <t>[effect:enemy_message, val1:1.5, val2:1.3],[effect:break_heal_ratio, target:myself, val:0.01, lowest_val:0.1, count:-1, block01:jammer, animation:enemy_heal]</t>
  </si>
  <si>
    <t>[effect:enemy_message, val1:1.7, val2:1.7, dead_type:suicide]</t>
  </si>
  <si>
    <t>[effect:enemy_message, val1:2.2, val2:2.0, dead_type:suicide]</t>
  </si>
  <si>
    <t>[effect:enemy_message, val1:1.2, val2:1.5],[effect:panel_freeze, target:block_green, count:5],[effect:fix_speed, target:myself, turn:2]</t>
  </si>
  <si>
    <t>[effect:enemy_message, val1:1.2, val2:2.0],[effect:degrade_unit, target:unit_all, turn:2, status:heal, val:0.2, calc:mul, animation:degrade_unit_all_heal]</t>
  </si>
  <si>
    <t>[effect:enemy_message, val1:1.2, val2:2.0],[effect:degrade_unit, target:unit_all, turn:2, status:heal, val:0.4, calc:mul, animation:degrade_unit_all_heal]</t>
  </si>
  <si>
    <t>[effect:enemy_message, val1:1.2, val2:1.8],[effect:break_enchance_enemy, target:myself, val:80, lowest_val:300, count:-1, status:defense, turn:3, block01:block_red, calc:add, animation:enemy_enhance_defense],[effect:fix_speed, target:myself, turn:2]</t>
  </si>
  <si>
    <t xml:space="preserve">[effect:enemy_message, val1:1.2, val2:1.5],[effect:break_attack_fix, target:unit_all, val:100, lowest_val:1200, count:-1, color:green, block01:jammer] </t>
  </si>
  <si>
    <t>[effect:enemy_message, val1:1.5, val2:3.5],[effect:force_change_block, new_block:jammer, target:block_all, ignore01:block_positive, ignore02:block_negative, count:2, val:0, animation:change_block],[effect:panel_freeze, target:normal, count:5],[effect:fix_speed, target:myself, turn:2]</t>
  </si>
  <si>
    <t>[effect:enemy_message, val1:2.0, val2:3.5],[effect:force_change_block, new_block:jammer, target:block_all, ignore01:block_positive, ignore02:block_negative, count:2, val:0, animation:change_block],[effect:panel_freeze, target:normal, count:5],[effect:fix_speed, target:myself, turn:2]</t>
  </si>
  <si>
    <t>[effect:enemy_message, val1:1.5, val2:2.0],[effect:degrade_unit, target:unit_all, turn:2, status:heal, val:0.4, calc:mul, animation:degrade_unit_all_heal]</t>
  </si>
  <si>
    <t>[effect:enemy_message, val1:2.0, val2:5.0],[effect:force_change_block, new_block:jammer, target:block_all, ignore01:block_positive, ignore02:block_negative, count:3, val:0, animation:change_block],[effect:attack_break, target:unit_all, turn:2, val:0.2, calc:mul, animation:attack_break01],[effect:fix_speed, target:myself, turn:2],[effect:freq_turn, target:myself, turn:2, val:1, animation:enemy_freq_turn]</t>
  </si>
  <si>
    <t>[effect:enemy_message, val1:1.9, val2:5.0],[effect:force_change_block, new_block:jammer, target:block_all, ignore01:block_positive, ignore02:block_negative, count:3, val:0, animation:change_block],[effect:attack_break, target:unit_all, turn:2, val:0.2, calc:mul, animation:attack_break01],[effect:fix_speed, target:myself, turn:2],[effect:freq_turn, target:myself, turn:2, val:1, animation:enemy_freq_turn]</t>
  </si>
  <si>
    <t>[effect:enemy_message, val1:1.2, val2:1.6],[effect:panel_freeze, target:normal, count:5]</t>
  </si>
  <si>
    <t>[effect:enemy_message, val1:1.7, val2:1.2],[effect:rush, count:4, val:0.35]</t>
  </si>
  <si>
    <t>[effect:enemy_message, val1:1.2, val2:2.0],[effect:degrade_unit, target:unit_all, turn:5, status:heal, val:0.6, calc:mul, animation:degrade_unit_all_heal]</t>
  </si>
  <si>
    <t>[effect:enemy_message, val1:1.2, val2:3.1],[effect:break_enchance_enemy, target:myself, val:0.08, lowest_val:0.01, count:-1, status:attack, turn:2, block01:jammer, calc:mul, animation:enemy_enhance_attack],[effect:freq_turn, target:myself, turn:2, val:1, animation:enemy_freq_turn]</t>
    <phoneticPr fontId="5"/>
  </si>
  <si>
    <t>[effect:enemy_message, val1:1.2, val2:2.5],[effect:force_change_block, new_block:jammer, target:block_all, ignore01:block_positive, ignore02:block_negative, count:2, val:0, animation:change_block],[effect:rush, count:4, val:0.35]</t>
    <phoneticPr fontId="5"/>
  </si>
  <si>
    <t>クリティカル！</t>
  </si>
  <si>
    <t>あたしはもう我慢なんてしない！</t>
  </si>
  <si>
    <t>ガルーダ！ またあたしの邪魔をするのね！</t>
  </si>
  <si>
    <t>みんな！ やっちゃって！</t>
  </si>
  <si>
    <t>あたしが好きな世界を作りたいだけなのに！</t>
  </si>
  <si>
    <t>ガルーダ…あなただけは絶対に許さない！</t>
  </si>
  <si>
    <t>稲妻蹴り</t>
    <rPh sb="0" eb="2">
      <t>イナヅマ</t>
    </rPh>
    <rPh sb="2" eb="3">
      <t>geri</t>
    </rPh>
    <phoneticPr fontId="2"/>
  </si>
  <si>
    <t>スパーク</t>
  </si>
  <si>
    <t>全体攻撃</t>
    <rPh sb="0" eb="4">
      <t>ゼンタイコウゲキ</t>
    </rPh>
    <phoneticPr fontId="2"/>
  </si>
  <si>
    <t>咆吼</t>
    <rPh sb="0" eb="2">
      <t>ホウコウ</t>
    </rPh>
    <phoneticPr fontId="2"/>
  </si>
  <si>
    <t>3ターン全ユニットの回復力30%DOWN</t>
    <rPh sb="4" eb="5">
      <t>ゼンタイノ</t>
    </rPh>
    <rPh sb="10" eb="13">
      <t>カイフクリョク</t>
    </rPh>
    <phoneticPr fontId="2"/>
  </si>
  <si>
    <t>野生の本能</t>
  </si>
  <si>
    <r>
      <t>攻撃力</t>
    </r>
    <r>
      <rPr>
        <sz val="10"/>
        <color theme="1"/>
        <rFont val="ＭＳ Ｐゴシック"/>
        <family val="3"/>
        <charset val="128"/>
        <scheme val="minor"/>
      </rPr>
      <t>UP</t>
    </r>
    <rPh sb="0" eb="3">
      <t>コウゲキリョク</t>
    </rPh>
    <phoneticPr fontId="2"/>
  </si>
  <si>
    <t>大咆吼</t>
    <rPh sb="0" eb="1">
      <t>オオキイ</t>
    </rPh>
    <phoneticPr fontId="2"/>
  </si>
  <si>
    <t>3ターン全ユニットの回復力50%DOWN</t>
    <rPh sb="4" eb="5">
      <t>ゼンタイノ</t>
    </rPh>
    <rPh sb="10" eb="13">
      <t>カイフクリョク</t>
    </rPh>
    <phoneticPr fontId="2"/>
  </si>
  <si>
    <t>猿王迅瞬堅毛の術</t>
    <rPh sb="4" eb="5">
      <t>ケンコ</t>
    </rPh>
    <rPh sb="5" eb="6">
      <t>モウ</t>
    </rPh>
    <phoneticPr fontId="2"/>
  </si>
  <si>
    <t>4ターン赤パネルを吸収して防御力UP</t>
  </si>
  <si>
    <t>五行封印 臨</t>
    <rPh sb="0" eb="4">
      <t>ゴギョウフウイン</t>
    </rPh>
    <rPh sb="5" eb="6">
      <t>リン</t>
    </rPh>
    <phoneticPr fontId="2"/>
  </si>
  <si>
    <r>
      <t>ランダムでお邪魔パネルに</t>
    </r>
    <r>
      <rPr>
        <sz val="10"/>
        <color rgb="FFFF0000"/>
        <rFont val="ＭＳ Ｐゴシック (本文)"/>
        <family val="3"/>
        <charset val="128"/>
      </rPr>
      <t>最大</t>
    </r>
    <r>
      <rPr>
        <sz val="10"/>
        <color theme="1"/>
        <rFont val="ＭＳ Ｐゴシック"/>
        <family val="3"/>
        <charset val="128"/>
        <scheme val="minor"/>
      </rPr>
      <t>2個変換</t>
    </r>
    <rPh sb="12" eb="14">
      <t>サイダイ</t>
    </rPh>
    <rPh sb="15" eb="16">
      <t>コ</t>
    </rPh>
    <rPh sb="16" eb="18">
      <t>ヘンカン</t>
    </rPh>
    <phoneticPr fontId="2"/>
  </si>
  <si>
    <t>五行封印 兵</t>
    <rPh sb="5" eb="6">
      <t>ヘイシ</t>
    </rPh>
    <phoneticPr fontId="2"/>
  </si>
  <si>
    <r>
      <t>ランダムでお邪魔パネルに</t>
    </r>
    <r>
      <rPr>
        <sz val="10"/>
        <color rgb="FFFF0000"/>
        <rFont val="ＭＳ Ｐゴシック (本文)"/>
        <family val="3"/>
        <charset val="128"/>
      </rPr>
      <t>最大</t>
    </r>
    <r>
      <rPr>
        <sz val="10"/>
        <color theme="1"/>
        <rFont val="ＭＳ Ｐゴシック"/>
        <family val="3"/>
        <charset val="128"/>
        <scheme val="minor"/>
      </rPr>
      <t>3個変換</t>
    </r>
    <rPh sb="12" eb="14">
      <t>サイダイ</t>
    </rPh>
    <rPh sb="15" eb="16">
      <t>コ</t>
    </rPh>
    <rPh sb="16" eb="18">
      <t>ヘンカン</t>
    </rPh>
    <phoneticPr fontId="2"/>
  </si>
  <si>
    <t>猿王迅瞬分身の術</t>
    <rPh sb="4" eb="6">
      <t>ブンシン</t>
    </rPh>
    <phoneticPr fontId="2"/>
  </si>
  <si>
    <t>お邪魔パネルを吸収して全体攻撃</t>
    <rPh sb="7" eb="9">
      <t>キュウシュウ</t>
    </rPh>
    <rPh sb="11" eb="15">
      <t>ゼンタイコウゲキ</t>
    </rPh>
    <phoneticPr fontId="2"/>
  </si>
  <si>
    <t>五行封印 兵</t>
  </si>
  <si>
    <t>五行封印 闘</t>
    <rPh sb="5" eb="6">
      <t>トウソウ</t>
    </rPh>
    <phoneticPr fontId="2"/>
  </si>
  <si>
    <r>
      <t>ランダムでお邪魔パネルに</t>
    </r>
    <r>
      <rPr>
        <sz val="10"/>
        <color rgb="FFFF0000"/>
        <rFont val="ＭＳ Ｐゴシック (本文)"/>
        <family val="3"/>
        <charset val="128"/>
      </rPr>
      <t>最大</t>
    </r>
    <r>
      <rPr>
        <sz val="10"/>
        <color theme="1"/>
        <rFont val="ＭＳ Ｐゴシック"/>
        <family val="3"/>
        <charset val="128"/>
        <scheme val="minor"/>
      </rPr>
      <t>4個変換</t>
    </r>
    <rPh sb="12" eb="14">
      <t>サイダイ</t>
    </rPh>
    <rPh sb="15" eb="16">
      <t>コ</t>
    </rPh>
    <rPh sb="16" eb="18">
      <t>ヘンカン</t>
    </rPh>
    <phoneticPr fontId="2"/>
  </si>
  <si>
    <t>如意棒</t>
    <rPh sb="0" eb="3">
      <t>ニョイボウ</t>
    </rPh>
    <phoneticPr fontId="2"/>
  </si>
  <si>
    <t>金斗雲</t>
  </si>
  <si>
    <r>
      <t>ランダムでお邪魔パネルに</t>
    </r>
    <r>
      <rPr>
        <sz val="10"/>
        <color rgb="FFFF0000"/>
        <rFont val="ＭＳ Ｐゴシック (本文)"/>
        <family val="3"/>
        <charset val="128"/>
      </rPr>
      <t>最大</t>
    </r>
    <r>
      <rPr>
        <sz val="10"/>
        <color theme="1"/>
        <rFont val="ＭＳ Ｐゴシック"/>
        <family val="3"/>
        <charset val="128"/>
        <scheme val="minor"/>
      </rPr>
      <t>5個変換+
属性パネルプロテクト(最大10個)</t>
    </r>
    <rPh sb="12" eb="14">
      <t>サイダイ</t>
    </rPh>
    <rPh sb="15" eb="16">
      <t>コ</t>
    </rPh>
    <rPh sb="16" eb="18">
      <t>ヘンカン</t>
    </rPh>
    <phoneticPr fontId="2"/>
  </si>
  <si>
    <r>
      <t xml:space="preserve">2ターンお邪魔パネルを吸収して攻撃力UP+
</t>
    </r>
    <r>
      <rPr>
        <sz val="10"/>
        <color rgb="FFFF0000"/>
        <rFont val="ＭＳ Ｐゴシック (本文)"/>
        <family val="3"/>
        <charset val="128"/>
      </rPr>
      <t>2ターン行動</t>
    </r>
    <r>
      <rPr>
        <sz val="10"/>
        <color theme="1"/>
        <rFont val="ＭＳ Ｐゴシック"/>
        <family val="3"/>
        <charset val="128"/>
        <scheme val="minor"/>
      </rPr>
      <t>頻度UP</t>
    </r>
    <rPh sb="11" eb="13">
      <t>キュウシュウ</t>
    </rPh>
    <rPh sb="15" eb="17">
      <t>コウゲキ</t>
    </rPh>
    <rPh sb="17" eb="18">
      <t>ボウギョリョク</t>
    </rPh>
    <rPh sb="26" eb="28">
      <t>コウドウ</t>
    </rPh>
    <rPh sb="28" eb="30">
      <t>コウゲキヒンド</t>
    </rPh>
    <phoneticPr fontId="2"/>
  </si>
  <si>
    <t>種族ヒューマンのユニットに大ダメージの全体攻撃</t>
    <rPh sb="0" eb="2">
      <t>シュゾク</t>
    </rPh>
    <rPh sb="13" eb="14">
      <t>ダイダメージ</t>
    </rPh>
    <rPh sb="19" eb="23">
      <t>ゼンタイコウゲキ</t>
    </rPh>
    <phoneticPr fontId="2"/>
  </si>
  <si>
    <t>4ターン全ユニットの回復力50%DOWN</t>
    <rPh sb="4" eb="5">
      <t>ゼンタイノ</t>
    </rPh>
    <rPh sb="10" eb="13">
      <t>カイフクリョク</t>
    </rPh>
    <phoneticPr fontId="2"/>
  </si>
  <si>
    <r>
      <t>ランダムでお邪魔パネルに</t>
    </r>
    <r>
      <rPr>
        <sz val="10"/>
        <color rgb="FFFF0000"/>
        <rFont val="ＭＳ Ｐゴシック (本文)"/>
        <family val="3"/>
        <charset val="128"/>
      </rPr>
      <t>最大</t>
    </r>
    <r>
      <rPr>
        <sz val="10"/>
        <color theme="1"/>
        <rFont val="ＭＳ Ｐゴシック"/>
        <family val="3"/>
        <charset val="128"/>
        <scheme val="minor"/>
      </rPr>
      <t>2個変換+
単体攻撃</t>
    </r>
    <rPh sb="15" eb="16">
      <t>コ</t>
    </rPh>
    <rPh sb="16" eb="18">
      <t>ヘンカン</t>
    </rPh>
    <rPh sb="20" eb="24">
      <t>タンタイコウゲキ</t>
    </rPh>
    <phoneticPr fontId="2"/>
  </si>
  <si>
    <r>
      <t>ランダムでお邪魔パネルに</t>
    </r>
    <r>
      <rPr>
        <sz val="10"/>
        <color rgb="FFFF0000"/>
        <rFont val="ＭＳ Ｐゴシック (本文)"/>
        <family val="3"/>
        <charset val="128"/>
      </rPr>
      <t>最大</t>
    </r>
    <r>
      <rPr>
        <sz val="10"/>
        <color theme="1"/>
        <rFont val="ＭＳ Ｐゴシック"/>
        <family val="3"/>
        <charset val="128"/>
        <scheme val="minor"/>
      </rPr>
      <t>3個変換+
2回連続攻撃</t>
    </r>
    <rPh sb="15" eb="16">
      <t>コ</t>
    </rPh>
    <rPh sb="16" eb="18">
      <t>ヘンカン</t>
    </rPh>
    <rPh sb="21" eb="22">
      <t>カイ</t>
    </rPh>
    <rPh sb="22" eb="26">
      <t>レンゾクコウゲキ</t>
    </rPh>
    <phoneticPr fontId="2"/>
  </si>
  <si>
    <t>4回連続攻撃</t>
    <rPh sb="1" eb="2">
      <t>カイ</t>
    </rPh>
    <rPh sb="2" eb="6">
      <t>レンゾクコウゲキ</t>
    </rPh>
    <phoneticPr fontId="2"/>
  </si>
  <si>
    <r>
      <t>ランダムでお邪魔パネルに</t>
    </r>
    <r>
      <rPr>
        <sz val="10"/>
        <color rgb="FFFF0000"/>
        <rFont val="ＭＳ Ｐゴシック (本文)"/>
        <family val="3"/>
        <charset val="128"/>
      </rPr>
      <t>最大</t>
    </r>
    <r>
      <rPr>
        <sz val="10"/>
        <color theme="1"/>
        <rFont val="ＭＳ Ｐゴシック"/>
        <family val="3"/>
        <charset val="128"/>
        <scheme val="minor"/>
      </rPr>
      <t>5個変換</t>
    </r>
    <r>
      <rPr>
        <sz val="10"/>
        <color rgb="FFFF0000"/>
        <rFont val="ＭＳ Ｐゴシック (本文)"/>
        <family val="3"/>
        <charset val="128"/>
      </rPr>
      <t>+
単体攻撃</t>
    </r>
    <rPh sb="12" eb="14">
      <t>サイダイ</t>
    </rPh>
    <rPh sb="15" eb="16">
      <t>コ</t>
    </rPh>
    <rPh sb="16" eb="18">
      <t>ヘンカン</t>
    </rPh>
    <phoneticPr fontId="2"/>
  </si>
  <si>
    <r>
      <t>ランダムでお邪魔パネルに</t>
    </r>
    <r>
      <rPr>
        <sz val="10"/>
        <color rgb="FFFF0000"/>
        <rFont val="ＭＳ Ｐゴシック (本文)"/>
        <family val="3"/>
        <charset val="128"/>
      </rPr>
      <t>最大</t>
    </r>
    <r>
      <rPr>
        <sz val="10"/>
        <color theme="1"/>
        <rFont val="ＭＳ Ｐゴシック"/>
        <family val="3"/>
        <charset val="128"/>
        <scheme val="minor"/>
      </rPr>
      <t>2個変換+
単体攻撃</t>
    </r>
    <rPh sb="12" eb="14">
      <t>サイダイ</t>
    </rPh>
    <rPh sb="15" eb="16">
      <t>コ</t>
    </rPh>
    <rPh sb="16" eb="18">
      <t>ヘンカン</t>
    </rPh>
    <rPh sb="20" eb="24">
      <t>タンタイコウゲキ</t>
    </rPh>
    <phoneticPr fontId="2"/>
  </si>
  <si>
    <r>
      <t>ランダムでお邪魔パネルに</t>
    </r>
    <r>
      <rPr>
        <sz val="10"/>
        <color rgb="FFFF0000"/>
        <rFont val="ＭＳ Ｐゴシック (本文)"/>
        <family val="3"/>
        <charset val="128"/>
      </rPr>
      <t>最大</t>
    </r>
    <r>
      <rPr>
        <sz val="10"/>
        <color theme="1"/>
        <rFont val="ＭＳ Ｐゴシック"/>
        <family val="3"/>
        <charset val="128"/>
        <scheme val="minor"/>
      </rPr>
      <t>3個変換+
2回連続攻撃</t>
    </r>
    <rPh sb="12" eb="14">
      <t>サイダイ</t>
    </rPh>
    <rPh sb="15" eb="16">
      <t>コ</t>
    </rPh>
    <rPh sb="16" eb="18">
      <t>ヘンカン</t>
    </rPh>
    <rPh sb="21" eb="22">
      <t>カイ</t>
    </rPh>
    <rPh sb="22" eb="26">
      <t>レンゾクコウゲキ</t>
    </rPh>
    <phoneticPr fontId="2"/>
  </si>
  <si>
    <t>お邪魔パネルを吸収して回復</t>
    <rPh sb="7" eb="9">
      <t>キュウシュウ</t>
    </rPh>
    <rPh sb="11" eb="13">
      <t>カイフク</t>
    </rPh>
    <phoneticPr fontId="2"/>
  </si>
  <si>
    <r>
      <t>ランダムでお邪魔パネルに</t>
    </r>
    <r>
      <rPr>
        <sz val="10"/>
        <color rgb="FFFF0000"/>
        <rFont val="ＭＳ Ｐゴシック (本文)"/>
        <family val="3"/>
        <charset val="128"/>
      </rPr>
      <t>最大</t>
    </r>
    <r>
      <rPr>
        <sz val="10"/>
        <color theme="1"/>
        <rFont val="ＭＳ Ｐゴシック"/>
        <family val="3"/>
        <charset val="128"/>
        <scheme val="minor"/>
      </rPr>
      <t>5個変換+
2ターン全ユニットの攻撃力30%DOWN+
2ターン</t>
    </r>
    <r>
      <rPr>
        <sz val="10"/>
        <color rgb="FFFF0000"/>
        <rFont val="ＭＳ Ｐゴシック (本文)"/>
        <family val="3"/>
        <charset val="128"/>
      </rPr>
      <t>行動</t>
    </r>
    <r>
      <rPr>
        <sz val="10"/>
        <color theme="1"/>
        <rFont val="ＭＳ Ｐゴシック"/>
        <family val="3"/>
        <charset val="128"/>
        <scheme val="minor"/>
      </rPr>
      <t>頻度UP</t>
    </r>
    <rPh sb="12" eb="14">
      <t>サイダイ</t>
    </rPh>
    <rPh sb="46" eb="48">
      <t>コウドウ</t>
    </rPh>
    <rPh sb="48" eb="50">
      <t>コウゲキヒンド</t>
    </rPh>
    <phoneticPr fontId="2"/>
  </si>
  <si>
    <r>
      <t>ランダムでお邪魔パネルに</t>
    </r>
    <r>
      <rPr>
        <sz val="10"/>
        <color rgb="FFFF0000"/>
        <rFont val="ＭＳ Ｐゴシック (本文)"/>
        <family val="3"/>
        <charset val="128"/>
      </rPr>
      <t>最大</t>
    </r>
    <r>
      <rPr>
        <sz val="10"/>
        <color theme="1"/>
        <rFont val="ＭＳ Ｐゴシック"/>
        <family val="3"/>
        <charset val="128"/>
        <scheme val="minor"/>
      </rPr>
      <t>3個変換+
全体攻撃</t>
    </r>
    <rPh sb="12" eb="14">
      <t>サイダイ</t>
    </rPh>
    <rPh sb="20" eb="22">
      <t>ゼンタイ</t>
    </rPh>
    <rPh sb="22" eb="24">
      <t>コウゲキヒンド</t>
    </rPh>
    <phoneticPr fontId="2"/>
  </si>
  <si>
    <r>
      <rPr>
        <sz val="10"/>
        <color rgb="FFFF0000"/>
        <rFont val="ＭＳ Ｐゴシック (本文)"/>
        <family val="3"/>
        <charset val="128"/>
      </rPr>
      <t>5ターン</t>
    </r>
    <r>
      <rPr>
        <sz val="10"/>
        <color theme="1"/>
        <rFont val="ＭＳ Ｐゴシック"/>
        <family val="3"/>
        <charset val="128"/>
        <scheme val="minor"/>
      </rPr>
      <t>全ユニットの回復力90%DOWN</t>
    </r>
    <rPh sb="4" eb="5">
      <t>ゼンタイノ</t>
    </rPh>
    <rPh sb="10" eb="13">
      <t>カイフクリョク</t>
    </rPh>
    <phoneticPr fontId="2"/>
  </si>
  <si>
    <r>
      <t>ランダムでお邪魔パネルに</t>
    </r>
    <r>
      <rPr>
        <sz val="10"/>
        <color rgb="FFFF0000"/>
        <rFont val="ＭＳ Ｐゴシック (本文)"/>
        <family val="3"/>
        <charset val="128"/>
      </rPr>
      <t>最大</t>
    </r>
    <r>
      <rPr>
        <sz val="10"/>
        <color theme="1"/>
        <rFont val="ＭＳ Ｐゴシック"/>
        <family val="3"/>
        <charset val="128"/>
        <scheme val="minor"/>
      </rPr>
      <t>4個変換+
4回連続攻撃</t>
    </r>
    <rPh sb="12" eb="14">
      <t>サイダイ</t>
    </rPh>
    <rPh sb="21" eb="22">
      <t>カイ</t>
    </rPh>
    <rPh sb="22" eb="24">
      <t>レンゾク</t>
    </rPh>
    <rPh sb="24" eb="26">
      <t>コウゲキヒンド</t>
    </rPh>
    <phoneticPr fontId="2"/>
  </si>
  <si>
    <t>お邪魔パネルを吸収して全体攻撃</t>
    <rPh sb="7" eb="9">
      <t>キュウシュウ</t>
    </rPh>
    <rPh sb="11" eb="13">
      <t>ゼンタイ</t>
    </rPh>
    <rPh sb="13" eb="15">
      <t>コウゲキ</t>
    </rPh>
    <phoneticPr fontId="2"/>
  </si>
  <si>
    <r>
      <t>ランダムでお邪魔パネルに</t>
    </r>
    <r>
      <rPr>
        <sz val="10"/>
        <color rgb="FFFF0000"/>
        <rFont val="ＭＳ Ｐゴシック (本文)"/>
        <family val="3"/>
        <charset val="128"/>
      </rPr>
      <t>最大</t>
    </r>
    <r>
      <rPr>
        <sz val="10"/>
        <color theme="1"/>
        <rFont val="ＭＳ Ｐゴシック"/>
        <family val="3"/>
        <charset val="128"/>
        <scheme val="minor"/>
      </rPr>
      <t>5個変換+
属性パネルプロテクト(最大20個)</t>
    </r>
    <rPh sb="12" eb="14">
      <t>サイダイ</t>
    </rPh>
    <phoneticPr fontId="2"/>
  </si>
  <si>
    <t>あたしを……本気にさせたわね</t>
  </si>
  <si>
    <t>干ばつの恐ろしさを教えてあげる</t>
    <rPh sb="0" eb="1">
      <t>カンバツ</t>
    </rPh>
    <rPh sb="4" eb="5">
      <t>オソロシサヲ</t>
    </rPh>
    <rPh sb="9" eb="10">
      <t>オシエテアゲル</t>
    </rPh>
    <phoneticPr fontId="2"/>
  </si>
  <si>
    <t>雨…好きなんだけどなぁ</t>
    <rPh sb="0" eb="1">
      <t>アメ</t>
    </rPh>
    <rPh sb="2" eb="3">
      <t>スキナンダケドナ</t>
    </rPh>
    <phoneticPr fontId="2"/>
  </si>
  <si>
    <t>うん…ガルーダ…あとはお願いね</t>
  </si>
  <si>
    <t>2ターン全ユニットの回復力20%DOWN</t>
    <rPh sb="4" eb="5">
      <t>ゼンタイノ</t>
    </rPh>
    <rPh sb="10" eb="13">
      <t>カイフクリョク</t>
    </rPh>
    <phoneticPr fontId="2"/>
  </si>
  <si>
    <t>2ターン全ユニットの回復力40%DOWN</t>
    <rPh sb="4" eb="5">
      <t>ゼンタイノ</t>
    </rPh>
    <rPh sb="10" eb="13">
      <t>カイフクリョク</t>
    </rPh>
    <phoneticPr fontId="2"/>
  </si>
  <si>
    <r>
      <rPr>
        <sz val="10"/>
        <color rgb="FFFF0000"/>
        <rFont val="ＭＳ Ｐゴシック (本文)"/>
        <family val="3"/>
        <charset val="128"/>
      </rPr>
      <t>3ターン</t>
    </r>
    <r>
      <rPr>
        <sz val="10"/>
        <color theme="1"/>
        <rFont val="ＭＳ Ｐゴシック"/>
        <family val="3"/>
        <charset val="128"/>
        <scheme val="minor"/>
      </rPr>
      <t>赤パネルを吸収して防御力UP</t>
    </r>
    <rPh sb="4" eb="5">
      <t>アカ</t>
    </rPh>
    <rPh sb="13" eb="15">
      <t>ボウギョ</t>
    </rPh>
    <phoneticPr fontId="2"/>
  </si>
  <si>
    <r>
      <t>ランダムでお邪魔パネルに</t>
    </r>
    <r>
      <rPr>
        <sz val="10"/>
        <color rgb="FFFF0000"/>
        <rFont val="ＭＳ Ｐゴシック (本文)"/>
        <family val="3"/>
        <charset val="128"/>
      </rPr>
      <t>最大</t>
    </r>
    <r>
      <rPr>
        <sz val="10"/>
        <color theme="1"/>
        <rFont val="ＭＳ Ｐゴシック"/>
        <family val="3"/>
        <charset val="128"/>
        <scheme val="minor"/>
      </rPr>
      <t>1個変換</t>
    </r>
    <rPh sb="12" eb="14">
      <t>サイダイ</t>
    </rPh>
    <rPh sb="15" eb="16">
      <t>コ</t>
    </rPh>
    <rPh sb="16" eb="18">
      <t>ヘンカン</t>
    </rPh>
    <phoneticPr fontId="2"/>
  </si>
  <si>
    <r>
      <t>ランダムでお邪魔パネルに</t>
    </r>
    <r>
      <rPr>
        <sz val="10"/>
        <color rgb="FFFF0000"/>
        <rFont val="ＭＳ Ｐゴシック (本文)"/>
        <family val="3"/>
        <charset val="128"/>
      </rPr>
      <t>最大2</t>
    </r>
    <r>
      <rPr>
        <sz val="10"/>
        <color theme="1"/>
        <rFont val="ＭＳ Ｐゴシック"/>
        <family val="3"/>
        <charset val="128"/>
        <scheme val="minor"/>
      </rPr>
      <t>個変換+
属性パネルプロテクト(最大5個)</t>
    </r>
    <rPh sb="12" eb="14">
      <t>サイダイ</t>
    </rPh>
    <rPh sb="15" eb="16">
      <t>コ</t>
    </rPh>
    <rPh sb="16" eb="18">
      <t>ヘンカン</t>
    </rPh>
    <phoneticPr fontId="2"/>
  </si>
  <si>
    <t>2ターンお邪魔パネルを吸収して攻撃力UP+
2ターン行動頻度UP</t>
  </si>
  <si>
    <r>
      <t>ランダムでお邪魔パネルに</t>
    </r>
    <r>
      <rPr>
        <sz val="10"/>
        <color rgb="FFFF0000"/>
        <rFont val="ＭＳ Ｐゴシック (本文)"/>
        <family val="3"/>
        <charset val="128"/>
      </rPr>
      <t>最大</t>
    </r>
    <r>
      <rPr>
        <sz val="10"/>
        <color theme="1"/>
        <rFont val="ＭＳ Ｐゴシック"/>
        <family val="3"/>
        <charset val="128"/>
        <scheme val="minor"/>
      </rPr>
      <t>2個変換+
2回連続攻撃</t>
    </r>
    <rPh sb="12" eb="14">
      <t>サイダイ</t>
    </rPh>
    <rPh sb="15" eb="16">
      <t>コ</t>
    </rPh>
    <rPh sb="16" eb="18">
      <t>ヘンカン</t>
    </rPh>
    <rPh sb="21" eb="22">
      <t>カイ</t>
    </rPh>
    <rPh sb="22" eb="26">
      <t>レンゾクコウゲキ</t>
    </rPh>
    <phoneticPr fontId="2"/>
  </si>
  <si>
    <r>
      <t>ランダムでお邪魔パネルに</t>
    </r>
    <r>
      <rPr>
        <sz val="10"/>
        <color rgb="FFFF0000"/>
        <rFont val="ＭＳ Ｐゴシック (本文)"/>
        <family val="3"/>
        <charset val="128"/>
      </rPr>
      <t>最大</t>
    </r>
    <r>
      <rPr>
        <sz val="10"/>
        <color theme="1"/>
        <rFont val="ＭＳ Ｐゴシック"/>
        <family val="3"/>
        <charset val="128"/>
        <scheme val="minor"/>
      </rPr>
      <t>3個変換+
単体攻撃</t>
    </r>
    <rPh sb="12" eb="14">
      <t>サイダイ</t>
    </rPh>
    <rPh sb="15" eb="16">
      <t>コ</t>
    </rPh>
    <rPh sb="16" eb="18">
      <t>ヘンカン</t>
    </rPh>
    <phoneticPr fontId="2"/>
  </si>
  <si>
    <t>ランダムでお邪魔パネルに2個変換+
2回連続攻撃</t>
    <rPh sb="13" eb="14">
      <t>コ</t>
    </rPh>
    <rPh sb="14" eb="16">
      <t>ヘンカン</t>
    </rPh>
    <rPh sb="19" eb="20">
      <t>カイ</t>
    </rPh>
    <rPh sb="20" eb="24">
      <t>レンゾクコウゲキ</t>
    </rPh>
    <phoneticPr fontId="2"/>
  </si>
  <si>
    <r>
      <t>ランダムでお邪魔パネルに</t>
    </r>
    <r>
      <rPr>
        <sz val="10"/>
        <color rgb="FFFF0000"/>
        <rFont val="ＭＳ Ｐゴシック (本文)"/>
        <family val="3"/>
        <charset val="128"/>
      </rPr>
      <t>最大3</t>
    </r>
    <r>
      <rPr>
        <sz val="10"/>
        <color theme="1"/>
        <rFont val="ＭＳ Ｐゴシック"/>
        <family val="3"/>
        <charset val="128"/>
        <scheme val="minor"/>
      </rPr>
      <t>個変換+
2ターン全ユニットの攻撃力20%DOWN+
2ターン</t>
    </r>
    <r>
      <rPr>
        <sz val="10"/>
        <color rgb="FFFF0000"/>
        <rFont val="ＭＳ Ｐゴシック (本文)"/>
        <family val="3"/>
        <charset val="128"/>
      </rPr>
      <t>行動</t>
    </r>
    <r>
      <rPr>
        <sz val="10"/>
        <color theme="1"/>
        <rFont val="ＭＳ Ｐゴシック"/>
        <family val="3"/>
        <charset val="128"/>
        <scheme val="minor"/>
      </rPr>
      <t>頻度UP</t>
    </r>
    <rPh sb="12" eb="14">
      <t>サイダイ</t>
    </rPh>
    <rPh sb="46" eb="48">
      <t>コウドウ</t>
    </rPh>
    <rPh sb="48" eb="50">
      <t>コウゲキヒンド</t>
    </rPh>
    <phoneticPr fontId="2"/>
  </si>
  <si>
    <r>
      <t>ランダムでお邪魔パネルに</t>
    </r>
    <r>
      <rPr>
        <sz val="10"/>
        <color rgb="FFFF0000"/>
        <rFont val="ＭＳ Ｐゴシック (本文)"/>
        <family val="3"/>
        <charset val="128"/>
      </rPr>
      <t>最大</t>
    </r>
    <r>
      <rPr>
        <sz val="10"/>
        <color theme="1"/>
        <rFont val="ＭＳ Ｐゴシック"/>
        <family val="3"/>
        <charset val="128"/>
        <scheme val="minor"/>
      </rPr>
      <t>2個変換+
全体攻撃</t>
    </r>
    <rPh sb="12" eb="14">
      <t>サイダイ</t>
    </rPh>
    <rPh sb="20" eb="22">
      <t>ゼンタイ</t>
    </rPh>
    <rPh sb="22" eb="24">
      <t>コウゲキヒンド</t>
    </rPh>
    <phoneticPr fontId="2"/>
  </si>
  <si>
    <r>
      <rPr>
        <sz val="10"/>
        <color rgb="FFFF0000"/>
        <rFont val="ＭＳ Ｐゴシック (本文)"/>
        <family val="3"/>
        <charset val="128"/>
      </rPr>
      <t>5ターン</t>
    </r>
    <r>
      <rPr>
        <sz val="10"/>
        <color theme="1"/>
        <rFont val="ＭＳ Ｐゴシック"/>
        <family val="3"/>
        <charset val="128"/>
        <scheme val="minor"/>
      </rPr>
      <t>全ユニットの回復力60%DOWN</t>
    </r>
    <rPh sb="4" eb="5">
      <t>ゼンユニットノ</t>
    </rPh>
    <rPh sb="10" eb="13">
      <t>カイフクリョク</t>
    </rPh>
    <phoneticPr fontId="2"/>
  </si>
  <si>
    <r>
      <t>ランダムでお邪魔パネルに</t>
    </r>
    <r>
      <rPr>
        <sz val="10"/>
        <color rgb="FFFF0000"/>
        <rFont val="ＭＳ Ｐゴシック (本文)"/>
        <family val="3"/>
        <charset val="128"/>
      </rPr>
      <t>最大</t>
    </r>
    <r>
      <rPr>
        <sz val="10"/>
        <color theme="1"/>
        <rFont val="ＭＳ Ｐゴシック"/>
        <family val="3"/>
        <charset val="128"/>
        <scheme val="minor"/>
      </rPr>
      <t>2個変換+
4回連続攻撃</t>
    </r>
    <rPh sb="12" eb="14">
      <t>サイダイ</t>
    </rPh>
    <rPh sb="21" eb="22">
      <t>カイ</t>
    </rPh>
    <rPh sb="22" eb="24">
      <t>レンゾク</t>
    </rPh>
    <rPh sb="24" eb="26">
      <t>コウゲキヒンド</t>
    </rPh>
    <phoneticPr fontId="2"/>
  </si>
  <si>
    <r>
      <t>ランダムでお邪魔パネルに</t>
    </r>
    <r>
      <rPr>
        <sz val="10"/>
        <color rgb="FFFF0000"/>
        <rFont val="ＭＳ Ｐゴシック (本文)"/>
        <family val="3"/>
        <charset val="128"/>
      </rPr>
      <t>最大3</t>
    </r>
    <r>
      <rPr>
        <sz val="10"/>
        <color theme="1"/>
        <rFont val="ＭＳ Ｐゴシック"/>
        <family val="3"/>
        <charset val="128"/>
        <scheme val="minor"/>
      </rPr>
      <t>個変換+
属性パネルプロテクト(最大10個)</t>
    </r>
    <rPh sb="12" eb="14">
      <t>サイダイ</t>
    </rPh>
    <phoneticPr fontId="2"/>
  </si>
  <si>
    <t>杖よ！ あたしに力を！</t>
    <rPh sb="0" eb="1">
      <t>ツエヨ</t>
    </rPh>
    <rPh sb="8" eb="9">
      <t>チカラヲ</t>
    </rPh>
    <phoneticPr fontId="2"/>
  </si>
  <si>
    <t>あたしが耐えてきたのはこんなものじゃないわ！</t>
    <rPh sb="4" eb="5">
      <t>タエテキタ</t>
    </rPh>
    <phoneticPr fontId="2"/>
  </si>
  <si>
    <t>あたしは雨がだーいすきっ！</t>
    <rPh sb="4" eb="5">
      <t>アメガ</t>
    </rPh>
    <phoneticPr fontId="2"/>
  </si>
  <si>
    <t>杖よ！ あたしに癒しを！</t>
    <rPh sb="0" eb="1">
      <t>ツエヨ</t>
    </rPh>
    <rPh sb="8" eb="9">
      <t>イヤシ</t>
    </rPh>
    <phoneticPr fontId="2"/>
  </si>
  <si>
    <t>みんな！ 一緒にいくよ！</t>
    <rPh sb="5" eb="7">
      <t>イッショニ</t>
    </rPh>
    <phoneticPr fontId="2"/>
  </si>
  <si>
    <t>みんな！ 思いっきりやっちゃって！</t>
    <rPh sb="5" eb="6">
      <t>オモイッキリ</t>
    </rPh>
    <phoneticPr fontId="2"/>
  </si>
  <si>
    <t>杖よ！ 薙ぎ払って！</t>
    <rPh sb="0" eb="1">
      <t>ツエヨ</t>
    </rPh>
    <rPh sb="4" eb="5">
      <t>nagiharatte</t>
    </rPh>
    <phoneticPr fontId="2"/>
  </si>
  <si>
    <t>杖よ！ あたしに更なる癒しを！</t>
    <rPh sb="0" eb="1">
      <t>ツエヨ</t>
    </rPh>
    <rPh sb="8" eb="9">
      <t>サラナル</t>
    </rPh>
    <rPh sb="11" eb="12">
      <t>イヤシ</t>
    </rPh>
    <phoneticPr fontId="2"/>
  </si>
  <si>
    <t>人の子があたしを止められると思ってるの？</t>
    <rPh sb="0" eb="1">
      <t>ヒトノコガ</t>
    </rPh>
    <rPh sb="8" eb="9">
      <t>トメラレルト</t>
    </rPh>
    <rPh sb="14" eb="15">
      <t>オモッテルノ</t>
    </rPh>
    <phoneticPr fontId="2"/>
  </si>
  <si>
    <t>このくらいなら耐えられるよね？</t>
    <rPh sb="7" eb="8">
      <t>タエラレルヨネ</t>
    </rPh>
    <phoneticPr fontId="2"/>
  </si>
  <si>
    <t>雨って良いと思わない？</t>
    <rPh sb="0" eb="1">
      <t>アメッテ</t>
    </rPh>
    <rPh sb="3" eb="4">
      <t>イイト</t>
    </rPh>
    <rPh sb="6" eb="7">
      <t>オモワナイ</t>
    </rPh>
    <phoneticPr fontId="2"/>
  </si>
  <si>
    <t>ヘビに睨まれたカエルって知ってる？</t>
    <rPh sb="3" eb="4">
      <t>ニラマレタ</t>
    </rPh>
    <phoneticPr fontId="2"/>
  </si>
  <si>
    <t>これは耐えられないよね？</t>
    <rPh sb="3" eb="4">
      <t>タエラ</t>
    </rPh>
    <phoneticPr fontId="2"/>
  </si>
  <si>
    <t>あなたは…雨は…きらい？</t>
  </si>
  <si>
    <t>あたしが雨好きなの知ってるでしょ？</t>
  </si>
  <si>
    <t>サンダーバードは
攻撃頻度1の全体攻撃を行います</t>
    <phoneticPr fontId="5"/>
  </si>
  <si>
    <t>サンダーバードは
攻撃頻度1の全体攻撃を行います</t>
    <phoneticPr fontId="5"/>
  </si>
  <si>
    <t>ナーガの1ゲージ目は
種族ヒューマンのユニットに対して
大ダメージを与える攻撃を行います
パーティ編成に気をつけましょう</t>
  </si>
  <si>
    <t>ナーガの1ゲージ目は
種族ヒューマンのユニットに対して
大ダメージを与える攻撃を行います
パーティ編成に気をつけましょう</t>
    <phoneticPr fontId="5"/>
  </si>
  <si>
    <t>ナーガの3ゲージ目はHP75%以下の時
回復力が大幅に下がるスキルを使用します</t>
    <phoneticPr fontId="5"/>
  </si>
  <si>
    <t>ナーガの3ゲージ目はHP75%以下の時
回復力が大幅に下がるスキルを使用します</t>
    <phoneticPr fontId="5"/>
  </si>
  <si>
    <t>ナーガの2ゲージ目はHP50%以下の時
お邪魔パネルを吸収して
自身のHPを回復します</t>
    <phoneticPr fontId="5"/>
  </si>
  <si>
    <t>ナーガの3ゲージ目はHP50%以下の時
お邪魔パネルを吸収して
自身のHPを回復します</t>
    <phoneticPr fontId="5"/>
  </si>
  <si>
    <t>ナーガの2ゲージ目はHP50%以下の時
お邪魔パネルを吸収して
自身のHPを回復します</t>
    <phoneticPr fontId="5"/>
  </si>
  <si>
    <t>ナーガの3ゲージ目はHP50%以下の時
お邪魔パネルを吸収して
自身のHPを回復します</t>
    <phoneticPr fontId="5"/>
  </si>
  <si>
    <t>ナーガの3ゲージ目はHP50%以下の時
お邪魔パネルを吸収して全体攻撃を行います</t>
  </si>
  <si>
    <t>ナーガの3ゲージ目はHP50%以下の時
お邪魔パネルを吸収して全体攻撃を行います</t>
    <phoneticPr fontId="5"/>
  </si>
  <si>
    <t>ナーガの3ゲージ目はHP25%以下の時
予告を行った次のターンに
強力な青パネル吸収攻撃を行います</t>
  </si>
  <si>
    <t>ナーガの3ゲージ目はHP25%以下の時
予告を行った次のターンに
強力な青パネル吸収攻撃を行います</t>
    <phoneticPr fontId="5"/>
  </si>
  <si>
    <t>アマラの1ゲージ目はHP30%以下の時
回復力が下がるスキルを使用します</t>
  </si>
  <si>
    <t>アマラの1ゲージ目はHP30%以下の時
回復力が下がるスキルを使用します</t>
    <phoneticPr fontId="5"/>
  </si>
  <si>
    <t>アマラの2ゲージ目はHP30%以下の時
ハートパネルをプロテクトしてきます</t>
  </si>
  <si>
    <t>アマラの2ゲージ目はHP30%以下の時
ハートパネルをプロテクトしてきます</t>
    <phoneticPr fontId="5"/>
  </si>
  <si>
    <t>[effect:enemy_message, val1:1.2, val2:1.2],[effect:freq_turn, target:unit_one, turn:-1, val:1, animation:enemy_freq_turn]</t>
  </si>
  <si>
    <t>[effect:enemy_message, val1:1.2, val2:1.2],[effect:freq_turn, target:unit_one, turn:-1, val:1, animation:enemy_freq_turn]</t>
    <phoneticPr fontId="5"/>
  </si>
  <si>
    <t>敵1体の行動頻度UP</t>
  </si>
  <si>
    <t>敵1体の行動頻度UP</t>
    <phoneticPr fontId="5"/>
  </si>
  <si>
    <t>[effect:enemy_message, val1:1.5, val2:3.0],[effect:break_attack_fix, target:unit_all, val:250, lowest_val:1500, count:-1, block01:block_blue],[effect:change_panel_ratio, turn:-1, block_type:blue, val:0, animation:block_incidence04]</t>
    <phoneticPr fontId="5"/>
  </si>
  <si>
    <t>[effect:enemy_message, val1:1.5, val2:3.0],[effect:break_attack_fix, target:unit_all, val:150, lowest_val:1000, count:-1, block01:block_blue],[effect:change_panel_ratio, turn:-1, block_type:blue, val:0, animation:block_incidence04]</t>
    <phoneticPr fontId="5"/>
  </si>
  <si>
    <t>[effect:enemy_message, val1:2.2, val2:2.3],[effect:force_change_block, new_block:jammer, target:block_all, ignore01:block_positive, ignore02:block_negative, count:3, val:0, animation:change_block],[effect:damage_gravity, val:0.3, animation:fevergauge_down],[effect:fix_speed, target:myself, turn:1]</t>
    <phoneticPr fontId="5"/>
  </si>
  <si>
    <t>[effect:enemy_message, val1:2.2, val2:2.3],[effect:force_change_block, new_block:jammer, target:block_all, ignore01:block_positive, ignore02:block_negative, count:3, val:0, animation:change_block],[effect:damage_gravity, val:0.3, animation:fevergauge_down],[effect:fix_speed, target:myself, turn:1]</t>
    <phoneticPr fontId="5"/>
  </si>
  <si>
    <r>
      <t>ランダムでお邪魔パネルに</t>
    </r>
    <r>
      <rPr>
        <sz val="10"/>
        <color rgb="FFFF0000"/>
        <rFont val="ＭＳ Ｐゴシック (本文)"/>
        <family val="3"/>
        <charset val="128"/>
      </rPr>
      <t>最大</t>
    </r>
    <r>
      <rPr>
        <sz val="10"/>
        <color theme="1"/>
        <rFont val="ＭＳ Ｐゴシック"/>
        <family val="3"/>
        <charset val="128"/>
        <scheme val="minor"/>
      </rPr>
      <t>3個変換+
残りHPの30%ダメージ！</t>
    </r>
    <rPh sb="12" eb="14">
      <t>サイダイ</t>
    </rPh>
    <rPh sb="15" eb="16">
      <t>コ</t>
    </rPh>
    <rPh sb="16" eb="18">
      <t>ヘンカン</t>
    </rPh>
    <phoneticPr fontId="2"/>
  </si>
  <si>
    <t>天候管理のAIで怒ると干ばつをおこし
なだめると雨を降らします
天候管理に責任感を持っており
その為自身の感情を抑えています</t>
  </si>
  <si>
    <t>天候管理のAIで怒ると干ばつをおこし
なだめると雨を降らします
天候管理に責任感を持っており
その為自身の感情を抑えています</t>
    <phoneticPr fontId="5"/>
  </si>
  <si>
    <t>天候管理AIのガルーダは晴れを司っており
女王の暴走後感情が爆発し
雨しか降らせなくなってしまったナーガを
止めにきました</t>
  </si>
  <si>
    <t>天候管理AIのガルーダは晴れを司っており
女王の暴走後感情が爆発し
雨しか降らせなくなってしまったナーガを
止めにきました</t>
    <phoneticPr fontId="5"/>
  </si>
  <si>
    <t>みんな！ まだまだいくよ！</t>
    <phoneticPr fontId="2"/>
  </si>
  <si>
    <t>みんな！ まだまだいくよ！</t>
    <phoneticPr fontId="5"/>
  </si>
  <si>
    <t>青パネルを吸収して全体攻撃+
青パネルが出現しない</t>
    <rPh sb="0" eb="1">
      <t>アオパネル</t>
    </rPh>
    <rPh sb="5" eb="7">
      <t>キュウシュウ</t>
    </rPh>
    <rPh sb="9" eb="13">
      <t>ゼンタイコウゲキ</t>
    </rPh>
    <rPh sb="15" eb="16">
      <t>アオ</t>
    </rPh>
    <phoneticPr fontId="2"/>
  </si>
  <si>
    <t>次ターン青パネルを吸収して全体攻撃</t>
    <rPh sb="0" eb="1">
      <t>ツギノターン</t>
    </rPh>
    <rPh sb="4" eb="5">
      <t>アオパネル</t>
    </rPh>
    <rPh sb="9" eb="11">
      <t>キュウシュウ</t>
    </rPh>
    <rPh sb="13" eb="17">
      <t>ゼンタイコウゲキ</t>
    </rPh>
    <phoneticPr fontId="2"/>
  </si>
  <si>
    <t>[effect:enemy_message, val1:1.4, val2:1.7]</t>
    <phoneticPr fontId="5"/>
  </si>
  <si>
    <t>[effect:enemy_message, val1:1.4, val2:1.7]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</si>
</sst>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 (本文)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70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8">
    <xf numFmtId="0" fontId="0" fillId="0" borderId="0" xfId="0"/>
    <xf numFmtId="0" fontId="4" fillId="0" borderId="0" xfId="0" applyFont="1" applyAlignment="1">
      <alignment vertical="center"/>
    </xf>
    <xf numFmtId="0" fontId="6" fillId="5" borderId="2" xfId="0" applyFont="1" applyFill="1" applyBorder="1" applyAlignment="1">
      <alignment vertical="center"/>
    </xf>
    <xf numFmtId="0" fontId="8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6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8" xfId="0" applyFont="1" applyFill="1" applyBorder="1" applyAlignment="1">
      <alignment vertical="center"/>
    </xf>
    <xf numFmtId="0" fontId="6" fillId="5" borderId="6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176" fontId="4" fillId="0" borderId="2" xfId="0" applyNumberFormat="1" applyFont="1" applyFill="1" applyBorder="1" applyAlignment="1">
      <alignment horizontal="center" vertical="center"/>
    </xf>
    <xf numFmtId="0" fontId="6" fillId="3" borderId="6" xfId="0" applyFont="1" applyFill="1" applyBorder="1" applyAlignment="1">
      <alignment vertical="center"/>
    </xf>
    <xf numFmtId="177" fontId="8" fillId="0" borderId="3" xfId="0" applyNumberFormat="1" applyFont="1" applyBorder="1" applyAlignment="1">
      <alignment vertical="center"/>
    </xf>
    <xf numFmtId="0" fontId="4" fillId="2" borderId="6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9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6" xfId="0" applyFont="1" applyFill="1" applyBorder="1" applyAlignment="1">
      <alignment horizontal="left" vertical="center"/>
    </xf>
    <xf numFmtId="0" fontId="6" fillId="0" borderId="6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6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6" xfId="0" applyFont="1" applyFill="1" applyBorder="1" applyAlignment="1">
      <alignment horizontal="left" vertical="center"/>
    </xf>
    <xf numFmtId="0" fontId="16" fillId="0" borderId="6" xfId="0" applyFont="1" applyFill="1" applyBorder="1" applyAlignment="1">
      <alignment vertical="center"/>
    </xf>
    <xf numFmtId="0" fontId="16" fillId="3" borderId="6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6" xfId="0" applyFont="1" applyFill="1" applyBorder="1" applyAlignment="1">
      <alignment horizontal="left" vertical="center"/>
    </xf>
    <xf numFmtId="0" fontId="16" fillId="0" borderId="6" xfId="0" applyFont="1" applyFill="1" applyBorder="1" applyAlignment="1">
      <alignment horizontal="left" vertical="center" wrapText="1"/>
    </xf>
    <xf numFmtId="14" fontId="16" fillId="0" borderId="6" xfId="0" applyNumberFormat="1" applyFont="1" applyFill="1" applyBorder="1" applyAlignment="1">
      <alignment horizontal="left" vertical="center"/>
    </xf>
    <xf numFmtId="0" fontId="11" fillId="6" borderId="1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6" xfId="0" applyFont="1" applyFill="1" applyBorder="1"/>
    <xf numFmtId="0" fontId="0" fillId="11" borderId="6" xfId="0" applyFill="1" applyBorder="1"/>
    <xf numFmtId="0" fontId="0" fillId="0" borderId="6" xfId="0" applyBorder="1"/>
    <xf numFmtId="0" fontId="0" fillId="6" borderId="6" xfId="0" applyFill="1" applyBorder="1"/>
    <xf numFmtId="0" fontId="26" fillId="12" borderId="6" xfId="0" applyFont="1" applyFill="1" applyBorder="1"/>
    <xf numFmtId="0" fontId="13" fillId="11" borderId="6" xfId="434" applyFont="1" applyFill="1" applyBorder="1" applyAlignment="1"/>
    <xf numFmtId="0" fontId="24" fillId="0" borderId="6" xfId="434" applyBorder="1" applyAlignment="1"/>
    <xf numFmtId="0" fontId="0" fillId="13" borderId="6" xfId="0" applyFill="1" applyBorder="1"/>
    <xf numFmtId="0" fontId="16" fillId="3" borderId="6" xfId="0" applyFont="1" applyFill="1" applyBorder="1" applyAlignment="1">
      <alignment horizontal="left" vertical="center" wrapText="1"/>
    </xf>
    <xf numFmtId="0" fontId="16" fillId="6" borderId="6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6" xfId="615" applyFont="1" applyFill="1" applyBorder="1"/>
    <xf numFmtId="0" fontId="0" fillId="0" borderId="6" xfId="615" applyFont="1" applyBorder="1"/>
    <xf numFmtId="0" fontId="2" fillId="11" borderId="6" xfId="615" applyFill="1" applyBorder="1"/>
    <xf numFmtId="0" fontId="4" fillId="0" borderId="6" xfId="0" applyFont="1" applyBorder="1" applyAlignment="1">
      <alignment vertical="center"/>
    </xf>
    <xf numFmtId="0" fontId="0" fillId="3" borderId="6" xfId="0" applyFill="1" applyBorder="1"/>
    <xf numFmtId="0" fontId="16" fillId="3" borderId="6" xfId="614" applyFont="1" applyFill="1" applyBorder="1" applyAlignment="1">
      <alignment horizontal="left"/>
    </xf>
    <xf numFmtId="0" fontId="16" fillId="6" borderId="6" xfId="0" applyFont="1" applyFill="1" applyBorder="1" applyAlignment="1">
      <alignment horizontal="center"/>
    </xf>
    <xf numFmtId="56" fontId="16" fillId="6" borderId="6" xfId="0" applyNumberFormat="1" applyFont="1" applyFill="1" applyBorder="1" applyAlignment="1">
      <alignment horizontal="center"/>
    </xf>
    <xf numFmtId="0" fontId="2" fillId="0" borderId="0" xfId="615"/>
    <xf numFmtId="0" fontId="27" fillId="6" borderId="6" xfId="0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/>
    </xf>
    <xf numFmtId="0" fontId="16" fillId="14" borderId="6" xfId="0" applyFont="1" applyFill="1" applyBorder="1" applyAlignment="1">
      <alignment horizontal="center"/>
    </xf>
    <xf numFmtId="0" fontId="16" fillId="15" borderId="6" xfId="0" applyFont="1" applyFill="1" applyBorder="1" applyAlignment="1">
      <alignment horizontal="center"/>
    </xf>
    <xf numFmtId="0" fontId="0" fillId="15" borderId="6" xfId="0" applyFill="1" applyBorder="1"/>
    <xf numFmtId="0" fontId="27" fillId="0" borderId="6" xfId="0" applyFont="1" applyFill="1" applyBorder="1"/>
    <xf numFmtId="0" fontId="28" fillId="0" borderId="6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6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6" xfId="0" applyFont="1" applyFill="1" applyBorder="1"/>
    <xf numFmtId="0" fontId="31" fillId="0" borderId="6" xfId="0" applyFont="1" applyFill="1" applyBorder="1"/>
    <xf numFmtId="0" fontId="27" fillId="0" borderId="0" xfId="0" applyFont="1" applyFill="1"/>
    <xf numFmtId="0" fontId="16" fillId="30" borderId="6" xfId="0" applyFont="1" applyFill="1" applyBorder="1" applyAlignment="1">
      <alignment horizontal="center"/>
    </xf>
    <xf numFmtId="0" fontId="30" fillId="30" borderId="6" xfId="0" applyFont="1" applyFill="1" applyBorder="1"/>
    <xf numFmtId="0" fontId="16" fillId="13" borderId="6" xfId="0" applyFont="1" applyFill="1" applyBorder="1" applyAlignment="1">
      <alignment horizontal="center"/>
    </xf>
    <xf numFmtId="56" fontId="16" fillId="14" borderId="6" xfId="0" applyNumberFormat="1" applyFont="1" applyFill="1" applyBorder="1" applyAlignment="1">
      <alignment horizontal="center"/>
    </xf>
    <xf numFmtId="0" fontId="16" fillId="6" borderId="6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6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6" xfId="0" applyFont="1" applyFill="1" applyBorder="1"/>
    <xf numFmtId="22" fontId="30" fillId="0" borderId="6" xfId="0" quotePrefix="1" applyNumberFormat="1" applyFont="1" applyFill="1" applyBorder="1"/>
    <xf numFmtId="0" fontId="30" fillId="0" borderId="6" xfId="0" quotePrefix="1" applyFont="1" applyFill="1" applyBorder="1"/>
    <xf numFmtId="0" fontId="2" fillId="0" borderId="6" xfId="615" applyBorder="1"/>
    <xf numFmtId="0" fontId="2" fillId="6" borderId="6" xfId="615" applyFill="1" applyBorder="1"/>
    <xf numFmtId="0" fontId="4" fillId="31" borderId="6" xfId="0" applyFont="1" applyFill="1" applyBorder="1" applyAlignment="1">
      <alignment horizontal="left" vertical="center"/>
    </xf>
    <xf numFmtId="1" fontId="32" fillId="31" borderId="6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6" fillId="0" borderId="8" xfId="0" applyFont="1" applyFill="1" applyBorder="1" applyAlignment="1">
      <alignment vertical="center"/>
    </xf>
    <xf numFmtId="0" fontId="4" fillId="3" borderId="6" xfId="0" applyFont="1" applyFill="1" applyBorder="1" applyAlignment="1">
      <alignment vertical="center"/>
    </xf>
    <xf numFmtId="0" fontId="4" fillId="13" borderId="5" xfId="0" applyFont="1" applyFill="1" applyBorder="1" applyAlignment="1">
      <alignment vertical="center"/>
    </xf>
    <xf numFmtId="176" fontId="4" fillId="6" borderId="2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0" fontId="6" fillId="0" borderId="10" xfId="0" applyFont="1" applyFill="1" applyBorder="1" applyAlignment="1">
      <alignment vertical="center"/>
    </xf>
    <xf numFmtId="0" fontId="16" fillId="0" borderId="6" xfId="0" applyFont="1" applyFill="1" applyBorder="1" applyAlignment="1">
      <alignment vertical="center" wrapText="1"/>
    </xf>
    <xf numFmtId="0" fontId="16" fillId="32" borderId="6" xfId="0" applyFont="1" applyFill="1" applyBorder="1" applyAlignment="1">
      <alignment vertical="center"/>
    </xf>
    <xf numFmtId="0" fontId="16" fillId="32" borderId="6" xfId="0" applyFont="1" applyFill="1" applyBorder="1" applyAlignment="1">
      <alignment horizontal="left" vertical="center"/>
    </xf>
    <xf numFmtId="0" fontId="16" fillId="32" borderId="6" xfId="0" applyFont="1" applyFill="1" applyBorder="1" applyAlignment="1">
      <alignment horizontal="left" vertical="center" wrapText="1"/>
    </xf>
    <xf numFmtId="14" fontId="16" fillId="32" borderId="6" xfId="0" applyNumberFormat="1" applyFont="1" applyFill="1" applyBorder="1" applyAlignment="1">
      <alignment horizontal="left" vertical="center"/>
    </xf>
    <xf numFmtId="0" fontId="16" fillId="32" borderId="6" xfId="0" applyFont="1" applyFill="1" applyBorder="1" applyAlignment="1">
      <alignment vertical="center" wrapText="1"/>
    </xf>
    <xf numFmtId="0" fontId="16" fillId="13" borderId="6" xfId="0" applyFont="1" applyFill="1" applyBorder="1" applyAlignment="1">
      <alignment vertical="center"/>
    </xf>
    <xf numFmtId="0" fontId="0" fillId="0" borderId="6" xfId="0" applyFill="1" applyBorder="1"/>
    <xf numFmtId="38" fontId="16" fillId="0" borderId="6" xfId="628" applyFont="1" applyFill="1" applyBorder="1" applyAlignment="1">
      <alignment wrapText="1"/>
    </xf>
    <xf numFmtId="0" fontId="27" fillId="32" borderId="6" xfId="0" applyFont="1" applyFill="1" applyBorder="1"/>
    <xf numFmtId="0" fontId="28" fillId="32" borderId="6" xfId="0" applyFont="1" applyFill="1" applyBorder="1"/>
    <xf numFmtId="0" fontId="29" fillId="32" borderId="11" xfId="0" applyFont="1" applyFill="1" applyBorder="1" applyAlignment="1">
      <alignment vertical="center"/>
    </xf>
    <xf numFmtId="0" fontId="30" fillId="32" borderId="6" xfId="0" applyFont="1" applyFill="1" applyBorder="1"/>
    <xf numFmtId="0" fontId="31" fillId="32" borderId="6" xfId="0" applyFont="1" applyFill="1" applyBorder="1"/>
    <xf numFmtId="38" fontId="16" fillId="32" borderId="6" xfId="628" applyFont="1" applyFill="1" applyBorder="1" applyAlignment="1">
      <alignment wrapText="1"/>
    </xf>
    <xf numFmtId="0" fontId="0" fillId="32" borderId="6" xfId="0" applyFill="1" applyBorder="1"/>
    <xf numFmtId="0" fontId="4" fillId="0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8" fillId="0" borderId="22" xfId="0" applyFont="1" applyBorder="1" applyAlignment="1">
      <alignment vertical="center"/>
    </xf>
    <xf numFmtId="177" fontId="8" fillId="0" borderId="22" xfId="0" applyNumberFormat="1" applyFont="1" applyBorder="1" applyAlignment="1">
      <alignment vertical="center"/>
    </xf>
    <xf numFmtId="0" fontId="16" fillId="0" borderId="11" xfId="0" applyFont="1" applyFill="1" applyBorder="1" applyAlignment="1">
      <alignment vertical="center"/>
    </xf>
    <xf numFmtId="0" fontId="6" fillId="0" borderId="23" xfId="0" applyFont="1" applyFill="1" applyBorder="1" applyAlignment="1">
      <alignment vertical="center"/>
    </xf>
    <xf numFmtId="176" fontId="4" fillId="0" borderId="24" xfId="0" applyNumberFormat="1" applyFont="1" applyFill="1" applyBorder="1" applyAlignment="1">
      <alignment horizontal="center" vertical="center"/>
    </xf>
    <xf numFmtId="0" fontId="4" fillId="0" borderId="25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vertical="center"/>
    </xf>
    <xf numFmtId="0" fontId="6" fillId="0" borderId="25" xfId="0" applyFont="1" applyFill="1" applyBorder="1" applyAlignment="1">
      <alignment vertical="center"/>
    </xf>
    <xf numFmtId="0" fontId="4" fillId="0" borderId="25" xfId="0" applyFont="1" applyBorder="1" applyAlignment="1">
      <alignment horizontal="center" vertical="center"/>
    </xf>
    <xf numFmtId="0" fontId="6" fillId="5" borderId="26" xfId="0" applyFont="1" applyFill="1" applyBorder="1" applyAlignment="1">
      <alignment vertical="center"/>
    </xf>
    <xf numFmtId="0" fontId="8" fillId="0" borderId="27" xfId="0" applyFont="1" applyBorder="1" applyAlignment="1">
      <alignment vertical="center"/>
    </xf>
    <xf numFmtId="177" fontId="8" fillId="0" borderId="27" xfId="0" applyNumberFormat="1" applyFont="1" applyBorder="1" applyAlignment="1">
      <alignment vertical="center"/>
    </xf>
    <xf numFmtId="0" fontId="16" fillId="0" borderId="25" xfId="0" applyFont="1" applyFill="1" applyBorder="1" applyAlignment="1">
      <alignment vertical="center"/>
    </xf>
    <xf numFmtId="0" fontId="6" fillId="0" borderId="28" xfId="0" applyFont="1" applyFill="1" applyBorder="1" applyAlignment="1">
      <alignment vertical="center"/>
    </xf>
  </cellXfs>
  <cellStyles count="70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赤字強調" xfId="431"/>
    <cellStyle name="青字強調" xfId="430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48501_1</v>
          </cell>
        </row>
        <row r="903">
          <cell r="A903" t="str">
            <v>48501_2</v>
          </cell>
        </row>
        <row r="904">
          <cell r="A904" t="str">
            <v>48502_1</v>
          </cell>
        </row>
        <row r="905">
          <cell r="A905" t="str">
            <v>48502_2</v>
          </cell>
        </row>
        <row r="906">
          <cell r="A906" t="str">
            <v>48503_1</v>
          </cell>
        </row>
        <row r="907">
          <cell r="A907" t="str">
            <v>48503_2</v>
          </cell>
        </row>
        <row r="908">
          <cell r="A908" t="str">
            <v>48701_1</v>
          </cell>
        </row>
        <row r="909">
          <cell r="A909" t="str">
            <v>48701_2</v>
          </cell>
        </row>
        <row r="910">
          <cell r="A910" t="str">
            <v>48702_1</v>
          </cell>
        </row>
        <row r="911">
          <cell r="A911" t="str">
            <v>48702_2</v>
          </cell>
        </row>
        <row r="912">
          <cell r="A912" t="str">
            <v>49001_1</v>
          </cell>
        </row>
        <row r="913">
          <cell r="A913" t="str">
            <v>49002_1</v>
          </cell>
        </row>
        <row r="914">
          <cell r="A914" t="str">
            <v>49002_2</v>
          </cell>
        </row>
        <row r="915">
          <cell r="A915" t="str">
            <v>49003_1</v>
          </cell>
        </row>
        <row r="916">
          <cell r="A916" t="str">
            <v>49003_2</v>
          </cell>
        </row>
        <row r="917">
          <cell r="A917" t="str">
            <v>49004_1</v>
          </cell>
        </row>
        <row r="918">
          <cell r="A918" t="str">
            <v>49004_2</v>
          </cell>
        </row>
        <row r="919">
          <cell r="A919" t="str">
            <v>49004_3</v>
          </cell>
        </row>
        <row r="920">
          <cell r="A920" t="str">
            <v>49005_1</v>
          </cell>
        </row>
        <row r="921">
          <cell r="A921" t="str">
            <v>49006_1</v>
          </cell>
        </row>
        <row r="922">
          <cell r="A922" t="str">
            <v>49006_2</v>
          </cell>
        </row>
        <row r="923">
          <cell r="A923" t="str">
            <v>49007_1</v>
          </cell>
        </row>
        <row r="924">
          <cell r="A924" t="str">
            <v>49007_2</v>
          </cell>
        </row>
        <row r="925">
          <cell r="A925" t="str">
            <v>49007_3</v>
          </cell>
        </row>
        <row r="926">
          <cell r="A926" t="str">
            <v>49008_1</v>
          </cell>
        </row>
        <row r="927">
          <cell r="A927" t="str">
            <v>49009_1</v>
          </cell>
        </row>
        <row r="928">
          <cell r="A928" t="str">
            <v>49010_1</v>
          </cell>
        </row>
        <row r="929">
          <cell r="A929" t="str">
            <v>49011_1</v>
          </cell>
        </row>
        <row r="930">
          <cell r="A930" t="str">
            <v>49012_1</v>
          </cell>
        </row>
        <row r="931">
          <cell r="A931" t="str">
            <v>49013_1</v>
          </cell>
        </row>
        <row r="932">
          <cell r="A932" t="str">
            <v>49014_1</v>
          </cell>
        </row>
        <row r="933">
          <cell r="A933" t="str">
            <v>49014_2</v>
          </cell>
        </row>
        <row r="934">
          <cell r="A934" t="str">
            <v>49015_1</v>
          </cell>
        </row>
        <row r="935">
          <cell r="A935" t="str">
            <v>49015_2</v>
          </cell>
        </row>
        <row r="936">
          <cell r="A936" t="str">
            <v>49015_3</v>
          </cell>
        </row>
        <row r="937">
          <cell r="A937" t="str">
            <v>49016_1</v>
          </cell>
        </row>
        <row r="938">
          <cell r="A938" t="str">
            <v>49016_2</v>
          </cell>
        </row>
        <row r="939">
          <cell r="A939" t="str">
            <v>50001_1</v>
          </cell>
        </row>
        <row r="940">
          <cell r="A940" t="str">
            <v>50002_1</v>
          </cell>
        </row>
        <row r="941">
          <cell r="A941" t="str">
            <v>50003_1</v>
          </cell>
        </row>
        <row r="942">
          <cell r="A942" t="str">
            <v>50004_1</v>
          </cell>
        </row>
        <row r="943">
          <cell r="A943" t="str">
            <v>50005_1</v>
          </cell>
        </row>
        <row r="944">
          <cell r="A944" t="str">
            <v>50006_1</v>
          </cell>
        </row>
        <row r="945">
          <cell r="A945" t="str">
            <v>50007_1</v>
          </cell>
        </row>
        <row r="946">
          <cell r="A946" t="str">
            <v>50008_1</v>
          </cell>
        </row>
        <row r="947">
          <cell r="A947" t="str">
            <v>50009_1</v>
          </cell>
        </row>
        <row r="948">
          <cell r="A948" t="str">
            <v>50010_1</v>
          </cell>
        </row>
        <row r="949">
          <cell r="A949" t="str">
            <v>50011_1</v>
          </cell>
        </row>
        <row r="950">
          <cell r="A950" t="str">
            <v>50012_1</v>
          </cell>
        </row>
        <row r="951">
          <cell r="A951" t="str">
            <v>50013_1</v>
          </cell>
        </row>
        <row r="952">
          <cell r="A952" t="str">
            <v>50014_1</v>
          </cell>
        </row>
        <row r="953">
          <cell r="A953" t="str">
            <v>50015_1</v>
          </cell>
        </row>
        <row r="954">
          <cell r="A954" t="str">
            <v>50016_1</v>
          </cell>
        </row>
        <row r="955">
          <cell r="A955" t="str">
            <v>51001_1</v>
          </cell>
        </row>
        <row r="956">
          <cell r="A956" t="str">
            <v>51002_1</v>
          </cell>
        </row>
        <row r="957">
          <cell r="A957" t="str">
            <v>58001_1</v>
          </cell>
        </row>
        <row r="958">
          <cell r="A958" t="str">
            <v>58002_1</v>
          </cell>
        </row>
        <row r="959">
          <cell r="A959" t="str">
            <v>59001_1</v>
          </cell>
        </row>
        <row r="960">
          <cell r="A960" t="str">
            <v>59002_1</v>
          </cell>
        </row>
        <row r="961">
          <cell r="A961" t="str">
            <v>59003_1</v>
          </cell>
        </row>
        <row r="962">
          <cell r="A962" t="str">
            <v>59003_2</v>
          </cell>
        </row>
        <row r="963">
          <cell r="A963" t="str">
            <v>60001_1</v>
          </cell>
        </row>
        <row r="964">
          <cell r="A964" t="str">
            <v>60002_1</v>
          </cell>
        </row>
        <row r="965">
          <cell r="A965" t="str">
            <v>60002_2</v>
          </cell>
        </row>
        <row r="966">
          <cell r="A966" t="str">
            <v>60003_1</v>
          </cell>
        </row>
        <row r="967">
          <cell r="A967" t="str">
            <v>60003_2</v>
          </cell>
        </row>
        <row r="968">
          <cell r="A968" t="str">
            <v>60003_3</v>
          </cell>
        </row>
        <row r="969">
          <cell r="A969" t="str">
            <v>60004_1</v>
          </cell>
        </row>
        <row r="970">
          <cell r="A970" t="str">
            <v>60005_1</v>
          </cell>
        </row>
        <row r="971">
          <cell r="A971" t="str">
            <v>60006_1</v>
          </cell>
        </row>
        <row r="972">
          <cell r="A972" t="str">
            <v>60006_2</v>
          </cell>
        </row>
        <row r="973">
          <cell r="A973" t="str">
            <v>60006_3</v>
          </cell>
        </row>
        <row r="974">
          <cell r="A974" t="str">
            <v>60007_1</v>
          </cell>
        </row>
        <row r="975">
          <cell r="A975" t="str">
            <v>60007_2</v>
          </cell>
        </row>
        <row r="976">
          <cell r="A976" t="str">
            <v>60007_3</v>
          </cell>
        </row>
        <row r="977">
          <cell r="A977" t="str">
            <v>60010_1</v>
          </cell>
        </row>
        <row r="978">
          <cell r="A978" t="str">
            <v>60011_1</v>
          </cell>
        </row>
        <row r="979">
          <cell r="A979" t="str">
            <v>60011_2</v>
          </cell>
        </row>
        <row r="980">
          <cell r="A980" t="str">
            <v>60012_1</v>
          </cell>
        </row>
        <row r="981">
          <cell r="A981" t="str">
            <v>60013_1</v>
          </cell>
        </row>
        <row r="982">
          <cell r="A982" t="str">
            <v>60013_2</v>
          </cell>
        </row>
        <row r="983">
          <cell r="A983" t="str">
            <v>60013_3</v>
          </cell>
        </row>
        <row r="984">
          <cell r="A984" t="str">
            <v>60014_1</v>
          </cell>
        </row>
        <row r="985">
          <cell r="A985" t="str">
            <v>60015_1</v>
          </cell>
        </row>
        <row r="986">
          <cell r="A986" t="str">
            <v>60016_1</v>
          </cell>
        </row>
        <row r="987">
          <cell r="A987" t="str">
            <v>60017_1</v>
          </cell>
        </row>
        <row r="988">
          <cell r="A988" t="str">
            <v>60018_1</v>
          </cell>
        </row>
        <row r="989">
          <cell r="A989" t="str">
            <v>60019_1</v>
          </cell>
        </row>
        <row r="990">
          <cell r="A990" t="str">
            <v>60020_1</v>
          </cell>
        </row>
        <row r="991">
          <cell r="A991" t="str">
            <v>60021_3</v>
          </cell>
        </row>
        <row r="992">
          <cell r="A992" t="str">
            <v>60022_3</v>
          </cell>
        </row>
        <row r="993">
          <cell r="A993" t="str">
            <v>60023_3</v>
          </cell>
        </row>
        <row r="994">
          <cell r="A994" t="str">
            <v>60024_3</v>
          </cell>
        </row>
        <row r="995">
          <cell r="A995" t="str">
            <v>60025_1</v>
          </cell>
        </row>
        <row r="996">
          <cell r="A996" t="str">
            <v>60026_1</v>
          </cell>
        </row>
        <row r="997">
          <cell r="A997" t="str">
            <v>61011_1</v>
          </cell>
        </row>
        <row r="998">
          <cell r="A998" t="str">
            <v>60027_1</v>
          </cell>
        </row>
        <row r="999">
          <cell r="A999" t="str">
            <v>60028_1</v>
          </cell>
        </row>
        <row r="1000">
          <cell r="A1000" t="str">
            <v>60029_1</v>
          </cell>
        </row>
        <row r="1001">
          <cell r="A1001" t="str">
            <v>60030_1</v>
          </cell>
        </row>
        <row r="1002">
          <cell r="A1002" t="str">
            <v>60031_1</v>
          </cell>
        </row>
        <row r="1003">
          <cell r="A1003" t="str">
            <v>65523_1</v>
          </cell>
        </row>
        <row r="1004">
          <cell r="A1004" t="str">
            <v>65523_2</v>
          </cell>
        </row>
        <row r="1005">
          <cell r="A1005" t="str">
            <v>65523_3</v>
          </cell>
        </row>
        <row r="1006">
          <cell r="A1006" t="str">
            <v>65524_1</v>
          </cell>
        </row>
        <row r="1007">
          <cell r="A1007" t="str">
            <v>65524_2</v>
          </cell>
        </row>
        <row r="1008">
          <cell r="A1008" t="str">
            <v>65525_1</v>
          </cell>
        </row>
        <row r="1009">
          <cell r="A1009" t="str">
            <v>65526_1</v>
          </cell>
        </row>
        <row r="1010">
          <cell r="A1010" t="str">
            <v>65526_2</v>
          </cell>
        </row>
        <row r="1011">
          <cell r="A1011" t="str">
            <v>65527_1</v>
          </cell>
        </row>
        <row r="1012">
          <cell r="A1012" t="str">
            <v>65528_1</v>
          </cell>
        </row>
        <row r="1013">
          <cell r="A1013" t="str">
            <v>65529_1</v>
          </cell>
        </row>
        <row r="1014">
          <cell r="A1014" t="str">
            <v>65530_1</v>
          </cell>
        </row>
        <row r="1015">
          <cell r="A1015" t="str">
            <v>65531_1</v>
          </cell>
        </row>
        <row r="1016">
          <cell r="A1016" t="str">
            <v>65531_2</v>
          </cell>
        </row>
        <row r="1017">
          <cell r="A1017" t="str">
            <v>65532_1</v>
          </cell>
        </row>
        <row r="1018">
          <cell r="A1018" t="str">
            <v>65532_2</v>
          </cell>
        </row>
        <row r="1019">
          <cell r="A1019" t="str">
            <v>65533_1</v>
          </cell>
        </row>
        <row r="1020">
          <cell r="A1020" t="str">
            <v>65533_2</v>
          </cell>
        </row>
        <row r="1021">
          <cell r="A1021" t="str">
            <v>65534_1</v>
          </cell>
        </row>
        <row r="1022">
          <cell r="A1022" t="str">
            <v>65534_2</v>
          </cell>
        </row>
        <row r="1023">
          <cell r="A1023" t="str">
            <v>65535_1</v>
          </cell>
        </row>
        <row r="1024">
          <cell r="A1024" t="str">
            <v>65535_2</v>
          </cell>
        </row>
        <row r="1025">
          <cell r="A1025" t="str">
            <v>65535_3</v>
          </cell>
        </row>
        <row r="1026">
          <cell r="A1026" t="str">
            <v>65535_4</v>
          </cell>
        </row>
        <row r="1027">
          <cell r="A1027" t="str">
            <v>65535_5</v>
          </cell>
        </row>
        <row r="1028">
          <cell r="A1028" t="str">
            <v>65535_6</v>
          </cell>
        </row>
        <row r="1029">
          <cell r="A1029" t="str">
            <v>65535_7</v>
          </cell>
        </row>
        <row r="1030">
          <cell r="A1030" t="str">
            <v>65535_8</v>
          </cell>
        </row>
        <row r="1031">
          <cell r="A1031" t="str">
            <v>65535_9</v>
          </cell>
        </row>
        <row r="1032">
          <cell r="A103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E8" sqref="E8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49" t="s">
        <v>87</v>
      </c>
      <c r="B1" s="44" t="s">
        <v>59</v>
      </c>
      <c r="C1" s="44" t="s">
        <v>60</v>
      </c>
      <c r="D1" s="44" t="s">
        <v>61</v>
      </c>
      <c r="E1" s="44" t="s">
        <v>62</v>
      </c>
      <c r="F1" s="44" t="s">
        <v>63</v>
      </c>
      <c r="G1" s="44" t="s">
        <v>64</v>
      </c>
      <c r="H1" s="44"/>
      <c r="I1" s="44"/>
      <c r="J1" s="44"/>
      <c r="K1" s="44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</row>
    <row r="2" spans="1:30" x14ac:dyDescent="0.15">
      <c r="A2" s="50" t="s">
        <v>335</v>
      </c>
      <c r="B2" s="46" t="s">
        <v>65</v>
      </c>
      <c r="C2" s="51">
        <v>48503</v>
      </c>
      <c r="D2" s="46" t="s">
        <v>66</v>
      </c>
      <c r="E2" s="45" t="str">
        <f>B2&amp;C2&amp;D2</f>
        <v>floors_48503.tmp</v>
      </c>
      <c r="F2" s="46" t="s">
        <v>67</v>
      </c>
      <c r="G2" s="47" t="s">
        <v>0</v>
      </c>
      <c r="H2" s="47" t="s">
        <v>1</v>
      </c>
      <c r="I2" s="47" t="s">
        <v>13</v>
      </c>
      <c r="J2" s="47" t="s">
        <v>14</v>
      </c>
      <c r="K2" s="47" t="s">
        <v>15</v>
      </c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</row>
    <row r="3" spans="1:30" x14ac:dyDescent="0.15">
      <c r="A3" s="50" t="s">
        <v>335</v>
      </c>
      <c r="B3" s="46" t="s">
        <v>68</v>
      </c>
      <c r="C3" s="51">
        <v>48503</v>
      </c>
      <c r="D3" s="46" t="s">
        <v>66</v>
      </c>
      <c r="E3" s="45" t="str">
        <f>B3&amp;C3&amp;D3</f>
        <v>enemy_habitats_48503.tmp</v>
      </c>
      <c r="F3" s="46" t="s">
        <v>69</v>
      </c>
      <c r="G3" s="47" t="s">
        <v>0</v>
      </c>
      <c r="H3" s="47" t="s">
        <v>1</v>
      </c>
      <c r="I3" s="47" t="s">
        <v>13</v>
      </c>
      <c r="J3" s="47" t="s">
        <v>2</v>
      </c>
      <c r="K3" s="47" t="s">
        <v>3</v>
      </c>
      <c r="L3" s="47" t="s">
        <v>25</v>
      </c>
      <c r="M3" s="47" t="s">
        <v>27</v>
      </c>
      <c r="N3" s="47" t="s">
        <v>29</v>
      </c>
      <c r="O3" s="47" t="s">
        <v>18</v>
      </c>
      <c r="P3" s="47" t="s">
        <v>5</v>
      </c>
      <c r="Q3" s="47" t="s">
        <v>6</v>
      </c>
      <c r="R3" s="47" t="s">
        <v>7</v>
      </c>
      <c r="S3" s="47" t="s">
        <v>8</v>
      </c>
      <c r="T3" s="47" t="s">
        <v>9</v>
      </c>
      <c r="U3" s="47" t="s">
        <v>10</v>
      </c>
      <c r="V3" s="47" t="s">
        <v>11</v>
      </c>
      <c r="W3" s="47" t="s">
        <v>12</v>
      </c>
      <c r="X3" s="47" t="s">
        <v>20</v>
      </c>
      <c r="Y3" s="47" t="s">
        <v>21</v>
      </c>
      <c r="Z3" s="47" t="s">
        <v>22</v>
      </c>
      <c r="AA3" s="47" t="s">
        <v>23</v>
      </c>
      <c r="AB3" s="47" t="s">
        <v>24</v>
      </c>
      <c r="AC3" s="47" t="s">
        <v>31</v>
      </c>
      <c r="AD3" s="47" t="s">
        <v>134</v>
      </c>
    </row>
    <row r="4" spans="1:30" x14ac:dyDescent="0.15">
      <c r="A4" s="50" t="s">
        <v>335</v>
      </c>
      <c r="B4" s="46" t="s">
        <v>70</v>
      </c>
      <c r="C4" s="51">
        <v>48503</v>
      </c>
      <c r="D4" s="46" t="s">
        <v>66</v>
      </c>
      <c r="E4" s="45" t="str">
        <f>B4&amp;C4&amp;D4</f>
        <v>enemy_habitat_S_48503.tmp</v>
      </c>
      <c r="F4" s="46" t="s">
        <v>71</v>
      </c>
      <c r="G4" s="47" t="s">
        <v>0</v>
      </c>
      <c r="H4" s="47" t="s">
        <v>1</v>
      </c>
      <c r="I4" s="47" t="s">
        <v>13</v>
      </c>
      <c r="J4" s="47" t="s">
        <v>31</v>
      </c>
      <c r="K4" s="47" t="s">
        <v>32</v>
      </c>
      <c r="L4" s="47" t="s">
        <v>33</v>
      </c>
      <c r="M4" s="47" t="s">
        <v>34</v>
      </c>
      <c r="N4" s="47" t="s">
        <v>35</v>
      </c>
      <c r="O4" s="47" t="s">
        <v>36</v>
      </c>
      <c r="P4" s="47" t="s">
        <v>26</v>
      </c>
      <c r="Q4" s="47" t="s">
        <v>28</v>
      </c>
      <c r="R4" s="47" t="s">
        <v>30</v>
      </c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</row>
    <row r="5" spans="1:30" x14ac:dyDescent="0.15">
      <c r="A5" s="50" t="s">
        <v>335</v>
      </c>
      <c r="B5" s="46" t="s">
        <v>72</v>
      </c>
      <c r="C5" s="51">
        <v>48503</v>
      </c>
      <c r="D5" s="46" t="s">
        <v>66</v>
      </c>
      <c r="E5" s="45" t="str">
        <f>B5&amp;C5&amp;D5</f>
        <v>enemy_skill_sets_48503.tmp</v>
      </c>
      <c r="F5" s="46" t="s">
        <v>73</v>
      </c>
      <c r="G5" s="48" t="s">
        <v>18</v>
      </c>
      <c r="H5" s="48" t="s">
        <v>58</v>
      </c>
      <c r="I5" s="48" t="s">
        <v>53</v>
      </c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</row>
    <row r="6" spans="1:30" x14ac:dyDescent="0.15">
      <c r="A6" s="50" t="s">
        <v>335</v>
      </c>
      <c r="B6" s="46" t="s">
        <v>74</v>
      </c>
      <c r="C6" s="51">
        <v>48503</v>
      </c>
      <c r="D6" s="46" t="s">
        <v>75</v>
      </c>
      <c r="E6" s="45" t="str">
        <f t="shared" ref="E6:E10" si="0">B6&amp;C6&amp;D6</f>
        <v>enemy_skills_tmp_48503.tmp</v>
      </c>
      <c r="F6" s="46" t="s">
        <v>49</v>
      </c>
      <c r="G6" s="47" t="s">
        <v>42</v>
      </c>
      <c r="H6" s="47" t="s">
        <v>43</v>
      </c>
      <c r="I6" s="47" t="s">
        <v>44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</row>
    <row r="7" spans="1:30" x14ac:dyDescent="0.15">
      <c r="A7" s="50" t="s">
        <v>335</v>
      </c>
      <c r="B7" s="46" t="s">
        <v>76</v>
      </c>
      <c r="C7" s="51">
        <v>48503</v>
      </c>
      <c r="D7" s="46" t="s">
        <v>66</v>
      </c>
      <c r="E7" s="45" t="str">
        <f>B7&amp;C7&amp;D7</f>
        <v>enemy_skills_i18n_48503.tmp</v>
      </c>
      <c r="F7" s="46" t="s">
        <v>77</v>
      </c>
      <c r="G7" s="47" t="s">
        <v>42</v>
      </c>
      <c r="H7" s="47" t="s">
        <v>50</v>
      </c>
      <c r="I7" s="47" t="s">
        <v>51</v>
      </c>
      <c r="J7" s="47" t="s">
        <v>52</v>
      </c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</row>
    <row r="8" spans="1:30" x14ac:dyDescent="0.15">
      <c r="A8" s="50" t="s">
        <v>335</v>
      </c>
      <c r="B8" s="46" t="s">
        <v>78</v>
      </c>
      <c r="C8" s="51">
        <v>48503</v>
      </c>
      <c r="D8" s="46" t="s">
        <v>79</v>
      </c>
      <c r="E8" s="45" t="str">
        <f t="shared" si="0"/>
        <v>enemy_skill_triggers_48503.tmp</v>
      </c>
      <c r="F8" s="46" t="s">
        <v>80</v>
      </c>
      <c r="G8" s="47" t="s">
        <v>53</v>
      </c>
      <c r="H8" s="47" t="s">
        <v>54</v>
      </c>
      <c r="I8" s="47" t="s">
        <v>55</v>
      </c>
      <c r="J8" s="47" t="s">
        <v>56</v>
      </c>
      <c r="K8" s="47" t="s">
        <v>81</v>
      </c>
      <c r="L8" s="47" t="s">
        <v>57</v>
      </c>
      <c r="M8" s="47" t="s">
        <v>82</v>
      </c>
      <c r="N8" s="47" t="s">
        <v>83</v>
      </c>
      <c r="O8" s="47" t="s">
        <v>84</v>
      </c>
      <c r="P8" s="47" t="s">
        <v>38</v>
      </c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</row>
    <row r="9" spans="1:30" x14ac:dyDescent="0.15">
      <c r="A9" s="50" t="s">
        <v>335</v>
      </c>
      <c r="B9" s="56" t="s">
        <v>133</v>
      </c>
      <c r="C9" s="51">
        <v>48503</v>
      </c>
      <c r="D9" s="56" t="s">
        <v>127</v>
      </c>
      <c r="E9" s="57" t="str">
        <f t="shared" si="0"/>
        <v>stage_bug_bonuses_48503.tmp</v>
      </c>
      <c r="F9" s="56" t="s">
        <v>128</v>
      </c>
      <c r="G9" s="53" t="s">
        <v>107</v>
      </c>
      <c r="H9" s="53" t="s">
        <v>129</v>
      </c>
      <c r="I9" s="53" t="s">
        <v>130</v>
      </c>
      <c r="J9" s="55" t="s">
        <v>131</v>
      </c>
      <c r="K9" s="53" t="s">
        <v>132</v>
      </c>
      <c r="L9" s="53" t="s">
        <v>112</v>
      </c>
      <c r="M9" s="53" t="s">
        <v>113</v>
      </c>
      <c r="N9" s="53" t="s">
        <v>114</v>
      </c>
      <c r="O9" s="53" t="s">
        <v>115</v>
      </c>
      <c r="P9" s="53" t="s">
        <v>116</v>
      </c>
      <c r="Q9" s="53" t="s">
        <v>117</v>
      </c>
      <c r="R9" s="53" t="s">
        <v>118</v>
      </c>
      <c r="S9" s="53" t="s">
        <v>119</v>
      </c>
      <c r="T9" s="53" t="s">
        <v>120</v>
      </c>
      <c r="U9" s="53" t="s">
        <v>121</v>
      </c>
      <c r="V9" s="53" t="s">
        <v>122</v>
      </c>
      <c r="W9" s="53" t="s">
        <v>123</v>
      </c>
      <c r="X9" s="46"/>
      <c r="Y9" s="46"/>
      <c r="Z9" s="46"/>
      <c r="AA9" s="46"/>
      <c r="AB9" s="46"/>
      <c r="AC9" s="46"/>
      <c r="AD9" s="46"/>
    </row>
    <row r="10" spans="1:30" s="63" customFormat="1" x14ac:dyDescent="0.15">
      <c r="A10" s="50" t="s">
        <v>335</v>
      </c>
      <c r="B10" s="56" t="s">
        <v>145</v>
      </c>
      <c r="C10" s="51">
        <v>48503</v>
      </c>
      <c r="D10" s="56" t="s">
        <v>135</v>
      </c>
      <c r="E10" s="57" t="str">
        <f t="shared" si="0"/>
        <v>stage_hints_data_c_48503.tmp</v>
      </c>
      <c r="F10" s="56" t="s">
        <v>153</v>
      </c>
      <c r="G10" s="61" t="s">
        <v>136</v>
      </c>
      <c r="H10" s="61" t="s">
        <v>129</v>
      </c>
      <c r="I10" s="62" t="s">
        <v>137</v>
      </c>
      <c r="J10" s="55" t="s">
        <v>138</v>
      </c>
      <c r="K10" s="55" t="s">
        <v>139</v>
      </c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</row>
    <row r="11" spans="1:30" s="63" customFormat="1" x14ac:dyDescent="0.15">
      <c r="A11" s="50" t="s">
        <v>335</v>
      </c>
      <c r="B11" s="56" t="s">
        <v>146</v>
      </c>
      <c r="C11" s="51">
        <v>48503</v>
      </c>
      <c r="D11" s="56" t="s">
        <v>127</v>
      </c>
      <c r="E11" s="57" t="str">
        <f t="shared" ref="E11:E13" si="1">B11&amp;C11&amp;D11</f>
        <v>stage_hints_data_f_48503.tmp</v>
      </c>
      <c r="F11" s="56" t="s">
        <v>154</v>
      </c>
      <c r="G11" s="61" t="s">
        <v>136</v>
      </c>
      <c r="H11" s="61" t="s">
        <v>129</v>
      </c>
      <c r="I11" s="62" t="s">
        <v>137</v>
      </c>
      <c r="J11" s="55" t="s">
        <v>138</v>
      </c>
      <c r="K11" s="55" t="s">
        <v>139</v>
      </c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</row>
    <row r="12" spans="1:30" s="63" customFormat="1" x14ac:dyDescent="0.15">
      <c r="A12" s="50" t="s">
        <v>335</v>
      </c>
      <c r="B12" s="56" t="s">
        <v>147</v>
      </c>
      <c r="C12" s="51">
        <v>48503</v>
      </c>
      <c r="D12" s="56" t="s">
        <v>127</v>
      </c>
      <c r="E12" s="57" t="str">
        <f t="shared" si="1"/>
        <v>stage_hints_i18n_48503.tmp</v>
      </c>
      <c r="F12" s="56" t="s">
        <v>155</v>
      </c>
      <c r="G12" s="62" t="s">
        <v>148</v>
      </c>
      <c r="H12" s="81" t="s">
        <v>149</v>
      </c>
      <c r="I12" s="61" t="s">
        <v>150</v>
      </c>
      <c r="J12" s="89" t="s">
        <v>151</v>
      </c>
      <c r="K12" s="55" t="s">
        <v>152</v>
      </c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</row>
    <row r="13" spans="1:30" s="63" customFormat="1" x14ac:dyDescent="0.15">
      <c r="A13" s="50" t="s">
        <v>335</v>
      </c>
      <c r="B13" s="56" t="s">
        <v>181</v>
      </c>
      <c r="C13" s="51">
        <v>48503</v>
      </c>
      <c r="D13" s="56" t="s">
        <v>162</v>
      </c>
      <c r="E13" s="57" t="str">
        <f t="shared" si="1"/>
        <v>stage_bonuses_48503.tmp</v>
      </c>
      <c r="F13" s="56" t="s">
        <v>161</v>
      </c>
      <c r="G13" s="61" t="s">
        <v>163</v>
      </c>
      <c r="H13" s="61" t="s">
        <v>164</v>
      </c>
      <c r="I13" s="61" t="s">
        <v>165</v>
      </c>
      <c r="J13" s="61" t="s">
        <v>166</v>
      </c>
      <c r="K13" s="61" t="s">
        <v>167</v>
      </c>
      <c r="L13" s="61" t="s">
        <v>168</v>
      </c>
      <c r="M13" s="61" t="s">
        <v>169</v>
      </c>
      <c r="N13" s="61" t="s">
        <v>170</v>
      </c>
      <c r="O13" s="61" t="s">
        <v>171</v>
      </c>
      <c r="P13" s="61" t="s">
        <v>172</v>
      </c>
      <c r="Q13" s="61" t="s">
        <v>173</v>
      </c>
      <c r="R13" s="61" t="s">
        <v>174</v>
      </c>
      <c r="S13" s="61" t="s">
        <v>175</v>
      </c>
      <c r="T13" s="61" t="s">
        <v>176</v>
      </c>
      <c r="U13" s="61" t="s">
        <v>177</v>
      </c>
      <c r="V13" s="61" t="s">
        <v>178</v>
      </c>
      <c r="W13" s="61" t="s">
        <v>179</v>
      </c>
      <c r="X13" s="61" t="s">
        <v>180</v>
      </c>
      <c r="Y13" s="88"/>
      <c r="Z13" s="88"/>
      <c r="AA13" s="88"/>
      <c r="AB13" s="88"/>
      <c r="AC13" s="88"/>
      <c r="AD13" s="88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D5" sqref="D5"/>
    </sheetView>
  </sheetViews>
  <sheetFormatPr baseColWidth="12" defaultColWidth="13" defaultRowHeight="21" customHeight="1" outlineLevelCol="1" x14ac:dyDescent="0.15"/>
  <cols>
    <col min="1" max="1" width="8.83203125" style="14" bestFit="1" customWidth="1"/>
    <col min="2" max="2" width="5" style="14" bestFit="1" customWidth="1"/>
    <col min="3" max="3" width="7.1640625" style="1" bestFit="1" customWidth="1"/>
    <col min="4" max="5" width="10.33203125" style="1" customWidth="1" outlineLevel="1"/>
    <col min="6" max="6" width="7" style="1" bestFit="1" customWidth="1"/>
    <col min="7" max="7" width="8.83203125" style="14" customWidth="1" outlineLevel="1"/>
    <col min="8" max="8" width="16.1640625" style="1" customWidth="1" outlineLevel="1"/>
    <col min="9" max="9" width="6.5" style="1" bestFit="1" customWidth="1"/>
    <col min="10" max="10" width="11" style="1" bestFit="1" customWidth="1"/>
    <col min="11" max="11" width="11.33203125" style="1" bestFit="1" customWidth="1"/>
    <col min="12" max="16384" width="13" style="1"/>
  </cols>
  <sheetData>
    <row r="1" spans="1:11" ht="21" customHeight="1" x14ac:dyDescent="0.15">
      <c r="A1" s="11" t="s">
        <v>185</v>
      </c>
      <c r="B1" s="11" t="s">
        <v>186</v>
      </c>
      <c r="C1" s="93" t="s">
        <v>0</v>
      </c>
      <c r="D1" s="10" t="s">
        <v>16</v>
      </c>
      <c r="E1" s="10" t="s">
        <v>19</v>
      </c>
      <c r="F1" s="93" t="s">
        <v>1</v>
      </c>
      <c r="G1" s="16" t="s">
        <v>187</v>
      </c>
      <c r="H1" s="10" t="s">
        <v>16</v>
      </c>
      <c r="I1" s="93" t="s">
        <v>13</v>
      </c>
      <c r="J1" s="93" t="s">
        <v>14</v>
      </c>
      <c r="K1" s="93" t="s">
        <v>15</v>
      </c>
    </row>
    <row r="2" spans="1:11" ht="21" customHeight="1" x14ac:dyDescent="0.15">
      <c r="A2" s="11" t="str">
        <f>G2&amp;"-"&amp;I2</f>
        <v>48503_1-1</v>
      </c>
      <c r="B2" s="11" t="str">
        <f>IF(COUNTIF(enemy_habitats!$H:$H,A2),"OK","NG")</f>
        <v>OK</v>
      </c>
      <c r="C2" s="94">
        <v>48503</v>
      </c>
      <c r="D2" s="13" t="str">
        <f ca="1">VLOOKUP($C2,OFFSET([2]quests!$A$1,0,0,COUNTA([2]quests!$A:$A),MATCH(D$1,[2]quests!$1:$1,0)-MATCH($C$1,[2]quests!$1:$1,0)+1),MATCH(D$1,[2]quests!$1:$1,0)-MATCH($C$1,[2]quests!$1:$1,0)+1,FALSE)</f>
        <v>ナーガ襲来！</v>
      </c>
      <c r="E2" s="13" t="str">
        <f ca="1">VLOOKUP($C2,OFFSET([2]quests!$A$1,0,0,COUNTA([2]quests!$A:$A),MATCH(E$1,[2]quests!$1:$1,0)-MATCH($C$1,[2]quests!$1:$1,0)+1),MATCH(E$1,[2]quests!$1:$1,0)-MATCH($C$1,[2]quests!$1:$1,0)+1,FALSE)</f>
        <v>グローバル版降臨3</v>
      </c>
      <c r="F2" s="95">
        <v>1</v>
      </c>
      <c r="G2" s="16" t="str">
        <f>C2&amp;"_"&amp;F2</f>
        <v>48503_1</v>
      </c>
      <c r="H2" s="10" t="str">
        <f ca="1">VLOOKUP($G2,OFFSET([2]stages!$A$1,0,0,COUNTA([2]stages!$A:$A),MATCH(H$1,[2]stages!$2:$2,0)-MATCH($G$1,[2]stages!$2:$2,0)+1),MATCH(H$1,[2]stages!$2:$2,0)-MATCH($G$1,[2]stages!$2:$2,0)+1,FALSE)</f>
        <v>【超絶級】ナーガ襲来</v>
      </c>
      <c r="I2" s="95">
        <v>1</v>
      </c>
      <c r="J2" s="27">
        <v>45</v>
      </c>
      <c r="K2" s="27">
        <v>45</v>
      </c>
    </row>
    <row r="3" spans="1:11" ht="21" customHeight="1" x14ac:dyDescent="0.15">
      <c r="A3" s="11" t="str">
        <f t="shared" ref="A3:A5" si="0">G3&amp;"-"&amp;I3</f>
        <v>48503_1-2</v>
      </c>
      <c r="B3" s="11" t="str">
        <f>IF(COUNTIF(enemy_habitats!$H:$H,A3),"OK","NG")</f>
        <v>OK</v>
      </c>
      <c r="C3" s="94">
        <v>48503</v>
      </c>
      <c r="D3" s="13" t="str">
        <f ca="1">VLOOKUP($C3,OFFSET([2]quests!$A$1,0,0,COUNTA([2]quests!$A:$A),MATCH(D$1,[2]quests!$1:$1,0)-MATCH($C$1,[2]quests!$1:$1,0)+1),MATCH(D$1,[2]quests!$1:$1,0)-MATCH($C$1,[2]quests!$1:$1,0)+1,FALSE)</f>
        <v>ナーガ襲来！</v>
      </c>
      <c r="E3" s="13" t="str">
        <f ca="1">VLOOKUP($C3,OFFSET([2]quests!$A$1,0,0,COUNTA([2]quests!$A:$A),MATCH(E$1,[2]quests!$1:$1,0)-MATCH($C$1,[2]quests!$1:$1,0)+1),MATCH(E$1,[2]quests!$1:$1,0)-MATCH($C$1,[2]quests!$1:$1,0)+1,FALSE)</f>
        <v>グローバル版降臨3</v>
      </c>
      <c r="F3" s="95">
        <v>1</v>
      </c>
      <c r="G3" s="16" t="str">
        <f t="shared" ref="G3:G5" si="1">C3&amp;"_"&amp;F3</f>
        <v>48503_1</v>
      </c>
      <c r="H3" s="10" t="str">
        <f ca="1">VLOOKUP($G3,OFFSET([2]stages!$A$1,0,0,COUNTA([2]stages!$A:$A),MATCH(H$1,[2]stages!$2:$2,0)-MATCH($G$1,[2]stages!$2:$2,0)+1),MATCH(H$1,[2]stages!$2:$2,0)-MATCH($G$1,[2]stages!$2:$2,0)+1,FALSE)</f>
        <v>【超絶級】ナーガ襲来</v>
      </c>
      <c r="I3" s="95">
        <v>2</v>
      </c>
      <c r="J3" s="27">
        <v>60</v>
      </c>
      <c r="K3" s="27">
        <v>60</v>
      </c>
    </row>
    <row r="4" spans="1:11" ht="21" customHeight="1" x14ac:dyDescent="0.15">
      <c r="A4" s="11" t="str">
        <f t="shared" si="0"/>
        <v>48503_1-3</v>
      </c>
      <c r="B4" s="11" t="str">
        <f>IF(COUNTIF(enemy_habitats!$H:$H,A4),"OK","NG")</f>
        <v>OK</v>
      </c>
      <c r="C4" s="94">
        <v>48503</v>
      </c>
      <c r="D4" s="13" t="str">
        <f ca="1">VLOOKUP($C4,OFFSET([2]quests!$A$1,0,0,COUNTA([2]quests!$A:$A),MATCH(D$1,[2]quests!$1:$1,0)-MATCH($C$1,[2]quests!$1:$1,0)+1),MATCH(D$1,[2]quests!$1:$1,0)-MATCH($C$1,[2]quests!$1:$1,0)+1,FALSE)</f>
        <v>ナーガ襲来！</v>
      </c>
      <c r="E4" s="13" t="str">
        <f ca="1">VLOOKUP($C4,OFFSET([2]quests!$A$1,0,0,COUNTA([2]quests!$A:$A),MATCH(E$1,[2]quests!$1:$1,0)-MATCH($C$1,[2]quests!$1:$1,0)+1),MATCH(E$1,[2]quests!$1:$1,0)-MATCH($C$1,[2]quests!$1:$1,0)+1,FALSE)</f>
        <v>グローバル版降臨3</v>
      </c>
      <c r="F4" s="95">
        <v>1</v>
      </c>
      <c r="G4" s="16" t="str">
        <f t="shared" si="1"/>
        <v>48503_1</v>
      </c>
      <c r="H4" s="10" t="str">
        <f ca="1">VLOOKUP($G4,OFFSET([2]stages!$A$1,0,0,COUNTA([2]stages!$A:$A),MATCH(H$1,[2]stages!$2:$2,0)-MATCH($G$1,[2]stages!$2:$2,0)+1),MATCH(H$1,[2]stages!$2:$2,0)-MATCH($G$1,[2]stages!$2:$2,0)+1,FALSE)</f>
        <v>【超絶級】ナーガ襲来</v>
      </c>
      <c r="I4" s="95">
        <v>3</v>
      </c>
      <c r="J4" s="27">
        <v>60</v>
      </c>
      <c r="K4" s="27">
        <v>60</v>
      </c>
    </row>
    <row r="5" spans="1:11" ht="21" customHeight="1" x14ac:dyDescent="0.15">
      <c r="A5" s="11" t="str">
        <f t="shared" si="0"/>
        <v>48503_1-4</v>
      </c>
      <c r="B5" s="11" t="str">
        <f>IF(COUNTIF(enemy_habitats!$H:$H,A5),"OK","NG")</f>
        <v>OK</v>
      </c>
      <c r="C5" s="94">
        <v>48503</v>
      </c>
      <c r="D5" s="13" t="str">
        <f ca="1">VLOOKUP($C5,OFFSET([2]quests!$A$1,0,0,COUNTA([2]quests!$A:$A),MATCH(D$1,[2]quests!$1:$1,0)-MATCH($C$1,[2]quests!$1:$1,0)+1),MATCH(D$1,[2]quests!$1:$1,0)-MATCH($C$1,[2]quests!$1:$1,0)+1,FALSE)</f>
        <v>ナーガ襲来！</v>
      </c>
      <c r="E5" s="13" t="str">
        <f ca="1">VLOOKUP($C5,OFFSET([2]quests!$A$1,0,0,COUNTA([2]quests!$A:$A),MATCH(E$1,[2]quests!$1:$1,0)-MATCH($C$1,[2]quests!$1:$1,0)+1),MATCH(E$1,[2]quests!$1:$1,0)-MATCH($C$1,[2]quests!$1:$1,0)+1,FALSE)</f>
        <v>グローバル版降臨3</v>
      </c>
      <c r="F5" s="95">
        <v>1</v>
      </c>
      <c r="G5" s="16" t="str">
        <f t="shared" si="1"/>
        <v>48503_1</v>
      </c>
      <c r="H5" s="10" t="str">
        <f ca="1">VLOOKUP($G5,OFFSET([2]stages!$A$1,0,0,COUNTA([2]stages!$A:$A),MATCH(H$1,[2]stages!$2:$2,0)-MATCH($G$1,[2]stages!$2:$2,0)+1),MATCH(H$1,[2]stages!$2:$2,0)-MATCH($G$1,[2]stages!$2:$2,0)+1,FALSE)</f>
        <v>【超絶級】ナーガ襲来</v>
      </c>
      <c r="I5" s="95">
        <v>4</v>
      </c>
      <c r="J5" s="27">
        <v>60</v>
      </c>
      <c r="K5" s="27">
        <v>60</v>
      </c>
    </row>
    <row r="6" spans="1:11" ht="21" customHeight="1" x14ac:dyDescent="0.15">
      <c r="A6" s="11" t="str">
        <f>G6&amp;"-"&amp;I6</f>
        <v>48503_2-1</v>
      </c>
      <c r="B6" s="11" t="str">
        <f>IF(COUNTIF(enemy_habitats!$H:$H,A6),"OK","NG")</f>
        <v>OK</v>
      </c>
      <c r="C6" s="94">
        <v>48503</v>
      </c>
      <c r="D6" s="13" t="str">
        <f ca="1">VLOOKUP($C6,OFFSET([2]quests!$A$1,0,0,COUNTA([2]quests!$A:$A),MATCH(D$1,[2]quests!$1:$1,0)-MATCH($C$1,[2]quests!$1:$1,0)+1),MATCH(D$1,[2]quests!$1:$1,0)-MATCH($C$1,[2]quests!$1:$1,0)+1,FALSE)</f>
        <v>ナーガ襲来！</v>
      </c>
      <c r="E6" s="13" t="str">
        <f ca="1">VLOOKUP($C6,OFFSET([2]quests!$A$1,0,0,COUNTA([2]quests!$A:$A),MATCH(E$1,[2]quests!$1:$1,0)-MATCH($C$1,[2]quests!$1:$1,0)+1),MATCH(E$1,[2]quests!$1:$1,0)-MATCH($C$1,[2]quests!$1:$1,0)+1,FALSE)</f>
        <v>グローバル版降臨3</v>
      </c>
      <c r="F6" s="95">
        <v>2</v>
      </c>
      <c r="G6" s="16" t="str">
        <f>C6&amp;"_"&amp;F6</f>
        <v>48503_2</v>
      </c>
      <c r="H6" s="10" t="str">
        <f ca="1">VLOOKUP($G6,OFFSET([2]stages!$A$1,0,0,COUNTA([2]stages!$A:$A),MATCH(H$1,[2]stages!$2:$2,0)-MATCH($G$1,[2]stages!$2:$2,0)+1),MATCH(H$1,[2]stages!$2:$2,0)-MATCH($G$1,[2]stages!$2:$2,0)+1,FALSE)</f>
        <v>【ウィザード級】ナーガ襲来</v>
      </c>
      <c r="I6" s="95">
        <v>1</v>
      </c>
      <c r="J6" s="27">
        <v>45</v>
      </c>
      <c r="K6" s="27">
        <v>45</v>
      </c>
    </row>
    <row r="7" spans="1:11" ht="21" customHeight="1" x14ac:dyDescent="0.15">
      <c r="A7" s="11" t="str">
        <f t="shared" ref="A7:A9" si="2">G7&amp;"-"&amp;I7</f>
        <v>48503_2-2</v>
      </c>
      <c r="B7" s="11" t="str">
        <f>IF(COUNTIF(enemy_habitats!$H:$H,A7),"OK","NG")</f>
        <v>OK</v>
      </c>
      <c r="C7" s="94">
        <v>48503</v>
      </c>
      <c r="D7" s="13" t="str">
        <f ca="1">VLOOKUP($C7,OFFSET([2]quests!$A$1,0,0,COUNTA([2]quests!$A:$A),MATCH(D$1,[2]quests!$1:$1,0)-MATCH($C$1,[2]quests!$1:$1,0)+1),MATCH(D$1,[2]quests!$1:$1,0)-MATCH($C$1,[2]quests!$1:$1,0)+1,FALSE)</f>
        <v>ナーガ襲来！</v>
      </c>
      <c r="E7" s="13" t="str">
        <f ca="1">VLOOKUP($C7,OFFSET([2]quests!$A$1,0,0,COUNTA([2]quests!$A:$A),MATCH(E$1,[2]quests!$1:$1,0)-MATCH($C$1,[2]quests!$1:$1,0)+1),MATCH(E$1,[2]quests!$1:$1,0)-MATCH($C$1,[2]quests!$1:$1,0)+1,FALSE)</f>
        <v>グローバル版降臨3</v>
      </c>
      <c r="F7" s="95">
        <v>2</v>
      </c>
      <c r="G7" s="16" t="str">
        <f t="shared" ref="G7:G9" si="3">C7&amp;"_"&amp;F7</f>
        <v>48503_2</v>
      </c>
      <c r="H7" s="10" t="str">
        <f ca="1">VLOOKUP($G7,OFFSET([2]stages!$A$1,0,0,COUNTA([2]stages!$A:$A),MATCH(H$1,[2]stages!$2:$2,0)-MATCH($G$1,[2]stages!$2:$2,0)+1),MATCH(H$1,[2]stages!$2:$2,0)-MATCH($G$1,[2]stages!$2:$2,0)+1,FALSE)</f>
        <v>【ウィザード級】ナーガ襲来</v>
      </c>
      <c r="I7" s="95">
        <v>2</v>
      </c>
      <c r="J7" s="27">
        <v>60</v>
      </c>
      <c r="K7" s="27">
        <v>60</v>
      </c>
    </row>
    <row r="8" spans="1:11" ht="21" customHeight="1" x14ac:dyDescent="0.15">
      <c r="A8" s="11" t="str">
        <f t="shared" si="2"/>
        <v>48503_2-3</v>
      </c>
      <c r="B8" s="11" t="str">
        <f>IF(COUNTIF(enemy_habitats!$H:$H,A8),"OK","NG")</f>
        <v>OK</v>
      </c>
      <c r="C8" s="94">
        <v>48503</v>
      </c>
      <c r="D8" s="13" t="str">
        <f ca="1">VLOOKUP($C8,OFFSET([2]quests!$A$1,0,0,COUNTA([2]quests!$A:$A),MATCH(D$1,[2]quests!$1:$1,0)-MATCH($C$1,[2]quests!$1:$1,0)+1),MATCH(D$1,[2]quests!$1:$1,0)-MATCH($C$1,[2]quests!$1:$1,0)+1,FALSE)</f>
        <v>ナーガ襲来！</v>
      </c>
      <c r="E8" s="13" t="str">
        <f ca="1">VLOOKUP($C8,OFFSET([2]quests!$A$1,0,0,COUNTA([2]quests!$A:$A),MATCH(E$1,[2]quests!$1:$1,0)-MATCH($C$1,[2]quests!$1:$1,0)+1),MATCH(E$1,[2]quests!$1:$1,0)-MATCH($C$1,[2]quests!$1:$1,0)+1,FALSE)</f>
        <v>グローバル版降臨3</v>
      </c>
      <c r="F8" s="95">
        <v>2</v>
      </c>
      <c r="G8" s="16" t="str">
        <f t="shared" si="3"/>
        <v>48503_2</v>
      </c>
      <c r="H8" s="10" t="str">
        <f ca="1">VLOOKUP($G8,OFFSET([2]stages!$A$1,0,0,COUNTA([2]stages!$A:$A),MATCH(H$1,[2]stages!$2:$2,0)-MATCH($G$1,[2]stages!$2:$2,0)+1),MATCH(H$1,[2]stages!$2:$2,0)-MATCH($G$1,[2]stages!$2:$2,0)+1,FALSE)</f>
        <v>【ウィザード級】ナーガ襲来</v>
      </c>
      <c r="I8" s="95">
        <v>3</v>
      </c>
      <c r="J8" s="27">
        <v>60</v>
      </c>
      <c r="K8" s="27">
        <v>60</v>
      </c>
    </row>
    <row r="9" spans="1:11" ht="21" customHeight="1" x14ac:dyDescent="0.15">
      <c r="A9" s="11" t="str">
        <f t="shared" si="2"/>
        <v>48503_2-4</v>
      </c>
      <c r="B9" s="11" t="str">
        <f>IF(COUNTIF(enemy_habitats!$H:$H,A9),"OK","NG")</f>
        <v>OK</v>
      </c>
      <c r="C9" s="94">
        <v>48503</v>
      </c>
      <c r="D9" s="13" t="str">
        <f ca="1">VLOOKUP($C9,OFFSET([2]quests!$A$1,0,0,COUNTA([2]quests!$A:$A),MATCH(D$1,[2]quests!$1:$1,0)-MATCH($C$1,[2]quests!$1:$1,0)+1),MATCH(D$1,[2]quests!$1:$1,0)-MATCH($C$1,[2]quests!$1:$1,0)+1,FALSE)</f>
        <v>ナーガ襲来！</v>
      </c>
      <c r="E9" s="13" t="str">
        <f ca="1">VLOOKUP($C9,OFFSET([2]quests!$A$1,0,0,COUNTA([2]quests!$A:$A),MATCH(E$1,[2]quests!$1:$1,0)-MATCH($C$1,[2]quests!$1:$1,0)+1),MATCH(E$1,[2]quests!$1:$1,0)-MATCH($C$1,[2]quests!$1:$1,0)+1,FALSE)</f>
        <v>グローバル版降臨3</v>
      </c>
      <c r="F9" s="95">
        <v>2</v>
      </c>
      <c r="G9" s="16" t="str">
        <f t="shared" si="3"/>
        <v>48503_2</v>
      </c>
      <c r="H9" s="10" t="str">
        <f ca="1">VLOOKUP($G9,OFFSET([2]stages!$A$1,0,0,COUNTA([2]stages!$A:$A),MATCH(H$1,[2]stages!$2:$2,0)-MATCH($G$1,[2]stages!$2:$2,0)+1),MATCH(H$1,[2]stages!$2:$2,0)-MATCH($G$1,[2]stages!$2:$2,0)+1,FALSE)</f>
        <v>【ウィザード級】ナーガ襲来</v>
      </c>
      <c r="I9" s="95">
        <v>4</v>
      </c>
      <c r="J9" s="27">
        <v>60</v>
      </c>
      <c r="K9" s="27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22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U19" sqref="U19"/>
    </sheetView>
  </sheetViews>
  <sheetFormatPr baseColWidth="12" defaultColWidth="13" defaultRowHeight="21" customHeight="1" outlineLevelCol="1" x14ac:dyDescent="0.15"/>
  <cols>
    <col min="1" max="1" width="15.83203125" style="14" bestFit="1" customWidth="1"/>
    <col min="2" max="2" width="10.83203125" style="1" bestFit="1" customWidth="1"/>
    <col min="3" max="3" width="10.6640625" style="1" bestFit="1" customWidth="1" collapsed="1"/>
    <col min="4" max="4" width="13" style="9" hidden="1" customWidth="1" outlineLevel="1"/>
    <col min="5" max="5" width="11.6640625" style="1" hidden="1" customWidth="1" outlineLevel="1"/>
    <col min="6" max="6" width="16.1640625" style="1" hidden="1" customWidth="1" outlineLevel="1"/>
    <col min="7" max="7" width="10" style="1" bestFit="1" customWidth="1" collapsed="1"/>
    <col min="8" max="10" width="12.33203125" style="1" hidden="1" customWidth="1" outlineLevel="1"/>
    <col min="11" max="11" width="12.33203125" style="1" customWidth="1"/>
    <col min="12" max="12" width="13.5" style="6" bestFit="1" customWidth="1" collapsed="1"/>
    <col min="13" max="13" width="14.83203125" style="1" hidden="1" customWidth="1" outlineLevel="1"/>
    <col min="14" max="14" width="8.6640625" style="1" hidden="1" customWidth="1" outlineLevel="1"/>
    <col min="15" max="15" width="12" style="1" hidden="1" customWidth="1" outlineLevel="1"/>
    <col min="16" max="16" width="21" style="1" hidden="1" customWidth="1" outlineLevel="1"/>
    <col min="17" max="17" width="8" style="1" hidden="1" customWidth="1" outlineLevel="1"/>
    <col min="18" max="18" width="8.33203125" style="1" bestFit="1" customWidth="1"/>
    <col min="19" max="19" width="14.83203125" style="1" bestFit="1" customWidth="1"/>
    <col min="20" max="20" width="14.83203125" style="92" customWidth="1"/>
    <col min="21" max="21" width="17.5" style="1" bestFit="1" customWidth="1"/>
    <col min="22" max="22" width="17.5" style="1" customWidth="1"/>
    <col min="23" max="23" width="18.33203125" style="1" bestFit="1" customWidth="1"/>
    <col min="24" max="24" width="10" style="1" customWidth="1"/>
    <col min="25" max="25" width="12.1640625" style="1" customWidth="1" outlineLevel="1"/>
    <col min="26" max="26" width="11.33203125" style="1" bestFit="1" customWidth="1"/>
    <col min="27" max="27" width="11.6640625" style="1" bestFit="1" customWidth="1"/>
    <col min="28" max="28" width="10.6640625" style="1" bestFit="1" customWidth="1"/>
    <col min="29" max="29" width="9.33203125" style="1" bestFit="1" customWidth="1"/>
    <col min="30" max="30" width="13" style="1" bestFit="1" customWidth="1"/>
    <col min="31" max="31" width="19.6640625" style="8" customWidth="1" outlineLevel="1"/>
    <col min="32" max="32" width="8" style="9" bestFit="1" customWidth="1" outlineLevel="1"/>
    <col min="33" max="33" width="12" style="9" bestFit="1" customWidth="1" outlineLevel="1"/>
    <col min="34" max="34" width="15" style="7" bestFit="1" customWidth="1" collapsed="1"/>
    <col min="35" max="36" width="14.83203125" style="1" bestFit="1" customWidth="1"/>
    <col min="37" max="37" width="6.6640625" style="1" bestFit="1" customWidth="1"/>
    <col min="38" max="38" width="9.33203125" style="1" bestFit="1" customWidth="1"/>
    <col min="39" max="39" width="10.33203125" style="1" bestFit="1" customWidth="1"/>
    <col min="40" max="40" width="7.6640625" style="1" bestFit="1" customWidth="1"/>
    <col min="41" max="41" width="4" style="1" bestFit="1" customWidth="1"/>
    <col min="42" max="16384" width="13" style="1"/>
  </cols>
  <sheetData>
    <row r="1" spans="1:42" s="25" customFormat="1" ht="21" customHeight="1" x14ac:dyDescent="0.15">
      <c r="A1" s="19" t="s">
        <v>188</v>
      </c>
      <c r="B1" s="18" t="s">
        <v>0</v>
      </c>
      <c r="C1" s="18" t="s">
        <v>1</v>
      </c>
      <c r="D1" s="20" t="s">
        <v>187</v>
      </c>
      <c r="E1" s="20" t="s">
        <v>16</v>
      </c>
      <c r="F1" s="20" t="s">
        <v>16</v>
      </c>
      <c r="G1" s="18" t="s">
        <v>138</v>
      </c>
      <c r="H1" s="20" t="s">
        <v>185</v>
      </c>
      <c r="I1" s="20" t="s">
        <v>14</v>
      </c>
      <c r="J1" s="20" t="s">
        <v>15</v>
      </c>
      <c r="K1" s="26" t="s">
        <v>189</v>
      </c>
      <c r="L1" s="26" t="s">
        <v>2</v>
      </c>
      <c r="M1" s="21" t="s">
        <v>16</v>
      </c>
      <c r="N1" s="20" t="s">
        <v>190</v>
      </c>
      <c r="O1" s="20" t="s">
        <v>191</v>
      </c>
      <c r="P1" s="22" t="s">
        <v>192</v>
      </c>
      <c r="Q1" s="20" t="s">
        <v>193</v>
      </c>
      <c r="R1" s="18" t="s">
        <v>3</v>
      </c>
      <c r="S1" s="18" t="s">
        <v>194</v>
      </c>
      <c r="T1" s="90" t="s">
        <v>182</v>
      </c>
      <c r="U1" s="18" t="s">
        <v>195</v>
      </c>
      <c r="V1" s="90" t="s">
        <v>183</v>
      </c>
      <c r="W1" s="18" t="s">
        <v>196</v>
      </c>
      <c r="X1" s="20" t="s">
        <v>86</v>
      </c>
      <c r="Y1" s="18" t="s">
        <v>4</v>
      </c>
      <c r="Z1" s="18" t="s">
        <v>5</v>
      </c>
      <c r="AA1" s="18" t="s">
        <v>6</v>
      </c>
      <c r="AB1" s="18" t="s">
        <v>7</v>
      </c>
      <c r="AC1" s="18" t="s">
        <v>8</v>
      </c>
      <c r="AD1" s="23" t="s">
        <v>9</v>
      </c>
      <c r="AE1" s="24" t="s">
        <v>16</v>
      </c>
      <c r="AF1" s="24" t="s">
        <v>17</v>
      </c>
      <c r="AG1" s="24" t="s">
        <v>197</v>
      </c>
      <c r="AH1" s="23" t="s">
        <v>10</v>
      </c>
      <c r="AI1" s="18" t="s">
        <v>11</v>
      </c>
      <c r="AJ1" s="18" t="s">
        <v>12</v>
      </c>
      <c r="AK1" s="18" t="s">
        <v>173</v>
      </c>
      <c r="AL1" s="18" t="s">
        <v>174</v>
      </c>
      <c r="AM1" s="18" t="s">
        <v>118</v>
      </c>
      <c r="AN1" s="18" t="s">
        <v>119</v>
      </c>
      <c r="AO1" s="18" t="s">
        <v>120</v>
      </c>
      <c r="AP1" s="26" t="s">
        <v>172</v>
      </c>
    </row>
    <row r="2" spans="1:42" ht="21" customHeight="1" x14ac:dyDescent="0.15">
      <c r="A2" s="11" t="str">
        <f t="shared" ref="A2:A15" si="0">B2&amp;"_"&amp;C2&amp;"-"&amp;G2&amp;"/"&amp;L2&amp;"&lt;lv"&amp;R2&amp;"&gt;s"&amp;AC2</f>
        <v>48503_1-1/9&lt;lv80&gt;s2</v>
      </c>
      <c r="B2" s="15">
        <v>48503</v>
      </c>
      <c r="C2" s="95">
        <v>1</v>
      </c>
      <c r="D2" s="10" t="str">
        <f t="shared" ref="D2:D15" si="1">B2&amp;"_"&amp;C2</f>
        <v>48503_1</v>
      </c>
      <c r="E2" s="2" t="str">
        <f ca="1">VLOOKUP($B2,OFFSET([2]quests!$A$1,0,0,COUNTA([2]quests!$A:$A),MATCH(E$1,[2]quests!$1:$1,0)-MATCH($B$1,[2]quests!$1:$1,0)+1),MATCH(E$1,[2]quests!$1:$1,0)-MATCH($B$1,[2]quests!$1:$1,0)+1,FALSE)</f>
        <v>ナーガ襲来！</v>
      </c>
      <c r="F2" s="2" t="str">
        <f ca="1">VLOOKUP($D2,OFFSET([2]stages!$A$1,0,0,COUNTA([2]stages!$A:$A),MATCH(F$1,[2]stages!$2:$2,0)-MATCH($D$1,[2]stages!$2:$2,0)+1),MATCH(F$1,[2]stages!$2:$2,0)-MATCH($D$1,[2]stages!$2:$2,0)+1,FALSE)</f>
        <v>【超絶級】ナーガ襲来</v>
      </c>
      <c r="G2" s="95">
        <v>1</v>
      </c>
      <c r="H2" s="10" t="str">
        <f t="shared" ref="H2:H15" si="2">B2&amp;"_"&amp;C2&amp;"-"&amp;G2</f>
        <v>48503_1-1</v>
      </c>
      <c r="I2" s="2">
        <f ca="1">VLOOKUP($H2,OFFSET(floors!$A$1,0,0,COUNTA(floors!$A:$A),MATCH(I$1,floors!$1:$1,0)-MATCH($H$1,floors!$1:$1,0)+1),MATCH(I$1,floors!$1:$1,0)-MATCH($H$1,floors!$1:$1,0)+1,FALSE)</f>
        <v>45</v>
      </c>
      <c r="J2" s="2">
        <f ca="1">VLOOKUP($H2,OFFSET(floors!$A$1,0,0,COUNTA(floors!$A:$A),MATCH(J$1,floors!$1:$1,0)-MATCH($H$1,floors!$1:$1,0)+1),MATCH(J$1,floors!$1:$1,0)-MATCH($H$1,floors!$1:$1,0)+1,FALSE)</f>
        <v>45</v>
      </c>
      <c r="K2" s="27" t="s">
        <v>48</v>
      </c>
      <c r="L2" s="96">
        <v>9</v>
      </c>
      <c r="M2" s="12" t="str">
        <f ca="1">VLOOKUP($L2,OFFSET([3]enemies!$A$1,0,0,COUNTA([3]enemies!$A:$A),MATCH(M$1,[3]enemies!$1:$1,0)-MATCH($L$1,[3]enemies!$1:$1,0)+1),MATCH(M$1,[3]enemies!$1:$1,0)-MATCH($L$1,[3]enemies!$1:$1,0)+1,FALSE)</f>
        <v>ブレット</v>
      </c>
      <c r="N2" s="12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2" t="str">
        <f ca="1">VLOOKUP($L2,OFFSET([4]characters!$A$1,0,0,COUNTA([4]characters!$A:$A),MATCH(O$1,[4]characters!$1:$1,0)-MATCH($L$1,[4]characters!$1:$1,0)+1),MATCH(O$1,[4]characters!$1:$1,0)-MATCH($L$1,[4]characters!$1:$1,0)+1,FALSE)</f>
        <v>Drop1W</v>
      </c>
      <c r="P2" s="12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2">
        <f ca="1">VLOOKUP($L2,OFFSET([3]enemies!$A$1,0,0,COUNTA([3]enemies!$A:$A),MATCH(Q$1,[3]enemies!$1:$1,0)-MATCH($L$1,[3]enemies!$1:$1,0)+1),MATCH(Q$1,[3]enemies!$1:$1,0)-MATCH($L$1,[3]enemies!$1:$1,0)+1,FALSE)</f>
        <v>15</v>
      </c>
      <c r="R2" s="3">
        <v>80</v>
      </c>
      <c r="S2" s="17">
        <v>2.6</v>
      </c>
      <c r="T2" s="91">
        <f>S2*16300</f>
        <v>42380</v>
      </c>
      <c r="U2" s="17">
        <v>0.4</v>
      </c>
      <c r="V2" s="91">
        <f>U2*5473</f>
        <v>2189.2000000000003</v>
      </c>
      <c r="W2" s="3">
        <v>0</v>
      </c>
      <c r="X2" s="2" t="e">
        <f ca="1">VLOOKUP($Y2,OFFSET(enemy_skill_sets!$B$1,0,0,COUNTA(enemy_skill_sets!$B:$B),MATCH(M$1,enemy_skill_sets!$1:$1,0)-MATCH($Y$1,enemy_skill_sets!$1:$1,0)+2),MATCH(M$1,enemy_skill_sets!$1:$1,0)-MATCH($Y$1,enemy_skill_sets!$1:$1,0)+2,FALSE)</f>
        <v>#N/A</v>
      </c>
      <c r="Y2" s="36">
        <v>0</v>
      </c>
      <c r="Z2" s="4">
        <v>1</v>
      </c>
      <c r="AA2" s="4">
        <v>100</v>
      </c>
      <c r="AB2" s="4">
        <v>0</v>
      </c>
      <c r="AC2" s="97">
        <v>2</v>
      </c>
      <c r="AD2" s="96">
        <v>9</v>
      </c>
      <c r="AE2" s="2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ブレット</v>
      </c>
      <c r="AF2" s="2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2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Drop1W</v>
      </c>
      <c r="AH2" s="94">
        <v>1</v>
      </c>
      <c r="AI2" s="98">
        <f t="shared" ref="AI2:AI15" ca="1" si="3">AF2</f>
        <v>1</v>
      </c>
      <c r="AJ2" s="5">
        <v>0</v>
      </c>
      <c r="AK2" s="94">
        <v>0</v>
      </c>
      <c r="AL2" s="94">
        <v>0</v>
      </c>
      <c r="AM2" s="94">
        <v>0</v>
      </c>
      <c r="AN2" s="94">
        <v>0</v>
      </c>
      <c r="AO2" s="94">
        <v>1</v>
      </c>
      <c r="AP2" s="58">
        <v>1</v>
      </c>
    </row>
    <row r="3" spans="1:42" ht="21" customHeight="1" x14ac:dyDescent="0.15">
      <c r="A3" s="11" t="str">
        <f t="shared" si="0"/>
        <v>48503_1-1/47&lt;lv80&gt;s2</v>
      </c>
      <c r="B3" s="15">
        <v>48503</v>
      </c>
      <c r="C3" s="95">
        <v>1</v>
      </c>
      <c r="D3" s="10" t="str">
        <f t="shared" si="1"/>
        <v>48503_1</v>
      </c>
      <c r="E3" s="2" t="str">
        <f ca="1">VLOOKUP($B3,OFFSET([2]quests!$A$1,0,0,COUNTA([2]quests!$A:$A),MATCH(E$1,[2]quests!$1:$1,0)-MATCH($B$1,[2]quests!$1:$1,0)+1),MATCH(E$1,[2]quests!$1:$1,0)-MATCH($B$1,[2]quests!$1:$1,0)+1,FALSE)</f>
        <v>ナーガ襲来！</v>
      </c>
      <c r="F3" s="2" t="str">
        <f ca="1">VLOOKUP($D3,OFFSET([2]stages!$A$1,0,0,COUNTA([2]stages!$A:$A),MATCH(F$1,[2]stages!$2:$2,0)-MATCH($D$1,[2]stages!$2:$2,0)+1),MATCH(F$1,[2]stages!$2:$2,0)-MATCH($D$1,[2]stages!$2:$2,0)+1,FALSE)</f>
        <v>【超絶級】ナーガ襲来</v>
      </c>
      <c r="G3" s="95">
        <v>1</v>
      </c>
      <c r="H3" s="10" t="str">
        <f t="shared" si="2"/>
        <v>48503_1-1</v>
      </c>
      <c r="I3" s="2">
        <f ca="1">VLOOKUP($H3,OFFSET(floors!$A$1,0,0,COUNTA(floors!$A:$A),MATCH(I$1,floors!$1:$1,0)-MATCH($H$1,floors!$1:$1,0)+1),MATCH(I$1,floors!$1:$1,0)-MATCH($H$1,floors!$1:$1,0)+1,FALSE)</f>
        <v>45</v>
      </c>
      <c r="J3" s="2">
        <f ca="1">VLOOKUP($H3,OFFSET(floors!$A$1,0,0,COUNTA(floors!$A:$A),MATCH(J$1,floors!$1:$1,0)-MATCH($H$1,floors!$1:$1,0)+1),MATCH(J$1,floors!$1:$1,0)-MATCH($H$1,floors!$1:$1,0)+1,FALSE)</f>
        <v>45</v>
      </c>
      <c r="K3" s="27" t="s">
        <v>48</v>
      </c>
      <c r="L3" s="96">
        <v>47</v>
      </c>
      <c r="M3" s="12" t="str">
        <f ca="1">VLOOKUP($L3,OFFSET([3]enemies!$A$1,0,0,COUNTA([3]enemies!$A:$A),MATCH(M$1,[3]enemies!$1:$1,0)-MATCH($L$1,[3]enemies!$1:$1,0)+1),MATCH(M$1,[3]enemies!$1:$1,0)-MATCH($L$1,[3]enemies!$1:$1,0)+1,FALSE)</f>
        <v>ヒロ</v>
      </c>
      <c r="N3" s="12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2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2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2">
        <f ca="1">VLOOKUP($L3,OFFSET([3]enemies!$A$1,0,0,COUNTA([3]enemies!$A:$A),MATCH(Q$1,[3]enemies!$1:$1,0)-MATCH($L$1,[3]enemies!$1:$1,0)+1),MATCH(Q$1,[3]enemies!$1:$1,0)-MATCH($L$1,[3]enemies!$1:$1,0)+1,FALSE)</f>
        <v>15</v>
      </c>
      <c r="R3" s="3">
        <v>80</v>
      </c>
      <c r="S3" s="17">
        <v>2.8</v>
      </c>
      <c r="T3" s="91">
        <f>S3*15974</f>
        <v>44727.199999999997</v>
      </c>
      <c r="U3" s="17">
        <v>0.5</v>
      </c>
      <c r="V3" s="91">
        <f>U3*3974</f>
        <v>1987</v>
      </c>
      <c r="W3" s="3">
        <v>0</v>
      </c>
      <c r="X3" s="2" t="str">
        <f ca="1">VLOOKUP($Y3,OFFSET(enemy_skill_sets!$B$1,0,0,COUNTA(enemy_skill_sets!$B:$B),MATCH(M$1,enemy_skill_sets!$1:$1,0)-MATCH($Y$1,enemy_skill_sets!$1:$1,0)+2),MATCH(M$1,enemy_skill_sets!$1:$1,0)-MATCH($Y$1,enemy_skill_sets!$1:$1,0)+2,FALSE)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3" s="36">
        <v>48503010</v>
      </c>
      <c r="Z3" s="4">
        <v>1</v>
      </c>
      <c r="AA3" s="4">
        <v>100</v>
      </c>
      <c r="AB3" s="4">
        <v>0</v>
      </c>
      <c r="AC3" s="97">
        <v>2</v>
      </c>
      <c r="AD3" s="96">
        <v>47</v>
      </c>
      <c r="AE3" s="2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ヒロ</v>
      </c>
      <c r="AF3" s="2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2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94">
        <v>1</v>
      </c>
      <c r="AI3" s="98">
        <f t="shared" ca="1" si="3"/>
        <v>2</v>
      </c>
      <c r="AJ3" s="5">
        <v>0</v>
      </c>
      <c r="AK3" s="94">
        <v>0</v>
      </c>
      <c r="AL3" s="94">
        <v>0</v>
      </c>
      <c r="AM3" s="94">
        <v>0</v>
      </c>
      <c r="AN3" s="94">
        <v>0</v>
      </c>
      <c r="AO3" s="94">
        <v>1</v>
      </c>
      <c r="AP3" s="58">
        <v>1</v>
      </c>
    </row>
    <row r="4" spans="1:42" ht="21" customHeight="1" x14ac:dyDescent="0.15">
      <c r="A4" s="11" t="str">
        <f t="shared" si="0"/>
        <v>48503_1-1/74&lt;lv80&gt;s1</v>
      </c>
      <c r="B4" s="15">
        <v>48503</v>
      </c>
      <c r="C4" s="95">
        <v>1</v>
      </c>
      <c r="D4" s="10" t="str">
        <f t="shared" si="1"/>
        <v>48503_1</v>
      </c>
      <c r="E4" s="2" t="str">
        <f ca="1">VLOOKUP($B4,OFFSET([2]quests!$A$1,0,0,COUNTA([2]quests!$A:$A),MATCH(E$1,[2]quests!$1:$1,0)-MATCH($B$1,[2]quests!$1:$1,0)+1),MATCH(E$1,[2]quests!$1:$1,0)-MATCH($B$1,[2]quests!$1:$1,0)+1,FALSE)</f>
        <v>ナーガ襲来！</v>
      </c>
      <c r="F4" s="2" t="str">
        <f ca="1">VLOOKUP($D4,OFFSET([2]stages!$A$1,0,0,COUNTA([2]stages!$A:$A),MATCH(F$1,[2]stages!$2:$2,0)-MATCH($D$1,[2]stages!$2:$2,0)+1),MATCH(F$1,[2]stages!$2:$2,0)-MATCH($D$1,[2]stages!$2:$2,0)+1,FALSE)</f>
        <v>【超絶級】ナーガ襲来</v>
      </c>
      <c r="G4" s="95">
        <v>1</v>
      </c>
      <c r="H4" s="10" t="str">
        <f t="shared" si="2"/>
        <v>48503_1-1</v>
      </c>
      <c r="I4" s="2">
        <f ca="1">VLOOKUP($H4,OFFSET(floors!$A$1,0,0,COUNTA(floors!$A:$A),MATCH(I$1,floors!$1:$1,0)-MATCH($H$1,floors!$1:$1,0)+1),MATCH(I$1,floors!$1:$1,0)-MATCH($H$1,floors!$1:$1,0)+1,FALSE)</f>
        <v>45</v>
      </c>
      <c r="J4" s="2">
        <f ca="1">VLOOKUP($H4,OFFSET(floors!$A$1,0,0,COUNTA(floors!$A:$A),MATCH(J$1,floors!$1:$1,0)-MATCH($H$1,floors!$1:$1,0)+1),MATCH(J$1,floors!$1:$1,0)-MATCH($H$1,floors!$1:$1,0)+1,FALSE)</f>
        <v>45</v>
      </c>
      <c r="K4" s="27" t="s">
        <v>48</v>
      </c>
      <c r="L4" s="96">
        <v>74</v>
      </c>
      <c r="M4" s="12" t="str">
        <f ca="1">VLOOKUP($L4,OFFSET([3]enemies!$A$1,0,0,COUNTA([3]enemies!$A:$A),MATCH(M$1,[3]enemies!$1:$1,0)-MATCH($L$1,[3]enemies!$1:$1,0)+1),MATCH(M$1,[3]enemies!$1:$1,0)-MATCH($L$1,[3]enemies!$1:$1,0)+1,FALSE)</f>
        <v>サンダーバード</v>
      </c>
      <c r="N4" s="12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2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2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2">
        <f ca="1">VLOOKUP($L4,OFFSET([3]enemies!$A$1,0,0,COUNTA([3]enemies!$A:$A),MATCH(Q$1,[3]enemies!$1:$1,0)-MATCH($L$1,[3]enemies!$1:$1,0)+1),MATCH(Q$1,[3]enemies!$1:$1,0)-MATCH($L$1,[3]enemies!$1:$1,0)+1,FALSE)</f>
        <v>15</v>
      </c>
      <c r="R4" s="3">
        <v>80</v>
      </c>
      <c r="S4" s="17">
        <v>1.6</v>
      </c>
      <c r="T4" s="91">
        <f>S4*15974</f>
        <v>25558.400000000001</v>
      </c>
      <c r="U4" s="17">
        <v>0.3</v>
      </c>
      <c r="V4" s="91">
        <f>U4*7226</f>
        <v>2167.7999999999997</v>
      </c>
      <c r="W4" s="3">
        <v>0</v>
      </c>
      <c r="X4" s="2" t="str">
        <f ca="1">VLOOKUP($Y4,OFFSET(enemy_skill_sets!$B$1,0,0,COUNTA(enemy_skill_sets!$B:$B),MATCH(M$1,enemy_skill_sets!$1:$1,0)-MATCH($Y$1,enemy_skill_sets!$1:$1,0)+2),MATCH(M$1,enemy_skill_sets!$1:$1,0)-MATCH($Y$1,enemy_skill_sets!$1:$1,0)+2,FALSE)</f>
        <v>全体攻撃</v>
      </c>
      <c r="Y4" s="36">
        <v>48503011</v>
      </c>
      <c r="Z4" s="4">
        <v>1</v>
      </c>
      <c r="AA4" s="4">
        <v>100</v>
      </c>
      <c r="AB4" s="4">
        <v>0</v>
      </c>
      <c r="AC4" s="97">
        <v>1</v>
      </c>
      <c r="AD4" s="96">
        <v>74</v>
      </c>
      <c r="AE4" s="2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サンダーバード</v>
      </c>
      <c r="AF4" s="2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2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Drop1S</v>
      </c>
      <c r="AH4" s="94">
        <v>1</v>
      </c>
      <c r="AI4" s="98">
        <f t="shared" ca="1" si="3"/>
        <v>2</v>
      </c>
      <c r="AJ4" s="5">
        <v>0</v>
      </c>
      <c r="AK4" s="94">
        <v>0</v>
      </c>
      <c r="AL4" s="94">
        <v>0</v>
      </c>
      <c r="AM4" s="94">
        <v>0</v>
      </c>
      <c r="AN4" s="94">
        <v>0</v>
      </c>
      <c r="AO4" s="94">
        <v>1</v>
      </c>
      <c r="AP4" s="58">
        <v>1</v>
      </c>
    </row>
    <row r="5" spans="1:42" ht="21" customHeight="1" x14ac:dyDescent="0.15">
      <c r="A5" s="11" t="str">
        <f t="shared" si="0"/>
        <v>48503_1-2/129&lt;lv80&gt;s2</v>
      </c>
      <c r="B5" s="15">
        <v>48503</v>
      </c>
      <c r="C5" s="95">
        <v>1</v>
      </c>
      <c r="D5" s="10" t="str">
        <f t="shared" si="1"/>
        <v>48503_1</v>
      </c>
      <c r="E5" s="2" t="str">
        <f ca="1">VLOOKUP($B5,OFFSET([2]quests!$A$1,0,0,COUNTA([2]quests!$A:$A),MATCH(E$1,[2]quests!$1:$1,0)-MATCH($B$1,[2]quests!$1:$1,0)+1),MATCH(E$1,[2]quests!$1:$1,0)-MATCH($B$1,[2]quests!$1:$1,0)+1,FALSE)</f>
        <v>ナーガ襲来！</v>
      </c>
      <c r="F5" s="2" t="str">
        <f ca="1">VLOOKUP($D5,OFFSET([2]stages!$A$1,0,0,COUNTA([2]stages!$A:$A),MATCH(F$1,[2]stages!$2:$2,0)-MATCH($D$1,[2]stages!$2:$2,0)+1),MATCH(F$1,[2]stages!$2:$2,0)-MATCH($D$1,[2]stages!$2:$2,0)+1,FALSE)</f>
        <v>【超絶級】ナーガ襲来</v>
      </c>
      <c r="G5" s="95">
        <v>2</v>
      </c>
      <c r="H5" s="10" t="str">
        <f t="shared" si="2"/>
        <v>48503_1-2</v>
      </c>
      <c r="I5" s="2">
        <f ca="1">VLOOKUP($H5,OFFSET(floors!$A$1,0,0,COUNTA(floors!$A:$A),MATCH(I$1,floors!$1:$1,0)-MATCH($H$1,floors!$1:$1,0)+1),MATCH(I$1,floors!$1:$1,0)-MATCH($H$1,floors!$1:$1,0)+1,FALSE)</f>
        <v>60</v>
      </c>
      <c r="J5" s="2">
        <f ca="1">VLOOKUP($H5,OFFSET(floors!$A$1,0,0,COUNTA(floors!$A:$A),MATCH(J$1,floors!$1:$1,0)-MATCH($H$1,floors!$1:$1,0)+1),MATCH(J$1,floors!$1:$1,0)-MATCH($H$1,floors!$1:$1,0)+1,FALSE)</f>
        <v>60</v>
      </c>
      <c r="K5" s="27">
        <v>1</v>
      </c>
      <c r="L5" s="96">
        <v>129</v>
      </c>
      <c r="M5" s="12" t="str">
        <f ca="1">VLOOKUP($L5,OFFSET([3]enemies!$A$1,0,0,COUNTA([3]enemies!$A:$A),MATCH(M$1,[3]enemies!$1:$1,0)-MATCH($L$1,[3]enemies!$1:$1,0)+1),MATCH(M$1,[3]enemies!$1:$1,0)-MATCH($L$1,[3]enemies!$1:$1,0)+1,FALSE)</f>
        <v>孤高の狼憑き アマラ</v>
      </c>
      <c r="N5" s="12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2" t="str">
        <f ca="1">VLOOKUP($L5,OFFSET([4]characters!$A$1,0,0,COUNTA([4]characters!$A:$A),MATCH(O$1,[4]characters!$1:$1,0)-MATCH($L$1,[4]characters!$1:$1,0)+1),MATCH(O$1,[4]characters!$1:$1,0)-MATCH($L$1,[4]characters!$1:$1,0)+1,FALSE)</f>
        <v>PremiumW</v>
      </c>
      <c r="P5" s="12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2">
        <f ca="1">VLOOKUP($L5,OFFSET([3]enemies!$A$1,0,0,COUNTA([3]enemies!$A:$A),MATCH(Q$1,[3]enemies!$1:$1,0)-MATCH($L$1,[3]enemies!$1:$1,0)+1),MATCH(Q$1,[3]enemies!$1:$1,0)-MATCH($L$1,[3]enemies!$1:$1,0)+1,FALSE)</f>
        <v>30</v>
      </c>
      <c r="R5" s="3">
        <v>80</v>
      </c>
      <c r="S5" s="17">
        <v>0.7</v>
      </c>
      <c r="T5" s="91">
        <f>S5*203170</f>
        <v>142219</v>
      </c>
      <c r="U5" s="17">
        <v>0.8</v>
      </c>
      <c r="V5" s="91">
        <f>U5*8204</f>
        <v>6563.2000000000007</v>
      </c>
      <c r="W5" s="3">
        <v>0</v>
      </c>
      <c r="X5" s="2" t="str">
        <f ca="1">VLOOKUP($Y5,OFFSET(enemy_skill_sets!$B$1,0,0,COUNTA(enemy_skill_sets!$B:$B),MATCH(M$1,enemy_skill_sets!$1:$1,0)-MATCH($Y$1,enemy_skill_sets!$1:$1,0)+2),MATCH(M$1,enemy_skill_sets!$1:$1,0)-MATCH($Y$1,enemy_skill_sets!$1:$1,0)+2,FALSE)</f>
        <v>緑パネルプロテクト(最大5個)</v>
      </c>
      <c r="Y5" s="36">
        <v>48503012</v>
      </c>
      <c r="Z5" s="4">
        <v>1</v>
      </c>
      <c r="AA5" s="4">
        <v>100</v>
      </c>
      <c r="AB5" s="4">
        <v>1</v>
      </c>
      <c r="AC5" s="97">
        <v>2</v>
      </c>
      <c r="AD5" s="96">
        <v>129</v>
      </c>
      <c r="AE5" s="2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孤高の狼憑き アマラ</v>
      </c>
      <c r="AF5" s="2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2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5" s="94">
        <v>1</v>
      </c>
      <c r="AI5" s="98">
        <f t="shared" ca="1" si="3"/>
        <v>4</v>
      </c>
      <c r="AJ5" s="5">
        <v>0</v>
      </c>
      <c r="AK5" s="94">
        <v>0</v>
      </c>
      <c r="AL5" s="94">
        <v>0</v>
      </c>
      <c r="AM5" s="94">
        <v>0</v>
      </c>
      <c r="AN5" s="94">
        <v>0</v>
      </c>
      <c r="AO5" s="94">
        <v>1</v>
      </c>
      <c r="AP5" s="58">
        <v>1</v>
      </c>
    </row>
    <row r="6" spans="1:42" ht="21" customHeight="1" x14ac:dyDescent="0.15">
      <c r="A6" s="11" t="str">
        <f t="shared" si="0"/>
        <v>48503_1-3/672&lt;lv80&gt;s2</v>
      </c>
      <c r="B6" s="15">
        <v>48503</v>
      </c>
      <c r="C6" s="95">
        <v>1</v>
      </c>
      <c r="D6" s="10" t="str">
        <f t="shared" si="1"/>
        <v>48503_1</v>
      </c>
      <c r="E6" s="2" t="str">
        <f ca="1">VLOOKUP($B6,OFFSET([2]quests!$A$1,0,0,COUNTA([2]quests!$A:$A),MATCH(E$1,[2]quests!$1:$1,0)-MATCH($B$1,[2]quests!$1:$1,0)+1),MATCH(E$1,[2]quests!$1:$1,0)-MATCH($B$1,[2]quests!$1:$1,0)+1,FALSE)</f>
        <v>ナーガ襲来！</v>
      </c>
      <c r="F6" s="2" t="str">
        <f ca="1">VLOOKUP($D6,OFFSET([2]stages!$A$1,0,0,COUNTA([2]stages!$A:$A),MATCH(F$1,[2]stages!$2:$2,0)-MATCH($D$1,[2]stages!$2:$2,0)+1),MATCH(F$1,[2]stages!$2:$2,0)-MATCH($D$1,[2]stages!$2:$2,0)+1,FALSE)</f>
        <v>【超絶級】ナーガ襲来</v>
      </c>
      <c r="G6" s="95">
        <v>3</v>
      </c>
      <c r="H6" s="10" t="str">
        <f t="shared" si="2"/>
        <v>48503_1-3</v>
      </c>
      <c r="I6" s="2">
        <f ca="1">VLOOKUP($H6,OFFSET(floors!$A$1,0,0,COUNTA(floors!$A:$A),MATCH(I$1,floors!$1:$1,0)-MATCH($H$1,floors!$1:$1,0)+1),MATCH(I$1,floors!$1:$1,0)-MATCH($H$1,floors!$1:$1,0)+1,FALSE)</f>
        <v>60</v>
      </c>
      <c r="J6" s="2">
        <f ca="1">VLOOKUP($H6,OFFSET(floors!$A$1,0,0,COUNTA(floors!$A:$A),MATCH(J$1,floors!$1:$1,0)-MATCH($H$1,floors!$1:$1,0)+1),MATCH(J$1,floors!$1:$1,0)-MATCH($H$1,floors!$1:$1,0)+1,FALSE)</f>
        <v>60</v>
      </c>
      <c r="K6" s="27" t="s">
        <v>48</v>
      </c>
      <c r="L6" s="96">
        <v>672</v>
      </c>
      <c r="M6" s="12" t="str">
        <f ca="1">VLOOKUP($L6,OFFSET([3]enemies!$A$1,0,0,COUNTA([3]enemies!$A:$A),MATCH(M$1,[3]enemies!$1:$1,0)-MATCH($L$1,[3]enemies!$1:$1,0)+1),MATCH(M$1,[3]enemies!$1:$1,0)-MATCH($L$1,[3]enemies!$1:$1,0)+1,FALSE)</f>
        <v>西遊韋駄天 ハヌマーン</v>
      </c>
      <c r="N6" s="12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2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2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2">
        <f ca="1">VLOOKUP($L6,OFFSET([3]enemies!$A$1,0,0,COUNTA([3]enemies!$A:$A),MATCH(Q$1,[3]enemies!$1:$1,0)-MATCH($L$1,[3]enemies!$1:$1,0)+1),MATCH(Q$1,[3]enemies!$1:$1,0)-MATCH($L$1,[3]enemies!$1:$1,0)+1,FALSE)</f>
        <v>30</v>
      </c>
      <c r="R6" s="3">
        <v>80</v>
      </c>
      <c r="S6" s="17">
        <v>1.5</v>
      </c>
      <c r="T6" s="91">
        <f>S6*108069</f>
        <v>162103.5</v>
      </c>
      <c r="U6" s="17">
        <v>0.7</v>
      </c>
      <c r="V6" s="91">
        <f>U6*11849</f>
        <v>8294.2999999999993</v>
      </c>
      <c r="W6" s="3">
        <v>0</v>
      </c>
      <c r="X6" s="2" t="str">
        <f ca="1">VLOOKUP($Y6,OFFSET(enemy_skill_sets!$B$1,0,0,COUNTA(enemy_skill_sets!$B:$B),MATCH(M$1,enemy_skill_sets!$1:$1,0)-MATCH($Y$1,enemy_skill_sets!$1:$1,0)+2),MATCH(M$1,enemy_skill_sets!$1:$1,0)-MATCH($Y$1,enemy_skill_sets!$1:$1,0)+2,FALSE)</f>
        <v>3ターン赤パネルを吸収して防御力UP</v>
      </c>
      <c r="Y6" s="36">
        <v>48503014</v>
      </c>
      <c r="Z6" s="4">
        <v>1</v>
      </c>
      <c r="AA6" s="4">
        <v>100</v>
      </c>
      <c r="AB6" s="4">
        <v>1</v>
      </c>
      <c r="AC6" s="97">
        <v>2</v>
      </c>
      <c r="AD6" s="96">
        <v>672</v>
      </c>
      <c r="AE6" s="2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西遊韋駄天 ハヌマーン</v>
      </c>
      <c r="AF6" s="2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2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94">
        <v>1</v>
      </c>
      <c r="AI6" s="98">
        <f t="shared" ca="1" si="3"/>
        <v>4</v>
      </c>
      <c r="AJ6" s="5">
        <v>0</v>
      </c>
      <c r="AK6" s="94">
        <v>0</v>
      </c>
      <c r="AL6" s="94">
        <v>0</v>
      </c>
      <c r="AM6" s="94">
        <v>0</v>
      </c>
      <c r="AN6" s="94">
        <v>0</v>
      </c>
      <c r="AO6" s="94">
        <v>1</v>
      </c>
      <c r="AP6" s="58">
        <v>1</v>
      </c>
    </row>
    <row r="7" spans="1:42" ht="21" customHeight="1" x14ac:dyDescent="0.15">
      <c r="A7" s="11" t="str">
        <f t="shared" si="0"/>
        <v>48503_1-3/33&lt;lv80&gt;s2</v>
      </c>
      <c r="B7" s="15">
        <v>48503</v>
      </c>
      <c r="C7" s="95">
        <v>1</v>
      </c>
      <c r="D7" s="10" t="str">
        <f t="shared" si="1"/>
        <v>48503_1</v>
      </c>
      <c r="E7" s="2" t="str">
        <f ca="1">VLOOKUP($B7,OFFSET([2]quests!$A$1,0,0,COUNTA([2]quests!$A:$A),MATCH(E$1,[2]quests!$1:$1,0)-MATCH($B$1,[2]quests!$1:$1,0)+1),MATCH(E$1,[2]quests!$1:$1,0)-MATCH($B$1,[2]quests!$1:$1,0)+1,FALSE)</f>
        <v>ナーガ襲来！</v>
      </c>
      <c r="F7" s="2" t="str">
        <f ca="1">VLOOKUP($D7,OFFSET([2]stages!$A$1,0,0,COUNTA([2]stages!$A:$A),MATCH(F$1,[2]stages!$2:$2,0)-MATCH($D$1,[2]stages!$2:$2,0)+1),MATCH(F$1,[2]stages!$2:$2,0)-MATCH($D$1,[2]stages!$2:$2,0)+1,FALSE)</f>
        <v>【超絶級】ナーガ襲来</v>
      </c>
      <c r="G7" s="95">
        <v>3</v>
      </c>
      <c r="H7" s="10" t="str">
        <f t="shared" si="2"/>
        <v>48503_1-3</v>
      </c>
      <c r="I7" s="2">
        <f ca="1">VLOOKUP($H7,OFFSET(floors!$A$1,0,0,COUNTA(floors!$A:$A),MATCH(I$1,floors!$1:$1,0)-MATCH($H$1,floors!$1:$1,0)+1),MATCH(I$1,floors!$1:$1,0)-MATCH($H$1,floors!$1:$1,0)+1,FALSE)</f>
        <v>60</v>
      </c>
      <c r="J7" s="2">
        <f ca="1">VLOOKUP($H7,OFFSET(floors!$A$1,0,0,COUNTA(floors!$A:$A),MATCH(J$1,floors!$1:$1,0)-MATCH($H$1,floors!$1:$1,0)+1),MATCH(J$1,floors!$1:$1,0)-MATCH($H$1,floors!$1:$1,0)+1,FALSE)</f>
        <v>60</v>
      </c>
      <c r="K7" s="27" t="s">
        <v>48</v>
      </c>
      <c r="L7" s="96">
        <v>33</v>
      </c>
      <c r="M7" s="12" t="str">
        <f ca="1">VLOOKUP($L7,OFFSET([3]enemies!$A$1,0,0,COUNTA([3]enemies!$A:$A),MATCH(M$1,[3]enemies!$1:$1,0)-MATCH($L$1,[3]enemies!$1:$1,0)+1),MATCH(M$1,[3]enemies!$1:$1,0)-MATCH($L$1,[3]enemies!$1:$1,0)+1,FALSE)</f>
        <v>ゴクウ</v>
      </c>
      <c r="N7" s="12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2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2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2">
        <f ca="1">VLOOKUP($L7,OFFSET([3]enemies!$A$1,0,0,COUNTA([3]enemies!$A:$A),MATCH(Q$1,[3]enemies!$1:$1,0)-MATCH($L$1,[3]enemies!$1:$1,0)+1),MATCH(Q$1,[3]enemies!$1:$1,0)-MATCH($L$1,[3]enemies!$1:$1,0)+1,FALSE)</f>
        <v>15</v>
      </c>
      <c r="R7" s="3">
        <v>80</v>
      </c>
      <c r="S7" s="17">
        <v>1.8</v>
      </c>
      <c r="T7" s="91">
        <f>S7*16300</f>
        <v>29340</v>
      </c>
      <c r="U7" s="17">
        <v>0.4</v>
      </c>
      <c r="V7" s="91">
        <f>U7*5473</f>
        <v>2189.2000000000003</v>
      </c>
      <c r="W7" s="3">
        <v>0</v>
      </c>
      <c r="X7" s="2" t="str">
        <f ca="1">VLOOKUP($Y7,OFFSET(enemy_skill_sets!$B$1,0,0,COUNTA(enemy_skill_sets!$B:$B),MATCH(M$1,enemy_skill_sets!$1:$1,0)-MATCH($Y$1,enemy_skill_sets!$1:$1,0)+2),MATCH(M$1,enemy_skill_sets!$1:$1,0)-MATCH($Y$1,enemy_skill_sets!$1:$1,0)+2,FALSE)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7" s="36">
        <v>48503015</v>
      </c>
      <c r="Z7" s="4">
        <v>2</v>
      </c>
      <c r="AA7" s="4">
        <v>100</v>
      </c>
      <c r="AB7" s="4">
        <v>0</v>
      </c>
      <c r="AC7" s="97">
        <v>2</v>
      </c>
      <c r="AD7" s="96">
        <v>33</v>
      </c>
      <c r="AE7" s="2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ゴクウ</v>
      </c>
      <c r="AF7" s="2">
        <f ca="1">VLOOKUP($AD7,OFFSET([4]characters!$A$1,0,0,COUNTA([4]characters!$A:$A),MATCH(AF$1,[4]characters!$1:$1,0)-MATCH("character_id",[4]characters!$1:$1,0)+1),MATCH(AF$1,[4]characters!$1:$1,0)-MATCH("character_id",[4]characters!$1:$1,0)+1,FALSE)</f>
        <v>2</v>
      </c>
      <c r="AG7" s="2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Drop1S</v>
      </c>
      <c r="AH7" s="94">
        <v>1</v>
      </c>
      <c r="AI7" s="98">
        <f t="shared" ca="1" si="3"/>
        <v>2</v>
      </c>
      <c r="AJ7" s="5">
        <v>0</v>
      </c>
      <c r="AK7" s="94">
        <v>0</v>
      </c>
      <c r="AL7" s="94">
        <v>0</v>
      </c>
      <c r="AM7" s="94">
        <v>0</v>
      </c>
      <c r="AN7" s="94">
        <v>0</v>
      </c>
      <c r="AO7" s="94">
        <v>1</v>
      </c>
      <c r="AP7" s="58">
        <v>1</v>
      </c>
    </row>
    <row r="8" spans="1:42" ht="21" customHeight="1" x14ac:dyDescent="0.15">
      <c r="A8" s="11" t="str">
        <f t="shared" si="0"/>
        <v>48503_1-4/5003&lt;lv80&gt;s3</v>
      </c>
      <c r="B8" s="15">
        <v>48503</v>
      </c>
      <c r="C8" s="95">
        <v>1</v>
      </c>
      <c r="D8" s="10" t="str">
        <f t="shared" si="1"/>
        <v>48503_1</v>
      </c>
      <c r="E8" s="2" t="str">
        <f ca="1">VLOOKUP($B8,OFFSET([2]quests!$A$1,0,0,COUNTA([2]quests!$A:$A),MATCH(E$1,[2]quests!$1:$1,0)-MATCH($B$1,[2]quests!$1:$1,0)+1),MATCH(E$1,[2]quests!$1:$1,0)-MATCH($B$1,[2]quests!$1:$1,0)+1,FALSE)</f>
        <v>ナーガ襲来！</v>
      </c>
      <c r="F8" s="2" t="str">
        <f ca="1">VLOOKUP($D8,OFFSET([2]stages!$A$1,0,0,COUNTA([2]stages!$A:$A),MATCH(F$1,[2]stages!$2:$2,0)-MATCH($D$1,[2]stages!$2:$2,0)+1),MATCH(F$1,[2]stages!$2:$2,0)-MATCH($D$1,[2]stages!$2:$2,0)+1,FALSE)</f>
        <v>【超絶級】ナーガ襲来</v>
      </c>
      <c r="G8" s="95">
        <v>4</v>
      </c>
      <c r="H8" s="10" t="str">
        <f t="shared" si="2"/>
        <v>48503_1-4</v>
      </c>
      <c r="I8" s="2">
        <f ca="1">VLOOKUP($H8,OFFSET(floors!$A$1,0,0,COUNTA(floors!$A:$A),MATCH(I$1,floors!$1:$1,0)-MATCH($H$1,floors!$1:$1,0)+1),MATCH(I$1,floors!$1:$1,0)-MATCH($H$1,floors!$1:$1,0)+1,FALSE)</f>
        <v>60</v>
      </c>
      <c r="J8" s="2">
        <f ca="1">VLOOKUP($H8,OFFSET(floors!$A$1,0,0,COUNTA(floors!$A:$A),MATCH(J$1,floors!$1:$1,0)-MATCH($H$1,floors!$1:$1,0)+1),MATCH(J$1,floors!$1:$1,0)-MATCH($H$1,floors!$1:$1,0)+1,FALSE)</f>
        <v>60</v>
      </c>
      <c r="K8" s="27">
        <v>2</v>
      </c>
      <c r="L8" s="96">
        <v>5003</v>
      </c>
      <c r="M8" s="12" t="str">
        <f ca="1">VLOOKUP($L8,OFFSET([3]enemies!$A$1,0,0,COUNTA([3]enemies!$A:$A),MATCH(M$1,[3]enemies!$1:$1,0)-MATCH($L$1,[3]enemies!$1:$1,0)+1),MATCH(M$1,[3]enemies!$1:$1,0)-MATCH($L$1,[3]enemies!$1:$1,0)+1,FALSE)</f>
        <v>ナーガ</v>
      </c>
      <c r="N8" s="12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2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2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2">
        <f ca="1">VLOOKUP($L8,OFFSET([3]enemies!$A$1,0,0,COUNTA([3]enemies!$A:$A),MATCH(Q$1,[3]enemies!$1:$1,0)-MATCH($L$1,[3]enemies!$1:$1,0)+1),MATCH(Q$1,[3]enemies!$1:$1,0)-MATCH($L$1,[3]enemies!$1:$1,0)+1,FALSE)</f>
        <v>60</v>
      </c>
      <c r="R8" s="3">
        <v>80</v>
      </c>
      <c r="S8" s="17">
        <v>2</v>
      </c>
      <c r="T8" s="91">
        <f>S8*127190</f>
        <v>254380</v>
      </c>
      <c r="U8" s="17">
        <v>0.8</v>
      </c>
      <c r="V8" s="91">
        <f>U8*8636</f>
        <v>6908.8</v>
      </c>
      <c r="W8" s="3">
        <v>0</v>
      </c>
      <c r="X8" s="2" t="str">
        <f ca="1">VLOOKUP($Y8,OFFSET(enemy_skill_sets!$B$1,0,0,COUNTA(enemy_skill_sets!$B:$B),MATCH(M$1,enemy_skill_sets!$1:$1,0)-MATCH($Y$1,enemy_skill_sets!$1:$1,0)+2),MATCH(M$1,enemy_skill_sets!$1:$1,0)-MATCH($Y$1,enemy_skill_sets!$1:$1,0)+2,FALSE)</f>
        <v>ランダムでお邪魔パネルに最大2個変換+_x000D_属性パネルプロテクト(最大5個)</v>
      </c>
      <c r="Y8" s="36">
        <v>48503016</v>
      </c>
      <c r="Z8" s="4">
        <v>1</v>
      </c>
      <c r="AA8" s="4">
        <v>100</v>
      </c>
      <c r="AB8" s="4">
        <v>1</v>
      </c>
      <c r="AC8" s="97">
        <v>3</v>
      </c>
      <c r="AD8" s="96">
        <v>5003</v>
      </c>
      <c r="AE8" s="2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ナーガ</v>
      </c>
      <c r="AF8" s="2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2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8" s="94">
        <v>1</v>
      </c>
      <c r="AI8" s="98">
        <f t="shared" ca="1" si="3"/>
        <v>5</v>
      </c>
      <c r="AJ8" s="99">
        <v>15</v>
      </c>
      <c r="AK8" s="94">
        <v>0</v>
      </c>
      <c r="AL8" s="94">
        <v>0</v>
      </c>
      <c r="AM8" s="94">
        <v>0</v>
      </c>
      <c r="AN8" s="94">
        <v>0</v>
      </c>
      <c r="AO8" s="94">
        <v>1</v>
      </c>
      <c r="AP8" s="58">
        <v>1</v>
      </c>
    </row>
    <row r="9" spans="1:42" ht="21" customHeight="1" x14ac:dyDescent="0.15">
      <c r="A9" s="11" t="str">
        <f t="shared" si="0"/>
        <v>48503_2-1/9&lt;lv99&gt;s2</v>
      </c>
      <c r="B9" s="100">
        <v>48503</v>
      </c>
      <c r="C9" s="95">
        <v>2</v>
      </c>
      <c r="D9" s="10" t="str">
        <f t="shared" si="1"/>
        <v>48503_2</v>
      </c>
      <c r="E9" s="2" t="str">
        <f ca="1">VLOOKUP($B9,OFFSET([2]quests!$A$1,0,0,COUNTA([2]quests!$A:$A),MATCH(E$1,[2]quests!$1:$1,0)-MATCH($B$1,[2]quests!$1:$1,0)+1),MATCH(E$1,[2]quests!$1:$1,0)-MATCH($B$1,[2]quests!$1:$1,0)+1,FALSE)</f>
        <v>ナーガ襲来！</v>
      </c>
      <c r="F9" s="2" t="str">
        <f ca="1">VLOOKUP($D9,OFFSET([2]stages!$A$1,0,0,COUNTA([2]stages!$A:$A),MATCH(F$1,[2]stages!$2:$2,0)-MATCH($D$1,[2]stages!$2:$2,0)+1),MATCH(F$1,[2]stages!$2:$2,0)-MATCH($D$1,[2]stages!$2:$2,0)+1,FALSE)</f>
        <v>【ウィザード級】ナーガ襲来</v>
      </c>
      <c r="G9" s="95">
        <v>1</v>
      </c>
      <c r="H9" s="10" t="str">
        <f t="shared" si="2"/>
        <v>48503_2-1</v>
      </c>
      <c r="I9" s="2">
        <f ca="1">VLOOKUP($H9,OFFSET(floors!$A$1,0,0,COUNTA(floors!$A:$A),MATCH(I$1,floors!$1:$1,0)-MATCH($H$1,floors!$1:$1,0)+1),MATCH(I$1,floors!$1:$1,0)-MATCH($H$1,floors!$1:$1,0)+1,FALSE)</f>
        <v>45</v>
      </c>
      <c r="J9" s="2">
        <f ca="1">VLOOKUP($H9,OFFSET(floors!$A$1,0,0,COUNTA(floors!$A:$A),MATCH(J$1,floors!$1:$1,0)-MATCH($H$1,floors!$1:$1,0)+1),MATCH(J$1,floors!$1:$1,0)-MATCH($H$1,floors!$1:$1,0)+1,FALSE)</f>
        <v>45</v>
      </c>
      <c r="K9" s="27" t="s">
        <v>48</v>
      </c>
      <c r="L9" s="96">
        <v>9</v>
      </c>
      <c r="M9" s="12" t="str">
        <f ca="1">VLOOKUP($L9,OFFSET([3]enemies!$A$1,0,0,COUNTA([3]enemies!$A:$A),MATCH(M$1,[3]enemies!$1:$1,0)-MATCH($L$1,[3]enemies!$1:$1,0)+1),MATCH(M$1,[3]enemies!$1:$1,0)-MATCH($L$1,[3]enemies!$1:$1,0)+1,FALSE)</f>
        <v>ブレット</v>
      </c>
      <c r="N9" s="12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2" t="str">
        <f ca="1">VLOOKUP($L9,OFFSET([4]characters!$A$1,0,0,COUNTA([4]characters!$A:$A),MATCH(O$1,[4]characters!$1:$1,0)-MATCH($L$1,[4]characters!$1:$1,0)+1),MATCH(O$1,[4]characters!$1:$1,0)-MATCH($L$1,[4]characters!$1:$1,0)+1,FALSE)</f>
        <v>Drop1W</v>
      </c>
      <c r="P9" s="12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2">
        <f ca="1">VLOOKUP($L9,OFFSET([3]enemies!$A$1,0,0,COUNTA([3]enemies!$A:$A),MATCH(Q$1,[3]enemies!$1:$1,0)-MATCH($L$1,[3]enemies!$1:$1,0)+1),MATCH(Q$1,[3]enemies!$1:$1,0)-MATCH($L$1,[3]enemies!$1:$1,0)+1,FALSE)</f>
        <v>15</v>
      </c>
      <c r="R9" s="3">
        <v>99</v>
      </c>
      <c r="S9" s="17">
        <v>2.5</v>
      </c>
      <c r="T9" s="91">
        <f>20100*S9</f>
        <v>50250</v>
      </c>
      <c r="U9" s="17">
        <v>0.4</v>
      </c>
      <c r="V9" s="91">
        <f>U9*6749</f>
        <v>2699.6000000000004</v>
      </c>
      <c r="W9" s="3">
        <v>0</v>
      </c>
      <c r="X9" s="2" t="e">
        <f ca="1">VLOOKUP($Y9,OFFSET(enemy_skill_sets!$B$1,0,0,COUNTA(enemy_skill_sets!$B:$B),MATCH(M$1,enemy_skill_sets!$1:$1,0)-MATCH($Y$1,enemy_skill_sets!$1:$1,0)+2),MATCH(M$1,enemy_skill_sets!$1:$1,0)-MATCH($Y$1,enemy_skill_sets!$1:$1,0)+2,FALSE)</f>
        <v>#N/A</v>
      </c>
      <c r="Y9" s="36">
        <v>0</v>
      </c>
      <c r="Z9" s="4">
        <v>1</v>
      </c>
      <c r="AA9" s="4">
        <v>100</v>
      </c>
      <c r="AB9" s="4">
        <v>0</v>
      </c>
      <c r="AC9" s="97">
        <v>2</v>
      </c>
      <c r="AD9" s="96">
        <v>9</v>
      </c>
      <c r="AE9" s="2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ブレット</v>
      </c>
      <c r="AF9" s="2">
        <f ca="1">VLOOKUP($AD9,OFFSET([4]characters!$A$1,0,0,COUNTA([4]characters!$A:$A),MATCH(AF$1,[4]characters!$1:$1,0)-MATCH("character_id",[4]characters!$1:$1,0)+1),MATCH(AF$1,[4]characters!$1:$1,0)-MATCH("character_id",[4]characters!$1:$1,0)+1,FALSE)</f>
        <v>1</v>
      </c>
      <c r="AG9" s="2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Drop1W</v>
      </c>
      <c r="AH9" s="94">
        <v>1</v>
      </c>
      <c r="AI9" s="98">
        <f t="shared" ca="1" si="3"/>
        <v>1</v>
      </c>
      <c r="AJ9" s="5">
        <v>0</v>
      </c>
      <c r="AK9" s="94">
        <v>0</v>
      </c>
      <c r="AL9" s="94">
        <v>0</v>
      </c>
      <c r="AM9" s="94">
        <v>0</v>
      </c>
      <c r="AN9" s="94">
        <v>0</v>
      </c>
      <c r="AO9" s="94">
        <v>1</v>
      </c>
      <c r="AP9" s="58">
        <v>1</v>
      </c>
    </row>
    <row r="10" spans="1:42" ht="21" customHeight="1" x14ac:dyDescent="0.15">
      <c r="A10" s="11" t="str">
        <f t="shared" si="0"/>
        <v>48503_2-1/47&lt;lv99&gt;s2</v>
      </c>
      <c r="B10" s="100">
        <v>48503</v>
      </c>
      <c r="C10" s="95">
        <v>2</v>
      </c>
      <c r="D10" s="10" t="str">
        <f t="shared" si="1"/>
        <v>48503_2</v>
      </c>
      <c r="E10" s="2" t="str">
        <f ca="1">VLOOKUP($B10,OFFSET([2]quests!$A$1,0,0,COUNTA([2]quests!$A:$A),MATCH(E$1,[2]quests!$1:$1,0)-MATCH($B$1,[2]quests!$1:$1,0)+1),MATCH(E$1,[2]quests!$1:$1,0)-MATCH($B$1,[2]quests!$1:$1,0)+1,FALSE)</f>
        <v>ナーガ襲来！</v>
      </c>
      <c r="F10" s="2" t="str">
        <f ca="1">VLOOKUP($D10,OFFSET([2]stages!$A$1,0,0,COUNTA([2]stages!$A:$A),MATCH(F$1,[2]stages!$2:$2,0)-MATCH($D$1,[2]stages!$2:$2,0)+1),MATCH(F$1,[2]stages!$2:$2,0)-MATCH($D$1,[2]stages!$2:$2,0)+1,FALSE)</f>
        <v>【ウィザード級】ナーガ襲来</v>
      </c>
      <c r="G10" s="95">
        <v>1</v>
      </c>
      <c r="H10" s="10" t="str">
        <f t="shared" si="2"/>
        <v>48503_2-1</v>
      </c>
      <c r="I10" s="2">
        <f ca="1">VLOOKUP($H10,OFFSET(floors!$A$1,0,0,COUNTA(floors!$A:$A),MATCH(I$1,floors!$1:$1,0)-MATCH($H$1,floors!$1:$1,0)+1),MATCH(I$1,floors!$1:$1,0)-MATCH($H$1,floors!$1:$1,0)+1,FALSE)</f>
        <v>45</v>
      </c>
      <c r="J10" s="2">
        <f ca="1">VLOOKUP($H10,OFFSET(floors!$A$1,0,0,COUNTA(floors!$A:$A),MATCH(J$1,floors!$1:$1,0)-MATCH($H$1,floors!$1:$1,0)+1),MATCH(J$1,floors!$1:$1,0)-MATCH($H$1,floors!$1:$1,0)+1,FALSE)</f>
        <v>45</v>
      </c>
      <c r="K10" s="27" t="s">
        <v>48</v>
      </c>
      <c r="L10" s="96">
        <v>47</v>
      </c>
      <c r="M10" s="12" t="str">
        <f ca="1">VLOOKUP($L10,OFFSET([3]enemies!$A$1,0,0,COUNTA([3]enemies!$A:$A),MATCH(M$1,[3]enemies!$1:$1,0)-MATCH($L$1,[3]enemies!$1:$1,0)+1),MATCH(M$1,[3]enemies!$1:$1,0)-MATCH($L$1,[3]enemies!$1:$1,0)+1,FALSE)</f>
        <v>ヒロ</v>
      </c>
      <c r="N10" s="12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2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2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2">
        <f ca="1">VLOOKUP($L10,OFFSET([3]enemies!$A$1,0,0,COUNTA([3]enemies!$A:$A),MATCH(Q$1,[3]enemies!$1:$1,0)-MATCH($L$1,[3]enemies!$1:$1,0)+1),MATCH(Q$1,[3]enemies!$1:$1,0)-MATCH($L$1,[3]enemies!$1:$1,0)+1,FALSE)</f>
        <v>15</v>
      </c>
      <c r="R10" s="3">
        <v>99</v>
      </c>
      <c r="S10" s="17">
        <v>2.5</v>
      </c>
      <c r="T10" s="91">
        <f>S10*19698</f>
        <v>49245</v>
      </c>
      <c r="U10" s="17">
        <v>0.6</v>
      </c>
      <c r="V10" s="91">
        <f>U10*4901</f>
        <v>2940.6</v>
      </c>
      <c r="W10" s="3">
        <v>0</v>
      </c>
      <c r="X10" s="2" t="str">
        <f ca="1">VLOOKUP($Y10,OFFSET(enemy_skill_sets!$B$1,0,0,COUNTA(enemy_skill_sets!$B:$B),MATCH(M$1,enemy_skill_sets!$1:$1,0)-MATCH($Y$1,enemy_skill_sets!$1:$1,0)+2),MATCH(M$1,enemy_skill_sets!$1:$1,0)-MATCH($Y$1,enemy_skill_sets!$1:$1,0)+2,FALSE)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10" s="36">
        <v>48503001</v>
      </c>
      <c r="Z10" s="4">
        <v>1</v>
      </c>
      <c r="AA10" s="4">
        <v>100</v>
      </c>
      <c r="AB10" s="4">
        <v>0</v>
      </c>
      <c r="AC10" s="97">
        <v>2</v>
      </c>
      <c r="AD10" s="96">
        <v>47</v>
      </c>
      <c r="AE10" s="2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ヒロ</v>
      </c>
      <c r="AF10" s="2">
        <f ca="1">VLOOKUP($AD10,OFFSET([4]characters!$A$1,0,0,COUNTA([4]characters!$A:$A),MATCH(AF$1,[4]characters!$1:$1,0)-MATCH("character_id",[4]characters!$1:$1,0)+1),MATCH(AF$1,[4]characters!$1:$1,0)-MATCH("character_id",[4]characters!$1:$1,0)+1,FALSE)</f>
        <v>2</v>
      </c>
      <c r="AG10" s="2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Drop1N</v>
      </c>
      <c r="AH10" s="94">
        <v>1</v>
      </c>
      <c r="AI10" s="98">
        <f t="shared" ca="1" si="3"/>
        <v>2</v>
      </c>
      <c r="AJ10" s="5">
        <v>0</v>
      </c>
      <c r="AK10" s="94">
        <v>0</v>
      </c>
      <c r="AL10" s="94">
        <v>0</v>
      </c>
      <c r="AM10" s="94">
        <v>0</v>
      </c>
      <c r="AN10" s="94">
        <v>0</v>
      </c>
      <c r="AO10" s="94">
        <v>1</v>
      </c>
      <c r="AP10" s="58">
        <v>1</v>
      </c>
    </row>
    <row r="11" spans="1:42" ht="21" customHeight="1" x14ac:dyDescent="0.15">
      <c r="A11" s="11" t="str">
        <f t="shared" si="0"/>
        <v>48503_2-1/74&lt;lv99&gt;s1</v>
      </c>
      <c r="B11" s="100">
        <v>48503</v>
      </c>
      <c r="C11" s="95">
        <v>2</v>
      </c>
      <c r="D11" s="10" t="str">
        <f t="shared" si="1"/>
        <v>48503_2</v>
      </c>
      <c r="E11" s="2" t="str">
        <f ca="1">VLOOKUP($B11,OFFSET([2]quests!$A$1,0,0,COUNTA([2]quests!$A:$A),MATCH(E$1,[2]quests!$1:$1,0)-MATCH($B$1,[2]quests!$1:$1,0)+1),MATCH(E$1,[2]quests!$1:$1,0)-MATCH($B$1,[2]quests!$1:$1,0)+1,FALSE)</f>
        <v>ナーガ襲来！</v>
      </c>
      <c r="F11" s="2" t="str">
        <f ca="1">VLOOKUP($D11,OFFSET([2]stages!$A$1,0,0,COUNTA([2]stages!$A:$A),MATCH(F$1,[2]stages!$2:$2,0)-MATCH($D$1,[2]stages!$2:$2,0)+1),MATCH(F$1,[2]stages!$2:$2,0)-MATCH($D$1,[2]stages!$2:$2,0)+1,FALSE)</f>
        <v>【ウィザード級】ナーガ襲来</v>
      </c>
      <c r="G11" s="95">
        <v>1</v>
      </c>
      <c r="H11" s="10" t="str">
        <f t="shared" si="2"/>
        <v>48503_2-1</v>
      </c>
      <c r="I11" s="2">
        <f ca="1">VLOOKUP($H11,OFFSET(floors!$A$1,0,0,COUNTA(floors!$A:$A),MATCH(I$1,floors!$1:$1,0)-MATCH($H$1,floors!$1:$1,0)+1),MATCH(I$1,floors!$1:$1,0)-MATCH($H$1,floors!$1:$1,0)+1,FALSE)</f>
        <v>45</v>
      </c>
      <c r="J11" s="2">
        <f ca="1">VLOOKUP($H11,OFFSET(floors!$A$1,0,0,COUNTA(floors!$A:$A),MATCH(J$1,floors!$1:$1,0)-MATCH($H$1,floors!$1:$1,0)+1),MATCH(J$1,floors!$1:$1,0)-MATCH($H$1,floors!$1:$1,0)+1,FALSE)</f>
        <v>45</v>
      </c>
      <c r="K11" s="27" t="s">
        <v>48</v>
      </c>
      <c r="L11" s="96">
        <v>74</v>
      </c>
      <c r="M11" s="12" t="str">
        <f ca="1">VLOOKUP($L11,OFFSET([3]enemies!$A$1,0,0,COUNTA([3]enemies!$A:$A),MATCH(M$1,[3]enemies!$1:$1,0)-MATCH($L$1,[3]enemies!$1:$1,0)+1),MATCH(M$1,[3]enemies!$1:$1,0)-MATCH($L$1,[3]enemies!$1:$1,0)+1,FALSE)</f>
        <v>サンダーバード</v>
      </c>
      <c r="N11" s="12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2" t="str">
        <f ca="1">VLOOKUP($L11,OFFSET([4]characters!$A$1,0,0,COUNTA([4]characters!$A:$A),MATCH(O$1,[4]characters!$1:$1,0)-MATCH($L$1,[4]characters!$1:$1,0)+1),MATCH(O$1,[4]characters!$1:$1,0)-MATCH($L$1,[4]characters!$1:$1,0)+1,FALSE)</f>
        <v>Drop1S</v>
      </c>
      <c r="P11" s="12" t="str">
        <f ca="1">VLOOKUP($L11,OFFSET([3]enemies!$A$1,0,0,COUNTA([3]enemies!$A:$A),MATCH(P$1,[3]enemies!$1:$1,0)-MATCH($L$1,[3]enemies!$1:$1,0)+1),MATCH(P$1,[3]enemies!$1:$1,0)-MATCH($L$1,[3]enemies!$1:$1,0)+1,FALSE)</f>
        <v>animal</v>
      </c>
      <c r="Q11" s="12">
        <f ca="1">VLOOKUP($L11,OFFSET([3]enemies!$A$1,0,0,COUNTA([3]enemies!$A:$A),MATCH(Q$1,[3]enemies!$1:$1,0)-MATCH($L$1,[3]enemies!$1:$1,0)+1),MATCH(Q$1,[3]enemies!$1:$1,0)-MATCH($L$1,[3]enemies!$1:$1,0)+1,FALSE)</f>
        <v>15</v>
      </c>
      <c r="R11" s="3">
        <v>99</v>
      </c>
      <c r="S11" s="17">
        <v>1.5</v>
      </c>
      <c r="T11" s="91">
        <f>S11*19698</f>
        <v>29547</v>
      </c>
      <c r="U11" s="17">
        <v>0.3</v>
      </c>
      <c r="V11" s="91">
        <f>U11*8911</f>
        <v>2673.2999999999997</v>
      </c>
      <c r="W11" s="3">
        <v>0</v>
      </c>
      <c r="X11" s="2" t="str">
        <f ca="1">VLOOKUP($Y11,OFFSET(enemy_skill_sets!$B$1,0,0,COUNTA(enemy_skill_sets!$B:$B),MATCH(M$1,enemy_skill_sets!$1:$1,0)-MATCH($Y$1,enemy_skill_sets!$1:$1,0)+2),MATCH(M$1,enemy_skill_sets!$1:$1,0)-MATCH($Y$1,enemy_skill_sets!$1:$1,0)+2,FALSE)</f>
        <v>全体攻撃</v>
      </c>
      <c r="Y11" s="36">
        <v>48503002</v>
      </c>
      <c r="Z11" s="4">
        <v>1</v>
      </c>
      <c r="AA11" s="4">
        <v>100</v>
      </c>
      <c r="AB11" s="4">
        <v>0</v>
      </c>
      <c r="AC11" s="97">
        <v>1</v>
      </c>
      <c r="AD11" s="96">
        <v>74</v>
      </c>
      <c r="AE11" s="2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サンダーバード</v>
      </c>
      <c r="AF11" s="2">
        <f ca="1">VLOOKUP($AD11,OFFSET([4]characters!$A$1,0,0,COUNTA([4]characters!$A:$A),MATCH(AF$1,[4]characters!$1:$1,0)-MATCH("character_id",[4]characters!$1:$1,0)+1),MATCH(AF$1,[4]characters!$1:$1,0)-MATCH("character_id",[4]characters!$1:$1,0)+1,FALSE)</f>
        <v>2</v>
      </c>
      <c r="AG11" s="2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Drop1S</v>
      </c>
      <c r="AH11" s="94">
        <v>1</v>
      </c>
      <c r="AI11" s="98">
        <f t="shared" ca="1" si="3"/>
        <v>2</v>
      </c>
      <c r="AJ11" s="5">
        <v>0</v>
      </c>
      <c r="AK11" s="94">
        <v>0</v>
      </c>
      <c r="AL11" s="94">
        <v>0</v>
      </c>
      <c r="AM11" s="94">
        <v>0</v>
      </c>
      <c r="AN11" s="94">
        <v>0</v>
      </c>
      <c r="AO11" s="94">
        <v>1</v>
      </c>
      <c r="AP11" s="58">
        <v>1</v>
      </c>
    </row>
    <row r="12" spans="1:42" ht="21" customHeight="1" x14ac:dyDescent="0.15">
      <c r="A12" s="11" t="str">
        <f t="shared" si="0"/>
        <v>48503_2-2/129&lt;lv99&gt;s2</v>
      </c>
      <c r="B12" s="100">
        <v>48503</v>
      </c>
      <c r="C12" s="95">
        <v>2</v>
      </c>
      <c r="D12" s="10" t="str">
        <f t="shared" si="1"/>
        <v>48503_2</v>
      </c>
      <c r="E12" s="2" t="str">
        <f ca="1">VLOOKUP($B12,OFFSET([2]quests!$A$1,0,0,COUNTA([2]quests!$A:$A),MATCH(E$1,[2]quests!$1:$1,0)-MATCH($B$1,[2]quests!$1:$1,0)+1),MATCH(E$1,[2]quests!$1:$1,0)-MATCH($B$1,[2]quests!$1:$1,0)+1,FALSE)</f>
        <v>ナーガ襲来！</v>
      </c>
      <c r="F12" s="2" t="str">
        <f ca="1">VLOOKUP($D12,OFFSET([2]stages!$A$1,0,0,COUNTA([2]stages!$A:$A),MATCH(F$1,[2]stages!$2:$2,0)-MATCH($D$1,[2]stages!$2:$2,0)+1),MATCH(F$1,[2]stages!$2:$2,0)-MATCH($D$1,[2]stages!$2:$2,0)+1,FALSE)</f>
        <v>【ウィザード級】ナーガ襲来</v>
      </c>
      <c r="G12" s="95">
        <v>2</v>
      </c>
      <c r="H12" s="10" t="str">
        <f t="shared" si="2"/>
        <v>48503_2-2</v>
      </c>
      <c r="I12" s="2">
        <f ca="1">VLOOKUP($H12,OFFSET(floors!$A$1,0,0,COUNTA(floors!$A:$A),MATCH(I$1,floors!$1:$1,0)-MATCH($H$1,floors!$1:$1,0)+1),MATCH(I$1,floors!$1:$1,0)-MATCH($H$1,floors!$1:$1,0)+1,FALSE)</f>
        <v>60</v>
      </c>
      <c r="J12" s="2">
        <f ca="1">VLOOKUP($H12,OFFSET(floors!$A$1,0,0,COUNTA(floors!$A:$A),MATCH(J$1,floors!$1:$1,0)-MATCH($H$1,floors!$1:$1,0)+1),MATCH(J$1,floors!$1:$1,0)-MATCH($H$1,floors!$1:$1,0)+1,FALSE)</f>
        <v>60</v>
      </c>
      <c r="K12" s="27">
        <v>3</v>
      </c>
      <c r="L12" s="96">
        <v>129</v>
      </c>
      <c r="M12" s="12" t="str">
        <f ca="1">VLOOKUP($L12,OFFSET([3]enemies!$A$1,0,0,COUNTA([3]enemies!$A:$A),MATCH(M$1,[3]enemies!$1:$1,0)-MATCH($L$1,[3]enemies!$1:$1,0)+1),MATCH(M$1,[3]enemies!$1:$1,0)-MATCH($L$1,[3]enemies!$1:$1,0)+1,FALSE)</f>
        <v>孤高の狼憑き アマラ</v>
      </c>
      <c r="N12" s="12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2" t="str">
        <f ca="1">VLOOKUP($L12,OFFSET([4]characters!$A$1,0,0,COUNTA([4]characters!$A:$A),MATCH(O$1,[4]characters!$1:$1,0)-MATCH($L$1,[4]characters!$1:$1,0)+1),MATCH(O$1,[4]characters!$1:$1,0)-MATCH($L$1,[4]characters!$1:$1,0)+1,FALSE)</f>
        <v>PremiumW</v>
      </c>
      <c r="P12" s="12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2">
        <f ca="1">VLOOKUP($L12,OFFSET([3]enemies!$A$1,0,0,COUNTA([3]enemies!$A:$A),MATCH(Q$1,[3]enemies!$1:$1,0)-MATCH($L$1,[3]enemies!$1:$1,0)+1),MATCH(Q$1,[3]enemies!$1:$1,0)-MATCH($L$1,[3]enemies!$1:$1,0)+1,FALSE)</f>
        <v>30</v>
      </c>
      <c r="R12" s="3">
        <v>99</v>
      </c>
      <c r="S12" s="17">
        <v>0.8</v>
      </c>
      <c r="T12" s="91">
        <f>S12*250535</f>
        <v>200428</v>
      </c>
      <c r="U12" s="17">
        <v>0.8</v>
      </c>
      <c r="V12" s="91">
        <f>U12*10116</f>
        <v>8092.8</v>
      </c>
      <c r="W12" s="3">
        <v>0</v>
      </c>
      <c r="X12" s="2" t="str">
        <f ca="1">VLOOKUP($Y12,OFFSET(enemy_skill_sets!$B$1,0,0,COUNTA(enemy_skill_sets!$B:$B),MATCH(M$1,enemy_skill_sets!$1:$1,0)-MATCH($Y$1,enemy_skill_sets!$1:$1,0)+2),MATCH(M$1,enemy_skill_sets!$1:$1,0)-MATCH($Y$1,enemy_skill_sets!$1:$1,0)+2,FALSE)</f>
        <v>緑パネルプロテクト</v>
      </c>
      <c r="Y12" s="36">
        <v>48503003</v>
      </c>
      <c r="Z12" s="4">
        <v>1</v>
      </c>
      <c r="AA12" s="4">
        <v>100</v>
      </c>
      <c r="AB12" s="4">
        <v>1</v>
      </c>
      <c r="AC12" s="97">
        <v>2</v>
      </c>
      <c r="AD12" s="96">
        <v>129</v>
      </c>
      <c r="AE12" s="2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孤高の狼憑き アマラ</v>
      </c>
      <c r="AF12" s="2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2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2" s="94">
        <v>1</v>
      </c>
      <c r="AI12" s="98">
        <f t="shared" ca="1" si="3"/>
        <v>4</v>
      </c>
      <c r="AJ12" s="5">
        <v>0</v>
      </c>
      <c r="AK12" s="94">
        <v>0</v>
      </c>
      <c r="AL12" s="94">
        <v>0</v>
      </c>
      <c r="AM12" s="94">
        <v>0</v>
      </c>
      <c r="AN12" s="94">
        <v>0</v>
      </c>
      <c r="AO12" s="94">
        <v>1</v>
      </c>
      <c r="AP12" s="58">
        <v>1</v>
      </c>
    </row>
    <row r="13" spans="1:42" ht="21" customHeight="1" x14ac:dyDescent="0.15">
      <c r="A13" s="11" t="str">
        <f t="shared" si="0"/>
        <v>48503_2-3/672&lt;lv99&gt;s2</v>
      </c>
      <c r="B13" s="100">
        <v>48503</v>
      </c>
      <c r="C13" s="95">
        <v>2</v>
      </c>
      <c r="D13" s="10" t="str">
        <f t="shared" si="1"/>
        <v>48503_2</v>
      </c>
      <c r="E13" s="2" t="str">
        <f ca="1">VLOOKUP($B13,OFFSET([2]quests!$A$1,0,0,COUNTA([2]quests!$A:$A),MATCH(E$1,[2]quests!$1:$1,0)-MATCH($B$1,[2]quests!$1:$1,0)+1),MATCH(E$1,[2]quests!$1:$1,0)-MATCH($B$1,[2]quests!$1:$1,0)+1,FALSE)</f>
        <v>ナーガ襲来！</v>
      </c>
      <c r="F13" s="2" t="str">
        <f ca="1">VLOOKUP($D13,OFFSET([2]stages!$A$1,0,0,COUNTA([2]stages!$A:$A),MATCH(F$1,[2]stages!$2:$2,0)-MATCH($D$1,[2]stages!$2:$2,0)+1),MATCH(F$1,[2]stages!$2:$2,0)-MATCH($D$1,[2]stages!$2:$2,0)+1,FALSE)</f>
        <v>【ウィザード級】ナーガ襲来</v>
      </c>
      <c r="G13" s="95">
        <v>3</v>
      </c>
      <c r="H13" s="10" t="str">
        <f t="shared" si="2"/>
        <v>48503_2-3</v>
      </c>
      <c r="I13" s="2">
        <f ca="1">VLOOKUP($H13,OFFSET(floors!$A$1,0,0,COUNTA(floors!$A:$A),MATCH(I$1,floors!$1:$1,0)-MATCH($H$1,floors!$1:$1,0)+1),MATCH(I$1,floors!$1:$1,0)-MATCH($H$1,floors!$1:$1,0)+1,FALSE)</f>
        <v>60</v>
      </c>
      <c r="J13" s="2">
        <f ca="1">VLOOKUP($H13,OFFSET(floors!$A$1,0,0,COUNTA(floors!$A:$A),MATCH(J$1,floors!$1:$1,0)-MATCH($H$1,floors!$1:$1,0)+1),MATCH(J$1,floors!$1:$1,0)-MATCH($H$1,floors!$1:$1,0)+1,FALSE)</f>
        <v>60</v>
      </c>
      <c r="K13" s="27" t="s">
        <v>48</v>
      </c>
      <c r="L13" s="96">
        <v>672</v>
      </c>
      <c r="M13" s="12" t="str">
        <f ca="1">VLOOKUP($L13,OFFSET([3]enemies!$A$1,0,0,COUNTA([3]enemies!$A:$A),MATCH(M$1,[3]enemies!$1:$1,0)-MATCH($L$1,[3]enemies!$1:$1,0)+1),MATCH(M$1,[3]enemies!$1:$1,0)-MATCH($L$1,[3]enemies!$1:$1,0)+1,FALSE)</f>
        <v>西遊韋駄天 ハヌマーン</v>
      </c>
      <c r="N13" s="12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2" t="str">
        <f ca="1">VLOOKUP($L13,OFFSET([4]characters!$A$1,0,0,COUNTA([4]characters!$A:$A),MATCH(O$1,[4]characters!$1:$1,0)-MATCH($L$1,[4]characters!$1:$1,0)+1),MATCH(O$1,[4]characters!$1:$1,0)-MATCH($L$1,[4]characters!$1:$1,0)+1,FALSE)</f>
        <v>PremiumS</v>
      </c>
      <c r="P13" s="12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2">
        <f ca="1">VLOOKUP($L13,OFFSET([3]enemies!$A$1,0,0,COUNTA([3]enemies!$A:$A),MATCH(Q$1,[3]enemies!$1:$1,0)-MATCH($L$1,[3]enemies!$1:$1,0)+1),MATCH(Q$1,[3]enemies!$1:$1,0)-MATCH($L$1,[3]enemies!$1:$1,0)+1,FALSE)</f>
        <v>30</v>
      </c>
      <c r="R13" s="3">
        <v>99</v>
      </c>
      <c r="S13" s="17">
        <v>1.9</v>
      </c>
      <c r="T13" s="91">
        <f>S13*133263</f>
        <v>253199.69999999998</v>
      </c>
      <c r="U13" s="17">
        <v>0.7</v>
      </c>
      <c r="V13" s="91">
        <f>U13*14611</f>
        <v>10227.699999999999</v>
      </c>
      <c r="W13" s="3">
        <v>0</v>
      </c>
      <c r="X13" s="2" t="str">
        <f ca="1">VLOOKUP($Y13,OFFSET(enemy_skill_sets!$B$1,0,0,COUNTA(enemy_skill_sets!$B:$B),MATCH(M$1,enemy_skill_sets!$1:$1,0)-MATCH($Y$1,enemy_skill_sets!$1:$1,0)+2),MATCH(M$1,enemy_skill_sets!$1:$1,0)-MATCH($Y$1,enemy_skill_sets!$1:$1,0)+2,FALSE)</f>
        <v>4ターン赤パネルを吸収して防御力UP</v>
      </c>
      <c r="Y13" s="36">
        <v>48503005</v>
      </c>
      <c r="Z13" s="4">
        <v>1</v>
      </c>
      <c r="AA13" s="4">
        <v>100</v>
      </c>
      <c r="AB13" s="4">
        <v>1</v>
      </c>
      <c r="AC13" s="97">
        <v>2</v>
      </c>
      <c r="AD13" s="96">
        <v>672</v>
      </c>
      <c r="AE13" s="2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西遊韋駄天 ハヌマーン</v>
      </c>
      <c r="AF13" s="2">
        <f ca="1">VLOOKUP($AD13,OFFSET([4]characters!$A$1,0,0,COUNTA([4]characters!$A:$A),MATCH(AF$1,[4]characters!$1:$1,0)-MATCH("character_id",[4]characters!$1:$1,0)+1),MATCH(AF$1,[4]characters!$1:$1,0)-MATCH("character_id",[4]characters!$1:$1,0)+1,FALSE)</f>
        <v>4</v>
      </c>
      <c r="AG13" s="2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3" s="94">
        <v>1</v>
      </c>
      <c r="AI13" s="98">
        <f t="shared" ca="1" si="3"/>
        <v>4</v>
      </c>
      <c r="AJ13" s="5">
        <v>0</v>
      </c>
      <c r="AK13" s="94">
        <v>0</v>
      </c>
      <c r="AL13" s="94">
        <v>0</v>
      </c>
      <c r="AM13" s="94">
        <v>0</v>
      </c>
      <c r="AN13" s="94">
        <v>0</v>
      </c>
      <c r="AO13" s="94">
        <v>1</v>
      </c>
      <c r="AP13" s="58">
        <v>1</v>
      </c>
    </row>
    <row r="14" spans="1:42" ht="21" customHeight="1" x14ac:dyDescent="0.15">
      <c r="A14" s="11" t="str">
        <f t="shared" si="0"/>
        <v>48503_2-3/33&lt;lv99&gt;s2</v>
      </c>
      <c r="B14" s="100">
        <v>48503</v>
      </c>
      <c r="C14" s="95">
        <v>2</v>
      </c>
      <c r="D14" s="10" t="str">
        <f t="shared" si="1"/>
        <v>48503_2</v>
      </c>
      <c r="E14" s="2" t="str">
        <f ca="1">VLOOKUP($B14,OFFSET([2]quests!$A$1,0,0,COUNTA([2]quests!$A:$A),MATCH(E$1,[2]quests!$1:$1,0)-MATCH($B$1,[2]quests!$1:$1,0)+1),MATCH(E$1,[2]quests!$1:$1,0)-MATCH($B$1,[2]quests!$1:$1,0)+1,FALSE)</f>
        <v>ナーガ襲来！</v>
      </c>
      <c r="F14" s="2" t="str">
        <f ca="1">VLOOKUP($D14,OFFSET([2]stages!$A$1,0,0,COUNTA([2]stages!$A:$A),MATCH(F$1,[2]stages!$2:$2,0)-MATCH($D$1,[2]stages!$2:$2,0)+1),MATCH(F$1,[2]stages!$2:$2,0)-MATCH($D$1,[2]stages!$2:$2,0)+1,FALSE)</f>
        <v>【ウィザード級】ナーガ襲来</v>
      </c>
      <c r="G14" s="95">
        <v>3</v>
      </c>
      <c r="H14" s="10" t="str">
        <f t="shared" si="2"/>
        <v>48503_2-3</v>
      </c>
      <c r="I14" s="2">
        <f ca="1">VLOOKUP($H14,OFFSET(floors!$A$1,0,0,COUNTA(floors!$A:$A),MATCH(I$1,floors!$1:$1,0)-MATCH($H$1,floors!$1:$1,0)+1),MATCH(I$1,floors!$1:$1,0)-MATCH($H$1,floors!$1:$1,0)+1,FALSE)</f>
        <v>60</v>
      </c>
      <c r="J14" s="2">
        <f ca="1">VLOOKUP($H14,OFFSET(floors!$A$1,0,0,COUNTA(floors!$A:$A),MATCH(J$1,floors!$1:$1,0)-MATCH($H$1,floors!$1:$1,0)+1),MATCH(J$1,floors!$1:$1,0)-MATCH($H$1,floors!$1:$1,0)+1,FALSE)</f>
        <v>60</v>
      </c>
      <c r="K14" s="27" t="s">
        <v>48</v>
      </c>
      <c r="L14" s="96">
        <v>33</v>
      </c>
      <c r="M14" s="12" t="str">
        <f ca="1">VLOOKUP($L14,OFFSET([3]enemies!$A$1,0,0,COUNTA([3]enemies!$A:$A),MATCH(M$1,[3]enemies!$1:$1,0)-MATCH($L$1,[3]enemies!$1:$1,0)+1),MATCH(M$1,[3]enemies!$1:$1,0)-MATCH($L$1,[3]enemies!$1:$1,0)+1,FALSE)</f>
        <v>ゴクウ</v>
      </c>
      <c r="N14" s="12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2" t="str">
        <f ca="1">VLOOKUP($L14,OFFSET([4]characters!$A$1,0,0,COUNTA([4]characters!$A:$A),MATCH(O$1,[4]characters!$1:$1,0)-MATCH($L$1,[4]characters!$1:$1,0)+1),MATCH(O$1,[4]characters!$1:$1,0)-MATCH($L$1,[4]characters!$1:$1,0)+1,FALSE)</f>
        <v>Drop1S</v>
      </c>
      <c r="P14" s="12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2">
        <f ca="1">VLOOKUP($L14,OFFSET([3]enemies!$A$1,0,0,COUNTA([3]enemies!$A:$A),MATCH(Q$1,[3]enemies!$1:$1,0)-MATCH($L$1,[3]enemies!$1:$1,0)+1),MATCH(Q$1,[3]enemies!$1:$1,0)-MATCH($L$1,[3]enemies!$1:$1,0)+1,FALSE)</f>
        <v>15</v>
      </c>
      <c r="R14" s="3">
        <v>99</v>
      </c>
      <c r="S14" s="17">
        <v>2</v>
      </c>
      <c r="T14" s="91">
        <f>S14*20100</f>
        <v>40200</v>
      </c>
      <c r="U14" s="17">
        <v>0.5</v>
      </c>
      <c r="V14" s="91">
        <f>U14*6749</f>
        <v>3374.5</v>
      </c>
      <c r="W14" s="3">
        <v>0</v>
      </c>
      <c r="X14" s="2" t="str">
        <f ca="1">VLOOKUP($Y14,OFFSET(enemy_skill_sets!$B$1,0,0,COUNTA(enemy_skill_sets!$B:$B),MATCH(M$1,enemy_skill_sets!$1:$1,0)-MATCH($Y$1,enemy_skill_sets!$1:$1,0)+2),MATCH(M$1,enemy_skill_sets!$1:$1,0)-MATCH($Y$1,enemy_skill_sets!$1:$1,0)+2,FALSE)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14" s="36">
        <v>48503006</v>
      </c>
      <c r="Z14" s="4">
        <v>2</v>
      </c>
      <c r="AA14" s="4">
        <v>100</v>
      </c>
      <c r="AB14" s="4">
        <v>0</v>
      </c>
      <c r="AC14" s="97">
        <v>2</v>
      </c>
      <c r="AD14" s="96">
        <v>33</v>
      </c>
      <c r="AE14" s="2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ゴクウ</v>
      </c>
      <c r="AF14" s="2">
        <f ca="1">VLOOKUP($AD14,OFFSET([4]characters!$A$1,0,0,COUNTA([4]characters!$A:$A),MATCH(AF$1,[4]characters!$1:$1,0)-MATCH("character_id",[4]characters!$1:$1,0)+1),MATCH(AF$1,[4]characters!$1:$1,0)-MATCH("character_id",[4]characters!$1:$1,0)+1,FALSE)</f>
        <v>2</v>
      </c>
      <c r="AG14" s="2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Drop1S</v>
      </c>
      <c r="AH14" s="94">
        <v>1</v>
      </c>
      <c r="AI14" s="98">
        <f t="shared" ca="1" si="3"/>
        <v>2</v>
      </c>
      <c r="AJ14" s="5">
        <v>0</v>
      </c>
      <c r="AK14" s="94">
        <v>0</v>
      </c>
      <c r="AL14" s="94">
        <v>0</v>
      </c>
      <c r="AM14" s="94">
        <v>0</v>
      </c>
      <c r="AN14" s="94">
        <v>0</v>
      </c>
      <c r="AO14" s="94">
        <v>1</v>
      </c>
      <c r="AP14" s="58">
        <v>1</v>
      </c>
    </row>
    <row r="15" spans="1:42" ht="21" customHeight="1" x14ac:dyDescent="0.15">
      <c r="A15" s="11" t="str">
        <f t="shared" si="0"/>
        <v>48503_2-4/5003&lt;lv99&gt;s3</v>
      </c>
      <c r="B15" s="100">
        <v>48503</v>
      </c>
      <c r="C15" s="95">
        <v>2</v>
      </c>
      <c r="D15" s="10" t="str">
        <f t="shared" si="1"/>
        <v>48503_2</v>
      </c>
      <c r="E15" s="2" t="str">
        <f ca="1">VLOOKUP($B15,OFFSET([2]quests!$A$1,0,0,COUNTA([2]quests!$A:$A),MATCH(E$1,[2]quests!$1:$1,0)-MATCH($B$1,[2]quests!$1:$1,0)+1),MATCH(E$1,[2]quests!$1:$1,0)-MATCH($B$1,[2]quests!$1:$1,0)+1,FALSE)</f>
        <v>ナーガ襲来！</v>
      </c>
      <c r="F15" s="2" t="str">
        <f ca="1">VLOOKUP($D15,OFFSET([2]stages!$A$1,0,0,COUNTA([2]stages!$A:$A),MATCH(F$1,[2]stages!$2:$2,0)-MATCH($D$1,[2]stages!$2:$2,0)+1),MATCH(F$1,[2]stages!$2:$2,0)-MATCH($D$1,[2]stages!$2:$2,0)+1,FALSE)</f>
        <v>【ウィザード級】ナーガ襲来</v>
      </c>
      <c r="G15" s="95">
        <v>4</v>
      </c>
      <c r="H15" s="10" t="str">
        <f t="shared" si="2"/>
        <v>48503_2-4</v>
      </c>
      <c r="I15" s="2">
        <f ca="1">VLOOKUP($H15,OFFSET(floors!$A$1,0,0,COUNTA(floors!$A:$A),MATCH(I$1,floors!$1:$1,0)-MATCH($H$1,floors!$1:$1,0)+1),MATCH(I$1,floors!$1:$1,0)-MATCH($H$1,floors!$1:$1,0)+1,FALSE)</f>
        <v>60</v>
      </c>
      <c r="J15" s="2">
        <f ca="1">VLOOKUP($H15,OFFSET(floors!$A$1,0,0,COUNTA(floors!$A:$A),MATCH(J$1,floors!$1:$1,0)-MATCH($H$1,floors!$1:$1,0)+1),MATCH(J$1,floors!$1:$1,0)-MATCH($H$1,floors!$1:$1,0)+1,FALSE)</f>
        <v>60</v>
      </c>
      <c r="K15" s="27">
        <v>4</v>
      </c>
      <c r="L15" s="96">
        <v>5003</v>
      </c>
      <c r="M15" s="12" t="str">
        <f ca="1">VLOOKUP($L15,OFFSET([3]enemies!$A$1,0,0,COUNTA([3]enemies!$A:$A),MATCH(M$1,[3]enemies!$1:$1,0)-MATCH($L$1,[3]enemies!$1:$1,0)+1),MATCH(M$1,[3]enemies!$1:$1,0)-MATCH($L$1,[3]enemies!$1:$1,0)+1,FALSE)</f>
        <v>ナーガ</v>
      </c>
      <c r="N15" s="12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2" t="str">
        <f ca="1">VLOOKUP($L15,OFFSET([4]characters!$A$1,0,0,COUNTA([4]characters!$A:$A),MATCH(O$1,[4]characters!$1:$1,0)-MATCH($L$1,[4]characters!$1:$1,0)+1),MATCH(O$1,[4]characters!$1:$1,0)-MATCH($L$1,[4]characters!$1:$1,0)+1,FALSE)</f>
        <v>DropWizS</v>
      </c>
      <c r="P15" s="12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2">
        <f ca="1">VLOOKUP($L15,OFFSET([3]enemies!$A$1,0,0,COUNTA([3]enemies!$A:$A),MATCH(Q$1,[3]enemies!$1:$1,0)-MATCH($L$1,[3]enemies!$1:$1,0)+1),MATCH(Q$1,[3]enemies!$1:$1,0)-MATCH($L$1,[3]enemies!$1:$1,0)+1,FALSE)</f>
        <v>60</v>
      </c>
      <c r="R15" s="3">
        <v>99</v>
      </c>
      <c r="S15" s="17">
        <v>2.2000000000000002</v>
      </c>
      <c r="T15" s="91">
        <f>S15*156841</f>
        <v>345050.2</v>
      </c>
      <c r="U15" s="17">
        <v>0.9</v>
      </c>
      <c r="V15" s="91">
        <f>U15*10649</f>
        <v>9584.1</v>
      </c>
      <c r="W15" s="3">
        <v>0</v>
      </c>
      <c r="X15" s="2" t="str">
        <f ca="1">VLOOKUP($Y15,OFFSET(enemy_skill_sets!$B$1,0,0,COUNTA(enemy_skill_sets!$B:$B),MATCH(M$1,enemy_skill_sets!$1:$1,0)-MATCH($Y$1,enemy_skill_sets!$1:$1,0)+2),MATCH(M$1,enemy_skill_sets!$1:$1,0)-MATCH($Y$1,enemy_skill_sets!$1:$1,0)+2,FALSE)</f>
        <v>ランダムでお邪魔パネルに最大5個変換+_x000D_属性パネルプロテクト(最大10個)</v>
      </c>
      <c r="Y15" s="36">
        <v>48503007</v>
      </c>
      <c r="Z15" s="4">
        <v>1</v>
      </c>
      <c r="AA15" s="4">
        <v>100</v>
      </c>
      <c r="AB15" s="4">
        <v>1</v>
      </c>
      <c r="AC15" s="97">
        <v>3</v>
      </c>
      <c r="AD15" s="96">
        <v>5003</v>
      </c>
      <c r="AE15" s="2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ナーガ</v>
      </c>
      <c r="AF15" s="2">
        <f ca="1">VLOOKUP($AD15,OFFSET([4]characters!$A$1,0,0,COUNTA([4]characters!$A:$A),MATCH(AF$1,[4]characters!$1:$1,0)-MATCH("character_id",[4]characters!$1:$1,0)+1),MATCH(AF$1,[4]characters!$1:$1,0)-MATCH("character_id",[4]characters!$1:$1,0)+1,FALSE)</f>
        <v>5</v>
      </c>
      <c r="AG15" s="2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5" s="94">
        <v>1</v>
      </c>
      <c r="AI15" s="98">
        <f t="shared" ca="1" si="3"/>
        <v>5</v>
      </c>
      <c r="AJ15" s="99">
        <v>30</v>
      </c>
      <c r="AK15" s="94">
        <v>0</v>
      </c>
      <c r="AL15" s="94">
        <v>0</v>
      </c>
      <c r="AM15" s="94">
        <v>0</v>
      </c>
      <c r="AN15" s="94">
        <v>0</v>
      </c>
      <c r="AO15" s="94">
        <v>1</v>
      </c>
      <c r="AP15" s="58">
        <v>1</v>
      </c>
    </row>
    <row r="16" spans="1:42" ht="21" customHeight="1" x14ac:dyDescent="0.15">
      <c r="T16" s="7"/>
    </row>
    <row r="17" spans="25:25" s="1" customFormat="1" ht="21" customHeight="1" x14ac:dyDescent="0.15">
      <c r="Y17" s="101"/>
    </row>
    <row r="18" spans="25:25" s="1" customFormat="1" ht="21" customHeight="1" x14ac:dyDescent="0.15">
      <c r="Y18" s="101"/>
    </row>
    <row r="19" spans="25:25" s="1" customFormat="1" ht="21" customHeight="1" x14ac:dyDescent="0.15">
      <c r="Y19" s="101"/>
    </row>
    <row r="20" spans="25:25" s="1" customFormat="1" ht="21" customHeight="1" x14ac:dyDescent="0.15">
      <c r="Y20" s="101"/>
    </row>
    <row r="21" spans="25:25" s="1" customFormat="1" ht="21" customHeight="1" x14ac:dyDescent="0.15">
      <c r="Y21" s="101"/>
    </row>
    <row r="22" spans="25:25" s="1" customFormat="1" ht="21" customHeight="1" x14ac:dyDescent="0.15">
      <c r="Y22" s="101"/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workbookViewId="0">
      <pane xSplit="18" ySplit="1" topLeftCell="U2" activePane="bottomRight" state="frozen"/>
      <selection activeCell="E25" sqref="E25"/>
      <selection pane="topRight" activeCell="E25" sqref="E25"/>
      <selection pane="bottomLeft" activeCell="E25" sqref="E25"/>
      <selection pane="bottomRight" activeCell="V4" sqref="V4"/>
    </sheetView>
  </sheetViews>
  <sheetFormatPr baseColWidth="12" defaultColWidth="13" defaultRowHeight="21" customHeight="1" outlineLevelCol="1" x14ac:dyDescent="0.15"/>
  <cols>
    <col min="1" max="1" width="17" style="14" bestFit="1" customWidth="1"/>
    <col min="2" max="2" width="10.83203125" style="1" bestFit="1" customWidth="1"/>
    <col min="3" max="3" width="10.6640625" style="1" bestFit="1" customWidth="1" collapsed="1"/>
    <col min="4" max="4" width="13" style="9" hidden="1" customWidth="1" outlineLevel="1"/>
    <col min="5" max="5" width="11.6640625" style="1" hidden="1" customWidth="1" outlineLevel="1"/>
    <col min="6" max="6" width="16.1640625" style="1" hidden="1" customWidth="1" outlineLevel="1"/>
    <col min="7" max="7" width="10" style="1" bestFit="1" customWidth="1" collapsed="1"/>
    <col min="8" max="10" width="12.33203125" style="1" hidden="1" customWidth="1" outlineLevel="1"/>
    <col min="11" max="11" width="12.33203125" style="1" customWidth="1"/>
    <col min="12" max="12" width="11" style="1" bestFit="1" customWidth="1"/>
    <col min="13" max="13" width="13.5" style="6" bestFit="1" customWidth="1"/>
    <col min="14" max="14" width="8.83203125" style="1" customWidth="1" outlineLevel="1"/>
    <col min="15" max="15" width="8.6640625" style="1" customWidth="1" outlineLevel="1"/>
    <col min="16" max="16" width="12" style="1" customWidth="1" outlineLevel="1"/>
    <col min="17" max="17" width="21" style="1" customWidth="1" outlineLevel="1"/>
    <col min="18" max="18" width="8" style="1" customWidth="1" outlineLevel="1"/>
    <col min="19" max="19" width="8.33203125" style="1" bestFit="1" customWidth="1"/>
    <col min="20" max="20" width="14.83203125" style="1" bestFit="1" customWidth="1"/>
    <col min="21" max="21" width="14.83203125" style="1" customWidth="1"/>
    <col min="22" max="22" width="17.5" style="1" bestFit="1" customWidth="1"/>
    <col min="23" max="23" width="17.5" style="1" customWidth="1"/>
    <col min="24" max="24" width="18.33203125" style="1" bestFit="1" customWidth="1"/>
    <col min="25" max="25" width="16.6640625" style="1" customWidth="1"/>
    <col min="26" max="26" width="10" style="1" bestFit="1" customWidth="1" outlineLevel="1"/>
    <col min="27" max="27" width="9.33203125" style="1" bestFit="1" customWidth="1"/>
    <col min="28" max="16384" width="13" style="1"/>
  </cols>
  <sheetData>
    <row r="1" spans="1:27" s="25" customFormat="1" ht="21" customHeight="1" x14ac:dyDescent="0.15">
      <c r="A1" s="19" t="s">
        <v>188</v>
      </c>
      <c r="B1" s="18" t="s">
        <v>0</v>
      </c>
      <c r="C1" s="18" t="s">
        <v>1</v>
      </c>
      <c r="D1" s="20" t="s">
        <v>187</v>
      </c>
      <c r="E1" s="20" t="s">
        <v>16</v>
      </c>
      <c r="F1" s="20" t="s">
        <v>16</v>
      </c>
      <c r="G1" s="18" t="s">
        <v>138</v>
      </c>
      <c r="H1" s="20" t="s">
        <v>185</v>
      </c>
      <c r="I1" s="20" t="s">
        <v>14</v>
      </c>
      <c r="J1" s="20" t="s">
        <v>15</v>
      </c>
      <c r="K1" s="26" t="s">
        <v>189</v>
      </c>
      <c r="L1" s="26" t="s">
        <v>198</v>
      </c>
      <c r="M1" s="26" t="s">
        <v>2</v>
      </c>
      <c r="N1" s="21" t="s">
        <v>16</v>
      </c>
      <c r="O1" s="20" t="s">
        <v>190</v>
      </c>
      <c r="P1" s="20" t="s">
        <v>191</v>
      </c>
      <c r="Q1" s="22" t="s">
        <v>192</v>
      </c>
      <c r="R1" s="20" t="s">
        <v>193</v>
      </c>
      <c r="S1" s="18" t="s">
        <v>3</v>
      </c>
      <c r="T1" s="18" t="s">
        <v>194</v>
      </c>
      <c r="U1" s="90" t="s">
        <v>182</v>
      </c>
      <c r="V1" s="18" t="s">
        <v>195</v>
      </c>
      <c r="W1" s="90" t="s">
        <v>183</v>
      </c>
      <c r="X1" s="18" t="s">
        <v>196</v>
      </c>
      <c r="Y1" s="18" t="s">
        <v>86</v>
      </c>
      <c r="Z1" s="20" t="s">
        <v>4</v>
      </c>
      <c r="AA1" s="18" t="s">
        <v>8</v>
      </c>
    </row>
    <row r="2" spans="1:27" ht="21" customHeight="1" x14ac:dyDescent="0.15">
      <c r="A2" s="11" t="str">
        <f>B2&amp;"_"&amp;C2&amp;"-"&amp;G2&amp;"/"&amp;M2&amp;"&lt;lv"&amp;S2&amp;"&gt;sq"&amp;K2&amp;"st"&amp;L2</f>
        <v>48503_1-2/561&lt;lv80&gt;sq1st2</v>
      </c>
      <c r="B2" s="15">
        <v>48503</v>
      </c>
      <c r="C2" s="95">
        <v>1</v>
      </c>
      <c r="D2" s="10" t="str">
        <f>B2&amp;"_"&amp;C2</f>
        <v>48503_1</v>
      </c>
      <c r="E2" s="2" t="str">
        <f ca="1">VLOOKUP($B2,OFFSET([2]quests!$A$1,0,0,COUNTA([2]quests!$A:$A),MATCH(E$1,[2]quests!$1:$1,0)-MATCH($B$1,[2]quests!$1:$1,0)+1),MATCH(E$1,[2]quests!$1:$1,0)-MATCH($B$1,[2]quests!$1:$1,0)+1,FALSE)</f>
        <v>ナーガ襲来！</v>
      </c>
      <c r="F2" s="2" t="str">
        <f ca="1">VLOOKUP($D2,OFFSET([2]stages!$A$1,0,0,COUNTA([2]stages!$A:$A),MATCH(F$1,[2]stages!$2:$2,0)-MATCH($D$1,[2]stages!$2:$2,0)+1),MATCH(F$1,[2]stages!$2:$2,0)-MATCH($D$1,[2]stages!$2:$2,0)+1,FALSE)</f>
        <v>【超絶級】ナーガ襲来</v>
      </c>
      <c r="G2" s="95">
        <v>2</v>
      </c>
      <c r="H2" s="10" t="str">
        <f>B2&amp;"_"&amp;C2&amp;"-"&amp;G2</f>
        <v>48503_1-2</v>
      </c>
      <c r="I2" s="2">
        <f ca="1">VLOOKUP($H2,OFFSET(floors!$A$1,0,0,COUNTA(floors!$A:$A),MATCH(I$1,floors!$1:$1,0)-MATCH($H$1,floors!$1:$1,0)+1),MATCH(I$1,floors!$1:$1,0)-MATCH($H$1,floors!$1:$1,0)+1,FALSE)</f>
        <v>60</v>
      </c>
      <c r="J2" s="2">
        <f ca="1">VLOOKUP($H2,OFFSET(floors!$A$1,0,0,COUNTA(floors!$A:$A),MATCH(J$1,floors!$1:$1,0)-MATCH($H$1,floors!$1:$1,0)+1),MATCH(J$1,floors!$1:$1,0)-MATCH($H$1,floors!$1:$1,0)+1,FALSE)</f>
        <v>60</v>
      </c>
      <c r="K2" s="27">
        <v>1</v>
      </c>
      <c r="L2" s="27">
        <v>2</v>
      </c>
      <c r="M2" s="96">
        <v>561</v>
      </c>
      <c r="N2" s="12" t="str">
        <f ca="1">VLOOKUP($M2,OFFSET([3]enemies!$A$1,0,0,COUNTA([3]enemies!$A:$A),MATCH(N$1,[3]enemies!$1:$1,0)-MATCH($M$1,[3]enemies!$1:$1,0)+1),MATCH(N$1,[3]enemies!$1:$1,0)-MATCH($M$1,[3]enemies!$1:$1,0)+1,FALSE)</f>
        <v>森翠統べる獣姫 アマラ</v>
      </c>
      <c r="O2" s="12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2" t="str">
        <f ca="1">VLOOKUP($M2,OFFSET([4]characters!$A$1,0,0,COUNTA([4]characters!$A:$A),MATCH(P$1,[4]characters!$1:$1,0)-MATCH($M$1,[4]characters!$1:$1,0)+1),MATCH(P$1,[4]characters!$1:$1,0)-MATCH($M$1,[4]characters!$1:$1,0)+1,FALSE)</f>
        <v>PremiumW</v>
      </c>
      <c r="Q2" s="12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2">
        <f ca="1">VLOOKUP($M2,OFFSET([3]enemies!$A$1,0,0,COUNTA([3]enemies!$A:$A),MATCH(R$1,[3]enemies!$1:$1,0)-MATCH($M$1,[3]enemies!$1:$1,0)+1),MATCH(R$1,[3]enemies!$1:$1,0)-MATCH($M$1,[3]enemies!$1:$1,0)+1,FALSE)</f>
        <v>60</v>
      </c>
      <c r="S2" s="3">
        <v>80</v>
      </c>
      <c r="T2" s="17">
        <v>2.6</v>
      </c>
      <c r="U2" s="91">
        <f>T2*85957</f>
        <v>223488.2</v>
      </c>
      <c r="V2" s="17">
        <v>0.6</v>
      </c>
      <c r="W2" s="91">
        <f>V2*9844</f>
        <v>5906.4</v>
      </c>
      <c r="X2" s="3">
        <v>0</v>
      </c>
      <c r="Y2" s="2" t="str">
        <f ca="1">VLOOKUP($Z2,OFFSET(enemy_skill_sets!$B$1,0,0,COUNTA(enemy_skill_sets!$B:$B),MATCH(N$1,enemy_skill_sets!$1:$1,0)-MATCH($Z$1,enemy_skill_sets!$1:$1,0)+2),MATCH(N$1,enemy_skill_sets!$1:$1,0)-MATCH($Z$1,enemy_skill_sets!$1:$1,0)+2,FALSE)</f>
        <v>攻撃力UP</v>
      </c>
      <c r="Z2" s="36">
        <v>48503013</v>
      </c>
      <c r="AA2" s="102">
        <v>1</v>
      </c>
    </row>
    <row r="3" spans="1:27" ht="21" customHeight="1" x14ac:dyDescent="0.15">
      <c r="A3" s="11" t="str">
        <f t="shared" ref="A3:A4" si="0">B3&amp;"_"&amp;C3&amp;"-"&amp;G3&amp;"/"&amp;M3&amp;"&lt;lv"&amp;S3&amp;"&gt;sq"&amp;K3&amp;"st"&amp;L3</f>
        <v>48503_1-4/5003&lt;lv80&gt;sq2st2</v>
      </c>
      <c r="B3" s="15">
        <v>48503</v>
      </c>
      <c r="C3" s="95">
        <v>1</v>
      </c>
      <c r="D3" s="10" t="str">
        <f t="shared" ref="D3:D4" si="1">B3&amp;"_"&amp;C3</f>
        <v>48503_1</v>
      </c>
      <c r="E3" s="2" t="str">
        <f ca="1">VLOOKUP($B3,OFFSET([2]quests!$A$1,0,0,COUNTA([2]quests!$A:$A),MATCH(E$1,[2]quests!$1:$1,0)-MATCH($B$1,[2]quests!$1:$1,0)+1),MATCH(E$1,[2]quests!$1:$1,0)-MATCH($B$1,[2]quests!$1:$1,0)+1,FALSE)</f>
        <v>ナーガ襲来！</v>
      </c>
      <c r="F3" s="2" t="str">
        <f ca="1">VLOOKUP($D3,OFFSET([2]stages!$A$1,0,0,COUNTA([2]stages!$A:$A),MATCH(F$1,[2]stages!$2:$2,0)-MATCH($D$1,[2]stages!$2:$2,0)+1),MATCH(F$1,[2]stages!$2:$2,0)-MATCH($D$1,[2]stages!$2:$2,0)+1,FALSE)</f>
        <v>【超絶級】ナーガ襲来</v>
      </c>
      <c r="G3" s="95">
        <v>4</v>
      </c>
      <c r="H3" s="10" t="str">
        <f t="shared" ref="H3:H4" si="2">B3&amp;"_"&amp;C3&amp;"-"&amp;G3</f>
        <v>48503_1-4</v>
      </c>
      <c r="I3" s="2">
        <f ca="1">VLOOKUP($H3,OFFSET(floors!$A$1,0,0,COUNTA(floors!$A:$A),MATCH(I$1,floors!$1:$1,0)-MATCH($H$1,floors!$1:$1,0)+1),MATCH(I$1,floors!$1:$1,0)-MATCH($H$1,floors!$1:$1,0)+1,FALSE)</f>
        <v>60</v>
      </c>
      <c r="J3" s="2">
        <f ca="1">VLOOKUP($H3,OFFSET(floors!$A$1,0,0,COUNTA(floors!$A:$A),MATCH(J$1,floors!$1:$1,0)-MATCH($H$1,floors!$1:$1,0)+1),MATCH(J$1,floors!$1:$1,0)-MATCH($H$1,floors!$1:$1,0)+1,FALSE)</f>
        <v>60</v>
      </c>
      <c r="K3" s="27">
        <v>2</v>
      </c>
      <c r="L3" s="27">
        <v>2</v>
      </c>
      <c r="M3" s="96">
        <v>5003</v>
      </c>
      <c r="N3" s="12" t="str">
        <f ca="1">VLOOKUP($M3,OFFSET([3]enemies!$A$1,0,0,COUNTA([3]enemies!$A:$A),MATCH(N$1,[3]enemies!$1:$1,0)-MATCH($M$1,[3]enemies!$1:$1,0)+1),MATCH(N$1,[3]enemies!$1:$1,0)-MATCH($M$1,[3]enemies!$1:$1,0)+1,FALSE)</f>
        <v>ナーガ</v>
      </c>
      <c r="O3" s="12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2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2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2">
        <f ca="1">VLOOKUP($M3,OFFSET([3]enemies!$A$1,0,0,COUNTA([3]enemies!$A:$A),MATCH(R$1,[3]enemies!$1:$1,0)-MATCH($M$1,[3]enemies!$1:$1,0)+1),MATCH(R$1,[3]enemies!$1:$1,0)-MATCH($M$1,[3]enemies!$1:$1,0)+1,FALSE)</f>
        <v>60</v>
      </c>
      <c r="S3" s="3">
        <v>80</v>
      </c>
      <c r="T3" s="17">
        <v>2.4</v>
      </c>
      <c r="U3" s="91">
        <f>T3*127190</f>
        <v>305256</v>
      </c>
      <c r="V3" s="17">
        <v>0.9</v>
      </c>
      <c r="W3" s="91">
        <f>V3*8636</f>
        <v>7772.4000000000005</v>
      </c>
      <c r="X3" s="3">
        <v>0</v>
      </c>
      <c r="Y3" s="2" t="str">
        <f ca="1">VLOOKUP($Z3,OFFSET(enemy_skill_sets!$B$1,0,0,COUNTA(enemy_skill_sets!$B:$B),MATCH(N$1,enemy_skill_sets!$1:$1,0)-MATCH($Z$1,enemy_skill_sets!$1:$1,0)+2),MATCH(N$1,enemy_skill_sets!$1:$1,0)-MATCH($Z$1,enemy_skill_sets!$1:$1,0)+2,FALSE)</f>
        <v>ランダムでお邪魔パネルに最大3個変換+_x000D_残りHPの30%ダメージ！</v>
      </c>
      <c r="Z3" s="36">
        <v>48503017</v>
      </c>
      <c r="AA3" s="102">
        <v>1</v>
      </c>
    </row>
    <row r="4" spans="1:27" ht="21" customHeight="1" thickBot="1" x14ac:dyDescent="0.2">
      <c r="A4" s="11" t="str">
        <f t="shared" si="0"/>
        <v>48503_1-4/5004&lt;lv80&gt;sq2st3</v>
      </c>
      <c r="B4" s="127">
        <v>48503</v>
      </c>
      <c r="C4" s="128">
        <v>1</v>
      </c>
      <c r="D4" s="129" t="str">
        <f t="shared" si="1"/>
        <v>48503_1</v>
      </c>
      <c r="E4" s="130" t="str">
        <f ca="1">VLOOKUP($B4,OFFSET([2]quests!$A$1,0,0,COUNTA([2]quests!$A:$A),MATCH(E$1,[2]quests!$1:$1,0)-MATCH($B$1,[2]quests!$1:$1,0)+1),MATCH(E$1,[2]quests!$1:$1,0)-MATCH($B$1,[2]quests!$1:$1,0)+1,FALSE)</f>
        <v>ナーガ襲来！</v>
      </c>
      <c r="F4" s="130" t="str">
        <f ca="1">VLOOKUP($D4,OFFSET([2]stages!$A$1,0,0,COUNTA([2]stages!$A:$A),MATCH(F$1,[2]stages!$2:$2,0)-MATCH($D$1,[2]stages!$2:$2,0)+1),MATCH(F$1,[2]stages!$2:$2,0)-MATCH($D$1,[2]stages!$2:$2,0)+1,FALSE)</f>
        <v>【超絶級】ナーガ襲来</v>
      </c>
      <c r="G4" s="128">
        <v>4</v>
      </c>
      <c r="H4" s="129" t="str">
        <f t="shared" si="2"/>
        <v>48503_1-4</v>
      </c>
      <c r="I4" s="130">
        <f ca="1">VLOOKUP($H4,OFFSET(floors!$A$1,0,0,COUNTA(floors!$A:$A),MATCH(I$1,floors!$1:$1,0)-MATCH($H$1,floors!$1:$1,0)+1),MATCH(I$1,floors!$1:$1,0)-MATCH($H$1,floors!$1:$1,0)+1,FALSE)</f>
        <v>60</v>
      </c>
      <c r="J4" s="130">
        <f ca="1">VLOOKUP($H4,OFFSET(floors!$A$1,0,0,COUNTA(floors!$A:$A),MATCH(J$1,floors!$1:$1,0)-MATCH($H$1,floors!$1:$1,0)+1),MATCH(J$1,floors!$1:$1,0)-MATCH($H$1,floors!$1:$1,0)+1,FALSE)</f>
        <v>60</v>
      </c>
      <c r="K4" s="131">
        <v>2</v>
      </c>
      <c r="L4" s="131">
        <v>3</v>
      </c>
      <c r="M4" s="132">
        <v>5004</v>
      </c>
      <c r="N4" s="133" t="str">
        <f ca="1">VLOOKUP($M4,OFFSET([3]enemies!$A$1,0,0,COUNTA([3]enemies!$A:$A),MATCH(N$1,[3]enemies!$1:$1,0)-MATCH($M$1,[3]enemies!$1:$1,0)+1),MATCH(N$1,[3]enemies!$1:$1,0)-MATCH($M$1,[3]enemies!$1:$1,0)+1,FALSE)</f>
        <v>深淵翠緑 ナーガ</v>
      </c>
      <c r="O4" s="133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33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33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33">
        <f ca="1">VLOOKUP($M4,OFFSET([3]enemies!$A$1,0,0,COUNTA([3]enemies!$A:$A),MATCH(R$1,[3]enemies!$1:$1,0)-MATCH($M$1,[3]enemies!$1:$1,0)+1),MATCH(R$1,[3]enemies!$1:$1,0)-MATCH($M$1,[3]enemies!$1:$1,0)+1,FALSE)</f>
        <v>60</v>
      </c>
      <c r="S4" s="134">
        <v>80</v>
      </c>
      <c r="T4" s="135">
        <v>3.2</v>
      </c>
      <c r="U4" s="91">
        <f>T4*127190</f>
        <v>407008</v>
      </c>
      <c r="V4" s="135">
        <v>1</v>
      </c>
      <c r="W4" s="91">
        <f>V4*8636</f>
        <v>8636</v>
      </c>
      <c r="X4" s="134">
        <v>0</v>
      </c>
      <c r="Y4" s="130" t="str">
        <f ca="1">VLOOKUP($Z4,OFFSET(enemy_skill_sets!$B$1,0,0,COUNTA(enemy_skill_sets!$B:$B),MATCH(N$1,enemy_skill_sets!$1:$1,0)-MATCH($Z$1,enemy_skill_sets!$1:$1,0)+2),MATCH(N$1,enemy_skill_sets!$1:$1,0)-MATCH($Z$1,enemy_skill_sets!$1:$1,0)+2,FALSE)</f>
        <v>ランダムでお邪魔パネルに最大3個変換+_x000D_2ターン全ユニットの攻撃力20%DOWN+_x000D_2ターン行動頻度UP</v>
      </c>
      <c r="Z4" s="136">
        <v>48503018</v>
      </c>
      <c r="AA4" s="137">
        <v>1</v>
      </c>
    </row>
    <row r="5" spans="1:27" ht="21" customHeight="1" x14ac:dyDescent="0.15">
      <c r="A5" s="11" t="str">
        <f>B5&amp;"_"&amp;C5&amp;"-"&amp;G5&amp;"/"&amp;M5&amp;"&lt;lv"&amp;S5&amp;"&gt;sq"&amp;K5&amp;"st"&amp;L5</f>
        <v>48503_2-2/561&lt;lv99&gt;sq3st2</v>
      </c>
      <c r="B5" s="15">
        <v>48503</v>
      </c>
      <c r="C5" s="119">
        <v>2</v>
      </c>
      <c r="D5" s="120" t="str">
        <f>B5&amp;"_"&amp;C5</f>
        <v>48503_2</v>
      </c>
      <c r="E5" s="2" t="str">
        <f ca="1">VLOOKUP($B5,OFFSET([2]quests!$A$1,0,0,COUNTA([2]quests!$A:$A),MATCH(E$1,[2]quests!$1:$1,0)-MATCH($B$1,[2]quests!$1:$1,0)+1),MATCH(E$1,[2]quests!$1:$1,0)-MATCH($B$1,[2]quests!$1:$1,0)+1,FALSE)</f>
        <v>ナーガ襲来！</v>
      </c>
      <c r="F5" s="2" t="str">
        <f ca="1">VLOOKUP($D5,OFFSET([2]stages!$A$1,0,0,COUNTA([2]stages!$A:$A),MATCH(F$1,[2]stages!$2:$2,0)-MATCH($D$1,[2]stages!$2:$2,0)+1),MATCH(F$1,[2]stages!$2:$2,0)-MATCH($D$1,[2]stages!$2:$2,0)+1,FALSE)</f>
        <v>【ウィザード級】ナーガ襲来</v>
      </c>
      <c r="G5" s="119">
        <v>2</v>
      </c>
      <c r="H5" s="120" t="str">
        <f>B5&amp;"_"&amp;C5&amp;"-"&amp;G5</f>
        <v>48503_2-2</v>
      </c>
      <c r="I5" s="2">
        <f ca="1">VLOOKUP($H5,OFFSET(floors!$A$1,0,0,COUNTA(floors!$A:$A),MATCH(I$1,floors!$1:$1,0)-MATCH($H$1,floors!$1:$1,0)+1),MATCH(I$1,floors!$1:$1,0)-MATCH($H$1,floors!$1:$1,0)+1,FALSE)</f>
        <v>60</v>
      </c>
      <c r="J5" s="2">
        <f ca="1">VLOOKUP($H5,OFFSET(floors!$A$1,0,0,COUNTA(floors!$A:$A),MATCH(J$1,floors!$1:$1,0)-MATCH($H$1,floors!$1:$1,0)+1),MATCH(J$1,floors!$1:$1,0)-MATCH($H$1,floors!$1:$1,0)+1,FALSE)</f>
        <v>60</v>
      </c>
      <c r="K5" s="121">
        <v>3</v>
      </c>
      <c r="L5" s="121">
        <v>2</v>
      </c>
      <c r="M5" s="122">
        <v>561</v>
      </c>
      <c r="N5" s="12" t="str">
        <f ca="1">VLOOKUP($M5,OFFSET([3]enemies!$A$1,0,0,COUNTA([3]enemies!$A:$A),MATCH(N$1,[3]enemies!$1:$1,0)-MATCH($M$1,[3]enemies!$1:$1,0)+1),MATCH(N$1,[3]enemies!$1:$1,0)-MATCH($M$1,[3]enemies!$1:$1,0)+1,FALSE)</f>
        <v>森翠統べる獣姫 アマラ</v>
      </c>
      <c r="O5" s="12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2" t="str">
        <f ca="1">VLOOKUP($M5,OFFSET([4]characters!$A$1,0,0,COUNTA([4]characters!$A:$A),MATCH(P$1,[4]characters!$1:$1,0)-MATCH($M$1,[4]characters!$1:$1,0)+1),MATCH(P$1,[4]characters!$1:$1,0)-MATCH($M$1,[4]characters!$1:$1,0)+1,FALSE)</f>
        <v>PremiumW</v>
      </c>
      <c r="Q5" s="12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2">
        <f ca="1">VLOOKUP($M5,OFFSET([3]enemies!$A$1,0,0,COUNTA([3]enemies!$A:$A),MATCH(R$1,[3]enemies!$1:$1,0)-MATCH($M$1,[3]enemies!$1:$1,0)+1),MATCH(R$1,[3]enemies!$1:$1,0)-MATCH($M$1,[3]enemies!$1:$1,0)+1,FALSE)</f>
        <v>60</v>
      </c>
      <c r="S5" s="123">
        <v>99</v>
      </c>
      <c r="T5" s="124">
        <v>3</v>
      </c>
      <c r="U5" s="91">
        <f>T5*105996</f>
        <v>317988</v>
      </c>
      <c r="V5" s="124">
        <v>0.7</v>
      </c>
      <c r="W5" s="91">
        <f>V5*12139</f>
        <v>8497.2999999999993</v>
      </c>
      <c r="X5" s="123">
        <v>0</v>
      </c>
      <c r="Y5" s="2" t="str">
        <f ca="1">VLOOKUP($Z5,OFFSET(enemy_skill_sets!$B$1,0,0,COUNTA(enemy_skill_sets!$B:$B),MATCH(N$1,enemy_skill_sets!$1:$1,0)-MATCH($Z$1,enemy_skill_sets!$1:$1,0)+2),MATCH(N$1,enemy_skill_sets!$1:$1,0)-MATCH($Z$1,enemy_skill_sets!$1:$1,0)+2,FALSE)</f>
        <v>攻撃力UP</v>
      </c>
      <c r="Z5" s="125">
        <v>48503004</v>
      </c>
      <c r="AA5" s="126">
        <v>1</v>
      </c>
    </row>
    <row r="6" spans="1:27" ht="21" customHeight="1" x14ac:dyDescent="0.15">
      <c r="A6" s="11" t="str">
        <f t="shared" ref="A6:A7" si="3">B6&amp;"_"&amp;C6&amp;"-"&amp;G6&amp;"/"&amp;M6&amp;"&lt;lv"&amp;S6&amp;"&gt;sq"&amp;K6&amp;"st"&amp;L6</f>
        <v>48503_2-4/5003&lt;lv99&gt;sq4st2</v>
      </c>
      <c r="B6" s="15">
        <v>48503</v>
      </c>
      <c r="C6" s="95">
        <v>2</v>
      </c>
      <c r="D6" s="10" t="str">
        <f t="shared" ref="D6:D7" si="4">B6&amp;"_"&amp;C6</f>
        <v>48503_2</v>
      </c>
      <c r="E6" s="2" t="str">
        <f ca="1">VLOOKUP($B6,OFFSET([2]quests!$A$1,0,0,COUNTA([2]quests!$A:$A),MATCH(E$1,[2]quests!$1:$1,0)-MATCH($B$1,[2]quests!$1:$1,0)+1),MATCH(E$1,[2]quests!$1:$1,0)-MATCH($B$1,[2]quests!$1:$1,0)+1,FALSE)</f>
        <v>ナーガ襲来！</v>
      </c>
      <c r="F6" s="2" t="str">
        <f ca="1">VLOOKUP($D6,OFFSET([2]stages!$A$1,0,0,COUNTA([2]stages!$A:$A),MATCH(F$1,[2]stages!$2:$2,0)-MATCH($D$1,[2]stages!$2:$2,0)+1),MATCH(F$1,[2]stages!$2:$2,0)-MATCH($D$1,[2]stages!$2:$2,0)+1,FALSE)</f>
        <v>【ウィザード級】ナーガ襲来</v>
      </c>
      <c r="G6" s="95">
        <v>4</v>
      </c>
      <c r="H6" s="10" t="str">
        <f t="shared" ref="H6:H7" si="5">B6&amp;"_"&amp;C6&amp;"-"&amp;G6</f>
        <v>48503_2-4</v>
      </c>
      <c r="I6" s="2">
        <f ca="1">VLOOKUP($H6,OFFSET(floors!$A$1,0,0,COUNTA(floors!$A:$A),MATCH(I$1,floors!$1:$1,0)-MATCH($H$1,floors!$1:$1,0)+1),MATCH(I$1,floors!$1:$1,0)-MATCH($H$1,floors!$1:$1,0)+1,FALSE)</f>
        <v>60</v>
      </c>
      <c r="J6" s="2">
        <f ca="1">VLOOKUP($H6,OFFSET(floors!$A$1,0,0,COUNTA(floors!$A:$A),MATCH(J$1,floors!$1:$1,0)-MATCH($H$1,floors!$1:$1,0)+1),MATCH(J$1,floors!$1:$1,0)-MATCH($H$1,floors!$1:$1,0)+1,FALSE)</f>
        <v>60</v>
      </c>
      <c r="K6" s="27">
        <v>4</v>
      </c>
      <c r="L6" s="27">
        <v>2</v>
      </c>
      <c r="M6" s="96">
        <v>5003</v>
      </c>
      <c r="N6" s="12" t="str">
        <f ca="1">VLOOKUP($M6,OFFSET([3]enemies!$A$1,0,0,COUNTA([3]enemies!$A:$A),MATCH(N$1,[3]enemies!$1:$1,0)-MATCH($M$1,[3]enemies!$1:$1,0)+1),MATCH(N$1,[3]enemies!$1:$1,0)-MATCH($M$1,[3]enemies!$1:$1,0)+1,FALSE)</f>
        <v>ナーガ</v>
      </c>
      <c r="O6" s="12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12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2" t="str">
        <f ca="1">VLOOKUP($M6,OFFSET([3]enemies!$A$1,0,0,COUNTA([3]enemies!$A:$A),MATCH(Q$1,[3]enemies!$1:$1,0)-MATCH($M$1,[3]enemies!$1:$1,0)+1),MATCH(Q$1,[3]enemies!$1:$1,0)-MATCH($M$1,[3]enemies!$1:$1,0)+1,FALSE)</f>
        <v>animal</v>
      </c>
      <c r="R6" s="12">
        <f ca="1">VLOOKUP($M6,OFFSET([3]enemies!$A$1,0,0,COUNTA([3]enemies!$A:$A),MATCH(R$1,[3]enemies!$1:$1,0)-MATCH($M$1,[3]enemies!$1:$1,0)+1),MATCH(R$1,[3]enemies!$1:$1,0)-MATCH($M$1,[3]enemies!$1:$1,0)+1,FALSE)</f>
        <v>60</v>
      </c>
      <c r="S6" s="3">
        <v>99</v>
      </c>
      <c r="T6" s="17">
        <v>2.6</v>
      </c>
      <c r="U6" s="91">
        <f>T6*156841</f>
        <v>407786.60000000003</v>
      </c>
      <c r="V6" s="17">
        <v>1</v>
      </c>
      <c r="W6" s="91">
        <f>V6*10649</f>
        <v>10649</v>
      </c>
      <c r="X6" s="3">
        <v>0</v>
      </c>
      <c r="Y6" s="2" t="str">
        <f ca="1">VLOOKUP($Z6,OFFSET(enemy_skill_sets!$B$1,0,0,COUNTA(enemy_skill_sets!$B:$B),MATCH(N$1,enemy_skill_sets!$1:$1,0)-MATCH($Z$1,enemy_skill_sets!$1:$1,0)+2),MATCH(N$1,enemy_skill_sets!$1:$1,0)-MATCH($Z$1,enemy_skill_sets!$1:$1,0)+2,FALSE)</f>
        <v>ランダムでお邪魔パネルに最大3個変換+_x000D_残りHPの30%ダメージ！</v>
      </c>
      <c r="Z6" s="36">
        <v>48503008</v>
      </c>
      <c r="AA6" s="102">
        <v>1</v>
      </c>
    </row>
    <row r="7" spans="1:27" ht="21" customHeight="1" x14ac:dyDescent="0.15">
      <c r="A7" s="11" t="str">
        <f t="shared" si="3"/>
        <v>48503_2-4/5004&lt;lv99&gt;sq4st3</v>
      </c>
      <c r="B7" s="15">
        <v>48503</v>
      </c>
      <c r="C7" s="95">
        <v>2</v>
      </c>
      <c r="D7" s="10" t="str">
        <f t="shared" si="4"/>
        <v>48503_2</v>
      </c>
      <c r="E7" s="2" t="str">
        <f ca="1">VLOOKUP($B7,OFFSET([2]quests!$A$1,0,0,COUNTA([2]quests!$A:$A),MATCH(E$1,[2]quests!$1:$1,0)-MATCH($B$1,[2]quests!$1:$1,0)+1),MATCH(E$1,[2]quests!$1:$1,0)-MATCH($B$1,[2]quests!$1:$1,0)+1,FALSE)</f>
        <v>ナーガ襲来！</v>
      </c>
      <c r="F7" s="2" t="str">
        <f ca="1">VLOOKUP($D7,OFFSET([2]stages!$A$1,0,0,COUNTA([2]stages!$A:$A),MATCH(F$1,[2]stages!$2:$2,0)-MATCH($D$1,[2]stages!$2:$2,0)+1),MATCH(F$1,[2]stages!$2:$2,0)-MATCH($D$1,[2]stages!$2:$2,0)+1,FALSE)</f>
        <v>【ウィザード級】ナーガ襲来</v>
      </c>
      <c r="G7" s="95">
        <v>4</v>
      </c>
      <c r="H7" s="10" t="str">
        <f t="shared" si="5"/>
        <v>48503_2-4</v>
      </c>
      <c r="I7" s="2">
        <f ca="1">VLOOKUP($H7,OFFSET(floors!$A$1,0,0,COUNTA(floors!$A:$A),MATCH(I$1,floors!$1:$1,0)-MATCH($H$1,floors!$1:$1,0)+1),MATCH(I$1,floors!$1:$1,0)-MATCH($H$1,floors!$1:$1,0)+1,FALSE)</f>
        <v>60</v>
      </c>
      <c r="J7" s="2">
        <f ca="1">VLOOKUP($H7,OFFSET(floors!$A$1,0,0,COUNTA(floors!$A:$A),MATCH(J$1,floors!$1:$1,0)-MATCH($H$1,floors!$1:$1,0)+1),MATCH(J$1,floors!$1:$1,0)-MATCH($H$1,floors!$1:$1,0)+1,FALSE)</f>
        <v>60</v>
      </c>
      <c r="K7" s="27">
        <v>4</v>
      </c>
      <c r="L7" s="27">
        <v>3</v>
      </c>
      <c r="M7" s="96">
        <v>5004</v>
      </c>
      <c r="N7" s="12" t="str">
        <f ca="1">VLOOKUP($M7,OFFSET([3]enemies!$A$1,0,0,COUNTA([3]enemies!$A:$A),MATCH(N$1,[3]enemies!$1:$1,0)-MATCH($M$1,[3]enemies!$1:$1,0)+1),MATCH(N$1,[3]enemies!$1:$1,0)-MATCH($M$1,[3]enemies!$1:$1,0)+1,FALSE)</f>
        <v>深淵翠緑 ナーガ</v>
      </c>
      <c r="O7" s="12" t="str">
        <f ca="1">VLOOKUP($M7,OFFSET([3]enemies!$A$1,0,0,COUNTA([3]enemies!$A:$A),MATCH(O$1,[3]enemies!$1:$1,0)-MATCH($M$1,[3]enemies!$1:$1,0)+1),MATCH(O$1,[3]enemies!$1:$1,0)-MATCH($M$1,[3]enemies!$1:$1,0)+1,FALSE)</f>
        <v>green</v>
      </c>
      <c r="P7" s="12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2" t="str">
        <f ca="1">VLOOKUP($M7,OFFSET([3]enemies!$A$1,0,0,COUNTA([3]enemies!$A:$A),MATCH(Q$1,[3]enemies!$1:$1,0)-MATCH($M$1,[3]enemies!$1:$1,0)+1),MATCH(Q$1,[3]enemies!$1:$1,0)-MATCH($M$1,[3]enemies!$1:$1,0)+1,FALSE)</f>
        <v>animal</v>
      </c>
      <c r="R7" s="12">
        <f ca="1">VLOOKUP($M7,OFFSET([3]enemies!$A$1,0,0,COUNTA([3]enemies!$A:$A),MATCH(R$1,[3]enemies!$1:$1,0)-MATCH($M$1,[3]enemies!$1:$1,0)+1),MATCH(R$1,[3]enemies!$1:$1,0)-MATCH($M$1,[3]enemies!$1:$1,0)+1,FALSE)</f>
        <v>60</v>
      </c>
      <c r="S7" s="3">
        <v>99</v>
      </c>
      <c r="T7" s="17">
        <v>3.5</v>
      </c>
      <c r="U7" s="91">
        <f>T7*156841</f>
        <v>548943.5</v>
      </c>
      <c r="V7" s="17">
        <v>1.1000000000000001</v>
      </c>
      <c r="W7" s="91">
        <f>V7*10649</f>
        <v>11713.900000000001</v>
      </c>
      <c r="X7" s="3">
        <v>0</v>
      </c>
      <c r="Y7" s="2" t="str">
        <f ca="1">VLOOKUP($Z7,OFFSET(enemy_skill_sets!$B$1,0,0,COUNTA(enemy_skill_sets!$B:$B),MATCH(N$1,enemy_skill_sets!$1:$1,0)-MATCH($Z$1,enemy_skill_sets!$1:$1,0)+2),MATCH(N$1,enemy_skill_sets!$1:$1,0)-MATCH($Z$1,enemy_skill_sets!$1:$1,0)+2,FALSE)</f>
        <v>ランダムでお邪魔パネルに最大5個変換+_x000D_2ターン全ユニットの攻撃力30%DOWN+_x000D_2ターン行動頻度UP</v>
      </c>
      <c r="Z7" s="36">
        <v>48503009</v>
      </c>
      <c r="AA7" s="102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C97"/>
  <sheetViews>
    <sheetView showGridLines="0" tabSelected="1" workbookViewId="0">
      <pane ySplit="1" topLeftCell="A91" activePane="bottomLeft" state="frozenSplit"/>
      <selection pane="bottomLeft" activeCell="B49" sqref="B49"/>
    </sheetView>
  </sheetViews>
  <sheetFormatPr baseColWidth="12" defaultColWidth="12.83203125" defaultRowHeight="43" customHeight="1" outlineLevelCol="1" x14ac:dyDescent="0.15"/>
  <cols>
    <col min="1" max="1" width="12.83203125" style="38"/>
    <col min="2" max="2" width="82.5" style="38" customWidth="1"/>
    <col min="3" max="4" width="12.83203125" style="38" customWidth="1"/>
    <col min="5" max="5" width="28.33203125" style="38" customWidth="1"/>
    <col min="6" max="6" width="44.1640625" style="38" customWidth="1"/>
    <col min="7" max="7" width="52" style="38" hidden="1" customWidth="1" outlineLevel="1"/>
    <col min="8" max="8" width="18.33203125" style="38" hidden="1" customWidth="1" outlineLevel="1"/>
    <col min="9" max="11" width="18.6640625" style="38" hidden="1" customWidth="1" outlineLevel="1"/>
    <col min="12" max="12" width="23.6640625" style="38" hidden="1" customWidth="1"/>
    <col min="13" max="18" width="23.6640625" style="38" hidden="1" customWidth="1" outlineLevel="1"/>
    <col min="19" max="19" width="23.6640625" style="38" hidden="1" customWidth="1"/>
    <col min="20" max="24" width="23.6640625" style="38" hidden="1" customWidth="1" outlineLevel="1"/>
    <col min="25" max="25" width="23.6640625" style="38" hidden="1" customWidth="1"/>
    <col min="26" max="26" width="31.5" style="38" customWidth="1"/>
    <col min="27" max="27" width="12.83203125" style="38" customWidth="1"/>
    <col min="28" max="29" width="12.83203125" style="38"/>
    <col min="30" max="30" width="30" style="38" bestFit="1" customWidth="1"/>
    <col min="31" max="16384" width="12.83203125" style="38"/>
  </cols>
  <sheetData>
    <row r="1" spans="1:29" ht="43" customHeight="1" x14ac:dyDescent="0.15">
      <c r="A1" s="29" t="s">
        <v>42</v>
      </c>
      <c r="B1" s="29" t="s">
        <v>199</v>
      </c>
      <c r="C1" s="29" t="s">
        <v>44</v>
      </c>
      <c r="D1" s="29" t="s">
        <v>85</v>
      </c>
      <c r="E1" s="29" t="s">
        <v>200</v>
      </c>
      <c r="F1" s="29" t="s">
        <v>37</v>
      </c>
      <c r="G1" s="30" t="s">
        <v>89</v>
      </c>
      <c r="H1" s="30" t="s">
        <v>95</v>
      </c>
      <c r="I1" s="30" t="s">
        <v>97</v>
      </c>
      <c r="J1" s="30" t="s">
        <v>96</v>
      </c>
      <c r="K1" s="30" t="s">
        <v>98</v>
      </c>
      <c r="L1" s="30" t="s">
        <v>90</v>
      </c>
      <c r="M1" s="30" t="s">
        <v>88</v>
      </c>
      <c r="N1" s="30" t="s">
        <v>91</v>
      </c>
      <c r="O1" s="30" t="s">
        <v>99</v>
      </c>
      <c r="P1" s="30" t="s">
        <v>100</v>
      </c>
      <c r="Q1" s="30" t="s">
        <v>101</v>
      </c>
      <c r="R1" s="30" t="s">
        <v>102</v>
      </c>
      <c r="S1" s="30" t="s">
        <v>92</v>
      </c>
      <c r="T1" s="30" t="s">
        <v>93</v>
      </c>
      <c r="U1" s="30" t="s">
        <v>103</v>
      </c>
      <c r="V1" s="30" t="s">
        <v>104</v>
      </c>
      <c r="W1" s="30" t="s">
        <v>105</v>
      </c>
      <c r="X1" s="30" t="s">
        <v>106</v>
      </c>
      <c r="Y1" s="30" t="s">
        <v>94</v>
      </c>
      <c r="Z1" s="30" t="s">
        <v>39</v>
      </c>
      <c r="AA1" s="30" t="s">
        <v>40</v>
      </c>
      <c r="AB1" s="30" t="s">
        <v>41</v>
      </c>
    </row>
    <row r="2" spans="1:29" ht="43" customHeight="1" x14ac:dyDescent="0.15">
      <c r="A2" s="36">
        <v>48503001</v>
      </c>
      <c r="B2" s="36" t="s">
        <v>369</v>
      </c>
      <c r="C2" s="39">
        <v>3</v>
      </c>
      <c r="D2" s="39" t="s">
        <v>143</v>
      </c>
      <c r="E2" s="40" t="s">
        <v>410</v>
      </c>
      <c r="F2" s="40" t="s">
        <v>404</v>
      </c>
      <c r="G2" s="52" t="str">
        <f>IFERROR(LEFT(B2,FIND("],",B2)),B2)</f>
        <v>[effect:enemy_message, val1:1.2, val2:1.2]</v>
      </c>
      <c r="H2" s="52">
        <f>FIND("effect:",G2)+7</f>
        <v>9</v>
      </c>
      <c r="I2" s="52">
        <f>IFERROR(FIND(",",G2),LEN(G2))</f>
        <v>22</v>
      </c>
      <c r="J2" s="52" t="e">
        <f>FIND("target:",G2)+7</f>
        <v>#VALUE!</v>
      </c>
      <c r="K2" s="52">
        <f>FIND(",",G2,I2+1)</f>
        <v>32</v>
      </c>
      <c r="L2" s="52" t="str">
        <f>IFERROR(VLOOKUP(MID(G2,J2,K2-J2),[5]skilldef!$C:$D,2,FALSE),"-") &amp; " / " &amp; IFERROR(VLOOKUP(MID(G2,H2,I2-H2),[5]skilldef!$A:$B,2,FALSE),"-")</f>
        <v>- / -</v>
      </c>
      <c r="M2" s="52" t="str">
        <f>IFERROR(RIGHT(B2,LEN(B2)-FIND("],",B2)-1),"none")</f>
        <v>[effect:critical, val:1.3, animation:enemy_critical]</v>
      </c>
      <c r="N2" s="37" t="str">
        <f>IFERROR(LEFT(M2,FIND("],",M2)+S12),M2)</f>
        <v>[effect:critical, val:1.3, animation:enemy_critical]</v>
      </c>
      <c r="O2" s="52">
        <f>FIND("effect:",N2)+7</f>
        <v>9</v>
      </c>
      <c r="P2" s="52">
        <f>IFERROR(FIND(",",N2),LEN(N2))</f>
        <v>17</v>
      </c>
      <c r="Q2" s="52" t="e">
        <f>FIND("target:",N2)+7</f>
        <v>#VALUE!</v>
      </c>
      <c r="R2" s="52">
        <f>FIND(",",N2,P2+1)</f>
        <v>26</v>
      </c>
      <c r="S2" s="52" t="str">
        <f>IFERROR(VLOOKUP(MID(N2,Q2,R2-Q2),[5]skilldef!$C:$D,2,FALSE),"-") &amp; " / " &amp; IFERROR(VLOOKUP(MID(N2,O2,P2-O2),[5]skilldef!$A:$B,2,FALSE),"-")</f>
        <v>- / 大攻撃</v>
      </c>
      <c r="T2" s="37" t="str">
        <f>IFERROR(RIGHT(M2,LEN(M2)-FIND("],",M2)-1),"none")</f>
        <v>none</v>
      </c>
      <c r="U2" s="52" t="e">
        <f>FIND("effect:",T2)+7</f>
        <v>#VALUE!</v>
      </c>
      <c r="V2" s="52">
        <f>IFERROR(FIND(",",T2),LEN(T2))</f>
        <v>4</v>
      </c>
      <c r="W2" s="52" t="e">
        <f>FIND("target:",T2)+7</f>
        <v>#VALUE!</v>
      </c>
      <c r="X2" s="52" t="e">
        <f>FIND(",",T2,V2+1)</f>
        <v>#VALUE!</v>
      </c>
      <c r="Y2" s="52" t="str">
        <f>IFERROR(VLOOKUP(MID(T2,W2,X2-W2),[5]skilldef!$C:$D,2,FALSE),"-") &amp; " / " &amp; IFERROR(VLOOKUP(MID(T2,U2,V2-U2),[5]skilldef!$A:$B,2,FALSE),"-")</f>
        <v>- / -</v>
      </c>
      <c r="Z2" s="40"/>
      <c r="AA2" s="41"/>
      <c r="AB2" s="40" t="s">
        <v>201</v>
      </c>
      <c r="AC2" s="40" t="s">
        <v>202</v>
      </c>
    </row>
    <row r="3" spans="1:29" ht="43" customHeight="1" x14ac:dyDescent="0.15">
      <c r="A3" s="36">
        <v>48503002</v>
      </c>
      <c r="B3" s="36" t="s">
        <v>370</v>
      </c>
      <c r="C3" s="39">
        <v>3</v>
      </c>
      <c r="D3" s="39" t="s">
        <v>143</v>
      </c>
      <c r="E3" s="40" t="s">
        <v>411</v>
      </c>
      <c r="F3" s="40" t="s">
        <v>412</v>
      </c>
      <c r="G3" s="52" t="str">
        <f t="shared" ref="G3:G49" si="0">IFERROR(LEFT(B3,FIND("],",B3)),B3)</f>
        <v>[effect:enemy_message, val1:1.2, val2:1.2]</v>
      </c>
      <c r="H3" s="52">
        <f t="shared" ref="H3:H49" si="1">FIND("effect:",G3)+7</f>
        <v>9</v>
      </c>
      <c r="I3" s="52">
        <f t="shared" ref="I3:I49" si="2">IFERROR(FIND(",",G3),LEN(G3))</f>
        <v>22</v>
      </c>
      <c r="J3" s="52" t="e">
        <f t="shared" ref="J3:J49" si="3">FIND("target:",G3)+7</f>
        <v>#VALUE!</v>
      </c>
      <c r="K3" s="52">
        <f t="shared" ref="K3:K49" si="4">FIND(",",G3,I3+1)</f>
        <v>32</v>
      </c>
      <c r="L3" s="52" t="str">
        <f>IFERROR(VLOOKUP(MID(G3,J3,K3-J3),[5]skilldef!$C:$D,2,FALSE),"-") &amp; " / " &amp; IFERROR(VLOOKUP(MID(G3,H3,I3-H3),[5]skilldef!$A:$B,2,FALSE),"-")</f>
        <v>- / -</v>
      </c>
      <c r="M3" s="52" t="str">
        <f t="shared" ref="M3:M49" si="5">IFERROR(RIGHT(B3,LEN(B3)-FIND("],",B3)-1),"none")</f>
        <v>[effect:spread, val:0.25],[effect:fix_speed, target:myself, turn:1]</v>
      </c>
      <c r="N3" s="37" t="str">
        <f t="shared" ref="N3:N8" si="6">IFERROR(LEFT(M3,FIND("],",M3)+S12),M3)</f>
        <v>[effect:spread, val:0.25],[effect:fix_speed, target:myself, turn:1]</v>
      </c>
      <c r="O3" s="52">
        <f t="shared" ref="O3:O49" si="7">FIND("effect:",N3)+7</f>
        <v>9</v>
      </c>
      <c r="P3" s="52">
        <f t="shared" ref="P3:P49" si="8">IFERROR(FIND(",",N3),LEN(N3))</f>
        <v>15</v>
      </c>
      <c r="Q3" s="52">
        <f t="shared" ref="Q3:Q49" si="9">FIND("target:",N3)+7</f>
        <v>53</v>
      </c>
      <c r="R3" s="52">
        <f t="shared" ref="R3:R49" si="10">FIND(",",N3,P3+1)</f>
        <v>26</v>
      </c>
      <c r="S3" s="52" t="str">
        <f>IFERROR(VLOOKUP(MID(N3,Q3,R3-Q3),[5]skilldef!$C:$D,2,FALSE),"-") &amp; " / " &amp; IFERROR(VLOOKUP(MID(N3,O3,P3-O3),[5]skilldef!$A:$B,2,FALSE),"-")</f>
        <v>- / 全体攻撃</v>
      </c>
      <c r="T3" s="37" t="str">
        <f t="shared" ref="T3:T49" si="11">IFERROR(RIGHT(M3,LEN(M3)-FIND("],",M3)-1),"none")</f>
        <v>[effect:fix_speed, target:myself, turn:1]</v>
      </c>
      <c r="U3" s="52">
        <f t="shared" ref="U3:U49" si="12">FIND("effect:",T3)+7</f>
        <v>9</v>
      </c>
      <c r="V3" s="52">
        <f t="shared" ref="V3:V49" si="13">IFERROR(FIND(",",T3),LEN(T3))</f>
        <v>18</v>
      </c>
      <c r="W3" s="52">
        <f t="shared" ref="W3:W49" si="14">FIND("target:",T3)+7</f>
        <v>27</v>
      </c>
      <c r="X3" s="52">
        <f t="shared" ref="X3:X49" si="15">FIND(",",T3,V3+1)</f>
        <v>33</v>
      </c>
      <c r="Y3" s="52" t="str">
        <f>IFERROR(VLOOKUP(MID(T3,W3,X3-W3),[5]skilldef!$C:$D,2,FALSE),"-") &amp; " / " &amp; IFERROR(VLOOKUP(MID(T3,U3,V3-U3),[5]skilldef!$A:$B,2,FALSE),"-")</f>
        <v>自分自身に / 行動値設定</v>
      </c>
      <c r="Z3" s="40"/>
      <c r="AA3" s="41"/>
      <c r="AB3" s="40" t="s">
        <v>204</v>
      </c>
      <c r="AC3" s="40" t="s">
        <v>203</v>
      </c>
    </row>
    <row r="4" spans="1:29" ht="43" customHeight="1" x14ac:dyDescent="0.15">
      <c r="A4" s="36">
        <v>48503003</v>
      </c>
      <c r="B4" s="36" t="s">
        <v>371</v>
      </c>
      <c r="C4" s="39">
        <v>3</v>
      </c>
      <c r="D4" s="39" t="s">
        <v>143</v>
      </c>
      <c r="E4" s="40" t="s">
        <v>342</v>
      </c>
      <c r="F4" s="40" t="s">
        <v>343</v>
      </c>
      <c r="G4" s="52" t="str">
        <f t="shared" si="0"/>
        <v>[effect:enemy_message, val1:1.2, val2:1.2]</v>
      </c>
      <c r="H4" s="52">
        <f t="shared" si="1"/>
        <v>9</v>
      </c>
      <c r="I4" s="52">
        <f t="shared" si="2"/>
        <v>22</v>
      </c>
      <c r="J4" s="52" t="e">
        <f t="shared" si="3"/>
        <v>#VALUE!</v>
      </c>
      <c r="K4" s="52">
        <f t="shared" si="4"/>
        <v>32</v>
      </c>
      <c r="L4" s="52" t="str">
        <f>IFERROR(VLOOKUP(MID(G4,J4,K4-J4),[5]skilldef!$C:$D,2,FALSE),"-") &amp; " / " &amp; IFERROR(VLOOKUP(MID(G4,H4,I4-H4),[5]skilldef!$A:$B,2,FALSE),"-")</f>
        <v>- / -</v>
      </c>
      <c r="M4" s="52" t="str">
        <f t="shared" si="5"/>
        <v>[effect:panel_freeze, target:block_green, count:-1],[effect:fix_speed, target:myself, turn:2]</v>
      </c>
      <c r="N4" s="37" t="str">
        <f t="shared" si="6"/>
        <v>[effect:panel_freeze, target:block_green, count:-1],[effect:fix_speed, target:myself, turn:2]</v>
      </c>
      <c r="O4" s="52">
        <f t="shared" si="7"/>
        <v>9</v>
      </c>
      <c r="P4" s="52">
        <f t="shared" si="8"/>
        <v>21</v>
      </c>
      <c r="Q4" s="52">
        <f t="shared" si="9"/>
        <v>30</v>
      </c>
      <c r="R4" s="52">
        <f t="shared" si="10"/>
        <v>41</v>
      </c>
      <c r="S4" s="52" t="str">
        <f>IFERROR(VLOOKUP(MID(N4,Q4,R4-Q4),[5]skilldef!$C:$D,2,FALSE),"-") &amp; " / " &amp; IFERROR(VLOOKUP(MID(N4,O4,P4-O4),[5]skilldef!$A:$B,2,FALSE),"-")</f>
        <v>緑パネルを / -</v>
      </c>
      <c r="T4" s="37" t="str">
        <f t="shared" si="11"/>
        <v>[effect:fix_speed, target:myself, turn:2]</v>
      </c>
      <c r="U4" s="52">
        <f t="shared" si="12"/>
        <v>9</v>
      </c>
      <c r="V4" s="52">
        <f t="shared" si="13"/>
        <v>18</v>
      </c>
      <c r="W4" s="52">
        <f t="shared" si="14"/>
        <v>27</v>
      </c>
      <c r="X4" s="52">
        <f t="shared" si="15"/>
        <v>33</v>
      </c>
      <c r="Y4" s="52" t="str">
        <f>IFERROR(VLOOKUP(MID(T4,W4,X4-W4),[5]skilldef!$C:$D,2,FALSE),"-") &amp; " / " &amp; IFERROR(VLOOKUP(MID(T4,U4,V4-U4),[5]skilldef!$A:$B,2,FALSE),"-")</f>
        <v>自分自身に / 行動値設定</v>
      </c>
      <c r="Z4" s="40"/>
      <c r="AA4" s="41"/>
      <c r="AB4" s="40" t="s">
        <v>205</v>
      </c>
      <c r="AC4" s="40" t="s">
        <v>206</v>
      </c>
    </row>
    <row r="5" spans="1:29" ht="43" customHeight="1" x14ac:dyDescent="0.15">
      <c r="A5" s="36">
        <v>48503004</v>
      </c>
      <c r="B5" s="36" t="s">
        <v>372</v>
      </c>
      <c r="C5" s="39">
        <v>3</v>
      </c>
      <c r="D5" s="39" t="s">
        <v>143</v>
      </c>
      <c r="E5" s="40" t="s">
        <v>413</v>
      </c>
      <c r="F5" s="40" t="s">
        <v>414</v>
      </c>
      <c r="G5" s="52" t="str">
        <f t="shared" si="0"/>
        <v>[effect:enemy_message, val1:1.2, val2:2.0]</v>
      </c>
      <c r="H5" s="52">
        <f t="shared" si="1"/>
        <v>9</v>
      </c>
      <c r="I5" s="52">
        <f t="shared" si="2"/>
        <v>22</v>
      </c>
      <c r="J5" s="52" t="e">
        <f t="shared" si="3"/>
        <v>#VALUE!</v>
      </c>
      <c r="K5" s="52">
        <f t="shared" si="4"/>
        <v>32</v>
      </c>
      <c r="L5" s="52" t="str">
        <f>IFERROR(VLOOKUP(MID(G5,J5,K5-J5),[5]skilldef!$C:$D,2,FALSE),"-") &amp; " / " &amp; IFERROR(VLOOKUP(MID(G5,H5,I5-H5),[5]skilldef!$A:$B,2,FALSE),"-")</f>
        <v>- / -</v>
      </c>
      <c r="M5" s="52" t="str">
        <f t="shared" si="5"/>
        <v>[effect:degrade_unit, target:unit_all, turn:3, status:heal, val:0.3, calc:mul, animation:degrade_unit_all_heal]</v>
      </c>
      <c r="N5" s="37" t="str">
        <f t="shared" si="6"/>
        <v>[effect:degrade_unit, target:unit_all, turn:3, status:heal, val:0.3, calc:mul, animation:degrade_unit_all_heal]</v>
      </c>
      <c r="O5" s="52">
        <f t="shared" si="7"/>
        <v>9</v>
      </c>
      <c r="P5" s="52">
        <f t="shared" si="8"/>
        <v>21</v>
      </c>
      <c r="Q5" s="52">
        <f t="shared" si="9"/>
        <v>30</v>
      </c>
      <c r="R5" s="52">
        <f t="shared" si="10"/>
        <v>38</v>
      </c>
      <c r="S5" s="52" t="str">
        <f>IFERROR(VLOOKUP(MID(N5,Q5,R5-Q5),[5]skilldef!$C:$D,2,FALSE),"-") &amp; " / " &amp; IFERROR(VLOOKUP(MID(N5,O5,P5-O5),[5]skilldef!$A:$B,2,FALSE),"-")</f>
        <v>味方全体に / ステータスDOWN</v>
      </c>
      <c r="T5" s="37" t="str">
        <f t="shared" si="11"/>
        <v>none</v>
      </c>
      <c r="U5" s="52" t="e">
        <f t="shared" si="12"/>
        <v>#VALUE!</v>
      </c>
      <c r="V5" s="52">
        <f t="shared" si="13"/>
        <v>4</v>
      </c>
      <c r="W5" s="52" t="e">
        <f t="shared" si="14"/>
        <v>#VALUE!</v>
      </c>
      <c r="X5" s="52" t="e">
        <f t="shared" si="15"/>
        <v>#VALUE!</v>
      </c>
      <c r="Y5" s="52" t="str">
        <f>IFERROR(VLOOKUP(MID(T5,W5,X5-W5),[5]skilldef!$C:$D,2,FALSE),"-") &amp; " / " &amp; IFERROR(VLOOKUP(MID(T5,U5,V5-U5),[5]skilldef!$A:$B,2,FALSE),"-")</f>
        <v>- / -</v>
      </c>
      <c r="Z5" s="40"/>
      <c r="AA5" s="41"/>
      <c r="AB5" s="40" t="s">
        <v>207</v>
      </c>
      <c r="AC5" s="40" t="s">
        <v>208</v>
      </c>
    </row>
    <row r="6" spans="1:29" ht="43" customHeight="1" x14ac:dyDescent="0.15">
      <c r="A6" s="36">
        <v>48503005</v>
      </c>
      <c r="B6" s="36" t="s">
        <v>336</v>
      </c>
      <c r="C6" s="39">
        <v>3</v>
      </c>
      <c r="D6" s="39" t="s">
        <v>143</v>
      </c>
      <c r="E6" s="40" t="s">
        <v>415</v>
      </c>
      <c r="F6" s="40" t="s">
        <v>416</v>
      </c>
      <c r="G6" s="52" t="str">
        <f t="shared" si="0"/>
        <v>[effect:enemy_message, val1:1.2, val2:1.2]</v>
      </c>
      <c r="H6" s="52">
        <f t="shared" si="1"/>
        <v>9</v>
      </c>
      <c r="I6" s="52">
        <f t="shared" si="2"/>
        <v>22</v>
      </c>
      <c r="J6" s="52" t="e">
        <f t="shared" si="3"/>
        <v>#VALUE!</v>
      </c>
      <c r="K6" s="52">
        <f t="shared" si="4"/>
        <v>32</v>
      </c>
      <c r="L6" s="52" t="str">
        <f>IFERROR(VLOOKUP(MID(G6,J6,K6-J6),[5]skilldef!$C:$D,2,FALSE),"-") &amp; " / " &amp; IFERROR(VLOOKUP(MID(G6,H6,I6-H6),[5]skilldef!$A:$B,2,FALSE),"-")</f>
        <v>- / -</v>
      </c>
      <c r="M6" s="52" t="str">
        <f t="shared" si="5"/>
        <v>[effect:enhance_enemy, target:myself, turn:-1, status:attack, val:0.4, calc:mul, animation:enemy_enhance_attack],[effect:fix_speed, target:myself, turn:2]</v>
      </c>
      <c r="N6" s="37" t="str">
        <f t="shared" si="6"/>
        <v>[effect:enhance_enemy, target:myself, turn:-1, status:attack, val:0.4, calc:mul, animation:enemy_enhance_attack],[effect:fix_speed, target:myself, turn:2]</v>
      </c>
      <c r="O6" s="52">
        <f t="shared" si="7"/>
        <v>9</v>
      </c>
      <c r="P6" s="52">
        <f t="shared" si="8"/>
        <v>22</v>
      </c>
      <c r="Q6" s="52">
        <f t="shared" si="9"/>
        <v>31</v>
      </c>
      <c r="R6" s="52">
        <f t="shared" si="10"/>
        <v>37</v>
      </c>
      <c r="S6" s="52" t="str">
        <f>IFERROR(VLOOKUP(MID(N6,Q6,R6-Q6),[5]skilldef!$C:$D,2,FALSE),"-") &amp; " / " &amp; IFERROR(VLOOKUP(MID(N6,O6,P6-O6),[5]skilldef!$A:$B,2,FALSE),"-")</f>
        <v>自分自身に / ステータス強化</v>
      </c>
      <c r="T6" s="37" t="str">
        <f t="shared" si="11"/>
        <v>[effect:fix_speed, target:myself, turn:2]</v>
      </c>
      <c r="U6" s="52">
        <f t="shared" si="12"/>
        <v>9</v>
      </c>
      <c r="V6" s="52">
        <f t="shared" si="13"/>
        <v>18</v>
      </c>
      <c r="W6" s="52">
        <f t="shared" si="14"/>
        <v>27</v>
      </c>
      <c r="X6" s="52">
        <f t="shared" si="15"/>
        <v>33</v>
      </c>
      <c r="Y6" s="52" t="str">
        <f>IFERROR(VLOOKUP(MID(T6,W6,X6-W6),[5]skilldef!$C:$D,2,FALSE),"-") &amp; " / " &amp; IFERROR(VLOOKUP(MID(T6,U6,V6-U6),[5]skilldef!$A:$B,2,FALSE),"-")</f>
        <v>自分自身に / 行動値設定</v>
      </c>
      <c r="Z6" s="40"/>
      <c r="AA6" s="41"/>
      <c r="AB6" s="40" t="s">
        <v>210</v>
      </c>
      <c r="AC6" s="40" t="s">
        <v>209</v>
      </c>
    </row>
    <row r="7" spans="1:29" ht="43" customHeight="1" x14ac:dyDescent="0.15">
      <c r="A7" s="36">
        <v>48503006</v>
      </c>
      <c r="B7" s="36" t="s">
        <v>373</v>
      </c>
      <c r="C7" s="39">
        <v>3</v>
      </c>
      <c r="D7" s="39" t="s">
        <v>143</v>
      </c>
      <c r="E7" s="40" t="s">
        <v>417</v>
      </c>
      <c r="F7" s="40" t="s">
        <v>418</v>
      </c>
      <c r="G7" s="52" t="str">
        <f t="shared" si="0"/>
        <v>[effect:enemy_message, val1:1.2, val2:2.0]</v>
      </c>
      <c r="H7" s="52">
        <f t="shared" si="1"/>
        <v>9</v>
      </c>
      <c r="I7" s="52">
        <f t="shared" si="2"/>
        <v>22</v>
      </c>
      <c r="J7" s="52" t="e">
        <f t="shared" si="3"/>
        <v>#VALUE!</v>
      </c>
      <c r="K7" s="52">
        <f t="shared" si="4"/>
        <v>32</v>
      </c>
      <c r="L7" s="52" t="str">
        <f>IFERROR(VLOOKUP(MID(G7,J7,K7-J7),[5]skilldef!$C:$D,2,FALSE),"-") &amp; " / " &amp; IFERROR(VLOOKUP(MID(G7,H7,I7-H7),[5]skilldef!$A:$B,2,FALSE),"-")</f>
        <v>- / -</v>
      </c>
      <c r="M7" s="52" t="str">
        <f t="shared" si="5"/>
        <v>[effect:degrade_unit, target:unit_all, turn:3, status:heal, val:0.5, calc:mul, animation:degrade_unit_all_heal]</v>
      </c>
      <c r="N7" s="37" t="str">
        <f t="shared" si="6"/>
        <v>[effect:degrade_unit, target:unit_all, turn:3, status:heal, val:0.5, calc:mul, animation:degrade_unit_all_heal]</v>
      </c>
      <c r="O7" s="52">
        <f t="shared" si="7"/>
        <v>9</v>
      </c>
      <c r="P7" s="52">
        <f t="shared" si="8"/>
        <v>21</v>
      </c>
      <c r="Q7" s="52">
        <f t="shared" si="9"/>
        <v>30</v>
      </c>
      <c r="R7" s="52">
        <f t="shared" si="10"/>
        <v>38</v>
      </c>
      <c r="S7" s="52" t="str">
        <f>IFERROR(VLOOKUP(MID(N7,Q7,R7-Q7),[5]skilldef!$C:$D,2,FALSE),"-") &amp; " / " &amp; IFERROR(VLOOKUP(MID(N7,O7,P7-O7),[5]skilldef!$A:$B,2,FALSE),"-")</f>
        <v>味方全体に / ステータスDOWN</v>
      </c>
      <c r="T7" s="37" t="str">
        <f t="shared" si="11"/>
        <v>none</v>
      </c>
      <c r="U7" s="52" t="e">
        <f t="shared" si="12"/>
        <v>#VALUE!</v>
      </c>
      <c r="V7" s="52">
        <f t="shared" si="13"/>
        <v>4</v>
      </c>
      <c r="W7" s="52" t="e">
        <f t="shared" si="14"/>
        <v>#VALUE!</v>
      </c>
      <c r="X7" s="52" t="e">
        <f t="shared" si="15"/>
        <v>#VALUE!</v>
      </c>
      <c r="Y7" s="52" t="str">
        <f>IFERROR(VLOOKUP(MID(T7,W7,X7-W7),[5]skilldef!$C:$D,2,FALSE),"-") &amp; " / " &amp; IFERROR(VLOOKUP(MID(T7,U7,V7-U7),[5]skilldef!$A:$B,2,FALSE),"-")</f>
        <v>- / -</v>
      </c>
      <c r="Z7" s="40"/>
      <c r="AA7" s="41"/>
      <c r="AB7" s="40" t="s">
        <v>211</v>
      </c>
      <c r="AC7" s="40" t="s">
        <v>212</v>
      </c>
    </row>
    <row r="8" spans="1:29" ht="43" customHeight="1" x14ac:dyDescent="0.15">
      <c r="A8" s="36">
        <v>48503007</v>
      </c>
      <c r="B8" s="36" t="s">
        <v>374</v>
      </c>
      <c r="C8" s="39">
        <v>3</v>
      </c>
      <c r="D8" s="39" t="s">
        <v>143</v>
      </c>
      <c r="E8" s="40" t="s">
        <v>345</v>
      </c>
      <c r="F8" s="40" t="s">
        <v>344</v>
      </c>
      <c r="G8" s="52" t="str">
        <f t="shared" si="0"/>
        <v>[effect:enemy_message, val1:1.2, val2:1.2]</v>
      </c>
      <c r="H8" s="52">
        <f t="shared" si="1"/>
        <v>9</v>
      </c>
      <c r="I8" s="52">
        <f t="shared" si="2"/>
        <v>22</v>
      </c>
      <c r="J8" s="52" t="e">
        <f t="shared" si="3"/>
        <v>#VALUE!</v>
      </c>
      <c r="K8" s="52">
        <f t="shared" si="4"/>
        <v>32</v>
      </c>
      <c r="L8" s="52" t="str">
        <f>IFERROR(VLOOKUP(MID(G8,J8,K8-J8),[5]skilldef!$C:$D,2,FALSE),"-") &amp; " / " &amp; IFERROR(VLOOKUP(MID(G8,H8,I8-H8),[5]skilldef!$A:$B,2,FALSE),"-")</f>
        <v>- / -</v>
      </c>
      <c r="M8" s="52" t="str">
        <f t="shared" si="5"/>
        <v>[effect:panel_freeze, target:block_heart, count:-1]</v>
      </c>
      <c r="N8" s="37" t="str">
        <f t="shared" si="6"/>
        <v>[effect:panel_freeze, target:block_heart, count:-1]</v>
      </c>
      <c r="O8" s="52">
        <f t="shared" si="7"/>
        <v>9</v>
      </c>
      <c r="P8" s="52">
        <f t="shared" si="8"/>
        <v>21</v>
      </c>
      <c r="Q8" s="52">
        <f t="shared" si="9"/>
        <v>30</v>
      </c>
      <c r="R8" s="52">
        <f t="shared" si="10"/>
        <v>41</v>
      </c>
      <c r="S8" s="52" t="str">
        <f>IFERROR(VLOOKUP(MID(N8,Q8,R8-Q8),[5]skilldef!$C:$D,2,FALSE),"-") &amp; " / " &amp; IFERROR(VLOOKUP(MID(N8,O8,P8-O8),[5]skilldef!$A:$B,2,FALSE),"-")</f>
        <v>ハートパネルを / -</v>
      </c>
      <c r="T8" s="37" t="str">
        <f t="shared" si="11"/>
        <v>none</v>
      </c>
      <c r="U8" s="52" t="e">
        <f t="shared" si="12"/>
        <v>#VALUE!</v>
      </c>
      <c r="V8" s="52">
        <f t="shared" si="13"/>
        <v>4</v>
      </c>
      <c r="W8" s="52" t="e">
        <f t="shared" si="14"/>
        <v>#VALUE!</v>
      </c>
      <c r="X8" s="52" t="e">
        <f t="shared" si="15"/>
        <v>#VALUE!</v>
      </c>
      <c r="Y8" s="52" t="str">
        <f>IFERROR(VLOOKUP(MID(T8,W8,X8-W8),[5]skilldef!$C:$D,2,FALSE),"-") &amp; " / " &amp; IFERROR(VLOOKUP(MID(T8,U8,V8-U8),[5]skilldef!$A:$B,2,FALSE),"-")</f>
        <v>- / -</v>
      </c>
      <c r="Z8" s="40"/>
      <c r="AA8" s="41"/>
      <c r="AB8" s="40" t="s">
        <v>213</v>
      </c>
      <c r="AC8" s="40" t="s">
        <v>206</v>
      </c>
    </row>
    <row r="9" spans="1:29" ht="43" customHeight="1" x14ac:dyDescent="0.15">
      <c r="A9" s="36">
        <v>48503008</v>
      </c>
      <c r="B9" s="103" t="s">
        <v>375</v>
      </c>
      <c r="C9" s="39">
        <v>3</v>
      </c>
      <c r="D9" s="39" t="s">
        <v>143</v>
      </c>
      <c r="E9" s="40" t="s">
        <v>419</v>
      </c>
      <c r="F9" s="40" t="s">
        <v>420</v>
      </c>
      <c r="G9" s="52" t="str">
        <f t="shared" si="0"/>
        <v>[effect:enemy_message, val1:1.2, val2:1.8]</v>
      </c>
      <c r="H9" s="52">
        <f t="shared" si="1"/>
        <v>9</v>
      </c>
      <c r="I9" s="52">
        <f t="shared" si="2"/>
        <v>22</v>
      </c>
      <c r="J9" s="52" t="e">
        <f t="shared" si="3"/>
        <v>#VALUE!</v>
      </c>
      <c r="K9" s="52">
        <f t="shared" si="4"/>
        <v>32</v>
      </c>
      <c r="L9" s="52" t="str">
        <f>IFERROR(VLOOKUP(MID(G9,J9,K9-J9),[5]skilldef!$C:$D,2,FALSE),"-") &amp; " / " &amp; IFERROR(VLOOKUP(MID(G9,H9,I9-H9),[5]skilldef!$A:$B,2,FALSE),"-")</f>
        <v>- / -</v>
      </c>
      <c r="M9" s="52" t="str">
        <f t="shared" si="5"/>
        <v>[effect:break_enchance_enemy, target:myself, val:100, lowest_val:500, count:-1, status:defense, turn:4, block01:block_red, calc:add, animation:enemy_enhance_defense],[effect:fix_speed, target:myself, turn:2]</v>
      </c>
      <c r="N9" s="37" t="str">
        <f>IFERROR(LEFT(M9,FIND("],",M9)+#REF!),M9)</f>
        <v>[effect:break_enchance_enemy, target:myself, val:100, lowest_val:500, count:-1, status:defense, turn:4, block01:block_red, calc:add, animation:enemy_enhance_defense],[effect:fix_speed, target:myself, turn:2]</v>
      </c>
      <c r="O9" s="52">
        <f t="shared" si="7"/>
        <v>9</v>
      </c>
      <c r="P9" s="52">
        <f t="shared" si="8"/>
        <v>29</v>
      </c>
      <c r="Q9" s="52">
        <f t="shared" si="9"/>
        <v>38</v>
      </c>
      <c r="R9" s="52">
        <f t="shared" si="10"/>
        <v>44</v>
      </c>
      <c r="S9" s="52" t="str">
        <f>IFERROR(VLOOKUP(MID(N9,Q9,R9-Q9),[5]skilldef!$C:$D,2,FALSE),"-") &amp; " / " &amp; IFERROR(VLOOKUP(MID(N9,O9,P9-O9),[5]skilldef!$A:$B,2,FALSE),"-")</f>
        <v>自分自身に / -</v>
      </c>
      <c r="T9" s="37" t="str">
        <f t="shared" si="11"/>
        <v>[effect:fix_speed, target:myself, turn:2]</v>
      </c>
      <c r="U9" s="52">
        <f t="shared" si="12"/>
        <v>9</v>
      </c>
      <c r="V9" s="52">
        <f t="shared" si="13"/>
        <v>18</v>
      </c>
      <c r="W9" s="52">
        <f t="shared" si="14"/>
        <v>27</v>
      </c>
      <c r="X9" s="52">
        <f t="shared" si="15"/>
        <v>33</v>
      </c>
      <c r="Y9" s="52" t="str">
        <f>IFERROR(VLOOKUP(MID(T9,W9,X9-W9),[5]skilldef!$C:$D,2,FALSE),"-") &amp; " / " &amp; IFERROR(VLOOKUP(MID(T9,U9,V9-U9),[5]skilldef!$A:$B,2,FALSE),"-")</f>
        <v>自分自身に / 行動値設定</v>
      </c>
      <c r="Z9" s="40"/>
      <c r="AA9" s="41"/>
      <c r="AB9" s="40" t="s">
        <v>214</v>
      </c>
      <c r="AC9" s="40" t="s">
        <v>215</v>
      </c>
    </row>
    <row r="10" spans="1:29" ht="43" customHeight="1" x14ac:dyDescent="0.15">
      <c r="A10" s="36">
        <v>48503009</v>
      </c>
      <c r="B10" s="36" t="s">
        <v>354</v>
      </c>
      <c r="C10" s="39">
        <v>3</v>
      </c>
      <c r="D10" s="39" t="s">
        <v>143</v>
      </c>
      <c r="E10" s="40" t="s">
        <v>421</v>
      </c>
      <c r="F10" s="40" t="s">
        <v>422</v>
      </c>
      <c r="G10" s="52" t="str">
        <f t="shared" si="0"/>
        <v>[effect:enemy_message, val1:1.2, val2:1.8]</v>
      </c>
      <c r="H10" s="52">
        <f t="shared" si="1"/>
        <v>9</v>
      </c>
      <c r="I10" s="52">
        <f t="shared" si="2"/>
        <v>22</v>
      </c>
      <c r="J10" s="52" t="e">
        <f t="shared" si="3"/>
        <v>#VALUE!</v>
      </c>
      <c r="K10" s="52">
        <f t="shared" si="4"/>
        <v>32</v>
      </c>
      <c r="L10" s="52" t="str">
        <f>IFERROR(VLOOKUP(MID(G10,J10,K10-J10),[5]skilldef!$C:$D,2,FALSE),"-") &amp; " / " &amp; IFERROR(VLOOKUP(MID(G10,H10,I10-H10),[5]skilldef!$A:$B,2,FALSE),"-")</f>
        <v>- / -</v>
      </c>
      <c r="M10" s="52" t="str">
        <f t="shared" si="5"/>
        <v>[effect:force_change_block, new_block:jammer, target:block_all, ignore01:block_positive, ignore02:block_negative, count:2, val:0, animation:change_block]</v>
      </c>
      <c r="N10" s="37" t="str">
        <f>IFERROR(LEFT(M10,FIND("],",M10)+S21),M10)</f>
        <v>[effect:force_change_block, new_block:jammer, target:block_all, ignore01:block_positive, ignore02:block_negative, count:2, val:0, animation:change_block]</v>
      </c>
      <c r="O10" s="52">
        <f t="shared" si="7"/>
        <v>9</v>
      </c>
      <c r="P10" s="52">
        <f t="shared" si="8"/>
        <v>27</v>
      </c>
      <c r="Q10" s="52">
        <f t="shared" si="9"/>
        <v>54</v>
      </c>
      <c r="R10" s="52">
        <f t="shared" si="10"/>
        <v>45</v>
      </c>
      <c r="S10" s="52" t="str">
        <f>IFERROR(VLOOKUP(MID(N10,Q10,R10-Q10),[5]skilldef!$C:$D,2,FALSE),"-") &amp; " / " &amp; IFERROR(VLOOKUP(MID(N10,O10,P10-O10),[5]skilldef!$A:$B,2,FALSE),"-")</f>
        <v>- / -</v>
      </c>
      <c r="T10" s="37" t="str">
        <f t="shared" si="11"/>
        <v>none</v>
      </c>
      <c r="U10" s="52" t="e">
        <f t="shared" si="12"/>
        <v>#VALUE!</v>
      </c>
      <c r="V10" s="52">
        <f t="shared" si="13"/>
        <v>4</v>
      </c>
      <c r="W10" s="52" t="e">
        <f t="shared" si="14"/>
        <v>#VALUE!</v>
      </c>
      <c r="X10" s="52" t="e">
        <f t="shared" si="15"/>
        <v>#VALUE!</v>
      </c>
      <c r="Y10" s="52" t="str">
        <f>IFERROR(VLOOKUP(MID(T10,W10,X10-W10),[5]skilldef!$C:$D,2,FALSE),"-") &amp; " / " &amp; IFERROR(VLOOKUP(MID(T10,U10,V10-U10),[5]skilldef!$A:$B,2,FALSE),"-")</f>
        <v>- / -</v>
      </c>
      <c r="Z10" s="40"/>
      <c r="AA10" s="41"/>
      <c r="AB10" s="40" t="s">
        <v>217</v>
      </c>
      <c r="AC10" s="40" t="s">
        <v>216</v>
      </c>
    </row>
    <row r="11" spans="1:29" ht="43" customHeight="1" x14ac:dyDescent="0.15">
      <c r="A11" s="36">
        <v>48503010</v>
      </c>
      <c r="B11" s="36" t="s">
        <v>355</v>
      </c>
      <c r="C11" s="39">
        <v>3</v>
      </c>
      <c r="D11" s="39" t="s">
        <v>143</v>
      </c>
      <c r="E11" s="40" t="s">
        <v>423</v>
      </c>
      <c r="F11" s="40" t="s">
        <v>424</v>
      </c>
      <c r="G11" s="52" t="str">
        <f t="shared" si="0"/>
        <v>[effect:enemy_message, val1:1.2, val2:1.8]</v>
      </c>
      <c r="H11" s="52">
        <f t="shared" si="1"/>
        <v>9</v>
      </c>
      <c r="I11" s="52">
        <f t="shared" si="2"/>
        <v>22</v>
      </c>
      <c r="J11" s="52" t="e">
        <f t="shared" si="3"/>
        <v>#VALUE!</v>
      </c>
      <c r="K11" s="52">
        <f t="shared" si="4"/>
        <v>32</v>
      </c>
      <c r="L11" s="52" t="str">
        <f>IFERROR(VLOOKUP(MID(G11,J11,K11-J11),[5]skilldef!$C:$D,2,FALSE),"-") &amp; " / " &amp; IFERROR(VLOOKUP(MID(G11,H11,I11-H11),[5]skilldef!$A:$B,2,FALSE),"-")</f>
        <v>- / -</v>
      </c>
      <c r="M11" s="52" t="str">
        <f t="shared" si="5"/>
        <v>[effect:force_change_block, new_block:jammer, target:block_all, ignore01:block_positive, ignore02:block_negative, count:3, val:0, animation:change_block]</v>
      </c>
      <c r="N11" s="37" t="str">
        <f>IFERROR(LEFT(M11,FIND("],",M11)+S22),M11)</f>
        <v>[effect:force_change_block, new_block:jammer, target:block_all, ignore01:block_positive, ignore02:block_negative, count:3, val:0, animation:change_block]</v>
      </c>
      <c r="O11" s="52">
        <f t="shared" si="7"/>
        <v>9</v>
      </c>
      <c r="P11" s="52">
        <f t="shared" si="8"/>
        <v>27</v>
      </c>
      <c r="Q11" s="52">
        <f t="shared" si="9"/>
        <v>54</v>
      </c>
      <c r="R11" s="52">
        <f t="shared" si="10"/>
        <v>45</v>
      </c>
      <c r="S11" s="52" t="str">
        <f>IFERROR(VLOOKUP(MID(N11,Q11,R11-Q11),[5]skilldef!$C:$D,2,FALSE),"-") &amp; " / " &amp; IFERROR(VLOOKUP(MID(N11,O11,P11-O11),[5]skilldef!$A:$B,2,FALSE),"-")</f>
        <v>- / -</v>
      </c>
      <c r="T11" s="37" t="str">
        <f t="shared" si="11"/>
        <v>none</v>
      </c>
      <c r="U11" s="52" t="e">
        <f t="shared" si="12"/>
        <v>#VALUE!</v>
      </c>
      <c r="V11" s="52">
        <f t="shared" si="13"/>
        <v>4</v>
      </c>
      <c r="W11" s="52" t="e">
        <f t="shared" si="14"/>
        <v>#VALUE!</v>
      </c>
      <c r="X11" s="52" t="e">
        <f t="shared" si="15"/>
        <v>#VALUE!</v>
      </c>
      <c r="Y11" s="52" t="str">
        <f>IFERROR(VLOOKUP(MID(T11,W11,X11-W11),[5]skilldef!$C:$D,2,FALSE),"-") &amp; " / " &amp; IFERROR(VLOOKUP(MID(T11,U11,V11-U11),[5]skilldef!$A:$B,2,FALSE),"-")</f>
        <v>- / -</v>
      </c>
      <c r="Z11" s="40"/>
      <c r="AA11" s="41"/>
      <c r="AB11" s="40" t="s">
        <v>219</v>
      </c>
      <c r="AC11" s="40" t="s">
        <v>218</v>
      </c>
    </row>
    <row r="12" spans="1:29" ht="43" customHeight="1" x14ac:dyDescent="0.15">
      <c r="A12" s="36">
        <v>48503011</v>
      </c>
      <c r="B12" s="36" t="s">
        <v>376</v>
      </c>
      <c r="C12" s="39">
        <v>3</v>
      </c>
      <c r="D12" s="39" t="s">
        <v>143</v>
      </c>
      <c r="E12" s="40" t="s">
        <v>425</v>
      </c>
      <c r="F12" s="40" t="s">
        <v>426</v>
      </c>
      <c r="G12" s="52" t="str">
        <f t="shared" si="0"/>
        <v>[effect:enemy_message, val1:1.2, val2:1.5]</v>
      </c>
      <c r="H12" s="52">
        <f t="shared" si="1"/>
        <v>9</v>
      </c>
      <c r="I12" s="52">
        <f t="shared" si="2"/>
        <v>22</v>
      </c>
      <c r="J12" s="52" t="e">
        <f t="shared" si="3"/>
        <v>#VALUE!</v>
      </c>
      <c r="K12" s="52">
        <f t="shared" si="4"/>
        <v>32</v>
      </c>
      <c r="L12" s="52" t="str">
        <f>IFERROR(VLOOKUP(MID(G12,J12,K12-J12),[5]skilldef!$C:$D,2,FALSE),"-") &amp; " / " &amp; IFERROR(VLOOKUP(MID(G12,H12,I12-H12),[5]skilldef!$A:$B,2,FALSE),"-")</f>
        <v>- / -</v>
      </c>
      <c r="M12" s="52" t="str">
        <f t="shared" si="5"/>
        <v xml:space="preserve">[effect:break_attack_fix, target:unit_all, val:130, lowest_val:1500, count:-1, color:green, block01:jammer] </v>
      </c>
      <c r="N12" s="37" t="str">
        <f>IFERROR(LEFT(M12,FIND("],",M12)+S22),M12)</f>
        <v xml:space="preserve">[effect:break_attack_fix, target:unit_all, val:130, lowest_val:1500, count:-1, color:green, block01:jammer] </v>
      </c>
      <c r="O12" s="52">
        <f t="shared" si="7"/>
        <v>9</v>
      </c>
      <c r="P12" s="52">
        <f t="shared" si="8"/>
        <v>25</v>
      </c>
      <c r="Q12" s="52">
        <f t="shared" si="9"/>
        <v>34</v>
      </c>
      <c r="R12" s="52">
        <f t="shared" si="10"/>
        <v>42</v>
      </c>
      <c r="S12" s="52" t="str">
        <f>IFERROR(VLOOKUP(MID(N12,Q12,R12-Q12),[5]skilldef!$C:$D,2,FALSE),"-") &amp; " / " &amp; IFERROR(VLOOKUP(MID(N12,O12,P12-O12),[5]skilldef!$A:$B,2,FALSE),"-")</f>
        <v>味方全体に / -</v>
      </c>
      <c r="T12" s="37" t="str">
        <f t="shared" si="11"/>
        <v>none</v>
      </c>
      <c r="U12" s="52" t="e">
        <f t="shared" si="12"/>
        <v>#VALUE!</v>
      </c>
      <c r="V12" s="52">
        <f t="shared" si="13"/>
        <v>4</v>
      </c>
      <c r="W12" s="52" t="e">
        <f t="shared" si="14"/>
        <v>#VALUE!</v>
      </c>
      <c r="X12" s="52" t="e">
        <f t="shared" si="15"/>
        <v>#VALUE!</v>
      </c>
      <c r="Y12" s="52" t="str">
        <f>IFERROR(VLOOKUP(MID(T12,W12,X12-W12),[5]skilldef!$C:$D,2,FALSE),"-") &amp; " / " &amp; IFERROR(VLOOKUP(MID(T12,U12,V12-U12),[5]skilldef!$A:$B,2,FALSE),"-")</f>
        <v>- / -</v>
      </c>
      <c r="Z12" s="40"/>
      <c r="AA12" s="41"/>
      <c r="AB12" s="40" t="s">
        <v>220</v>
      </c>
      <c r="AC12" s="40" t="s">
        <v>221</v>
      </c>
    </row>
    <row r="13" spans="1:29" ht="43" customHeight="1" x14ac:dyDescent="0.15">
      <c r="A13" s="36">
        <v>48503012</v>
      </c>
      <c r="B13" s="36" t="s">
        <v>355</v>
      </c>
      <c r="C13" s="39">
        <v>3</v>
      </c>
      <c r="D13" s="39" t="s">
        <v>143</v>
      </c>
      <c r="E13" s="40" t="s">
        <v>427</v>
      </c>
      <c r="F13" s="40" t="s">
        <v>424</v>
      </c>
      <c r="G13" s="52" t="str">
        <f t="shared" si="0"/>
        <v>[effect:enemy_message, val1:1.2, val2:1.8]</v>
      </c>
      <c r="H13" s="52">
        <f t="shared" si="1"/>
        <v>9</v>
      </c>
      <c r="I13" s="52">
        <f t="shared" si="2"/>
        <v>22</v>
      </c>
      <c r="J13" s="52" t="e">
        <f t="shared" si="3"/>
        <v>#VALUE!</v>
      </c>
      <c r="K13" s="52">
        <f t="shared" si="4"/>
        <v>32</v>
      </c>
      <c r="L13" s="52" t="str">
        <f>IFERROR(VLOOKUP(MID(G13,J13,K13-J13),[5]skilldef!$C:$D,2,FALSE),"-") &amp; " / " &amp; IFERROR(VLOOKUP(MID(G13,H13,I13-H13),[5]skilldef!$A:$B,2,FALSE),"-")</f>
        <v>- / -</v>
      </c>
      <c r="M13" s="52" t="str">
        <f t="shared" si="5"/>
        <v>[effect:force_change_block, new_block:jammer, target:block_all, ignore01:block_positive, ignore02:block_negative, count:3, val:0, animation:change_block]</v>
      </c>
      <c r="N13" s="37" t="str">
        <f>IFERROR(LEFT(M13,FIND("],",M13)+S24),M13)</f>
        <v>[effect:force_change_block, new_block:jammer, target:block_all, ignore01:block_positive, ignore02:block_negative, count:3, val:0, animation:change_block]</v>
      </c>
      <c r="O13" s="52">
        <f t="shared" si="7"/>
        <v>9</v>
      </c>
      <c r="P13" s="52">
        <f t="shared" si="8"/>
        <v>27</v>
      </c>
      <c r="Q13" s="52">
        <f t="shared" si="9"/>
        <v>54</v>
      </c>
      <c r="R13" s="52">
        <f t="shared" si="10"/>
        <v>45</v>
      </c>
      <c r="S13" s="52" t="str">
        <f>IFERROR(VLOOKUP(MID(N13,Q13,R13-Q13),[5]skilldef!$C:$D,2,FALSE),"-") &amp; " / " &amp; IFERROR(VLOOKUP(MID(N13,O13,P13-O13),[5]skilldef!$A:$B,2,FALSE),"-")</f>
        <v>- / -</v>
      </c>
      <c r="T13" s="37" t="str">
        <f t="shared" si="11"/>
        <v>none</v>
      </c>
      <c r="U13" s="52" t="e">
        <f t="shared" si="12"/>
        <v>#VALUE!</v>
      </c>
      <c r="V13" s="52">
        <f t="shared" si="13"/>
        <v>4</v>
      </c>
      <c r="W13" s="52" t="e">
        <f t="shared" si="14"/>
        <v>#VALUE!</v>
      </c>
      <c r="X13" s="52" t="e">
        <f t="shared" si="15"/>
        <v>#VALUE!</v>
      </c>
      <c r="Y13" s="52" t="str">
        <f>IFERROR(VLOOKUP(MID(T13,W13,X13-W13),[5]skilldef!$C:$D,2,FALSE),"-") &amp; " / " &amp; IFERROR(VLOOKUP(MID(T13,U13,V13-U13),[5]skilldef!$A:$B,2,FALSE),"-")</f>
        <v>- / -</v>
      </c>
      <c r="Z13" s="40"/>
      <c r="AA13" s="41"/>
      <c r="AB13" s="40" t="s">
        <v>222</v>
      </c>
      <c r="AC13" s="40" t="s">
        <v>218</v>
      </c>
    </row>
    <row r="14" spans="1:29" ht="43" customHeight="1" x14ac:dyDescent="0.15">
      <c r="A14" s="36">
        <v>48503013</v>
      </c>
      <c r="B14" s="36" t="s">
        <v>356</v>
      </c>
      <c r="C14" s="39">
        <v>3</v>
      </c>
      <c r="D14" s="39" t="s">
        <v>143</v>
      </c>
      <c r="E14" s="40" t="s">
        <v>428</v>
      </c>
      <c r="F14" s="40" t="s">
        <v>429</v>
      </c>
      <c r="G14" s="52" t="str">
        <f t="shared" si="0"/>
        <v>[effect:enemy_message, val1:1.2, val2:1.8]</v>
      </c>
      <c r="H14" s="52">
        <f t="shared" si="1"/>
        <v>9</v>
      </c>
      <c r="I14" s="52">
        <f t="shared" si="2"/>
        <v>22</v>
      </c>
      <c r="J14" s="52" t="e">
        <f t="shared" si="3"/>
        <v>#VALUE!</v>
      </c>
      <c r="K14" s="52">
        <f t="shared" si="4"/>
        <v>32</v>
      </c>
      <c r="L14" s="52" t="str">
        <f>IFERROR(VLOOKUP(MID(G14,J14,K14-J14),[5]skilldef!$C:$D,2,FALSE),"-") &amp; " / " &amp; IFERROR(VLOOKUP(MID(G14,H14,I14-H14),[5]skilldef!$A:$B,2,FALSE),"-")</f>
        <v>- / -</v>
      </c>
      <c r="M14" s="52" t="str">
        <f t="shared" si="5"/>
        <v>[effect:force_change_block, new_block:jammer, target:block_all, ignore01:block_positive, ignore02:block_negative, count:4, val:0, animation:change_block]</v>
      </c>
      <c r="N14" s="37" t="str">
        <f>IFERROR(LEFT(M14,FIND("],",M14)+S25),M14)</f>
        <v>[effect:force_change_block, new_block:jammer, target:block_all, ignore01:block_positive, ignore02:block_negative, count:4, val:0, animation:change_block]</v>
      </c>
      <c r="O14" s="52">
        <f t="shared" si="7"/>
        <v>9</v>
      </c>
      <c r="P14" s="52">
        <f t="shared" si="8"/>
        <v>27</v>
      </c>
      <c r="Q14" s="52">
        <f t="shared" si="9"/>
        <v>54</v>
      </c>
      <c r="R14" s="52">
        <f t="shared" si="10"/>
        <v>45</v>
      </c>
      <c r="S14" s="52" t="str">
        <f>IFERROR(VLOOKUP(MID(N14,Q14,R14-Q14),[5]skilldef!$C:$D,2,FALSE),"-") &amp; " / " &amp; IFERROR(VLOOKUP(MID(N14,O14,P14-O14),[5]skilldef!$A:$B,2,FALSE),"-")</f>
        <v>- / -</v>
      </c>
      <c r="T14" s="37" t="str">
        <f t="shared" si="11"/>
        <v>none</v>
      </c>
      <c r="U14" s="52" t="e">
        <f t="shared" si="12"/>
        <v>#VALUE!</v>
      </c>
      <c r="V14" s="52">
        <f t="shared" si="13"/>
        <v>4</v>
      </c>
      <c r="W14" s="52" t="e">
        <f t="shared" si="14"/>
        <v>#VALUE!</v>
      </c>
      <c r="X14" s="52" t="e">
        <f t="shared" si="15"/>
        <v>#VALUE!</v>
      </c>
      <c r="Y14" s="52" t="str">
        <f>IFERROR(VLOOKUP(MID(T14,W14,X14-W14),[5]skilldef!$C:$D,2,FALSE),"-") &amp; " / " &amp; IFERROR(VLOOKUP(MID(T14,U14,V14-U14),[5]skilldef!$A:$B,2,FALSE),"-")</f>
        <v>- / -</v>
      </c>
      <c r="Z14" s="40"/>
      <c r="AA14" s="41"/>
      <c r="AB14" s="40" t="s">
        <v>224</v>
      </c>
      <c r="AC14" s="40" t="s">
        <v>223</v>
      </c>
    </row>
    <row r="15" spans="1:29" ht="43" customHeight="1" x14ac:dyDescent="0.15">
      <c r="A15" s="36">
        <v>48503014</v>
      </c>
      <c r="B15" s="36" t="s">
        <v>376</v>
      </c>
      <c r="C15" s="39">
        <v>3</v>
      </c>
      <c r="D15" s="39" t="s">
        <v>143</v>
      </c>
      <c r="E15" s="40" t="s">
        <v>425</v>
      </c>
      <c r="F15" s="40" t="s">
        <v>426</v>
      </c>
      <c r="G15" s="52" t="str">
        <f t="shared" si="0"/>
        <v>[effect:enemy_message, val1:1.2, val2:1.5]</v>
      </c>
      <c r="H15" s="52">
        <f t="shared" si="1"/>
        <v>9</v>
      </c>
      <c r="I15" s="52">
        <f t="shared" si="2"/>
        <v>22</v>
      </c>
      <c r="J15" s="52" t="e">
        <f t="shared" si="3"/>
        <v>#VALUE!</v>
      </c>
      <c r="K15" s="52">
        <f t="shared" si="4"/>
        <v>32</v>
      </c>
      <c r="L15" s="52" t="str">
        <f>IFERROR(VLOOKUP(MID(G15,J15,K15-J15),[5]skilldef!$C:$D,2,FALSE),"-") &amp; " / " &amp; IFERROR(VLOOKUP(MID(G15,H15,I15-H15),[5]skilldef!$A:$B,2,FALSE),"-")</f>
        <v>- / -</v>
      </c>
      <c r="M15" s="52" t="str">
        <f t="shared" si="5"/>
        <v xml:space="preserve">[effect:break_attack_fix, target:unit_all, val:130, lowest_val:1500, count:-1, color:green, block01:jammer] </v>
      </c>
      <c r="N15" s="37" t="str">
        <f>IFERROR(LEFT(M15,FIND("],",M15)+S25),M15)</f>
        <v xml:space="preserve">[effect:break_attack_fix, target:unit_all, val:130, lowest_val:1500, count:-1, color:green, block01:jammer] </v>
      </c>
      <c r="O15" s="52">
        <f t="shared" si="7"/>
        <v>9</v>
      </c>
      <c r="P15" s="52">
        <f t="shared" si="8"/>
        <v>25</v>
      </c>
      <c r="Q15" s="52">
        <f t="shared" si="9"/>
        <v>34</v>
      </c>
      <c r="R15" s="52">
        <f t="shared" si="10"/>
        <v>42</v>
      </c>
      <c r="S15" s="52" t="str">
        <f>IFERROR(VLOOKUP(MID(N15,Q15,R15-Q15),[5]skilldef!$C:$D,2,FALSE),"-") &amp; " / " &amp; IFERROR(VLOOKUP(MID(N15,O15,P15-O15),[5]skilldef!$A:$B,2,FALSE),"-")</f>
        <v>味方全体に / -</v>
      </c>
      <c r="T15" s="37" t="str">
        <f t="shared" si="11"/>
        <v>none</v>
      </c>
      <c r="U15" s="52" t="e">
        <f t="shared" si="12"/>
        <v>#VALUE!</v>
      </c>
      <c r="V15" s="52">
        <f t="shared" si="13"/>
        <v>4</v>
      </c>
      <c r="W15" s="52" t="e">
        <f t="shared" si="14"/>
        <v>#VALUE!</v>
      </c>
      <c r="X15" s="52" t="e">
        <f t="shared" si="15"/>
        <v>#VALUE!</v>
      </c>
      <c r="Y15" s="52" t="str">
        <f>IFERROR(VLOOKUP(MID(T15,W15,X15-W15),[5]skilldef!$C:$D,2,FALSE),"-") &amp; " / " &amp; IFERROR(VLOOKUP(MID(T15,U15,V15-U15),[5]skilldef!$A:$B,2,FALSE),"-")</f>
        <v>- / -</v>
      </c>
      <c r="Z15" s="40"/>
      <c r="AA15" s="41"/>
      <c r="AB15" s="40" t="s">
        <v>225</v>
      </c>
      <c r="AC15" s="40" t="s">
        <v>221</v>
      </c>
    </row>
    <row r="16" spans="1:29" ht="43" customHeight="1" x14ac:dyDescent="0.15">
      <c r="A16" s="36">
        <v>48503015</v>
      </c>
      <c r="B16" s="36" t="s">
        <v>369</v>
      </c>
      <c r="C16" s="39">
        <v>3</v>
      </c>
      <c r="D16" s="39" t="s">
        <v>143</v>
      </c>
      <c r="E16" s="40" t="s">
        <v>430</v>
      </c>
      <c r="F16" s="40" t="s">
        <v>404</v>
      </c>
      <c r="G16" s="52" t="str">
        <f t="shared" si="0"/>
        <v>[effect:enemy_message, val1:1.2, val2:1.2]</v>
      </c>
      <c r="H16" s="52">
        <f t="shared" si="1"/>
        <v>9</v>
      </c>
      <c r="I16" s="52">
        <f t="shared" si="2"/>
        <v>22</v>
      </c>
      <c r="J16" s="52" t="e">
        <f t="shared" si="3"/>
        <v>#VALUE!</v>
      </c>
      <c r="K16" s="52">
        <f t="shared" si="4"/>
        <v>32</v>
      </c>
      <c r="L16" s="52" t="str">
        <f>IFERROR(VLOOKUP(MID(G16,J16,K16-J16),[5]skilldef!$C:$D,2,FALSE),"-") &amp; " / " &amp; IFERROR(VLOOKUP(MID(G16,H16,I16-H16),[5]skilldef!$A:$B,2,FALSE),"-")</f>
        <v>- / -</v>
      </c>
      <c r="M16" s="52" t="str">
        <f t="shared" si="5"/>
        <v>[effect:critical, val:1.3, animation:enemy_critical]</v>
      </c>
      <c r="N16" s="37" t="str">
        <f>IFERROR(LEFT(M16,FIND("],",M16)+S26),M16)</f>
        <v>[effect:critical, val:1.3, animation:enemy_critical]</v>
      </c>
      <c r="O16" s="52">
        <f t="shared" si="7"/>
        <v>9</v>
      </c>
      <c r="P16" s="52">
        <f t="shared" si="8"/>
        <v>17</v>
      </c>
      <c r="Q16" s="52" t="e">
        <f t="shared" si="9"/>
        <v>#VALUE!</v>
      </c>
      <c r="R16" s="52">
        <f t="shared" si="10"/>
        <v>26</v>
      </c>
      <c r="S16" s="52" t="str">
        <f>IFERROR(VLOOKUP(MID(N16,Q16,R16-Q16),[5]skilldef!$C:$D,2,FALSE),"-") &amp; " / " &amp; IFERROR(VLOOKUP(MID(N16,O16,P16-O16),[5]skilldef!$A:$B,2,FALSE),"-")</f>
        <v>- / 大攻撃</v>
      </c>
      <c r="T16" s="37" t="str">
        <f t="shared" si="11"/>
        <v>none</v>
      </c>
      <c r="U16" s="52" t="e">
        <f t="shared" si="12"/>
        <v>#VALUE!</v>
      </c>
      <c r="V16" s="52">
        <f t="shared" si="13"/>
        <v>4</v>
      </c>
      <c r="W16" s="52" t="e">
        <f t="shared" si="14"/>
        <v>#VALUE!</v>
      </c>
      <c r="X16" s="52" t="e">
        <f t="shared" si="15"/>
        <v>#VALUE!</v>
      </c>
      <c r="Y16" s="52" t="str">
        <f>IFERROR(VLOOKUP(MID(T16,W16,X16-W16),[5]skilldef!$C:$D,2,FALSE),"-") &amp; " / " &amp; IFERROR(VLOOKUP(MID(T16,U16,V16-U16),[5]skilldef!$A:$B,2,FALSE),"-")</f>
        <v>- / -</v>
      </c>
      <c r="Z16" s="40"/>
      <c r="AA16" s="41"/>
      <c r="AB16" s="40" t="s">
        <v>226</v>
      </c>
      <c r="AC16" s="40" t="s">
        <v>202</v>
      </c>
    </row>
    <row r="17" spans="1:29" ht="43" customHeight="1" x14ac:dyDescent="0.15">
      <c r="A17" s="36">
        <v>48503016</v>
      </c>
      <c r="B17" s="36" t="s">
        <v>500</v>
      </c>
      <c r="C17" s="39">
        <v>3</v>
      </c>
      <c r="D17" s="39" t="s">
        <v>348</v>
      </c>
      <c r="E17" s="40" t="s">
        <v>431</v>
      </c>
      <c r="F17" s="40" t="s">
        <v>502</v>
      </c>
      <c r="G17" s="52" t="str">
        <f t="shared" si="0"/>
        <v>[effect:enemy_message, val1:1.2, val2:1.2]</v>
      </c>
      <c r="H17" s="52">
        <f t="shared" si="1"/>
        <v>9</v>
      </c>
      <c r="I17" s="52">
        <f t="shared" si="2"/>
        <v>22</v>
      </c>
      <c r="J17" s="52" t="e">
        <f t="shared" si="3"/>
        <v>#VALUE!</v>
      </c>
      <c r="K17" s="52">
        <f t="shared" si="4"/>
        <v>32</v>
      </c>
      <c r="L17" s="52" t="str">
        <f>IFERROR(VLOOKUP(MID(G17,J17,K17-J17),[5]skilldef!$C:$D,2,FALSE),"-") &amp; " / " &amp; IFERROR(VLOOKUP(MID(G17,H17,I17-H17),[5]skilldef!$A:$B,2,FALSE),"-")</f>
        <v>- / -</v>
      </c>
      <c r="M17" s="52" t="str">
        <f t="shared" si="5"/>
        <v>[effect:freq_turn, target:unit_one, turn:-1, val:1, animation:enemy_freq_turn]</v>
      </c>
      <c r="N17" s="37" t="str">
        <f>IFERROR(LEFT(M17,FIND("],",M17)+S27),M17)</f>
        <v>[effect:freq_turn, target:unit_one, turn:-1, val:1, animation:enemy_freq_turn]</v>
      </c>
      <c r="O17" s="52">
        <f t="shared" si="7"/>
        <v>9</v>
      </c>
      <c r="P17" s="52">
        <f t="shared" si="8"/>
        <v>18</v>
      </c>
      <c r="Q17" s="52">
        <f t="shared" si="9"/>
        <v>27</v>
      </c>
      <c r="R17" s="52">
        <f t="shared" si="10"/>
        <v>35</v>
      </c>
      <c r="S17" s="52" t="str">
        <f>IFERROR(VLOOKUP(MID(N17,Q17,R17-Q17),[5]skilldef!$C:$D,2,FALSE),"-") &amp; " / " &amp; IFERROR(VLOOKUP(MID(N17,O17,P17-O17),[5]skilldef!$A:$B,2,FALSE),"-")</f>
        <v>味方単体に / 攻撃頻度がUP</v>
      </c>
      <c r="T17" s="37" t="str">
        <f t="shared" si="11"/>
        <v>none</v>
      </c>
      <c r="U17" s="52" t="e">
        <f t="shared" si="12"/>
        <v>#VALUE!</v>
      </c>
      <c r="V17" s="52">
        <f t="shared" si="13"/>
        <v>4</v>
      </c>
      <c r="W17" s="52" t="e">
        <f t="shared" si="14"/>
        <v>#VALUE!</v>
      </c>
      <c r="X17" s="52" t="e">
        <f t="shared" si="15"/>
        <v>#VALUE!</v>
      </c>
      <c r="Y17" s="52" t="str">
        <f>IFERROR(VLOOKUP(MID(T17,W17,X17-W17),[5]skilldef!$C:$D,2,FALSE),"-") &amp; " / " &amp; IFERROR(VLOOKUP(MID(T17,U17,V17-U17),[5]skilldef!$A:$B,2,FALSE),"-")</f>
        <v>- / -</v>
      </c>
      <c r="Z17" s="40"/>
      <c r="AA17" s="41"/>
      <c r="AB17" s="40" t="s">
        <v>227</v>
      </c>
      <c r="AC17" s="40" t="s">
        <v>228</v>
      </c>
    </row>
    <row r="18" spans="1:29" ht="43" customHeight="1" x14ac:dyDescent="0.15">
      <c r="A18" s="36">
        <v>48503017</v>
      </c>
      <c r="B18" s="36" t="s">
        <v>377</v>
      </c>
      <c r="C18" s="39">
        <v>3</v>
      </c>
      <c r="D18" s="39" t="s">
        <v>143</v>
      </c>
      <c r="E18" s="40" t="s">
        <v>405</v>
      </c>
      <c r="F18" s="40" t="s">
        <v>432</v>
      </c>
      <c r="G18" s="52" t="str">
        <f t="shared" si="0"/>
        <v>[effect:enemy_message, val1:1.5, val2:3.6]</v>
      </c>
      <c r="H18" s="52">
        <f t="shared" si="1"/>
        <v>9</v>
      </c>
      <c r="I18" s="52">
        <f t="shared" si="2"/>
        <v>22</v>
      </c>
      <c r="J18" s="52" t="e">
        <f t="shared" si="3"/>
        <v>#VALUE!</v>
      </c>
      <c r="K18" s="52">
        <f t="shared" si="4"/>
        <v>32</v>
      </c>
      <c r="L18" s="52" t="str">
        <f>IFERROR(VLOOKUP(MID(G18,J18,K18-J18),[5]skilldef!$C:$D,2,FALSE),"-") &amp; " / " &amp; IFERROR(VLOOKUP(MID(G18,H18,I18-H18),[5]skilldef!$A:$B,2,FALSE),"-")</f>
        <v>- / -</v>
      </c>
      <c r="M18" s="52" t="str">
        <f t="shared" si="5"/>
        <v>[effect:force_change_block, new_block:jammer, target:block_all, ignore01:block_positive, ignore02:block_negative, count:5, val:0, animation:change_block],[effect:panel_freeze, target:normal, count:10],[effect:fix_speed, target:myself, turn:2]</v>
      </c>
      <c r="N18" s="37" t="str">
        <f>IFERROR(LEFT(M18,FIND("],",M18)+S26),M18)</f>
        <v>[effect:force_change_block, new_block:jammer, target:block_all, ignore01:block_positive, ignore02:block_negative, count:5, val:0, animation:change_block],[effect:panel_freeze, target:normal, count:10],[effect:fix_speed, target:myself, turn:2]</v>
      </c>
      <c r="O18" s="52">
        <f t="shared" si="7"/>
        <v>9</v>
      </c>
      <c r="P18" s="52">
        <f t="shared" si="8"/>
        <v>27</v>
      </c>
      <c r="Q18" s="52">
        <f t="shared" si="9"/>
        <v>54</v>
      </c>
      <c r="R18" s="52">
        <f t="shared" si="10"/>
        <v>45</v>
      </c>
      <c r="S18" s="52" t="str">
        <f>IFERROR(VLOOKUP(MID(N18,Q18,R18-Q18),[5]skilldef!$C:$D,2,FALSE),"-") &amp; " / " &amp; IFERROR(VLOOKUP(MID(N18,O18,P18-O18),[5]skilldef!$A:$B,2,FALSE),"-")</f>
        <v>- / -</v>
      </c>
      <c r="T18" s="37" t="str">
        <f t="shared" si="11"/>
        <v>[effect:panel_freeze, target:normal, count:10],[effect:fix_speed, target:myself, turn:2]</v>
      </c>
      <c r="U18" s="52">
        <f t="shared" si="12"/>
        <v>9</v>
      </c>
      <c r="V18" s="52">
        <f t="shared" si="13"/>
        <v>21</v>
      </c>
      <c r="W18" s="52">
        <f t="shared" si="14"/>
        <v>30</v>
      </c>
      <c r="X18" s="52">
        <f t="shared" si="15"/>
        <v>36</v>
      </c>
      <c r="Y18" s="52" t="str">
        <f>IFERROR(VLOOKUP(MID(T18,W18,X18-W18),[5]skilldef!$C:$D,2,FALSE),"-") &amp; " / " &amp; IFERROR(VLOOKUP(MID(T18,U18,V18-U18),[5]skilldef!$A:$B,2,FALSE),"-")</f>
        <v>- / -</v>
      </c>
      <c r="Z18" s="40"/>
      <c r="AA18" s="41"/>
      <c r="AB18" s="40" t="s">
        <v>229</v>
      </c>
      <c r="AC18" s="40" t="s">
        <v>230</v>
      </c>
    </row>
    <row r="19" spans="1:29" ht="43" customHeight="1" x14ac:dyDescent="0.15">
      <c r="A19" s="36">
        <v>48503018</v>
      </c>
      <c r="B19" s="36" t="s">
        <v>378</v>
      </c>
      <c r="C19" s="39">
        <v>3</v>
      </c>
      <c r="D19" s="39" t="s">
        <v>143</v>
      </c>
      <c r="E19" s="40" t="s">
        <v>406</v>
      </c>
      <c r="F19" s="40" t="s">
        <v>432</v>
      </c>
      <c r="G19" s="52" t="str">
        <f t="shared" si="0"/>
        <v>[effect:enemy_message, val1:2.0, val2:3.6]</v>
      </c>
      <c r="H19" s="52">
        <f t="shared" si="1"/>
        <v>9</v>
      </c>
      <c r="I19" s="52">
        <f t="shared" si="2"/>
        <v>22</v>
      </c>
      <c r="J19" s="52" t="e">
        <f t="shared" si="3"/>
        <v>#VALUE!</v>
      </c>
      <c r="K19" s="52">
        <f t="shared" si="4"/>
        <v>32</v>
      </c>
      <c r="L19" s="52" t="str">
        <f>IFERROR(VLOOKUP(MID(G19,J19,K19-J19),[5]skilldef!$C:$D,2,FALSE),"-") &amp; " / " &amp; IFERROR(VLOOKUP(MID(G19,H19,I19-H19),[5]skilldef!$A:$B,2,FALSE),"-")</f>
        <v>- / -</v>
      </c>
      <c r="M19" s="52" t="str">
        <f t="shared" si="5"/>
        <v>[effect:force_change_block, new_block:jammer, target:block_all, ignore01:block_positive, ignore02:block_negative, count:5, val:0, animation:change_block],[effect:panel_freeze, target:normal, count:10],[effect:fix_speed, target:myself, turn:2]</v>
      </c>
      <c r="N19" s="37" t="str">
        <f>IFERROR(LEFT(M19,FIND("],",M19)+S27),M19)</f>
        <v>[effect:force_change_block, new_block:jammer, target:block_all, ignore01:block_positive, ignore02:block_negative, count:5, val:0, animation:change_block],[effect:panel_freeze, target:normal, count:10],[effect:fix_speed, target:myself, turn:2]</v>
      </c>
      <c r="O19" s="52">
        <f t="shared" si="7"/>
        <v>9</v>
      </c>
      <c r="P19" s="52">
        <f t="shared" si="8"/>
        <v>27</v>
      </c>
      <c r="Q19" s="52">
        <f t="shared" si="9"/>
        <v>54</v>
      </c>
      <c r="R19" s="52">
        <f t="shared" si="10"/>
        <v>45</v>
      </c>
      <c r="S19" s="52" t="str">
        <f>IFERROR(VLOOKUP(MID(N19,Q19,R19-Q19),[5]skilldef!$C:$D,2,FALSE),"-") &amp; " / " &amp; IFERROR(VLOOKUP(MID(N19,O19,P19-O19),[5]skilldef!$A:$B,2,FALSE),"-")</f>
        <v>- / -</v>
      </c>
      <c r="T19" s="37" t="str">
        <f t="shared" si="11"/>
        <v>[effect:panel_freeze, target:normal, count:10],[effect:fix_speed, target:myself, turn:2]</v>
      </c>
      <c r="U19" s="52">
        <f t="shared" si="12"/>
        <v>9</v>
      </c>
      <c r="V19" s="52">
        <f t="shared" si="13"/>
        <v>21</v>
      </c>
      <c r="W19" s="52">
        <f t="shared" si="14"/>
        <v>30</v>
      </c>
      <c r="X19" s="52">
        <f t="shared" si="15"/>
        <v>36</v>
      </c>
      <c r="Y19" s="52" t="str">
        <f>IFERROR(VLOOKUP(MID(T19,W19,X19-W19),[5]skilldef!$C:$D,2,FALSE),"-") &amp; " / " &amp; IFERROR(VLOOKUP(MID(T19,U19,V19-U19),[5]skilldef!$A:$B,2,FALSE),"-")</f>
        <v>- / -</v>
      </c>
      <c r="Z19" s="40"/>
      <c r="AA19" s="41"/>
      <c r="AB19" s="40" t="s">
        <v>231</v>
      </c>
      <c r="AC19" s="40" t="s">
        <v>230</v>
      </c>
    </row>
    <row r="20" spans="1:29" ht="43" customHeight="1" x14ac:dyDescent="0.15">
      <c r="A20" s="36">
        <v>48503019</v>
      </c>
      <c r="B20" s="36" t="s">
        <v>378</v>
      </c>
      <c r="C20" s="39">
        <v>3</v>
      </c>
      <c r="D20" s="39" t="s">
        <v>143</v>
      </c>
      <c r="E20" s="40" t="s">
        <v>406</v>
      </c>
      <c r="F20" s="40" t="s">
        <v>432</v>
      </c>
      <c r="G20" s="52" t="str">
        <f t="shared" si="0"/>
        <v>[effect:enemy_message, val1:2.0, val2:3.6]</v>
      </c>
      <c r="H20" s="52">
        <f t="shared" si="1"/>
        <v>9</v>
      </c>
      <c r="I20" s="52">
        <f t="shared" si="2"/>
        <v>22</v>
      </c>
      <c r="J20" s="52" t="e">
        <f t="shared" si="3"/>
        <v>#VALUE!</v>
      </c>
      <c r="K20" s="52">
        <f t="shared" si="4"/>
        <v>32</v>
      </c>
      <c r="L20" s="52" t="str">
        <f>IFERROR(VLOOKUP(MID(G20,J20,K20-J20),[5]skilldef!$C:$D,2,FALSE),"-") &amp; " / " &amp; IFERROR(VLOOKUP(MID(G20,H20,I20-H20),[5]skilldef!$A:$B,2,FALSE),"-")</f>
        <v>- / -</v>
      </c>
      <c r="M20" s="52" t="str">
        <f t="shared" si="5"/>
        <v>[effect:force_change_block, new_block:jammer, target:block_all, ignore01:block_positive, ignore02:block_negative, count:5, val:0, animation:change_block],[effect:panel_freeze, target:normal, count:10],[effect:fix_speed, target:myself, turn:2]</v>
      </c>
      <c r="N20" s="37" t="str">
        <f>IFERROR(LEFT(M20,FIND("],",M20)+S28),M20)</f>
        <v>[effect:force_change_block, new_block:jammer, target:block_all, ignore01:block_positive, ignore02:block_negative, count:5, val:0, animation:change_block],[effect:panel_freeze, target:normal, count:10],[effect:fix_speed, target:myself, turn:2]</v>
      </c>
      <c r="O20" s="52">
        <f t="shared" si="7"/>
        <v>9</v>
      </c>
      <c r="P20" s="52">
        <f t="shared" si="8"/>
        <v>27</v>
      </c>
      <c r="Q20" s="52">
        <f t="shared" si="9"/>
        <v>54</v>
      </c>
      <c r="R20" s="52">
        <f t="shared" si="10"/>
        <v>45</v>
      </c>
      <c r="S20" s="52" t="str">
        <f>IFERROR(VLOOKUP(MID(N20,Q20,R20-Q20),[5]skilldef!$C:$D,2,FALSE),"-") &amp; " / " &amp; IFERROR(VLOOKUP(MID(N20,O20,P20-O20),[5]skilldef!$A:$B,2,FALSE),"-")</f>
        <v>- / -</v>
      </c>
      <c r="T20" s="37" t="str">
        <f t="shared" si="11"/>
        <v>[effect:panel_freeze, target:normal, count:10],[effect:fix_speed, target:myself, turn:2]</v>
      </c>
      <c r="U20" s="52">
        <f t="shared" si="12"/>
        <v>9</v>
      </c>
      <c r="V20" s="52">
        <f t="shared" si="13"/>
        <v>21</v>
      </c>
      <c r="W20" s="52">
        <f t="shared" si="14"/>
        <v>30</v>
      </c>
      <c r="X20" s="52">
        <f t="shared" si="15"/>
        <v>36</v>
      </c>
      <c r="Y20" s="52" t="str">
        <f>IFERROR(VLOOKUP(MID(T20,W20,X20-W20),[5]skilldef!$C:$D,2,FALSE),"-") &amp; " / " &amp; IFERROR(VLOOKUP(MID(T20,U20,V20-U20),[5]skilldef!$A:$B,2,FALSE),"-")</f>
        <v>- / -</v>
      </c>
      <c r="Z20" s="40"/>
      <c r="AA20" s="41"/>
      <c r="AB20" s="40" t="s">
        <v>232</v>
      </c>
      <c r="AC20" s="40" t="s">
        <v>230</v>
      </c>
    </row>
    <row r="21" spans="1:29" ht="43" customHeight="1" x14ac:dyDescent="0.15">
      <c r="A21" s="36">
        <v>48503020</v>
      </c>
      <c r="B21" s="36" t="s">
        <v>337</v>
      </c>
      <c r="C21" s="39">
        <v>3</v>
      </c>
      <c r="D21" s="39" t="s">
        <v>143</v>
      </c>
      <c r="E21" s="40" t="s">
        <v>467</v>
      </c>
      <c r="F21" s="40" t="s">
        <v>433</v>
      </c>
      <c r="G21" s="52" t="str">
        <f t="shared" si="0"/>
        <v>[effect:enemy_message, val1:1.2, val2:3.1]</v>
      </c>
      <c r="H21" s="52">
        <f t="shared" si="1"/>
        <v>9</v>
      </c>
      <c r="I21" s="52">
        <f t="shared" si="2"/>
        <v>22</v>
      </c>
      <c r="J21" s="52" t="e">
        <f t="shared" si="3"/>
        <v>#VALUE!</v>
      </c>
      <c r="K21" s="52">
        <f t="shared" si="4"/>
        <v>32</v>
      </c>
      <c r="L21" s="52" t="str">
        <f>IFERROR(VLOOKUP(MID(G21,J21,K21-J21),[5]skilldef!$C:$D,2,FALSE),"-") &amp; " / " &amp; IFERROR(VLOOKUP(MID(G21,H21,I21-H21),[5]skilldef!$A:$B,2,FALSE),"-")</f>
        <v>- / -</v>
      </c>
      <c r="M21" s="52" t="str">
        <f t="shared" si="5"/>
        <v>[effect:break_enchance_enemy, target:myself, val:0.08, lowest_val:0.01, count:-1, status:attack, turn:2, block01:jammer, calc:mul, animation:enemy_enhance_attack],[effect:freq_turn, target:myself, turn:2, val:1, animation:enemy_freq_turn]</v>
      </c>
      <c r="N21" s="37" t="str">
        <f t="shared" ref="N21:N25" si="16">IFERROR(LEFT(M21,FIND("],",M21)+S29),M21)</f>
        <v>[effect:break_enchance_enemy, target:myself, val:0.08, lowest_val:0.01, count:-1, status:attack, turn:2, block01:jammer, calc:mul, animation:enemy_enhance_attack],[effect:freq_turn, target:myself, turn:2, val:1, animation:enemy_freq_turn]</v>
      </c>
      <c r="O21" s="52">
        <f t="shared" si="7"/>
        <v>9</v>
      </c>
      <c r="P21" s="52">
        <f t="shared" si="8"/>
        <v>29</v>
      </c>
      <c r="Q21" s="52">
        <f t="shared" si="9"/>
        <v>38</v>
      </c>
      <c r="R21" s="52">
        <f t="shared" si="10"/>
        <v>44</v>
      </c>
      <c r="S21" s="52" t="str">
        <f>IFERROR(VLOOKUP(MID(N21,Q21,R21-Q21),[5]skilldef!$C:$D,2,FALSE),"-") &amp; " / " &amp; IFERROR(VLOOKUP(MID(N21,O21,P21-O21),[5]skilldef!$A:$B,2,FALSE),"-")</f>
        <v>自分自身に / -</v>
      </c>
      <c r="T21" s="37" t="str">
        <f t="shared" si="11"/>
        <v>[effect:freq_turn, target:myself, turn:2, val:1, animation:enemy_freq_turn]</v>
      </c>
      <c r="U21" s="52">
        <f t="shared" si="12"/>
        <v>9</v>
      </c>
      <c r="V21" s="52">
        <f t="shared" si="13"/>
        <v>18</v>
      </c>
      <c r="W21" s="52">
        <f t="shared" si="14"/>
        <v>27</v>
      </c>
      <c r="X21" s="52">
        <f t="shared" si="15"/>
        <v>33</v>
      </c>
      <c r="Y21" s="52" t="str">
        <f>IFERROR(VLOOKUP(MID(T21,W21,X21-W21),[5]skilldef!$C:$D,2,FALSE),"-") &amp; " / " &amp; IFERROR(VLOOKUP(MID(T21,U21,V21-U21),[5]skilldef!$A:$B,2,FALSE),"-")</f>
        <v>自分自身に / 攻撃頻度がUP</v>
      </c>
      <c r="Z21" s="40"/>
      <c r="AA21" s="41"/>
      <c r="AB21" s="40" t="s">
        <v>234</v>
      </c>
      <c r="AC21" s="40" t="s">
        <v>233</v>
      </c>
    </row>
    <row r="22" spans="1:29" ht="43" customHeight="1" x14ac:dyDescent="0.15">
      <c r="A22" s="36">
        <v>48503021</v>
      </c>
      <c r="B22" s="36" t="s">
        <v>338</v>
      </c>
      <c r="C22" s="39">
        <v>3</v>
      </c>
      <c r="D22" s="39" t="s">
        <v>143</v>
      </c>
      <c r="E22" s="40" t="s">
        <v>475</v>
      </c>
      <c r="F22" s="40" t="s">
        <v>434</v>
      </c>
      <c r="G22" s="52" t="str">
        <f t="shared" si="0"/>
        <v>[effect:enemy_message, val1:2.0, val2:2.3]</v>
      </c>
      <c r="H22" s="52">
        <f t="shared" si="1"/>
        <v>9</v>
      </c>
      <c r="I22" s="52">
        <f t="shared" si="2"/>
        <v>22</v>
      </c>
      <c r="J22" s="52" t="e">
        <f t="shared" si="3"/>
        <v>#VALUE!</v>
      </c>
      <c r="K22" s="52">
        <f t="shared" si="4"/>
        <v>32</v>
      </c>
      <c r="L22" s="52" t="str">
        <f>IFERROR(VLOOKUP(MID(G22,J22,K22-J22),[5]skilldef!$C:$D,2,FALSE),"-") &amp; " / " &amp; IFERROR(VLOOKUP(MID(G22,H22,I22-H22),[5]skilldef!$A:$B,2,FALSE),"-")</f>
        <v>- / -</v>
      </c>
      <c r="M22" s="52" t="str">
        <f t="shared" si="5"/>
        <v>[effect:damage_anti_tribe, target:unit_all, tribe:human, val1:0.7, val2:0.25]</v>
      </c>
      <c r="N22" s="37" t="str">
        <f t="shared" si="16"/>
        <v>[effect:damage_anti_tribe, target:unit_all, tribe:human, val1:0.7, val2:0.25]</v>
      </c>
      <c r="O22" s="52">
        <f t="shared" si="7"/>
        <v>9</v>
      </c>
      <c r="P22" s="52">
        <f t="shared" si="8"/>
        <v>26</v>
      </c>
      <c r="Q22" s="52">
        <f t="shared" si="9"/>
        <v>35</v>
      </c>
      <c r="R22" s="52">
        <f t="shared" si="10"/>
        <v>43</v>
      </c>
      <c r="S22" s="52" t="str">
        <f>IFERROR(VLOOKUP(MID(N22,Q22,R22-Q22),[5]skilldef!$C:$D,2,FALSE),"-") &amp; " / " &amp; IFERROR(VLOOKUP(MID(N22,O22,P22-O22),[5]skilldef!$A:$B,2,FALSE),"-")</f>
        <v>味方全体に / 種族キラー</v>
      </c>
      <c r="T22" s="37" t="str">
        <f t="shared" si="11"/>
        <v>none</v>
      </c>
      <c r="U22" s="52" t="e">
        <f t="shared" si="12"/>
        <v>#VALUE!</v>
      </c>
      <c r="V22" s="52">
        <f t="shared" si="13"/>
        <v>4</v>
      </c>
      <c r="W22" s="52" t="e">
        <f t="shared" si="14"/>
        <v>#VALUE!</v>
      </c>
      <c r="X22" s="52" t="e">
        <f t="shared" si="15"/>
        <v>#VALUE!</v>
      </c>
      <c r="Y22" s="52" t="str">
        <f>IFERROR(VLOOKUP(MID(T22,W22,X22-W22),[5]skilldef!$C:$D,2,FALSE),"-") &amp; " / " &amp; IFERROR(VLOOKUP(MID(T22,U22,V22-U22),[5]skilldef!$A:$B,2,FALSE),"-")</f>
        <v>- / -</v>
      </c>
      <c r="Z22" s="40"/>
      <c r="AA22" s="41"/>
      <c r="AB22" s="40" t="s">
        <v>236</v>
      </c>
      <c r="AC22" s="40" t="s">
        <v>235</v>
      </c>
    </row>
    <row r="23" spans="1:29" ht="43" customHeight="1" x14ac:dyDescent="0.15">
      <c r="A23" s="36">
        <v>48503022</v>
      </c>
      <c r="B23" s="36" t="s">
        <v>379</v>
      </c>
      <c r="C23" s="39">
        <v>3</v>
      </c>
      <c r="D23" s="39" t="s">
        <v>143</v>
      </c>
      <c r="E23" s="40" t="s">
        <v>476</v>
      </c>
      <c r="F23" s="40" t="s">
        <v>435</v>
      </c>
      <c r="G23" s="52" t="str">
        <f t="shared" si="0"/>
        <v>[effect:enemy_message, val1:1.5, val2:2.0]</v>
      </c>
      <c r="H23" s="52">
        <f t="shared" si="1"/>
        <v>9</v>
      </c>
      <c r="I23" s="52">
        <f t="shared" si="2"/>
        <v>22</v>
      </c>
      <c r="J23" s="52" t="e">
        <f t="shared" si="3"/>
        <v>#VALUE!</v>
      </c>
      <c r="K23" s="52">
        <f t="shared" si="4"/>
        <v>32</v>
      </c>
      <c r="L23" s="52" t="str">
        <f>IFERROR(VLOOKUP(MID(G23,J23,K23-J23),[5]skilldef!$C:$D,2,FALSE),"-") &amp; " / " &amp; IFERROR(VLOOKUP(MID(G23,H23,I23-H23),[5]skilldef!$A:$B,2,FALSE),"-")</f>
        <v>- / -</v>
      </c>
      <c r="M23" s="52" t="str">
        <f t="shared" si="5"/>
        <v>[effect:degrade_unit, target:unit_all, turn:4, status:heal, val:0.5, calc:mul, animation:degrade_unit_all_heal]</v>
      </c>
      <c r="N23" s="37" t="str">
        <f t="shared" si="16"/>
        <v>[effect:degrade_unit, target:unit_all, turn:4, status:heal, val:0.5, calc:mul, animation:degrade_unit_all_heal]</v>
      </c>
      <c r="O23" s="52">
        <f t="shared" si="7"/>
        <v>9</v>
      </c>
      <c r="P23" s="52">
        <f t="shared" si="8"/>
        <v>21</v>
      </c>
      <c r="Q23" s="52">
        <f t="shared" si="9"/>
        <v>30</v>
      </c>
      <c r="R23" s="52">
        <f t="shared" si="10"/>
        <v>38</v>
      </c>
      <c r="S23" s="52" t="str">
        <f>IFERROR(VLOOKUP(MID(N23,Q23,R23-Q23),[5]skilldef!$C:$D,2,FALSE),"-") &amp; " / " &amp; IFERROR(VLOOKUP(MID(N23,O23,P23-O23),[5]skilldef!$A:$B,2,FALSE),"-")</f>
        <v>味方全体に / ステータスDOWN</v>
      </c>
      <c r="T23" s="37" t="str">
        <f t="shared" si="11"/>
        <v>none</v>
      </c>
      <c r="U23" s="52" t="e">
        <f t="shared" si="12"/>
        <v>#VALUE!</v>
      </c>
      <c r="V23" s="52">
        <f t="shared" si="13"/>
        <v>4</v>
      </c>
      <c r="W23" s="52" t="e">
        <f t="shared" si="14"/>
        <v>#VALUE!</v>
      </c>
      <c r="X23" s="52" t="e">
        <f t="shared" si="15"/>
        <v>#VALUE!</v>
      </c>
      <c r="Y23" s="52" t="str">
        <f>IFERROR(VLOOKUP(MID(T23,W23,X23-W23),[5]skilldef!$C:$D,2,FALSE),"-") &amp; " / " &amp; IFERROR(VLOOKUP(MID(T23,U23,V23-U23),[5]skilldef!$A:$B,2,FALSE),"-")</f>
        <v>- / -</v>
      </c>
      <c r="Z23" s="40"/>
      <c r="AA23" s="41"/>
      <c r="AB23" s="40" t="s">
        <v>237</v>
      </c>
      <c r="AC23" s="40" t="s">
        <v>238</v>
      </c>
    </row>
    <row r="24" spans="1:29" ht="43" customHeight="1" x14ac:dyDescent="0.15">
      <c r="A24" s="36">
        <v>48503023</v>
      </c>
      <c r="B24" s="36" t="s">
        <v>338</v>
      </c>
      <c r="C24" s="39">
        <v>3</v>
      </c>
      <c r="D24" s="39" t="s">
        <v>143</v>
      </c>
      <c r="E24" s="40" t="s">
        <v>475</v>
      </c>
      <c r="F24" s="40" t="s">
        <v>434</v>
      </c>
      <c r="G24" s="52" t="str">
        <f t="shared" si="0"/>
        <v>[effect:enemy_message, val1:2.0, val2:2.3]</v>
      </c>
      <c r="H24" s="52">
        <f t="shared" si="1"/>
        <v>9</v>
      </c>
      <c r="I24" s="52">
        <f t="shared" si="2"/>
        <v>22</v>
      </c>
      <c r="J24" s="52" t="e">
        <f t="shared" si="3"/>
        <v>#VALUE!</v>
      </c>
      <c r="K24" s="52">
        <f t="shared" si="4"/>
        <v>32</v>
      </c>
      <c r="L24" s="52" t="str">
        <f>IFERROR(VLOOKUP(MID(G24,J24,K24-J24),[5]skilldef!$C:$D,2,FALSE),"-") &amp; " / " &amp; IFERROR(VLOOKUP(MID(G24,H24,I24-H24),[5]skilldef!$A:$B,2,FALSE),"-")</f>
        <v>- / -</v>
      </c>
      <c r="M24" s="52" t="str">
        <f t="shared" si="5"/>
        <v>[effect:damage_anti_tribe, target:unit_all, tribe:human, val1:0.7, val2:0.25]</v>
      </c>
      <c r="N24" s="37" t="str">
        <f t="shared" si="16"/>
        <v>[effect:damage_anti_tribe, target:unit_all, tribe:human, val1:0.7, val2:0.25]</v>
      </c>
      <c r="O24" s="52">
        <f t="shared" si="7"/>
        <v>9</v>
      </c>
      <c r="P24" s="52">
        <f t="shared" si="8"/>
        <v>26</v>
      </c>
      <c r="Q24" s="52">
        <f t="shared" si="9"/>
        <v>35</v>
      </c>
      <c r="R24" s="52">
        <f t="shared" si="10"/>
        <v>43</v>
      </c>
      <c r="S24" s="52" t="str">
        <f>IFERROR(VLOOKUP(MID(N24,Q24,R24-Q24),[5]skilldef!$C:$D,2,FALSE),"-") &amp; " / " &amp; IFERROR(VLOOKUP(MID(N24,O24,P24-O24),[5]skilldef!$A:$B,2,FALSE),"-")</f>
        <v>味方全体に / 種族キラー</v>
      </c>
      <c r="T24" s="37" t="str">
        <f t="shared" si="11"/>
        <v>none</v>
      </c>
      <c r="U24" s="52" t="e">
        <f t="shared" si="12"/>
        <v>#VALUE!</v>
      </c>
      <c r="V24" s="52">
        <f t="shared" si="13"/>
        <v>4</v>
      </c>
      <c r="W24" s="52" t="e">
        <f t="shared" si="14"/>
        <v>#VALUE!</v>
      </c>
      <c r="X24" s="52" t="e">
        <f t="shared" si="15"/>
        <v>#VALUE!</v>
      </c>
      <c r="Y24" s="52" t="str">
        <f>IFERROR(VLOOKUP(MID(T24,W24,X24-W24),[5]skilldef!$C:$D,2,FALSE),"-") &amp; " / " &amp; IFERROR(VLOOKUP(MID(T24,U24,V24-U24),[5]skilldef!$A:$B,2,FALSE),"-")</f>
        <v>- / -</v>
      </c>
      <c r="Z24" s="40"/>
      <c r="AA24" s="41"/>
      <c r="AB24" s="40" t="s">
        <v>239</v>
      </c>
      <c r="AC24" s="40" t="s">
        <v>235</v>
      </c>
    </row>
    <row r="25" spans="1:29" ht="43" customHeight="1" x14ac:dyDescent="0.15">
      <c r="A25" s="36">
        <v>48503024</v>
      </c>
      <c r="B25" s="36" t="s">
        <v>506</v>
      </c>
      <c r="C25" s="39">
        <v>3</v>
      </c>
      <c r="D25" s="39" t="s">
        <v>143</v>
      </c>
      <c r="E25" s="40" t="s">
        <v>468</v>
      </c>
      <c r="F25" s="40" t="s">
        <v>508</v>
      </c>
      <c r="G25" s="52" t="str">
        <f t="shared" si="0"/>
        <v>[effect:enemy_message, val1:2.2, val2:2.3]</v>
      </c>
      <c r="H25" s="52">
        <f t="shared" si="1"/>
        <v>9</v>
      </c>
      <c r="I25" s="52">
        <f t="shared" si="2"/>
        <v>22</v>
      </c>
      <c r="J25" s="52" t="e">
        <f t="shared" si="3"/>
        <v>#VALUE!</v>
      </c>
      <c r="K25" s="52">
        <f t="shared" si="4"/>
        <v>32</v>
      </c>
      <c r="L25" s="52" t="str">
        <f>IFERROR(VLOOKUP(MID(G25,J25,K25-J25),[5]skilldef!$C:$D,2,FALSE),"-") &amp; " / " &amp; IFERROR(VLOOKUP(MID(G25,H25,I25-H25),[5]skilldef!$A:$B,2,FALSE),"-")</f>
        <v>- / -</v>
      </c>
      <c r="M25" s="52" t="str">
        <f t="shared" si="5"/>
        <v>[effect:force_change_block, new_block:jammer, target:block_all, ignore01:block_positive, ignore02:block_negative, count:3, val:0, animation:change_block],[effect:damage_gravity, val:0.3, animation:fevergauge_down],[effect:fix_speed, target:myself, turn:1]</v>
      </c>
      <c r="N25" s="37" t="str">
        <f t="shared" si="16"/>
        <v>[effect:force_change_block, new_block:jammer, target:block_all, ignore01:block_positive, ignore02:block_negative, count:3, val:0, animation:change_block],[effect:damage_gravity, val:0.3, animation:fevergauge_down],[effect:fix_speed, target:myself, turn:1]</v>
      </c>
      <c r="O25" s="52">
        <f t="shared" si="7"/>
        <v>9</v>
      </c>
      <c r="P25" s="52">
        <f t="shared" si="8"/>
        <v>27</v>
      </c>
      <c r="Q25" s="52">
        <f t="shared" si="9"/>
        <v>54</v>
      </c>
      <c r="R25" s="52">
        <f t="shared" si="10"/>
        <v>45</v>
      </c>
      <c r="S25" s="52" t="str">
        <f>IFERROR(VLOOKUP(MID(N25,Q25,R25-Q25),[5]skilldef!$C:$D,2,FALSE),"-") &amp; " / " &amp; IFERROR(VLOOKUP(MID(N25,O25,P25-O25),[5]skilldef!$A:$B,2,FALSE),"-")</f>
        <v>- / -</v>
      </c>
      <c r="T25" s="37" t="str">
        <f t="shared" si="11"/>
        <v>[effect:damage_gravity, val:0.3, animation:fevergauge_down],[effect:fix_speed, target:myself, turn:1]</v>
      </c>
      <c r="U25" s="52">
        <f t="shared" si="12"/>
        <v>9</v>
      </c>
      <c r="V25" s="52">
        <f t="shared" si="13"/>
        <v>23</v>
      </c>
      <c r="W25" s="52">
        <f t="shared" si="14"/>
        <v>87</v>
      </c>
      <c r="X25" s="52">
        <f t="shared" si="15"/>
        <v>32</v>
      </c>
      <c r="Y25" s="52" t="str">
        <f>IFERROR(VLOOKUP(MID(T25,W25,X25-W25),[5]skilldef!$C:$D,2,FALSE),"-") &amp; " / " &amp; IFERROR(VLOOKUP(MID(T25,U25,V25-U25),[5]skilldef!$A:$B,2,FALSE),"-")</f>
        <v>- / 割合ダメージ</v>
      </c>
      <c r="Z25" s="40"/>
      <c r="AA25" s="41"/>
      <c r="AB25" s="40" t="s">
        <v>241</v>
      </c>
      <c r="AC25" s="40" t="s">
        <v>240</v>
      </c>
    </row>
    <row r="26" spans="1:29" ht="43" customHeight="1" x14ac:dyDescent="0.15">
      <c r="A26" s="36">
        <v>48503025</v>
      </c>
      <c r="B26" s="36" t="s">
        <v>357</v>
      </c>
      <c r="C26" s="39">
        <v>3</v>
      </c>
      <c r="D26" s="39" t="s">
        <v>143</v>
      </c>
      <c r="E26" s="40" t="s">
        <v>477</v>
      </c>
      <c r="F26" s="40" t="s">
        <v>436</v>
      </c>
      <c r="G26" s="52" t="str">
        <f t="shared" si="0"/>
        <v>[effect:enemy_message, val1:1.2, val2:2.3]</v>
      </c>
      <c r="H26" s="52">
        <f t="shared" si="1"/>
        <v>9</v>
      </c>
      <c r="I26" s="52">
        <f t="shared" si="2"/>
        <v>22</v>
      </c>
      <c r="J26" s="52" t="e">
        <f t="shared" si="3"/>
        <v>#VALUE!</v>
      </c>
      <c r="K26" s="52">
        <f t="shared" si="4"/>
        <v>32</v>
      </c>
      <c r="L26" s="52" t="str">
        <f>IFERROR(VLOOKUP(MID(G26,J26,K26-J26),[5]skilldef!$C:$D,2,FALSE),"-") &amp; " / " &amp; IFERROR(VLOOKUP(MID(G26,H26,I26-H26),[5]skilldef!$A:$B,2,FALSE),"-")</f>
        <v>- / -</v>
      </c>
      <c r="M26" s="52" t="str">
        <f t="shared" si="5"/>
        <v>[effect:force_change_block, new_block:jammer, target:block_all, ignore01:block_positive, ignore02:block_negative, count:2, val:0, animation:change_block],[effect:rush, count:1, val:1]</v>
      </c>
      <c r="N26" s="37" t="str">
        <f>IFERROR(LEFT(M26,FIND("],",M26)+S37),M26)</f>
        <v>[effect:force_change_block, new_block:jammer, target:block_all, ignore01:block_positive, ignore02:block_negative, count:2, val:0, animation:change_block],[effect:rush, count:1, val:1]</v>
      </c>
      <c r="O26" s="52">
        <f t="shared" si="7"/>
        <v>9</v>
      </c>
      <c r="P26" s="52">
        <f t="shared" si="8"/>
        <v>27</v>
      </c>
      <c r="Q26" s="52">
        <f t="shared" si="9"/>
        <v>54</v>
      </c>
      <c r="R26" s="52">
        <f t="shared" si="10"/>
        <v>45</v>
      </c>
      <c r="S26" s="52" t="str">
        <f>IFERROR(VLOOKUP(MID(N26,Q26,R26-Q26),[5]skilldef!$C:$D,2,FALSE),"-") &amp; " / " &amp; IFERROR(VLOOKUP(MID(N26,O26,P26-O26),[5]skilldef!$A:$B,2,FALSE),"-")</f>
        <v>- / -</v>
      </c>
      <c r="T26" s="37" t="str">
        <f t="shared" si="11"/>
        <v>[effect:rush, count:1, val:1]</v>
      </c>
      <c r="U26" s="52">
        <f t="shared" si="12"/>
        <v>9</v>
      </c>
      <c r="V26" s="52">
        <f t="shared" si="13"/>
        <v>13</v>
      </c>
      <c r="W26" s="52" t="e">
        <f t="shared" si="14"/>
        <v>#VALUE!</v>
      </c>
      <c r="X26" s="52">
        <f t="shared" si="15"/>
        <v>22</v>
      </c>
      <c r="Y26" s="52" t="str">
        <f>IFERROR(VLOOKUP(MID(T26,W26,X26-W26),[5]skilldef!$C:$D,2,FALSE),"-") &amp; " / " &amp; IFERROR(VLOOKUP(MID(T26,U26,V26-U26),[5]skilldef!$A:$B,2,FALSE),"-")</f>
        <v>- / 連続攻撃</v>
      </c>
      <c r="Z26" s="40"/>
      <c r="AA26" s="41"/>
      <c r="AB26" s="40" t="s">
        <v>243</v>
      </c>
      <c r="AC26" s="40" t="s">
        <v>242</v>
      </c>
    </row>
    <row r="27" spans="1:29" ht="43" customHeight="1" x14ac:dyDescent="0.15">
      <c r="A27" s="36">
        <v>48503026</v>
      </c>
      <c r="B27" s="36" t="s">
        <v>358</v>
      </c>
      <c r="C27" s="39">
        <v>3</v>
      </c>
      <c r="D27" s="39" t="s">
        <v>143</v>
      </c>
      <c r="E27" s="40" t="s">
        <v>469</v>
      </c>
      <c r="F27" s="40" t="s">
        <v>437</v>
      </c>
      <c r="G27" s="52" t="str">
        <f t="shared" si="0"/>
        <v>[effect:enemy_message, val1:1.3, val2:2.5]</v>
      </c>
      <c r="H27" s="52">
        <f t="shared" si="1"/>
        <v>9</v>
      </c>
      <c r="I27" s="52">
        <f t="shared" si="2"/>
        <v>22</v>
      </c>
      <c r="J27" s="52" t="e">
        <f t="shared" si="3"/>
        <v>#VALUE!</v>
      </c>
      <c r="K27" s="52">
        <f t="shared" si="4"/>
        <v>32</v>
      </c>
      <c r="L27" s="52" t="str">
        <f>IFERROR(VLOOKUP(MID(G27,J27,K27-J27),[5]skilldef!$C:$D,2,FALSE),"-") &amp; " / " &amp; IFERROR(VLOOKUP(MID(G27,H27,I27-H27),[5]skilldef!$A:$B,2,FALSE),"-")</f>
        <v>- / -</v>
      </c>
      <c r="M27" s="52" t="str">
        <f t="shared" si="5"/>
        <v>[effect:force_change_block, new_block:jammer, target:block_all, ignore01:block_positive, ignore02:block_negative, count:3, val:0, animation:change_block],[effect:rush, count:2, val:0.6]</v>
      </c>
      <c r="N27" s="37" t="str">
        <f>IFERROR(LEFT(M27,FIND("],",M27)+S38),M27)</f>
        <v>[effect:force_change_block, new_block:jammer, target:block_all, ignore01:block_positive, ignore02:block_negative, count:3, val:0, animation:change_block],[effect:rush, count:2, val:0.6]</v>
      </c>
      <c r="O27" s="52">
        <f t="shared" si="7"/>
        <v>9</v>
      </c>
      <c r="P27" s="52">
        <f t="shared" si="8"/>
        <v>27</v>
      </c>
      <c r="Q27" s="52">
        <f t="shared" si="9"/>
        <v>54</v>
      </c>
      <c r="R27" s="52">
        <f t="shared" si="10"/>
        <v>45</v>
      </c>
      <c r="S27" s="52" t="str">
        <f>IFERROR(VLOOKUP(MID(N27,Q27,R27-Q27),[5]skilldef!$C:$D,2,FALSE),"-") &amp; " / " &amp; IFERROR(VLOOKUP(MID(N27,O27,P27-O27),[5]skilldef!$A:$B,2,FALSE),"-")</f>
        <v>- / -</v>
      </c>
      <c r="T27" s="37" t="str">
        <f t="shared" si="11"/>
        <v>[effect:rush, count:2, val:0.6]</v>
      </c>
      <c r="U27" s="52">
        <f t="shared" si="12"/>
        <v>9</v>
      </c>
      <c r="V27" s="52">
        <f t="shared" si="13"/>
        <v>13</v>
      </c>
      <c r="W27" s="52" t="e">
        <f t="shared" si="14"/>
        <v>#VALUE!</v>
      </c>
      <c r="X27" s="52">
        <f t="shared" si="15"/>
        <v>22</v>
      </c>
      <c r="Y27" s="52" t="str">
        <f>IFERROR(VLOOKUP(MID(T27,W27,X27-W27),[5]skilldef!$C:$D,2,FALSE),"-") &amp; " / " &amp; IFERROR(VLOOKUP(MID(T27,U27,V27-U27),[5]skilldef!$A:$B,2,FALSE),"-")</f>
        <v>- / 連続攻撃</v>
      </c>
      <c r="Z27" s="40"/>
      <c r="AA27" s="41"/>
      <c r="AB27" s="40" t="s">
        <v>243</v>
      </c>
      <c r="AC27" s="40" t="s">
        <v>244</v>
      </c>
    </row>
    <row r="28" spans="1:29" ht="43" customHeight="1" x14ac:dyDescent="0.15">
      <c r="A28" s="36">
        <v>48503027</v>
      </c>
      <c r="B28" s="36" t="s">
        <v>380</v>
      </c>
      <c r="C28" s="39">
        <v>3</v>
      </c>
      <c r="D28" s="39" t="s">
        <v>143</v>
      </c>
      <c r="E28" s="40" t="s">
        <v>407</v>
      </c>
      <c r="F28" s="40" t="s">
        <v>438</v>
      </c>
      <c r="G28" s="52" t="str">
        <f t="shared" si="0"/>
        <v>[effect:enemy_message, val1:1.2, val2:1.2]</v>
      </c>
      <c r="H28" s="52">
        <f t="shared" si="1"/>
        <v>9</v>
      </c>
      <c r="I28" s="52">
        <f t="shared" si="2"/>
        <v>22</v>
      </c>
      <c r="J28" s="52" t="e">
        <f t="shared" si="3"/>
        <v>#VALUE!</v>
      </c>
      <c r="K28" s="52">
        <f t="shared" si="4"/>
        <v>32</v>
      </c>
      <c r="L28" s="52" t="str">
        <f>IFERROR(VLOOKUP(MID(G28,J28,K28-J28),[5]skilldef!$C:$D,2,FALSE),"-") &amp; " / " &amp; IFERROR(VLOOKUP(MID(G28,H28,I28-H28),[5]skilldef!$A:$B,2,FALSE),"-")</f>
        <v>- / -</v>
      </c>
      <c r="M28" s="52" t="str">
        <f t="shared" si="5"/>
        <v>[effect:rush, count:4, val:0.35]</v>
      </c>
      <c r="N28" s="37" t="str">
        <f>IFERROR(LEFT(M28,FIND("],",M28)+S38),M28)</f>
        <v>[effect:rush, count:4, val:0.35]</v>
      </c>
      <c r="O28" s="52">
        <f t="shared" si="7"/>
        <v>9</v>
      </c>
      <c r="P28" s="52">
        <f t="shared" si="8"/>
        <v>13</v>
      </c>
      <c r="Q28" s="52" t="e">
        <f t="shared" si="9"/>
        <v>#VALUE!</v>
      </c>
      <c r="R28" s="52">
        <f t="shared" si="10"/>
        <v>22</v>
      </c>
      <c r="S28" s="52" t="str">
        <f>IFERROR(VLOOKUP(MID(N28,Q28,R28-Q28),[5]skilldef!$C:$D,2,FALSE),"-") &amp; " / " &amp; IFERROR(VLOOKUP(MID(N28,O28,P28-O28),[5]skilldef!$A:$B,2,FALSE),"-")</f>
        <v>- / 連続攻撃</v>
      </c>
      <c r="T28" s="37" t="str">
        <f t="shared" si="11"/>
        <v>none</v>
      </c>
      <c r="U28" s="52" t="e">
        <f t="shared" si="12"/>
        <v>#VALUE!</v>
      </c>
      <c r="V28" s="52">
        <f t="shared" si="13"/>
        <v>4</v>
      </c>
      <c r="W28" s="52" t="e">
        <f t="shared" si="14"/>
        <v>#VALUE!</v>
      </c>
      <c r="X28" s="52" t="e">
        <f t="shared" si="15"/>
        <v>#VALUE!</v>
      </c>
      <c r="Y28" s="52" t="str">
        <f>IFERROR(VLOOKUP(MID(T28,W28,X28-W28),[5]skilldef!$C:$D,2,FALSE),"-") &amp; " / " &amp; IFERROR(VLOOKUP(MID(T28,U28,V28-U28),[5]skilldef!$A:$B,2,FALSE),"-")</f>
        <v>- / -</v>
      </c>
      <c r="Z28" s="40"/>
      <c r="AA28" s="41"/>
      <c r="AB28" s="40" t="s">
        <v>246</v>
      </c>
      <c r="AC28" s="40" t="s">
        <v>245</v>
      </c>
    </row>
    <row r="29" spans="1:29" ht="43" customHeight="1" x14ac:dyDescent="0.15">
      <c r="A29" s="36">
        <v>48503028</v>
      </c>
      <c r="B29" s="36" t="s">
        <v>359</v>
      </c>
      <c r="C29" s="39">
        <v>3</v>
      </c>
      <c r="D29" s="39" t="s">
        <v>143</v>
      </c>
      <c r="E29" s="40" t="s">
        <v>478</v>
      </c>
      <c r="F29" s="40" t="s">
        <v>439</v>
      </c>
      <c r="G29" s="52" t="str">
        <f t="shared" si="0"/>
        <v>[effect:enemy_message, val1:1.7, val2:2.3]</v>
      </c>
      <c r="H29" s="52">
        <f t="shared" si="1"/>
        <v>9</v>
      </c>
      <c r="I29" s="52">
        <f t="shared" si="2"/>
        <v>22</v>
      </c>
      <c r="J29" s="52" t="e">
        <f t="shared" si="3"/>
        <v>#VALUE!</v>
      </c>
      <c r="K29" s="52">
        <f t="shared" si="4"/>
        <v>32</v>
      </c>
      <c r="L29" s="52" t="str">
        <f>IFERROR(VLOOKUP(MID(G29,J29,K29-J29),[5]skilldef!$C:$D,2,FALSE),"-") &amp; " / " &amp; IFERROR(VLOOKUP(MID(G29,H29,I29-H29),[5]skilldef!$A:$B,2,FALSE),"-")</f>
        <v>- / -</v>
      </c>
      <c r="M29" s="52" t="str">
        <f t="shared" si="5"/>
        <v>[effect:force_change_block, new_block:jammer, target:block_all, ignore01:block_positive, ignore02:block_negative, count:5, val:0, animation:change_block],[effect:rush, count:1, val:1]</v>
      </c>
      <c r="N29" s="37" t="str">
        <f t="shared" ref="N29" si="17">IFERROR(LEFT(M29,FIND("],",M29)+S39),M29)</f>
        <v>[effect:force_change_block, new_block:jammer, target:block_all, ignore01:block_positive, ignore02:block_negative, count:5, val:0, animation:change_block],[effect:rush, count:1, val:1]</v>
      </c>
      <c r="O29" s="52">
        <f t="shared" si="7"/>
        <v>9</v>
      </c>
      <c r="P29" s="52">
        <f t="shared" si="8"/>
        <v>27</v>
      </c>
      <c r="Q29" s="52">
        <f t="shared" si="9"/>
        <v>54</v>
      </c>
      <c r="R29" s="52">
        <f t="shared" si="10"/>
        <v>45</v>
      </c>
      <c r="S29" s="52" t="str">
        <f>IFERROR(VLOOKUP(MID(N29,Q29,R29-Q29),[5]skilldef!$C:$D,2,FALSE),"-") &amp; " / " &amp; IFERROR(VLOOKUP(MID(N29,O29,P29-O29),[5]skilldef!$A:$B,2,FALSE),"-")</f>
        <v>- / -</v>
      </c>
      <c r="T29" s="37" t="str">
        <f t="shared" si="11"/>
        <v>[effect:rush, count:1, val:1]</v>
      </c>
      <c r="U29" s="52">
        <f t="shared" si="12"/>
        <v>9</v>
      </c>
      <c r="V29" s="52">
        <f t="shared" si="13"/>
        <v>13</v>
      </c>
      <c r="W29" s="52" t="e">
        <f t="shared" si="14"/>
        <v>#VALUE!</v>
      </c>
      <c r="X29" s="52">
        <f t="shared" si="15"/>
        <v>22</v>
      </c>
      <c r="Y29" s="52" t="str">
        <f>IFERROR(VLOOKUP(MID(T29,W29,X29-W29),[5]skilldef!$C:$D,2,FALSE),"-") &amp; " / " &amp; IFERROR(VLOOKUP(MID(T29,U29,V29-U29),[5]skilldef!$A:$B,2,FALSE),"-")</f>
        <v>- / 連続攻撃</v>
      </c>
      <c r="Z29" s="40"/>
      <c r="AA29" s="41"/>
      <c r="AB29" s="40" t="s">
        <v>248</v>
      </c>
      <c r="AC29" s="40" t="s">
        <v>247</v>
      </c>
    </row>
    <row r="30" spans="1:29" ht="43" customHeight="1" x14ac:dyDescent="0.15">
      <c r="A30" s="36">
        <v>48503029</v>
      </c>
      <c r="B30" s="36" t="s">
        <v>357</v>
      </c>
      <c r="C30" s="39">
        <v>3</v>
      </c>
      <c r="D30" s="39" t="s">
        <v>143</v>
      </c>
      <c r="E30" s="40" t="s">
        <v>477</v>
      </c>
      <c r="F30" s="40" t="s">
        <v>440</v>
      </c>
      <c r="G30" s="52" t="str">
        <f t="shared" si="0"/>
        <v>[effect:enemy_message, val1:1.2, val2:2.3]</v>
      </c>
      <c r="H30" s="52">
        <f t="shared" si="1"/>
        <v>9</v>
      </c>
      <c r="I30" s="52">
        <f t="shared" si="2"/>
        <v>22</v>
      </c>
      <c r="J30" s="52" t="e">
        <f t="shared" si="3"/>
        <v>#VALUE!</v>
      </c>
      <c r="K30" s="52">
        <f t="shared" si="4"/>
        <v>32</v>
      </c>
      <c r="L30" s="52" t="str">
        <f>IFERROR(VLOOKUP(MID(G30,J30,K30-J30),[5]skilldef!$C:$D,2,FALSE),"-") &amp; " / " &amp; IFERROR(VLOOKUP(MID(G30,H30,I30-H30),[5]skilldef!$A:$B,2,FALSE),"-")</f>
        <v>- / -</v>
      </c>
      <c r="M30" s="52" t="str">
        <f t="shared" si="5"/>
        <v>[effect:force_change_block, new_block:jammer, target:block_all, ignore01:block_positive, ignore02:block_negative, count:2, val:0, animation:change_block],[effect:rush, count:1, val:1]</v>
      </c>
      <c r="N30" s="37" t="str">
        <f>IFERROR(LEFT(M30,FIND("],",M30)+S41),M30)</f>
        <v>[effect:force_change_block, new_block:jammer, target:block_all, ignore01:block_positive, ignore02:block_negative, count:2, val:0, animation:change_block],[effect:rush, count:1, val:1]</v>
      </c>
      <c r="O30" s="52">
        <f t="shared" si="7"/>
        <v>9</v>
      </c>
      <c r="P30" s="52">
        <f t="shared" si="8"/>
        <v>27</v>
      </c>
      <c r="Q30" s="52">
        <f t="shared" si="9"/>
        <v>54</v>
      </c>
      <c r="R30" s="52">
        <f t="shared" si="10"/>
        <v>45</v>
      </c>
      <c r="S30" s="52" t="str">
        <f>IFERROR(VLOOKUP(MID(N30,Q30,R30-Q30),[5]skilldef!$C:$D,2,FALSE),"-") &amp; " / " &amp; IFERROR(VLOOKUP(MID(N30,O30,P30-O30),[5]skilldef!$A:$B,2,FALSE),"-")</f>
        <v>- / -</v>
      </c>
      <c r="T30" s="37" t="str">
        <f t="shared" si="11"/>
        <v>[effect:rush, count:1, val:1]</v>
      </c>
      <c r="U30" s="52">
        <f t="shared" si="12"/>
        <v>9</v>
      </c>
      <c r="V30" s="52">
        <f t="shared" si="13"/>
        <v>13</v>
      </c>
      <c r="W30" s="52" t="e">
        <f t="shared" si="14"/>
        <v>#VALUE!</v>
      </c>
      <c r="X30" s="52">
        <f t="shared" si="15"/>
        <v>22</v>
      </c>
      <c r="Y30" s="52" t="str">
        <f>IFERROR(VLOOKUP(MID(T30,W30,X30-W30),[5]skilldef!$C:$D,2,FALSE),"-") &amp; " / " &amp; IFERROR(VLOOKUP(MID(T30,U30,V30-U30),[5]skilldef!$A:$B,2,FALSE),"-")</f>
        <v>- / 連続攻撃</v>
      </c>
      <c r="Z30" s="40"/>
      <c r="AA30" s="41"/>
      <c r="AB30" s="40" t="s">
        <v>249</v>
      </c>
      <c r="AC30" s="40" t="s">
        <v>242</v>
      </c>
    </row>
    <row r="31" spans="1:29" ht="43" customHeight="1" x14ac:dyDescent="0.15">
      <c r="A31" s="36">
        <v>48503030</v>
      </c>
      <c r="B31" s="36" t="s">
        <v>358</v>
      </c>
      <c r="C31" s="39">
        <v>3</v>
      </c>
      <c r="D31" s="39" t="s">
        <v>143</v>
      </c>
      <c r="E31" s="40" t="s">
        <v>469</v>
      </c>
      <c r="F31" s="40" t="s">
        <v>441</v>
      </c>
      <c r="G31" s="52" t="str">
        <f t="shared" si="0"/>
        <v>[effect:enemy_message, val1:1.3, val2:2.5]</v>
      </c>
      <c r="H31" s="52">
        <f t="shared" si="1"/>
        <v>9</v>
      </c>
      <c r="I31" s="52">
        <f t="shared" si="2"/>
        <v>22</v>
      </c>
      <c r="J31" s="52" t="e">
        <f t="shared" si="3"/>
        <v>#VALUE!</v>
      </c>
      <c r="K31" s="52">
        <f t="shared" si="4"/>
        <v>32</v>
      </c>
      <c r="L31" s="52" t="str">
        <f>IFERROR(VLOOKUP(MID(G31,J31,K31-J31),[5]skilldef!$C:$D,2,FALSE),"-") &amp; " / " &amp; IFERROR(VLOOKUP(MID(G31,H31,I31-H31),[5]skilldef!$A:$B,2,FALSE),"-")</f>
        <v>- / -</v>
      </c>
      <c r="M31" s="52" t="str">
        <f t="shared" si="5"/>
        <v>[effect:force_change_block, new_block:jammer, target:block_all, ignore01:block_positive, ignore02:block_negative, count:3, val:0, animation:change_block],[effect:rush, count:2, val:0.6]</v>
      </c>
      <c r="N31" s="37" t="str">
        <f>IFERROR(LEFT(M31,FIND("],",M31)+#REF!),M31)</f>
        <v>[effect:force_change_block, new_block:jammer, target:block_all, ignore01:block_positive, ignore02:block_negative, count:3, val:0, animation:change_block],[effect:rush, count:2, val:0.6]</v>
      </c>
      <c r="O31" s="52">
        <f t="shared" si="7"/>
        <v>9</v>
      </c>
      <c r="P31" s="52">
        <f t="shared" si="8"/>
        <v>27</v>
      </c>
      <c r="Q31" s="52">
        <f t="shared" si="9"/>
        <v>54</v>
      </c>
      <c r="R31" s="52">
        <f t="shared" si="10"/>
        <v>45</v>
      </c>
      <c r="S31" s="52" t="str">
        <f>IFERROR(VLOOKUP(MID(N31,Q31,R31-Q31),[5]skilldef!$C:$D,2,FALSE),"-") &amp; " / " &amp; IFERROR(VLOOKUP(MID(N31,O31,P31-O31),[5]skilldef!$A:$B,2,FALSE),"-")</f>
        <v>- / -</v>
      </c>
      <c r="T31" s="37" t="str">
        <f t="shared" si="11"/>
        <v>[effect:rush, count:2, val:0.6]</v>
      </c>
      <c r="U31" s="52">
        <f t="shared" si="12"/>
        <v>9</v>
      </c>
      <c r="V31" s="52">
        <f t="shared" si="13"/>
        <v>13</v>
      </c>
      <c r="W31" s="52" t="e">
        <f t="shared" si="14"/>
        <v>#VALUE!</v>
      </c>
      <c r="X31" s="52">
        <f t="shared" si="15"/>
        <v>22</v>
      </c>
      <c r="Y31" s="52" t="str">
        <f>IFERROR(VLOOKUP(MID(T31,W31,X31-W31),[5]skilldef!$C:$D,2,FALSE),"-") &amp; " / " &amp; IFERROR(VLOOKUP(MID(T31,U31,V31-U31),[5]skilldef!$A:$B,2,FALSE),"-")</f>
        <v>- / 連続攻撃</v>
      </c>
      <c r="Z31" s="40"/>
      <c r="AA31" s="41"/>
      <c r="AB31" s="40" t="s">
        <v>249</v>
      </c>
      <c r="AC31" s="40" t="s">
        <v>244</v>
      </c>
    </row>
    <row r="32" spans="1:29" ht="43" customHeight="1" x14ac:dyDescent="0.15">
      <c r="A32" s="36">
        <v>48503031</v>
      </c>
      <c r="B32" s="36" t="s">
        <v>380</v>
      </c>
      <c r="C32" s="39">
        <v>3</v>
      </c>
      <c r="D32" s="39" t="s">
        <v>143</v>
      </c>
      <c r="E32" s="40" t="s">
        <v>407</v>
      </c>
      <c r="F32" s="40" t="s">
        <v>438</v>
      </c>
      <c r="G32" s="52" t="str">
        <f t="shared" si="0"/>
        <v>[effect:enemy_message, val1:1.2, val2:1.2]</v>
      </c>
      <c r="H32" s="52">
        <f t="shared" si="1"/>
        <v>9</v>
      </c>
      <c r="I32" s="52">
        <f t="shared" si="2"/>
        <v>22</v>
      </c>
      <c r="J32" s="52" t="e">
        <f t="shared" si="3"/>
        <v>#VALUE!</v>
      </c>
      <c r="K32" s="52">
        <f t="shared" si="4"/>
        <v>32</v>
      </c>
      <c r="L32" s="52" t="str">
        <f>IFERROR(VLOOKUP(MID(G32,J32,K32-J32),[5]skilldef!$C:$D,2,FALSE),"-") &amp; " / " &amp; IFERROR(VLOOKUP(MID(G32,H32,I32-H32),[5]skilldef!$A:$B,2,FALSE),"-")</f>
        <v>- / -</v>
      </c>
      <c r="M32" s="52" t="str">
        <f t="shared" si="5"/>
        <v>[effect:rush, count:4, val:0.35]</v>
      </c>
      <c r="N32" s="37" t="str">
        <f>IFERROR(LEFT(M32,FIND("],",M32)+#REF!),M32)</f>
        <v>[effect:rush, count:4, val:0.35]</v>
      </c>
      <c r="O32" s="52">
        <f t="shared" si="7"/>
        <v>9</v>
      </c>
      <c r="P32" s="52">
        <f t="shared" si="8"/>
        <v>13</v>
      </c>
      <c r="Q32" s="52" t="e">
        <f t="shared" si="9"/>
        <v>#VALUE!</v>
      </c>
      <c r="R32" s="52">
        <f t="shared" si="10"/>
        <v>22</v>
      </c>
      <c r="S32" s="52" t="str">
        <f>IFERROR(VLOOKUP(MID(N32,Q32,R32-Q32),[5]skilldef!$C:$D,2,FALSE),"-") &amp; " / " &amp; IFERROR(VLOOKUP(MID(N32,O32,P32-O32),[5]skilldef!$A:$B,2,FALSE),"-")</f>
        <v>- / 連続攻撃</v>
      </c>
      <c r="T32" s="37" t="str">
        <f t="shared" si="11"/>
        <v>none</v>
      </c>
      <c r="U32" s="52" t="e">
        <f t="shared" si="12"/>
        <v>#VALUE!</v>
      </c>
      <c r="V32" s="52">
        <f t="shared" si="13"/>
        <v>4</v>
      </c>
      <c r="W32" s="52" t="e">
        <f t="shared" si="14"/>
        <v>#VALUE!</v>
      </c>
      <c r="X32" s="52" t="e">
        <f t="shared" si="15"/>
        <v>#VALUE!</v>
      </c>
      <c r="Y32" s="52" t="str">
        <f>IFERROR(VLOOKUP(MID(T32,W32,X32-W32),[5]skilldef!$C:$D,2,FALSE),"-") &amp; " / " &amp; IFERROR(VLOOKUP(MID(T32,U32,V32-U32),[5]skilldef!$A:$B,2,FALSE),"-")</f>
        <v>- / -</v>
      </c>
      <c r="Z32" s="40"/>
      <c r="AA32" s="41"/>
      <c r="AB32" s="40" t="s">
        <v>250</v>
      </c>
      <c r="AC32" s="40" t="s">
        <v>245</v>
      </c>
    </row>
    <row r="33" spans="1:29" ht="43" customHeight="1" x14ac:dyDescent="0.15">
      <c r="A33" s="36">
        <v>48503032</v>
      </c>
      <c r="B33" s="36" t="s">
        <v>339</v>
      </c>
      <c r="C33" s="39">
        <v>3</v>
      </c>
      <c r="D33" s="39" t="s">
        <v>143</v>
      </c>
      <c r="E33" s="40" t="s">
        <v>470</v>
      </c>
      <c r="F33" s="40" t="s">
        <v>442</v>
      </c>
      <c r="G33" s="52" t="str">
        <f t="shared" si="0"/>
        <v>[effect:enemy_message, val1:1.2, val2:1.3]</v>
      </c>
      <c r="H33" s="52">
        <f t="shared" si="1"/>
        <v>9</v>
      </c>
      <c r="I33" s="52">
        <f t="shared" si="2"/>
        <v>22</v>
      </c>
      <c r="J33" s="52" t="e">
        <f t="shared" si="3"/>
        <v>#VALUE!</v>
      </c>
      <c r="K33" s="52">
        <f t="shared" si="4"/>
        <v>32</v>
      </c>
      <c r="L33" s="52" t="str">
        <f>IFERROR(VLOOKUP(MID(G33,J33,K33-J33),[5]skilldef!$C:$D,2,FALSE),"-") &amp; " / " &amp; IFERROR(VLOOKUP(MID(G33,H33,I33-H33),[5]skilldef!$A:$B,2,FALSE),"-")</f>
        <v>- / -</v>
      </c>
      <c r="M33" s="52" t="str">
        <f t="shared" si="5"/>
        <v>[effect:break_heal_ratio, target:myself, val:0.01, lowest_val:0.1, count:-1, block01:jammer, animation:enemy_heal]</v>
      </c>
      <c r="N33" s="37" t="str">
        <f>IFERROR(LEFT(M33,FIND("],",M33)+S42),M33)</f>
        <v>[effect:break_heal_ratio, target:myself, val:0.01, lowest_val:0.1, count:-1, block01:jammer, animation:enemy_heal]</v>
      </c>
      <c r="O33" s="52">
        <f t="shared" si="7"/>
        <v>9</v>
      </c>
      <c r="P33" s="52">
        <f t="shared" si="8"/>
        <v>25</v>
      </c>
      <c r="Q33" s="52">
        <f t="shared" si="9"/>
        <v>34</v>
      </c>
      <c r="R33" s="52">
        <f t="shared" si="10"/>
        <v>40</v>
      </c>
      <c r="S33" s="52" t="str">
        <f>IFERROR(VLOOKUP(MID(N33,Q33,R33-Q33),[5]skilldef!$C:$D,2,FALSE),"-") &amp; " / " &amp; IFERROR(VLOOKUP(MID(N33,O33,P33-O33),[5]skilldef!$A:$B,2,FALSE),"-")</f>
        <v>自分自身に / -</v>
      </c>
      <c r="T33" s="37" t="str">
        <f t="shared" si="11"/>
        <v>none</v>
      </c>
      <c r="U33" s="52" t="e">
        <f t="shared" si="12"/>
        <v>#VALUE!</v>
      </c>
      <c r="V33" s="52">
        <f t="shared" si="13"/>
        <v>4</v>
      </c>
      <c r="W33" s="52" t="e">
        <f t="shared" si="14"/>
        <v>#VALUE!</v>
      </c>
      <c r="X33" s="52" t="e">
        <f t="shared" si="15"/>
        <v>#VALUE!</v>
      </c>
      <c r="Y33" s="52" t="str">
        <f>IFERROR(VLOOKUP(MID(T33,W33,X33-W33),[5]skilldef!$C:$D,2,FALSE),"-") &amp; " / " &amp; IFERROR(VLOOKUP(MID(T33,U33,V33-U33),[5]skilldef!$A:$B,2,FALSE),"-")</f>
        <v>- / -</v>
      </c>
      <c r="Z33" s="40"/>
      <c r="AA33" s="41"/>
      <c r="AB33" s="40" t="s">
        <v>249</v>
      </c>
      <c r="AC33" s="40" t="s">
        <v>251</v>
      </c>
    </row>
    <row r="34" spans="1:29" ht="43" customHeight="1" x14ac:dyDescent="0.15">
      <c r="A34" s="36">
        <v>48503033</v>
      </c>
      <c r="B34" s="36" t="s">
        <v>381</v>
      </c>
      <c r="C34" s="39">
        <v>3</v>
      </c>
      <c r="D34" s="39" t="s">
        <v>143</v>
      </c>
      <c r="E34" s="40" t="s">
        <v>408</v>
      </c>
      <c r="F34" s="40" t="s">
        <v>443</v>
      </c>
      <c r="G34" s="52" t="str">
        <f t="shared" si="0"/>
        <v>[effect:enemy_message, val1:2.0, val2:5.0]</v>
      </c>
      <c r="H34" s="52">
        <f t="shared" si="1"/>
        <v>9</v>
      </c>
      <c r="I34" s="52">
        <f t="shared" si="2"/>
        <v>22</v>
      </c>
      <c r="J34" s="52" t="e">
        <f t="shared" si="3"/>
        <v>#VALUE!</v>
      </c>
      <c r="K34" s="52">
        <f t="shared" si="4"/>
        <v>32</v>
      </c>
      <c r="L34" s="52" t="str">
        <f>IFERROR(VLOOKUP(MID(G34,J34,K34-J34),[5]skilldef!$C:$D,2,FALSE),"-") &amp; " / " &amp; IFERROR(VLOOKUP(MID(G34,H34,I34-H34),[5]skilldef!$A:$B,2,FALSE),"-")</f>
        <v>- / -</v>
      </c>
      <c r="M34" s="52" t="str">
        <f t="shared" si="5"/>
        <v>[effect:force_change_block, new_block:jammer, target:block_all, ignore01:block_positive, ignore02:block_negative, count:5, val:0, animation:change_block],[effect:attack_break, target:unit_all, turn:2, val:0.3, calc:mul, animation:attack_break01],[effect:fix_speed, target:myself, turn:2],[effect:freq_turn, target:myself, turn:2, val:1, animation:enemy_freq_turn]</v>
      </c>
      <c r="N34" s="37" t="str">
        <f>IFERROR(LEFT(M34,FIND("],",M34)+S43),M34)</f>
        <v>[effect:force_change_block, new_block:jammer, target:block_all, ignore01:block_positive, ignore02:block_negative, count:5, val:0, animation:change_block],[effect:attack_break, target:unit_all, turn:2, val:0.3, calc:mul, animation:attack_break01],[effect:fix_speed, target:myself, turn:2],[effect:freq_turn, target:myself, turn:2, val:1, animation:enemy_freq_turn]</v>
      </c>
      <c r="O34" s="52">
        <f t="shared" si="7"/>
        <v>9</v>
      </c>
      <c r="P34" s="52">
        <f t="shared" si="8"/>
        <v>27</v>
      </c>
      <c r="Q34" s="52">
        <f t="shared" si="9"/>
        <v>54</v>
      </c>
      <c r="R34" s="52">
        <f t="shared" si="10"/>
        <v>45</v>
      </c>
      <c r="S34" s="52" t="str">
        <f>IFERROR(VLOOKUP(MID(N34,Q34,R34-Q34),[5]skilldef!$C:$D,2,FALSE),"-") &amp; " / " &amp; IFERROR(VLOOKUP(MID(N34,O34,P34-O34),[5]skilldef!$A:$B,2,FALSE),"-")</f>
        <v>- / -</v>
      </c>
      <c r="T34" s="37" t="str">
        <f t="shared" si="11"/>
        <v>[effect:attack_break, target:unit_all, turn:2, val:0.3, calc:mul, animation:attack_break01],[effect:fix_speed, target:myself, turn:2],[effect:freq_turn, target:myself, turn:2, val:1, animation:enemy_freq_turn]</v>
      </c>
      <c r="U34" s="52">
        <f t="shared" si="12"/>
        <v>9</v>
      </c>
      <c r="V34" s="52">
        <f t="shared" si="13"/>
        <v>21</v>
      </c>
      <c r="W34" s="52">
        <f t="shared" si="14"/>
        <v>30</v>
      </c>
      <c r="X34" s="52">
        <f t="shared" si="15"/>
        <v>38</v>
      </c>
      <c r="Y34" s="52" t="str">
        <f>IFERROR(VLOOKUP(MID(T34,W34,X34-W34),[5]skilldef!$C:$D,2,FALSE),"-") &amp; " / " &amp; IFERROR(VLOOKUP(MID(T34,U34,V34-U34),[5]skilldef!$A:$B,2,FALSE),"-")</f>
        <v>味方全体に / -</v>
      </c>
      <c r="Z34" s="40"/>
      <c r="AA34" s="41"/>
      <c r="AB34" s="40" t="s">
        <v>252</v>
      </c>
      <c r="AC34" s="40" t="s">
        <v>253</v>
      </c>
    </row>
    <row r="35" spans="1:29" ht="43" customHeight="1" x14ac:dyDescent="0.15">
      <c r="A35" s="36">
        <v>48503034</v>
      </c>
      <c r="B35" s="36" t="s">
        <v>382</v>
      </c>
      <c r="C35" s="39">
        <v>3</v>
      </c>
      <c r="D35" s="39" t="s">
        <v>143</v>
      </c>
      <c r="E35" s="40" t="s">
        <v>409</v>
      </c>
      <c r="F35" s="40" t="s">
        <v>443</v>
      </c>
      <c r="G35" s="52" t="str">
        <f t="shared" si="0"/>
        <v>[effect:enemy_message, val1:1.9, val2:5.0]</v>
      </c>
      <c r="H35" s="52">
        <f t="shared" si="1"/>
        <v>9</v>
      </c>
      <c r="I35" s="52">
        <f t="shared" si="2"/>
        <v>22</v>
      </c>
      <c r="J35" s="52" t="e">
        <f t="shared" si="3"/>
        <v>#VALUE!</v>
      </c>
      <c r="K35" s="52">
        <f t="shared" si="4"/>
        <v>32</v>
      </c>
      <c r="L35" s="52" t="str">
        <f>IFERROR(VLOOKUP(MID(G35,J35,K35-J35),[5]skilldef!$C:$D,2,FALSE),"-") &amp; " / " &amp; IFERROR(VLOOKUP(MID(G35,H35,I35-H35),[5]skilldef!$A:$B,2,FALSE),"-")</f>
        <v>- / -</v>
      </c>
      <c r="M35" s="52" t="str">
        <f t="shared" si="5"/>
        <v>[effect:force_change_block, new_block:jammer, target:block_all, ignore01:block_positive, ignore02:block_negative, count:5, val:0, animation:change_block],[effect:attack_break, target:unit_all, turn:2, val:0.3, calc:mul, animation:attack_break01],[effect:fix_speed, target:myself, turn:2],[effect:freq_turn, target:myself, turn:2, val:1, animation:enemy_freq_turn]</v>
      </c>
      <c r="N35" s="37" t="str">
        <f>IFERROR(LEFT(M35,FIND("],",M35)+S44),M35)</f>
        <v>[effect:force_change_block, new_block:jammer, target:block_all, ignore01:block_positive, ignore02:block_negative, count:5, val:0, animation:change_block],[effect:attack_break, target:unit_all, turn:2, val:0.3, calc:mul, animation:attack_break01],[effect:fix_speed, target:myself, turn:2],[effect:freq_turn, target:myself, turn:2, val:1, animation:enemy_freq_turn]</v>
      </c>
      <c r="O35" s="52">
        <f t="shared" si="7"/>
        <v>9</v>
      </c>
      <c r="P35" s="52">
        <f t="shared" si="8"/>
        <v>27</v>
      </c>
      <c r="Q35" s="52">
        <f t="shared" si="9"/>
        <v>54</v>
      </c>
      <c r="R35" s="52">
        <f t="shared" si="10"/>
        <v>45</v>
      </c>
      <c r="S35" s="52" t="str">
        <f>IFERROR(VLOOKUP(MID(N35,Q35,R35-Q35),[5]skilldef!$C:$D,2,FALSE),"-") &amp; " / " &amp; IFERROR(VLOOKUP(MID(N35,O35,P35-O35),[5]skilldef!$A:$B,2,FALSE),"-")</f>
        <v>- / -</v>
      </c>
      <c r="T35" s="37" t="str">
        <f t="shared" si="11"/>
        <v>[effect:attack_break, target:unit_all, turn:2, val:0.3, calc:mul, animation:attack_break01],[effect:fix_speed, target:myself, turn:2],[effect:freq_turn, target:myself, turn:2, val:1, animation:enemy_freq_turn]</v>
      </c>
      <c r="U35" s="52">
        <f t="shared" si="12"/>
        <v>9</v>
      </c>
      <c r="V35" s="52">
        <f t="shared" si="13"/>
        <v>21</v>
      </c>
      <c r="W35" s="52">
        <f t="shared" si="14"/>
        <v>30</v>
      </c>
      <c r="X35" s="52">
        <f t="shared" si="15"/>
        <v>38</v>
      </c>
      <c r="Y35" s="52" t="str">
        <f>IFERROR(VLOOKUP(MID(T35,W35,X35-W35),[5]skilldef!$C:$D,2,FALSE),"-") &amp; " / " &amp; IFERROR(VLOOKUP(MID(T35,U35,V35-U35),[5]skilldef!$A:$B,2,FALSE),"-")</f>
        <v>味方全体に / -</v>
      </c>
      <c r="Z35" s="40"/>
      <c r="AA35" s="41"/>
      <c r="AB35" s="40" t="s">
        <v>254</v>
      </c>
      <c r="AC35" s="40" t="s">
        <v>253</v>
      </c>
    </row>
    <row r="36" spans="1:29" ht="43" customHeight="1" x14ac:dyDescent="0.15">
      <c r="A36" s="36">
        <v>48503035</v>
      </c>
      <c r="B36" s="36" t="s">
        <v>382</v>
      </c>
      <c r="C36" s="39">
        <v>3</v>
      </c>
      <c r="D36" s="39" t="s">
        <v>143</v>
      </c>
      <c r="E36" s="40" t="s">
        <v>409</v>
      </c>
      <c r="F36" s="40" t="s">
        <v>443</v>
      </c>
      <c r="G36" s="52" t="str">
        <f t="shared" si="0"/>
        <v>[effect:enemy_message, val1:1.9, val2:5.0]</v>
      </c>
      <c r="H36" s="52">
        <f t="shared" si="1"/>
        <v>9</v>
      </c>
      <c r="I36" s="52">
        <f t="shared" si="2"/>
        <v>22</v>
      </c>
      <c r="J36" s="52" t="e">
        <f t="shared" si="3"/>
        <v>#VALUE!</v>
      </c>
      <c r="K36" s="52">
        <f t="shared" si="4"/>
        <v>32</v>
      </c>
      <c r="L36" s="52" t="str">
        <f>IFERROR(VLOOKUP(MID(G36,J36,K36-J36),[5]skilldef!$C:$D,2,FALSE),"-") &amp; " / " &amp; IFERROR(VLOOKUP(MID(G36,H36,I36-H36),[5]skilldef!$A:$B,2,FALSE),"-")</f>
        <v>- / -</v>
      </c>
      <c r="M36" s="52" t="str">
        <f t="shared" si="5"/>
        <v>[effect:force_change_block, new_block:jammer, target:block_all, ignore01:block_positive, ignore02:block_negative, count:5, val:0, animation:change_block],[effect:attack_break, target:unit_all, turn:2, val:0.3, calc:mul, animation:attack_break01],[effect:fix_speed, target:myself, turn:2],[effect:freq_turn, target:myself, turn:2, val:1, animation:enemy_freq_turn]</v>
      </c>
      <c r="N36" s="37" t="str">
        <f>IFERROR(LEFT(M36,FIND("],",M36)+S45),M36)</f>
        <v>[effect:force_change_block, new_block:jammer, target:block_all, ignore01:block_positive, ignore02:block_negative, count:5, val:0, animation:change_block],[effect:attack_break, target:unit_all, turn:2, val:0.3, calc:mul, animation:attack_break01],[effect:fix_speed, target:myself, turn:2],[effect:freq_turn, target:myself, turn:2, val:1, animation:enemy_freq_turn]</v>
      </c>
      <c r="O36" s="52">
        <f t="shared" si="7"/>
        <v>9</v>
      </c>
      <c r="P36" s="52">
        <f t="shared" si="8"/>
        <v>27</v>
      </c>
      <c r="Q36" s="52">
        <f t="shared" si="9"/>
        <v>54</v>
      </c>
      <c r="R36" s="52">
        <f t="shared" si="10"/>
        <v>45</v>
      </c>
      <c r="S36" s="52" t="str">
        <f>IFERROR(VLOOKUP(MID(N36,Q36,R36-Q36),[5]skilldef!$C:$D,2,FALSE),"-") &amp; " / " &amp; IFERROR(VLOOKUP(MID(N36,O36,P36-O36),[5]skilldef!$A:$B,2,FALSE),"-")</f>
        <v>- / -</v>
      </c>
      <c r="T36" s="37" t="str">
        <f t="shared" si="11"/>
        <v>[effect:attack_break, target:unit_all, turn:2, val:0.3, calc:mul, animation:attack_break01],[effect:fix_speed, target:myself, turn:2],[effect:freq_turn, target:myself, turn:2, val:1, animation:enemy_freq_turn]</v>
      </c>
      <c r="U36" s="52">
        <f t="shared" si="12"/>
        <v>9</v>
      </c>
      <c r="V36" s="52">
        <f t="shared" si="13"/>
        <v>21</v>
      </c>
      <c r="W36" s="52">
        <f t="shared" si="14"/>
        <v>30</v>
      </c>
      <c r="X36" s="52">
        <f t="shared" si="15"/>
        <v>38</v>
      </c>
      <c r="Y36" s="52" t="str">
        <f>IFERROR(VLOOKUP(MID(T36,W36,X36-W36),[5]skilldef!$C:$D,2,FALSE),"-") &amp; " / " &amp; IFERROR(VLOOKUP(MID(T36,U36,V36-U36),[5]skilldef!$A:$B,2,FALSE),"-")</f>
        <v>味方全体に / -</v>
      </c>
      <c r="Z36" s="40"/>
      <c r="AA36" s="41"/>
      <c r="AB36" s="40" t="s">
        <v>255</v>
      </c>
      <c r="AC36" s="40" t="s">
        <v>253</v>
      </c>
    </row>
    <row r="37" spans="1:29" ht="43" customHeight="1" x14ac:dyDescent="0.15">
      <c r="A37" s="36">
        <v>48503036</v>
      </c>
      <c r="B37" s="36" t="s">
        <v>360</v>
      </c>
      <c r="C37" s="39">
        <v>3</v>
      </c>
      <c r="D37" s="39" t="s">
        <v>143</v>
      </c>
      <c r="E37" s="40" t="s">
        <v>471</v>
      </c>
      <c r="F37" s="40" t="s">
        <v>444</v>
      </c>
      <c r="G37" s="52" t="str">
        <f t="shared" si="0"/>
        <v>[effect:enemy_message, val1:1.2, val2:2.3]</v>
      </c>
      <c r="H37" s="52">
        <f t="shared" si="1"/>
        <v>9</v>
      </c>
      <c r="I37" s="52">
        <f t="shared" si="2"/>
        <v>22</v>
      </c>
      <c r="J37" s="52" t="e">
        <f t="shared" si="3"/>
        <v>#VALUE!</v>
      </c>
      <c r="K37" s="52">
        <f t="shared" si="4"/>
        <v>32</v>
      </c>
      <c r="L37" s="52" t="str">
        <f>IFERROR(VLOOKUP(MID(G37,J37,K37-J37),[5]skilldef!$C:$D,2,FALSE),"-") &amp; " / " &amp; IFERROR(VLOOKUP(MID(G37,H37,I37-H37),[5]skilldef!$A:$B,2,FALSE),"-")</f>
        <v>- / -</v>
      </c>
      <c r="M37" s="52" t="str">
        <f t="shared" si="5"/>
        <v>[effect:force_change_block, new_block:jammer, target:block_all, ignore01:block_positive, ignore02:block_negative, count:3, val:0, animation:change_block],[effect:spread, val:0.25]</v>
      </c>
      <c r="N37" s="37" t="str">
        <f>IFERROR(LEFT(M37,FIND("],",M37)+S45),M37)</f>
        <v>[effect:force_change_block, new_block:jammer, target:block_all, ignore01:block_positive, ignore02:block_negative, count:3, val:0, animation:change_block],[effect:spread, val:0.25]</v>
      </c>
      <c r="O37" s="52">
        <f t="shared" si="7"/>
        <v>9</v>
      </c>
      <c r="P37" s="52">
        <f t="shared" si="8"/>
        <v>27</v>
      </c>
      <c r="Q37" s="52">
        <f t="shared" si="9"/>
        <v>54</v>
      </c>
      <c r="R37" s="52">
        <f t="shared" si="10"/>
        <v>45</v>
      </c>
      <c r="S37" s="52" t="str">
        <f>IFERROR(VLOOKUP(MID(N37,Q37,R37-Q37),[5]skilldef!$C:$D,2,FALSE),"-") &amp; " / " &amp; IFERROR(VLOOKUP(MID(N37,O37,P37-O37),[5]skilldef!$A:$B,2,FALSE),"-")</f>
        <v>- / -</v>
      </c>
      <c r="T37" s="37" t="str">
        <f t="shared" si="11"/>
        <v>[effect:spread, val:0.25]</v>
      </c>
      <c r="U37" s="52">
        <f t="shared" si="12"/>
        <v>9</v>
      </c>
      <c r="V37" s="52">
        <f t="shared" si="13"/>
        <v>15</v>
      </c>
      <c r="W37" s="52" t="e">
        <f t="shared" si="14"/>
        <v>#VALUE!</v>
      </c>
      <c r="X37" s="52" t="e">
        <f t="shared" si="15"/>
        <v>#VALUE!</v>
      </c>
      <c r="Y37" s="52" t="str">
        <f>IFERROR(VLOOKUP(MID(T37,W37,X37-W37),[5]skilldef!$C:$D,2,FALSE),"-") &amp; " / " &amp; IFERROR(VLOOKUP(MID(T37,U37,V37-U37),[5]skilldef!$A:$B,2,FALSE),"-")</f>
        <v>- / 全体攻撃</v>
      </c>
      <c r="Z37" s="40"/>
      <c r="AA37" s="41"/>
      <c r="AB37" s="40" t="s">
        <v>257</v>
      </c>
      <c r="AC37" s="40" t="s">
        <v>256</v>
      </c>
    </row>
    <row r="38" spans="1:29" ht="43" customHeight="1" x14ac:dyDescent="0.15">
      <c r="A38" s="36">
        <v>48503037</v>
      </c>
      <c r="B38" s="36" t="s">
        <v>383</v>
      </c>
      <c r="C38" s="39">
        <v>3</v>
      </c>
      <c r="D38" s="39" t="s">
        <v>143</v>
      </c>
      <c r="E38" s="40" t="s">
        <v>347</v>
      </c>
      <c r="F38" s="40" t="s">
        <v>346</v>
      </c>
      <c r="G38" s="52" t="str">
        <f t="shared" si="0"/>
        <v>[effect:enemy_message, val1:1.2, val2:1.7]</v>
      </c>
      <c r="H38" s="52">
        <f t="shared" si="1"/>
        <v>9</v>
      </c>
      <c r="I38" s="52">
        <f t="shared" si="2"/>
        <v>22</v>
      </c>
      <c r="J38" s="52" t="e">
        <f t="shared" si="3"/>
        <v>#VALUE!</v>
      </c>
      <c r="K38" s="52">
        <f t="shared" si="4"/>
        <v>32</v>
      </c>
      <c r="L38" s="52" t="str">
        <f>IFERROR(VLOOKUP(MID(G38,J38,K38-J38),[5]skilldef!$C:$D,2,FALSE),"-") &amp; " / " &amp; IFERROR(VLOOKUP(MID(G38,H38,I38-H38),[5]skilldef!$A:$B,2,FALSE),"-")</f>
        <v>- / -</v>
      </c>
      <c r="M38" s="52" t="str">
        <f t="shared" si="5"/>
        <v>[effect:panel_freeze, target:normal, count:10]</v>
      </c>
      <c r="N38" s="37" t="str">
        <f>IFERROR(LEFT(M38,FIND("],",M38)+S45),M38)</f>
        <v>[effect:panel_freeze, target:normal, count:10]</v>
      </c>
      <c r="O38" s="52">
        <f t="shared" si="7"/>
        <v>9</v>
      </c>
      <c r="P38" s="52">
        <f t="shared" si="8"/>
        <v>21</v>
      </c>
      <c r="Q38" s="52">
        <f t="shared" si="9"/>
        <v>30</v>
      </c>
      <c r="R38" s="52">
        <f t="shared" si="10"/>
        <v>36</v>
      </c>
      <c r="S38" s="52" t="str">
        <f>IFERROR(VLOOKUP(MID(N38,Q38,R38-Q38),[5]skilldef!$C:$D,2,FALSE),"-") &amp; " / " &amp; IFERROR(VLOOKUP(MID(N38,O38,P38-O38),[5]skilldef!$A:$B,2,FALSE),"-")</f>
        <v>- / -</v>
      </c>
      <c r="T38" s="37" t="str">
        <f t="shared" si="11"/>
        <v>none</v>
      </c>
      <c r="U38" s="52" t="e">
        <f t="shared" si="12"/>
        <v>#VALUE!</v>
      </c>
      <c r="V38" s="52">
        <f t="shared" si="13"/>
        <v>4</v>
      </c>
      <c r="W38" s="52" t="e">
        <f t="shared" si="14"/>
        <v>#VALUE!</v>
      </c>
      <c r="X38" s="52" t="e">
        <f t="shared" si="15"/>
        <v>#VALUE!</v>
      </c>
      <c r="Y38" s="52" t="str">
        <f>IFERROR(VLOOKUP(MID(T38,W38,X38-W38),[5]skilldef!$C:$D,2,FALSE),"-") &amp; " / " &amp; IFERROR(VLOOKUP(MID(T38,U38,V38-U38),[5]skilldef!$A:$B,2,FALSE),"-")</f>
        <v>- / -</v>
      </c>
      <c r="Z38" s="40"/>
      <c r="AA38" s="41"/>
      <c r="AB38" s="40" t="s">
        <v>257</v>
      </c>
      <c r="AC38" s="40" t="s">
        <v>258</v>
      </c>
    </row>
    <row r="39" spans="1:29" ht="43" customHeight="1" x14ac:dyDescent="0.15">
      <c r="A39" s="36">
        <v>48503038</v>
      </c>
      <c r="B39" s="36" t="s">
        <v>384</v>
      </c>
      <c r="C39" s="39">
        <v>3</v>
      </c>
      <c r="D39" s="39" t="s">
        <v>143</v>
      </c>
      <c r="E39" s="40" t="s">
        <v>472</v>
      </c>
      <c r="F39" s="40" t="s">
        <v>438</v>
      </c>
      <c r="G39" s="52" t="str">
        <f t="shared" si="0"/>
        <v>[effect:enemy_message, val1:1.7, val2:1.2]</v>
      </c>
      <c r="H39" s="52">
        <f t="shared" si="1"/>
        <v>9</v>
      </c>
      <c r="I39" s="52">
        <f t="shared" si="2"/>
        <v>22</v>
      </c>
      <c r="J39" s="52" t="e">
        <f t="shared" si="3"/>
        <v>#VALUE!</v>
      </c>
      <c r="K39" s="52">
        <f t="shared" si="4"/>
        <v>32</v>
      </c>
      <c r="L39" s="52" t="str">
        <f>IFERROR(VLOOKUP(MID(G39,J39,K39-J39),[5]skilldef!$C:$D,2,FALSE),"-") &amp; " / " &amp; IFERROR(VLOOKUP(MID(G39,H39,I39-H39),[5]skilldef!$A:$B,2,FALSE),"-")</f>
        <v>- / -</v>
      </c>
      <c r="M39" s="52" t="str">
        <f t="shared" si="5"/>
        <v>[effect:rush, count:4, val:0.4]</v>
      </c>
      <c r="N39" s="37" t="str">
        <f>IFERROR(LEFT(M39,FIND("],",M39)+S46),M39)</f>
        <v>[effect:rush, count:4, val:0.4]</v>
      </c>
      <c r="O39" s="52">
        <f t="shared" si="7"/>
        <v>9</v>
      </c>
      <c r="P39" s="52">
        <f t="shared" si="8"/>
        <v>13</v>
      </c>
      <c r="Q39" s="52" t="e">
        <f t="shared" si="9"/>
        <v>#VALUE!</v>
      </c>
      <c r="R39" s="52">
        <f t="shared" si="10"/>
        <v>22</v>
      </c>
      <c r="S39" s="52" t="str">
        <f>IFERROR(VLOOKUP(MID(N39,Q39,R39-Q39),[5]skilldef!$C:$D,2,FALSE),"-") &amp; " / " &amp; IFERROR(VLOOKUP(MID(N39,O39,P39-O39),[5]skilldef!$A:$B,2,FALSE),"-")</f>
        <v>- / 連続攻撃</v>
      </c>
      <c r="T39" s="37" t="str">
        <f t="shared" si="11"/>
        <v>none</v>
      </c>
      <c r="U39" s="52" t="e">
        <f t="shared" si="12"/>
        <v>#VALUE!</v>
      </c>
      <c r="V39" s="52">
        <f t="shared" si="13"/>
        <v>4</v>
      </c>
      <c r="W39" s="52" t="e">
        <f t="shared" si="14"/>
        <v>#VALUE!</v>
      </c>
      <c r="X39" s="52" t="e">
        <f t="shared" si="15"/>
        <v>#VALUE!</v>
      </c>
      <c r="Y39" s="52" t="str">
        <f>IFERROR(VLOOKUP(MID(T39,W39,X39-W39),[5]skilldef!$C:$D,2,FALSE),"-") &amp; " / " &amp; IFERROR(VLOOKUP(MID(T39,U39,V39-U39),[5]skilldef!$A:$B,2,FALSE),"-")</f>
        <v>- / -</v>
      </c>
      <c r="Z39" s="40"/>
      <c r="AA39" s="41"/>
      <c r="AB39" s="40" t="s">
        <v>257</v>
      </c>
      <c r="AC39" s="40" t="s">
        <v>245</v>
      </c>
    </row>
    <row r="40" spans="1:29" ht="43" customHeight="1" x14ac:dyDescent="0.15">
      <c r="A40" s="36">
        <v>48503039</v>
      </c>
      <c r="B40" s="36" t="s">
        <v>385</v>
      </c>
      <c r="C40" s="39">
        <v>3</v>
      </c>
      <c r="D40" s="39" t="s">
        <v>143</v>
      </c>
      <c r="E40" s="40" t="s">
        <v>479</v>
      </c>
      <c r="F40" s="40" t="s">
        <v>445</v>
      </c>
      <c r="G40" s="52" t="str">
        <f t="shared" si="0"/>
        <v>[effect:enemy_message, val1:1.2, val2:2.0]</v>
      </c>
      <c r="H40" s="52">
        <f t="shared" si="1"/>
        <v>9</v>
      </c>
      <c r="I40" s="52">
        <f t="shared" si="2"/>
        <v>22</v>
      </c>
      <c r="J40" s="52" t="e">
        <f t="shared" si="3"/>
        <v>#VALUE!</v>
      </c>
      <c r="K40" s="52">
        <f t="shared" si="4"/>
        <v>32</v>
      </c>
      <c r="L40" s="52" t="str">
        <f>IFERROR(VLOOKUP(MID(G40,J40,K40-J40),[5]skilldef!$C:$D,2,FALSE),"-") &amp; " / " &amp; IFERROR(VLOOKUP(MID(G40,H40,I40-H40),[5]skilldef!$A:$B,2,FALSE),"-")</f>
        <v>- / -</v>
      </c>
      <c r="M40" s="52" t="str">
        <f t="shared" si="5"/>
        <v>[effect:degrade_unit, target:unit_all, turn:5, status:heal, val:0.9, calc:mul, animation:degrade_unit_all_heal]</v>
      </c>
      <c r="N40" s="37" t="str">
        <f>IFERROR(LEFT(M40,FIND("],",M40)+S47),M40)</f>
        <v>[effect:degrade_unit, target:unit_all, turn:5, status:heal, val:0.9, calc:mul, animation:degrade_unit_all_heal]</v>
      </c>
      <c r="O40" s="52">
        <f t="shared" si="7"/>
        <v>9</v>
      </c>
      <c r="P40" s="52">
        <f t="shared" si="8"/>
        <v>21</v>
      </c>
      <c r="Q40" s="52">
        <f t="shared" si="9"/>
        <v>30</v>
      </c>
      <c r="R40" s="52">
        <f t="shared" si="10"/>
        <v>38</v>
      </c>
      <c r="S40" s="52" t="str">
        <f>IFERROR(VLOOKUP(MID(N40,Q40,R40-Q40),[5]skilldef!$C:$D,2,FALSE),"-") &amp; " / " &amp; IFERROR(VLOOKUP(MID(N40,O40,P40-O40),[5]skilldef!$A:$B,2,FALSE),"-")</f>
        <v>味方全体に / ステータスDOWN</v>
      </c>
      <c r="T40" s="37" t="str">
        <f t="shared" si="11"/>
        <v>none</v>
      </c>
      <c r="U40" s="52" t="e">
        <f t="shared" si="12"/>
        <v>#VALUE!</v>
      </c>
      <c r="V40" s="52">
        <f t="shared" si="13"/>
        <v>4</v>
      </c>
      <c r="W40" s="52" t="e">
        <f t="shared" si="14"/>
        <v>#VALUE!</v>
      </c>
      <c r="X40" s="52" t="e">
        <f t="shared" si="15"/>
        <v>#VALUE!</v>
      </c>
      <c r="Y40" s="52" t="str">
        <f>IFERROR(VLOOKUP(MID(T40,W40,X40-W40),[5]skilldef!$C:$D,2,FALSE),"-") &amp; " / " &amp; IFERROR(VLOOKUP(MID(T40,U40,V40-U40),[5]skilldef!$A:$B,2,FALSE),"-")</f>
        <v>- / -</v>
      </c>
      <c r="Z40" s="40"/>
      <c r="AA40" s="41"/>
      <c r="AB40" s="40" t="s">
        <v>259</v>
      </c>
      <c r="AC40" s="40" t="s">
        <v>260</v>
      </c>
    </row>
    <row r="41" spans="1:29" ht="43" customHeight="1" x14ac:dyDescent="0.15">
      <c r="A41" s="36">
        <v>48503040</v>
      </c>
      <c r="B41" s="36" t="s">
        <v>361</v>
      </c>
      <c r="C41" s="39">
        <v>3</v>
      </c>
      <c r="D41" s="39" t="s">
        <v>143</v>
      </c>
      <c r="E41" s="40" t="s">
        <v>513</v>
      </c>
      <c r="F41" s="40" t="s">
        <v>446</v>
      </c>
      <c r="G41" s="52" t="str">
        <f t="shared" si="0"/>
        <v>[effect:enemy_message, val1:1.2, val2:2.5]</v>
      </c>
      <c r="H41" s="52">
        <f t="shared" si="1"/>
        <v>9</v>
      </c>
      <c r="I41" s="52">
        <f t="shared" si="2"/>
        <v>22</v>
      </c>
      <c r="J41" s="52" t="e">
        <f t="shared" si="3"/>
        <v>#VALUE!</v>
      </c>
      <c r="K41" s="52">
        <f t="shared" si="4"/>
        <v>32</v>
      </c>
      <c r="L41" s="52" t="str">
        <f>IFERROR(VLOOKUP(MID(G41,J41,K41-J41),[5]skilldef!$C:$D,2,FALSE),"-") &amp; " / " &amp; IFERROR(VLOOKUP(MID(G41,H41,I41-H41),[5]skilldef!$A:$B,2,FALSE),"-")</f>
        <v>- / -</v>
      </c>
      <c r="M41" s="52" t="str">
        <f t="shared" si="5"/>
        <v>[effect:force_change_block, new_block:jammer, target:block_all, ignore01:block_positive, ignore02:block_negative, count:4, val:0, animation:change_block],[effect:rush, count:4, val:0.35]</v>
      </c>
      <c r="N41" s="37" t="str">
        <f>IFERROR(LEFT(M41,FIND("],",M41)+S48),M41)</f>
        <v>[effect:force_change_block, new_block:jammer, target:block_all, ignore01:block_positive, ignore02:block_negative, count:4, val:0, animation:change_block],[effect:rush, count:4, val:0.35]</v>
      </c>
      <c r="O41" s="52">
        <f t="shared" si="7"/>
        <v>9</v>
      </c>
      <c r="P41" s="52">
        <f t="shared" si="8"/>
        <v>27</v>
      </c>
      <c r="Q41" s="52">
        <f t="shared" si="9"/>
        <v>54</v>
      </c>
      <c r="R41" s="52">
        <f t="shared" si="10"/>
        <v>45</v>
      </c>
      <c r="S41" s="52" t="str">
        <f>IFERROR(VLOOKUP(MID(N41,Q41,R41-Q41),[5]skilldef!$C:$D,2,FALSE),"-") &amp; " / " &amp; IFERROR(VLOOKUP(MID(N41,O41,P41-O41),[5]skilldef!$A:$B,2,FALSE),"-")</f>
        <v>- / -</v>
      </c>
      <c r="T41" s="37" t="str">
        <f t="shared" si="11"/>
        <v>[effect:rush, count:4, val:0.35]</v>
      </c>
      <c r="U41" s="52">
        <f t="shared" si="12"/>
        <v>9</v>
      </c>
      <c r="V41" s="52">
        <f t="shared" si="13"/>
        <v>13</v>
      </c>
      <c r="W41" s="52" t="e">
        <f t="shared" si="14"/>
        <v>#VALUE!</v>
      </c>
      <c r="X41" s="52">
        <f t="shared" si="15"/>
        <v>22</v>
      </c>
      <c r="Y41" s="52" t="str">
        <f>IFERROR(VLOOKUP(MID(T41,W41,X41-W41),[5]skilldef!$C:$D,2,FALSE),"-") &amp; " / " &amp; IFERROR(VLOOKUP(MID(T41,U41,V41-U41),[5]skilldef!$A:$B,2,FALSE),"-")</f>
        <v>- / 連続攻撃</v>
      </c>
      <c r="Z41" s="40"/>
      <c r="AA41" s="41"/>
      <c r="AB41" s="40" t="s">
        <v>262</v>
      </c>
      <c r="AC41" s="40" t="s">
        <v>261</v>
      </c>
    </row>
    <row r="42" spans="1:29" ht="43" customHeight="1" x14ac:dyDescent="0.15">
      <c r="A42" s="36">
        <v>48503041</v>
      </c>
      <c r="B42" s="36" t="s">
        <v>340</v>
      </c>
      <c r="C42" s="39">
        <v>3</v>
      </c>
      <c r="D42" s="39" t="s">
        <v>143</v>
      </c>
      <c r="E42" s="40" t="s">
        <v>473</v>
      </c>
      <c r="F42" s="40" t="s">
        <v>447</v>
      </c>
      <c r="G42" s="52" t="str">
        <f t="shared" si="0"/>
        <v>[effect:enemy_message, val1:1.2, val2:1.5]</v>
      </c>
      <c r="H42" s="52">
        <f t="shared" si="1"/>
        <v>9</v>
      </c>
      <c r="I42" s="52">
        <f t="shared" si="2"/>
        <v>22</v>
      </c>
      <c r="J42" s="52" t="e">
        <f t="shared" si="3"/>
        <v>#VALUE!</v>
      </c>
      <c r="K42" s="52">
        <f t="shared" si="4"/>
        <v>32</v>
      </c>
      <c r="L42" s="52" t="str">
        <f>IFERROR(VLOOKUP(MID(G42,J42,K42-J42),[5]skilldef!$C:$D,2,FALSE),"-") &amp; " / " &amp; IFERROR(VLOOKUP(MID(G42,H42,I42-H42),[5]skilldef!$A:$B,2,FALSE),"-")</f>
        <v>- / -</v>
      </c>
      <c r="M42" s="52" t="str">
        <f t="shared" si="5"/>
        <v>[effect:break_attack_fix, target:unit_all, val:500, lowest_val:1800, count:-1, color:green, block01:jammer]</v>
      </c>
      <c r="N42" s="37" t="str">
        <f>IFERROR(LEFT(M42,FIND("],",M42)+#REF!),M42)</f>
        <v>[effect:break_attack_fix, target:unit_all, val:500, lowest_val:1800, count:-1, color:green, block01:jammer]</v>
      </c>
      <c r="O42" s="52">
        <f t="shared" si="7"/>
        <v>9</v>
      </c>
      <c r="P42" s="52">
        <f t="shared" si="8"/>
        <v>25</v>
      </c>
      <c r="Q42" s="52">
        <f t="shared" si="9"/>
        <v>34</v>
      </c>
      <c r="R42" s="52">
        <f t="shared" si="10"/>
        <v>42</v>
      </c>
      <c r="S42" s="52" t="str">
        <f>IFERROR(VLOOKUP(MID(N42,Q42,R42-Q42),[5]skilldef!$C:$D,2,FALSE),"-") &amp; " / " &amp; IFERROR(VLOOKUP(MID(N42,O42,P42-O42),[5]skilldef!$A:$B,2,FALSE),"-")</f>
        <v>味方全体に / -</v>
      </c>
      <c r="T42" s="37" t="str">
        <f t="shared" si="11"/>
        <v>none</v>
      </c>
      <c r="U42" s="52" t="e">
        <f t="shared" si="12"/>
        <v>#VALUE!</v>
      </c>
      <c r="V42" s="52">
        <f t="shared" si="13"/>
        <v>4</v>
      </c>
      <c r="W42" s="52" t="e">
        <f t="shared" si="14"/>
        <v>#VALUE!</v>
      </c>
      <c r="X42" s="52" t="e">
        <f t="shared" si="15"/>
        <v>#VALUE!</v>
      </c>
      <c r="Y42" s="52" t="str">
        <f>IFERROR(VLOOKUP(MID(T42,W42,X42-W42),[5]skilldef!$C:$D,2,FALSE),"-") &amp; " / " &amp; IFERROR(VLOOKUP(MID(T42,U42,V42-U42),[5]skilldef!$A:$B,2,FALSE),"-")</f>
        <v>- / -</v>
      </c>
      <c r="Z42" s="40"/>
      <c r="AA42" s="41"/>
      <c r="AB42" s="40" t="s">
        <v>262</v>
      </c>
      <c r="AC42" s="40" t="s">
        <v>263</v>
      </c>
    </row>
    <row r="43" spans="1:29" ht="43" customHeight="1" x14ac:dyDescent="0.15">
      <c r="A43" s="36">
        <v>48503042</v>
      </c>
      <c r="B43" s="36" t="s">
        <v>386</v>
      </c>
      <c r="C43" s="39">
        <v>3</v>
      </c>
      <c r="D43" s="39" t="s">
        <v>143</v>
      </c>
      <c r="E43" s="40" t="s">
        <v>474</v>
      </c>
      <c r="F43" s="40" t="s">
        <v>442</v>
      </c>
      <c r="G43" s="52" t="str">
        <f t="shared" si="0"/>
        <v>[effect:enemy_message, val1:1.5, val2:1.3]</v>
      </c>
      <c r="H43" s="52">
        <f t="shared" si="1"/>
        <v>9</v>
      </c>
      <c r="I43" s="52">
        <f t="shared" si="2"/>
        <v>22</v>
      </c>
      <c r="J43" s="52" t="e">
        <f t="shared" si="3"/>
        <v>#VALUE!</v>
      </c>
      <c r="K43" s="52">
        <f t="shared" si="4"/>
        <v>32</v>
      </c>
      <c r="L43" s="52" t="str">
        <f>IFERROR(VLOOKUP(MID(G43,J43,K43-J43),[5]skilldef!$C:$D,2,FALSE),"-") &amp; " / " &amp; IFERROR(VLOOKUP(MID(G43,H43,I43-H43),[5]skilldef!$A:$B,2,FALSE),"-")</f>
        <v>- / -</v>
      </c>
      <c r="M43" s="52" t="str">
        <f t="shared" si="5"/>
        <v>[effect:break_heal_ratio, target:myself, val:0.01, lowest_val:0.1, count:-1, block01:jammer, animation:enemy_heal]</v>
      </c>
      <c r="N43" s="37" t="str">
        <f t="shared" ref="N43:N49" si="18">IFERROR(LEFT(M43,FIND("],",M43)+S50),M43)</f>
        <v>[effect:break_heal_ratio, target:myself, val:0.01, lowest_val:0.1, count:-1, block01:jammer, animation:enemy_heal]</v>
      </c>
      <c r="O43" s="52">
        <f t="shared" si="7"/>
        <v>9</v>
      </c>
      <c r="P43" s="52">
        <f t="shared" si="8"/>
        <v>25</v>
      </c>
      <c r="Q43" s="52">
        <f t="shared" si="9"/>
        <v>34</v>
      </c>
      <c r="R43" s="52">
        <f t="shared" si="10"/>
        <v>40</v>
      </c>
      <c r="S43" s="52" t="str">
        <f>IFERROR(VLOOKUP(MID(N43,Q43,R43-Q43),[5]skilldef!$C:$D,2,FALSE),"-") &amp; " / " &amp; IFERROR(VLOOKUP(MID(N43,O43,P43-O43),[5]skilldef!$A:$B,2,FALSE),"-")</f>
        <v>自分自身に / -</v>
      </c>
      <c r="T43" s="37" t="str">
        <f t="shared" si="11"/>
        <v>none</v>
      </c>
      <c r="U43" s="52" t="e">
        <f t="shared" si="12"/>
        <v>#VALUE!</v>
      </c>
      <c r="V43" s="52">
        <f t="shared" si="13"/>
        <v>4</v>
      </c>
      <c r="W43" s="52" t="e">
        <f t="shared" si="14"/>
        <v>#VALUE!</v>
      </c>
      <c r="X43" s="52" t="e">
        <f t="shared" si="15"/>
        <v>#VALUE!</v>
      </c>
      <c r="Y43" s="52" t="str">
        <f>IFERROR(VLOOKUP(MID(T43,W43,X43-W43),[5]skilldef!$C:$D,2,FALSE),"-") &amp; " / " &amp; IFERROR(VLOOKUP(MID(T43,U43,V43-U43),[5]skilldef!$A:$B,2,FALSE),"-")</f>
        <v>- / -</v>
      </c>
      <c r="Z43" s="40"/>
      <c r="AA43" s="41"/>
      <c r="AB43" s="40" t="s">
        <v>262</v>
      </c>
      <c r="AC43" s="40" t="s">
        <v>251</v>
      </c>
    </row>
    <row r="44" spans="1:29" ht="43" customHeight="1" x14ac:dyDescent="0.15">
      <c r="A44" s="36">
        <v>48503043</v>
      </c>
      <c r="B44" s="36" t="s">
        <v>362</v>
      </c>
      <c r="C44" s="39">
        <v>3</v>
      </c>
      <c r="D44" s="39" t="s">
        <v>143</v>
      </c>
      <c r="E44" s="40" t="s">
        <v>349</v>
      </c>
      <c r="F44" s="40" t="s">
        <v>448</v>
      </c>
      <c r="G44" s="52" t="str">
        <f t="shared" si="0"/>
        <v>[effect:enemy_message, val1:1.2, val2:3.6]</v>
      </c>
      <c r="H44" s="52">
        <f t="shared" si="1"/>
        <v>9</v>
      </c>
      <c r="I44" s="52">
        <f t="shared" si="2"/>
        <v>22</v>
      </c>
      <c r="J44" s="52" t="e">
        <f t="shared" si="3"/>
        <v>#VALUE!</v>
      </c>
      <c r="K44" s="52">
        <f t="shared" si="4"/>
        <v>32</v>
      </c>
      <c r="L44" s="52" t="str">
        <f>IFERROR(VLOOKUP(MID(G44,J44,K44-J44),[5]skilldef!$C:$D,2,FALSE),"-") &amp; " / " &amp; IFERROR(VLOOKUP(MID(G44,H44,I44-H44),[5]skilldef!$A:$B,2,FALSE),"-")</f>
        <v>- / -</v>
      </c>
      <c r="M44" s="52" t="str">
        <f t="shared" si="5"/>
        <v>[effect:panel_freeze, target:normal, count:20],[effect:force_change_block, new_block:jammer, target:block_all, ignore01:block_positive, ignore02:block_negative, count:5, val:0, animation:change_block]</v>
      </c>
      <c r="N44" s="37" t="str">
        <f t="shared" si="18"/>
        <v>[effect:panel_freeze, target:normal, count:20],[effect:force_change_block, new_block:jammer, target:block_all, ignore01:block_positive, ignore02:block_negative, count:5, val:0, animation:change_block]</v>
      </c>
      <c r="O44" s="52">
        <f t="shared" si="7"/>
        <v>9</v>
      </c>
      <c r="P44" s="52">
        <f t="shared" si="8"/>
        <v>21</v>
      </c>
      <c r="Q44" s="52">
        <f t="shared" si="9"/>
        <v>30</v>
      </c>
      <c r="R44" s="52">
        <f t="shared" si="10"/>
        <v>36</v>
      </c>
      <c r="S44" s="52" t="str">
        <f>IFERROR(VLOOKUP(MID(N44,Q44,R44-Q44),[5]skilldef!$C:$D,2,FALSE),"-") &amp; " / " &amp; IFERROR(VLOOKUP(MID(N44,O44,P44-O44),[5]skilldef!$A:$B,2,FALSE),"-")</f>
        <v>- / -</v>
      </c>
      <c r="T44" s="37" t="str">
        <f t="shared" si="11"/>
        <v>[effect:force_change_block, new_block:jammer, target:block_all, ignore01:block_positive, ignore02:block_negative, count:5, val:0, animation:change_block]</v>
      </c>
      <c r="U44" s="52">
        <f t="shared" si="12"/>
        <v>9</v>
      </c>
      <c r="V44" s="52">
        <f t="shared" si="13"/>
        <v>27</v>
      </c>
      <c r="W44" s="52">
        <f t="shared" si="14"/>
        <v>54</v>
      </c>
      <c r="X44" s="52">
        <f t="shared" si="15"/>
        <v>45</v>
      </c>
      <c r="Y44" s="52" t="str">
        <f>IFERROR(VLOOKUP(MID(T44,W44,X44-W44),[5]skilldef!$C:$D,2,FALSE),"-") &amp; " / " &amp; IFERROR(VLOOKUP(MID(T44,U44,V44-U44),[5]skilldef!$A:$B,2,FALSE),"-")</f>
        <v>- / -</v>
      </c>
      <c r="Z44" s="40"/>
      <c r="AA44" s="41"/>
      <c r="AB44" s="40" t="s">
        <v>264</v>
      </c>
      <c r="AC44" s="40" t="s">
        <v>265</v>
      </c>
    </row>
    <row r="45" spans="1:29" ht="43" customHeight="1" x14ac:dyDescent="0.15">
      <c r="A45" s="36">
        <v>48503044</v>
      </c>
      <c r="B45" s="36" t="s">
        <v>518</v>
      </c>
      <c r="C45" s="39">
        <v>3</v>
      </c>
      <c r="D45" s="39" t="s">
        <v>143</v>
      </c>
      <c r="E45" s="40" t="s">
        <v>449</v>
      </c>
      <c r="F45" s="40" t="s">
        <v>516</v>
      </c>
      <c r="G45" s="52" t="str">
        <f t="shared" si="0"/>
        <v>[effect:enemy_message, val1:1.4, val2:1.7]</v>
      </c>
      <c r="H45" s="52">
        <f t="shared" si="1"/>
        <v>9</v>
      </c>
      <c r="I45" s="52">
        <f t="shared" si="2"/>
        <v>22</v>
      </c>
      <c r="J45" s="52" t="e">
        <f t="shared" si="3"/>
        <v>#VALUE!</v>
      </c>
      <c r="K45" s="52">
        <f t="shared" si="4"/>
        <v>32</v>
      </c>
      <c r="L45" s="52" t="str">
        <f>IFERROR(VLOOKUP(MID(G45,J45,K45-J45),[5]skilldef!$C:$D,2,FALSE),"-") &amp; " / " &amp; IFERROR(VLOOKUP(MID(G45,H45,I45-H45),[5]skilldef!$A:$B,2,FALSE),"-")</f>
        <v>- / -</v>
      </c>
      <c r="M45" s="52" t="str">
        <f t="shared" si="5"/>
        <v>none</v>
      </c>
      <c r="N45" s="37" t="str">
        <f t="shared" si="18"/>
        <v>none</v>
      </c>
      <c r="O45" s="52" t="e">
        <f t="shared" si="7"/>
        <v>#VALUE!</v>
      </c>
      <c r="P45" s="52">
        <f t="shared" si="8"/>
        <v>4</v>
      </c>
      <c r="Q45" s="52" t="e">
        <f t="shared" si="9"/>
        <v>#VALUE!</v>
      </c>
      <c r="R45" s="52" t="e">
        <f t="shared" si="10"/>
        <v>#VALUE!</v>
      </c>
      <c r="S45" s="52" t="str">
        <f>IFERROR(VLOOKUP(MID(N45,Q45,R45-Q45),[5]skilldef!$C:$D,2,FALSE),"-") &amp; " / " &amp; IFERROR(VLOOKUP(MID(N45,O45,P45-O45),[5]skilldef!$A:$B,2,FALSE),"-")</f>
        <v>- / -</v>
      </c>
      <c r="T45" s="37" t="str">
        <f t="shared" si="11"/>
        <v>none</v>
      </c>
      <c r="U45" s="52" t="e">
        <f t="shared" si="12"/>
        <v>#VALUE!</v>
      </c>
      <c r="V45" s="52">
        <f t="shared" si="13"/>
        <v>4</v>
      </c>
      <c r="W45" s="52" t="e">
        <f t="shared" si="14"/>
        <v>#VALUE!</v>
      </c>
      <c r="X45" s="52" t="e">
        <f t="shared" si="15"/>
        <v>#VALUE!</v>
      </c>
      <c r="Y45" s="52" t="str">
        <f>IFERROR(VLOOKUP(MID(T45,W45,X45-W45),[5]skilldef!$C:$D,2,FALSE),"-") &amp; " / " &amp; IFERROR(VLOOKUP(MID(T45,U45,V45-U45),[5]skilldef!$A:$B,2,FALSE),"-")</f>
        <v>- / -</v>
      </c>
      <c r="Z45" s="40"/>
      <c r="AA45" s="41"/>
      <c r="AB45" s="40" t="s">
        <v>266</v>
      </c>
      <c r="AC45" s="40" t="s">
        <v>267</v>
      </c>
    </row>
    <row r="46" spans="1:29" ht="43" customHeight="1" x14ac:dyDescent="0.15">
      <c r="A46" s="36">
        <v>48503045</v>
      </c>
      <c r="B46" s="36" t="s">
        <v>504</v>
      </c>
      <c r="C46" s="39">
        <v>3</v>
      </c>
      <c r="D46" s="39" t="s">
        <v>143</v>
      </c>
      <c r="E46" s="40" t="s">
        <v>450</v>
      </c>
      <c r="F46" s="40" t="s">
        <v>515</v>
      </c>
      <c r="G46" s="52" t="str">
        <f t="shared" si="0"/>
        <v>[effect:enemy_message, val1:1.5, val2:3.0]</v>
      </c>
      <c r="H46" s="52">
        <f t="shared" si="1"/>
        <v>9</v>
      </c>
      <c r="I46" s="52">
        <f t="shared" si="2"/>
        <v>22</v>
      </c>
      <c r="J46" s="52" t="e">
        <f t="shared" si="3"/>
        <v>#VALUE!</v>
      </c>
      <c r="K46" s="52">
        <f t="shared" si="4"/>
        <v>32</v>
      </c>
      <c r="L46" s="52" t="str">
        <f>IFERROR(VLOOKUP(MID(G46,J46,K46-J46),[5]skilldef!$C:$D,2,FALSE),"-") &amp; " / " &amp; IFERROR(VLOOKUP(MID(G46,H46,I46-H46),[5]skilldef!$A:$B,2,FALSE),"-")</f>
        <v>- / -</v>
      </c>
      <c r="M46" s="52" t="str">
        <f t="shared" si="5"/>
        <v>[effect:break_attack_fix, target:unit_all, val:250, lowest_val:1500, count:-1, block01:block_blue],[effect:change_panel_ratio, turn:-1, block_type:blue, val:0, animation:block_incidence04]</v>
      </c>
      <c r="N46" s="37" t="str">
        <f t="shared" si="18"/>
        <v>[effect:break_attack_fix, target:unit_all, val:250, lowest_val:1500, count:-1, block01:block_blue],[effect:change_panel_ratio, turn:-1, block_type:blue, val:0, animation:block_incidence04]</v>
      </c>
      <c r="O46" s="52">
        <f t="shared" si="7"/>
        <v>9</v>
      </c>
      <c r="P46" s="52">
        <f t="shared" si="8"/>
        <v>25</v>
      </c>
      <c r="Q46" s="52">
        <f t="shared" si="9"/>
        <v>34</v>
      </c>
      <c r="R46" s="52">
        <f t="shared" si="10"/>
        <v>42</v>
      </c>
      <c r="S46" s="52" t="str">
        <f>IFERROR(VLOOKUP(MID(N46,Q46,R46-Q46),[5]skilldef!$C:$D,2,FALSE),"-") &amp; " / " &amp; IFERROR(VLOOKUP(MID(N46,O46,P46-O46),[5]skilldef!$A:$B,2,FALSE),"-")</f>
        <v>味方全体に / -</v>
      </c>
      <c r="T46" s="37" t="str">
        <f t="shared" si="11"/>
        <v>[effect:change_panel_ratio, turn:-1, block_type:blue, val:0, animation:block_incidence04]</v>
      </c>
      <c r="U46" s="52">
        <f t="shared" si="12"/>
        <v>9</v>
      </c>
      <c r="V46" s="52">
        <f t="shared" si="13"/>
        <v>27</v>
      </c>
      <c r="W46" s="52" t="e">
        <f t="shared" si="14"/>
        <v>#VALUE!</v>
      </c>
      <c r="X46" s="52">
        <f t="shared" si="15"/>
        <v>36</v>
      </c>
      <c r="Y46" s="52" t="str">
        <f>IFERROR(VLOOKUP(MID(T46,W46,X46-W46),[5]skilldef!$C:$D,2,FALSE),"-") &amp; " / " &amp; IFERROR(VLOOKUP(MID(T46,U46,V46-U46),[5]skilldef!$A:$B,2,FALSE),"-")</f>
        <v>- / -</v>
      </c>
      <c r="Z46" s="40"/>
      <c r="AA46" s="41"/>
      <c r="AB46" s="40" t="s">
        <v>268</v>
      </c>
      <c r="AC46" s="40" t="s">
        <v>269</v>
      </c>
    </row>
    <row r="47" spans="1:29" ht="43" customHeight="1" x14ac:dyDescent="0.15">
      <c r="A47" s="36">
        <v>48503046</v>
      </c>
      <c r="B47" s="36" t="s">
        <v>387</v>
      </c>
      <c r="C47" s="39">
        <v>3</v>
      </c>
      <c r="D47" s="39" t="s">
        <v>143</v>
      </c>
      <c r="E47" s="40" t="s">
        <v>451</v>
      </c>
      <c r="F47" s="40" t="s">
        <v>480</v>
      </c>
      <c r="G47" s="52" t="str">
        <f t="shared" si="0"/>
        <v>[effect:enemy_message, val1:1.7, val2:1.7, dead_type:suicide]</v>
      </c>
      <c r="H47" s="52">
        <f t="shared" si="1"/>
        <v>9</v>
      </c>
      <c r="I47" s="52">
        <f t="shared" si="2"/>
        <v>22</v>
      </c>
      <c r="J47" s="52" t="e">
        <f t="shared" si="3"/>
        <v>#VALUE!</v>
      </c>
      <c r="K47" s="52">
        <f t="shared" si="4"/>
        <v>32</v>
      </c>
      <c r="L47" s="52" t="str">
        <f>IFERROR(VLOOKUP(MID(G47,J47,K47-J47),[5]skilldef!$C:$D,2,FALSE),"-") &amp; " / " &amp; IFERROR(VLOOKUP(MID(G47,H47,I47-H47),[5]skilldef!$A:$B,2,FALSE),"-")</f>
        <v>- / -</v>
      </c>
      <c r="M47" s="52" t="str">
        <f t="shared" si="5"/>
        <v>none</v>
      </c>
      <c r="N47" s="37" t="str">
        <f t="shared" si="18"/>
        <v>none</v>
      </c>
      <c r="O47" s="52" t="e">
        <f t="shared" si="7"/>
        <v>#VALUE!</v>
      </c>
      <c r="P47" s="52">
        <f t="shared" si="8"/>
        <v>4</v>
      </c>
      <c r="Q47" s="52" t="e">
        <f t="shared" si="9"/>
        <v>#VALUE!</v>
      </c>
      <c r="R47" s="52" t="e">
        <f t="shared" si="10"/>
        <v>#VALUE!</v>
      </c>
      <c r="S47" s="52" t="str">
        <f>IFERROR(VLOOKUP(MID(N47,Q47,R47-Q47),[5]skilldef!$C:$D,2,FALSE),"-") &amp; " / " &amp; IFERROR(VLOOKUP(MID(N47,O47,P47-O47),[5]skilldef!$A:$B,2,FALSE),"-")</f>
        <v>- / -</v>
      </c>
      <c r="T47" s="37" t="str">
        <f t="shared" si="11"/>
        <v>none</v>
      </c>
      <c r="U47" s="52" t="e">
        <f t="shared" si="12"/>
        <v>#VALUE!</v>
      </c>
      <c r="V47" s="52">
        <f t="shared" si="13"/>
        <v>4</v>
      </c>
      <c r="W47" s="52" t="e">
        <f t="shared" si="14"/>
        <v>#VALUE!</v>
      </c>
      <c r="X47" s="52" t="e">
        <f t="shared" si="15"/>
        <v>#VALUE!</v>
      </c>
      <c r="Y47" s="52" t="str">
        <f>IFERROR(VLOOKUP(MID(T47,W47,X47-W47),[5]skilldef!$C:$D,2,FALSE),"-") &amp; " / " &amp; IFERROR(VLOOKUP(MID(T47,U47,V47-U47),[5]skilldef!$A:$B,2,FALSE),"-")</f>
        <v>- / -</v>
      </c>
      <c r="Z47" s="40"/>
      <c r="AA47" s="41"/>
      <c r="AB47" s="40" t="s">
        <v>270</v>
      </c>
      <c r="AC47" s="40" t="s">
        <v>271</v>
      </c>
    </row>
    <row r="48" spans="1:29" ht="43" customHeight="1" x14ac:dyDescent="0.15">
      <c r="A48" s="36">
        <v>48503047</v>
      </c>
      <c r="B48" s="36" t="s">
        <v>388</v>
      </c>
      <c r="C48" s="39">
        <v>3</v>
      </c>
      <c r="D48" s="39" t="s">
        <v>143</v>
      </c>
      <c r="E48" s="40" t="s">
        <v>481</v>
      </c>
      <c r="F48" s="40" t="s">
        <v>452</v>
      </c>
      <c r="G48" s="52" t="str">
        <f t="shared" si="0"/>
        <v>[effect:enemy_message, val1:2.2, val2:2.0, dead_type:suicide]</v>
      </c>
      <c r="H48" s="52">
        <f t="shared" si="1"/>
        <v>9</v>
      </c>
      <c r="I48" s="52">
        <f t="shared" si="2"/>
        <v>22</v>
      </c>
      <c r="J48" s="52" t="e">
        <f t="shared" si="3"/>
        <v>#VALUE!</v>
      </c>
      <c r="K48" s="52">
        <f t="shared" si="4"/>
        <v>32</v>
      </c>
      <c r="L48" s="52" t="str">
        <f>IFERROR(VLOOKUP(MID(G48,J48,K48-J48),[5]skilldef!$C:$D,2,FALSE),"-") &amp; " / " &amp; IFERROR(VLOOKUP(MID(G48,H48,I48-H48),[5]skilldef!$A:$B,2,FALSE),"-")</f>
        <v>- / -</v>
      </c>
      <c r="M48" s="52" t="str">
        <f t="shared" si="5"/>
        <v>none</v>
      </c>
      <c r="N48" s="37" t="str">
        <f t="shared" si="18"/>
        <v>none</v>
      </c>
      <c r="O48" s="52" t="e">
        <f t="shared" si="7"/>
        <v>#VALUE!</v>
      </c>
      <c r="P48" s="52">
        <f t="shared" si="8"/>
        <v>4</v>
      </c>
      <c r="Q48" s="52" t="e">
        <f t="shared" si="9"/>
        <v>#VALUE!</v>
      </c>
      <c r="R48" s="52" t="e">
        <f t="shared" si="10"/>
        <v>#VALUE!</v>
      </c>
      <c r="S48" s="52" t="str">
        <f>IFERROR(VLOOKUP(MID(N48,Q48,R48-Q48),[5]skilldef!$C:$D,2,FALSE),"-") &amp; " / " &amp; IFERROR(VLOOKUP(MID(N48,O48,P48-O48),[5]skilldef!$A:$B,2,FALSE),"-")</f>
        <v>- / -</v>
      </c>
      <c r="T48" s="37" t="str">
        <f t="shared" si="11"/>
        <v>none</v>
      </c>
      <c r="U48" s="52" t="e">
        <f t="shared" si="12"/>
        <v>#VALUE!</v>
      </c>
      <c r="V48" s="52">
        <f t="shared" si="13"/>
        <v>4</v>
      </c>
      <c r="W48" s="52" t="e">
        <f t="shared" si="14"/>
        <v>#VALUE!</v>
      </c>
      <c r="X48" s="52" t="e">
        <f t="shared" si="15"/>
        <v>#VALUE!</v>
      </c>
      <c r="Y48" s="52" t="str">
        <f>IFERROR(VLOOKUP(MID(T48,W48,X48-W48),[5]skilldef!$C:$D,2,FALSE),"-") &amp; " / " &amp; IFERROR(VLOOKUP(MID(T48,U48,V48-U48),[5]skilldef!$A:$B,2,FALSE),"-")</f>
        <v>- / -</v>
      </c>
      <c r="Z48" s="40"/>
      <c r="AA48" s="41"/>
      <c r="AB48" s="40" t="s">
        <v>272</v>
      </c>
      <c r="AC48" s="40" t="s">
        <v>273</v>
      </c>
    </row>
    <row r="49" spans="1:29" ht="43" customHeight="1" x14ac:dyDescent="0.15">
      <c r="A49" s="36">
        <v>48503048</v>
      </c>
      <c r="B49" s="36" t="s">
        <v>388</v>
      </c>
      <c r="C49" s="39">
        <v>3</v>
      </c>
      <c r="D49" s="39" t="s">
        <v>143</v>
      </c>
      <c r="E49" s="40" t="s">
        <v>481</v>
      </c>
      <c r="F49" s="40" t="s">
        <v>452</v>
      </c>
      <c r="G49" s="52" t="str">
        <f t="shared" si="0"/>
        <v>[effect:enemy_message, val1:2.2, val2:2.0, dead_type:suicide]</v>
      </c>
      <c r="H49" s="52">
        <f t="shared" si="1"/>
        <v>9</v>
      </c>
      <c r="I49" s="52">
        <f t="shared" si="2"/>
        <v>22</v>
      </c>
      <c r="J49" s="52" t="e">
        <f t="shared" si="3"/>
        <v>#VALUE!</v>
      </c>
      <c r="K49" s="52">
        <f t="shared" si="4"/>
        <v>32</v>
      </c>
      <c r="L49" s="52" t="str">
        <f>IFERROR(VLOOKUP(MID(G49,J49,K49-J49),[5]skilldef!$C:$D,2,FALSE),"-") &amp; " / " &amp; IFERROR(VLOOKUP(MID(G49,H49,I49-H49),[5]skilldef!$A:$B,2,FALSE),"-")</f>
        <v>- / -</v>
      </c>
      <c r="M49" s="52" t="str">
        <f t="shared" si="5"/>
        <v>none</v>
      </c>
      <c r="N49" s="37" t="str">
        <f t="shared" si="18"/>
        <v>none</v>
      </c>
      <c r="O49" s="52" t="e">
        <f t="shared" si="7"/>
        <v>#VALUE!</v>
      </c>
      <c r="P49" s="52">
        <f t="shared" si="8"/>
        <v>4</v>
      </c>
      <c r="Q49" s="52" t="e">
        <f t="shared" si="9"/>
        <v>#VALUE!</v>
      </c>
      <c r="R49" s="52" t="e">
        <f t="shared" si="10"/>
        <v>#VALUE!</v>
      </c>
      <c r="S49" s="52" t="str">
        <f>IFERROR(VLOOKUP(MID(N49,Q49,R49-Q49),[5]skilldef!$C:$D,2,FALSE),"-") &amp; " / " &amp; IFERROR(VLOOKUP(MID(N49,O49,P49-O49),[5]skilldef!$A:$B,2,FALSE),"-")</f>
        <v>- / -</v>
      </c>
      <c r="T49" s="37" t="str">
        <f t="shared" si="11"/>
        <v>none</v>
      </c>
      <c r="U49" s="52" t="e">
        <f t="shared" si="12"/>
        <v>#VALUE!</v>
      </c>
      <c r="V49" s="52">
        <f t="shared" si="13"/>
        <v>4</v>
      </c>
      <c r="W49" s="52" t="e">
        <f t="shared" si="14"/>
        <v>#VALUE!</v>
      </c>
      <c r="X49" s="52" t="e">
        <f t="shared" si="15"/>
        <v>#VALUE!</v>
      </c>
      <c r="Y49" s="52" t="str">
        <f>IFERROR(VLOOKUP(MID(T49,W49,X49-W49),[5]skilldef!$C:$D,2,FALSE),"-") &amp; " / " &amp; IFERROR(VLOOKUP(MID(T49,U49,V49-U49),[5]skilldef!$A:$B,2,FALSE),"-")</f>
        <v>- / -</v>
      </c>
      <c r="Z49" s="40"/>
      <c r="AA49" s="41"/>
      <c r="AB49" s="40" t="s">
        <v>274</v>
      </c>
      <c r="AC49" s="40" t="s">
        <v>275</v>
      </c>
    </row>
    <row r="50" spans="1:29" ht="43" customHeight="1" x14ac:dyDescent="0.15">
      <c r="A50" s="104">
        <v>48503049</v>
      </c>
      <c r="B50" s="104" t="s">
        <v>369</v>
      </c>
      <c r="C50" s="105">
        <v>3</v>
      </c>
      <c r="D50" s="105" t="s">
        <v>143</v>
      </c>
      <c r="E50" s="106" t="s">
        <v>410</v>
      </c>
      <c r="F50" s="106" t="s">
        <v>404</v>
      </c>
      <c r="G50" s="106" t="str">
        <f>IFERROR(LEFT(B50,FIND("],",B50)),B50)</f>
        <v>[effect:enemy_message, val1:1.2, val2:1.2]</v>
      </c>
      <c r="H50" s="106">
        <f>FIND("effect:",G50)+7</f>
        <v>9</v>
      </c>
      <c r="I50" s="106">
        <f>IFERROR(FIND(",",G50),LEN(G50))</f>
        <v>22</v>
      </c>
      <c r="J50" s="106" t="e">
        <f>FIND("target:",G50)+7</f>
        <v>#VALUE!</v>
      </c>
      <c r="K50" s="106">
        <f>FIND(",",G50,I50+1)</f>
        <v>32</v>
      </c>
      <c r="L50" s="106" t="str">
        <f>IFERROR(VLOOKUP(MID(G50,J50,K50-J50),[5]skilldef!$C:$D,2,FALSE),"-") &amp; " / " &amp; IFERROR(VLOOKUP(MID(G50,H50,I50-H50),[5]skilldef!$A:$B,2,FALSE),"-")</f>
        <v>- / -</v>
      </c>
      <c r="M50" s="106" t="str">
        <f>IFERROR(RIGHT(B50,LEN(B50)-FIND("],",B50)-1),"none")</f>
        <v>[effect:critical, val:1.3, animation:enemy_critical]</v>
      </c>
      <c r="N50" s="104" t="str">
        <f>IFERROR(LEFT(M50,FIND("],",M50)+S60),M50)</f>
        <v>[effect:critical, val:1.3, animation:enemy_critical]</v>
      </c>
      <c r="O50" s="106">
        <f>FIND("effect:",N50)+7</f>
        <v>9</v>
      </c>
      <c r="P50" s="106">
        <f>IFERROR(FIND(",",N50),LEN(N50))</f>
        <v>17</v>
      </c>
      <c r="Q50" s="106" t="e">
        <f>FIND("target:",N50)+7</f>
        <v>#VALUE!</v>
      </c>
      <c r="R50" s="106">
        <f>FIND(",",N50,P50+1)</f>
        <v>26</v>
      </c>
      <c r="S50" s="106" t="str">
        <f>IFERROR(VLOOKUP(MID(N50,Q50,R50-Q50),[5]skilldef!$C:$D,2,FALSE),"-") &amp; " / " &amp; IFERROR(VLOOKUP(MID(N50,O50,P50-O50),[5]skilldef!$A:$B,2,FALSE),"-")</f>
        <v>- / 大攻撃</v>
      </c>
      <c r="T50" s="104" t="str">
        <f>IFERROR(RIGHT(M50,LEN(M50)-FIND("],",M50)-1),"none")</f>
        <v>none</v>
      </c>
      <c r="U50" s="106" t="e">
        <f>FIND("effect:",T50)+7</f>
        <v>#VALUE!</v>
      </c>
      <c r="V50" s="106">
        <f>IFERROR(FIND(",",T50),LEN(T50))</f>
        <v>4</v>
      </c>
      <c r="W50" s="106" t="e">
        <f>FIND("target:",T50)+7</f>
        <v>#VALUE!</v>
      </c>
      <c r="X50" s="106" t="e">
        <f>FIND(",",T50,V50+1)</f>
        <v>#VALUE!</v>
      </c>
      <c r="Y50" s="106" t="str">
        <f>IFERROR(VLOOKUP(MID(T50,W50,X50-W50),[5]skilldef!$C:$D,2,FALSE),"-") &amp; " / " &amp; IFERROR(VLOOKUP(MID(T50,U50,V50-U50),[5]skilldef!$A:$B,2,FALSE),"-")</f>
        <v>- / -</v>
      </c>
      <c r="Z50" s="105"/>
      <c r="AA50" s="107"/>
      <c r="AB50" s="106" t="s">
        <v>201</v>
      </c>
      <c r="AC50" s="106" t="s">
        <v>202</v>
      </c>
    </row>
    <row r="51" spans="1:29" ht="43" customHeight="1" x14ac:dyDescent="0.15">
      <c r="A51" s="104">
        <v>48503050</v>
      </c>
      <c r="B51" s="104" t="s">
        <v>370</v>
      </c>
      <c r="C51" s="105">
        <v>3</v>
      </c>
      <c r="D51" s="105" t="s">
        <v>143</v>
      </c>
      <c r="E51" s="106" t="s">
        <v>411</v>
      </c>
      <c r="F51" s="106" t="s">
        <v>412</v>
      </c>
      <c r="G51" s="106" t="str">
        <f t="shared" ref="G51:G97" si="19">IFERROR(LEFT(B51,FIND("],",B51)),B51)</f>
        <v>[effect:enemy_message, val1:1.2, val2:1.2]</v>
      </c>
      <c r="H51" s="106">
        <f t="shared" ref="H51:H97" si="20">FIND("effect:",G51)+7</f>
        <v>9</v>
      </c>
      <c r="I51" s="106">
        <f t="shared" ref="I51:I97" si="21">IFERROR(FIND(",",G51),LEN(G51))</f>
        <v>22</v>
      </c>
      <c r="J51" s="106" t="e">
        <f t="shared" ref="J51:J97" si="22">FIND("target:",G51)+7</f>
        <v>#VALUE!</v>
      </c>
      <c r="K51" s="106">
        <f t="shared" ref="K51:K97" si="23">FIND(",",G51,I51+1)</f>
        <v>32</v>
      </c>
      <c r="L51" s="106" t="str">
        <f>IFERROR(VLOOKUP(MID(G51,J51,K51-J51),[5]skilldef!$C:$D,2,FALSE),"-") &amp; " / " &amp; IFERROR(VLOOKUP(MID(G51,H51,I51-H51),[5]skilldef!$A:$B,2,FALSE),"-")</f>
        <v>- / -</v>
      </c>
      <c r="M51" s="106" t="str">
        <f t="shared" ref="M51:M97" si="24">IFERROR(RIGHT(B51,LEN(B51)-FIND("],",B51)-1),"none")</f>
        <v>[effect:spread, val:0.25],[effect:fix_speed, target:myself, turn:1]</v>
      </c>
      <c r="N51" s="104" t="str">
        <f t="shared" ref="N51:N56" si="25">IFERROR(LEFT(M51,FIND("],",M51)+S60),M51)</f>
        <v>[effect:spread, val:0.25],[effect:fix_speed, target:myself, turn:1]</v>
      </c>
      <c r="O51" s="106">
        <f t="shared" ref="O51:O97" si="26">FIND("effect:",N51)+7</f>
        <v>9</v>
      </c>
      <c r="P51" s="106">
        <f t="shared" ref="P51:P97" si="27">IFERROR(FIND(",",N51),LEN(N51))</f>
        <v>15</v>
      </c>
      <c r="Q51" s="106">
        <f t="shared" ref="Q51:Q97" si="28">FIND("target:",N51)+7</f>
        <v>53</v>
      </c>
      <c r="R51" s="106">
        <f t="shared" ref="R51:R97" si="29">FIND(",",N51,P51+1)</f>
        <v>26</v>
      </c>
      <c r="S51" s="106" t="str">
        <f>IFERROR(VLOOKUP(MID(N51,Q51,R51-Q51),[5]skilldef!$C:$D,2,FALSE),"-") &amp; " / " &amp; IFERROR(VLOOKUP(MID(N51,O51,P51-O51),[5]skilldef!$A:$B,2,FALSE),"-")</f>
        <v>- / 全体攻撃</v>
      </c>
      <c r="T51" s="104" t="str">
        <f t="shared" ref="T51:T97" si="30">IFERROR(RIGHT(M51,LEN(M51)-FIND("],",M51)-1),"none")</f>
        <v>[effect:fix_speed, target:myself, turn:1]</v>
      </c>
      <c r="U51" s="106">
        <f t="shared" ref="U51:U97" si="31">FIND("effect:",T51)+7</f>
        <v>9</v>
      </c>
      <c r="V51" s="106">
        <f t="shared" ref="V51:V97" si="32">IFERROR(FIND(",",T51),LEN(T51))</f>
        <v>18</v>
      </c>
      <c r="W51" s="106">
        <f t="shared" ref="W51:W97" si="33">FIND("target:",T51)+7</f>
        <v>27</v>
      </c>
      <c r="X51" s="106">
        <f t="shared" ref="X51:X97" si="34">FIND(",",T51,V51+1)</f>
        <v>33</v>
      </c>
      <c r="Y51" s="106" t="str">
        <f>IFERROR(VLOOKUP(MID(T51,W51,X51-W51),[5]skilldef!$C:$D,2,FALSE),"-") &amp; " / " &amp; IFERROR(VLOOKUP(MID(T51,U51,V51-U51),[5]skilldef!$A:$B,2,FALSE),"-")</f>
        <v>自分自身に / 行動値設定</v>
      </c>
      <c r="Z51" s="105"/>
      <c r="AA51" s="107"/>
      <c r="AB51" s="106" t="s">
        <v>204</v>
      </c>
      <c r="AC51" s="106" t="s">
        <v>203</v>
      </c>
    </row>
    <row r="52" spans="1:29" ht="43" customHeight="1" x14ac:dyDescent="0.15">
      <c r="A52" s="104">
        <v>48503051</v>
      </c>
      <c r="B52" s="104" t="s">
        <v>389</v>
      </c>
      <c r="C52" s="105">
        <v>3</v>
      </c>
      <c r="D52" s="105" t="s">
        <v>143</v>
      </c>
      <c r="E52" s="106" t="s">
        <v>342</v>
      </c>
      <c r="F52" s="106" t="s">
        <v>352</v>
      </c>
      <c r="G52" s="106" t="str">
        <f t="shared" si="19"/>
        <v>[effect:enemy_message, val1:1.2, val2:1.5]</v>
      </c>
      <c r="H52" s="106">
        <f t="shared" si="20"/>
        <v>9</v>
      </c>
      <c r="I52" s="106">
        <f t="shared" si="21"/>
        <v>22</v>
      </c>
      <c r="J52" s="106" t="e">
        <f t="shared" si="22"/>
        <v>#VALUE!</v>
      </c>
      <c r="K52" s="106">
        <f t="shared" si="23"/>
        <v>32</v>
      </c>
      <c r="L52" s="106" t="str">
        <f>IFERROR(VLOOKUP(MID(G52,J52,K52-J52),[5]skilldef!$C:$D,2,FALSE),"-") &amp; " / " &amp; IFERROR(VLOOKUP(MID(G52,H52,I52-H52),[5]skilldef!$A:$B,2,FALSE),"-")</f>
        <v>- / -</v>
      </c>
      <c r="M52" s="106" t="str">
        <f t="shared" si="24"/>
        <v>[effect:panel_freeze, target:block_green, count:5],[effect:fix_speed, target:myself, turn:2]</v>
      </c>
      <c r="N52" s="104" t="str">
        <f t="shared" si="25"/>
        <v>[effect:panel_freeze, target:block_green, count:5],[effect:fix_speed, target:myself, turn:2]</v>
      </c>
      <c r="O52" s="106">
        <f t="shared" si="26"/>
        <v>9</v>
      </c>
      <c r="P52" s="106">
        <f t="shared" si="27"/>
        <v>21</v>
      </c>
      <c r="Q52" s="106">
        <f t="shared" si="28"/>
        <v>30</v>
      </c>
      <c r="R52" s="106">
        <f t="shared" si="29"/>
        <v>41</v>
      </c>
      <c r="S52" s="106" t="str">
        <f>IFERROR(VLOOKUP(MID(N52,Q52,R52-Q52),[5]skilldef!$C:$D,2,FALSE),"-") &amp; " / " &amp; IFERROR(VLOOKUP(MID(N52,O52,P52-O52),[5]skilldef!$A:$B,2,FALSE),"-")</f>
        <v>緑パネルを / -</v>
      </c>
      <c r="T52" s="104" t="str">
        <f t="shared" si="30"/>
        <v>[effect:fix_speed, target:myself, turn:2]</v>
      </c>
      <c r="U52" s="106">
        <f t="shared" si="31"/>
        <v>9</v>
      </c>
      <c r="V52" s="106">
        <f t="shared" si="32"/>
        <v>18</v>
      </c>
      <c r="W52" s="106">
        <f t="shared" si="33"/>
        <v>27</v>
      </c>
      <c r="X52" s="106">
        <f t="shared" si="34"/>
        <v>33</v>
      </c>
      <c r="Y52" s="106" t="str">
        <f>IFERROR(VLOOKUP(MID(T52,W52,X52-W52),[5]skilldef!$C:$D,2,FALSE),"-") &amp; " / " &amp; IFERROR(VLOOKUP(MID(T52,U52,V52-U52),[5]skilldef!$A:$B,2,FALSE),"-")</f>
        <v>自分自身に / 行動値設定</v>
      </c>
      <c r="Z52" s="105"/>
      <c r="AA52" s="107"/>
      <c r="AB52" s="106" t="s">
        <v>205</v>
      </c>
      <c r="AC52" s="106" t="s">
        <v>206</v>
      </c>
    </row>
    <row r="53" spans="1:29" ht="43" customHeight="1" x14ac:dyDescent="0.15">
      <c r="A53" s="104">
        <v>48503052</v>
      </c>
      <c r="B53" s="104" t="s">
        <v>390</v>
      </c>
      <c r="C53" s="105">
        <v>3</v>
      </c>
      <c r="D53" s="105" t="s">
        <v>143</v>
      </c>
      <c r="E53" s="106" t="s">
        <v>413</v>
      </c>
      <c r="F53" s="106" t="s">
        <v>453</v>
      </c>
      <c r="G53" s="106" t="str">
        <f t="shared" si="19"/>
        <v>[effect:enemy_message, val1:1.2, val2:2.0]</v>
      </c>
      <c r="H53" s="106">
        <f t="shared" si="20"/>
        <v>9</v>
      </c>
      <c r="I53" s="106">
        <f t="shared" si="21"/>
        <v>22</v>
      </c>
      <c r="J53" s="106" t="e">
        <f t="shared" si="22"/>
        <v>#VALUE!</v>
      </c>
      <c r="K53" s="106">
        <f t="shared" si="23"/>
        <v>32</v>
      </c>
      <c r="L53" s="106" t="str">
        <f>IFERROR(VLOOKUP(MID(G53,J53,K53-J53),[5]skilldef!$C:$D,2,FALSE),"-") &amp; " / " &amp; IFERROR(VLOOKUP(MID(G53,H53,I53-H53),[5]skilldef!$A:$B,2,FALSE),"-")</f>
        <v>- / -</v>
      </c>
      <c r="M53" s="106" t="str">
        <f t="shared" si="24"/>
        <v>[effect:degrade_unit, target:unit_all, turn:2, status:heal, val:0.2, calc:mul, animation:degrade_unit_all_heal]</v>
      </c>
      <c r="N53" s="104" t="str">
        <f t="shared" si="25"/>
        <v>[effect:degrade_unit, target:unit_all, turn:2, status:heal, val:0.2, calc:mul, animation:degrade_unit_all_heal]</v>
      </c>
      <c r="O53" s="106">
        <f t="shared" si="26"/>
        <v>9</v>
      </c>
      <c r="P53" s="106">
        <f t="shared" si="27"/>
        <v>21</v>
      </c>
      <c r="Q53" s="106">
        <f t="shared" si="28"/>
        <v>30</v>
      </c>
      <c r="R53" s="106">
        <f t="shared" si="29"/>
        <v>38</v>
      </c>
      <c r="S53" s="106" t="str">
        <f>IFERROR(VLOOKUP(MID(N53,Q53,R53-Q53),[5]skilldef!$C:$D,2,FALSE),"-") &amp; " / " &amp; IFERROR(VLOOKUP(MID(N53,O53,P53-O53),[5]skilldef!$A:$B,2,FALSE),"-")</f>
        <v>味方全体に / ステータスDOWN</v>
      </c>
      <c r="T53" s="104" t="str">
        <f t="shared" si="30"/>
        <v>none</v>
      </c>
      <c r="U53" s="106" t="e">
        <f t="shared" si="31"/>
        <v>#VALUE!</v>
      </c>
      <c r="V53" s="106">
        <f t="shared" si="32"/>
        <v>4</v>
      </c>
      <c r="W53" s="106" t="e">
        <f t="shared" si="33"/>
        <v>#VALUE!</v>
      </c>
      <c r="X53" s="106" t="e">
        <f t="shared" si="34"/>
        <v>#VALUE!</v>
      </c>
      <c r="Y53" s="106" t="str">
        <f>IFERROR(VLOOKUP(MID(T53,W53,X53-W53),[5]skilldef!$C:$D,2,FALSE),"-") &amp; " / " &amp; IFERROR(VLOOKUP(MID(T53,U53,V53-U53),[5]skilldef!$A:$B,2,FALSE),"-")</f>
        <v>- / -</v>
      </c>
      <c r="Z53" s="105"/>
      <c r="AA53" s="107"/>
      <c r="AB53" s="106" t="s">
        <v>207</v>
      </c>
      <c r="AC53" s="106" t="s">
        <v>208</v>
      </c>
    </row>
    <row r="54" spans="1:29" ht="43" customHeight="1" x14ac:dyDescent="0.15">
      <c r="A54" s="104">
        <v>48503053</v>
      </c>
      <c r="B54" s="104" t="s">
        <v>336</v>
      </c>
      <c r="C54" s="105">
        <v>3</v>
      </c>
      <c r="D54" s="105" t="s">
        <v>143</v>
      </c>
      <c r="E54" s="106" t="s">
        <v>415</v>
      </c>
      <c r="F54" s="106" t="s">
        <v>416</v>
      </c>
      <c r="G54" s="106" t="str">
        <f t="shared" si="19"/>
        <v>[effect:enemy_message, val1:1.2, val2:1.2]</v>
      </c>
      <c r="H54" s="106">
        <f t="shared" si="20"/>
        <v>9</v>
      </c>
      <c r="I54" s="106">
        <f t="shared" si="21"/>
        <v>22</v>
      </c>
      <c r="J54" s="106" t="e">
        <f t="shared" si="22"/>
        <v>#VALUE!</v>
      </c>
      <c r="K54" s="106">
        <f t="shared" si="23"/>
        <v>32</v>
      </c>
      <c r="L54" s="106" t="str">
        <f>IFERROR(VLOOKUP(MID(G54,J54,K54-J54),[5]skilldef!$C:$D,2,FALSE),"-") &amp; " / " &amp; IFERROR(VLOOKUP(MID(G54,H54,I54-H54),[5]skilldef!$A:$B,2,FALSE),"-")</f>
        <v>- / -</v>
      </c>
      <c r="M54" s="106" t="str">
        <f t="shared" si="24"/>
        <v>[effect:enhance_enemy, target:myself, turn:-1, status:attack, val:0.4, calc:mul, animation:enemy_enhance_attack],[effect:fix_speed, target:myself, turn:2]</v>
      </c>
      <c r="N54" s="104" t="str">
        <f t="shared" si="25"/>
        <v>[effect:enhance_enemy, target:myself, turn:-1, status:attack, val:0.4, calc:mul, animation:enemy_enhance_attack],[effect:fix_speed, target:myself, turn:2]</v>
      </c>
      <c r="O54" s="106">
        <f t="shared" si="26"/>
        <v>9</v>
      </c>
      <c r="P54" s="106">
        <f t="shared" si="27"/>
        <v>22</v>
      </c>
      <c r="Q54" s="106">
        <f t="shared" si="28"/>
        <v>31</v>
      </c>
      <c r="R54" s="106">
        <f t="shared" si="29"/>
        <v>37</v>
      </c>
      <c r="S54" s="106" t="str">
        <f>IFERROR(VLOOKUP(MID(N54,Q54,R54-Q54),[5]skilldef!$C:$D,2,FALSE),"-") &amp; " / " &amp; IFERROR(VLOOKUP(MID(N54,O54,P54-O54),[5]skilldef!$A:$B,2,FALSE),"-")</f>
        <v>自分自身に / ステータス強化</v>
      </c>
      <c r="T54" s="104" t="str">
        <f t="shared" si="30"/>
        <v>[effect:fix_speed, target:myself, turn:2]</v>
      </c>
      <c r="U54" s="106">
        <f t="shared" si="31"/>
        <v>9</v>
      </c>
      <c r="V54" s="106">
        <f t="shared" si="32"/>
        <v>18</v>
      </c>
      <c r="W54" s="106">
        <f t="shared" si="33"/>
        <v>27</v>
      </c>
      <c r="X54" s="106">
        <f t="shared" si="34"/>
        <v>33</v>
      </c>
      <c r="Y54" s="106" t="str">
        <f>IFERROR(VLOOKUP(MID(T54,W54,X54-W54),[5]skilldef!$C:$D,2,FALSE),"-") &amp; " / " &amp; IFERROR(VLOOKUP(MID(T54,U54,V54-U54),[5]skilldef!$A:$B,2,FALSE),"-")</f>
        <v>自分自身に / 行動値設定</v>
      </c>
      <c r="Z54" s="105"/>
      <c r="AA54" s="107"/>
      <c r="AB54" s="106" t="s">
        <v>210</v>
      </c>
      <c r="AC54" s="106" t="s">
        <v>209</v>
      </c>
    </row>
    <row r="55" spans="1:29" ht="43" customHeight="1" x14ac:dyDescent="0.15">
      <c r="A55" s="104">
        <v>48503054</v>
      </c>
      <c r="B55" s="104" t="s">
        <v>391</v>
      </c>
      <c r="C55" s="105">
        <v>3</v>
      </c>
      <c r="D55" s="105" t="s">
        <v>143</v>
      </c>
      <c r="E55" s="106" t="s">
        <v>417</v>
      </c>
      <c r="F55" s="106" t="s">
        <v>454</v>
      </c>
      <c r="G55" s="106" t="str">
        <f t="shared" si="19"/>
        <v>[effect:enemy_message, val1:1.2, val2:2.0]</v>
      </c>
      <c r="H55" s="106">
        <f t="shared" si="20"/>
        <v>9</v>
      </c>
      <c r="I55" s="106">
        <f t="shared" si="21"/>
        <v>22</v>
      </c>
      <c r="J55" s="106" t="e">
        <f t="shared" si="22"/>
        <v>#VALUE!</v>
      </c>
      <c r="K55" s="106">
        <f t="shared" si="23"/>
        <v>32</v>
      </c>
      <c r="L55" s="106" t="str">
        <f>IFERROR(VLOOKUP(MID(G55,J55,K55-J55),[5]skilldef!$C:$D,2,FALSE),"-") &amp; " / " &amp; IFERROR(VLOOKUP(MID(G55,H55,I55-H55),[5]skilldef!$A:$B,2,FALSE),"-")</f>
        <v>- / -</v>
      </c>
      <c r="M55" s="106" t="str">
        <f t="shared" si="24"/>
        <v>[effect:degrade_unit, target:unit_all, turn:2, status:heal, val:0.4, calc:mul, animation:degrade_unit_all_heal]</v>
      </c>
      <c r="N55" s="104" t="str">
        <f t="shared" si="25"/>
        <v>[effect:degrade_unit, target:unit_all, turn:2, status:heal, val:0.4, calc:mul, animation:degrade_unit_all_heal]</v>
      </c>
      <c r="O55" s="106">
        <f t="shared" si="26"/>
        <v>9</v>
      </c>
      <c r="P55" s="106">
        <f t="shared" si="27"/>
        <v>21</v>
      </c>
      <c r="Q55" s="106">
        <f t="shared" si="28"/>
        <v>30</v>
      </c>
      <c r="R55" s="106">
        <f t="shared" si="29"/>
        <v>38</v>
      </c>
      <c r="S55" s="106" t="str">
        <f>IFERROR(VLOOKUP(MID(N55,Q55,R55-Q55),[5]skilldef!$C:$D,2,FALSE),"-") &amp; " / " &amp; IFERROR(VLOOKUP(MID(N55,O55,P55-O55),[5]skilldef!$A:$B,2,FALSE),"-")</f>
        <v>味方全体に / ステータスDOWN</v>
      </c>
      <c r="T55" s="104" t="str">
        <f t="shared" si="30"/>
        <v>none</v>
      </c>
      <c r="U55" s="106" t="e">
        <f t="shared" si="31"/>
        <v>#VALUE!</v>
      </c>
      <c r="V55" s="106">
        <f t="shared" si="32"/>
        <v>4</v>
      </c>
      <c r="W55" s="106" t="e">
        <f t="shared" si="33"/>
        <v>#VALUE!</v>
      </c>
      <c r="X55" s="106" t="e">
        <f t="shared" si="34"/>
        <v>#VALUE!</v>
      </c>
      <c r="Y55" s="106" t="str">
        <f>IFERROR(VLOOKUP(MID(T55,W55,X55-W55),[5]skilldef!$C:$D,2,FALSE),"-") &amp; " / " &amp; IFERROR(VLOOKUP(MID(T55,U55,V55-U55),[5]skilldef!$A:$B,2,FALSE),"-")</f>
        <v>- / -</v>
      </c>
      <c r="Z55" s="105"/>
      <c r="AA55" s="107"/>
      <c r="AB55" s="106" t="s">
        <v>211</v>
      </c>
      <c r="AC55" s="106" t="s">
        <v>212</v>
      </c>
    </row>
    <row r="56" spans="1:29" ht="43" customHeight="1" x14ac:dyDescent="0.15">
      <c r="A56" s="104">
        <v>48503055</v>
      </c>
      <c r="B56" s="104" t="s">
        <v>350</v>
      </c>
      <c r="C56" s="105">
        <v>3</v>
      </c>
      <c r="D56" s="105" t="s">
        <v>143</v>
      </c>
      <c r="E56" s="106" t="s">
        <v>345</v>
      </c>
      <c r="F56" s="106" t="s">
        <v>351</v>
      </c>
      <c r="G56" s="106" t="str">
        <f t="shared" si="19"/>
        <v>[effect:enemy_message, val1:1.2, val2:1.7]</v>
      </c>
      <c r="H56" s="106">
        <f t="shared" si="20"/>
        <v>9</v>
      </c>
      <c r="I56" s="106">
        <f t="shared" si="21"/>
        <v>22</v>
      </c>
      <c r="J56" s="106" t="e">
        <f t="shared" si="22"/>
        <v>#VALUE!</v>
      </c>
      <c r="K56" s="106">
        <f t="shared" si="23"/>
        <v>32</v>
      </c>
      <c r="L56" s="106" t="str">
        <f>IFERROR(VLOOKUP(MID(G56,J56,K56-J56),[5]skilldef!$C:$D,2,FALSE),"-") &amp; " / " &amp; IFERROR(VLOOKUP(MID(G56,H56,I56-H56),[5]skilldef!$A:$B,2,FALSE),"-")</f>
        <v>- / -</v>
      </c>
      <c r="M56" s="106" t="str">
        <f t="shared" si="24"/>
        <v>[effect:panel_freeze, target:block_heart, count:5]</v>
      </c>
      <c r="N56" s="104" t="str">
        <f t="shared" si="25"/>
        <v>[effect:panel_freeze, target:block_heart, count:5]</v>
      </c>
      <c r="O56" s="106">
        <f t="shared" si="26"/>
        <v>9</v>
      </c>
      <c r="P56" s="106">
        <f t="shared" si="27"/>
        <v>21</v>
      </c>
      <c r="Q56" s="106">
        <f t="shared" si="28"/>
        <v>30</v>
      </c>
      <c r="R56" s="106">
        <f t="shared" si="29"/>
        <v>41</v>
      </c>
      <c r="S56" s="106" t="str">
        <f>IFERROR(VLOOKUP(MID(N56,Q56,R56-Q56),[5]skilldef!$C:$D,2,FALSE),"-") &amp; " / " &amp; IFERROR(VLOOKUP(MID(N56,O56,P56-O56),[5]skilldef!$A:$B,2,FALSE),"-")</f>
        <v>ハートパネルを / -</v>
      </c>
      <c r="T56" s="104" t="str">
        <f t="shared" si="30"/>
        <v>none</v>
      </c>
      <c r="U56" s="106" t="e">
        <f t="shared" si="31"/>
        <v>#VALUE!</v>
      </c>
      <c r="V56" s="106">
        <f t="shared" si="32"/>
        <v>4</v>
      </c>
      <c r="W56" s="106" t="e">
        <f t="shared" si="33"/>
        <v>#VALUE!</v>
      </c>
      <c r="X56" s="106" t="e">
        <f t="shared" si="34"/>
        <v>#VALUE!</v>
      </c>
      <c r="Y56" s="106" t="str">
        <f>IFERROR(VLOOKUP(MID(T56,W56,X56-W56),[5]skilldef!$C:$D,2,FALSE),"-") &amp; " / " &amp; IFERROR(VLOOKUP(MID(T56,U56,V56-U56),[5]skilldef!$A:$B,2,FALSE),"-")</f>
        <v>- / -</v>
      </c>
      <c r="Z56" s="105"/>
      <c r="AA56" s="107"/>
      <c r="AB56" s="106" t="s">
        <v>213</v>
      </c>
      <c r="AC56" s="106" t="s">
        <v>206</v>
      </c>
    </row>
    <row r="57" spans="1:29" ht="43" customHeight="1" x14ac:dyDescent="0.15">
      <c r="A57" s="104">
        <v>48503056</v>
      </c>
      <c r="B57" s="108" t="s">
        <v>392</v>
      </c>
      <c r="C57" s="105">
        <v>3</v>
      </c>
      <c r="D57" s="105" t="s">
        <v>143</v>
      </c>
      <c r="E57" s="106" t="s">
        <v>419</v>
      </c>
      <c r="F57" s="106" t="s">
        <v>455</v>
      </c>
      <c r="G57" s="106" t="str">
        <f t="shared" si="19"/>
        <v>[effect:enemy_message, val1:1.2, val2:1.8]</v>
      </c>
      <c r="H57" s="106">
        <f t="shared" si="20"/>
        <v>9</v>
      </c>
      <c r="I57" s="106">
        <f t="shared" si="21"/>
        <v>22</v>
      </c>
      <c r="J57" s="106" t="e">
        <f t="shared" si="22"/>
        <v>#VALUE!</v>
      </c>
      <c r="K57" s="106">
        <f t="shared" si="23"/>
        <v>32</v>
      </c>
      <c r="L57" s="106" t="str">
        <f>IFERROR(VLOOKUP(MID(G57,J57,K57-J57),[5]skilldef!$C:$D,2,FALSE),"-") &amp; " / " &amp; IFERROR(VLOOKUP(MID(G57,H57,I57-H57),[5]skilldef!$A:$B,2,FALSE),"-")</f>
        <v>- / -</v>
      </c>
      <c r="M57" s="106" t="str">
        <f t="shared" si="24"/>
        <v>[effect:break_enchance_enemy, target:myself, val:80, lowest_val:300, count:-1, status:defense, turn:3, block01:block_red, calc:add, animation:enemy_enhance_defense],[effect:fix_speed, target:myself, turn:2]</v>
      </c>
      <c r="N57" s="104" t="str">
        <f>IFERROR(LEFT(M57,FIND("],",M57)+#REF!),M57)</f>
        <v>[effect:break_enchance_enemy, target:myself, val:80, lowest_val:300, count:-1, status:defense, turn:3, block01:block_red, calc:add, animation:enemy_enhance_defense],[effect:fix_speed, target:myself, turn:2]</v>
      </c>
      <c r="O57" s="106">
        <f t="shared" si="26"/>
        <v>9</v>
      </c>
      <c r="P57" s="106">
        <f t="shared" si="27"/>
        <v>29</v>
      </c>
      <c r="Q57" s="106">
        <f t="shared" si="28"/>
        <v>38</v>
      </c>
      <c r="R57" s="106">
        <f t="shared" si="29"/>
        <v>44</v>
      </c>
      <c r="S57" s="106" t="str">
        <f>IFERROR(VLOOKUP(MID(N57,Q57,R57-Q57),[5]skilldef!$C:$D,2,FALSE),"-") &amp; " / " &amp; IFERROR(VLOOKUP(MID(N57,O57,P57-O57),[5]skilldef!$A:$B,2,FALSE),"-")</f>
        <v>自分自身に / -</v>
      </c>
      <c r="T57" s="104" t="str">
        <f t="shared" si="30"/>
        <v>[effect:fix_speed, target:myself, turn:2]</v>
      </c>
      <c r="U57" s="106">
        <f t="shared" si="31"/>
        <v>9</v>
      </c>
      <c r="V57" s="106">
        <f t="shared" si="32"/>
        <v>18</v>
      </c>
      <c r="W57" s="106">
        <f t="shared" si="33"/>
        <v>27</v>
      </c>
      <c r="X57" s="106">
        <f t="shared" si="34"/>
        <v>33</v>
      </c>
      <c r="Y57" s="106" t="str">
        <f>IFERROR(VLOOKUP(MID(T57,W57,X57-W57),[5]skilldef!$C:$D,2,FALSE),"-") &amp; " / " &amp; IFERROR(VLOOKUP(MID(T57,U57,V57-U57),[5]skilldef!$A:$B,2,FALSE),"-")</f>
        <v>自分自身に / 行動値設定</v>
      </c>
      <c r="Z57" s="105"/>
      <c r="AA57" s="107"/>
      <c r="AB57" s="106" t="s">
        <v>214</v>
      </c>
      <c r="AC57" s="106" t="s">
        <v>215</v>
      </c>
    </row>
    <row r="58" spans="1:29" ht="43" customHeight="1" x14ac:dyDescent="0.15">
      <c r="A58" s="104">
        <v>48503057</v>
      </c>
      <c r="B58" s="104" t="s">
        <v>363</v>
      </c>
      <c r="C58" s="105">
        <v>3</v>
      </c>
      <c r="D58" s="105" t="s">
        <v>143</v>
      </c>
      <c r="E58" s="106" t="s">
        <v>421</v>
      </c>
      <c r="F58" s="106" t="s">
        <v>456</v>
      </c>
      <c r="G58" s="106" t="str">
        <f t="shared" si="19"/>
        <v>[effect:enemy_message, val1:1.2, val2:1.8]</v>
      </c>
      <c r="H58" s="106">
        <f t="shared" si="20"/>
        <v>9</v>
      </c>
      <c r="I58" s="106">
        <f t="shared" si="21"/>
        <v>22</v>
      </c>
      <c r="J58" s="106" t="e">
        <f t="shared" si="22"/>
        <v>#VALUE!</v>
      </c>
      <c r="K58" s="106">
        <f t="shared" si="23"/>
        <v>32</v>
      </c>
      <c r="L58" s="106" t="str">
        <f>IFERROR(VLOOKUP(MID(G58,J58,K58-J58),[5]skilldef!$C:$D,2,FALSE),"-") &amp; " / " &amp; IFERROR(VLOOKUP(MID(G58,H58,I58-H58),[5]skilldef!$A:$B,2,FALSE),"-")</f>
        <v>- / -</v>
      </c>
      <c r="M58" s="106" t="str">
        <f t="shared" si="24"/>
        <v>[effect:force_change_block, new_block:jammer, target:block_all, ignore01:block_positive, ignore02:block_negative, count:1, val:0, animation:change_block]</v>
      </c>
      <c r="N58" s="104" t="str">
        <f>IFERROR(LEFT(M58,FIND("],",M58)+S69),M58)</f>
        <v>[effect:force_change_block, new_block:jammer, target:block_all, ignore01:block_positive, ignore02:block_negative, count:1, val:0, animation:change_block]</v>
      </c>
      <c r="O58" s="106">
        <f t="shared" si="26"/>
        <v>9</v>
      </c>
      <c r="P58" s="106">
        <f t="shared" si="27"/>
        <v>27</v>
      </c>
      <c r="Q58" s="106">
        <f t="shared" si="28"/>
        <v>54</v>
      </c>
      <c r="R58" s="106">
        <f t="shared" si="29"/>
        <v>45</v>
      </c>
      <c r="S58" s="106" t="str">
        <f>IFERROR(VLOOKUP(MID(N58,Q58,R58-Q58),[5]skilldef!$C:$D,2,FALSE),"-") &amp; " / " &amp; IFERROR(VLOOKUP(MID(N58,O58,P58-O58),[5]skilldef!$A:$B,2,FALSE),"-")</f>
        <v>- / -</v>
      </c>
      <c r="T58" s="104" t="str">
        <f t="shared" si="30"/>
        <v>none</v>
      </c>
      <c r="U58" s="106" t="e">
        <f t="shared" si="31"/>
        <v>#VALUE!</v>
      </c>
      <c r="V58" s="106">
        <f t="shared" si="32"/>
        <v>4</v>
      </c>
      <c r="W58" s="106" t="e">
        <f t="shared" si="33"/>
        <v>#VALUE!</v>
      </c>
      <c r="X58" s="106" t="e">
        <f t="shared" si="34"/>
        <v>#VALUE!</v>
      </c>
      <c r="Y58" s="106" t="str">
        <f>IFERROR(VLOOKUP(MID(T58,W58,X58-W58),[5]skilldef!$C:$D,2,FALSE),"-") &amp; " / " &amp; IFERROR(VLOOKUP(MID(T58,U58,V58-U58),[5]skilldef!$A:$B,2,FALSE),"-")</f>
        <v>- / -</v>
      </c>
      <c r="Z58" s="105"/>
      <c r="AA58" s="107"/>
      <c r="AB58" s="106" t="s">
        <v>217</v>
      </c>
      <c r="AC58" s="106" t="s">
        <v>216</v>
      </c>
    </row>
    <row r="59" spans="1:29" ht="43" customHeight="1" x14ac:dyDescent="0.15">
      <c r="A59" s="104">
        <v>48503058</v>
      </c>
      <c r="B59" s="104" t="s">
        <v>354</v>
      </c>
      <c r="C59" s="105">
        <v>3</v>
      </c>
      <c r="D59" s="105" t="s">
        <v>143</v>
      </c>
      <c r="E59" s="106" t="s">
        <v>423</v>
      </c>
      <c r="F59" s="106" t="s">
        <v>422</v>
      </c>
      <c r="G59" s="106" t="str">
        <f t="shared" si="19"/>
        <v>[effect:enemy_message, val1:1.2, val2:1.8]</v>
      </c>
      <c r="H59" s="106">
        <f t="shared" si="20"/>
        <v>9</v>
      </c>
      <c r="I59" s="106">
        <f t="shared" si="21"/>
        <v>22</v>
      </c>
      <c r="J59" s="106" t="e">
        <f t="shared" si="22"/>
        <v>#VALUE!</v>
      </c>
      <c r="K59" s="106">
        <f t="shared" si="23"/>
        <v>32</v>
      </c>
      <c r="L59" s="106" t="str">
        <f>IFERROR(VLOOKUP(MID(G59,J59,K59-J59),[5]skilldef!$C:$D,2,FALSE),"-") &amp; " / " &amp; IFERROR(VLOOKUP(MID(G59,H59,I59-H59),[5]skilldef!$A:$B,2,FALSE),"-")</f>
        <v>- / -</v>
      </c>
      <c r="M59" s="106" t="str">
        <f t="shared" si="24"/>
        <v>[effect:force_change_block, new_block:jammer, target:block_all, ignore01:block_positive, ignore02:block_negative, count:2, val:0, animation:change_block]</v>
      </c>
      <c r="N59" s="104" t="str">
        <f>IFERROR(LEFT(M59,FIND("],",M59)+S70),M59)</f>
        <v>[effect:force_change_block, new_block:jammer, target:block_all, ignore01:block_positive, ignore02:block_negative, count:2, val:0, animation:change_block]</v>
      </c>
      <c r="O59" s="106">
        <f t="shared" si="26"/>
        <v>9</v>
      </c>
      <c r="P59" s="106">
        <f t="shared" si="27"/>
        <v>27</v>
      </c>
      <c r="Q59" s="106">
        <f t="shared" si="28"/>
        <v>54</v>
      </c>
      <c r="R59" s="106">
        <f t="shared" si="29"/>
        <v>45</v>
      </c>
      <c r="S59" s="106" t="str">
        <f>IFERROR(VLOOKUP(MID(N59,Q59,R59-Q59),[5]skilldef!$C:$D,2,FALSE),"-") &amp; " / " &amp; IFERROR(VLOOKUP(MID(N59,O59,P59-O59),[5]skilldef!$A:$B,2,FALSE),"-")</f>
        <v>- / -</v>
      </c>
      <c r="T59" s="104" t="str">
        <f t="shared" si="30"/>
        <v>none</v>
      </c>
      <c r="U59" s="106" t="e">
        <f t="shared" si="31"/>
        <v>#VALUE!</v>
      </c>
      <c r="V59" s="106">
        <f t="shared" si="32"/>
        <v>4</v>
      </c>
      <c r="W59" s="106" t="e">
        <f t="shared" si="33"/>
        <v>#VALUE!</v>
      </c>
      <c r="X59" s="106" t="e">
        <f t="shared" si="34"/>
        <v>#VALUE!</v>
      </c>
      <c r="Y59" s="106" t="str">
        <f>IFERROR(VLOOKUP(MID(T59,W59,X59-W59),[5]skilldef!$C:$D,2,FALSE),"-") &amp; " / " &amp; IFERROR(VLOOKUP(MID(T59,U59,V59-U59),[5]skilldef!$A:$B,2,FALSE),"-")</f>
        <v>- / -</v>
      </c>
      <c r="Z59" s="105"/>
      <c r="AA59" s="107"/>
      <c r="AB59" s="106" t="s">
        <v>219</v>
      </c>
      <c r="AC59" s="106" t="s">
        <v>218</v>
      </c>
    </row>
    <row r="60" spans="1:29" ht="43" customHeight="1" x14ac:dyDescent="0.15">
      <c r="A60" s="104">
        <v>48503059</v>
      </c>
      <c r="B60" s="104" t="s">
        <v>393</v>
      </c>
      <c r="C60" s="105">
        <v>3</v>
      </c>
      <c r="D60" s="105" t="s">
        <v>143</v>
      </c>
      <c r="E60" s="106" t="s">
        <v>425</v>
      </c>
      <c r="F60" s="106" t="s">
        <v>426</v>
      </c>
      <c r="G60" s="106" t="str">
        <f t="shared" si="19"/>
        <v>[effect:enemy_message, val1:1.2, val2:1.5]</v>
      </c>
      <c r="H60" s="106">
        <f t="shared" si="20"/>
        <v>9</v>
      </c>
      <c r="I60" s="106">
        <f t="shared" si="21"/>
        <v>22</v>
      </c>
      <c r="J60" s="106" t="e">
        <f t="shared" si="22"/>
        <v>#VALUE!</v>
      </c>
      <c r="K60" s="106">
        <f t="shared" si="23"/>
        <v>32</v>
      </c>
      <c r="L60" s="106" t="str">
        <f>IFERROR(VLOOKUP(MID(G60,J60,K60-J60),[5]skilldef!$C:$D,2,FALSE),"-") &amp; " / " &amp; IFERROR(VLOOKUP(MID(G60,H60,I60-H60),[5]skilldef!$A:$B,2,FALSE),"-")</f>
        <v>- / -</v>
      </c>
      <c r="M60" s="106" t="str">
        <f t="shared" si="24"/>
        <v xml:space="preserve">[effect:break_attack_fix, target:unit_all, val:100, lowest_val:1200, count:-1, color:green, block01:jammer] </v>
      </c>
      <c r="N60" s="104" t="str">
        <f>IFERROR(LEFT(M60,FIND("],",M60)+S70),M60)</f>
        <v xml:space="preserve">[effect:break_attack_fix, target:unit_all, val:100, lowest_val:1200, count:-1, color:green, block01:jammer] </v>
      </c>
      <c r="O60" s="106">
        <f t="shared" si="26"/>
        <v>9</v>
      </c>
      <c r="P60" s="106">
        <f t="shared" si="27"/>
        <v>25</v>
      </c>
      <c r="Q60" s="106">
        <f t="shared" si="28"/>
        <v>34</v>
      </c>
      <c r="R60" s="106">
        <f t="shared" si="29"/>
        <v>42</v>
      </c>
      <c r="S60" s="106" t="str">
        <f>IFERROR(VLOOKUP(MID(N60,Q60,R60-Q60),[5]skilldef!$C:$D,2,FALSE),"-") &amp; " / " &amp; IFERROR(VLOOKUP(MID(N60,O60,P60-O60),[5]skilldef!$A:$B,2,FALSE),"-")</f>
        <v>味方全体に / -</v>
      </c>
      <c r="T60" s="104" t="str">
        <f t="shared" si="30"/>
        <v>none</v>
      </c>
      <c r="U60" s="106" t="e">
        <f t="shared" si="31"/>
        <v>#VALUE!</v>
      </c>
      <c r="V60" s="106">
        <f t="shared" si="32"/>
        <v>4</v>
      </c>
      <c r="W60" s="106" t="e">
        <f t="shared" si="33"/>
        <v>#VALUE!</v>
      </c>
      <c r="X60" s="106" t="e">
        <f t="shared" si="34"/>
        <v>#VALUE!</v>
      </c>
      <c r="Y60" s="106" t="str">
        <f>IFERROR(VLOOKUP(MID(T60,W60,X60-W60),[5]skilldef!$C:$D,2,FALSE),"-") &amp; " / " &amp; IFERROR(VLOOKUP(MID(T60,U60,V60-U60),[5]skilldef!$A:$B,2,FALSE),"-")</f>
        <v>- / -</v>
      </c>
      <c r="Z60" s="105"/>
      <c r="AA60" s="107"/>
      <c r="AB60" s="106" t="s">
        <v>220</v>
      </c>
      <c r="AC60" s="106" t="s">
        <v>221</v>
      </c>
    </row>
    <row r="61" spans="1:29" ht="43" customHeight="1" x14ac:dyDescent="0.15">
      <c r="A61" s="104">
        <v>48503060</v>
      </c>
      <c r="B61" s="104" t="s">
        <v>354</v>
      </c>
      <c r="C61" s="105">
        <v>3</v>
      </c>
      <c r="D61" s="105" t="s">
        <v>143</v>
      </c>
      <c r="E61" s="106" t="s">
        <v>427</v>
      </c>
      <c r="F61" s="106" t="s">
        <v>422</v>
      </c>
      <c r="G61" s="106" t="str">
        <f t="shared" si="19"/>
        <v>[effect:enemy_message, val1:1.2, val2:1.8]</v>
      </c>
      <c r="H61" s="106">
        <f t="shared" si="20"/>
        <v>9</v>
      </c>
      <c r="I61" s="106">
        <f t="shared" si="21"/>
        <v>22</v>
      </c>
      <c r="J61" s="106" t="e">
        <f t="shared" si="22"/>
        <v>#VALUE!</v>
      </c>
      <c r="K61" s="106">
        <f t="shared" si="23"/>
        <v>32</v>
      </c>
      <c r="L61" s="106" t="str">
        <f>IFERROR(VLOOKUP(MID(G61,J61,K61-J61),[5]skilldef!$C:$D,2,FALSE),"-") &amp; " / " &amp; IFERROR(VLOOKUP(MID(G61,H61,I61-H61),[5]skilldef!$A:$B,2,FALSE),"-")</f>
        <v>- / -</v>
      </c>
      <c r="M61" s="106" t="str">
        <f t="shared" si="24"/>
        <v>[effect:force_change_block, new_block:jammer, target:block_all, ignore01:block_positive, ignore02:block_negative, count:2, val:0, animation:change_block]</v>
      </c>
      <c r="N61" s="104" t="str">
        <f>IFERROR(LEFT(M61,FIND("],",M61)+S72),M61)</f>
        <v>[effect:force_change_block, new_block:jammer, target:block_all, ignore01:block_positive, ignore02:block_negative, count:2, val:0, animation:change_block]</v>
      </c>
      <c r="O61" s="106">
        <f t="shared" si="26"/>
        <v>9</v>
      </c>
      <c r="P61" s="106">
        <f t="shared" si="27"/>
        <v>27</v>
      </c>
      <c r="Q61" s="106">
        <f t="shared" si="28"/>
        <v>54</v>
      </c>
      <c r="R61" s="106">
        <f t="shared" si="29"/>
        <v>45</v>
      </c>
      <c r="S61" s="106" t="str">
        <f>IFERROR(VLOOKUP(MID(N61,Q61,R61-Q61),[5]skilldef!$C:$D,2,FALSE),"-") &amp; " / " &amp; IFERROR(VLOOKUP(MID(N61,O61,P61-O61),[5]skilldef!$A:$B,2,FALSE),"-")</f>
        <v>- / -</v>
      </c>
      <c r="T61" s="104" t="str">
        <f t="shared" si="30"/>
        <v>none</v>
      </c>
      <c r="U61" s="106" t="e">
        <f t="shared" si="31"/>
        <v>#VALUE!</v>
      </c>
      <c r="V61" s="106">
        <f t="shared" si="32"/>
        <v>4</v>
      </c>
      <c r="W61" s="106" t="e">
        <f t="shared" si="33"/>
        <v>#VALUE!</v>
      </c>
      <c r="X61" s="106" t="e">
        <f t="shared" si="34"/>
        <v>#VALUE!</v>
      </c>
      <c r="Y61" s="106" t="str">
        <f>IFERROR(VLOOKUP(MID(T61,W61,X61-W61),[5]skilldef!$C:$D,2,FALSE),"-") &amp; " / " &amp; IFERROR(VLOOKUP(MID(T61,U61,V61-U61),[5]skilldef!$A:$B,2,FALSE),"-")</f>
        <v>- / -</v>
      </c>
      <c r="Z61" s="105"/>
      <c r="AA61" s="107"/>
      <c r="AB61" s="106" t="s">
        <v>222</v>
      </c>
      <c r="AC61" s="106" t="s">
        <v>218</v>
      </c>
    </row>
    <row r="62" spans="1:29" ht="43" customHeight="1" x14ac:dyDescent="0.15">
      <c r="A62" s="104">
        <v>48503061</v>
      </c>
      <c r="B62" s="104" t="s">
        <v>355</v>
      </c>
      <c r="C62" s="105">
        <v>3</v>
      </c>
      <c r="D62" s="105" t="s">
        <v>143</v>
      </c>
      <c r="E62" s="106" t="s">
        <v>428</v>
      </c>
      <c r="F62" s="106" t="s">
        <v>424</v>
      </c>
      <c r="G62" s="106" t="str">
        <f t="shared" si="19"/>
        <v>[effect:enemy_message, val1:1.2, val2:1.8]</v>
      </c>
      <c r="H62" s="106">
        <f t="shared" si="20"/>
        <v>9</v>
      </c>
      <c r="I62" s="106">
        <f t="shared" si="21"/>
        <v>22</v>
      </c>
      <c r="J62" s="106" t="e">
        <f t="shared" si="22"/>
        <v>#VALUE!</v>
      </c>
      <c r="K62" s="106">
        <f t="shared" si="23"/>
        <v>32</v>
      </c>
      <c r="L62" s="106" t="str">
        <f>IFERROR(VLOOKUP(MID(G62,J62,K62-J62),[5]skilldef!$C:$D,2,FALSE),"-") &amp; " / " &amp; IFERROR(VLOOKUP(MID(G62,H62,I62-H62),[5]skilldef!$A:$B,2,FALSE),"-")</f>
        <v>- / -</v>
      </c>
      <c r="M62" s="106" t="str">
        <f t="shared" si="24"/>
        <v>[effect:force_change_block, new_block:jammer, target:block_all, ignore01:block_positive, ignore02:block_negative, count:3, val:0, animation:change_block]</v>
      </c>
      <c r="N62" s="104" t="str">
        <f>IFERROR(LEFT(M62,FIND("],",M62)+S73),M62)</f>
        <v>[effect:force_change_block, new_block:jammer, target:block_all, ignore01:block_positive, ignore02:block_negative, count:3, val:0, animation:change_block]</v>
      </c>
      <c r="O62" s="106">
        <f t="shared" si="26"/>
        <v>9</v>
      </c>
      <c r="P62" s="106">
        <f t="shared" si="27"/>
        <v>27</v>
      </c>
      <c r="Q62" s="106">
        <f t="shared" si="28"/>
        <v>54</v>
      </c>
      <c r="R62" s="106">
        <f t="shared" si="29"/>
        <v>45</v>
      </c>
      <c r="S62" s="106" t="str">
        <f>IFERROR(VLOOKUP(MID(N62,Q62,R62-Q62),[5]skilldef!$C:$D,2,FALSE),"-") &amp; " / " &amp; IFERROR(VLOOKUP(MID(N62,O62,P62-O62),[5]skilldef!$A:$B,2,FALSE),"-")</f>
        <v>- / -</v>
      </c>
      <c r="T62" s="104" t="str">
        <f t="shared" si="30"/>
        <v>none</v>
      </c>
      <c r="U62" s="106" t="e">
        <f t="shared" si="31"/>
        <v>#VALUE!</v>
      </c>
      <c r="V62" s="106">
        <f t="shared" si="32"/>
        <v>4</v>
      </c>
      <c r="W62" s="106" t="e">
        <f t="shared" si="33"/>
        <v>#VALUE!</v>
      </c>
      <c r="X62" s="106" t="e">
        <f t="shared" si="34"/>
        <v>#VALUE!</v>
      </c>
      <c r="Y62" s="106" t="str">
        <f>IFERROR(VLOOKUP(MID(T62,W62,X62-W62),[5]skilldef!$C:$D,2,FALSE),"-") &amp; " / " &amp; IFERROR(VLOOKUP(MID(T62,U62,V62-U62),[5]skilldef!$A:$B,2,FALSE),"-")</f>
        <v>- / -</v>
      </c>
      <c r="Z62" s="105"/>
      <c r="AA62" s="107"/>
      <c r="AB62" s="106" t="s">
        <v>224</v>
      </c>
      <c r="AC62" s="106" t="s">
        <v>223</v>
      </c>
    </row>
    <row r="63" spans="1:29" ht="43" customHeight="1" x14ac:dyDescent="0.15">
      <c r="A63" s="104">
        <v>48503062</v>
      </c>
      <c r="B63" s="104" t="s">
        <v>393</v>
      </c>
      <c r="C63" s="105">
        <v>3</v>
      </c>
      <c r="D63" s="105" t="s">
        <v>143</v>
      </c>
      <c r="E63" s="106" t="s">
        <v>425</v>
      </c>
      <c r="F63" s="106" t="s">
        <v>426</v>
      </c>
      <c r="G63" s="106" t="str">
        <f t="shared" si="19"/>
        <v>[effect:enemy_message, val1:1.2, val2:1.5]</v>
      </c>
      <c r="H63" s="106">
        <f t="shared" si="20"/>
        <v>9</v>
      </c>
      <c r="I63" s="106">
        <f t="shared" si="21"/>
        <v>22</v>
      </c>
      <c r="J63" s="106" t="e">
        <f t="shared" si="22"/>
        <v>#VALUE!</v>
      </c>
      <c r="K63" s="106">
        <f t="shared" si="23"/>
        <v>32</v>
      </c>
      <c r="L63" s="106" t="str">
        <f>IFERROR(VLOOKUP(MID(G63,J63,K63-J63),[5]skilldef!$C:$D,2,FALSE),"-") &amp; " / " &amp; IFERROR(VLOOKUP(MID(G63,H63,I63-H63),[5]skilldef!$A:$B,2,FALSE),"-")</f>
        <v>- / -</v>
      </c>
      <c r="M63" s="106" t="str">
        <f t="shared" si="24"/>
        <v xml:space="preserve">[effect:break_attack_fix, target:unit_all, val:100, lowest_val:1200, count:-1, color:green, block01:jammer] </v>
      </c>
      <c r="N63" s="104" t="str">
        <f>IFERROR(LEFT(M63,FIND("],",M63)+S73),M63)</f>
        <v xml:space="preserve">[effect:break_attack_fix, target:unit_all, val:100, lowest_val:1200, count:-1, color:green, block01:jammer] </v>
      </c>
      <c r="O63" s="106">
        <f t="shared" si="26"/>
        <v>9</v>
      </c>
      <c r="P63" s="106">
        <f t="shared" si="27"/>
        <v>25</v>
      </c>
      <c r="Q63" s="106">
        <f t="shared" si="28"/>
        <v>34</v>
      </c>
      <c r="R63" s="106">
        <f t="shared" si="29"/>
        <v>42</v>
      </c>
      <c r="S63" s="106" t="str">
        <f>IFERROR(VLOOKUP(MID(N63,Q63,R63-Q63),[5]skilldef!$C:$D,2,FALSE),"-") &amp; " / " &amp; IFERROR(VLOOKUP(MID(N63,O63,P63-O63),[5]skilldef!$A:$B,2,FALSE),"-")</f>
        <v>味方全体に / -</v>
      </c>
      <c r="T63" s="104" t="str">
        <f t="shared" si="30"/>
        <v>none</v>
      </c>
      <c r="U63" s="106" t="e">
        <f t="shared" si="31"/>
        <v>#VALUE!</v>
      </c>
      <c r="V63" s="106">
        <f t="shared" si="32"/>
        <v>4</v>
      </c>
      <c r="W63" s="106" t="e">
        <f t="shared" si="33"/>
        <v>#VALUE!</v>
      </c>
      <c r="X63" s="106" t="e">
        <f t="shared" si="34"/>
        <v>#VALUE!</v>
      </c>
      <c r="Y63" s="106" t="str">
        <f>IFERROR(VLOOKUP(MID(T63,W63,X63-W63),[5]skilldef!$C:$D,2,FALSE),"-") &amp; " / " &amp; IFERROR(VLOOKUP(MID(T63,U63,V63-U63),[5]skilldef!$A:$B,2,FALSE),"-")</f>
        <v>- / -</v>
      </c>
      <c r="Z63" s="105"/>
      <c r="AA63" s="107"/>
      <c r="AB63" s="106" t="s">
        <v>225</v>
      </c>
      <c r="AC63" s="106" t="s">
        <v>221</v>
      </c>
    </row>
    <row r="64" spans="1:29" ht="43" customHeight="1" x14ac:dyDescent="0.15">
      <c r="A64" s="104">
        <v>48503063</v>
      </c>
      <c r="B64" s="104" t="s">
        <v>369</v>
      </c>
      <c r="C64" s="105">
        <v>3</v>
      </c>
      <c r="D64" s="105" t="s">
        <v>143</v>
      </c>
      <c r="E64" s="106" t="s">
        <v>430</v>
      </c>
      <c r="F64" s="106" t="s">
        <v>404</v>
      </c>
      <c r="G64" s="106" t="str">
        <f t="shared" si="19"/>
        <v>[effect:enemy_message, val1:1.2, val2:1.2]</v>
      </c>
      <c r="H64" s="106">
        <f t="shared" si="20"/>
        <v>9</v>
      </c>
      <c r="I64" s="106">
        <f t="shared" si="21"/>
        <v>22</v>
      </c>
      <c r="J64" s="106" t="e">
        <f t="shared" si="22"/>
        <v>#VALUE!</v>
      </c>
      <c r="K64" s="106">
        <f t="shared" si="23"/>
        <v>32</v>
      </c>
      <c r="L64" s="106" t="str">
        <f>IFERROR(VLOOKUP(MID(G64,J64,K64-J64),[5]skilldef!$C:$D,2,FALSE),"-") &amp; " / " &amp; IFERROR(VLOOKUP(MID(G64,H64,I64-H64),[5]skilldef!$A:$B,2,FALSE),"-")</f>
        <v>- / -</v>
      </c>
      <c r="M64" s="106" t="str">
        <f t="shared" si="24"/>
        <v>[effect:critical, val:1.3, animation:enemy_critical]</v>
      </c>
      <c r="N64" s="104" t="str">
        <f>IFERROR(LEFT(M64,FIND("],",M64)+S74),M64)</f>
        <v>[effect:critical, val:1.3, animation:enemy_critical]</v>
      </c>
      <c r="O64" s="106">
        <f t="shared" si="26"/>
        <v>9</v>
      </c>
      <c r="P64" s="106">
        <f t="shared" si="27"/>
        <v>17</v>
      </c>
      <c r="Q64" s="106" t="e">
        <f t="shared" si="28"/>
        <v>#VALUE!</v>
      </c>
      <c r="R64" s="106">
        <f t="shared" si="29"/>
        <v>26</v>
      </c>
      <c r="S64" s="106" t="str">
        <f>IFERROR(VLOOKUP(MID(N64,Q64,R64-Q64),[5]skilldef!$C:$D,2,FALSE),"-") &amp; " / " &amp; IFERROR(VLOOKUP(MID(N64,O64,P64-O64),[5]skilldef!$A:$B,2,FALSE),"-")</f>
        <v>- / 大攻撃</v>
      </c>
      <c r="T64" s="104" t="str">
        <f t="shared" si="30"/>
        <v>none</v>
      </c>
      <c r="U64" s="106" t="e">
        <f t="shared" si="31"/>
        <v>#VALUE!</v>
      </c>
      <c r="V64" s="106">
        <f t="shared" si="32"/>
        <v>4</v>
      </c>
      <c r="W64" s="106" t="e">
        <f t="shared" si="33"/>
        <v>#VALUE!</v>
      </c>
      <c r="X64" s="106" t="e">
        <f t="shared" si="34"/>
        <v>#VALUE!</v>
      </c>
      <c r="Y64" s="106" t="str">
        <f>IFERROR(VLOOKUP(MID(T64,W64,X64-W64),[5]skilldef!$C:$D,2,FALSE),"-") &amp; " / " &amp; IFERROR(VLOOKUP(MID(T64,U64,V64-U64),[5]skilldef!$A:$B,2,FALSE),"-")</f>
        <v>- / -</v>
      </c>
      <c r="Z64" s="105"/>
      <c r="AA64" s="107"/>
      <c r="AB64" s="106" t="s">
        <v>226</v>
      </c>
      <c r="AC64" s="106" t="s">
        <v>202</v>
      </c>
    </row>
    <row r="65" spans="1:29" ht="43" customHeight="1" x14ac:dyDescent="0.15">
      <c r="A65" s="104">
        <v>48503064</v>
      </c>
      <c r="B65" s="104" t="s">
        <v>501</v>
      </c>
      <c r="C65" s="105">
        <v>3</v>
      </c>
      <c r="D65" s="105" t="s">
        <v>143</v>
      </c>
      <c r="E65" s="106" t="s">
        <v>431</v>
      </c>
      <c r="F65" s="106" t="s">
        <v>503</v>
      </c>
      <c r="G65" s="106" t="str">
        <f t="shared" si="19"/>
        <v>[effect:enemy_message, val1:1.2, val2:1.2]</v>
      </c>
      <c r="H65" s="106">
        <f t="shared" si="20"/>
        <v>9</v>
      </c>
      <c r="I65" s="106">
        <f t="shared" si="21"/>
        <v>22</v>
      </c>
      <c r="J65" s="106" t="e">
        <f t="shared" si="22"/>
        <v>#VALUE!</v>
      </c>
      <c r="K65" s="106">
        <f t="shared" si="23"/>
        <v>32</v>
      </c>
      <c r="L65" s="106" t="str">
        <f>IFERROR(VLOOKUP(MID(G65,J65,K65-J65),[5]skilldef!$C:$D,2,FALSE),"-") &amp; " / " &amp; IFERROR(VLOOKUP(MID(G65,H65,I65-H65),[5]skilldef!$A:$B,2,FALSE),"-")</f>
        <v>- / -</v>
      </c>
      <c r="M65" s="106" t="str">
        <f t="shared" si="24"/>
        <v>[effect:freq_turn, target:unit_one, turn:-1, val:1, animation:enemy_freq_turn]</v>
      </c>
      <c r="N65" s="104" t="str">
        <f>IFERROR(LEFT(M65,FIND("],",M65)+S75),M65)</f>
        <v>[effect:freq_turn, target:unit_one, turn:-1, val:1, animation:enemy_freq_turn]</v>
      </c>
      <c r="O65" s="106">
        <f t="shared" si="26"/>
        <v>9</v>
      </c>
      <c r="P65" s="106">
        <f t="shared" si="27"/>
        <v>18</v>
      </c>
      <c r="Q65" s="106">
        <f t="shared" si="28"/>
        <v>27</v>
      </c>
      <c r="R65" s="106">
        <f t="shared" si="29"/>
        <v>35</v>
      </c>
      <c r="S65" s="106" t="str">
        <f>IFERROR(VLOOKUP(MID(N65,Q65,R65-Q65),[5]skilldef!$C:$D,2,FALSE),"-") &amp; " / " &amp; IFERROR(VLOOKUP(MID(N65,O65,P65-O65),[5]skilldef!$A:$B,2,FALSE),"-")</f>
        <v>味方単体に / 攻撃頻度がUP</v>
      </c>
      <c r="T65" s="104" t="str">
        <f t="shared" si="30"/>
        <v>none</v>
      </c>
      <c r="U65" s="106" t="e">
        <f t="shared" si="31"/>
        <v>#VALUE!</v>
      </c>
      <c r="V65" s="106">
        <f t="shared" si="32"/>
        <v>4</v>
      </c>
      <c r="W65" s="106" t="e">
        <f t="shared" si="33"/>
        <v>#VALUE!</v>
      </c>
      <c r="X65" s="106" t="e">
        <f t="shared" si="34"/>
        <v>#VALUE!</v>
      </c>
      <c r="Y65" s="106" t="str">
        <f>IFERROR(VLOOKUP(MID(T65,W65,X65-W65),[5]skilldef!$C:$D,2,FALSE),"-") &amp; " / " &amp; IFERROR(VLOOKUP(MID(T65,U65,V65-U65),[5]skilldef!$A:$B,2,FALSE),"-")</f>
        <v>- / -</v>
      </c>
      <c r="Z65" s="105"/>
      <c r="AA65" s="107"/>
      <c r="AB65" s="106" t="s">
        <v>227</v>
      </c>
      <c r="AC65" s="106" t="s">
        <v>228</v>
      </c>
    </row>
    <row r="66" spans="1:29" ht="43" customHeight="1" x14ac:dyDescent="0.15">
      <c r="A66" s="104">
        <v>48503065</v>
      </c>
      <c r="B66" s="104" t="s">
        <v>394</v>
      </c>
      <c r="C66" s="105">
        <v>3</v>
      </c>
      <c r="D66" s="105" t="s">
        <v>348</v>
      </c>
      <c r="E66" s="106" t="s">
        <v>405</v>
      </c>
      <c r="F66" s="106" t="s">
        <v>457</v>
      </c>
      <c r="G66" s="106" t="str">
        <f t="shared" si="19"/>
        <v>[effect:enemy_message, val1:1.5, val2:3.5]</v>
      </c>
      <c r="H66" s="106">
        <f t="shared" si="20"/>
        <v>9</v>
      </c>
      <c r="I66" s="106">
        <f t="shared" si="21"/>
        <v>22</v>
      </c>
      <c r="J66" s="106" t="e">
        <f t="shared" si="22"/>
        <v>#VALUE!</v>
      </c>
      <c r="K66" s="106">
        <f t="shared" si="23"/>
        <v>32</v>
      </c>
      <c r="L66" s="106" t="str">
        <f>IFERROR(VLOOKUP(MID(G66,J66,K66-J66),[5]skilldef!$C:$D,2,FALSE),"-") &amp; " / " &amp; IFERROR(VLOOKUP(MID(G66,H66,I66-H66),[5]skilldef!$A:$B,2,FALSE),"-")</f>
        <v>- / -</v>
      </c>
      <c r="M66" s="106" t="str">
        <f t="shared" si="24"/>
        <v>[effect:force_change_block, new_block:jammer, target:block_all, ignore01:block_positive, ignore02:block_negative, count:2, val:0, animation:change_block],[effect:panel_freeze, target:normal, count:5],[effect:fix_speed, target:myself, turn:2]</v>
      </c>
      <c r="N66" s="104" t="str">
        <f>IFERROR(LEFT(M66,FIND("],",M66)+S74),M66)</f>
        <v>[effect:force_change_block, new_block:jammer, target:block_all, ignore01:block_positive, ignore02:block_negative, count:2, val:0, animation:change_block],[effect:panel_freeze, target:normal, count:5],[effect:fix_speed, target:myself, turn:2]</v>
      </c>
      <c r="O66" s="106">
        <f t="shared" si="26"/>
        <v>9</v>
      </c>
      <c r="P66" s="106">
        <f t="shared" si="27"/>
        <v>27</v>
      </c>
      <c r="Q66" s="106">
        <f t="shared" si="28"/>
        <v>54</v>
      </c>
      <c r="R66" s="106">
        <f t="shared" si="29"/>
        <v>45</v>
      </c>
      <c r="S66" s="106" t="str">
        <f>IFERROR(VLOOKUP(MID(N66,Q66,R66-Q66),[5]skilldef!$C:$D,2,FALSE),"-") &amp; " / " &amp; IFERROR(VLOOKUP(MID(N66,O66,P66-O66),[5]skilldef!$A:$B,2,FALSE),"-")</f>
        <v>- / -</v>
      </c>
      <c r="T66" s="104" t="str">
        <f t="shared" si="30"/>
        <v>[effect:panel_freeze, target:normal, count:5],[effect:fix_speed, target:myself, turn:2]</v>
      </c>
      <c r="U66" s="106">
        <f t="shared" si="31"/>
        <v>9</v>
      </c>
      <c r="V66" s="106">
        <f t="shared" si="32"/>
        <v>21</v>
      </c>
      <c r="W66" s="106">
        <f t="shared" si="33"/>
        <v>30</v>
      </c>
      <c r="X66" s="106">
        <f t="shared" si="34"/>
        <v>36</v>
      </c>
      <c r="Y66" s="106" t="str">
        <f>IFERROR(VLOOKUP(MID(T66,W66,X66-W66),[5]skilldef!$C:$D,2,FALSE),"-") &amp; " / " &amp; IFERROR(VLOOKUP(MID(T66,U66,V66-U66),[5]skilldef!$A:$B,2,FALSE),"-")</f>
        <v>- / -</v>
      </c>
      <c r="Z66" s="105"/>
      <c r="AA66" s="107"/>
      <c r="AB66" s="106" t="s">
        <v>229</v>
      </c>
      <c r="AC66" s="106" t="s">
        <v>230</v>
      </c>
    </row>
    <row r="67" spans="1:29" ht="43" customHeight="1" x14ac:dyDescent="0.15">
      <c r="A67" s="104">
        <v>48503066</v>
      </c>
      <c r="B67" s="104" t="s">
        <v>395</v>
      </c>
      <c r="C67" s="105">
        <v>3</v>
      </c>
      <c r="D67" s="105" t="s">
        <v>143</v>
      </c>
      <c r="E67" s="106" t="s">
        <v>406</v>
      </c>
      <c r="F67" s="106" t="s">
        <v>457</v>
      </c>
      <c r="G67" s="106" t="str">
        <f t="shared" si="19"/>
        <v>[effect:enemy_message, val1:2.0, val2:3.5]</v>
      </c>
      <c r="H67" s="106">
        <f t="shared" si="20"/>
        <v>9</v>
      </c>
      <c r="I67" s="106">
        <f t="shared" si="21"/>
        <v>22</v>
      </c>
      <c r="J67" s="106" t="e">
        <f t="shared" si="22"/>
        <v>#VALUE!</v>
      </c>
      <c r="K67" s="106">
        <f t="shared" si="23"/>
        <v>32</v>
      </c>
      <c r="L67" s="106" t="str">
        <f>IFERROR(VLOOKUP(MID(G67,J67,K67-J67),[5]skilldef!$C:$D,2,FALSE),"-") &amp; " / " &amp; IFERROR(VLOOKUP(MID(G67,H67,I67-H67),[5]skilldef!$A:$B,2,FALSE),"-")</f>
        <v>- / -</v>
      </c>
      <c r="M67" s="106" t="str">
        <f t="shared" si="24"/>
        <v>[effect:force_change_block, new_block:jammer, target:block_all, ignore01:block_positive, ignore02:block_negative, count:2, val:0, animation:change_block],[effect:panel_freeze, target:normal, count:5],[effect:fix_speed, target:myself, turn:2]</v>
      </c>
      <c r="N67" s="104" t="str">
        <f>IFERROR(LEFT(M67,FIND("],",M67)+S75),M67)</f>
        <v>[effect:force_change_block, new_block:jammer, target:block_all, ignore01:block_positive, ignore02:block_negative, count:2, val:0, animation:change_block],[effect:panel_freeze, target:normal, count:5],[effect:fix_speed, target:myself, turn:2]</v>
      </c>
      <c r="O67" s="106">
        <f t="shared" si="26"/>
        <v>9</v>
      </c>
      <c r="P67" s="106">
        <f t="shared" si="27"/>
        <v>27</v>
      </c>
      <c r="Q67" s="106">
        <f t="shared" si="28"/>
        <v>54</v>
      </c>
      <c r="R67" s="106">
        <f t="shared" si="29"/>
        <v>45</v>
      </c>
      <c r="S67" s="106" t="str">
        <f>IFERROR(VLOOKUP(MID(N67,Q67,R67-Q67),[5]skilldef!$C:$D,2,FALSE),"-") &amp; " / " &amp; IFERROR(VLOOKUP(MID(N67,O67,P67-O67),[5]skilldef!$A:$B,2,FALSE),"-")</f>
        <v>- / -</v>
      </c>
      <c r="T67" s="104" t="str">
        <f t="shared" si="30"/>
        <v>[effect:panel_freeze, target:normal, count:5],[effect:fix_speed, target:myself, turn:2]</v>
      </c>
      <c r="U67" s="106">
        <f t="shared" si="31"/>
        <v>9</v>
      </c>
      <c r="V67" s="106">
        <f t="shared" si="32"/>
        <v>21</v>
      </c>
      <c r="W67" s="106">
        <f t="shared" si="33"/>
        <v>30</v>
      </c>
      <c r="X67" s="106">
        <f t="shared" si="34"/>
        <v>36</v>
      </c>
      <c r="Y67" s="106" t="str">
        <f>IFERROR(VLOOKUP(MID(T67,W67,X67-W67),[5]skilldef!$C:$D,2,FALSE),"-") &amp; " / " &amp; IFERROR(VLOOKUP(MID(T67,U67,V67-U67),[5]skilldef!$A:$B,2,FALSE),"-")</f>
        <v>- / -</v>
      </c>
      <c r="Z67" s="105"/>
      <c r="AA67" s="107"/>
      <c r="AB67" s="106" t="s">
        <v>231</v>
      </c>
      <c r="AC67" s="106" t="s">
        <v>230</v>
      </c>
    </row>
    <row r="68" spans="1:29" ht="43" customHeight="1" x14ac:dyDescent="0.15">
      <c r="A68" s="104">
        <v>48503067</v>
      </c>
      <c r="B68" s="104" t="s">
        <v>395</v>
      </c>
      <c r="C68" s="105">
        <v>3</v>
      </c>
      <c r="D68" s="105" t="s">
        <v>143</v>
      </c>
      <c r="E68" s="106" t="s">
        <v>406</v>
      </c>
      <c r="F68" s="106" t="s">
        <v>457</v>
      </c>
      <c r="G68" s="106" t="str">
        <f t="shared" si="19"/>
        <v>[effect:enemy_message, val1:2.0, val2:3.5]</v>
      </c>
      <c r="H68" s="106">
        <f t="shared" si="20"/>
        <v>9</v>
      </c>
      <c r="I68" s="106">
        <f t="shared" si="21"/>
        <v>22</v>
      </c>
      <c r="J68" s="106" t="e">
        <f t="shared" si="22"/>
        <v>#VALUE!</v>
      </c>
      <c r="K68" s="106">
        <f t="shared" si="23"/>
        <v>32</v>
      </c>
      <c r="L68" s="106" t="str">
        <f>IFERROR(VLOOKUP(MID(G68,J68,K68-J68),[5]skilldef!$C:$D,2,FALSE),"-") &amp; " / " &amp; IFERROR(VLOOKUP(MID(G68,H68,I68-H68),[5]skilldef!$A:$B,2,FALSE),"-")</f>
        <v>- / -</v>
      </c>
      <c r="M68" s="106" t="str">
        <f t="shared" si="24"/>
        <v>[effect:force_change_block, new_block:jammer, target:block_all, ignore01:block_positive, ignore02:block_negative, count:2, val:0, animation:change_block],[effect:panel_freeze, target:normal, count:5],[effect:fix_speed, target:myself, turn:2]</v>
      </c>
      <c r="N68" s="104" t="str">
        <f>IFERROR(LEFT(M68,FIND("],",M68)+S76),M68)</f>
        <v>[effect:force_change_block, new_block:jammer, target:block_all, ignore01:block_positive, ignore02:block_negative, count:2, val:0, animation:change_block],[effect:panel_freeze, target:normal, count:5],[effect:fix_speed, target:myself, turn:2]</v>
      </c>
      <c r="O68" s="106">
        <f t="shared" si="26"/>
        <v>9</v>
      </c>
      <c r="P68" s="106">
        <f t="shared" si="27"/>
        <v>27</v>
      </c>
      <c r="Q68" s="106">
        <f t="shared" si="28"/>
        <v>54</v>
      </c>
      <c r="R68" s="106">
        <f t="shared" si="29"/>
        <v>45</v>
      </c>
      <c r="S68" s="106" t="str">
        <f>IFERROR(VLOOKUP(MID(N68,Q68,R68-Q68),[5]skilldef!$C:$D,2,FALSE),"-") &amp; " / " &amp; IFERROR(VLOOKUP(MID(N68,O68,P68-O68),[5]skilldef!$A:$B,2,FALSE),"-")</f>
        <v>- / -</v>
      </c>
      <c r="T68" s="104" t="str">
        <f t="shared" si="30"/>
        <v>[effect:panel_freeze, target:normal, count:5],[effect:fix_speed, target:myself, turn:2]</v>
      </c>
      <c r="U68" s="106">
        <f t="shared" si="31"/>
        <v>9</v>
      </c>
      <c r="V68" s="106">
        <f t="shared" si="32"/>
        <v>21</v>
      </c>
      <c r="W68" s="106">
        <f t="shared" si="33"/>
        <v>30</v>
      </c>
      <c r="X68" s="106">
        <f t="shared" si="34"/>
        <v>36</v>
      </c>
      <c r="Y68" s="106" t="str">
        <f>IFERROR(VLOOKUP(MID(T68,W68,X68-W68),[5]skilldef!$C:$D,2,FALSE),"-") &amp; " / " &amp; IFERROR(VLOOKUP(MID(T68,U68,V68-U68),[5]skilldef!$A:$B,2,FALSE),"-")</f>
        <v>- / -</v>
      </c>
      <c r="Z68" s="105"/>
      <c r="AA68" s="107"/>
      <c r="AB68" s="106" t="s">
        <v>232</v>
      </c>
      <c r="AC68" s="106" t="s">
        <v>230</v>
      </c>
    </row>
    <row r="69" spans="1:29" ht="43" customHeight="1" x14ac:dyDescent="0.15">
      <c r="A69" s="104">
        <v>48503068</v>
      </c>
      <c r="B69" s="104" t="s">
        <v>402</v>
      </c>
      <c r="C69" s="105">
        <v>3</v>
      </c>
      <c r="D69" s="105" t="s">
        <v>143</v>
      </c>
      <c r="E69" s="106" t="s">
        <v>467</v>
      </c>
      <c r="F69" s="106" t="s">
        <v>458</v>
      </c>
      <c r="G69" s="106" t="str">
        <f t="shared" si="19"/>
        <v>[effect:enemy_message, val1:1.2, val2:3.1]</v>
      </c>
      <c r="H69" s="106">
        <f t="shared" si="20"/>
        <v>9</v>
      </c>
      <c r="I69" s="106">
        <f t="shared" si="21"/>
        <v>22</v>
      </c>
      <c r="J69" s="106" t="e">
        <f t="shared" si="22"/>
        <v>#VALUE!</v>
      </c>
      <c r="K69" s="106">
        <f t="shared" si="23"/>
        <v>32</v>
      </c>
      <c r="L69" s="106" t="str">
        <f>IFERROR(VLOOKUP(MID(G69,J69,K69-J69),[5]skilldef!$C:$D,2,FALSE),"-") &amp; " / " &amp; IFERROR(VLOOKUP(MID(G69,H69,I69-H69),[5]skilldef!$A:$B,2,FALSE),"-")</f>
        <v>- / -</v>
      </c>
      <c r="M69" s="106" t="str">
        <f t="shared" si="24"/>
        <v>[effect:break_enchance_enemy, target:myself, val:0.08, lowest_val:0.01, count:-1, status:attack, turn:2, block01:jammer, calc:mul, animation:enemy_enhance_attack],[effect:freq_turn, target:myself, turn:2, val:1, animation:enemy_freq_turn]</v>
      </c>
      <c r="N69" s="104" t="str">
        <f t="shared" ref="N69:N73" si="35">IFERROR(LEFT(M69,FIND("],",M69)+S77),M69)</f>
        <v>[effect:break_enchance_enemy, target:myself, val:0.08, lowest_val:0.01, count:-1, status:attack, turn:2, block01:jammer, calc:mul, animation:enemy_enhance_attack],[effect:freq_turn, target:myself, turn:2, val:1, animation:enemy_freq_turn]</v>
      </c>
      <c r="O69" s="106">
        <f t="shared" si="26"/>
        <v>9</v>
      </c>
      <c r="P69" s="106">
        <f t="shared" si="27"/>
        <v>29</v>
      </c>
      <c r="Q69" s="106">
        <f t="shared" si="28"/>
        <v>38</v>
      </c>
      <c r="R69" s="106">
        <f t="shared" si="29"/>
        <v>44</v>
      </c>
      <c r="S69" s="106" t="str">
        <f>IFERROR(VLOOKUP(MID(N69,Q69,R69-Q69),[5]skilldef!$C:$D,2,FALSE),"-") &amp; " / " &amp; IFERROR(VLOOKUP(MID(N69,O69,P69-O69),[5]skilldef!$A:$B,2,FALSE),"-")</f>
        <v>自分自身に / -</v>
      </c>
      <c r="T69" s="104" t="str">
        <f t="shared" si="30"/>
        <v>[effect:freq_turn, target:myself, turn:2, val:1, animation:enemy_freq_turn]</v>
      </c>
      <c r="U69" s="106">
        <f t="shared" si="31"/>
        <v>9</v>
      </c>
      <c r="V69" s="106">
        <f t="shared" si="32"/>
        <v>18</v>
      </c>
      <c r="W69" s="106">
        <f t="shared" si="33"/>
        <v>27</v>
      </c>
      <c r="X69" s="106">
        <f t="shared" si="34"/>
        <v>33</v>
      </c>
      <c r="Y69" s="106" t="str">
        <f>IFERROR(VLOOKUP(MID(T69,W69,X69-W69),[5]skilldef!$C:$D,2,FALSE),"-") &amp; " / " &amp; IFERROR(VLOOKUP(MID(T69,U69,V69-U69),[5]skilldef!$A:$B,2,FALSE),"-")</f>
        <v>自分自身に / 攻撃頻度がUP</v>
      </c>
      <c r="Z69" s="105"/>
      <c r="AA69" s="107"/>
      <c r="AB69" s="106" t="s">
        <v>234</v>
      </c>
      <c r="AC69" s="106" t="s">
        <v>233</v>
      </c>
    </row>
    <row r="70" spans="1:29" ht="43" customHeight="1" x14ac:dyDescent="0.15">
      <c r="A70" s="104">
        <v>48503069</v>
      </c>
      <c r="B70" s="104" t="s">
        <v>338</v>
      </c>
      <c r="C70" s="105">
        <v>3</v>
      </c>
      <c r="D70" s="105" t="s">
        <v>143</v>
      </c>
      <c r="E70" s="106" t="s">
        <v>475</v>
      </c>
      <c r="F70" s="106" t="s">
        <v>434</v>
      </c>
      <c r="G70" s="106" t="str">
        <f t="shared" si="19"/>
        <v>[effect:enemy_message, val1:2.0, val2:2.3]</v>
      </c>
      <c r="H70" s="106">
        <f t="shared" si="20"/>
        <v>9</v>
      </c>
      <c r="I70" s="106">
        <f t="shared" si="21"/>
        <v>22</v>
      </c>
      <c r="J70" s="106" t="e">
        <f t="shared" si="22"/>
        <v>#VALUE!</v>
      </c>
      <c r="K70" s="106">
        <f t="shared" si="23"/>
        <v>32</v>
      </c>
      <c r="L70" s="106" t="str">
        <f>IFERROR(VLOOKUP(MID(G70,J70,K70-J70),[5]skilldef!$C:$D,2,FALSE),"-") &amp; " / " &amp; IFERROR(VLOOKUP(MID(G70,H70,I70-H70),[5]skilldef!$A:$B,2,FALSE),"-")</f>
        <v>- / -</v>
      </c>
      <c r="M70" s="106" t="str">
        <f t="shared" si="24"/>
        <v>[effect:damage_anti_tribe, target:unit_all, tribe:human, val1:0.7, val2:0.25]</v>
      </c>
      <c r="N70" s="104" t="str">
        <f t="shared" si="35"/>
        <v>[effect:damage_anti_tribe, target:unit_all, tribe:human, val1:0.7, val2:0.25]</v>
      </c>
      <c r="O70" s="106">
        <f t="shared" si="26"/>
        <v>9</v>
      </c>
      <c r="P70" s="106">
        <f t="shared" si="27"/>
        <v>26</v>
      </c>
      <c r="Q70" s="106">
        <f t="shared" si="28"/>
        <v>35</v>
      </c>
      <c r="R70" s="106">
        <f t="shared" si="29"/>
        <v>43</v>
      </c>
      <c r="S70" s="106" t="str">
        <f>IFERROR(VLOOKUP(MID(N70,Q70,R70-Q70),[5]skilldef!$C:$D,2,FALSE),"-") &amp; " / " &amp; IFERROR(VLOOKUP(MID(N70,O70,P70-O70),[5]skilldef!$A:$B,2,FALSE),"-")</f>
        <v>味方全体に / 種族キラー</v>
      </c>
      <c r="T70" s="104" t="str">
        <f t="shared" si="30"/>
        <v>none</v>
      </c>
      <c r="U70" s="106" t="e">
        <f t="shared" si="31"/>
        <v>#VALUE!</v>
      </c>
      <c r="V70" s="106">
        <f t="shared" si="32"/>
        <v>4</v>
      </c>
      <c r="W70" s="106" t="e">
        <f t="shared" si="33"/>
        <v>#VALUE!</v>
      </c>
      <c r="X70" s="106" t="e">
        <f t="shared" si="34"/>
        <v>#VALUE!</v>
      </c>
      <c r="Y70" s="106" t="str">
        <f>IFERROR(VLOOKUP(MID(T70,W70,X70-W70),[5]skilldef!$C:$D,2,FALSE),"-") &amp; " / " &amp; IFERROR(VLOOKUP(MID(T70,U70,V70-U70),[5]skilldef!$A:$B,2,FALSE),"-")</f>
        <v>- / -</v>
      </c>
      <c r="Z70" s="105"/>
      <c r="AA70" s="107"/>
      <c r="AB70" s="106" t="s">
        <v>236</v>
      </c>
      <c r="AC70" s="106" t="s">
        <v>235</v>
      </c>
    </row>
    <row r="71" spans="1:29" ht="43" customHeight="1" x14ac:dyDescent="0.15">
      <c r="A71" s="104">
        <v>48503070</v>
      </c>
      <c r="B71" s="104" t="s">
        <v>396</v>
      </c>
      <c r="C71" s="105">
        <v>3</v>
      </c>
      <c r="D71" s="105" t="s">
        <v>143</v>
      </c>
      <c r="E71" s="106" t="s">
        <v>476</v>
      </c>
      <c r="F71" s="106" t="s">
        <v>454</v>
      </c>
      <c r="G71" s="106" t="str">
        <f t="shared" si="19"/>
        <v>[effect:enemy_message, val1:1.5, val2:2.0]</v>
      </c>
      <c r="H71" s="106">
        <f t="shared" si="20"/>
        <v>9</v>
      </c>
      <c r="I71" s="106">
        <f t="shared" si="21"/>
        <v>22</v>
      </c>
      <c r="J71" s="106" t="e">
        <f t="shared" si="22"/>
        <v>#VALUE!</v>
      </c>
      <c r="K71" s="106">
        <f t="shared" si="23"/>
        <v>32</v>
      </c>
      <c r="L71" s="106" t="str">
        <f>IFERROR(VLOOKUP(MID(G71,J71,K71-J71),[5]skilldef!$C:$D,2,FALSE),"-") &amp; " / " &amp; IFERROR(VLOOKUP(MID(G71,H71,I71-H71),[5]skilldef!$A:$B,2,FALSE),"-")</f>
        <v>- / -</v>
      </c>
      <c r="M71" s="106" t="str">
        <f t="shared" si="24"/>
        <v>[effect:degrade_unit, target:unit_all, turn:2, status:heal, val:0.4, calc:mul, animation:degrade_unit_all_heal]</v>
      </c>
      <c r="N71" s="104" t="str">
        <f t="shared" si="35"/>
        <v>[effect:degrade_unit, target:unit_all, turn:2, status:heal, val:0.4, calc:mul, animation:degrade_unit_all_heal]</v>
      </c>
      <c r="O71" s="106">
        <f t="shared" si="26"/>
        <v>9</v>
      </c>
      <c r="P71" s="106">
        <f t="shared" si="27"/>
        <v>21</v>
      </c>
      <c r="Q71" s="106">
        <f t="shared" si="28"/>
        <v>30</v>
      </c>
      <c r="R71" s="106">
        <f t="shared" si="29"/>
        <v>38</v>
      </c>
      <c r="S71" s="106" t="str">
        <f>IFERROR(VLOOKUP(MID(N71,Q71,R71-Q71),[5]skilldef!$C:$D,2,FALSE),"-") &amp; " / " &amp; IFERROR(VLOOKUP(MID(N71,O71,P71-O71),[5]skilldef!$A:$B,2,FALSE),"-")</f>
        <v>味方全体に / ステータスDOWN</v>
      </c>
      <c r="T71" s="104" t="str">
        <f t="shared" si="30"/>
        <v>none</v>
      </c>
      <c r="U71" s="106" t="e">
        <f t="shared" si="31"/>
        <v>#VALUE!</v>
      </c>
      <c r="V71" s="106">
        <f t="shared" si="32"/>
        <v>4</v>
      </c>
      <c r="W71" s="106" t="e">
        <f t="shared" si="33"/>
        <v>#VALUE!</v>
      </c>
      <c r="X71" s="106" t="e">
        <f t="shared" si="34"/>
        <v>#VALUE!</v>
      </c>
      <c r="Y71" s="106" t="str">
        <f>IFERROR(VLOOKUP(MID(T71,W71,X71-W71),[5]skilldef!$C:$D,2,FALSE),"-") &amp; " / " &amp; IFERROR(VLOOKUP(MID(T71,U71,V71-U71),[5]skilldef!$A:$B,2,FALSE),"-")</f>
        <v>- / -</v>
      </c>
      <c r="Z71" s="105"/>
      <c r="AA71" s="107"/>
      <c r="AB71" s="106" t="s">
        <v>237</v>
      </c>
      <c r="AC71" s="106" t="s">
        <v>238</v>
      </c>
    </row>
    <row r="72" spans="1:29" ht="43" customHeight="1" x14ac:dyDescent="0.15">
      <c r="A72" s="104">
        <v>48503071</v>
      </c>
      <c r="B72" s="104" t="s">
        <v>338</v>
      </c>
      <c r="C72" s="105">
        <v>3</v>
      </c>
      <c r="D72" s="105" t="s">
        <v>143</v>
      </c>
      <c r="E72" s="106" t="s">
        <v>475</v>
      </c>
      <c r="F72" s="106" t="s">
        <v>434</v>
      </c>
      <c r="G72" s="106" t="str">
        <f t="shared" si="19"/>
        <v>[effect:enemy_message, val1:2.0, val2:2.3]</v>
      </c>
      <c r="H72" s="106">
        <f t="shared" si="20"/>
        <v>9</v>
      </c>
      <c r="I72" s="106">
        <f t="shared" si="21"/>
        <v>22</v>
      </c>
      <c r="J72" s="106" t="e">
        <f t="shared" si="22"/>
        <v>#VALUE!</v>
      </c>
      <c r="K72" s="106">
        <f t="shared" si="23"/>
        <v>32</v>
      </c>
      <c r="L72" s="106" t="str">
        <f>IFERROR(VLOOKUP(MID(G72,J72,K72-J72),[5]skilldef!$C:$D,2,FALSE),"-") &amp; " / " &amp; IFERROR(VLOOKUP(MID(G72,H72,I72-H72),[5]skilldef!$A:$B,2,FALSE),"-")</f>
        <v>- / -</v>
      </c>
      <c r="M72" s="106" t="str">
        <f t="shared" si="24"/>
        <v>[effect:damage_anti_tribe, target:unit_all, tribe:human, val1:0.7, val2:0.25]</v>
      </c>
      <c r="N72" s="104" t="str">
        <f t="shared" si="35"/>
        <v>[effect:damage_anti_tribe, target:unit_all, tribe:human, val1:0.7, val2:0.25]</v>
      </c>
      <c r="O72" s="106">
        <f t="shared" si="26"/>
        <v>9</v>
      </c>
      <c r="P72" s="106">
        <f t="shared" si="27"/>
        <v>26</v>
      </c>
      <c r="Q72" s="106">
        <f t="shared" si="28"/>
        <v>35</v>
      </c>
      <c r="R72" s="106">
        <f t="shared" si="29"/>
        <v>43</v>
      </c>
      <c r="S72" s="106" t="str">
        <f>IFERROR(VLOOKUP(MID(N72,Q72,R72-Q72),[5]skilldef!$C:$D,2,FALSE),"-") &amp; " / " &amp; IFERROR(VLOOKUP(MID(N72,O72,P72-O72),[5]skilldef!$A:$B,2,FALSE),"-")</f>
        <v>味方全体に / 種族キラー</v>
      </c>
      <c r="T72" s="104" t="str">
        <f t="shared" si="30"/>
        <v>none</v>
      </c>
      <c r="U72" s="106" t="e">
        <f t="shared" si="31"/>
        <v>#VALUE!</v>
      </c>
      <c r="V72" s="106">
        <f t="shared" si="32"/>
        <v>4</v>
      </c>
      <c r="W72" s="106" t="e">
        <f t="shared" si="33"/>
        <v>#VALUE!</v>
      </c>
      <c r="X72" s="106" t="e">
        <f t="shared" si="34"/>
        <v>#VALUE!</v>
      </c>
      <c r="Y72" s="106" t="str">
        <f>IFERROR(VLOOKUP(MID(T72,W72,X72-W72),[5]skilldef!$C:$D,2,FALSE),"-") &amp; " / " &amp; IFERROR(VLOOKUP(MID(T72,U72,V72-U72),[5]skilldef!$A:$B,2,FALSE),"-")</f>
        <v>- / -</v>
      </c>
      <c r="Z72" s="105"/>
      <c r="AA72" s="107"/>
      <c r="AB72" s="106" t="s">
        <v>239</v>
      </c>
      <c r="AC72" s="106" t="s">
        <v>235</v>
      </c>
    </row>
    <row r="73" spans="1:29" ht="43" customHeight="1" x14ac:dyDescent="0.15">
      <c r="A73" s="104">
        <v>48503072</v>
      </c>
      <c r="B73" s="104" t="s">
        <v>507</v>
      </c>
      <c r="C73" s="105">
        <v>3</v>
      </c>
      <c r="D73" s="105" t="s">
        <v>143</v>
      </c>
      <c r="E73" s="106" t="s">
        <v>468</v>
      </c>
      <c r="F73" s="106" t="s">
        <v>508</v>
      </c>
      <c r="G73" s="106" t="str">
        <f t="shared" si="19"/>
        <v>[effect:enemy_message, val1:2.2, val2:2.3]</v>
      </c>
      <c r="H73" s="106">
        <f t="shared" si="20"/>
        <v>9</v>
      </c>
      <c r="I73" s="106">
        <f t="shared" si="21"/>
        <v>22</v>
      </c>
      <c r="J73" s="106" t="e">
        <f t="shared" si="22"/>
        <v>#VALUE!</v>
      </c>
      <c r="K73" s="106">
        <f t="shared" si="23"/>
        <v>32</v>
      </c>
      <c r="L73" s="106" t="str">
        <f>IFERROR(VLOOKUP(MID(G73,J73,K73-J73),[5]skilldef!$C:$D,2,FALSE),"-") &amp; " / " &amp; IFERROR(VLOOKUP(MID(G73,H73,I73-H73),[5]skilldef!$A:$B,2,FALSE),"-")</f>
        <v>- / -</v>
      </c>
      <c r="M73" s="106" t="str">
        <f t="shared" si="24"/>
        <v>[effect:force_change_block, new_block:jammer, target:block_all, ignore01:block_positive, ignore02:block_negative, count:3, val:0, animation:change_block],[effect:damage_gravity, val:0.3, animation:fevergauge_down],[effect:fix_speed, target:myself, turn:1]</v>
      </c>
      <c r="N73" s="104" t="str">
        <f t="shared" si="35"/>
        <v>[effect:force_change_block, new_block:jammer, target:block_all, ignore01:block_positive, ignore02:block_negative, count:3, val:0, animation:change_block],[effect:damage_gravity, val:0.3, animation:fevergauge_down],[effect:fix_speed, target:myself, turn:1]</v>
      </c>
      <c r="O73" s="106">
        <f t="shared" si="26"/>
        <v>9</v>
      </c>
      <c r="P73" s="106">
        <f t="shared" si="27"/>
        <v>27</v>
      </c>
      <c r="Q73" s="106">
        <f t="shared" si="28"/>
        <v>54</v>
      </c>
      <c r="R73" s="106">
        <f t="shared" si="29"/>
        <v>45</v>
      </c>
      <c r="S73" s="106" t="str">
        <f>IFERROR(VLOOKUP(MID(N73,Q73,R73-Q73),[5]skilldef!$C:$D,2,FALSE),"-") &amp; " / " &amp; IFERROR(VLOOKUP(MID(N73,O73,P73-O73),[5]skilldef!$A:$B,2,FALSE),"-")</f>
        <v>- / -</v>
      </c>
      <c r="T73" s="104" t="str">
        <f t="shared" si="30"/>
        <v>[effect:damage_gravity, val:0.3, animation:fevergauge_down],[effect:fix_speed, target:myself, turn:1]</v>
      </c>
      <c r="U73" s="106">
        <f t="shared" si="31"/>
        <v>9</v>
      </c>
      <c r="V73" s="106">
        <f t="shared" si="32"/>
        <v>23</v>
      </c>
      <c r="W73" s="106">
        <f t="shared" si="33"/>
        <v>87</v>
      </c>
      <c r="X73" s="106">
        <f t="shared" si="34"/>
        <v>32</v>
      </c>
      <c r="Y73" s="106" t="str">
        <f>IFERROR(VLOOKUP(MID(T73,W73,X73-W73),[5]skilldef!$C:$D,2,FALSE),"-") &amp; " / " &amp; IFERROR(VLOOKUP(MID(T73,U73,V73-U73),[5]skilldef!$A:$B,2,FALSE),"-")</f>
        <v>- / 割合ダメージ</v>
      </c>
      <c r="Z73" s="105"/>
      <c r="AA73" s="107"/>
      <c r="AB73" s="106" t="s">
        <v>241</v>
      </c>
      <c r="AC73" s="106" t="s">
        <v>240</v>
      </c>
    </row>
    <row r="74" spans="1:29" ht="43" customHeight="1" x14ac:dyDescent="0.15">
      <c r="A74" s="104">
        <v>48503073</v>
      </c>
      <c r="B74" s="104" t="s">
        <v>357</v>
      </c>
      <c r="C74" s="105">
        <v>3</v>
      </c>
      <c r="D74" s="105" t="s">
        <v>143</v>
      </c>
      <c r="E74" s="106" t="s">
        <v>477</v>
      </c>
      <c r="F74" s="106" t="s">
        <v>440</v>
      </c>
      <c r="G74" s="106" t="str">
        <f t="shared" si="19"/>
        <v>[effect:enemy_message, val1:1.2, val2:2.3]</v>
      </c>
      <c r="H74" s="106">
        <f t="shared" si="20"/>
        <v>9</v>
      </c>
      <c r="I74" s="106">
        <f t="shared" si="21"/>
        <v>22</v>
      </c>
      <c r="J74" s="106" t="e">
        <f t="shared" si="22"/>
        <v>#VALUE!</v>
      </c>
      <c r="K74" s="106">
        <f t="shared" si="23"/>
        <v>32</v>
      </c>
      <c r="L74" s="106" t="str">
        <f>IFERROR(VLOOKUP(MID(G74,J74,K74-J74),[5]skilldef!$C:$D,2,FALSE),"-") &amp; " / " &amp; IFERROR(VLOOKUP(MID(G74,H74,I74-H74),[5]skilldef!$A:$B,2,FALSE),"-")</f>
        <v>- / -</v>
      </c>
      <c r="M74" s="106" t="str">
        <f t="shared" si="24"/>
        <v>[effect:force_change_block, new_block:jammer, target:block_all, ignore01:block_positive, ignore02:block_negative, count:2, val:0, animation:change_block],[effect:rush, count:1, val:1]</v>
      </c>
      <c r="N74" s="104" t="str">
        <f>IFERROR(LEFT(M74,FIND("],",M74)+S85),M74)</f>
        <v>[effect:force_change_block, new_block:jammer, target:block_all, ignore01:block_positive, ignore02:block_negative, count:2, val:0, animation:change_block],[effect:rush, count:1, val:1]</v>
      </c>
      <c r="O74" s="106">
        <f t="shared" si="26"/>
        <v>9</v>
      </c>
      <c r="P74" s="106">
        <f t="shared" si="27"/>
        <v>27</v>
      </c>
      <c r="Q74" s="106">
        <f t="shared" si="28"/>
        <v>54</v>
      </c>
      <c r="R74" s="106">
        <f t="shared" si="29"/>
        <v>45</v>
      </c>
      <c r="S74" s="106" t="str">
        <f>IFERROR(VLOOKUP(MID(N74,Q74,R74-Q74),[5]skilldef!$C:$D,2,FALSE),"-") &amp; " / " &amp; IFERROR(VLOOKUP(MID(N74,O74,P74-O74),[5]skilldef!$A:$B,2,FALSE),"-")</f>
        <v>- / -</v>
      </c>
      <c r="T74" s="104" t="str">
        <f t="shared" si="30"/>
        <v>[effect:rush, count:1, val:1]</v>
      </c>
      <c r="U74" s="106">
        <f t="shared" si="31"/>
        <v>9</v>
      </c>
      <c r="V74" s="106">
        <f t="shared" si="32"/>
        <v>13</v>
      </c>
      <c r="W74" s="106" t="e">
        <f t="shared" si="33"/>
        <v>#VALUE!</v>
      </c>
      <c r="X74" s="106">
        <f t="shared" si="34"/>
        <v>22</v>
      </c>
      <c r="Y74" s="106" t="str">
        <f>IFERROR(VLOOKUP(MID(T74,W74,X74-W74),[5]skilldef!$C:$D,2,FALSE),"-") &amp; " / " &amp; IFERROR(VLOOKUP(MID(T74,U74,V74-U74),[5]skilldef!$A:$B,2,FALSE),"-")</f>
        <v>- / 連続攻撃</v>
      </c>
      <c r="Z74" s="105"/>
      <c r="AA74" s="107"/>
      <c r="AB74" s="106" t="s">
        <v>243</v>
      </c>
      <c r="AC74" s="106" t="s">
        <v>242</v>
      </c>
    </row>
    <row r="75" spans="1:29" ht="43" customHeight="1" x14ac:dyDescent="0.15">
      <c r="A75" s="104">
        <v>48503074</v>
      </c>
      <c r="B75" s="104" t="s">
        <v>364</v>
      </c>
      <c r="C75" s="105">
        <v>3</v>
      </c>
      <c r="D75" s="105" t="s">
        <v>143</v>
      </c>
      <c r="E75" s="106" t="s">
        <v>469</v>
      </c>
      <c r="F75" s="106" t="s">
        <v>459</v>
      </c>
      <c r="G75" s="106" t="str">
        <f t="shared" si="19"/>
        <v>[effect:enemy_message, val1:1.3, val2:2.5]</v>
      </c>
      <c r="H75" s="106">
        <f t="shared" si="20"/>
        <v>9</v>
      </c>
      <c r="I75" s="106">
        <f t="shared" si="21"/>
        <v>22</v>
      </c>
      <c r="J75" s="106" t="e">
        <f t="shared" si="22"/>
        <v>#VALUE!</v>
      </c>
      <c r="K75" s="106">
        <f t="shared" si="23"/>
        <v>32</v>
      </c>
      <c r="L75" s="106" t="str">
        <f>IFERROR(VLOOKUP(MID(G75,J75,K75-J75),[5]skilldef!$C:$D,2,FALSE),"-") &amp; " / " &amp; IFERROR(VLOOKUP(MID(G75,H75,I75-H75),[5]skilldef!$A:$B,2,FALSE),"-")</f>
        <v>- / -</v>
      </c>
      <c r="M75" s="106" t="str">
        <f t="shared" si="24"/>
        <v>[effect:force_change_block, new_block:jammer, target:block_all, ignore01:block_positive, ignore02:block_negative, count:2, val:0, animation:change_block],[effect:rush, count:2, val:0.6]</v>
      </c>
      <c r="N75" s="104" t="str">
        <f>IFERROR(LEFT(M75,FIND("],",M75)+S86),M75)</f>
        <v>[effect:force_change_block, new_block:jammer, target:block_all, ignore01:block_positive, ignore02:block_negative, count:2, val:0, animation:change_block],[effect:rush, count:2, val:0.6]</v>
      </c>
      <c r="O75" s="106">
        <f t="shared" si="26"/>
        <v>9</v>
      </c>
      <c r="P75" s="106">
        <f t="shared" si="27"/>
        <v>27</v>
      </c>
      <c r="Q75" s="106">
        <f t="shared" si="28"/>
        <v>54</v>
      </c>
      <c r="R75" s="106">
        <f t="shared" si="29"/>
        <v>45</v>
      </c>
      <c r="S75" s="106" t="str">
        <f>IFERROR(VLOOKUP(MID(N75,Q75,R75-Q75),[5]skilldef!$C:$D,2,FALSE),"-") &amp; " / " &amp; IFERROR(VLOOKUP(MID(N75,O75,P75-O75),[5]skilldef!$A:$B,2,FALSE),"-")</f>
        <v>- / -</v>
      </c>
      <c r="T75" s="104" t="str">
        <f t="shared" si="30"/>
        <v>[effect:rush, count:2, val:0.6]</v>
      </c>
      <c r="U75" s="106">
        <f t="shared" si="31"/>
        <v>9</v>
      </c>
      <c r="V75" s="106">
        <f t="shared" si="32"/>
        <v>13</v>
      </c>
      <c r="W75" s="106" t="e">
        <f t="shared" si="33"/>
        <v>#VALUE!</v>
      </c>
      <c r="X75" s="106">
        <f t="shared" si="34"/>
        <v>22</v>
      </c>
      <c r="Y75" s="106" t="str">
        <f>IFERROR(VLOOKUP(MID(T75,W75,X75-W75),[5]skilldef!$C:$D,2,FALSE),"-") &amp; " / " &amp; IFERROR(VLOOKUP(MID(T75,U75,V75-U75),[5]skilldef!$A:$B,2,FALSE),"-")</f>
        <v>- / 連続攻撃</v>
      </c>
      <c r="Z75" s="105"/>
      <c r="AA75" s="107"/>
      <c r="AB75" s="106" t="s">
        <v>243</v>
      </c>
      <c r="AC75" s="106" t="s">
        <v>244</v>
      </c>
    </row>
    <row r="76" spans="1:29" ht="43" customHeight="1" x14ac:dyDescent="0.15">
      <c r="A76" s="104">
        <v>48503075</v>
      </c>
      <c r="B76" s="104" t="s">
        <v>380</v>
      </c>
      <c r="C76" s="105">
        <v>3</v>
      </c>
      <c r="D76" s="105" t="s">
        <v>143</v>
      </c>
      <c r="E76" s="106" t="s">
        <v>407</v>
      </c>
      <c r="F76" s="106" t="s">
        <v>438</v>
      </c>
      <c r="G76" s="106" t="str">
        <f t="shared" si="19"/>
        <v>[effect:enemy_message, val1:1.2, val2:1.2]</v>
      </c>
      <c r="H76" s="106">
        <f t="shared" si="20"/>
        <v>9</v>
      </c>
      <c r="I76" s="106">
        <f t="shared" si="21"/>
        <v>22</v>
      </c>
      <c r="J76" s="106" t="e">
        <f t="shared" si="22"/>
        <v>#VALUE!</v>
      </c>
      <c r="K76" s="106">
        <f t="shared" si="23"/>
        <v>32</v>
      </c>
      <c r="L76" s="106" t="str">
        <f>IFERROR(VLOOKUP(MID(G76,J76,K76-J76),[5]skilldef!$C:$D,2,FALSE),"-") &amp; " / " &amp; IFERROR(VLOOKUP(MID(G76,H76,I76-H76),[5]skilldef!$A:$B,2,FALSE),"-")</f>
        <v>- / -</v>
      </c>
      <c r="M76" s="106" t="str">
        <f t="shared" si="24"/>
        <v>[effect:rush, count:4, val:0.35]</v>
      </c>
      <c r="N76" s="104" t="str">
        <f>IFERROR(LEFT(M76,FIND("],",M76)+S86),M76)</f>
        <v>[effect:rush, count:4, val:0.35]</v>
      </c>
      <c r="O76" s="106">
        <f t="shared" si="26"/>
        <v>9</v>
      </c>
      <c r="P76" s="106">
        <f t="shared" si="27"/>
        <v>13</v>
      </c>
      <c r="Q76" s="106" t="e">
        <f t="shared" si="28"/>
        <v>#VALUE!</v>
      </c>
      <c r="R76" s="106">
        <f t="shared" si="29"/>
        <v>22</v>
      </c>
      <c r="S76" s="106" t="str">
        <f>IFERROR(VLOOKUP(MID(N76,Q76,R76-Q76),[5]skilldef!$C:$D,2,FALSE),"-") &amp; " / " &amp; IFERROR(VLOOKUP(MID(N76,O76,P76-O76),[5]skilldef!$A:$B,2,FALSE),"-")</f>
        <v>- / 連続攻撃</v>
      </c>
      <c r="T76" s="104" t="str">
        <f t="shared" si="30"/>
        <v>none</v>
      </c>
      <c r="U76" s="106" t="e">
        <f t="shared" si="31"/>
        <v>#VALUE!</v>
      </c>
      <c r="V76" s="106">
        <f t="shared" si="32"/>
        <v>4</v>
      </c>
      <c r="W76" s="106" t="e">
        <f t="shared" si="33"/>
        <v>#VALUE!</v>
      </c>
      <c r="X76" s="106" t="e">
        <f t="shared" si="34"/>
        <v>#VALUE!</v>
      </c>
      <c r="Y76" s="106" t="str">
        <f>IFERROR(VLOOKUP(MID(T76,W76,X76-W76),[5]skilldef!$C:$D,2,FALSE),"-") &amp; " / " &amp; IFERROR(VLOOKUP(MID(T76,U76,V76-U76),[5]skilldef!$A:$B,2,FALSE),"-")</f>
        <v>- / -</v>
      </c>
      <c r="Z76" s="105"/>
      <c r="AA76" s="107"/>
      <c r="AB76" s="106" t="s">
        <v>246</v>
      </c>
      <c r="AC76" s="106" t="s">
        <v>245</v>
      </c>
    </row>
    <row r="77" spans="1:29" ht="43" customHeight="1" x14ac:dyDescent="0.15">
      <c r="A77" s="104">
        <v>48503076</v>
      </c>
      <c r="B77" s="104" t="s">
        <v>365</v>
      </c>
      <c r="C77" s="105">
        <v>3</v>
      </c>
      <c r="D77" s="105" t="s">
        <v>143</v>
      </c>
      <c r="E77" s="106" t="s">
        <v>478</v>
      </c>
      <c r="F77" s="106" t="s">
        <v>460</v>
      </c>
      <c r="G77" s="106" t="str">
        <f t="shared" si="19"/>
        <v>[effect:enemy_message, val1:1.7, val2:2.3]</v>
      </c>
      <c r="H77" s="106">
        <f t="shared" si="20"/>
        <v>9</v>
      </c>
      <c r="I77" s="106">
        <f t="shared" si="21"/>
        <v>22</v>
      </c>
      <c r="J77" s="106" t="e">
        <f t="shared" si="22"/>
        <v>#VALUE!</v>
      </c>
      <c r="K77" s="106">
        <f t="shared" si="23"/>
        <v>32</v>
      </c>
      <c r="L77" s="106" t="str">
        <f>IFERROR(VLOOKUP(MID(G77,J77,K77-J77),[5]skilldef!$C:$D,2,FALSE),"-") &amp; " / " &amp; IFERROR(VLOOKUP(MID(G77,H77,I77-H77),[5]skilldef!$A:$B,2,FALSE),"-")</f>
        <v>- / -</v>
      </c>
      <c r="M77" s="106" t="str">
        <f t="shared" si="24"/>
        <v>[effect:force_change_block, new_block:jammer, target:block_all, ignore01:block_positive, ignore02:block_negative, count:3, val:0, animation:change_block],[effect:rush, count:1, val:1]</v>
      </c>
      <c r="N77" s="104" t="str">
        <f t="shared" ref="N77" si="36">IFERROR(LEFT(M77,FIND("],",M77)+S87),M77)</f>
        <v>[effect:force_change_block, new_block:jammer, target:block_all, ignore01:block_positive, ignore02:block_negative, count:3, val:0, animation:change_block],[effect:rush, count:1, val:1]</v>
      </c>
      <c r="O77" s="106">
        <f t="shared" si="26"/>
        <v>9</v>
      </c>
      <c r="P77" s="106">
        <f t="shared" si="27"/>
        <v>27</v>
      </c>
      <c r="Q77" s="106">
        <f t="shared" si="28"/>
        <v>54</v>
      </c>
      <c r="R77" s="106">
        <f t="shared" si="29"/>
        <v>45</v>
      </c>
      <c r="S77" s="106" t="str">
        <f>IFERROR(VLOOKUP(MID(N77,Q77,R77-Q77),[5]skilldef!$C:$D,2,FALSE),"-") &amp; " / " &amp; IFERROR(VLOOKUP(MID(N77,O77,P77-O77),[5]skilldef!$A:$B,2,FALSE),"-")</f>
        <v>- / -</v>
      </c>
      <c r="T77" s="104" t="str">
        <f t="shared" si="30"/>
        <v>[effect:rush, count:1, val:1]</v>
      </c>
      <c r="U77" s="106">
        <f t="shared" si="31"/>
        <v>9</v>
      </c>
      <c r="V77" s="106">
        <f t="shared" si="32"/>
        <v>13</v>
      </c>
      <c r="W77" s="106" t="e">
        <f t="shared" si="33"/>
        <v>#VALUE!</v>
      </c>
      <c r="X77" s="106">
        <f t="shared" si="34"/>
        <v>22</v>
      </c>
      <c r="Y77" s="106" t="str">
        <f>IFERROR(VLOOKUP(MID(T77,W77,X77-W77),[5]skilldef!$C:$D,2,FALSE),"-") &amp; " / " &amp; IFERROR(VLOOKUP(MID(T77,U77,V77-U77),[5]skilldef!$A:$B,2,FALSE),"-")</f>
        <v>- / 連続攻撃</v>
      </c>
      <c r="Z77" s="105"/>
      <c r="AA77" s="107"/>
      <c r="AB77" s="106" t="s">
        <v>248</v>
      </c>
      <c r="AC77" s="106" t="s">
        <v>247</v>
      </c>
    </row>
    <row r="78" spans="1:29" ht="43" customHeight="1" x14ac:dyDescent="0.15">
      <c r="A78" s="104">
        <v>48503077</v>
      </c>
      <c r="B78" s="104" t="s">
        <v>357</v>
      </c>
      <c r="C78" s="105">
        <v>3</v>
      </c>
      <c r="D78" s="105" t="s">
        <v>143</v>
      </c>
      <c r="E78" s="106" t="s">
        <v>477</v>
      </c>
      <c r="F78" s="106" t="s">
        <v>440</v>
      </c>
      <c r="G78" s="106" t="str">
        <f t="shared" si="19"/>
        <v>[effect:enemy_message, val1:1.2, val2:2.3]</v>
      </c>
      <c r="H78" s="106">
        <f t="shared" si="20"/>
        <v>9</v>
      </c>
      <c r="I78" s="106">
        <f t="shared" si="21"/>
        <v>22</v>
      </c>
      <c r="J78" s="106" t="e">
        <f t="shared" si="22"/>
        <v>#VALUE!</v>
      </c>
      <c r="K78" s="106">
        <f t="shared" si="23"/>
        <v>32</v>
      </c>
      <c r="L78" s="106" t="str">
        <f>IFERROR(VLOOKUP(MID(G78,J78,K78-J78),[5]skilldef!$C:$D,2,FALSE),"-") &amp; " / " &amp; IFERROR(VLOOKUP(MID(G78,H78,I78-H78),[5]skilldef!$A:$B,2,FALSE),"-")</f>
        <v>- / -</v>
      </c>
      <c r="M78" s="106" t="str">
        <f t="shared" si="24"/>
        <v>[effect:force_change_block, new_block:jammer, target:block_all, ignore01:block_positive, ignore02:block_negative, count:2, val:0, animation:change_block],[effect:rush, count:1, val:1]</v>
      </c>
      <c r="N78" s="104" t="str">
        <f>IFERROR(LEFT(M78,FIND("],",M78)+S89),M78)</f>
        <v>[effect:force_change_block, new_block:jammer, target:block_all, ignore01:block_positive, ignore02:block_negative, count:2, val:0, animation:change_block],[effect:rush, count:1, val:1]</v>
      </c>
      <c r="O78" s="106">
        <f t="shared" si="26"/>
        <v>9</v>
      </c>
      <c r="P78" s="106">
        <f t="shared" si="27"/>
        <v>27</v>
      </c>
      <c r="Q78" s="106">
        <f t="shared" si="28"/>
        <v>54</v>
      </c>
      <c r="R78" s="106">
        <f t="shared" si="29"/>
        <v>45</v>
      </c>
      <c r="S78" s="106" t="str">
        <f>IFERROR(VLOOKUP(MID(N78,Q78,R78-Q78),[5]skilldef!$C:$D,2,FALSE),"-") &amp; " / " &amp; IFERROR(VLOOKUP(MID(N78,O78,P78-O78),[5]skilldef!$A:$B,2,FALSE),"-")</f>
        <v>- / -</v>
      </c>
      <c r="T78" s="104" t="str">
        <f t="shared" si="30"/>
        <v>[effect:rush, count:1, val:1]</v>
      </c>
      <c r="U78" s="106">
        <f t="shared" si="31"/>
        <v>9</v>
      </c>
      <c r="V78" s="106">
        <f t="shared" si="32"/>
        <v>13</v>
      </c>
      <c r="W78" s="106" t="e">
        <f t="shared" si="33"/>
        <v>#VALUE!</v>
      </c>
      <c r="X78" s="106">
        <f t="shared" si="34"/>
        <v>22</v>
      </c>
      <c r="Y78" s="106" t="str">
        <f>IFERROR(VLOOKUP(MID(T78,W78,X78-W78),[5]skilldef!$C:$D,2,FALSE),"-") &amp; " / " &amp; IFERROR(VLOOKUP(MID(T78,U78,V78-U78),[5]skilldef!$A:$B,2,FALSE),"-")</f>
        <v>- / 連続攻撃</v>
      </c>
      <c r="Z78" s="105"/>
      <c r="AA78" s="107"/>
      <c r="AB78" s="106" t="s">
        <v>249</v>
      </c>
      <c r="AC78" s="106" t="s">
        <v>242</v>
      </c>
    </row>
    <row r="79" spans="1:29" ht="43" customHeight="1" x14ac:dyDescent="0.15">
      <c r="A79" s="104">
        <v>48503078</v>
      </c>
      <c r="B79" s="104" t="s">
        <v>366</v>
      </c>
      <c r="C79" s="105">
        <v>3</v>
      </c>
      <c r="D79" s="105" t="s">
        <v>143</v>
      </c>
      <c r="E79" s="106" t="s">
        <v>469</v>
      </c>
      <c r="F79" s="106" t="s">
        <v>461</v>
      </c>
      <c r="G79" s="106" t="str">
        <f t="shared" si="19"/>
        <v>[effect:enemy_message, val1:1.3, val2:2.3]</v>
      </c>
      <c r="H79" s="106">
        <f t="shared" si="20"/>
        <v>9</v>
      </c>
      <c r="I79" s="106">
        <f t="shared" si="21"/>
        <v>22</v>
      </c>
      <c r="J79" s="106" t="e">
        <f t="shared" si="22"/>
        <v>#VALUE!</v>
      </c>
      <c r="K79" s="106">
        <f t="shared" si="23"/>
        <v>32</v>
      </c>
      <c r="L79" s="106" t="str">
        <f>IFERROR(VLOOKUP(MID(G79,J79,K79-J79),[5]skilldef!$C:$D,2,FALSE),"-") &amp; " / " &amp; IFERROR(VLOOKUP(MID(G79,H79,I79-H79),[5]skilldef!$A:$B,2,FALSE),"-")</f>
        <v>- / -</v>
      </c>
      <c r="M79" s="106" t="str">
        <f t="shared" si="24"/>
        <v>[effect:force_change_block, new_block:jammer, target:block_all, ignore01:block_positive, ignore02:block_negative, count:2, val:0, animation:change_block],[effect:rush, count:2, val:0.6]</v>
      </c>
      <c r="N79" s="104" t="str">
        <f>IFERROR(LEFT(M79,FIND("],",M79)+#REF!),M79)</f>
        <v>[effect:force_change_block, new_block:jammer, target:block_all, ignore01:block_positive, ignore02:block_negative, count:2, val:0, animation:change_block],[effect:rush, count:2, val:0.6]</v>
      </c>
      <c r="O79" s="106">
        <f t="shared" si="26"/>
        <v>9</v>
      </c>
      <c r="P79" s="106">
        <f t="shared" si="27"/>
        <v>27</v>
      </c>
      <c r="Q79" s="106">
        <f t="shared" si="28"/>
        <v>54</v>
      </c>
      <c r="R79" s="106">
        <f t="shared" si="29"/>
        <v>45</v>
      </c>
      <c r="S79" s="106" t="str">
        <f>IFERROR(VLOOKUP(MID(N79,Q79,R79-Q79),[5]skilldef!$C:$D,2,FALSE),"-") &amp; " / " &amp; IFERROR(VLOOKUP(MID(N79,O79,P79-O79),[5]skilldef!$A:$B,2,FALSE),"-")</f>
        <v>- / -</v>
      </c>
      <c r="T79" s="104" t="str">
        <f t="shared" si="30"/>
        <v>[effect:rush, count:2, val:0.6]</v>
      </c>
      <c r="U79" s="106">
        <f t="shared" si="31"/>
        <v>9</v>
      </c>
      <c r="V79" s="106">
        <f t="shared" si="32"/>
        <v>13</v>
      </c>
      <c r="W79" s="106" t="e">
        <f t="shared" si="33"/>
        <v>#VALUE!</v>
      </c>
      <c r="X79" s="106">
        <f t="shared" si="34"/>
        <v>22</v>
      </c>
      <c r="Y79" s="106" t="str">
        <f>IFERROR(VLOOKUP(MID(T79,W79,X79-W79),[5]skilldef!$C:$D,2,FALSE),"-") &amp; " / " &amp; IFERROR(VLOOKUP(MID(T79,U79,V79-U79),[5]skilldef!$A:$B,2,FALSE),"-")</f>
        <v>- / 連続攻撃</v>
      </c>
      <c r="Z79" s="105"/>
      <c r="AA79" s="107"/>
      <c r="AB79" s="106" t="s">
        <v>249</v>
      </c>
      <c r="AC79" s="106" t="s">
        <v>244</v>
      </c>
    </row>
    <row r="80" spans="1:29" ht="43" customHeight="1" x14ac:dyDescent="0.15">
      <c r="A80" s="104">
        <v>48503079</v>
      </c>
      <c r="B80" s="104" t="s">
        <v>380</v>
      </c>
      <c r="C80" s="105">
        <v>3</v>
      </c>
      <c r="D80" s="105" t="s">
        <v>143</v>
      </c>
      <c r="E80" s="106" t="s">
        <v>407</v>
      </c>
      <c r="F80" s="106" t="s">
        <v>438</v>
      </c>
      <c r="G80" s="106" t="str">
        <f t="shared" si="19"/>
        <v>[effect:enemy_message, val1:1.2, val2:1.2]</v>
      </c>
      <c r="H80" s="106">
        <f t="shared" si="20"/>
        <v>9</v>
      </c>
      <c r="I80" s="106">
        <f t="shared" si="21"/>
        <v>22</v>
      </c>
      <c r="J80" s="106" t="e">
        <f t="shared" si="22"/>
        <v>#VALUE!</v>
      </c>
      <c r="K80" s="106">
        <f t="shared" si="23"/>
        <v>32</v>
      </c>
      <c r="L80" s="106" t="str">
        <f>IFERROR(VLOOKUP(MID(G80,J80,K80-J80),[5]skilldef!$C:$D,2,FALSE),"-") &amp; " / " &amp; IFERROR(VLOOKUP(MID(G80,H80,I80-H80),[5]skilldef!$A:$B,2,FALSE),"-")</f>
        <v>- / -</v>
      </c>
      <c r="M80" s="106" t="str">
        <f t="shared" si="24"/>
        <v>[effect:rush, count:4, val:0.35]</v>
      </c>
      <c r="N80" s="104" t="str">
        <f>IFERROR(LEFT(M80,FIND("],",M80)+#REF!),M80)</f>
        <v>[effect:rush, count:4, val:0.35]</v>
      </c>
      <c r="O80" s="106">
        <f t="shared" si="26"/>
        <v>9</v>
      </c>
      <c r="P80" s="106">
        <f t="shared" si="27"/>
        <v>13</v>
      </c>
      <c r="Q80" s="106" t="e">
        <f t="shared" si="28"/>
        <v>#VALUE!</v>
      </c>
      <c r="R80" s="106">
        <f t="shared" si="29"/>
        <v>22</v>
      </c>
      <c r="S80" s="106" t="str">
        <f>IFERROR(VLOOKUP(MID(N80,Q80,R80-Q80),[5]skilldef!$C:$D,2,FALSE),"-") &amp; " / " &amp; IFERROR(VLOOKUP(MID(N80,O80,P80-O80),[5]skilldef!$A:$B,2,FALSE),"-")</f>
        <v>- / 連続攻撃</v>
      </c>
      <c r="T80" s="104" t="str">
        <f t="shared" si="30"/>
        <v>none</v>
      </c>
      <c r="U80" s="106" t="e">
        <f t="shared" si="31"/>
        <v>#VALUE!</v>
      </c>
      <c r="V80" s="106">
        <f t="shared" si="32"/>
        <v>4</v>
      </c>
      <c r="W80" s="106" t="e">
        <f t="shared" si="33"/>
        <v>#VALUE!</v>
      </c>
      <c r="X80" s="106" t="e">
        <f t="shared" si="34"/>
        <v>#VALUE!</v>
      </c>
      <c r="Y80" s="106" t="str">
        <f>IFERROR(VLOOKUP(MID(T80,W80,X80-W80),[5]skilldef!$C:$D,2,FALSE),"-") &amp; " / " &amp; IFERROR(VLOOKUP(MID(T80,U80,V80-U80),[5]skilldef!$A:$B,2,FALSE),"-")</f>
        <v>- / -</v>
      </c>
      <c r="Z80" s="105"/>
      <c r="AA80" s="107"/>
      <c r="AB80" s="106" t="s">
        <v>250</v>
      </c>
      <c r="AC80" s="106" t="s">
        <v>245</v>
      </c>
    </row>
    <row r="81" spans="1:29" ht="43" customHeight="1" x14ac:dyDescent="0.15">
      <c r="A81" s="104">
        <v>48503080</v>
      </c>
      <c r="B81" s="104" t="s">
        <v>339</v>
      </c>
      <c r="C81" s="105">
        <v>3</v>
      </c>
      <c r="D81" s="105" t="s">
        <v>143</v>
      </c>
      <c r="E81" s="106" t="s">
        <v>470</v>
      </c>
      <c r="F81" s="106" t="s">
        <v>442</v>
      </c>
      <c r="G81" s="106" t="str">
        <f t="shared" si="19"/>
        <v>[effect:enemy_message, val1:1.2, val2:1.3]</v>
      </c>
      <c r="H81" s="106">
        <f t="shared" si="20"/>
        <v>9</v>
      </c>
      <c r="I81" s="106">
        <f t="shared" si="21"/>
        <v>22</v>
      </c>
      <c r="J81" s="106" t="e">
        <f t="shared" si="22"/>
        <v>#VALUE!</v>
      </c>
      <c r="K81" s="106">
        <f t="shared" si="23"/>
        <v>32</v>
      </c>
      <c r="L81" s="106" t="str">
        <f>IFERROR(VLOOKUP(MID(G81,J81,K81-J81),[5]skilldef!$C:$D,2,FALSE),"-") &amp; " / " &amp; IFERROR(VLOOKUP(MID(G81,H81,I81-H81),[5]skilldef!$A:$B,2,FALSE),"-")</f>
        <v>- / -</v>
      </c>
      <c r="M81" s="106" t="str">
        <f t="shared" si="24"/>
        <v>[effect:break_heal_ratio, target:myself, val:0.01, lowest_val:0.1, count:-1, block01:jammer, animation:enemy_heal]</v>
      </c>
      <c r="N81" s="104" t="str">
        <f>IFERROR(LEFT(M81,FIND("],",M81)+S90),M81)</f>
        <v>[effect:break_heal_ratio, target:myself, val:0.01, lowest_val:0.1, count:-1, block01:jammer, animation:enemy_heal]</v>
      </c>
      <c r="O81" s="106">
        <f t="shared" si="26"/>
        <v>9</v>
      </c>
      <c r="P81" s="106">
        <f t="shared" si="27"/>
        <v>25</v>
      </c>
      <c r="Q81" s="106">
        <f t="shared" si="28"/>
        <v>34</v>
      </c>
      <c r="R81" s="106">
        <f t="shared" si="29"/>
        <v>40</v>
      </c>
      <c r="S81" s="106" t="str">
        <f>IFERROR(VLOOKUP(MID(N81,Q81,R81-Q81),[5]skilldef!$C:$D,2,FALSE),"-") &amp; " / " &amp; IFERROR(VLOOKUP(MID(N81,O81,P81-O81),[5]skilldef!$A:$B,2,FALSE),"-")</f>
        <v>自分自身に / -</v>
      </c>
      <c r="T81" s="104" t="str">
        <f t="shared" si="30"/>
        <v>none</v>
      </c>
      <c r="U81" s="106" t="e">
        <f t="shared" si="31"/>
        <v>#VALUE!</v>
      </c>
      <c r="V81" s="106">
        <f t="shared" si="32"/>
        <v>4</v>
      </c>
      <c r="W81" s="106" t="e">
        <f t="shared" si="33"/>
        <v>#VALUE!</v>
      </c>
      <c r="X81" s="106" t="e">
        <f t="shared" si="34"/>
        <v>#VALUE!</v>
      </c>
      <c r="Y81" s="106" t="str">
        <f>IFERROR(VLOOKUP(MID(T81,W81,X81-W81),[5]skilldef!$C:$D,2,FALSE),"-") &amp; " / " &amp; IFERROR(VLOOKUP(MID(T81,U81,V81-U81),[5]skilldef!$A:$B,2,FALSE),"-")</f>
        <v>- / -</v>
      </c>
      <c r="Z81" s="105"/>
      <c r="AA81" s="107"/>
      <c r="AB81" s="106" t="s">
        <v>249</v>
      </c>
      <c r="AC81" s="106" t="s">
        <v>251</v>
      </c>
    </row>
    <row r="82" spans="1:29" ht="43" customHeight="1" x14ac:dyDescent="0.15">
      <c r="A82" s="104">
        <v>48503081</v>
      </c>
      <c r="B82" s="104" t="s">
        <v>397</v>
      </c>
      <c r="C82" s="105">
        <v>3</v>
      </c>
      <c r="D82" s="105" t="s">
        <v>143</v>
      </c>
      <c r="E82" s="106" t="s">
        <v>408</v>
      </c>
      <c r="F82" s="106" t="s">
        <v>462</v>
      </c>
      <c r="G82" s="106" t="str">
        <f t="shared" si="19"/>
        <v>[effect:enemy_message, val1:2.0, val2:5.0]</v>
      </c>
      <c r="H82" s="106">
        <f t="shared" si="20"/>
        <v>9</v>
      </c>
      <c r="I82" s="106">
        <f t="shared" si="21"/>
        <v>22</v>
      </c>
      <c r="J82" s="106" t="e">
        <f t="shared" si="22"/>
        <v>#VALUE!</v>
      </c>
      <c r="K82" s="106">
        <f t="shared" si="23"/>
        <v>32</v>
      </c>
      <c r="L82" s="106" t="str">
        <f>IFERROR(VLOOKUP(MID(G82,J82,K82-J82),[5]skilldef!$C:$D,2,FALSE),"-") &amp; " / " &amp; IFERROR(VLOOKUP(MID(G82,H82,I82-H82),[5]skilldef!$A:$B,2,FALSE),"-")</f>
        <v>- / -</v>
      </c>
      <c r="M82" s="106" t="str">
        <f t="shared" si="24"/>
        <v>[effect:force_change_block, new_block:jammer, target:block_all, ignore01:block_positive, ignore02:block_negative, count:3, val:0, animation:change_block],[effect:attack_break, target:unit_all, turn:2, val:0.2, calc:mul, animation:attack_break01],[effect:fix_speed, target:myself, turn:2],[effect:freq_turn, target:myself, turn:2, val:1, animation:enemy_freq_turn]</v>
      </c>
      <c r="N82" s="104" t="str">
        <f>IFERROR(LEFT(M82,FIND("],",M82)+S91),M82)</f>
        <v>[effect:force_change_block, new_block:jammer, target:block_all, ignore01:block_positive, ignore02:block_negative, count:3, val:0, animation:change_block],[effect:attack_break, target:unit_all, turn:2, val:0.2, calc:mul, animation:attack_break01],[effect:fix_speed, target:myself, turn:2],[effect:freq_turn, target:myself, turn:2, val:1, animation:enemy_freq_turn]</v>
      </c>
      <c r="O82" s="106">
        <f t="shared" si="26"/>
        <v>9</v>
      </c>
      <c r="P82" s="106">
        <f t="shared" si="27"/>
        <v>27</v>
      </c>
      <c r="Q82" s="106">
        <f t="shared" si="28"/>
        <v>54</v>
      </c>
      <c r="R82" s="106">
        <f t="shared" si="29"/>
        <v>45</v>
      </c>
      <c r="S82" s="106" t="str">
        <f>IFERROR(VLOOKUP(MID(N82,Q82,R82-Q82),[5]skilldef!$C:$D,2,FALSE),"-") &amp; " / " &amp; IFERROR(VLOOKUP(MID(N82,O82,P82-O82),[5]skilldef!$A:$B,2,FALSE),"-")</f>
        <v>- / -</v>
      </c>
      <c r="T82" s="104" t="str">
        <f t="shared" si="30"/>
        <v>[effect:attack_break, target:unit_all, turn:2, val:0.2, calc:mul, animation:attack_break01],[effect:fix_speed, target:myself, turn:2],[effect:freq_turn, target:myself, turn:2, val:1, animation:enemy_freq_turn]</v>
      </c>
      <c r="U82" s="106">
        <f t="shared" si="31"/>
        <v>9</v>
      </c>
      <c r="V82" s="106">
        <f t="shared" si="32"/>
        <v>21</v>
      </c>
      <c r="W82" s="106">
        <f t="shared" si="33"/>
        <v>30</v>
      </c>
      <c r="X82" s="106">
        <f t="shared" si="34"/>
        <v>38</v>
      </c>
      <c r="Y82" s="106" t="str">
        <f>IFERROR(VLOOKUP(MID(T82,W82,X82-W82),[5]skilldef!$C:$D,2,FALSE),"-") &amp; " / " &amp; IFERROR(VLOOKUP(MID(T82,U82,V82-U82),[5]skilldef!$A:$B,2,FALSE),"-")</f>
        <v>味方全体に / -</v>
      </c>
      <c r="Z82" s="105"/>
      <c r="AA82" s="107"/>
      <c r="AB82" s="106" t="s">
        <v>252</v>
      </c>
      <c r="AC82" s="106" t="s">
        <v>253</v>
      </c>
    </row>
    <row r="83" spans="1:29" ht="43" customHeight="1" x14ac:dyDescent="0.15">
      <c r="A83" s="104">
        <v>48503082</v>
      </c>
      <c r="B83" s="104" t="s">
        <v>398</v>
      </c>
      <c r="C83" s="105">
        <v>3</v>
      </c>
      <c r="D83" s="105" t="s">
        <v>143</v>
      </c>
      <c r="E83" s="106" t="s">
        <v>409</v>
      </c>
      <c r="F83" s="106" t="s">
        <v>462</v>
      </c>
      <c r="G83" s="106" t="str">
        <f t="shared" si="19"/>
        <v>[effect:enemy_message, val1:1.9, val2:5.0]</v>
      </c>
      <c r="H83" s="106">
        <f t="shared" si="20"/>
        <v>9</v>
      </c>
      <c r="I83" s="106">
        <f t="shared" si="21"/>
        <v>22</v>
      </c>
      <c r="J83" s="106" t="e">
        <f t="shared" si="22"/>
        <v>#VALUE!</v>
      </c>
      <c r="K83" s="106">
        <f t="shared" si="23"/>
        <v>32</v>
      </c>
      <c r="L83" s="106" t="str">
        <f>IFERROR(VLOOKUP(MID(G83,J83,K83-J83),[5]skilldef!$C:$D,2,FALSE),"-") &amp; " / " &amp; IFERROR(VLOOKUP(MID(G83,H83,I83-H83),[5]skilldef!$A:$B,2,FALSE),"-")</f>
        <v>- / -</v>
      </c>
      <c r="M83" s="106" t="str">
        <f t="shared" si="24"/>
        <v>[effect:force_change_block, new_block:jammer, target:block_all, ignore01:block_positive, ignore02:block_negative, count:3, val:0, animation:change_block],[effect:attack_break, target:unit_all, turn:2, val:0.2, calc:mul, animation:attack_break01],[effect:fix_speed, target:myself, turn:2],[effect:freq_turn, target:myself, turn:2, val:1, animation:enemy_freq_turn]</v>
      </c>
      <c r="N83" s="104" t="str">
        <f>IFERROR(LEFT(M83,FIND("],",M83)+S92),M83)</f>
        <v>[effect:force_change_block, new_block:jammer, target:block_all, ignore01:block_positive, ignore02:block_negative, count:3, val:0, animation:change_block],[effect:attack_break, target:unit_all, turn:2, val:0.2, calc:mul, animation:attack_break01],[effect:fix_speed, target:myself, turn:2],[effect:freq_turn, target:myself, turn:2, val:1, animation:enemy_freq_turn]</v>
      </c>
      <c r="O83" s="106">
        <f t="shared" si="26"/>
        <v>9</v>
      </c>
      <c r="P83" s="106">
        <f t="shared" si="27"/>
        <v>27</v>
      </c>
      <c r="Q83" s="106">
        <f t="shared" si="28"/>
        <v>54</v>
      </c>
      <c r="R83" s="106">
        <f t="shared" si="29"/>
        <v>45</v>
      </c>
      <c r="S83" s="106" t="str">
        <f>IFERROR(VLOOKUP(MID(N83,Q83,R83-Q83),[5]skilldef!$C:$D,2,FALSE),"-") &amp; " / " &amp; IFERROR(VLOOKUP(MID(N83,O83,P83-O83),[5]skilldef!$A:$B,2,FALSE),"-")</f>
        <v>- / -</v>
      </c>
      <c r="T83" s="104" t="str">
        <f t="shared" si="30"/>
        <v>[effect:attack_break, target:unit_all, turn:2, val:0.2, calc:mul, animation:attack_break01],[effect:fix_speed, target:myself, turn:2],[effect:freq_turn, target:myself, turn:2, val:1, animation:enemy_freq_turn]</v>
      </c>
      <c r="U83" s="106">
        <f t="shared" si="31"/>
        <v>9</v>
      </c>
      <c r="V83" s="106">
        <f t="shared" si="32"/>
        <v>21</v>
      </c>
      <c r="W83" s="106">
        <f t="shared" si="33"/>
        <v>30</v>
      </c>
      <c r="X83" s="106">
        <f t="shared" si="34"/>
        <v>38</v>
      </c>
      <c r="Y83" s="106" t="str">
        <f>IFERROR(VLOOKUP(MID(T83,W83,X83-W83),[5]skilldef!$C:$D,2,FALSE),"-") &amp; " / " &amp; IFERROR(VLOOKUP(MID(T83,U83,V83-U83),[5]skilldef!$A:$B,2,FALSE),"-")</f>
        <v>味方全体に / -</v>
      </c>
      <c r="Z83" s="105"/>
      <c r="AA83" s="107"/>
      <c r="AB83" s="106" t="s">
        <v>254</v>
      </c>
      <c r="AC83" s="106" t="s">
        <v>253</v>
      </c>
    </row>
    <row r="84" spans="1:29" ht="43" customHeight="1" x14ac:dyDescent="0.15">
      <c r="A84" s="104">
        <v>48503083</v>
      </c>
      <c r="B84" s="104" t="s">
        <v>398</v>
      </c>
      <c r="C84" s="105">
        <v>3</v>
      </c>
      <c r="D84" s="105" t="s">
        <v>143</v>
      </c>
      <c r="E84" s="106" t="s">
        <v>409</v>
      </c>
      <c r="F84" s="106" t="s">
        <v>462</v>
      </c>
      <c r="G84" s="106" t="str">
        <f t="shared" si="19"/>
        <v>[effect:enemy_message, val1:1.9, val2:5.0]</v>
      </c>
      <c r="H84" s="106">
        <f t="shared" si="20"/>
        <v>9</v>
      </c>
      <c r="I84" s="106">
        <f t="shared" si="21"/>
        <v>22</v>
      </c>
      <c r="J84" s="106" t="e">
        <f t="shared" si="22"/>
        <v>#VALUE!</v>
      </c>
      <c r="K84" s="106">
        <f t="shared" si="23"/>
        <v>32</v>
      </c>
      <c r="L84" s="106" t="str">
        <f>IFERROR(VLOOKUP(MID(G84,J84,K84-J84),[5]skilldef!$C:$D,2,FALSE),"-") &amp; " / " &amp; IFERROR(VLOOKUP(MID(G84,H84,I84-H84),[5]skilldef!$A:$B,2,FALSE),"-")</f>
        <v>- / -</v>
      </c>
      <c r="M84" s="106" t="str">
        <f t="shared" si="24"/>
        <v>[effect:force_change_block, new_block:jammer, target:block_all, ignore01:block_positive, ignore02:block_negative, count:3, val:0, animation:change_block],[effect:attack_break, target:unit_all, turn:2, val:0.2, calc:mul, animation:attack_break01],[effect:fix_speed, target:myself, turn:2],[effect:freq_turn, target:myself, turn:2, val:1, animation:enemy_freq_turn]</v>
      </c>
      <c r="N84" s="104" t="str">
        <f>IFERROR(LEFT(M84,FIND("],",M84)+S93),M84)</f>
        <v>[effect:force_change_block, new_block:jammer, target:block_all, ignore01:block_positive, ignore02:block_negative, count:3, val:0, animation:change_block],[effect:attack_break, target:unit_all, turn:2, val:0.2, calc:mul, animation:attack_break01],[effect:fix_speed, target:myself, turn:2],[effect:freq_turn, target:myself, turn:2, val:1, animation:enemy_freq_turn]</v>
      </c>
      <c r="O84" s="106">
        <f t="shared" si="26"/>
        <v>9</v>
      </c>
      <c r="P84" s="106">
        <f t="shared" si="27"/>
        <v>27</v>
      </c>
      <c r="Q84" s="106">
        <f t="shared" si="28"/>
        <v>54</v>
      </c>
      <c r="R84" s="106">
        <f t="shared" si="29"/>
        <v>45</v>
      </c>
      <c r="S84" s="106" t="str">
        <f>IFERROR(VLOOKUP(MID(N84,Q84,R84-Q84),[5]skilldef!$C:$D,2,FALSE),"-") &amp; " / " &amp; IFERROR(VLOOKUP(MID(N84,O84,P84-O84),[5]skilldef!$A:$B,2,FALSE),"-")</f>
        <v>- / -</v>
      </c>
      <c r="T84" s="104" t="str">
        <f t="shared" si="30"/>
        <v>[effect:attack_break, target:unit_all, turn:2, val:0.2, calc:mul, animation:attack_break01],[effect:fix_speed, target:myself, turn:2],[effect:freq_turn, target:myself, turn:2, val:1, animation:enemy_freq_turn]</v>
      </c>
      <c r="U84" s="106">
        <f t="shared" si="31"/>
        <v>9</v>
      </c>
      <c r="V84" s="106">
        <f t="shared" si="32"/>
        <v>21</v>
      </c>
      <c r="W84" s="106">
        <f t="shared" si="33"/>
        <v>30</v>
      </c>
      <c r="X84" s="106">
        <f t="shared" si="34"/>
        <v>38</v>
      </c>
      <c r="Y84" s="106" t="str">
        <f>IFERROR(VLOOKUP(MID(T84,W84,X84-W84),[5]skilldef!$C:$D,2,FALSE),"-") &amp; " / " &amp; IFERROR(VLOOKUP(MID(T84,U84,V84-U84),[5]skilldef!$A:$B,2,FALSE),"-")</f>
        <v>味方全体に / -</v>
      </c>
      <c r="Z84" s="105"/>
      <c r="AA84" s="107"/>
      <c r="AB84" s="106" t="s">
        <v>255</v>
      </c>
      <c r="AC84" s="106" t="s">
        <v>253</v>
      </c>
    </row>
    <row r="85" spans="1:29" ht="43" customHeight="1" x14ac:dyDescent="0.15">
      <c r="A85" s="104">
        <v>48503084</v>
      </c>
      <c r="B85" s="104" t="s">
        <v>367</v>
      </c>
      <c r="C85" s="105">
        <v>3</v>
      </c>
      <c r="D85" s="105" t="s">
        <v>143</v>
      </c>
      <c r="E85" s="106" t="s">
        <v>471</v>
      </c>
      <c r="F85" s="106" t="s">
        <v>463</v>
      </c>
      <c r="G85" s="106" t="str">
        <f t="shared" si="19"/>
        <v>[effect:enemy_message, val1:1.2, val2:2.3]</v>
      </c>
      <c r="H85" s="106">
        <f t="shared" si="20"/>
        <v>9</v>
      </c>
      <c r="I85" s="106">
        <f t="shared" si="21"/>
        <v>22</v>
      </c>
      <c r="J85" s="106" t="e">
        <f t="shared" si="22"/>
        <v>#VALUE!</v>
      </c>
      <c r="K85" s="106">
        <f t="shared" si="23"/>
        <v>32</v>
      </c>
      <c r="L85" s="106" t="str">
        <f>IFERROR(VLOOKUP(MID(G85,J85,K85-J85),[5]skilldef!$C:$D,2,FALSE),"-") &amp; " / " &amp; IFERROR(VLOOKUP(MID(G85,H85,I85-H85),[5]skilldef!$A:$B,2,FALSE),"-")</f>
        <v>- / -</v>
      </c>
      <c r="M85" s="106" t="str">
        <f t="shared" si="24"/>
        <v>[effect:force_change_block, new_block:jammer, target:block_all, ignore01:block_positive, ignore02:block_negative, count:2, val:0, animation:change_block],[effect:spread, val:0.25]</v>
      </c>
      <c r="N85" s="104" t="str">
        <f>IFERROR(LEFT(M85,FIND("],",M85)+S93),M85)</f>
        <v>[effect:force_change_block, new_block:jammer, target:block_all, ignore01:block_positive, ignore02:block_negative, count:2, val:0, animation:change_block],[effect:spread, val:0.25]</v>
      </c>
      <c r="O85" s="106">
        <f t="shared" si="26"/>
        <v>9</v>
      </c>
      <c r="P85" s="106">
        <f t="shared" si="27"/>
        <v>27</v>
      </c>
      <c r="Q85" s="106">
        <f t="shared" si="28"/>
        <v>54</v>
      </c>
      <c r="R85" s="106">
        <f t="shared" si="29"/>
        <v>45</v>
      </c>
      <c r="S85" s="106" t="str">
        <f>IFERROR(VLOOKUP(MID(N85,Q85,R85-Q85),[5]skilldef!$C:$D,2,FALSE),"-") &amp; " / " &amp; IFERROR(VLOOKUP(MID(N85,O85,P85-O85),[5]skilldef!$A:$B,2,FALSE),"-")</f>
        <v>- / -</v>
      </c>
      <c r="T85" s="104" t="str">
        <f t="shared" si="30"/>
        <v>[effect:spread, val:0.25]</v>
      </c>
      <c r="U85" s="106">
        <f t="shared" si="31"/>
        <v>9</v>
      </c>
      <c r="V85" s="106">
        <f t="shared" si="32"/>
        <v>15</v>
      </c>
      <c r="W85" s="106" t="e">
        <f t="shared" si="33"/>
        <v>#VALUE!</v>
      </c>
      <c r="X85" s="106" t="e">
        <f t="shared" si="34"/>
        <v>#VALUE!</v>
      </c>
      <c r="Y85" s="106" t="str">
        <f>IFERROR(VLOOKUP(MID(T85,W85,X85-W85),[5]skilldef!$C:$D,2,FALSE),"-") &amp; " / " &amp; IFERROR(VLOOKUP(MID(T85,U85,V85-U85),[5]skilldef!$A:$B,2,FALSE),"-")</f>
        <v>- / 全体攻撃</v>
      </c>
      <c r="Z85" s="105" t="s">
        <v>276</v>
      </c>
      <c r="AA85" s="107"/>
      <c r="AB85" s="106" t="s">
        <v>257</v>
      </c>
      <c r="AC85" s="106" t="s">
        <v>256</v>
      </c>
    </row>
    <row r="86" spans="1:29" ht="43" customHeight="1" x14ac:dyDescent="0.15">
      <c r="A86" s="104">
        <v>48503085</v>
      </c>
      <c r="B86" s="104" t="s">
        <v>399</v>
      </c>
      <c r="C86" s="105">
        <v>3</v>
      </c>
      <c r="D86" s="105" t="s">
        <v>348</v>
      </c>
      <c r="E86" s="106" t="s">
        <v>347</v>
      </c>
      <c r="F86" s="106" t="s">
        <v>353</v>
      </c>
      <c r="G86" s="106" t="str">
        <f t="shared" si="19"/>
        <v>[effect:enemy_message, val1:1.2, val2:1.6]</v>
      </c>
      <c r="H86" s="106">
        <f t="shared" si="20"/>
        <v>9</v>
      </c>
      <c r="I86" s="106">
        <f t="shared" si="21"/>
        <v>22</v>
      </c>
      <c r="J86" s="106" t="e">
        <f t="shared" si="22"/>
        <v>#VALUE!</v>
      </c>
      <c r="K86" s="106">
        <f t="shared" si="23"/>
        <v>32</v>
      </c>
      <c r="L86" s="106" t="str">
        <f>IFERROR(VLOOKUP(MID(G86,J86,K86-J86),[5]skilldef!$C:$D,2,FALSE),"-") &amp; " / " &amp; IFERROR(VLOOKUP(MID(G86,H86,I86-H86),[5]skilldef!$A:$B,2,FALSE),"-")</f>
        <v>- / -</v>
      </c>
      <c r="M86" s="106" t="str">
        <f t="shared" si="24"/>
        <v>[effect:panel_freeze, target:normal, count:5]</v>
      </c>
      <c r="N86" s="104" t="str">
        <f>IFERROR(LEFT(M86,FIND("],",M86)+S93),M86)</f>
        <v>[effect:panel_freeze, target:normal, count:5]</v>
      </c>
      <c r="O86" s="106">
        <f t="shared" si="26"/>
        <v>9</v>
      </c>
      <c r="P86" s="106">
        <f t="shared" si="27"/>
        <v>21</v>
      </c>
      <c r="Q86" s="106">
        <f t="shared" si="28"/>
        <v>30</v>
      </c>
      <c r="R86" s="106">
        <f t="shared" si="29"/>
        <v>36</v>
      </c>
      <c r="S86" s="106" t="str">
        <f>IFERROR(VLOOKUP(MID(N86,Q86,R86-Q86),[5]skilldef!$C:$D,2,FALSE),"-") &amp; " / " &amp; IFERROR(VLOOKUP(MID(N86,O86,P86-O86),[5]skilldef!$A:$B,2,FALSE),"-")</f>
        <v>- / -</v>
      </c>
      <c r="T86" s="104" t="str">
        <f t="shared" si="30"/>
        <v>none</v>
      </c>
      <c r="U86" s="106" t="e">
        <f t="shared" si="31"/>
        <v>#VALUE!</v>
      </c>
      <c r="V86" s="106">
        <f t="shared" si="32"/>
        <v>4</v>
      </c>
      <c r="W86" s="106" t="e">
        <f t="shared" si="33"/>
        <v>#VALUE!</v>
      </c>
      <c r="X86" s="106" t="e">
        <f t="shared" si="34"/>
        <v>#VALUE!</v>
      </c>
      <c r="Y86" s="106" t="str">
        <f>IFERROR(VLOOKUP(MID(T86,W86,X86-W86),[5]skilldef!$C:$D,2,FALSE),"-") &amp; " / " &amp; IFERROR(VLOOKUP(MID(T86,U86,V86-U86),[5]skilldef!$A:$B,2,FALSE),"-")</f>
        <v>- / -</v>
      </c>
      <c r="Z86" s="105"/>
      <c r="AA86" s="107"/>
      <c r="AB86" s="106" t="s">
        <v>257</v>
      </c>
      <c r="AC86" s="106" t="s">
        <v>258</v>
      </c>
    </row>
    <row r="87" spans="1:29" ht="43" customHeight="1" x14ac:dyDescent="0.15">
      <c r="A87" s="104">
        <v>48503086</v>
      </c>
      <c r="B87" s="104" t="s">
        <v>400</v>
      </c>
      <c r="C87" s="105">
        <v>3</v>
      </c>
      <c r="D87" s="105" t="s">
        <v>143</v>
      </c>
      <c r="E87" s="106" t="s">
        <v>472</v>
      </c>
      <c r="F87" s="106" t="s">
        <v>438</v>
      </c>
      <c r="G87" s="106" t="str">
        <f t="shared" si="19"/>
        <v>[effect:enemy_message, val1:1.7, val2:1.2]</v>
      </c>
      <c r="H87" s="106">
        <f t="shared" si="20"/>
        <v>9</v>
      </c>
      <c r="I87" s="106">
        <f t="shared" si="21"/>
        <v>22</v>
      </c>
      <c r="J87" s="106" t="e">
        <f t="shared" si="22"/>
        <v>#VALUE!</v>
      </c>
      <c r="K87" s="106">
        <f t="shared" si="23"/>
        <v>32</v>
      </c>
      <c r="L87" s="106" t="str">
        <f>IFERROR(VLOOKUP(MID(G87,J87,K87-J87),[5]skilldef!$C:$D,2,FALSE),"-") &amp; " / " &amp; IFERROR(VLOOKUP(MID(G87,H87,I87-H87),[5]skilldef!$A:$B,2,FALSE),"-")</f>
        <v>- / -</v>
      </c>
      <c r="M87" s="106" t="str">
        <f t="shared" si="24"/>
        <v>[effect:rush, count:4, val:0.35]</v>
      </c>
      <c r="N87" s="104" t="str">
        <f>IFERROR(LEFT(M87,FIND("],",M87)+S94),M87)</f>
        <v>[effect:rush, count:4, val:0.35]</v>
      </c>
      <c r="O87" s="106">
        <f t="shared" si="26"/>
        <v>9</v>
      </c>
      <c r="P87" s="106">
        <f t="shared" si="27"/>
        <v>13</v>
      </c>
      <c r="Q87" s="106" t="e">
        <f t="shared" si="28"/>
        <v>#VALUE!</v>
      </c>
      <c r="R87" s="106">
        <f t="shared" si="29"/>
        <v>22</v>
      </c>
      <c r="S87" s="106" t="str">
        <f>IFERROR(VLOOKUP(MID(N87,Q87,R87-Q87),[5]skilldef!$C:$D,2,FALSE),"-") &amp; " / " &amp; IFERROR(VLOOKUP(MID(N87,O87,P87-O87),[5]skilldef!$A:$B,2,FALSE),"-")</f>
        <v>- / 連続攻撃</v>
      </c>
      <c r="T87" s="104" t="str">
        <f t="shared" si="30"/>
        <v>none</v>
      </c>
      <c r="U87" s="106" t="e">
        <f t="shared" si="31"/>
        <v>#VALUE!</v>
      </c>
      <c r="V87" s="106">
        <f t="shared" si="32"/>
        <v>4</v>
      </c>
      <c r="W87" s="106" t="e">
        <f t="shared" si="33"/>
        <v>#VALUE!</v>
      </c>
      <c r="X87" s="106" t="e">
        <f t="shared" si="34"/>
        <v>#VALUE!</v>
      </c>
      <c r="Y87" s="106" t="str">
        <f>IFERROR(VLOOKUP(MID(T87,W87,X87-W87),[5]skilldef!$C:$D,2,FALSE),"-") &amp; " / " &amp; IFERROR(VLOOKUP(MID(T87,U87,V87-U87),[5]skilldef!$A:$B,2,FALSE),"-")</f>
        <v>- / -</v>
      </c>
      <c r="Z87" s="105"/>
      <c r="AA87" s="107"/>
      <c r="AB87" s="106" t="s">
        <v>257</v>
      </c>
      <c r="AC87" s="106" t="s">
        <v>245</v>
      </c>
    </row>
    <row r="88" spans="1:29" ht="43" customHeight="1" x14ac:dyDescent="0.15">
      <c r="A88" s="104">
        <v>48503087</v>
      </c>
      <c r="B88" s="104" t="s">
        <v>401</v>
      </c>
      <c r="C88" s="105">
        <v>3</v>
      </c>
      <c r="D88" s="105" t="s">
        <v>143</v>
      </c>
      <c r="E88" s="106" t="s">
        <v>479</v>
      </c>
      <c r="F88" s="106" t="s">
        <v>464</v>
      </c>
      <c r="G88" s="106" t="str">
        <f t="shared" si="19"/>
        <v>[effect:enemy_message, val1:1.2, val2:2.0]</v>
      </c>
      <c r="H88" s="106">
        <f t="shared" si="20"/>
        <v>9</v>
      </c>
      <c r="I88" s="106">
        <f t="shared" si="21"/>
        <v>22</v>
      </c>
      <c r="J88" s="106" t="e">
        <f t="shared" si="22"/>
        <v>#VALUE!</v>
      </c>
      <c r="K88" s="106">
        <f t="shared" si="23"/>
        <v>32</v>
      </c>
      <c r="L88" s="106" t="str">
        <f>IFERROR(VLOOKUP(MID(G88,J88,K88-J88),[5]skilldef!$C:$D,2,FALSE),"-") &amp; " / " &amp; IFERROR(VLOOKUP(MID(G88,H88,I88-H88),[5]skilldef!$A:$B,2,FALSE),"-")</f>
        <v>- / -</v>
      </c>
      <c r="M88" s="106" t="str">
        <f t="shared" si="24"/>
        <v>[effect:degrade_unit, target:unit_all, turn:5, status:heal, val:0.6, calc:mul, animation:degrade_unit_all_heal]</v>
      </c>
      <c r="N88" s="104" t="str">
        <f>IFERROR(LEFT(M88,FIND("],",M88)+S95),M88)</f>
        <v>[effect:degrade_unit, target:unit_all, turn:5, status:heal, val:0.6, calc:mul, animation:degrade_unit_all_heal]</v>
      </c>
      <c r="O88" s="106">
        <f t="shared" si="26"/>
        <v>9</v>
      </c>
      <c r="P88" s="106">
        <f t="shared" si="27"/>
        <v>21</v>
      </c>
      <c r="Q88" s="106">
        <f t="shared" si="28"/>
        <v>30</v>
      </c>
      <c r="R88" s="106">
        <f t="shared" si="29"/>
        <v>38</v>
      </c>
      <c r="S88" s="106" t="str">
        <f>IFERROR(VLOOKUP(MID(N88,Q88,R88-Q88),[5]skilldef!$C:$D,2,FALSE),"-") &amp; " / " &amp; IFERROR(VLOOKUP(MID(N88,O88,P88-O88),[5]skilldef!$A:$B,2,FALSE),"-")</f>
        <v>味方全体に / ステータスDOWN</v>
      </c>
      <c r="T88" s="104" t="str">
        <f t="shared" si="30"/>
        <v>none</v>
      </c>
      <c r="U88" s="106" t="e">
        <f t="shared" si="31"/>
        <v>#VALUE!</v>
      </c>
      <c r="V88" s="106">
        <f t="shared" si="32"/>
        <v>4</v>
      </c>
      <c r="W88" s="106" t="e">
        <f t="shared" si="33"/>
        <v>#VALUE!</v>
      </c>
      <c r="X88" s="106" t="e">
        <f t="shared" si="34"/>
        <v>#VALUE!</v>
      </c>
      <c r="Y88" s="106" t="str">
        <f>IFERROR(VLOOKUP(MID(T88,W88,X88-W88),[5]skilldef!$C:$D,2,FALSE),"-") &amp; " / " &amp; IFERROR(VLOOKUP(MID(T88,U88,V88-U88),[5]skilldef!$A:$B,2,FALSE),"-")</f>
        <v>- / -</v>
      </c>
      <c r="Z88" s="105"/>
      <c r="AA88" s="107"/>
      <c r="AB88" s="106" t="s">
        <v>259</v>
      </c>
      <c r="AC88" s="106" t="s">
        <v>260</v>
      </c>
    </row>
    <row r="89" spans="1:29" ht="43" customHeight="1" x14ac:dyDescent="0.15">
      <c r="A89" s="104">
        <v>48503088</v>
      </c>
      <c r="B89" s="104" t="s">
        <v>403</v>
      </c>
      <c r="C89" s="105">
        <v>3</v>
      </c>
      <c r="D89" s="105" t="s">
        <v>143</v>
      </c>
      <c r="E89" s="106" t="s">
        <v>514</v>
      </c>
      <c r="F89" s="106" t="s">
        <v>465</v>
      </c>
      <c r="G89" s="106" t="str">
        <f t="shared" si="19"/>
        <v>[effect:enemy_message, val1:1.2, val2:2.5]</v>
      </c>
      <c r="H89" s="106">
        <f t="shared" si="20"/>
        <v>9</v>
      </c>
      <c r="I89" s="106">
        <f t="shared" si="21"/>
        <v>22</v>
      </c>
      <c r="J89" s="106" t="e">
        <f t="shared" si="22"/>
        <v>#VALUE!</v>
      </c>
      <c r="K89" s="106">
        <f t="shared" si="23"/>
        <v>32</v>
      </c>
      <c r="L89" s="106" t="str">
        <f>IFERROR(VLOOKUP(MID(G89,J89,K89-J89),[5]skilldef!$C:$D,2,FALSE),"-") &amp; " / " &amp; IFERROR(VLOOKUP(MID(G89,H89,I89-H89),[5]skilldef!$A:$B,2,FALSE),"-")</f>
        <v>- / -</v>
      </c>
      <c r="M89" s="106" t="str">
        <f t="shared" si="24"/>
        <v>[effect:force_change_block, new_block:jammer, target:block_all, ignore01:block_positive, ignore02:block_negative, count:2, val:0, animation:change_block],[effect:rush, count:4, val:0.35]</v>
      </c>
      <c r="N89" s="104" t="str">
        <f>IFERROR(LEFT(M89,FIND("],",M89)+S96),M89)</f>
        <v>[effect:force_change_block, new_block:jammer, target:block_all, ignore01:block_positive, ignore02:block_negative, count:2, val:0, animation:change_block],[effect:rush, count:4, val:0.35]</v>
      </c>
      <c r="O89" s="106">
        <f t="shared" si="26"/>
        <v>9</v>
      </c>
      <c r="P89" s="106">
        <f t="shared" si="27"/>
        <v>27</v>
      </c>
      <c r="Q89" s="106">
        <f t="shared" si="28"/>
        <v>54</v>
      </c>
      <c r="R89" s="106">
        <f t="shared" si="29"/>
        <v>45</v>
      </c>
      <c r="S89" s="106" t="str">
        <f>IFERROR(VLOOKUP(MID(N89,Q89,R89-Q89),[5]skilldef!$C:$D,2,FALSE),"-") &amp; " / " &amp; IFERROR(VLOOKUP(MID(N89,O89,P89-O89),[5]skilldef!$A:$B,2,FALSE),"-")</f>
        <v>- / -</v>
      </c>
      <c r="T89" s="104" t="str">
        <f t="shared" si="30"/>
        <v>[effect:rush, count:4, val:0.35]</v>
      </c>
      <c r="U89" s="106">
        <f t="shared" si="31"/>
        <v>9</v>
      </c>
      <c r="V89" s="106">
        <f t="shared" si="32"/>
        <v>13</v>
      </c>
      <c r="W89" s="106" t="e">
        <f t="shared" si="33"/>
        <v>#VALUE!</v>
      </c>
      <c r="X89" s="106">
        <f t="shared" si="34"/>
        <v>22</v>
      </c>
      <c r="Y89" s="106" t="str">
        <f>IFERROR(VLOOKUP(MID(T89,W89,X89-W89),[5]skilldef!$C:$D,2,FALSE),"-") &amp; " / " &amp; IFERROR(VLOOKUP(MID(T89,U89,V89-U89),[5]skilldef!$A:$B,2,FALSE),"-")</f>
        <v>- / 連続攻撃</v>
      </c>
      <c r="Z89" s="105"/>
      <c r="AA89" s="107"/>
      <c r="AB89" s="106" t="s">
        <v>262</v>
      </c>
      <c r="AC89" s="106" t="s">
        <v>261</v>
      </c>
    </row>
    <row r="90" spans="1:29" ht="43" customHeight="1" x14ac:dyDescent="0.15">
      <c r="A90" s="104">
        <v>48503089</v>
      </c>
      <c r="B90" s="104" t="s">
        <v>341</v>
      </c>
      <c r="C90" s="105">
        <v>3</v>
      </c>
      <c r="D90" s="105" t="s">
        <v>143</v>
      </c>
      <c r="E90" s="106" t="s">
        <v>473</v>
      </c>
      <c r="F90" s="106" t="s">
        <v>447</v>
      </c>
      <c r="G90" s="106" t="str">
        <f t="shared" si="19"/>
        <v>[effect:enemy_message, val1:1.2, val2:1.5]</v>
      </c>
      <c r="H90" s="106">
        <f t="shared" si="20"/>
        <v>9</v>
      </c>
      <c r="I90" s="106">
        <f t="shared" si="21"/>
        <v>22</v>
      </c>
      <c r="J90" s="106" t="e">
        <f t="shared" si="22"/>
        <v>#VALUE!</v>
      </c>
      <c r="K90" s="106">
        <f t="shared" si="23"/>
        <v>32</v>
      </c>
      <c r="L90" s="106" t="str">
        <f>IFERROR(VLOOKUP(MID(G90,J90,K90-J90),[5]skilldef!$C:$D,2,FALSE),"-") &amp; " / " &amp; IFERROR(VLOOKUP(MID(G90,H90,I90-H90),[5]skilldef!$A:$B,2,FALSE),"-")</f>
        <v>- / -</v>
      </c>
      <c r="M90" s="106" t="str">
        <f t="shared" si="24"/>
        <v>[effect:break_attack_fix, target:unit_all, val:250, lowest_val:1300, count:-1, color:green, block01:jammer]</v>
      </c>
      <c r="N90" s="104" t="str">
        <f t="shared" ref="N90:N97" si="37">IFERROR(LEFT(M90,FIND("],",M90)+S98),M90)</f>
        <v>[effect:break_attack_fix, target:unit_all, val:250, lowest_val:1300, count:-1, color:green, block01:jammer]</v>
      </c>
      <c r="O90" s="106">
        <f t="shared" si="26"/>
        <v>9</v>
      </c>
      <c r="P90" s="106">
        <f t="shared" si="27"/>
        <v>25</v>
      </c>
      <c r="Q90" s="106">
        <f t="shared" si="28"/>
        <v>34</v>
      </c>
      <c r="R90" s="106">
        <f t="shared" si="29"/>
        <v>42</v>
      </c>
      <c r="S90" s="106" t="str">
        <f>IFERROR(VLOOKUP(MID(N90,Q90,R90-Q90),[5]skilldef!$C:$D,2,FALSE),"-") &amp; " / " &amp; IFERROR(VLOOKUP(MID(N90,O90,P90-O90),[5]skilldef!$A:$B,2,FALSE),"-")</f>
        <v>味方全体に / -</v>
      </c>
      <c r="T90" s="104" t="str">
        <f t="shared" si="30"/>
        <v>none</v>
      </c>
      <c r="U90" s="106" t="e">
        <f t="shared" si="31"/>
        <v>#VALUE!</v>
      </c>
      <c r="V90" s="106">
        <f t="shared" si="32"/>
        <v>4</v>
      </c>
      <c r="W90" s="106" t="e">
        <f t="shared" si="33"/>
        <v>#VALUE!</v>
      </c>
      <c r="X90" s="106" t="e">
        <f t="shared" si="34"/>
        <v>#VALUE!</v>
      </c>
      <c r="Y90" s="106" t="str">
        <f>IFERROR(VLOOKUP(MID(T90,W90,X90-W90),[5]skilldef!$C:$D,2,FALSE),"-") &amp; " / " &amp; IFERROR(VLOOKUP(MID(T90,U90,V90-U90),[5]skilldef!$A:$B,2,FALSE),"-")</f>
        <v>- / -</v>
      </c>
      <c r="Z90" s="105"/>
      <c r="AA90" s="107"/>
      <c r="AB90" s="106" t="s">
        <v>262</v>
      </c>
      <c r="AC90" s="106" t="s">
        <v>263</v>
      </c>
    </row>
    <row r="91" spans="1:29" ht="43" customHeight="1" x14ac:dyDescent="0.15">
      <c r="A91" s="104">
        <v>48503090</v>
      </c>
      <c r="B91" s="104" t="s">
        <v>386</v>
      </c>
      <c r="C91" s="105">
        <v>3</v>
      </c>
      <c r="D91" s="105" t="s">
        <v>143</v>
      </c>
      <c r="E91" s="106" t="s">
        <v>474</v>
      </c>
      <c r="F91" s="106" t="s">
        <v>442</v>
      </c>
      <c r="G91" s="106" t="str">
        <f t="shared" si="19"/>
        <v>[effect:enemy_message, val1:1.5, val2:1.3]</v>
      </c>
      <c r="H91" s="106">
        <f t="shared" si="20"/>
        <v>9</v>
      </c>
      <c r="I91" s="106">
        <f t="shared" si="21"/>
        <v>22</v>
      </c>
      <c r="J91" s="106" t="e">
        <f t="shared" si="22"/>
        <v>#VALUE!</v>
      </c>
      <c r="K91" s="106">
        <f t="shared" si="23"/>
        <v>32</v>
      </c>
      <c r="L91" s="106" t="str">
        <f>IFERROR(VLOOKUP(MID(G91,J91,K91-J91),[5]skilldef!$C:$D,2,FALSE),"-") &amp; " / " &amp; IFERROR(VLOOKUP(MID(G91,H91,I91-H91),[5]skilldef!$A:$B,2,FALSE),"-")</f>
        <v>- / -</v>
      </c>
      <c r="M91" s="106" t="str">
        <f t="shared" si="24"/>
        <v>[effect:break_heal_ratio, target:myself, val:0.01, lowest_val:0.1, count:-1, block01:jammer, animation:enemy_heal]</v>
      </c>
      <c r="N91" s="104" t="str">
        <f t="shared" si="37"/>
        <v>[effect:break_heal_ratio, target:myself, val:0.01, lowest_val:0.1, count:-1, block01:jammer, animation:enemy_heal]</v>
      </c>
      <c r="O91" s="106">
        <f t="shared" si="26"/>
        <v>9</v>
      </c>
      <c r="P91" s="106">
        <f t="shared" si="27"/>
        <v>25</v>
      </c>
      <c r="Q91" s="106">
        <f t="shared" si="28"/>
        <v>34</v>
      </c>
      <c r="R91" s="106">
        <f t="shared" si="29"/>
        <v>40</v>
      </c>
      <c r="S91" s="106" t="str">
        <f>IFERROR(VLOOKUP(MID(N91,Q91,R91-Q91),[5]skilldef!$C:$D,2,FALSE),"-") &amp; " / " &amp; IFERROR(VLOOKUP(MID(N91,O91,P91-O91),[5]skilldef!$A:$B,2,FALSE),"-")</f>
        <v>自分自身に / -</v>
      </c>
      <c r="T91" s="104" t="str">
        <f t="shared" si="30"/>
        <v>none</v>
      </c>
      <c r="U91" s="106" t="e">
        <f t="shared" si="31"/>
        <v>#VALUE!</v>
      </c>
      <c r="V91" s="106">
        <f t="shared" si="32"/>
        <v>4</v>
      </c>
      <c r="W91" s="106" t="e">
        <f t="shared" si="33"/>
        <v>#VALUE!</v>
      </c>
      <c r="X91" s="106" t="e">
        <f t="shared" si="34"/>
        <v>#VALUE!</v>
      </c>
      <c r="Y91" s="106" t="str">
        <f>IFERROR(VLOOKUP(MID(T91,W91,X91-W91),[5]skilldef!$C:$D,2,FALSE),"-") &amp; " / " &amp; IFERROR(VLOOKUP(MID(T91,U91,V91-U91),[5]skilldef!$A:$B,2,FALSE),"-")</f>
        <v>- / -</v>
      </c>
      <c r="Z91" s="105"/>
      <c r="AA91" s="107"/>
      <c r="AB91" s="106" t="s">
        <v>262</v>
      </c>
      <c r="AC91" s="106" t="s">
        <v>251</v>
      </c>
    </row>
    <row r="92" spans="1:29" ht="43" customHeight="1" x14ac:dyDescent="0.15">
      <c r="A92" s="104">
        <v>48503091</v>
      </c>
      <c r="B92" s="104" t="s">
        <v>368</v>
      </c>
      <c r="C92" s="105">
        <v>3</v>
      </c>
      <c r="D92" s="105" t="s">
        <v>348</v>
      </c>
      <c r="E92" s="106" t="s">
        <v>349</v>
      </c>
      <c r="F92" s="106" t="s">
        <v>466</v>
      </c>
      <c r="G92" s="106" t="str">
        <f t="shared" si="19"/>
        <v>[effect:enemy_message, val1:1.2, val2:3.6]</v>
      </c>
      <c r="H92" s="106">
        <f t="shared" si="20"/>
        <v>9</v>
      </c>
      <c r="I92" s="106">
        <f t="shared" si="21"/>
        <v>22</v>
      </c>
      <c r="J92" s="106" t="e">
        <f t="shared" si="22"/>
        <v>#VALUE!</v>
      </c>
      <c r="K92" s="106">
        <f t="shared" si="23"/>
        <v>32</v>
      </c>
      <c r="L92" s="106" t="str">
        <f>IFERROR(VLOOKUP(MID(G92,J92,K92-J92),[5]skilldef!$C:$D,2,FALSE),"-") &amp; " / " &amp; IFERROR(VLOOKUP(MID(G92,H92,I92-H92),[5]skilldef!$A:$B,2,FALSE),"-")</f>
        <v>- / -</v>
      </c>
      <c r="M92" s="106" t="str">
        <f t="shared" si="24"/>
        <v>[effect:panel_freeze, target:normal, count:10],[effect:force_change_block, new_block:jammer, target:block_all, ignore01:block_positive, ignore02:block_negative, count:3, val:0, animation:change_block]</v>
      </c>
      <c r="N92" s="104" t="str">
        <f t="shared" si="37"/>
        <v>[effect:panel_freeze, target:normal, count:10]</v>
      </c>
      <c r="O92" s="106">
        <f t="shared" si="26"/>
        <v>9</v>
      </c>
      <c r="P92" s="106">
        <f t="shared" si="27"/>
        <v>21</v>
      </c>
      <c r="Q92" s="106">
        <f t="shared" si="28"/>
        <v>30</v>
      </c>
      <c r="R92" s="106">
        <f t="shared" si="29"/>
        <v>36</v>
      </c>
      <c r="S92" s="106" t="str">
        <f>IFERROR(VLOOKUP(MID(N92,Q92,R92-Q92),[5]skilldef!$C:$D,2,FALSE),"-") &amp; " / " &amp; IFERROR(VLOOKUP(MID(N92,O92,P92-O92),[5]skilldef!$A:$B,2,FALSE),"-")</f>
        <v>- / -</v>
      </c>
      <c r="T92" s="104" t="str">
        <f t="shared" si="30"/>
        <v>[effect:force_change_block, new_block:jammer, target:block_all, ignore01:block_positive, ignore02:block_negative, count:3, val:0, animation:change_block]</v>
      </c>
      <c r="U92" s="106">
        <f t="shared" si="31"/>
        <v>9</v>
      </c>
      <c r="V92" s="106">
        <f t="shared" si="32"/>
        <v>27</v>
      </c>
      <c r="W92" s="106">
        <f t="shared" si="33"/>
        <v>54</v>
      </c>
      <c r="X92" s="106">
        <f t="shared" si="34"/>
        <v>45</v>
      </c>
      <c r="Y92" s="106" t="str">
        <f>IFERROR(VLOOKUP(MID(T92,W92,X92-W92),[5]skilldef!$C:$D,2,FALSE),"-") &amp; " / " &amp; IFERROR(VLOOKUP(MID(T92,U92,V92-U92),[5]skilldef!$A:$B,2,FALSE),"-")</f>
        <v>- / -</v>
      </c>
      <c r="Z92" s="105"/>
      <c r="AA92" s="107"/>
      <c r="AB92" s="106" t="s">
        <v>264</v>
      </c>
      <c r="AC92" s="106" t="s">
        <v>265</v>
      </c>
    </row>
    <row r="93" spans="1:29" ht="43" customHeight="1" x14ac:dyDescent="0.15">
      <c r="A93" s="104">
        <v>48503092</v>
      </c>
      <c r="B93" s="104" t="s">
        <v>517</v>
      </c>
      <c r="C93" s="105">
        <v>3</v>
      </c>
      <c r="D93" s="105" t="s">
        <v>143</v>
      </c>
      <c r="E93" s="106" t="s">
        <v>449</v>
      </c>
      <c r="F93" s="106" t="s">
        <v>516</v>
      </c>
      <c r="G93" s="106" t="str">
        <f t="shared" si="19"/>
        <v>[effect:enemy_message, val1:1.4, val2:1.7]</v>
      </c>
      <c r="H93" s="106">
        <f t="shared" si="20"/>
        <v>9</v>
      </c>
      <c r="I93" s="106">
        <f t="shared" si="21"/>
        <v>22</v>
      </c>
      <c r="J93" s="106" t="e">
        <f t="shared" si="22"/>
        <v>#VALUE!</v>
      </c>
      <c r="K93" s="106">
        <f t="shared" si="23"/>
        <v>32</v>
      </c>
      <c r="L93" s="106" t="str">
        <f>IFERROR(VLOOKUP(MID(G93,J93,K93-J93),[5]skilldef!$C:$D,2,FALSE),"-") &amp; " / " &amp; IFERROR(VLOOKUP(MID(G93,H93,I93-H93),[5]skilldef!$A:$B,2,FALSE),"-")</f>
        <v>- / -</v>
      </c>
      <c r="M93" s="106" t="str">
        <f t="shared" si="24"/>
        <v>none</v>
      </c>
      <c r="N93" s="104" t="str">
        <f t="shared" si="37"/>
        <v>none</v>
      </c>
      <c r="O93" s="106" t="e">
        <f t="shared" si="26"/>
        <v>#VALUE!</v>
      </c>
      <c r="P93" s="106">
        <f t="shared" si="27"/>
        <v>4</v>
      </c>
      <c r="Q93" s="106" t="e">
        <f t="shared" si="28"/>
        <v>#VALUE!</v>
      </c>
      <c r="R93" s="106" t="e">
        <f t="shared" si="29"/>
        <v>#VALUE!</v>
      </c>
      <c r="S93" s="106" t="str">
        <f>IFERROR(VLOOKUP(MID(N93,Q93,R93-Q93),[5]skilldef!$C:$D,2,FALSE),"-") &amp; " / " &amp; IFERROR(VLOOKUP(MID(N93,O93,P93-O93),[5]skilldef!$A:$B,2,FALSE),"-")</f>
        <v>- / -</v>
      </c>
      <c r="T93" s="104" t="str">
        <f t="shared" si="30"/>
        <v>none</v>
      </c>
      <c r="U93" s="106" t="e">
        <f t="shared" si="31"/>
        <v>#VALUE!</v>
      </c>
      <c r="V93" s="106">
        <f t="shared" si="32"/>
        <v>4</v>
      </c>
      <c r="W93" s="106" t="e">
        <f t="shared" si="33"/>
        <v>#VALUE!</v>
      </c>
      <c r="X93" s="106" t="e">
        <f t="shared" si="34"/>
        <v>#VALUE!</v>
      </c>
      <c r="Y93" s="106" t="str">
        <f>IFERROR(VLOOKUP(MID(T93,W93,X93-W93),[5]skilldef!$C:$D,2,FALSE),"-") &amp; " / " &amp; IFERROR(VLOOKUP(MID(T93,U93,V93-U93),[5]skilldef!$A:$B,2,FALSE),"-")</f>
        <v>- / -</v>
      </c>
      <c r="Z93" s="105"/>
      <c r="AA93" s="107"/>
      <c r="AB93" s="106" t="s">
        <v>266</v>
      </c>
      <c r="AC93" s="106" t="s">
        <v>267</v>
      </c>
    </row>
    <row r="94" spans="1:29" ht="43" customHeight="1" x14ac:dyDescent="0.15">
      <c r="A94" s="104">
        <v>48503093</v>
      </c>
      <c r="B94" s="104" t="s">
        <v>505</v>
      </c>
      <c r="C94" s="105">
        <v>3</v>
      </c>
      <c r="D94" s="105" t="s">
        <v>143</v>
      </c>
      <c r="E94" s="106" t="s">
        <v>450</v>
      </c>
      <c r="F94" s="106" t="s">
        <v>515</v>
      </c>
      <c r="G94" s="106" t="str">
        <f t="shared" si="19"/>
        <v>[effect:enemy_message, val1:1.5, val2:3.0]</v>
      </c>
      <c r="H94" s="106">
        <f t="shared" si="20"/>
        <v>9</v>
      </c>
      <c r="I94" s="106">
        <f t="shared" si="21"/>
        <v>22</v>
      </c>
      <c r="J94" s="106" t="e">
        <f t="shared" si="22"/>
        <v>#VALUE!</v>
      </c>
      <c r="K94" s="106">
        <f t="shared" si="23"/>
        <v>32</v>
      </c>
      <c r="L94" s="106" t="str">
        <f>IFERROR(VLOOKUP(MID(G94,J94,K94-J94),[5]skilldef!$C:$D,2,FALSE),"-") &amp; " / " &amp; IFERROR(VLOOKUP(MID(G94,H94,I94-H94),[5]skilldef!$A:$B,2,FALSE),"-")</f>
        <v>- / -</v>
      </c>
      <c r="M94" s="106" t="str">
        <f t="shared" si="24"/>
        <v>[effect:break_attack_fix, target:unit_all, val:150, lowest_val:1000, count:-1, block01:block_blue],[effect:change_panel_ratio, turn:-1, block_type:blue, val:0, animation:block_incidence04]</v>
      </c>
      <c r="N94" s="104" t="str">
        <f t="shared" si="37"/>
        <v>[effect:break_attack_fix, target:unit_all, val:150, lowest_val:1000, count:-1, block01:block_blue]</v>
      </c>
      <c r="O94" s="106">
        <f t="shared" si="26"/>
        <v>9</v>
      </c>
      <c r="P94" s="106">
        <f t="shared" si="27"/>
        <v>25</v>
      </c>
      <c r="Q94" s="106">
        <f t="shared" si="28"/>
        <v>34</v>
      </c>
      <c r="R94" s="106">
        <f t="shared" si="29"/>
        <v>42</v>
      </c>
      <c r="S94" s="106" t="str">
        <f>IFERROR(VLOOKUP(MID(N94,Q94,R94-Q94),[5]skilldef!$C:$D,2,FALSE),"-") &amp; " / " &amp; IFERROR(VLOOKUP(MID(N94,O94,P94-O94),[5]skilldef!$A:$B,2,FALSE),"-")</f>
        <v>味方全体に / -</v>
      </c>
      <c r="T94" s="104" t="str">
        <f t="shared" si="30"/>
        <v>[effect:change_panel_ratio, turn:-1, block_type:blue, val:0, animation:block_incidence04]</v>
      </c>
      <c r="U94" s="106">
        <f t="shared" si="31"/>
        <v>9</v>
      </c>
      <c r="V94" s="106">
        <f t="shared" si="32"/>
        <v>27</v>
      </c>
      <c r="W94" s="106" t="e">
        <f t="shared" si="33"/>
        <v>#VALUE!</v>
      </c>
      <c r="X94" s="106">
        <f t="shared" si="34"/>
        <v>36</v>
      </c>
      <c r="Y94" s="106" t="str">
        <f>IFERROR(VLOOKUP(MID(T94,W94,X94-W94),[5]skilldef!$C:$D,2,FALSE),"-") &amp; " / " &amp; IFERROR(VLOOKUP(MID(T94,U94,V94-U94),[5]skilldef!$A:$B,2,FALSE),"-")</f>
        <v>- / -</v>
      </c>
      <c r="Z94" s="105"/>
      <c r="AA94" s="107"/>
      <c r="AB94" s="106" t="s">
        <v>268</v>
      </c>
      <c r="AC94" s="106" t="s">
        <v>269</v>
      </c>
    </row>
    <row r="95" spans="1:29" ht="43" customHeight="1" x14ac:dyDescent="0.15">
      <c r="A95" s="104">
        <v>48503094</v>
      </c>
      <c r="B95" s="104" t="s">
        <v>387</v>
      </c>
      <c r="C95" s="105">
        <v>3</v>
      </c>
      <c r="D95" s="105" t="s">
        <v>143</v>
      </c>
      <c r="E95" s="106" t="s">
        <v>451</v>
      </c>
      <c r="F95" s="106" t="s">
        <v>480</v>
      </c>
      <c r="G95" s="106" t="str">
        <f t="shared" si="19"/>
        <v>[effect:enemy_message, val1:1.7, val2:1.7, dead_type:suicide]</v>
      </c>
      <c r="H95" s="106">
        <f t="shared" si="20"/>
        <v>9</v>
      </c>
      <c r="I95" s="106">
        <f t="shared" si="21"/>
        <v>22</v>
      </c>
      <c r="J95" s="106" t="e">
        <f t="shared" si="22"/>
        <v>#VALUE!</v>
      </c>
      <c r="K95" s="106">
        <f t="shared" si="23"/>
        <v>32</v>
      </c>
      <c r="L95" s="106" t="str">
        <f>IFERROR(VLOOKUP(MID(G95,J95,K95-J95),[5]skilldef!$C:$D,2,FALSE),"-") &amp; " / " &amp; IFERROR(VLOOKUP(MID(G95,H95,I95-H95),[5]skilldef!$A:$B,2,FALSE),"-")</f>
        <v>- / -</v>
      </c>
      <c r="M95" s="106" t="str">
        <f t="shared" si="24"/>
        <v>none</v>
      </c>
      <c r="N95" s="104" t="str">
        <f t="shared" si="37"/>
        <v>none</v>
      </c>
      <c r="O95" s="106" t="e">
        <f t="shared" si="26"/>
        <v>#VALUE!</v>
      </c>
      <c r="P95" s="106">
        <f t="shared" si="27"/>
        <v>4</v>
      </c>
      <c r="Q95" s="106" t="e">
        <f t="shared" si="28"/>
        <v>#VALUE!</v>
      </c>
      <c r="R95" s="106" t="e">
        <f t="shared" si="29"/>
        <v>#VALUE!</v>
      </c>
      <c r="S95" s="106" t="str">
        <f>IFERROR(VLOOKUP(MID(N95,Q95,R95-Q95),[5]skilldef!$C:$D,2,FALSE),"-") &amp; " / " &amp; IFERROR(VLOOKUP(MID(N95,O95,P95-O95),[5]skilldef!$A:$B,2,FALSE),"-")</f>
        <v>- / -</v>
      </c>
      <c r="T95" s="104" t="str">
        <f t="shared" si="30"/>
        <v>none</v>
      </c>
      <c r="U95" s="106" t="e">
        <f t="shared" si="31"/>
        <v>#VALUE!</v>
      </c>
      <c r="V95" s="106">
        <f t="shared" si="32"/>
        <v>4</v>
      </c>
      <c r="W95" s="106" t="e">
        <f t="shared" si="33"/>
        <v>#VALUE!</v>
      </c>
      <c r="X95" s="106" t="e">
        <f t="shared" si="34"/>
        <v>#VALUE!</v>
      </c>
      <c r="Y95" s="106" t="str">
        <f>IFERROR(VLOOKUP(MID(T95,W95,X95-W95),[5]skilldef!$C:$D,2,FALSE),"-") &amp; " / " &amp; IFERROR(VLOOKUP(MID(T95,U95,V95-U95),[5]skilldef!$A:$B,2,FALSE),"-")</f>
        <v>- / -</v>
      </c>
      <c r="Z95" s="105"/>
      <c r="AA95" s="107"/>
      <c r="AB95" s="106" t="s">
        <v>270</v>
      </c>
      <c r="AC95" s="106" t="s">
        <v>271</v>
      </c>
    </row>
    <row r="96" spans="1:29" ht="43" customHeight="1" x14ac:dyDescent="0.15">
      <c r="A96" s="104">
        <v>48503095</v>
      </c>
      <c r="B96" s="104" t="s">
        <v>388</v>
      </c>
      <c r="C96" s="105">
        <v>3</v>
      </c>
      <c r="D96" s="105" t="s">
        <v>143</v>
      </c>
      <c r="E96" s="106" t="s">
        <v>481</v>
      </c>
      <c r="F96" s="106" t="s">
        <v>452</v>
      </c>
      <c r="G96" s="106" t="str">
        <f t="shared" si="19"/>
        <v>[effect:enemy_message, val1:2.2, val2:2.0, dead_type:suicide]</v>
      </c>
      <c r="H96" s="106">
        <f t="shared" si="20"/>
        <v>9</v>
      </c>
      <c r="I96" s="106">
        <f t="shared" si="21"/>
        <v>22</v>
      </c>
      <c r="J96" s="106" t="e">
        <f t="shared" si="22"/>
        <v>#VALUE!</v>
      </c>
      <c r="K96" s="106">
        <f t="shared" si="23"/>
        <v>32</v>
      </c>
      <c r="L96" s="106" t="str">
        <f>IFERROR(VLOOKUP(MID(G96,J96,K96-J96),[5]skilldef!$C:$D,2,FALSE),"-") &amp; " / " &amp; IFERROR(VLOOKUP(MID(G96,H96,I96-H96),[5]skilldef!$A:$B,2,FALSE),"-")</f>
        <v>- / -</v>
      </c>
      <c r="M96" s="106" t="str">
        <f t="shared" si="24"/>
        <v>none</v>
      </c>
      <c r="N96" s="104" t="str">
        <f t="shared" si="37"/>
        <v>none</v>
      </c>
      <c r="O96" s="106" t="e">
        <f t="shared" si="26"/>
        <v>#VALUE!</v>
      </c>
      <c r="P96" s="106">
        <f t="shared" si="27"/>
        <v>4</v>
      </c>
      <c r="Q96" s="106" t="e">
        <f t="shared" si="28"/>
        <v>#VALUE!</v>
      </c>
      <c r="R96" s="106" t="e">
        <f t="shared" si="29"/>
        <v>#VALUE!</v>
      </c>
      <c r="S96" s="106" t="str">
        <f>IFERROR(VLOOKUP(MID(N96,Q96,R96-Q96),[5]skilldef!$C:$D,2,FALSE),"-") &amp; " / " &amp; IFERROR(VLOOKUP(MID(N96,O96,P96-O96),[5]skilldef!$A:$B,2,FALSE),"-")</f>
        <v>- / -</v>
      </c>
      <c r="T96" s="104" t="str">
        <f t="shared" si="30"/>
        <v>none</v>
      </c>
      <c r="U96" s="106" t="e">
        <f t="shared" si="31"/>
        <v>#VALUE!</v>
      </c>
      <c r="V96" s="106">
        <f t="shared" si="32"/>
        <v>4</v>
      </c>
      <c r="W96" s="106" t="e">
        <f t="shared" si="33"/>
        <v>#VALUE!</v>
      </c>
      <c r="X96" s="106" t="e">
        <f t="shared" si="34"/>
        <v>#VALUE!</v>
      </c>
      <c r="Y96" s="106" t="str">
        <f>IFERROR(VLOOKUP(MID(T96,W96,X96-W96),[5]skilldef!$C:$D,2,FALSE),"-") &amp; " / " &amp; IFERROR(VLOOKUP(MID(T96,U96,V96-U96),[5]skilldef!$A:$B,2,FALSE),"-")</f>
        <v>- / -</v>
      </c>
      <c r="Z96" s="105"/>
      <c r="AA96" s="107"/>
      <c r="AB96" s="106" t="s">
        <v>272</v>
      </c>
      <c r="AC96" s="106" t="s">
        <v>273</v>
      </c>
    </row>
    <row r="97" spans="1:29" ht="43" customHeight="1" x14ac:dyDescent="0.15">
      <c r="A97" s="104">
        <v>48503096</v>
      </c>
      <c r="B97" s="104" t="s">
        <v>388</v>
      </c>
      <c r="C97" s="105">
        <v>3</v>
      </c>
      <c r="D97" s="105" t="s">
        <v>143</v>
      </c>
      <c r="E97" s="106" t="s">
        <v>481</v>
      </c>
      <c r="F97" s="106" t="s">
        <v>452</v>
      </c>
      <c r="G97" s="106" t="str">
        <f t="shared" si="19"/>
        <v>[effect:enemy_message, val1:2.2, val2:2.0, dead_type:suicide]</v>
      </c>
      <c r="H97" s="106">
        <f t="shared" si="20"/>
        <v>9</v>
      </c>
      <c r="I97" s="106">
        <f t="shared" si="21"/>
        <v>22</v>
      </c>
      <c r="J97" s="106" t="e">
        <f t="shared" si="22"/>
        <v>#VALUE!</v>
      </c>
      <c r="K97" s="106">
        <f t="shared" si="23"/>
        <v>32</v>
      </c>
      <c r="L97" s="106" t="str">
        <f>IFERROR(VLOOKUP(MID(G97,J97,K97-J97),[5]skilldef!$C:$D,2,FALSE),"-") &amp; " / " &amp; IFERROR(VLOOKUP(MID(G97,H97,I97-H97),[5]skilldef!$A:$B,2,FALSE),"-")</f>
        <v>- / -</v>
      </c>
      <c r="M97" s="106" t="str">
        <f t="shared" si="24"/>
        <v>none</v>
      </c>
      <c r="N97" s="104" t="str">
        <f t="shared" si="37"/>
        <v>none</v>
      </c>
      <c r="O97" s="106" t="e">
        <f t="shared" si="26"/>
        <v>#VALUE!</v>
      </c>
      <c r="P97" s="106">
        <f t="shared" si="27"/>
        <v>4</v>
      </c>
      <c r="Q97" s="106" t="e">
        <f t="shared" si="28"/>
        <v>#VALUE!</v>
      </c>
      <c r="R97" s="106" t="e">
        <f t="shared" si="29"/>
        <v>#VALUE!</v>
      </c>
      <c r="S97" s="106" t="str">
        <f>IFERROR(VLOOKUP(MID(N97,Q97,R97-Q97),[5]skilldef!$C:$D,2,FALSE),"-") &amp; " / " &amp; IFERROR(VLOOKUP(MID(N97,O97,P97-O97),[5]skilldef!$A:$B,2,FALSE),"-")</f>
        <v>- / -</v>
      </c>
      <c r="T97" s="104" t="str">
        <f t="shared" si="30"/>
        <v>none</v>
      </c>
      <c r="U97" s="106" t="e">
        <f t="shared" si="31"/>
        <v>#VALUE!</v>
      </c>
      <c r="V97" s="106">
        <f t="shared" si="32"/>
        <v>4</v>
      </c>
      <c r="W97" s="106" t="e">
        <f t="shared" si="33"/>
        <v>#VALUE!</v>
      </c>
      <c r="X97" s="106" t="e">
        <f t="shared" si="34"/>
        <v>#VALUE!</v>
      </c>
      <c r="Y97" s="106" t="str">
        <f>IFERROR(VLOOKUP(MID(T97,W97,X97-W97),[5]skilldef!$C:$D,2,FALSE),"-") &amp; " / " &amp; IFERROR(VLOOKUP(MID(T97,U97,V97-U97),[5]skilldef!$A:$B,2,FALSE),"-")</f>
        <v>- / -</v>
      </c>
      <c r="Z97" s="105"/>
      <c r="AA97" s="107"/>
      <c r="AB97" s="106" t="s">
        <v>274</v>
      </c>
      <c r="AC97" s="106" t="s">
        <v>275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97"/>
  <sheetViews>
    <sheetView showGridLines="0" workbookViewId="0">
      <pane ySplit="1" topLeftCell="A27" activePane="bottomLeft" state="frozenSplit"/>
      <selection pane="bottomLeft" activeCell="A31" sqref="A31"/>
    </sheetView>
  </sheetViews>
  <sheetFormatPr baseColWidth="12" defaultColWidth="12.83203125" defaultRowHeight="21" customHeight="1" x14ac:dyDescent="0.15"/>
  <cols>
    <col min="1" max="1" width="16.1640625" style="38" bestFit="1" customWidth="1"/>
    <col min="2" max="2" width="13.33203125" style="38" bestFit="1" customWidth="1"/>
    <col min="3" max="3" width="11.83203125" style="38" bestFit="1" customWidth="1"/>
    <col min="4" max="4" width="14.6640625" style="38" bestFit="1" customWidth="1"/>
    <col min="5" max="5" width="15.6640625" style="38" bestFit="1" customWidth="1"/>
    <col min="6" max="6" width="17" style="38" bestFit="1" customWidth="1"/>
    <col min="7" max="7" width="15.6640625" style="38" bestFit="1" customWidth="1"/>
    <col min="8" max="9" width="14.6640625" style="38" customWidth="1"/>
    <col min="10" max="10" width="14.6640625" style="38" bestFit="1" customWidth="1"/>
    <col min="11" max="11" width="22.83203125" style="28" bestFit="1" customWidth="1"/>
    <col min="12" max="16384" width="12.83203125" style="34"/>
  </cols>
  <sheetData>
    <row r="1" spans="1:13" ht="21" customHeight="1" x14ac:dyDescent="0.15">
      <c r="A1" s="31" t="s">
        <v>277</v>
      </c>
      <c r="B1" s="31" t="s">
        <v>45</v>
      </c>
      <c r="C1" s="31" t="s">
        <v>278</v>
      </c>
      <c r="D1" s="31" t="s">
        <v>46</v>
      </c>
      <c r="E1" s="31" t="s">
        <v>279</v>
      </c>
      <c r="F1" s="42" t="s">
        <v>81</v>
      </c>
      <c r="G1" s="42" t="s">
        <v>280</v>
      </c>
      <c r="H1" s="31" t="s">
        <v>83</v>
      </c>
      <c r="I1" s="31" t="s">
        <v>281</v>
      </c>
      <c r="J1" s="31" t="s">
        <v>82</v>
      </c>
      <c r="K1" s="43" t="s">
        <v>47</v>
      </c>
    </row>
    <row r="2" spans="1:13" ht="21" customHeight="1" x14ac:dyDescent="0.15">
      <c r="A2" s="36">
        <v>48503001</v>
      </c>
      <c r="B2" s="36">
        <v>0</v>
      </c>
      <c r="C2" s="36" t="s">
        <v>48</v>
      </c>
      <c r="D2" s="36">
        <v>100</v>
      </c>
      <c r="E2" s="36">
        <v>20</v>
      </c>
      <c r="F2" s="36" t="s">
        <v>48</v>
      </c>
      <c r="G2" s="36" t="s">
        <v>48</v>
      </c>
      <c r="H2" s="36" t="s">
        <v>48</v>
      </c>
      <c r="I2" s="36" t="s">
        <v>48</v>
      </c>
      <c r="J2" s="37">
        <f t="shared" ref="J2:J65" si="0">D2</f>
        <v>100</v>
      </c>
      <c r="L2" s="40" t="s">
        <v>201</v>
      </c>
      <c r="M2" s="40" t="s">
        <v>202</v>
      </c>
    </row>
    <row r="3" spans="1:13" ht="21" customHeight="1" x14ac:dyDescent="0.15">
      <c r="A3" s="36">
        <v>48503002</v>
      </c>
      <c r="B3" s="36">
        <v>0</v>
      </c>
      <c r="C3" s="36" t="s">
        <v>48</v>
      </c>
      <c r="D3" s="36">
        <v>100</v>
      </c>
      <c r="E3" s="36" t="s">
        <v>48</v>
      </c>
      <c r="F3" s="36" t="s">
        <v>48</v>
      </c>
      <c r="G3" s="36" t="s">
        <v>48</v>
      </c>
      <c r="H3" s="36" t="s">
        <v>48</v>
      </c>
      <c r="I3" s="36" t="s">
        <v>48</v>
      </c>
      <c r="J3" s="37">
        <f t="shared" si="0"/>
        <v>100</v>
      </c>
      <c r="L3" s="40" t="s">
        <v>204</v>
      </c>
      <c r="M3" s="40" t="s">
        <v>203</v>
      </c>
    </row>
    <row r="4" spans="1:13" ht="21" customHeight="1" x14ac:dyDescent="0.15">
      <c r="A4" s="36">
        <v>48503003</v>
      </c>
      <c r="B4" s="36">
        <v>1</v>
      </c>
      <c r="C4" s="36" t="s">
        <v>48</v>
      </c>
      <c r="D4" s="36">
        <v>100</v>
      </c>
      <c r="E4" s="36" t="s">
        <v>48</v>
      </c>
      <c r="F4" s="36" t="s">
        <v>48</v>
      </c>
      <c r="G4" s="36">
        <v>1</v>
      </c>
      <c r="H4" s="36" t="s">
        <v>48</v>
      </c>
      <c r="I4" s="36" t="s">
        <v>48</v>
      </c>
      <c r="J4" s="37">
        <f t="shared" si="0"/>
        <v>100</v>
      </c>
      <c r="L4" s="40" t="s">
        <v>205</v>
      </c>
      <c r="M4" s="40" t="s">
        <v>206</v>
      </c>
    </row>
    <row r="5" spans="1:13" ht="21" customHeight="1" x14ac:dyDescent="0.15">
      <c r="A5" s="36">
        <v>48503004</v>
      </c>
      <c r="B5" s="36">
        <v>0</v>
      </c>
      <c r="C5" s="36" t="s">
        <v>48</v>
      </c>
      <c r="D5" s="36">
        <v>100</v>
      </c>
      <c r="E5" s="36">
        <v>30</v>
      </c>
      <c r="F5" s="36" t="s">
        <v>48</v>
      </c>
      <c r="G5" s="36">
        <v>1</v>
      </c>
      <c r="H5" s="36" t="s">
        <v>48</v>
      </c>
      <c r="I5" s="36" t="s">
        <v>48</v>
      </c>
      <c r="J5" s="37">
        <f t="shared" si="0"/>
        <v>100</v>
      </c>
      <c r="L5" s="40" t="s">
        <v>207</v>
      </c>
      <c r="M5" s="40" t="s">
        <v>208</v>
      </c>
    </row>
    <row r="6" spans="1:13" ht="21" customHeight="1" x14ac:dyDescent="0.15">
      <c r="A6" s="36">
        <v>48503005</v>
      </c>
      <c r="B6" s="36">
        <v>1</v>
      </c>
      <c r="C6" s="36" t="s">
        <v>48</v>
      </c>
      <c r="D6" s="36">
        <v>100</v>
      </c>
      <c r="E6" s="36" t="s">
        <v>48</v>
      </c>
      <c r="F6" s="36" t="s">
        <v>48</v>
      </c>
      <c r="G6" s="36">
        <v>1</v>
      </c>
      <c r="H6" s="36" t="s">
        <v>48</v>
      </c>
      <c r="I6" s="36" t="s">
        <v>48</v>
      </c>
      <c r="J6" s="37">
        <f t="shared" si="0"/>
        <v>100</v>
      </c>
      <c r="L6" s="40" t="s">
        <v>210</v>
      </c>
      <c r="M6" s="40" t="s">
        <v>209</v>
      </c>
    </row>
    <row r="7" spans="1:13" ht="21" customHeight="1" x14ac:dyDescent="0.15">
      <c r="A7" s="36">
        <v>48503006</v>
      </c>
      <c r="B7" s="36">
        <v>0</v>
      </c>
      <c r="C7" s="36">
        <v>1</v>
      </c>
      <c r="D7" s="36">
        <v>100</v>
      </c>
      <c r="E7" s="36">
        <v>50</v>
      </c>
      <c r="F7" s="36" t="s">
        <v>48</v>
      </c>
      <c r="G7" s="36">
        <v>1</v>
      </c>
      <c r="H7" s="36" t="s">
        <v>48</v>
      </c>
      <c r="I7" s="36" t="s">
        <v>48</v>
      </c>
      <c r="J7" s="37">
        <f t="shared" si="0"/>
        <v>100</v>
      </c>
      <c r="L7" s="40" t="s">
        <v>211</v>
      </c>
      <c r="M7" s="40" t="s">
        <v>212</v>
      </c>
    </row>
    <row r="8" spans="1:13" ht="21" customHeight="1" x14ac:dyDescent="0.15">
      <c r="A8" s="36">
        <v>48503007</v>
      </c>
      <c r="B8" s="36">
        <v>0</v>
      </c>
      <c r="C8" s="36">
        <v>2</v>
      </c>
      <c r="D8" s="36">
        <v>100</v>
      </c>
      <c r="E8" s="36">
        <v>30</v>
      </c>
      <c r="F8" s="36" t="s">
        <v>48</v>
      </c>
      <c r="G8" s="36">
        <v>1</v>
      </c>
      <c r="H8" s="36" t="s">
        <v>48</v>
      </c>
      <c r="I8" s="36" t="s">
        <v>48</v>
      </c>
      <c r="J8" s="37">
        <f t="shared" si="0"/>
        <v>100</v>
      </c>
      <c r="L8" s="40" t="s">
        <v>213</v>
      </c>
      <c r="M8" s="40" t="s">
        <v>206</v>
      </c>
    </row>
    <row r="9" spans="1:13" ht="21" customHeight="1" x14ac:dyDescent="0.15">
      <c r="A9" s="36">
        <v>48503008</v>
      </c>
      <c r="B9" s="36">
        <v>1</v>
      </c>
      <c r="C9" s="36" t="s">
        <v>48</v>
      </c>
      <c r="D9" s="36">
        <v>100</v>
      </c>
      <c r="E9" s="36" t="s">
        <v>48</v>
      </c>
      <c r="F9" s="36" t="s">
        <v>48</v>
      </c>
      <c r="G9" s="36">
        <v>1</v>
      </c>
      <c r="H9" s="36" t="s">
        <v>48</v>
      </c>
      <c r="I9" s="36" t="s">
        <v>48</v>
      </c>
      <c r="J9" s="37">
        <f t="shared" si="0"/>
        <v>100</v>
      </c>
      <c r="L9" s="40" t="s">
        <v>214</v>
      </c>
      <c r="M9" s="40" t="s">
        <v>215</v>
      </c>
    </row>
    <row r="10" spans="1:13" ht="21" customHeight="1" x14ac:dyDescent="0.15">
      <c r="A10" s="36">
        <v>48503009</v>
      </c>
      <c r="B10" s="36">
        <v>0</v>
      </c>
      <c r="C10" s="36" t="s">
        <v>48</v>
      </c>
      <c r="D10" s="36">
        <v>40</v>
      </c>
      <c r="E10" s="36" t="s">
        <v>48</v>
      </c>
      <c r="F10" s="36">
        <v>50</v>
      </c>
      <c r="G10" s="36" t="s">
        <v>48</v>
      </c>
      <c r="H10" s="36" t="s">
        <v>48</v>
      </c>
      <c r="I10" s="36" t="s">
        <v>48</v>
      </c>
      <c r="J10" s="37">
        <f t="shared" si="0"/>
        <v>40</v>
      </c>
      <c r="L10" s="40" t="s">
        <v>217</v>
      </c>
      <c r="M10" s="40" t="s">
        <v>216</v>
      </c>
    </row>
    <row r="11" spans="1:13" ht="21" customHeight="1" x14ac:dyDescent="0.15">
      <c r="A11" s="36">
        <v>48503010</v>
      </c>
      <c r="B11" s="36">
        <v>0</v>
      </c>
      <c r="C11" s="36" t="s">
        <v>48</v>
      </c>
      <c r="D11" s="36">
        <v>40</v>
      </c>
      <c r="E11" s="36" t="s">
        <v>48</v>
      </c>
      <c r="F11" s="36">
        <v>50</v>
      </c>
      <c r="G11" s="36" t="s">
        <v>48</v>
      </c>
      <c r="H11" s="36" t="s">
        <v>48</v>
      </c>
      <c r="I11" s="36" t="s">
        <v>48</v>
      </c>
      <c r="J11" s="37">
        <f t="shared" si="0"/>
        <v>40</v>
      </c>
      <c r="L11" s="40" t="s">
        <v>219</v>
      </c>
      <c r="M11" s="40" t="s">
        <v>218</v>
      </c>
    </row>
    <row r="12" spans="1:13" ht="21" customHeight="1" x14ac:dyDescent="0.15">
      <c r="A12" s="36">
        <v>48503011</v>
      </c>
      <c r="B12" s="36">
        <v>0</v>
      </c>
      <c r="C12" s="36" t="s">
        <v>48</v>
      </c>
      <c r="D12" s="36">
        <v>35</v>
      </c>
      <c r="E12" s="36" t="s">
        <v>48</v>
      </c>
      <c r="F12" s="36">
        <v>50</v>
      </c>
      <c r="G12" s="36" t="s">
        <v>48</v>
      </c>
      <c r="H12" s="36" t="s">
        <v>48</v>
      </c>
      <c r="I12" s="36" t="s">
        <v>48</v>
      </c>
      <c r="J12" s="37">
        <f t="shared" si="0"/>
        <v>35</v>
      </c>
      <c r="L12" s="40" t="s">
        <v>220</v>
      </c>
      <c r="M12" s="40" t="s">
        <v>221</v>
      </c>
    </row>
    <row r="13" spans="1:13" ht="21" customHeight="1" x14ac:dyDescent="0.15">
      <c r="A13" s="36">
        <v>48503012</v>
      </c>
      <c r="B13" s="36">
        <v>0</v>
      </c>
      <c r="C13" s="36" t="s">
        <v>48</v>
      </c>
      <c r="D13" s="36">
        <v>40</v>
      </c>
      <c r="E13" s="36">
        <v>50</v>
      </c>
      <c r="F13" s="36" t="s">
        <v>48</v>
      </c>
      <c r="G13" s="36" t="s">
        <v>48</v>
      </c>
      <c r="H13" s="36" t="s">
        <v>48</v>
      </c>
      <c r="I13" s="36" t="s">
        <v>48</v>
      </c>
      <c r="J13" s="37">
        <f t="shared" si="0"/>
        <v>40</v>
      </c>
      <c r="L13" s="40" t="s">
        <v>222</v>
      </c>
      <c r="M13" s="40" t="s">
        <v>218</v>
      </c>
    </row>
    <row r="14" spans="1:13" ht="21" customHeight="1" x14ac:dyDescent="0.15">
      <c r="A14" s="36">
        <v>48503013</v>
      </c>
      <c r="B14" s="36">
        <v>0</v>
      </c>
      <c r="C14" s="36" t="s">
        <v>48</v>
      </c>
      <c r="D14" s="36">
        <v>40</v>
      </c>
      <c r="E14" s="36">
        <v>50</v>
      </c>
      <c r="F14" s="36" t="s">
        <v>48</v>
      </c>
      <c r="G14" s="36" t="s">
        <v>48</v>
      </c>
      <c r="H14" s="36" t="s">
        <v>48</v>
      </c>
      <c r="I14" s="36" t="s">
        <v>48</v>
      </c>
      <c r="J14" s="37">
        <f t="shared" si="0"/>
        <v>40</v>
      </c>
      <c r="L14" s="40" t="s">
        <v>224</v>
      </c>
      <c r="M14" s="40" t="s">
        <v>223</v>
      </c>
    </row>
    <row r="15" spans="1:13" ht="21" customHeight="1" x14ac:dyDescent="0.15">
      <c r="A15" s="36">
        <v>48503014</v>
      </c>
      <c r="B15" s="36">
        <v>0</v>
      </c>
      <c r="C15" s="36" t="s">
        <v>48</v>
      </c>
      <c r="D15" s="36">
        <v>35</v>
      </c>
      <c r="E15" s="36">
        <v>50</v>
      </c>
      <c r="F15" s="36" t="s">
        <v>48</v>
      </c>
      <c r="G15" s="36" t="s">
        <v>48</v>
      </c>
      <c r="H15" s="36" t="s">
        <v>48</v>
      </c>
      <c r="I15" s="36" t="s">
        <v>48</v>
      </c>
      <c r="J15" s="37">
        <f t="shared" si="0"/>
        <v>35</v>
      </c>
      <c r="L15" s="40" t="s">
        <v>225</v>
      </c>
      <c r="M15" s="40" t="s">
        <v>221</v>
      </c>
    </row>
    <row r="16" spans="1:13" ht="21" customHeight="1" x14ac:dyDescent="0.15">
      <c r="A16" s="36">
        <v>48503015</v>
      </c>
      <c r="B16" s="36">
        <v>0</v>
      </c>
      <c r="C16" s="36">
        <v>1</v>
      </c>
      <c r="D16" s="36">
        <v>100</v>
      </c>
      <c r="E16" s="36" t="s">
        <v>48</v>
      </c>
      <c r="F16" s="36" t="s">
        <v>48</v>
      </c>
      <c r="G16" s="36" t="s">
        <v>48</v>
      </c>
      <c r="H16" s="36" t="s">
        <v>48</v>
      </c>
      <c r="I16" s="36" t="s">
        <v>48</v>
      </c>
      <c r="J16" s="37">
        <f t="shared" si="0"/>
        <v>100</v>
      </c>
      <c r="L16" s="40" t="s">
        <v>226</v>
      </c>
      <c r="M16" s="40" t="s">
        <v>202</v>
      </c>
    </row>
    <row r="17" spans="1:13" ht="21" customHeight="1" x14ac:dyDescent="0.15">
      <c r="A17" s="36">
        <v>48503016</v>
      </c>
      <c r="B17" s="36">
        <v>0</v>
      </c>
      <c r="C17" s="36">
        <v>2</v>
      </c>
      <c r="D17" s="36">
        <v>50</v>
      </c>
      <c r="E17" s="36">
        <v>50</v>
      </c>
      <c r="F17" s="36" t="s">
        <v>48</v>
      </c>
      <c r="G17" s="36" t="s">
        <v>48</v>
      </c>
      <c r="H17" s="36" t="s">
        <v>48</v>
      </c>
      <c r="I17" s="36" t="s">
        <v>48</v>
      </c>
      <c r="J17" s="37">
        <f t="shared" si="0"/>
        <v>50</v>
      </c>
      <c r="L17" s="40" t="s">
        <v>227</v>
      </c>
      <c r="M17" s="40" t="s">
        <v>228</v>
      </c>
    </row>
    <row r="18" spans="1:13" ht="21" customHeight="1" x14ac:dyDescent="0.15">
      <c r="A18" s="109">
        <v>48503017</v>
      </c>
      <c r="B18" s="36">
        <v>1</v>
      </c>
      <c r="C18" s="36">
        <v>1</v>
      </c>
      <c r="D18" s="36">
        <v>100</v>
      </c>
      <c r="E18" s="36" t="s">
        <v>48</v>
      </c>
      <c r="F18" s="36" t="s">
        <v>48</v>
      </c>
      <c r="G18" s="36">
        <v>1</v>
      </c>
      <c r="H18" s="36" t="s">
        <v>48</v>
      </c>
      <c r="I18" s="36" t="s">
        <v>48</v>
      </c>
      <c r="J18" s="37">
        <f t="shared" si="0"/>
        <v>100</v>
      </c>
      <c r="L18" s="40" t="s">
        <v>229</v>
      </c>
      <c r="M18" s="40" t="s">
        <v>230</v>
      </c>
    </row>
    <row r="19" spans="1:13" ht="21" customHeight="1" x14ac:dyDescent="0.15">
      <c r="A19" s="109">
        <v>48503018</v>
      </c>
      <c r="B19" s="36">
        <v>1</v>
      </c>
      <c r="C19" s="36">
        <v>2</v>
      </c>
      <c r="D19" s="36">
        <v>100</v>
      </c>
      <c r="E19" s="36" t="s">
        <v>48</v>
      </c>
      <c r="F19" s="36" t="s">
        <v>48</v>
      </c>
      <c r="G19" s="36">
        <v>1</v>
      </c>
      <c r="H19" s="36" t="s">
        <v>48</v>
      </c>
      <c r="I19" s="36">
        <v>5001</v>
      </c>
      <c r="J19" s="37">
        <v>100</v>
      </c>
      <c r="L19" s="40" t="s">
        <v>231</v>
      </c>
      <c r="M19" s="40" t="s">
        <v>230</v>
      </c>
    </row>
    <row r="20" spans="1:13" ht="21" customHeight="1" x14ac:dyDescent="0.15">
      <c r="A20" s="109">
        <v>48503019</v>
      </c>
      <c r="B20" s="36">
        <v>1</v>
      </c>
      <c r="C20" s="36">
        <v>3</v>
      </c>
      <c r="D20" s="36">
        <v>100</v>
      </c>
      <c r="E20" s="36" t="s">
        <v>48</v>
      </c>
      <c r="F20" s="36" t="s">
        <v>48</v>
      </c>
      <c r="G20" s="36">
        <v>1</v>
      </c>
      <c r="H20" s="36" t="s">
        <v>48</v>
      </c>
      <c r="I20" s="36">
        <v>5002</v>
      </c>
      <c r="J20" s="37">
        <v>100</v>
      </c>
      <c r="L20" s="40" t="s">
        <v>232</v>
      </c>
      <c r="M20" s="40" t="s">
        <v>230</v>
      </c>
    </row>
    <row r="21" spans="1:13" ht="21" customHeight="1" x14ac:dyDescent="0.15">
      <c r="A21" s="36">
        <v>48503020</v>
      </c>
      <c r="B21" s="36">
        <v>0</v>
      </c>
      <c r="C21" s="36">
        <v>4</v>
      </c>
      <c r="D21" s="36">
        <v>100</v>
      </c>
      <c r="E21" s="36" t="s">
        <v>48</v>
      </c>
      <c r="F21" s="36" t="s">
        <v>48</v>
      </c>
      <c r="G21" s="36">
        <v>1</v>
      </c>
      <c r="H21" s="36">
        <v>1</v>
      </c>
      <c r="I21" s="36" t="s">
        <v>48</v>
      </c>
      <c r="J21" s="37">
        <f t="shared" si="0"/>
        <v>100</v>
      </c>
      <c r="L21" s="40" t="s">
        <v>234</v>
      </c>
      <c r="M21" s="40" t="s">
        <v>233</v>
      </c>
    </row>
    <row r="22" spans="1:13" ht="21" customHeight="1" x14ac:dyDescent="0.15">
      <c r="A22" s="36">
        <v>48503021</v>
      </c>
      <c r="B22" s="36">
        <v>0</v>
      </c>
      <c r="C22" s="36" t="s">
        <v>48</v>
      </c>
      <c r="D22" s="36">
        <v>50</v>
      </c>
      <c r="E22" s="36" t="s">
        <v>48</v>
      </c>
      <c r="F22" s="36">
        <v>50</v>
      </c>
      <c r="G22" s="36" t="s">
        <v>48</v>
      </c>
      <c r="H22" s="36" t="s">
        <v>48</v>
      </c>
      <c r="I22" s="36" t="s">
        <v>48</v>
      </c>
      <c r="J22" s="37">
        <f t="shared" si="0"/>
        <v>50</v>
      </c>
      <c r="L22" s="40" t="s">
        <v>282</v>
      </c>
      <c r="M22" s="40" t="s">
        <v>235</v>
      </c>
    </row>
    <row r="23" spans="1:13" ht="21" customHeight="1" x14ac:dyDescent="0.15">
      <c r="A23" s="36">
        <v>48503022</v>
      </c>
      <c r="B23" s="36">
        <v>0</v>
      </c>
      <c r="C23" s="36">
        <v>5</v>
      </c>
      <c r="D23" s="36">
        <v>100</v>
      </c>
      <c r="E23" s="36">
        <v>50</v>
      </c>
      <c r="F23" s="36" t="s">
        <v>48</v>
      </c>
      <c r="G23" s="36">
        <v>1</v>
      </c>
      <c r="H23" s="36" t="s">
        <v>48</v>
      </c>
      <c r="I23" s="36" t="s">
        <v>48</v>
      </c>
      <c r="J23" s="37">
        <f t="shared" si="0"/>
        <v>100</v>
      </c>
      <c r="L23" s="40" t="s">
        <v>283</v>
      </c>
      <c r="M23" s="40" t="s">
        <v>238</v>
      </c>
    </row>
    <row r="24" spans="1:13" ht="21" customHeight="1" x14ac:dyDescent="0.15">
      <c r="A24" s="36">
        <v>48503023</v>
      </c>
      <c r="B24" s="36">
        <v>0</v>
      </c>
      <c r="C24" s="36" t="s">
        <v>48</v>
      </c>
      <c r="D24" s="36">
        <v>50</v>
      </c>
      <c r="E24" s="36">
        <v>50</v>
      </c>
      <c r="F24" s="36" t="s">
        <v>48</v>
      </c>
      <c r="G24" s="36" t="s">
        <v>48</v>
      </c>
      <c r="H24" s="36" t="s">
        <v>48</v>
      </c>
      <c r="I24" s="36" t="s">
        <v>48</v>
      </c>
      <c r="J24" s="37">
        <f t="shared" si="0"/>
        <v>50</v>
      </c>
      <c r="L24" s="40" t="s">
        <v>284</v>
      </c>
      <c r="M24" s="40" t="s">
        <v>235</v>
      </c>
    </row>
    <row r="25" spans="1:13" ht="21" customHeight="1" x14ac:dyDescent="0.15">
      <c r="A25" s="36">
        <v>48503024</v>
      </c>
      <c r="B25" s="36">
        <v>1</v>
      </c>
      <c r="C25" s="36" t="s">
        <v>48</v>
      </c>
      <c r="D25" s="36">
        <v>100</v>
      </c>
      <c r="E25" s="36" t="s">
        <v>48</v>
      </c>
      <c r="F25" s="36" t="s">
        <v>48</v>
      </c>
      <c r="G25" s="36">
        <v>1</v>
      </c>
      <c r="H25" s="36" t="s">
        <v>48</v>
      </c>
      <c r="I25" s="36" t="s">
        <v>48</v>
      </c>
      <c r="J25" s="37">
        <f t="shared" si="0"/>
        <v>100</v>
      </c>
      <c r="L25" s="40" t="s">
        <v>241</v>
      </c>
      <c r="M25" s="40" t="s">
        <v>240</v>
      </c>
    </row>
    <row r="26" spans="1:13" ht="21" customHeight="1" x14ac:dyDescent="0.15">
      <c r="A26" s="36">
        <v>48503025</v>
      </c>
      <c r="B26" s="36">
        <v>0</v>
      </c>
      <c r="C26" s="36" t="s">
        <v>48</v>
      </c>
      <c r="D26" s="36">
        <v>35</v>
      </c>
      <c r="E26" s="36" t="s">
        <v>48</v>
      </c>
      <c r="F26" s="36">
        <v>50</v>
      </c>
      <c r="G26" s="36" t="s">
        <v>48</v>
      </c>
      <c r="H26" s="36" t="s">
        <v>48</v>
      </c>
      <c r="I26" s="36" t="s">
        <v>48</v>
      </c>
      <c r="J26" s="37">
        <f t="shared" si="0"/>
        <v>35</v>
      </c>
      <c r="L26" s="40" t="s">
        <v>243</v>
      </c>
      <c r="M26" s="40" t="s">
        <v>242</v>
      </c>
    </row>
    <row r="27" spans="1:13" ht="21" customHeight="1" x14ac:dyDescent="0.15">
      <c r="A27" s="36">
        <v>48503026</v>
      </c>
      <c r="B27" s="36">
        <v>0</v>
      </c>
      <c r="C27" s="36" t="s">
        <v>48</v>
      </c>
      <c r="D27" s="36">
        <v>35</v>
      </c>
      <c r="E27" s="36" t="s">
        <v>48</v>
      </c>
      <c r="F27" s="36">
        <v>50</v>
      </c>
      <c r="G27" s="36" t="s">
        <v>48</v>
      </c>
      <c r="H27" s="36" t="s">
        <v>48</v>
      </c>
      <c r="I27" s="36" t="s">
        <v>48</v>
      </c>
      <c r="J27" s="37">
        <f t="shared" si="0"/>
        <v>35</v>
      </c>
      <c r="L27" s="40" t="s">
        <v>243</v>
      </c>
      <c r="M27" s="40" t="s">
        <v>244</v>
      </c>
    </row>
    <row r="28" spans="1:13" ht="21" customHeight="1" x14ac:dyDescent="0.15">
      <c r="A28" s="36">
        <v>48503027</v>
      </c>
      <c r="B28" s="36">
        <v>0</v>
      </c>
      <c r="C28" s="36" t="s">
        <v>48</v>
      </c>
      <c r="D28" s="36">
        <v>20</v>
      </c>
      <c r="E28" s="36" t="s">
        <v>48</v>
      </c>
      <c r="F28" s="36">
        <v>50</v>
      </c>
      <c r="G28" s="36" t="s">
        <v>48</v>
      </c>
      <c r="H28" s="36" t="s">
        <v>48</v>
      </c>
      <c r="I28" s="36" t="s">
        <v>48</v>
      </c>
      <c r="J28" s="37">
        <f t="shared" si="0"/>
        <v>20</v>
      </c>
      <c r="L28" s="40" t="s">
        <v>243</v>
      </c>
      <c r="M28" s="40" t="s">
        <v>245</v>
      </c>
    </row>
    <row r="29" spans="1:13" ht="21" customHeight="1" x14ac:dyDescent="0.15">
      <c r="A29" s="36">
        <v>48503028</v>
      </c>
      <c r="B29" s="36">
        <v>0</v>
      </c>
      <c r="C29" s="36" t="s">
        <v>48</v>
      </c>
      <c r="D29" s="36">
        <v>100</v>
      </c>
      <c r="E29" s="36">
        <v>50</v>
      </c>
      <c r="F29" s="36" t="s">
        <v>48</v>
      </c>
      <c r="G29" s="36">
        <v>1</v>
      </c>
      <c r="H29" s="36" t="s">
        <v>48</v>
      </c>
      <c r="I29" s="36" t="s">
        <v>48</v>
      </c>
      <c r="J29" s="37">
        <f t="shared" si="0"/>
        <v>100</v>
      </c>
      <c r="L29" s="40" t="s">
        <v>248</v>
      </c>
      <c r="M29" s="40" t="s">
        <v>247</v>
      </c>
    </row>
    <row r="30" spans="1:13" ht="21" customHeight="1" x14ac:dyDescent="0.15">
      <c r="A30" s="36">
        <v>48503029</v>
      </c>
      <c r="B30" s="36">
        <v>0</v>
      </c>
      <c r="C30" s="36" t="s">
        <v>48</v>
      </c>
      <c r="D30" s="36">
        <v>35</v>
      </c>
      <c r="E30" s="36">
        <v>50</v>
      </c>
      <c r="F30" s="36" t="s">
        <v>48</v>
      </c>
      <c r="G30" s="36" t="s">
        <v>48</v>
      </c>
      <c r="H30" s="36" t="s">
        <v>48</v>
      </c>
      <c r="I30" s="36" t="s">
        <v>48</v>
      </c>
      <c r="J30" s="37">
        <f t="shared" si="0"/>
        <v>35</v>
      </c>
      <c r="L30" s="40" t="s">
        <v>249</v>
      </c>
      <c r="M30" s="40" t="s">
        <v>242</v>
      </c>
    </row>
    <row r="31" spans="1:13" ht="21" customHeight="1" x14ac:dyDescent="0.15">
      <c r="A31" s="36">
        <v>48503030</v>
      </c>
      <c r="B31" s="36">
        <v>0</v>
      </c>
      <c r="C31" s="36" t="s">
        <v>48</v>
      </c>
      <c r="D31" s="36">
        <v>35</v>
      </c>
      <c r="E31" s="36">
        <v>50</v>
      </c>
      <c r="F31" s="36" t="s">
        <v>48</v>
      </c>
      <c r="G31" s="36" t="s">
        <v>48</v>
      </c>
      <c r="H31" s="36" t="s">
        <v>48</v>
      </c>
      <c r="I31" s="36" t="s">
        <v>48</v>
      </c>
      <c r="J31" s="37">
        <f t="shared" si="0"/>
        <v>35</v>
      </c>
      <c r="L31" s="40" t="s">
        <v>249</v>
      </c>
      <c r="M31" s="40" t="s">
        <v>244</v>
      </c>
    </row>
    <row r="32" spans="1:13" ht="21" customHeight="1" x14ac:dyDescent="0.15">
      <c r="A32" s="36">
        <v>48503031</v>
      </c>
      <c r="B32" s="36">
        <v>0</v>
      </c>
      <c r="C32" s="36" t="s">
        <v>48</v>
      </c>
      <c r="D32" s="36">
        <v>20</v>
      </c>
      <c r="E32" s="36">
        <v>50</v>
      </c>
      <c r="F32" s="36" t="s">
        <v>48</v>
      </c>
      <c r="G32" s="36" t="s">
        <v>48</v>
      </c>
      <c r="H32" s="36" t="s">
        <v>48</v>
      </c>
      <c r="I32" s="36" t="s">
        <v>48</v>
      </c>
      <c r="J32" s="37">
        <f t="shared" si="0"/>
        <v>20</v>
      </c>
      <c r="L32" s="40" t="s">
        <v>249</v>
      </c>
      <c r="M32" s="40" t="s">
        <v>245</v>
      </c>
    </row>
    <row r="33" spans="1:13" ht="21" customHeight="1" x14ac:dyDescent="0.15">
      <c r="A33" s="36">
        <v>48503032</v>
      </c>
      <c r="B33" s="36">
        <v>0</v>
      </c>
      <c r="C33" s="36" t="s">
        <v>48</v>
      </c>
      <c r="D33" s="36">
        <v>70</v>
      </c>
      <c r="E33" s="36">
        <v>50</v>
      </c>
      <c r="F33" s="36" t="s">
        <v>48</v>
      </c>
      <c r="G33" s="36">
        <v>2</v>
      </c>
      <c r="H33" s="36" t="s">
        <v>48</v>
      </c>
      <c r="I33" s="36" t="s">
        <v>48</v>
      </c>
      <c r="J33" s="37">
        <f t="shared" si="0"/>
        <v>70</v>
      </c>
      <c r="L33" s="40" t="s">
        <v>249</v>
      </c>
      <c r="M33" s="40" t="s">
        <v>251</v>
      </c>
    </row>
    <row r="34" spans="1:13" ht="21" customHeight="1" x14ac:dyDescent="0.15">
      <c r="A34" s="109">
        <v>48503033</v>
      </c>
      <c r="B34" s="36">
        <v>1</v>
      </c>
      <c r="C34" s="36">
        <v>1</v>
      </c>
      <c r="D34" s="36">
        <v>100</v>
      </c>
      <c r="E34" s="36" t="s">
        <v>48</v>
      </c>
      <c r="F34" s="36" t="s">
        <v>48</v>
      </c>
      <c r="G34" s="36">
        <v>1</v>
      </c>
      <c r="H34" s="36" t="s">
        <v>48</v>
      </c>
      <c r="I34" s="36" t="s">
        <v>48</v>
      </c>
      <c r="J34" s="37">
        <f t="shared" si="0"/>
        <v>100</v>
      </c>
      <c r="L34" s="40" t="s">
        <v>252</v>
      </c>
      <c r="M34" s="40" t="s">
        <v>253</v>
      </c>
    </row>
    <row r="35" spans="1:13" ht="21" customHeight="1" x14ac:dyDescent="0.15">
      <c r="A35" s="109">
        <v>48503034</v>
      </c>
      <c r="B35" s="36">
        <v>1</v>
      </c>
      <c r="C35" s="36">
        <v>2</v>
      </c>
      <c r="D35" s="36">
        <v>100</v>
      </c>
      <c r="E35" s="36" t="s">
        <v>48</v>
      </c>
      <c r="F35" s="36" t="s">
        <v>48</v>
      </c>
      <c r="G35" s="36">
        <v>1</v>
      </c>
      <c r="H35" s="36" t="s">
        <v>48</v>
      </c>
      <c r="I35" s="36">
        <v>5001</v>
      </c>
      <c r="J35" s="37">
        <f t="shared" si="0"/>
        <v>100</v>
      </c>
      <c r="L35" s="40" t="s">
        <v>254</v>
      </c>
      <c r="M35" s="40" t="s">
        <v>253</v>
      </c>
    </row>
    <row r="36" spans="1:13" ht="21" customHeight="1" x14ac:dyDescent="0.15">
      <c r="A36" s="109">
        <v>48503035</v>
      </c>
      <c r="B36" s="36">
        <v>1</v>
      </c>
      <c r="C36" s="36">
        <v>3</v>
      </c>
      <c r="D36" s="36">
        <v>100</v>
      </c>
      <c r="E36" s="36" t="s">
        <v>48</v>
      </c>
      <c r="F36" s="36" t="s">
        <v>48</v>
      </c>
      <c r="G36" s="36">
        <v>1</v>
      </c>
      <c r="H36" s="36" t="s">
        <v>48</v>
      </c>
      <c r="I36" s="36">
        <v>5002</v>
      </c>
      <c r="J36" s="37">
        <f t="shared" si="0"/>
        <v>100</v>
      </c>
      <c r="L36" s="40" t="s">
        <v>255</v>
      </c>
      <c r="M36" s="40" t="s">
        <v>253</v>
      </c>
    </row>
    <row r="37" spans="1:13" ht="21" customHeight="1" x14ac:dyDescent="0.15">
      <c r="A37" s="36">
        <v>48503036</v>
      </c>
      <c r="B37" s="36">
        <v>0</v>
      </c>
      <c r="C37" s="36" t="s">
        <v>48</v>
      </c>
      <c r="D37" s="36">
        <v>35</v>
      </c>
      <c r="E37" s="36" t="s">
        <v>48</v>
      </c>
      <c r="F37" s="36">
        <v>50</v>
      </c>
      <c r="G37" s="36" t="s">
        <v>48</v>
      </c>
      <c r="H37" s="36" t="s">
        <v>48</v>
      </c>
      <c r="I37" s="36" t="s">
        <v>48</v>
      </c>
      <c r="J37" s="37">
        <f t="shared" si="0"/>
        <v>35</v>
      </c>
      <c r="L37" s="40" t="s">
        <v>257</v>
      </c>
      <c r="M37" s="40" t="s">
        <v>256</v>
      </c>
    </row>
    <row r="38" spans="1:13" ht="21" customHeight="1" x14ac:dyDescent="0.15">
      <c r="A38" s="36">
        <v>48503037</v>
      </c>
      <c r="B38" s="36">
        <v>0</v>
      </c>
      <c r="C38" s="36" t="s">
        <v>48</v>
      </c>
      <c r="D38" s="36">
        <v>35</v>
      </c>
      <c r="E38" s="36" t="s">
        <v>48</v>
      </c>
      <c r="F38" s="36">
        <v>50</v>
      </c>
      <c r="G38" s="36" t="s">
        <v>48</v>
      </c>
      <c r="H38" s="36" t="s">
        <v>48</v>
      </c>
      <c r="I38" s="36" t="s">
        <v>48</v>
      </c>
      <c r="J38" s="37">
        <f t="shared" si="0"/>
        <v>35</v>
      </c>
      <c r="L38" s="40" t="s">
        <v>257</v>
      </c>
      <c r="M38" s="40" t="s">
        <v>258</v>
      </c>
    </row>
    <row r="39" spans="1:13" ht="21" customHeight="1" x14ac:dyDescent="0.15">
      <c r="A39" s="36">
        <v>48503038</v>
      </c>
      <c r="B39" s="36">
        <v>0</v>
      </c>
      <c r="C39" s="36" t="s">
        <v>48</v>
      </c>
      <c r="D39" s="36">
        <v>20</v>
      </c>
      <c r="E39" s="36" t="s">
        <v>48</v>
      </c>
      <c r="F39" s="36">
        <v>50</v>
      </c>
      <c r="G39" s="36" t="s">
        <v>48</v>
      </c>
      <c r="H39" s="36" t="s">
        <v>48</v>
      </c>
      <c r="I39" s="36" t="s">
        <v>48</v>
      </c>
      <c r="J39" s="37">
        <f t="shared" si="0"/>
        <v>20</v>
      </c>
      <c r="L39" s="40" t="s">
        <v>257</v>
      </c>
      <c r="M39" s="40" t="s">
        <v>245</v>
      </c>
    </row>
    <row r="40" spans="1:13" ht="21" customHeight="1" x14ac:dyDescent="0.15">
      <c r="A40" s="36">
        <v>48503039</v>
      </c>
      <c r="B40" s="36">
        <v>0</v>
      </c>
      <c r="C40" s="36">
        <v>1</v>
      </c>
      <c r="D40" s="36">
        <v>100</v>
      </c>
      <c r="E40" s="36">
        <v>75</v>
      </c>
      <c r="F40" s="36" t="s">
        <v>48</v>
      </c>
      <c r="G40" s="36">
        <v>1</v>
      </c>
      <c r="H40" s="36" t="s">
        <v>48</v>
      </c>
      <c r="I40" s="36" t="s">
        <v>48</v>
      </c>
      <c r="J40" s="37">
        <f t="shared" si="0"/>
        <v>100</v>
      </c>
      <c r="L40" s="40" t="s">
        <v>285</v>
      </c>
      <c r="M40" s="40" t="s">
        <v>260</v>
      </c>
    </row>
    <row r="41" spans="1:13" ht="21" customHeight="1" x14ac:dyDescent="0.15">
      <c r="A41" s="36">
        <v>48503040</v>
      </c>
      <c r="B41" s="36">
        <v>0</v>
      </c>
      <c r="C41" s="36" t="s">
        <v>48</v>
      </c>
      <c r="D41" s="36">
        <v>35</v>
      </c>
      <c r="E41" s="36">
        <v>50</v>
      </c>
      <c r="F41" s="36" t="s">
        <v>48</v>
      </c>
      <c r="G41" s="36" t="s">
        <v>48</v>
      </c>
      <c r="H41" s="36" t="s">
        <v>48</v>
      </c>
      <c r="I41" s="36" t="s">
        <v>48</v>
      </c>
      <c r="J41" s="37">
        <f t="shared" si="0"/>
        <v>35</v>
      </c>
      <c r="L41" s="40" t="s">
        <v>262</v>
      </c>
      <c r="M41" s="40" t="s">
        <v>261</v>
      </c>
    </row>
    <row r="42" spans="1:13" ht="21" customHeight="1" x14ac:dyDescent="0.15">
      <c r="A42" s="36">
        <v>48503041</v>
      </c>
      <c r="B42" s="36">
        <v>0</v>
      </c>
      <c r="C42" s="36" t="s">
        <v>48</v>
      </c>
      <c r="D42" s="36">
        <v>35</v>
      </c>
      <c r="E42" s="36">
        <v>50</v>
      </c>
      <c r="F42" s="36" t="s">
        <v>48</v>
      </c>
      <c r="G42" s="36" t="s">
        <v>48</v>
      </c>
      <c r="H42" s="36" t="s">
        <v>48</v>
      </c>
      <c r="I42" s="36" t="s">
        <v>48</v>
      </c>
      <c r="J42" s="37">
        <f t="shared" si="0"/>
        <v>35</v>
      </c>
      <c r="L42" s="40" t="s">
        <v>262</v>
      </c>
      <c r="M42" s="40" t="s">
        <v>263</v>
      </c>
    </row>
    <row r="43" spans="1:13" ht="21" customHeight="1" x14ac:dyDescent="0.15">
      <c r="A43" s="36">
        <v>48503042</v>
      </c>
      <c r="B43" s="36">
        <v>0</v>
      </c>
      <c r="C43" s="36" t="s">
        <v>48</v>
      </c>
      <c r="D43" s="36">
        <v>70</v>
      </c>
      <c r="E43" s="36">
        <v>50</v>
      </c>
      <c r="F43" s="36" t="s">
        <v>48</v>
      </c>
      <c r="G43" s="36">
        <v>2</v>
      </c>
      <c r="H43" s="36" t="s">
        <v>48</v>
      </c>
      <c r="I43" s="36" t="s">
        <v>48</v>
      </c>
      <c r="J43" s="37">
        <f t="shared" si="0"/>
        <v>70</v>
      </c>
      <c r="L43" s="40" t="s">
        <v>262</v>
      </c>
      <c r="M43" s="40" t="s">
        <v>251</v>
      </c>
    </row>
    <row r="44" spans="1:13" ht="21" customHeight="1" x14ac:dyDescent="0.15">
      <c r="A44" s="36">
        <v>48503043</v>
      </c>
      <c r="B44" s="36">
        <v>0</v>
      </c>
      <c r="C44" s="36">
        <v>2</v>
      </c>
      <c r="D44" s="36">
        <v>100</v>
      </c>
      <c r="E44" s="36">
        <v>50</v>
      </c>
      <c r="F44" s="36" t="s">
        <v>48</v>
      </c>
      <c r="G44" s="36">
        <v>1</v>
      </c>
      <c r="H44" s="36" t="s">
        <v>48</v>
      </c>
      <c r="I44" s="36" t="s">
        <v>48</v>
      </c>
      <c r="J44" s="37">
        <f t="shared" si="0"/>
        <v>100</v>
      </c>
      <c r="L44" s="40" t="s">
        <v>264</v>
      </c>
      <c r="M44" s="40" t="s">
        <v>265</v>
      </c>
    </row>
    <row r="45" spans="1:13" ht="21" customHeight="1" x14ac:dyDescent="0.15">
      <c r="A45" s="36">
        <v>48503044</v>
      </c>
      <c r="B45" s="36">
        <v>0</v>
      </c>
      <c r="C45" s="36">
        <v>4</v>
      </c>
      <c r="D45" s="36">
        <v>100</v>
      </c>
      <c r="E45" s="36">
        <v>25</v>
      </c>
      <c r="F45" s="36" t="s">
        <v>48</v>
      </c>
      <c r="G45" s="36">
        <v>1</v>
      </c>
      <c r="H45" s="36" t="s">
        <v>48</v>
      </c>
      <c r="I45" s="36" t="s">
        <v>48</v>
      </c>
      <c r="J45" s="37">
        <f t="shared" si="0"/>
        <v>100</v>
      </c>
      <c r="L45" s="40" t="s">
        <v>266</v>
      </c>
      <c r="M45" s="40" t="s">
        <v>267</v>
      </c>
    </row>
    <row r="46" spans="1:13" ht="21" customHeight="1" x14ac:dyDescent="0.15">
      <c r="A46" s="36">
        <v>48503045</v>
      </c>
      <c r="B46" s="36">
        <v>0</v>
      </c>
      <c r="C46" s="36">
        <v>3</v>
      </c>
      <c r="D46" s="36">
        <v>100</v>
      </c>
      <c r="E46" s="36">
        <v>25</v>
      </c>
      <c r="F46" s="36" t="s">
        <v>48</v>
      </c>
      <c r="G46" s="36">
        <v>1</v>
      </c>
      <c r="H46" s="36" t="s">
        <v>48</v>
      </c>
      <c r="I46" s="36" t="s">
        <v>48</v>
      </c>
      <c r="J46" s="37">
        <f t="shared" si="0"/>
        <v>100</v>
      </c>
      <c r="L46" s="40" t="s">
        <v>266</v>
      </c>
      <c r="M46" s="40" t="s">
        <v>269</v>
      </c>
    </row>
    <row r="47" spans="1:13" ht="21" customHeight="1" x14ac:dyDescent="0.15">
      <c r="A47" s="109">
        <v>48503046</v>
      </c>
      <c r="B47" s="36">
        <v>0</v>
      </c>
      <c r="C47" s="36">
        <v>5</v>
      </c>
      <c r="D47" s="36">
        <v>100</v>
      </c>
      <c r="E47" s="36" t="s">
        <v>48</v>
      </c>
      <c r="F47" s="36" t="s">
        <v>48</v>
      </c>
      <c r="G47" s="36">
        <v>0</v>
      </c>
      <c r="H47" s="36" t="s">
        <v>48</v>
      </c>
      <c r="I47" s="36">
        <v>0</v>
      </c>
      <c r="J47" s="37">
        <f t="shared" si="0"/>
        <v>100</v>
      </c>
      <c r="L47" s="40" t="s">
        <v>270</v>
      </c>
      <c r="M47" s="40" t="s">
        <v>271</v>
      </c>
    </row>
    <row r="48" spans="1:13" ht="21" customHeight="1" x14ac:dyDescent="0.15">
      <c r="A48" s="109">
        <v>48503047</v>
      </c>
      <c r="B48" s="36">
        <v>0</v>
      </c>
      <c r="C48" s="36">
        <v>6</v>
      </c>
      <c r="D48" s="36">
        <v>100</v>
      </c>
      <c r="E48" s="36" t="s">
        <v>48</v>
      </c>
      <c r="F48" s="36" t="s">
        <v>48</v>
      </c>
      <c r="G48" s="36">
        <v>0</v>
      </c>
      <c r="H48" s="36" t="s">
        <v>48</v>
      </c>
      <c r="I48" s="36">
        <v>5001</v>
      </c>
      <c r="J48" s="37">
        <f t="shared" si="0"/>
        <v>100</v>
      </c>
      <c r="L48" s="40" t="s">
        <v>272</v>
      </c>
      <c r="M48" s="40" t="s">
        <v>273</v>
      </c>
    </row>
    <row r="49" spans="1:13" ht="21" customHeight="1" x14ac:dyDescent="0.15">
      <c r="A49" s="109">
        <v>48503048</v>
      </c>
      <c r="B49" s="36">
        <v>0</v>
      </c>
      <c r="C49" s="36">
        <v>7</v>
      </c>
      <c r="D49" s="36">
        <v>100</v>
      </c>
      <c r="E49" s="36" t="s">
        <v>48</v>
      </c>
      <c r="F49" s="36" t="s">
        <v>48</v>
      </c>
      <c r="G49" s="36">
        <v>0</v>
      </c>
      <c r="H49" s="36" t="s">
        <v>48</v>
      </c>
      <c r="I49" s="36">
        <v>5002</v>
      </c>
      <c r="J49" s="37">
        <f t="shared" si="0"/>
        <v>100</v>
      </c>
      <c r="L49" s="40" t="s">
        <v>274</v>
      </c>
      <c r="M49" s="40" t="s">
        <v>275</v>
      </c>
    </row>
    <row r="50" spans="1:13" ht="21" customHeight="1" x14ac:dyDescent="0.15">
      <c r="A50" s="104">
        <v>48503049</v>
      </c>
      <c r="B50" s="104">
        <v>0</v>
      </c>
      <c r="C50" s="104" t="s">
        <v>48</v>
      </c>
      <c r="D50" s="104">
        <v>100</v>
      </c>
      <c r="E50" s="104">
        <v>20</v>
      </c>
      <c r="F50" s="104" t="s">
        <v>48</v>
      </c>
      <c r="G50" s="104" t="s">
        <v>48</v>
      </c>
      <c r="H50" s="104" t="s">
        <v>48</v>
      </c>
      <c r="I50" s="104" t="s">
        <v>48</v>
      </c>
      <c r="J50" s="37">
        <f t="shared" si="0"/>
        <v>100</v>
      </c>
      <c r="L50" s="40" t="s">
        <v>201</v>
      </c>
      <c r="M50" s="40" t="s">
        <v>202</v>
      </c>
    </row>
    <row r="51" spans="1:13" ht="21" customHeight="1" x14ac:dyDescent="0.15">
      <c r="A51" s="104">
        <v>48503050</v>
      </c>
      <c r="B51" s="104">
        <v>0</v>
      </c>
      <c r="C51" s="104" t="s">
        <v>48</v>
      </c>
      <c r="D51" s="104">
        <v>100</v>
      </c>
      <c r="E51" s="104" t="s">
        <v>48</v>
      </c>
      <c r="F51" s="104" t="s">
        <v>48</v>
      </c>
      <c r="G51" s="104" t="s">
        <v>48</v>
      </c>
      <c r="H51" s="104" t="s">
        <v>48</v>
      </c>
      <c r="I51" s="104" t="s">
        <v>48</v>
      </c>
      <c r="J51" s="37">
        <f t="shared" si="0"/>
        <v>100</v>
      </c>
      <c r="L51" s="40" t="s">
        <v>204</v>
      </c>
      <c r="M51" s="40" t="s">
        <v>203</v>
      </c>
    </row>
    <row r="52" spans="1:13" ht="21" customHeight="1" x14ac:dyDescent="0.15">
      <c r="A52" s="104">
        <v>48503051</v>
      </c>
      <c r="B52" s="104">
        <v>1</v>
      </c>
      <c r="C52" s="104" t="s">
        <v>48</v>
      </c>
      <c r="D52" s="104">
        <v>100</v>
      </c>
      <c r="E52" s="104" t="s">
        <v>48</v>
      </c>
      <c r="F52" s="104" t="s">
        <v>48</v>
      </c>
      <c r="G52" s="104">
        <v>1</v>
      </c>
      <c r="H52" s="104" t="s">
        <v>48</v>
      </c>
      <c r="I52" s="104" t="s">
        <v>48</v>
      </c>
      <c r="J52" s="37">
        <f t="shared" si="0"/>
        <v>100</v>
      </c>
      <c r="L52" s="40" t="s">
        <v>205</v>
      </c>
      <c r="M52" s="40" t="s">
        <v>206</v>
      </c>
    </row>
    <row r="53" spans="1:13" ht="21" customHeight="1" x14ac:dyDescent="0.15">
      <c r="A53" s="104">
        <v>48503052</v>
      </c>
      <c r="B53" s="104">
        <v>0</v>
      </c>
      <c r="C53" s="104" t="s">
        <v>48</v>
      </c>
      <c r="D53" s="104">
        <v>100</v>
      </c>
      <c r="E53" s="104">
        <v>30</v>
      </c>
      <c r="F53" s="104" t="s">
        <v>48</v>
      </c>
      <c r="G53" s="104">
        <v>1</v>
      </c>
      <c r="H53" s="104" t="s">
        <v>48</v>
      </c>
      <c r="I53" s="104" t="s">
        <v>48</v>
      </c>
      <c r="J53" s="37">
        <f t="shared" si="0"/>
        <v>100</v>
      </c>
      <c r="L53" s="40" t="s">
        <v>207</v>
      </c>
      <c r="M53" s="40" t="s">
        <v>208</v>
      </c>
    </row>
    <row r="54" spans="1:13" ht="21" customHeight="1" x14ac:dyDescent="0.15">
      <c r="A54" s="104">
        <v>48503053</v>
      </c>
      <c r="B54" s="104">
        <v>1</v>
      </c>
      <c r="C54" s="104" t="s">
        <v>48</v>
      </c>
      <c r="D54" s="104">
        <v>100</v>
      </c>
      <c r="E54" s="104" t="s">
        <v>48</v>
      </c>
      <c r="F54" s="104" t="s">
        <v>48</v>
      </c>
      <c r="G54" s="104">
        <v>1</v>
      </c>
      <c r="H54" s="104" t="s">
        <v>48</v>
      </c>
      <c r="I54" s="104" t="s">
        <v>48</v>
      </c>
      <c r="J54" s="37">
        <f t="shared" si="0"/>
        <v>100</v>
      </c>
      <c r="L54" s="40" t="s">
        <v>210</v>
      </c>
      <c r="M54" s="40" t="s">
        <v>209</v>
      </c>
    </row>
    <row r="55" spans="1:13" ht="21" customHeight="1" x14ac:dyDescent="0.15">
      <c r="A55" s="104">
        <v>48503054</v>
      </c>
      <c r="B55" s="104">
        <v>0</v>
      </c>
      <c r="C55" s="104">
        <v>1</v>
      </c>
      <c r="D55" s="104">
        <v>100</v>
      </c>
      <c r="E55" s="104">
        <v>50</v>
      </c>
      <c r="F55" s="104" t="s">
        <v>48</v>
      </c>
      <c r="G55" s="104">
        <v>1</v>
      </c>
      <c r="H55" s="104" t="s">
        <v>48</v>
      </c>
      <c r="I55" s="104" t="s">
        <v>48</v>
      </c>
      <c r="J55" s="37">
        <f t="shared" si="0"/>
        <v>100</v>
      </c>
      <c r="L55" s="40" t="s">
        <v>211</v>
      </c>
      <c r="M55" s="40" t="s">
        <v>212</v>
      </c>
    </row>
    <row r="56" spans="1:13" ht="21" customHeight="1" x14ac:dyDescent="0.15">
      <c r="A56" s="104">
        <v>48503055</v>
      </c>
      <c r="B56" s="104">
        <v>0</v>
      </c>
      <c r="C56" s="104">
        <v>2</v>
      </c>
      <c r="D56" s="104">
        <v>100</v>
      </c>
      <c r="E56" s="104">
        <v>30</v>
      </c>
      <c r="F56" s="104" t="s">
        <v>48</v>
      </c>
      <c r="G56" s="104">
        <v>1</v>
      </c>
      <c r="H56" s="104" t="s">
        <v>48</v>
      </c>
      <c r="I56" s="104" t="s">
        <v>48</v>
      </c>
      <c r="J56" s="37">
        <f t="shared" si="0"/>
        <v>100</v>
      </c>
      <c r="L56" s="40" t="s">
        <v>213</v>
      </c>
      <c r="M56" s="40" t="s">
        <v>206</v>
      </c>
    </row>
    <row r="57" spans="1:13" ht="21" customHeight="1" x14ac:dyDescent="0.15">
      <c r="A57" s="104">
        <v>48503056</v>
      </c>
      <c r="B57" s="104">
        <v>1</v>
      </c>
      <c r="C57" s="104" t="s">
        <v>48</v>
      </c>
      <c r="D57" s="104">
        <v>100</v>
      </c>
      <c r="E57" s="104" t="s">
        <v>48</v>
      </c>
      <c r="F57" s="104" t="s">
        <v>48</v>
      </c>
      <c r="G57" s="104">
        <v>1</v>
      </c>
      <c r="H57" s="104" t="s">
        <v>48</v>
      </c>
      <c r="I57" s="104" t="s">
        <v>48</v>
      </c>
      <c r="J57" s="37">
        <f t="shared" si="0"/>
        <v>100</v>
      </c>
      <c r="L57" s="40" t="s">
        <v>214</v>
      </c>
      <c r="M57" s="40" t="s">
        <v>215</v>
      </c>
    </row>
    <row r="58" spans="1:13" ht="21" customHeight="1" x14ac:dyDescent="0.15">
      <c r="A58" s="104">
        <v>48503057</v>
      </c>
      <c r="B58" s="104">
        <v>0</v>
      </c>
      <c r="C58" s="104" t="s">
        <v>48</v>
      </c>
      <c r="D58" s="104">
        <v>40</v>
      </c>
      <c r="E58" s="104" t="s">
        <v>48</v>
      </c>
      <c r="F58" s="104">
        <v>50</v>
      </c>
      <c r="G58" s="104" t="s">
        <v>48</v>
      </c>
      <c r="H58" s="104" t="s">
        <v>48</v>
      </c>
      <c r="I58" s="104" t="s">
        <v>48</v>
      </c>
      <c r="J58" s="37">
        <f t="shared" si="0"/>
        <v>40</v>
      </c>
      <c r="L58" s="40" t="s">
        <v>217</v>
      </c>
      <c r="M58" s="40" t="s">
        <v>216</v>
      </c>
    </row>
    <row r="59" spans="1:13" ht="21" customHeight="1" x14ac:dyDescent="0.15">
      <c r="A59" s="104">
        <v>48503058</v>
      </c>
      <c r="B59" s="104">
        <v>0</v>
      </c>
      <c r="C59" s="104" t="s">
        <v>48</v>
      </c>
      <c r="D59" s="104">
        <v>40</v>
      </c>
      <c r="E59" s="104" t="s">
        <v>48</v>
      </c>
      <c r="F59" s="104">
        <v>50</v>
      </c>
      <c r="G59" s="104" t="s">
        <v>48</v>
      </c>
      <c r="H59" s="104" t="s">
        <v>48</v>
      </c>
      <c r="I59" s="104" t="s">
        <v>48</v>
      </c>
      <c r="J59" s="37">
        <f t="shared" si="0"/>
        <v>40</v>
      </c>
      <c r="L59" s="40" t="s">
        <v>219</v>
      </c>
      <c r="M59" s="40" t="s">
        <v>218</v>
      </c>
    </row>
    <row r="60" spans="1:13" ht="21" customHeight="1" x14ac:dyDescent="0.15">
      <c r="A60" s="104">
        <v>48503059</v>
      </c>
      <c r="B60" s="104">
        <v>0</v>
      </c>
      <c r="C60" s="104" t="s">
        <v>48</v>
      </c>
      <c r="D60" s="104">
        <v>35</v>
      </c>
      <c r="E60" s="104" t="s">
        <v>48</v>
      </c>
      <c r="F60" s="104">
        <v>50</v>
      </c>
      <c r="G60" s="104" t="s">
        <v>48</v>
      </c>
      <c r="H60" s="104" t="s">
        <v>48</v>
      </c>
      <c r="I60" s="104" t="s">
        <v>48</v>
      </c>
      <c r="J60" s="37">
        <f t="shared" si="0"/>
        <v>35</v>
      </c>
      <c r="L60" s="40" t="s">
        <v>220</v>
      </c>
      <c r="M60" s="40" t="s">
        <v>221</v>
      </c>
    </row>
    <row r="61" spans="1:13" ht="21" customHeight="1" x14ac:dyDescent="0.15">
      <c r="A61" s="104">
        <v>48503060</v>
      </c>
      <c r="B61" s="104">
        <v>0</v>
      </c>
      <c r="C61" s="104" t="s">
        <v>48</v>
      </c>
      <c r="D61" s="104">
        <v>40</v>
      </c>
      <c r="E61" s="104">
        <v>50</v>
      </c>
      <c r="F61" s="104" t="s">
        <v>48</v>
      </c>
      <c r="G61" s="104" t="s">
        <v>48</v>
      </c>
      <c r="H61" s="104" t="s">
        <v>48</v>
      </c>
      <c r="I61" s="104" t="s">
        <v>48</v>
      </c>
      <c r="J61" s="37">
        <f t="shared" si="0"/>
        <v>40</v>
      </c>
      <c r="L61" s="40" t="s">
        <v>222</v>
      </c>
      <c r="M61" s="40" t="s">
        <v>218</v>
      </c>
    </row>
    <row r="62" spans="1:13" ht="21" customHeight="1" x14ac:dyDescent="0.15">
      <c r="A62" s="104">
        <v>48503061</v>
      </c>
      <c r="B62" s="104">
        <v>0</v>
      </c>
      <c r="C62" s="104" t="s">
        <v>48</v>
      </c>
      <c r="D62" s="104">
        <v>40</v>
      </c>
      <c r="E62" s="104">
        <v>50</v>
      </c>
      <c r="F62" s="104" t="s">
        <v>48</v>
      </c>
      <c r="G62" s="104" t="s">
        <v>48</v>
      </c>
      <c r="H62" s="104" t="s">
        <v>48</v>
      </c>
      <c r="I62" s="104" t="s">
        <v>48</v>
      </c>
      <c r="J62" s="37">
        <f t="shared" si="0"/>
        <v>40</v>
      </c>
      <c r="L62" s="40" t="s">
        <v>224</v>
      </c>
      <c r="M62" s="40" t="s">
        <v>223</v>
      </c>
    </row>
    <row r="63" spans="1:13" ht="21" customHeight="1" x14ac:dyDescent="0.15">
      <c r="A63" s="104">
        <v>48503062</v>
      </c>
      <c r="B63" s="104">
        <v>0</v>
      </c>
      <c r="C63" s="104" t="s">
        <v>48</v>
      </c>
      <c r="D63" s="104">
        <v>35</v>
      </c>
      <c r="E63" s="104">
        <v>50</v>
      </c>
      <c r="F63" s="104" t="s">
        <v>48</v>
      </c>
      <c r="G63" s="104" t="s">
        <v>48</v>
      </c>
      <c r="H63" s="104" t="s">
        <v>48</v>
      </c>
      <c r="I63" s="104" t="s">
        <v>48</v>
      </c>
      <c r="J63" s="37">
        <f t="shared" si="0"/>
        <v>35</v>
      </c>
      <c r="L63" s="40" t="s">
        <v>225</v>
      </c>
      <c r="M63" s="40" t="s">
        <v>221</v>
      </c>
    </row>
    <row r="64" spans="1:13" ht="21" customHeight="1" x14ac:dyDescent="0.15">
      <c r="A64" s="104">
        <v>48503063</v>
      </c>
      <c r="B64" s="104">
        <v>0</v>
      </c>
      <c r="C64" s="104">
        <v>1</v>
      </c>
      <c r="D64" s="104">
        <v>100</v>
      </c>
      <c r="E64" s="104" t="s">
        <v>48</v>
      </c>
      <c r="F64" s="104" t="s">
        <v>48</v>
      </c>
      <c r="G64" s="104" t="s">
        <v>48</v>
      </c>
      <c r="H64" s="104" t="s">
        <v>48</v>
      </c>
      <c r="I64" s="104" t="s">
        <v>48</v>
      </c>
      <c r="J64" s="37">
        <f t="shared" si="0"/>
        <v>100</v>
      </c>
      <c r="L64" s="40" t="s">
        <v>226</v>
      </c>
      <c r="M64" s="40" t="s">
        <v>202</v>
      </c>
    </row>
    <row r="65" spans="1:13" ht="21" customHeight="1" x14ac:dyDescent="0.15">
      <c r="A65" s="104">
        <v>48503064</v>
      </c>
      <c r="B65" s="104">
        <v>0</v>
      </c>
      <c r="C65" s="104">
        <v>2</v>
      </c>
      <c r="D65" s="104">
        <v>50</v>
      </c>
      <c r="E65" s="104">
        <v>50</v>
      </c>
      <c r="F65" s="104" t="s">
        <v>48</v>
      </c>
      <c r="G65" s="104" t="s">
        <v>48</v>
      </c>
      <c r="H65" s="104" t="s">
        <v>48</v>
      </c>
      <c r="I65" s="104" t="s">
        <v>48</v>
      </c>
      <c r="J65" s="37">
        <f t="shared" si="0"/>
        <v>50</v>
      </c>
      <c r="L65" s="40" t="s">
        <v>227</v>
      </c>
      <c r="M65" s="40" t="s">
        <v>228</v>
      </c>
    </row>
    <row r="66" spans="1:13" ht="21" customHeight="1" x14ac:dyDescent="0.15">
      <c r="A66" s="109">
        <v>48503065</v>
      </c>
      <c r="B66" s="104">
        <v>1</v>
      </c>
      <c r="C66" s="104">
        <v>1</v>
      </c>
      <c r="D66" s="104">
        <v>100</v>
      </c>
      <c r="E66" s="104" t="s">
        <v>48</v>
      </c>
      <c r="F66" s="104" t="s">
        <v>48</v>
      </c>
      <c r="G66" s="104">
        <v>1</v>
      </c>
      <c r="H66" s="104" t="s">
        <v>48</v>
      </c>
      <c r="I66" s="104" t="s">
        <v>48</v>
      </c>
      <c r="J66" s="37">
        <f t="shared" ref="J66" si="1">D66</f>
        <v>100</v>
      </c>
      <c r="L66" s="40" t="s">
        <v>229</v>
      </c>
      <c r="M66" s="40" t="s">
        <v>230</v>
      </c>
    </row>
    <row r="67" spans="1:13" ht="21" customHeight="1" x14ac:dyDescent="0.15">
      <c r="A67" s="109">
        <v>48503066</v>
      </c>
      <c r="B67" s="104">
        <v>1</v>
      </c>
      <c r="C67" s="104">
        <v>2</v>
      </c>
      <c r="D67" s="104">
        <v>100</v>
      </c>
      <c r="E67" s="104" t="s">
        <v>48</v>
      </c>
      <c r="F67" s="104" t="s">
        <v>48</v>
      </c>
      <c r="G67" s="104">
        <v>1</v>
      </c>
      <c r="H67" s="104" t="s">
        <v>48</v>
      </c>
      <c r="I67" s="104">
        <v>5001</v>
      </c>
      <c r="J67" s="37">
        <v>100</v>
      </c>
      <c r="L67" s="40" t="s">
        <v>231</v>
      </c>
      <c r="M67" s="40" t="s">
        <v>230</v>
      </c>
    </row>
    <row r="68" spans="1:13" ht="21" customHeight="1" x14ac:dyDescent="0.15">
      <c r="A68" s="109">
        <v>48503067</v>
      </c>
      <c r="B68" s="104">
        <v>1</v>
      </c>
      <c r="C68" s="104">
        <v>3</v>
      </c>
      <c r="D68" s="104">
        <v>100</v>
      </c>
      <c r="E68" s="104" t="s">
        <v>48</v>
      </c>
      <c r="F68" s="104" t="s">
        <v>48</v>
      </c>
      <c r="G68" s="104">
        <v>1</v>
      </c>
      <c r="H68" s="104" t="s">
        <v>48</v>
      </c>
      <c r="I68" s="104">
        <v>5002</v>
      </c>
      <c r="J68" s="37">
        <v>100</v>
      </c>
      <c r="L68" s="40" t="s">
        <v>232</v>
      </c>
      <c r="M68" s="40" t="s">
        <v>230</v>
      </c>
    </row>
    <row r="69" spans="1:13" ht="21" customHeight="1" x14ac:dyDescent="0.15">
      <c r="A69" s="104">
        <v>48503068</v>
      </c>
      <c r="B69" s="104">
        <v>0</v>
      </c>
      <c r="C69" s="104">
        <v>4</v>
      </c>
      <c r="D69" s="104">
        <v>100</v>
      </c>
      <c r="E69" s="104" t="s">
        <v>48</v>
      </c>
      <c r="F69" s="104" t="s">
        <v>48</v>
      </c>
      <c r="G69" s="104">
        <v>1</v>
      </c>
      <c r="H69" s="104">
        <v>1</v>
      </c>
      <c r="I69" s="104" t="s">
        <v>48</v>
      </c>
      <c r="J69" s="37">
        <f t="shared" ref="J69:J97" si="2">D69</f>
        <v>100</v>
      </c>
      <c r="L69" s="40" t="s">
        <v>234</v>
      </c>
      <c r="M69" s="40" t="s">
        <v>233</v>
      </c>
    </row>
    <row r="70" spans="1:13" ht="21" customHeight="1" x14ac:dyDescent="0.15">
      <c r="A70" s="104">
        <v>48503069</v>
      </c>
      <c r="B70" s="104">
        <v>0</v>
      </c>
      <c r="C70" s="104" t="s">
        <v>48</v>
      </c>
      <c r="D70" s="104">
        <v>50</v>
      </c>
      <c r="E70" s="104" t="s">
        <v>48</v>
      </c>
      <c r="F70" s="104">
        <v>50</v>
      </c>
      <c r="G70" s="104" t="s">
        <v>48</v>
      </c>
      <c r="H70" s="104" t="s">
        <v>48</v>
      </c>
      <c r="I70" s="104" t="s">
        <v>48</v>
      </c>
      <c r="J70" s="37">
        <f t="shared" si="2"/>
        <v>50</v>
      </c>
      <c r="L70" s="40" t="s">
        <v>282</v>
      </c>
      <c r="M70" s="40" t="s">
        <v>235</v>
      </c>
    </row>
    <row r="71" spans="1:13" ht="21" customHeight="1" x14ac:dyDescent="0.15">
      <c r="A71" s="104">
        <v>48503070</v>
      </c>
      <c r="B71" s="104">
        <v>0</v>
      </c>
      <c r="C71" s="104">
        <v>5</v>
      </c>
      <c r="D71" s="104">
        <v>100</v>
      </c>
      <c r="E71" s="104">
        <v>50</v>
      </c>
      <c r="F71" s="104" t="s">
        <v>48</v>
      </c>
      <c r="G71" s="104">
        <v>1</v>
      </c>
      <c r="H71" s="104" t="s">
        <v>48</v>
      </c>
      <c r="I71" s="104" t="s">
        <v>48</v>
      </c>
      <c r="J71" s="37">
        <f t="shared" si="2"/>
        <v>100</v>
      </c>
      <c r="L71" s="40" t="s">
        <v>283</v>
      </c>
      <c r="M71" s="40" t="s">
        <v>238</v>
      </c>
    </row>
    <row r="72" spans="1:13" ht="21" customHeight="1" x14ac:dyDescent="0.15">
      <c r="A72" s="104">
        <v>48503071</v>
      </c>
      <c r="B72" s="104">
        <v>0</v>
      </c>
      <c r="C72" s="104" t="s">
        <v>48</v>
      </c>
      <c r="D72" s="104">
        <v>50</v>
      </c>
      <c r="E72" s="104">
        <v>50</v>
      </c>
      <c r="F72" s="104" t="s">
        <v>48</v>
      </c>
      <c r="G72" s="104" t="s">
        <v>48</v>
      </c>
      <c r="H72" s="104" t="s">
        <v>48</v>
      </c>
      <c r="I72" s="104" t="s">
        <v>48</v>
      </c>
      <c r="J72" s="37">
        <f t="shared" si="2"/>
        <v>50</v>
      </c>
      <c r="L72" s="40" t="s">
        <v>284</v>
      </c>
      <c r="M72" s="40" t="s">
        <v>235</v>
      </c>
    </row>
    <row r="73" spans="1:13" ht="21" customHeight="1" x14ac:dyDescent="0.15">
      <c r="A73" s="104">
        <v>48503072</v>
      </c>
      <c r="B73" s="104">
        <v>1</v>
      </c>
      <c r="C73" s="104" t="s">
        <v>48</v>
      </c>
      <c r="D73" s="104">
        <v>100</v>
      </c>
      <c r="E73" s="104" t="s">
        <v>48</v>
      </c>
      <c r="F73" s="104" t="s">
        <v>48</v>
      </c>
      <c r="G73" s="104">
        <v>1</v>
      </c>
      <c r="H73" s="104" t="s">
        <v>48</v>
      </c>
      <c r="I73" s="104" t="s">
        <v>48</v>
      </c>
      <c r="J73" s="37">
        <f t="shared" si="2"/>
        <v>100</v>
      </c>
      <c r="L73" s="40" t="s">
        <v>241</v>
      </c>
      <c r="M73" s="40" t="s">
        <v>240</v>
      </c>
    </row>
    <row r="74" spans="1:13" ht="21" customHeight="1" x14ac:dyDescent="0.15">
      <c r="A74" s="104">
        <v>48503073</v>
      </c>
      <c r="B74" s="104">
        <v>0</v>
      </c>
      <c r="C74" s="104" t="s">
        <v>48</v>
      </c>
      <c r="D74" s="104">
        <v>35</v>
      </c>
      <c r="E74" s="104" t="s">
        <v>48</v>
      </c>
      <c r="F74" s="104">
        <v>50</v>
      </c>
      <c r="G74" s="104" t="s">
        <v>48</v>
      </c>
      <c r="H74" s="104" t="s">
        <v>48</v>
      </c>
      <c r="I74" s="104" t="s">
        <v>48</v>
      </c>
      <c r="J74" s="37">
        <f t="shared" si="2"/>
        <v>35</v>
      </c>
      <c r="L74" s="40" t="s">
        <v>243</v>
      </c>
      <c r="M74" s="40" t="s">
        <v>242</v>
      </c>
    </row>
    <row r="75" spans="1:13" ht="21" customHeight="1" x14ac:dyDescent="0.15">
      <c r="A75" s="104">
        <v>48503074</v>
      </c>
      <c r="B75" s="104">
        <v>0</v>
      </c>
      <c r="C75" s="104" t="s">
        <v>48</v>
      </c>
      <c r="D75" s="104">
        <v>35</v>
      </c>
      <c r="E75" s="104" t="s">
        <v>48</v>
      </c>
      <c r="F75" s="104">
        <v>50</v>
      </c>
      <c r="G75" s="104" t="s">
        <v>48</v>
      </c>
      <c r="H75" s="104" t="s">
        <v>48</v>
      </c>
      <c r="I75" s="104" t="s">
        <v>48</v>
      </c>
      <c r="J75" s="37">
        <f t="shared" si="2"/>
        <v>35</v>
      </c>
      <c r="L75" s="40" t="s">
        <v>243</v>
      </c>
      <c r="M75" s="40" t="s">
        <v>244</v>
      </c>
    </row>
    <row r="76" spans="1:13" ht="21" customHeight="1" x14ac:dyDescent="0.15">
      <c r="A76" s="104">
        <v>48503075</v>
      </c>
      <c r="B76" s="104">
        <v>0</v>
      </c>
      <c r="C76" s="104" t="s">
        <v>48</v>
      </c>
      <c r="D76" s="104">
        <v>20</v>
      </c>
      <c r="E76" s="104" t="s">
        <v>48</v>
      </c>
      <c r="F76" s="104">
        <v>50</v>
      </c>
      <c r="G76" s="104" t="s">
        <v>48</v>
      </c>
      <c r="H76" s="104" t="s">
        <v>48</v>
      </c>
      <c r="I76" s="104" t="s">
        <v>48</v>
      </c>
      <c r="J76" s="37">
        <f t="shared" si="2"/>
        <v>20</v>
      </c>
      <c r="L76" s="40" t="s">
        <v>243</v>
      </c>
      <c r="M76" s="40" t="s">
        <v>245</v>
      </c>
    </row>
    <row r="77" spans="1:13" ht="21" customHeight="1" x14ac:dyDescent="0.15">
      <c r="A77" s="104">
        <v>48503076</v>
      </c>
      <c r="B77" s="104">
        <v>0</v>
      </c>
      <c r="C77" s="104" t="s">
        <v>48</v>
      </c>
      <c r="D77" s="104">
        <v>100</v>
      </c>
      <c r="E77" s="104">
        <v>50</v>
      </c>
      <c r="F77" s="104" t="s">
        <v>48</v>
      </c>
      <c r="G77" s="104">
        <v>1</v>
      </c>
      <c r="H77" s="104" t="s">
        <v>48</v>
      </c>
      <c r="I77" s="104" t="s">
        <v>48</v>
      </c>
      <c r="J77" s="37">
        <f t="shared" si="2"/>
        <v>100</v>
      </c>
      <c r="L77" s="40" t="s">
        <v>248</v>
      </c>
      <c r="M77" s="40" t="s">
        <v>247</v>
      </c>
    </row>
    <row r="78" spans="1:13" ht="21" customHeight="1" x14ac:dyDescent="0.15">
      <c r="A78" s="104">
        <v>48503077</v>
      </c>
      <c r="B78" s="104">
        <v>0</v>
      </c>
      <c r="C78" s="104" t="s">
        <v>48</v>
      </c>
      <c r="D78" s="104">
        <v>35</v>
      </c>
      <c r="E78" s="104">
        <v>50</v>
      </c>
      <c r="F78" s="104" t="s">
        <v>48</v>
      </c>
      <c r="G78" s="104" t="s">
        <v>48</v>
      </c>
      <c r="H78" s="104" t="s">
        <v>48</v>
      </c>
      <c r="I78" s="104" t="s">
        <v>48</v>
      </c>
      <c r="J78" s="37">
        <f t="shared" si="2"/>
        <v>35</v>
      </c>
      <c r="L78" s="40" t="s">
        <v>249</v>
      </c>
      <c r="M78" s="40" t="s">
        <v>242</v>
      </c>
    </row>
    <row r="79" spans="1:13" ht="21" customHeight="1" x14ac:dyDescent="0.15">
      <c r="A79" s="104">
        <v>48503078</v>
      </c>
      <c r="B79" s="104">
        <v>0</v>
      </c>
      <c r="C79" s="104" t="s">
        <v>48</v>
      </c>
      <c r="D79" s="104">
        <v>35</v>
      </c>
      <c r="E79" s="104">
        <v>50</v>
      </c>
      <c r="F79" s="104" t="s">
        <v>48</v>
      </c>
      <c r="G79" s="104" t="s">
        <v>48</v>
      </c>
      <c r="H79" s="104" t="s">
        <v>48</v>
      </c>
      <c r="I79" s="104" t="s">
        <v>48</v>
      </c>
      <c r="J79" s="37">
        <f t="shared" si="2"/>
        <v>35</v>
      </c>
      <c r="L79" s="40" t="s">
        <v>249</v>
      </c>
      <c r="M79" s="40" t="s">
        <v>244</v>
      </c>
    </row>
    <row r="80" spans="1:13" ht="21" customHeight="1" x14ac:dyDescent="0.15">
      <c r="A80" s="104">
        <v>48503079</v>
      </c>
      <c r="B80" s="104">
        <v>0</v>
      </c>
      <c r="C80" s="104" t="s">
        <v>48</v>
      </c>
      <c r="D80" s="104">
        <v>20</v>
      </c>
      <c r="E80" s="104">
        <v>50</v>
      </c>
      <c r="F80" s="104" t="s">
        <v>48</v>
      </c>
      <c r="G80" s="104" t="s">
        <v>48</v>
      </c>
      <c r="H80" s="104" t="s">
        <v>48</v>
      </c>
      <c r="I80" s="104" t="s">
        <v>48</v>
      </c>
      <c r="J80" s="37">
        <f t="shared" si="2"/>
        <v>20</v>
      </c>
      <c r="L80" s="40" t="s">
        <v>249</v>
      </c>
      <c r="M80" s="40" t="s">
        <v>245</v>
      </c>
    </row>
    <row r="81" spans="1:13" ht="21" customHeight="1" x14ac:dyDescent="0.15">
      <c r="A81" s="104">
        <v>48503080</v>
      </c>
      <c r="B81" s="104">
        <v>0</v>
      </c>
      <c r="C81" s="104" t="s">
        <v>48</v>
      </c>
      <c r="D81" s="104">
        <v>70</v>
      </c>
      <c r="E81" s="104">
        <v>50</v>
      </c>
      <c r="F81" s="104" t="s">
        <v>48</v>
      </c>
      <c r="G81" s="104">
        <v>1</v>
      </c>
      <c r="H81" s="104" t="s">
        <v>48</v>
      </c>
      <c r="I81" s="104" t="s">
        <v>48</v>
      </c>
      <c r="J81" s="37">
        <f t="shared" si="2"/>
        <v>70</v>
      </c>
      <c r="L81" s="40" t="s">
        <v>249</v>
      </c>
      <c r="M81" s="40" t="s">
        <v>251</v>
      </c>
    </row>
    <row r="82" spans="1:13" ht="21" customHeight="1" x14ac:dyDescent="0.15">
      <c r="A82" s="109">
        <v>48503081</v>
      </c>
      <c r="B82" s="104">
        <v>1</v>
      </c>
      <c r="C82" s="104">
        <v>1</v>
      </c>
      <c r="D82" s="104">
        <v>100</v>
      </c>
      <c r="E82" s="104" t="s">
        <v>48</v>
      </c>
      <c r="F82" s="104" t="s">
        <v>48</v>
      </c>
      <c r="G82" s="104">
        <v>1</v>
      </c>
      <c r="H82" s="104" t="s">
        <v>48</v>
      </c>
      <c r="I82" s="104" t="s">
        <v>48</v>
      </c>
      <c r="J82" s="37">
        <f t="shared" si="2"/>
        <v>100</v>
      </c>
      <c r="L82" s="40" t="s">
        <v>252</v>
      </c>
      <c r="M82" s="40" t="s">
        <v>253</v>
      </c>
    </row>
    <row r="83" spans="1:13" ht="21" customHeight="1" x14ac:dyDescent="0.15">
      <c r="A83" s="109">
        <v>48503082</v>
      </c>
      <c r="B83" s="104">
        <v>1</v>
      </c>
      <c r="C83" s="104">
        <v>2</v>
      </c>
      <c r="D83" s="104">
        <v>100</v>
      </c>
      <c r="E83" s="104" t="s">
        <v>48</v>
      </c>
      <c r="F83" s="104" t="s">
        <v>48</v>
      </c>
      <c r="G83" s="104">
        <v>1</v>
      </c>
      <c r="H83" s="104" t="s">
        <v>48</v>
      </c>
      <c r="I83" s="104">
        <v>5001</v>
      </c>
      <c r="J83" s="37">
        <f t="shared" si="2"/>
        <v>100</v>
      </c>
      <c r="L83" s="40" t="s">
        <v>254</v>
      </c>
      <c r="M83" s="40" t="s">
        <v>253</v>
      </c>
    </row>
    <row r="84" spans="1:13" ht="21" customHeight="1" x14ac:dyDescent="0.15">
      <c r="A84" s="109">
        <v>48503083</v>
      </c>
      <c r="B84" s="104">
        <v>1</v>
      </c>
      <c r="C84" s="104">
        <v>3</v>
      </c>
      <c r="D84" s="104">
        <v>100</v>
      </c>
      <c r="E84" s="104" t="s">
        <v>48</v>
      </c>
      <c r="F84" s="104" t="s">
        <v>48</v>
      </c>
      <c r="G84" s="104">
        <v>1</v>
      </c>
      <c r="H84" s="104" t="s">
        <v>48</v>
      </c>
      <c r="I84" s="104">
        <v>5002</v>
      </c>
      <c r="J84" s="37">
        <f t="shared" si="2"/>
        <v>100</v>
      </c>
      <c r="L84" s="40" t="s">
        <v>255</v>
      </c>
      <c r="M84" s="40" t="s">
        <v>253</v>
      </c>
    </row>
    <row r="85" spans="1:13" ht="21" customHeight="1" x14ac:dyDescent="0.15">
      <c r="A85" s="104">
        <v>48503084</v>
      </c>
      <c r="B85" s="104">
        <v>0</v>
      </c>
      <c r="C85" s="104" t="s">
        <v>48</v>
      </c>
      <c r="D85" s="104">
        <v>35</v>
      </c>
      <c r="E85" s="104" t="s">
        <v>48</v>
      </c>
      <c r="F85" s="104">
        <v>50</v>
      </c>
      <c r="G85" s="104" t="s">
        <v>48</v>
      </c>
      <c r="H85" s="104" t="s">
        <v>48</v>
      </c>
      <c r="I85" s="104" t="s">
        <v>48</v>
      </c>
      <c r="J85" s="37">
        <f t="shared" si="2"/>
        <v>35</v>
      </c>
      <c r="L85" s="40" t="s">
        <v>257</v>
      </c>
      <c r="M85" s="40" t="s">
        <v>256</v>
      </c>
    </row>
    <row r="86" spans="1:13" ht="21" customHeight="1" x14ac:dyDescent="0.15">
      <c r="A86" s="104">
        <v>48503085</v>
      </c>
      <c r="B86" s="104">
        <v>0</v>
      </c>
      <c r="C86" s="104" t="s">
        <v>48</v>
      </c>
      <c r="D86" s="104">
        <v>35</v>
      </c>
      <c r="E86" s="104" t="s">
        <v>48</v>
      </c>
      <c r="F86" s="104">
        <v>50</v>
      </c>
      <c r="G86" s="104" t="s">
        <v>48</v>
      </c>
      <c r="H86" s="104" t="s">
        <v>48</v>
      </c>
      <c r="I86" s="104" t="s">
        <v>48</v>
      </c>
      <c r="J86" s="37">
        <f t="shared" si="2"/>
        <v>35</v>
      </c>
      <c r="L86" s="40" t="s">
        <v>257</v>
      </c>
      <c r="M86" s="40" t="s">
        <v>258</v>
      </c>
    </row>
    <row r="87" spans="1:13" ht="21" customHeight="1" x14ac:dyDescent="0.15">
      <c r="A87" s="104">
        <v>48503086</v>
      </c>
      <c r="B87" s="104">
        <v>0</v>
      </c>
      <c r="C87" s="104" t="s">
        <v>48</v>
      </c>
      <c r="D87" s="104">
        <v>20</v>
      </c>
      <c r="E87" s="104" t="s">
        <v>48</v>
      </c>
      <c r="F87" s="104">
        <v>50</v>
      </c>
      <c r="G87" s="104" t="s">
        <v>48</v>
      </c>
      <c r="H87" s="104" t="s">
        <v>48</v>
      </c>
      <c r="I87" s="104" t="s">
        <v>48</v>
      </c>
      <c r="J87" s="37">
        <f t="shared" si="2"/>
        <v>20</v>
      </c>
      <c r="L87" s="40" t="s">
        <v>257</v>
      </c>
      <c r="M87" s="40" t="s">
        <v>245</v>
      </c>
    </row>
    <row r="88" spans="1:13" ht="21" customHeight="1" x14ac:dyDescent="0.15">
      <c r="A88" s="104">
        <v>48503087</v>
      </c>
      <c r="B88" s="104">
        <v>0</v>
      </c>
      <c r="C88" s="104">
        <v>1</v>
      </c>
      <c r="D88" s="104">
        <v>100</v>
      </c>
      <c r="E88" s="104">
        <v>75</v>
      </c>
      <c r="F88" s="104" t="s">
        <v>48</v>
      </c>
      <c r="G88" s="104">
        <v>1</v>
      </c>
      <c r="H88" s="104" t="s">
        <v>48</v>
      </c>
      <c r="I88" s="104" t="s">
        <v>48</v>
      </c>
      <c r="J88" s="37">
        <f t="shared" si="2"/>
        <v>100</v>
      </c>
      <c r="L88" s="40" t="s">
        <v>285</v>
      </c>
      <c r="M88" s="40" t="s">
        <v>260</v>
      </c>
    </row>
    <row r="89" spans="1:13" ht="21" customHeight="1" x14ac:dyDescent="0.15">
      <c r="A89" s="104">
        <v>48503088</v>
      </c>
      <c r="B89" s="104">
        <v>0</v>
      </c>
      <c r="C89" s="104" t="s">
        <v>48</v>
      </c>
      <c r="D89" s="104">
        <v>35</v>
      </c>
      <c r="E89" s="104">
        <v>50</v>
      </c>
      <c r="F89" s="104" t="s">
        <v>48</v>
      </c>
      <c r="G89" s="104" t="s">
        <v>48</v>
      </c>
      <c r="H89" s="104" t="s">
        <v>48</v>
      </c>
      <c r="I89" s="104" t="s">
        <v>48</v>
      </c>
      <c r="J89" s="37">
        <f t="shared" si="2"/>
        <v>35</v>
      </c>
      <c r="L89" s="40" t="s">
        <v>262</v>
      </c>
      <c r="M89" s="40" t="s">
        <v>261</v>
      </c>
    </row>
    <row r="90" spans="1:13" ht="21" customHeight="1" x14ac:dyDescent="0.15">
      <c r="A90" s="104">
        <v>48503089</v>
      </c>
      <c r="B90" s="104">
        <v>0</v>
      </c>
      <c r="C90" s="104" t="s">
        <v>48</v>
      </c>
      <c r="D90" s="104">
        <v>35</v>
      </c>
      <c r="E90" s="104">
        <v>50</v>
      </c>
      <c r="F90" s="104" t="s">
        <v>48</v>
      </c>
      <c r="G90" s="104" t="s">
        <v>48</v>
      </c>
      <c r="H90" s="104" t="s">
        <v>48</v>
      </c>
      <c r="I90" s="104" t="s">
        <v>48</v>
      </c>
      <c r="J90" s="37">
        <f t="shared" si="2"/>
        <v>35</v>
      </c>
      <c r="L90" s="40" t="s">
        <v>262</v>
      </c>
      <c r="M90" s="40" t="s">
        <v>263</v>
      </c>
    </row>
    <row r="91" spans="1:13" ht="21" customHeight="1" x14ac:dyDescent="0.15">
      <c r="A91" s="104">
        <v>48503090</v>
      </c>
      <c r="B91" s="104">
        <v>0</v>
      </c>
      <c r="C91" s="104" t="s">
        <v>48</v>
      </c>
      <c r="D91" s="104">
        <v>70</v>
      </c>
      <c r="E91" s="104">
        <v>50</v>
      </c>
      <c r="F91" s="104" t="s">
        <v>48</v>
      </c>
      <c r="G91" s="104">
        <v>1</v>
      </c>
      <c r="H91" s="104" t="s">
        <v>48</v>
      </c>
      <c r="I91" s="104" t="s">
        <v>48</v>
      </c>
      <c r="J91" s="37">
        <f t="shared" si="2"/>
        <v>70</v>
      </c>
      <c r="L91" s="40" t="s">
        <v>262</v>
      </c>
      <c r="M91" s="40" t="s">
        <v>251</v>
      </c>
    </row>
    <row r="92" spans="1:13" ht="21" customHeight="1" x14ac:dyDescent="0.15">
      <c r="A92" s="104">
        <v>48503091</v>
      </c>
      <c r="B92" s="104">
        <v>0</v>
      </c>
      <c r="C92" s="104">
        <v>2</v>
      </c>
      <c r="D92" s="104">
        <v>100</v>
      </c>
      <c r="E92" s="104">
        <v>50</v>
      </c>
      <c r="F92" s="104" t="s">
        <v>48</v>
      </c>
      <c r="G92" s="104">
        <v>1</v>
      </c>
      <c r="H92" s="104" t="s">
        <v>48</v>
      </c>
      <c r="I92" s="104" t="s">
        <v>48</v>
      </c>
      <c r="J92" s="37">
        <f t="shared" si="2"/>
        <v>100</v>
      </c>
      <c r="L92" s="40" t="s">
        <v>264</v>
      </c>
      <c r="M92" s="40" t="s">
        <v>265</v>
      </c>
    </row>
    <row r="93" spans="1:13" ht="21" customHeight="1" x14ac:dyDescent="0.15">
      <c r="A93" s="104">
        <v>48503092</v>
      </c>
      <c r="B93" s="104">
        <v>0</v>
      </c>
      <c r="C93" s="104">
        <v>4</v>
      </c>
      <c r="D93" s="104">
        <v>100</v>
      </c>
      <c r="E93" s="104">
        <v>25</v>
      </c>
      <c r="F93" s="104" t="s">
        <v>48</v>
      </c>
      <c r="G93" s="104">
        <v>1</v>
      </c>
      <c r="H93" s="104" t="s">
        <v>48</v>
      </c>
      <c r="I93" s="104" t="s">
        <v>48</v>
      </c>
      <c r="J93" s="37">
        <f t="shared" si="2"/>
        <v>100</v>
      </c>
      <c r="L93" s="40" t="s">
        <v>266</v>
      </c>
      <c r="M93" s="40" t="s">
        <v>267</v>
      </c>
    </row>
    <row r="94" spans="1:13" ht="21" customHeight="1" x14ac:dyDescent="0.15">
      <c r="A94" s="104">
        <v>48503093</v>
      </c>
      <c r="B94" s="104">
        <v>0</v>
      </c>
      <c r="C94" s="104">
        <v>3</v>
      </c>
      <c r="D94" s="104">
        <v>100</v>
      </c>
      <c r="E94" s="104">
        <v>25</v>
      </c>
      <c r="F94" s="104" t="s">
        <v>48</v>
      </c>
      <c r="G94" s="104">
        <v>1</v>
      </c>
      <c r="H94" s="104" t="s">
        <v>48</v>
      </c>
      <c r="I94" s="104" t="s">
        <v>48</v>
      </c>
      <c r="J94" s="37">
        <f t="shared" si="2"/>
        <v>100</v>
      </c>
      <c r="L94" s="40" t="s">
        <v>266</v>
      </c>
      <c r="M94" s="40" t="s">
        <v>269</v>
      </c>
    </row>
    <row r="95" spans="1:13" ht="21" customHeight="1" x14ac:dyDescent="0.15">
      <c r="A95" s="109">
        <v>48503094</v>
      </c>
      <c r="B95" s="104">
        <v>0</v>
      </c>
      <c r="C95" s="104">
        <v>5</v>
      </c>
      <c r="D95" s="104">
        <v>100</v>
      </c>
      <c r="E95" s="104" t="s">
        <v>48</v>
      </c>
      <c r="F95" s="104" t="s">
        <v>48</v>
      </c>
      <c r="G95" s="104">
        <v>0</v>
      </c>
      <c r="H95" s="104" t="s">
        <v>48</v>
      </c>
      <c r="I95" s="104">
        <v>0</v>
      </c>
      <c r="J95" s="37">
        <f t="shared" si="2"/>
        <v>100</v>
      </c>
      <c r="L95" s="40" t="s">
        <v>270</v>
      </c>
      <c r="M95" s="40" t="s">
        <v>271</v>
      </c>
    </row>
    <row r="96" spans="1:13" ht="21" customHeight="1" x14ac:dyDescent="0.15">
      <c r="A96" s="109">
        <v>48503095</v>
      </c>
      <c r="B96" s="104">
        <v>0</v>
      </c>
      <c r="C96" s="104">
        <v>6</v>
      </c>
      <c r="D96" s="104">
        <v>100</v>
      </c>
      <c r="E96" s="104" t="s">
        <v>48</v>
      </c>
      <c r="F96" s="104" t="s">
        <v>48</v>
      </c>
      <c r="G96" s="104">
        <v>0</v>
      </c>
      <c r="H96" s="104" t="s">
        <v>48</v>
      </c>
      <c r="I96" s="104">
        <v>5001</v>
      </c>
      <c r="J96" s="37">
        <f t="shared" si="2"/>
        <v>100</v>
      </c>
      <c r="L96" s="40" t="s">
        <v>272</v>
      </c>
      <c r="M96" s="40" t="s">
        <v>273</v>
      </c>
    </row>
    <row r="97" spans="1:13" ht="21" customHeight="1" x14ac:dyDescent="0.15">
      <c r="A97" s="109">
        <v>48503096</v>
      </c>
      <c r="B97" s="104">
        <v>0</v>
      </c>
      <c r="C97" s="104">
        <v>7</v>
      </c>
      <c r="D97" s="104">
        <v>100</v>
      </c>
      <c r="E97" s="104" t="s">
        <v>48</v>
      </c>
      <c r="F97" s="104" t="s">
        <v>48</v>
      </c>
      <c r="G97" s="104">
        <v>0</v>
      </c>
      <c r="H97" s="104" t="s">
        <v>48</v>
      </c>
      <c r="I97" s="104">
        <v>5002</v>
      </c>
      <c r="J97" s="37">
        <f t="shared" si="2"/>
        <v>100</v>
      </c>
      <c r="L97" s="40" t="s">
        <v>274</v>
      </c>
      <c r="M97" s="40" t="s">
        <v>275</v>
      </c>
    </row>
  </sheetData>
  <autoFilter ref="A1:G1"/>
  <phoneticPr fontId="5"/>
  <conditionalFormatting sqref="K98:K1048576">
    <cfRule type="duplicateValues" dxfId="24" priority="25"/>
  </conditionalFormatting>
  <conditionalFormatting sqref="K47:K49 K1">
    <cfRule type="duplicateValues" dxfId="23" priority="24"/>
  </conditionalFormatting>
  <conditionalFormatting sqref="K11:K18 K21:K34 K37:K44">
    <cfRule type="duplicateValues" dxfId="22" priority="23"/>
  </conditionalFormatting>
  <conditionalFormatting sqref="K45">
    <cfRule type="duplicateValues" dxfId="21" priority="22"/>
  </conditionalFormatting>
  <conditionalFormatting sqref="K46">
    <cfRule type="duplicateValues" dxfId="20" priority="21"/>
  </conditionalFormatting>
  <conditionalFormatting sqref="K2">
    <cfRule type="duplicateValues" dxfId="19" priority="20"/>
  </conditionalFormatting>
  <conditionalFormatting sqref="K4">
    <cfRule type="duplicateValues" dxfId="18" priority="19"/>
  </conditionalFormatting>
  <conditionalFormatting sqref="K5:K10">
    <cfRule type="duplicateValues" dxfId="17" priority="18"/>
  </conditionalFormatting>
  <conditionalFormatting sqref="K3">
    <cfRule type="duplicateValues" dxfId="16" priority="17"/>
  </conditionalFormatting>
  <conditionalFormatting sqref="K19">
    <cfRule type="duplicateValues" dxfId="15" priority="16"/>
  </conditionalFormatting>
  <conditionalFormatting sqref="K20">
    <cfRule type="duplicateValues" dxfId="14" priority="15"/>
  </conditionalFormatting>
  <conditionalFormatting sqref="K36">
    <cfRule type="duplicateValues" dxfId="13" priority="14"/>
  </conditionalFormatting>
  <conditionalFormatting sqref="K35">
    <cfRule type="duplicateValues" dxfId="12" priority="13"/>
  </conditionalFormatting>
  <conditionalFormatting sqref="K95:K97">
    <cfRule type="duplicateValues" dxfId="11" priority="12"/>
  </conditionalFormatting>
  <conditionalFormatting sqref="K59:K66 K69:K82 K85:K92">
    <cfRule type="duplicateValues" dxfId="10" priority="11"/>
  </conditionalFormatting>
  <conditionalFormatting sqref="K93">
    <cfRule type="duplicateValues" dxfId="9" priority="10"/>
  </conditionalFormatting>
  <conditionalFormatting sqref="K94">
    <cfRule type="duplicateValues" dxfId="8" priority="9"/>
  </conditionalFormatting>
  <conditionalFormatting sqref="K50">
    <cfRule type="duplicateValues" dxfId="7" priority="8"/>
  </conditionalFormatting>
  <conditionalFormatting sqref="K52">
    <cfRule type="duplicateValues" dxfId="6" priority="7"/>
  </conditionalFormatting>
  <conditionalFormatting sqref="K53:K58">
    <cfRule type="duplicateValues" dxfId="5" priority="6"/>
  </conditionalFormatting>
  <conditionalFormatting sqref="K51">
    <cfRule type="duplicateValues" dxfId="4" priority="5"/>
  </conditionalFormatting>
  <conditionalFormatting sqref="K67">
    <cfRule type="duplicateValues" dxfId="3" priority="4"/>
  </conditionalFormatting>
  <conditionalFormatting sqref="K68">
    <cfRule type="duplicateValues" dxfId="2" priority="3"/>
  </conditionalFormatting>
  <conditionalFormatting sqref="K84">
    <cfRule type="duplicateValues" dxfId="1" priority="2"/>
  </conditionalFormatting>
  <conditionalFormatting sqref="K8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S97"/>
  <sheetViews>
    <sheetView showGridLines="0" workbookViewId="0">
      <pane xSplit="5" ySplit="1" topLeftCell="F27" activePane="bottomRight" state="frozen"/>
      <selection pane="topRight"/>
      <selection pane="bottomLeft"/>
      <selection pane="bottomRight" activeCell="E37" sqref="E37"/>
    </sheetView>
  </sheetViews>
  <sheetFormatPr baseColWidth="12" defaultColWidth="12.83203125" defaultRowHeight="21" customHeight="1" outlineLevelCol="1" x14ac:dyDescent="0.15"/>
  <cols>
    <col min="1" max="1" width="11.33203125" style="28" bestFit="1" customWidth="1"/>
    <col min="2" max="2" width="9.5" style="38" bestFit="1" customWidth="1"/>
    <col min="3" max="3" width="9.6640625" style="38" customWidth="1"/>
    <col min="4" max="4" width="18.5" style="38" customWidth="1" outlineLevel="1"/>
    <col min="5" max="5" width="56.5" style="38" customWidth="1" outlineLevel="1"/>
    <col min="6" max="6" width="10.83203125" style="38" bestFit="1" customWidth="1"/>
    <col min="7" max="7" width="8.33203125" style="38" bestFit="1" customWidth="1" outlineLevel="1"/>
    <col min="8" max="9" width="12.83203125" style="38" outlineLevel="1"/>
    <col min="10" max="10" width="17.6640625" style="38" bestFit="1" customWidth="1" outlineLevel="1"/>
    <col min="11" max="15" width="12.83203125" style="38" outlineLevel="1"/>
    <col min="16" max="16" width="8.33203125" style="34" bestFit="1" customWidth="1"/>
    <col min="17" max="17" width="9.6640625" style="34" customWidth="1"/>
    <col min="18" max="18" width="56.5" style="34" bestFit="1" customWidth="1"/>
    <col min="19" max="16384" width="12.83203125" style="34"/>
  </cols>
  <sheetData>
    <row r="1" spans="1:19" ht="21" customHeight="1" x14ac:dyDescent="0.15">
      <c r="A1" s="28" t="s">
        <v>156</v>
      </c>
      <c r="B1" s="29" t="s">
        <v>286</v>
      </c>
      <c r="C1" s="29" t="s">
        <v>287</v>
      </c>
      <c r="D1" s="30" t="s">
        <v>200</v>
      </c>
      <c r="E1" s="30" t="s">
        <v>37</v>
      </c>
      <c r="F1" s="31" t="s">
        <v>277</v>
      </c>
      <c r="G1" s="32" t="s">
        <v>45</v>
      </c>
      <c r="H1" s="32" t="s">
        <v>278</v>
      </c>
      <c r="I1" s="32" t="s">
        <v>46</v>
      </c>
      <c r="J1" s="32" t="s">
        <v>279</v>
      </c>
      <c r="K1" s="33" t="s">
        <v>81</v>
      </c>
      <c r="L1" s="33" t="s">
        <v>280</v>
      </c>
      <c r="M1" s="32" t="s">
        <v>83</v>
      </c>
      <c r="N1" s="32" t="s">
        <v>281</v>
      </c>
      <c r="O1" s="32" t="s">
        <v>82</v>
      </c>
      <c r="P1" s="30" t="s">
        <v>39</v>
      </c>
      <c r="Q1" s="30" t="s">
        <v>40</v>
      </c>
      <c r="R1" s="30" t="s">
        <v>41</v>
      </c>
    </row>
    <row r="2" spans="1:19" ht="21" customHeight="1" x14ac:dyDescent="0.15">
      <c r="A2" s="28" t="str">
        <f t="shared" ref="A2:A65" si="0">B2&amp;"_"&amp;C2</f>
        <v>48503001_48503001</v>
      </c>
      <c r="B2" s="36">
        <v>48503001</v>
      </c>
      <c r="C2" s="36">
        <v>48503001</v>
      </c>
      <c r="D2" s="35" t="str">
        <f ca="1">VLOOKUP($C2,OFFSET(enemy_skills!$A$1,0,0,COUNTA(enemy_skills!$A:$A),MATCH(D$1,enemy_skills!$1:$1,0)-MATCH("enemy_skill_id",enemy_skills!$1:$1,0)+1),MATCH(D$1,enemy_skills!$1:$1,0)-MATCH("enemy_skill_id",enemy_skills!$1:$1,0)+1,FALSE)</f>
        <v>稲妻蹴り</v>
      </c>
      <c r="E2" s="3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" s="36">
        <v>48503001</v>
      </c>
      <c r="G2" s="3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37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3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37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2" s="3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37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3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3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3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36"/>
      <c r="Q2" s="36"/>
      <c r="R2" s="40" t="s">
        <v>288</v>
      </c>
      <c r="S2" s="40" t="s">
        <v>202</v>
      </c>
    </row>
    <row r="3" spans="1:19" ht="21" customHeight="1" x14ac:dyDescent="0.15">
      <c r="A3" s="28" t="str">
        <f t="shared" si="0"/>
        <v>48503002_48503002</v>
      </c>
      <c r="B3" s="36">
        <v>48503002</v>
      </c>
      <c r="C3" s="36">
        <v>48503002</v>
      </c>
      <c r="D3" s="3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スパーク</v>
      </c>
      <c r="E3" s="35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36">
        <v>48503002</v>
      </c>
      <c r="G3" s="3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37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3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3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3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3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3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3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3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36"/>
      <c r="Q3" s="36"/>
      <c r="R3" s="40" t="s">
        <v>289</v>
      </c>
      <c r="S3" s="40" t="s">
        <v>206</v>
      </c>
    </row>
    <row r="4" spans="1:19" ht="21" customHeight="1" x14ac:dyDescent="0.15">
      <c r="A4" s="28" t="str">
        <f t="shared" si="0"/>
        <v>48503003_48503003</v>
      </c>
      <c r="B4" s="36">
        <v>48503003</v>
      </c>
      <c r="C4" s="36">
        <v>48503003</v>
      </c>
      <c r="D4" s="35" t="str">
        <f ca="1">VLOOKUP($C4,OFFSET(enemy_skills!$A$1,0,0,COUNTA(enemy_skills!$A:$A),MATCH(D$1,enemy_skills!$1:$1,0)-MATCH("enemy_skill_id",enemy_skills!$1:$1,0)+1),MATCH(D$1,enemy_skills!$1:$1,0)-MATCH("enemy_skill_id",enemy_skills!$1:$1,0)+1,FALSE)</f>
        <v>護緑の短刀</v>
      </c>
      <c r="E4" s="35" t="str">
        <f ca="1">VLOOKUP($C4,OFFSET(enemy_skills!$A$1,0,0,COUNTA(enemy_skills!$A:$A),MATCH(E$1,enemy_skills!$1:$1,0)-MATCH("enemy_skill_id",enemy_skills!$1:$1,0)+1),MATCH(E$1,enemy_skills!$1:$1,0)-MATCH("enemy_skill_id",enemy_skills!$1:$1,0)+1,FALSE)</f>
        <v>緑パネルプロテクト</v>
      </c>
      <c r="F4" s="36">
        <v>48503003</v>
      </c>
      <c r="G4" s="3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37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3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3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3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3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3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3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3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36"/>
      <c r="Q4" s="36"/>
      <c r="R4" s="40" t="s">
        <v>290</v>
      </c>
      <c r="S4" s="40" t="s">
        <v>291</v>
      </c>
    </row>
    <row r="5" spans="1:19" ht="21" customHeight="1" x14ac:dyDescent="0.15">
      <c r="A5" s="28" t="str">
        <f t="shared" si="0"/>
        <v>48503003_48503004</v>
      </c>
      <c r="B5" s="36">
        <v>48503003</v>
      </c>
      <c r="C5" s="36">
        <v>48503004</v>
      </c>
      <c r="D5" s="35" t="str">
        <f ca="1">VLOOKUP($C5,OFFSET(enemy_skills!$A$1,0,0,COUNTA(enemy_skills!$A:$A),MATCH(D$1,enemy_skills!$1:$1,0)-MATCH("enemy_skill_id",enemy_skills!$1:$1,0)+1),MATCH(D$1,enemy_skills!$1:$1,0)-MATCH("enemy_skill_id",enemy_skills!$1:$1,0)+1,FALSE)</f>
        <v>咆吼</v>
      </c>
      <c r="E5" s="35" t="str">
        <f ca="1">VLOOKUP($C5,OFFSET(enemy_skills!$A$1,0,0,COUNTA(enemy_skills!$A:$A),MATCH(E$1,enemy_skills!$1:$1,0)-MATCH("enemy_skill_id",enemy_skills!$1:$1,0)+1),MATCH(E$1,enemy_skills!$1:$1,0)-MATCH("enemy_skill_id",enemy_skills!$1:$1,0)+1,FALSE)</f>
        <v>3ターン全ユニットの回復力30%DOWN</v>
      </c>
      <c r="F5" s="36">
        <v>48503004</v>
      </c>
      <c r="G5" s="3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37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3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37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" s="3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3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3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3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3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36"/>
      <c r="Q5" s="36"/>
      <c r="R5" s="40" t="s">
        <v>292</v>
      </c>
      <c r="S5" s="40" t="s">
        <v>293</v>
      </c>
    </row>
    <row r="6" spans="1:19" ht="21" customHeight="1" x14ac:dyDescent="0.15">
      <c r="A6" s="28" t="str">
        <f t="shared" si="0"/>
        <v>48503004_48503005</v>
      </c>
      <c r="B6" s="36">
        <v>48503004</v>
      </c>
      <c r="C6" s="36">
        <v>48503005</v>
      </c>
      <c r="D6" s="35" t="str">
        <f ca="1">VLOOKUP($C6,OFFSET(enemy_skills!$A$1,0,0,COUNTA(enemy_skills!$A:$A),MATCH(D$1,enemy_skills!$1:$1,0)-MATCH("enemy_skill_id",enemy_skills!$1:$1,0)+1),MATCH(D$1,enemy_skills!$1:$1,0)-MATCH("enemy_skill_id",enemy_skills!$1:$1,0)+1,FALSE)</f>
        <v>野生の本能</v>
      </c>
      <c r="E6" s="35" t="str">
        <f ca="1">VLOOKUP($C6,OFFSET(enemy_skills!$A$1,0,0,COUNTA(enemy_skills!$A:$A),MATCH(E$1,enemy_skills!$1:$1,0)-MATCH("enemy_skill_id",enemy_skills!$1:$1,0)+1),MATCH(E$1,enemy_skills!$1:$1,0)-MATCH("enemy_skill_id",enemy_skills!$1:$1,0)+1,FALSE)</f>
        <v>攻撃力UP</v>
      </c>
      <c r="F6" s="36">
        <v>48503005</v>
      </c>
      <c r="G6" s="3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37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3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3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3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3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3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3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3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36"/>
      <c r="Q6" s="36"/>
      <c r="R6" s="40" t="s">
        <v>294</v>
      </c>
      <c r="S6" s="40" t="s">
        <v>295</v>
      </c>
    </row>
    <row r="7" spans="1:19" ht="21" customHeight="1" x14ac:dyDescent="0.15">
      <c r="A7" s="28" t="str">
        <f t="shared" si="0"/>
        <v>48503004_48503006</v>
      </c>
      <c r="B7" s="36">
        <v>48503004</v>
      </c>
      <c r="C7" s="36">
        <v>48503006</v>
      </c>
      <c r="D7" s="35" t="str">
        <f ca="1">VLOOKUP($C7,OFFSET(enemy_skills!$A$1,0,0,COUNTA(enemy_skills!$A:$A),MATCH(D$1,enemy_skills!$1:$1,0)-MATCH("enemy_skill_id",enemy_skills!$1:$1,0)+1),MATCH(D$1,enemy_skills!$1:$1,0)-MATCH("enemy_skill_id",enemy_skills!$1:$1,0)+1,FALSE)</f>
        <v>大咆吼</v>
      </c>
      <c r="E7" s="35" t="str">
        <f ca="1">VLOOKUP($C7,OFFSET(enemy_skills!$A$1,0,0,COUNTA(enemy_skills!$A:$A),MATCH(E$1,enemy_skills!$1:$1,0)-MATCH("enemy_skill_id",enemy_skills!$1:$1,0)+1),MATCH(E$1,enemy_skills!$1:$1,0)-MATCH("enemy_skill_id",enemy_skills!$1:$1,0)+1,FALSE)</f>
        <v>3ターン全ユニットの回復力50%DOWN</v>
      </c>
      <c r="F7" s="36">
        <v>48503006</v>
      </c>
      <c r="G7" s="3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3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7" s="3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37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" s="3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3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3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3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3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36"/>
      <c r="Q7" s="36"/>
      <c r="R7" s="40" t="s">
        <v>296</v>
      </c>
      <c r="S7" s="40" t="s">
        <v>206</v>
      </c>
    </row>
    <row r="8" spans="1:19" ht="21" customHeight="1" x14ac:dyDescent="0.15">
      <c r="A8" s="28" t="str">
        <f t="shared" si="0"/>
        <v>48503004_48503007</v>
      </c>
      <c r="B8" s="36">
        <v>48503004</v>
      </c>
      <c r="C8" s="36">
        <v>48503007</v>
      </c>
      <c r="D8" s="35" t="str">
        <f ca="1">VLOOKUP($C8,OFFSET(enemy_skills!$A$1,0,0,COUNTA(enemy_skills!$A:$A),MATCH(D$1,enemy_skills!$1:$1,0)-MATCH("enemy_skill_id",enemy_skills!$1:$1,0)+1),MATCH(D$1,enemy_skills!$1:$1,0)-MATCH("enemy_skill_id",enemy_skills!$1:$1,0)+1,FALSE)</f>
        <v>奪桃の短刀</v>
      </c>
      <c r="E8" s="35" t="str">
        <f ca="1">VLOOKUP($C8,OFFSET(enemy_skills!$A$1,0,0,COUNTA(enemy_skills!$A:$A),MATCH(E$1,enemy_skills!$1:$1,0)-MATCH("enemy_skill_id",enemy_skills!$1:$1,0)+1),MATCH(E$1,enemy_skills!$1:$1,0)-MATCH("enemy_skill_id",enemy_skills!$1:$1,0)+1,FALSE)</f>
        <v>ハートパネルプロテクト</v>
      </c>
      <c r="F8" s="36">
        <v>48503007</v>
      </c>
      <c r="G8" s="3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3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" s="3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37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8" s="3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3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3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3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3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36"/>
      <c r="Q8" s="36"/>
      <c r="R8" s="40" t="s">
        <v>297</v>
      </c>
      <c r="S8" s="40" t="s">
        <v>298</v>
      </c>
    </row>
    <row r="9" spans="1:19" ht="21" customHeight="1" x14ac:dyDescent="0.15">
      <c r="A9" s="28" t="str">
        <f t="shared" si="0"/>
        <v>48503005_48503008</v>
      </c>
      <c r="B9" s="36">
        <v>48503005</v>
      </c>
      <c r="C9" s="36">
        <v>48503008</v>
      </c>
      <c r="D9" s="35" t="str">
        <f ca="1">VLOOKUP($C9,OFFSET(enemy_skills!$A$1,0,0,COUNTA(enemy_skills!$A:$A),MATCH(D$1,enemy_skills!$1:$1,0)-MATCH("enemy_skill_id",enemy_skills!$1:$1,0)+1),MATCH(D$1,enemy_skills!$1:$1,0)-MATCH("enemy_skill_id",enemy_skills!$1:$1,0)+1,FALSE)</f>
        <v>猿王迅瞬堅毛の術</v>
      </c>
      <c r="E9" s="35" t="str">
        <f ca="1">VLOOKUP($C9,OFFSET(enemy_skills!$A$1,0,0,COUNTA(enemy_skills!$A:$A),MATCH(E$1,enemy_skills!$1:$1,0)-MATCH("enemy_skill_id",enemy_skills!$1:$1,0)+1),MATCH(E$1,enemy_skills!$1:$1,0)-MATCH("enemy_skill_id",enemy_skills!$1:$1,0)+1,FALSE)</f>
        <v>4ターン赤パネルを吸収して防御力UP</v>
      </c>
      <c r="F9" s="36">
        <v>48503008</v>
      </c>
      <c r="G9" s="3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37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3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3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3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3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3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3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3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36"/>
      <c r="Q9" s="36"/>
      <c r="R9" s="40" t="s">
        <v>299</v>
      </c>
      <c r="S9" s="40" t="s">
        <v>300</v>
      </c>
    </row>
    <row r="10" spans="1:19" ht="21" customHeight="1" x14ac:dyDescent="0.15">
      <c r="A10" s="28" t="str">
        <f t="shared" si="0"/>
        <v>48503005_48503009</v>
      </c>
      <c r="B10" s="36">
        <v>48503005</v>
      </c>
      <c r="C10" s="36">
        <v>48503009</v>
      </c>
      <c r="D10" s="3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五行封印 臨</v>
      </c>
      <c r="E10" s="3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ランダムでお邪魔パネルに最大2個変換</v>
      </c>
      <c r="F10" s="36">
        <v>48503009</v>
      </c>
      <c r="G10" s="3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37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3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0" s="3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37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0" s="3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3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3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3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0" s="36"/>
      <c r="Q10" s="36"/>
      <c r="R10" s="40" t="s">
        <v>299</v>
      </c>
      <c r="S10" s="40" t="s">
        <v>301</v>
      </c>
    </row>
    <row r="11" spans="1:19" ht="21" customHeight="1" x14ac:dyDescent="0.15">
      <c r="A11" s="28" t="str">
        <f t="shared" si="0"/>
        <v>48503005_48503010</v>
      </c>
      <c r="B11" s="36">
        <v>48503005</v>
      </c>
      <c r="C11" s="36">
        <v>48503010</v>
      </c>
      <c r="D11" s="3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五行封印 兵</v>
      </c>
      <c r="E11" s="3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ランダムでお邪魔パネルに最大3個変換</v>
      </c>
      <c r="F11" s="36">
        <v>48503010</v>
      </c>
      <c r="G11" s="3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37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3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1" s="3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37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1" s="3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3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3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3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1" s="36"/>
      <c r="Q11" s="36"/>
      <c r="R11" s="40" t="s">
        <v>299</v>
      </c>
      <c r="S11" s="40" t="s">
        <v>302</v>
      </c>
    </row>
    <row r="12" spans="1:19" ht="21" customHeight="1" x14ac:dyDescent="0.15">
      <c r="A12" s="28" t="str">
        <f t="shared" si="0"/>
        <v>48503005_48503011</v>
      </c>
      <c r="B12" s="36">
        <v>48503005</v>
      </c>
      <c r="C12" s="36">
        <v>48503011</v>
      </c>
      <c r="D12" s="3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猿王迅瞬分身の術</v>
      </c>
      <c r="E12" s="3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2" s="36">
        <v>48503011</v>
      </c>
      <c r="G12" s="3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37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3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2" s="3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37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12" s="37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3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3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3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2" s="36"/>
      <c r="Q12" s="36"/>
      <c r="R12" s="40" t="s">
        <v>303</v>
      </c>
      <c r="S12" s="40" t="s">
        <v>301</v>
      </c>
    </row>
    <row r="13" spans="1:19" ht="21" customHeight="1" x14ac:dyDescent="0.15">
      <c r="A13" s="28" t="str">
        <f t="shared" si="0"/>
        <v>48503005_48503012</v>
      </c>
      <c r="B13" s="36">
        <v>48503005</v>
      </c>
      <c r="C13" s="36">
        <v>48503012</v>
      </c>
      <c r="D13" s="3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五行封印 兵</v>
      </c>
      <c r="E13" s="3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ランダムでお邪魔パネルに最大3個変換</v>
      </c>
      <c r="F13" s="36">
        <v>48503012</v>
      </c>
      <c r="G13" s="3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37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3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3" s="37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" s="3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37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3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3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3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3" s="36"/>
      <c r="Q13" s="36"/>
      <c r="R13" s="40" t="s">
        <v>303</v>
      </c>
      <c r="S13" s="40" t="s">
        <v>304</v>
      </c>
    </row>
    <row r="14" spans="1:19" ht="21" customHeight="1" x14ac:dyDescent="0.15">
      <c r="A14" s="28" t="str">
        <f t="shared" si="0"/>
        <v>48503005_48503013</v>
      </c>
      <c r="B14" s="36">
        <v>48503005</v>
      </c>
      <c r="C14" s="36">
        <v>48503013</v>
      </c>
      <c r="D14" s="3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五行封印 闘</v>
      </c>
      <c r="E14" s="3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ランダムでお邪魔パネルに最大4個変換</v>
      </c>
      <c r="F14" s="36">
        <v>48503013</v>
      </c>
      <c r="G14" s="3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37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3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4" s="37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4" s="3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37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3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3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3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4" s="36"/>
      <c r="Q14" s="36"/>
      <c r="R14" s="40" t="s">
        <v>303</v>
      </c>
      <c r="S14" s="40" t="s">
        <v>302</v>
      </c>
    </row>
    <row r="15" spans="1:19" ht="21" customHeight="1" x14ac:dyDescent="0.15">
      <c r="A15" s="28" t="str">
        <f t="shared" si="0"/>
        <v>48503005_48503014</v>
      </c>
      <c r="B15" s="36">
        <v>48503005</v>
      </c>
      <c r="C15" s="36">
        <v>48503014</v>
      </c>
      <c r="D15" s="3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猿王迅瞬分身の術</v>
      </c>
      <c r="E15" s="3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5" s="36">
        <v>48503014</v>
      </c>
      <c r="G15" s="3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37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3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5" s="37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3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3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3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3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3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5" s="36"/>
      <c r="Q15" s="36"/>
      <c r="R15" s="40" t="s">
        <v>305</v>
      </c>
      <c r="S15" s="40" t="s">
        <v>202</v>
      </c>
    </row>
    <row r="16" spans="1:19" ht="21" customHeight="1" x14ac:dyDescent="0.15">
      <c r="A16" s="28" t="str">
        <f t="shared" si="0"/>
        <v>48503006_48503015</v>
      </c>
      <c r="B16" s="36">
        <v>48503006</v>
      </c>
      <c r="C16" s="36">
        <v>48503015</v>
      </c>
      <c r="D16" s="3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如意棒</v>
      </c>
      <c r="E16" s="3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6" s="36">
        <v>48503015</v>
      </c>
      <c r="G16" s="3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3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6" s="3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3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3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3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3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3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3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36"/>
      <c r="Q16" s="36"/>
      <c r="R16" s="40" t="s">
        <v>306</v>
      </c>
      <c r="S16" s="40" t="s">
        <v>307</v>
      </c>
    </row>
    <row r="17" spans="1:19" ht="21" customHeight="1" x14ac:dyDescent="0.15">
      <c r="A17" s="28" t="str">
        <f t="shared" si="0"/>
        <v>48503006_48503016</v>
      </c>
      <c r="B17" s="36">
        <v>48503006</v>
      </c>
      <c r="C17" s="36">
        <v>48503016</v>
      </c>
      <c r="D17" s="3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金斗雲</v>
      </c>
      <c r="E17" s="3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敵1体の行動頻度UP</v>
      </c>
      <c r="F17" s="36">
        <v>48503016</v>
      </c>
      <c r="G17" s="3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3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7" s="3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7" s="37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3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3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3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3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3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7" s="36"/>
      <c r="Q17" s="36"/>
      <c r="R17" s="40" t="s">
        <v>308</v>
      </c>
      <c r="S17" s="40" t="s">
        <v>309</v>
      </c>
    </row>
    <row r="18" spans="1:19" ht="21" customHeight="1" x14ac:dyDescent="0.15">
      <c r="A18" s="28" t="str">
        <f t="shared" si="0"/>
        <v>48503007_48503017</v>
      </c>
      <c r="B18" s="36">
        <v>48503007</v>
      </c>
      <c r="C18" s="36">
        <v>48503017</v>
      </c>
      <c r="D18" s="3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あたしはもう我慢なんてしない！</v>
      </c>
      <c r="E18" s="3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ランダムでお邪魔パネルに最大5個変換+_x000D_属性パネルプロテクト(最大10個)</v>
      </c>
      <c r="F18" s="36">
        <v>48503017</v>
      </c>
      <c r="G18" s="3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3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8" s="3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3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3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3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3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3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3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36"/>
      <c r="Q18" s="36"/>
      <c r="R18" s="40" t="s">
        <v>234</v>
      </c>
      <c r="S18" s="40" t="s">
        <v>310</v>
      </c>
    </row>
    <row r="19" spans="1:19" ht="21" customHeight="1" x14ac:dyDescent="0.15">
      <c r="A19" s="28" t="str">
        <f t="shared" si="0"/>
        <v>48503007_48503018</v>
      </c>
      <c r="B19" s="36">
        <v>48503007</v>
      </c>
      <c r="C19" s="36">
        <v>48503018</v>
      </c>
      <c r="D19" s="3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ガルーダ！ またあたしの邪魔をするのね！</v>
      </c>
      <c r="E19" s="3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ランダムでお邪魔パネルに最大5個変換+_x000D_属性パネルプロテクト(最大10個)</v>
      </c>
      <c r="F19" s="36">
        <v>48503018</v>
      </c>
      <c r="G19" s="3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3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9" s="3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3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3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3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3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37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5001</v>
      </c>
      <c r="O19" s="3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36"/>
      <c r="Q19" s="36"/>
      <c r="R19" s="40" t="s">
        <v>282</v>
      </c>
      <c r="S19" s="40" t="s">
        <v>311</v>
      </c>
    </row>
    <row r="20" spans="1:19" ht="21" customHeight="1" x14ac:dyDescent="0.15">
      <c r="A20" s="28" t="str">
        <f t="shared" si="0"/>
        <v>48503007_48503019</v>
      </c>
      <c r="B20" s="36">
        <v>48503007</v>
      </c>
      <c r="C20" s="36">
        <v>48503019</v>
      </c>
      <c r="D20" s="3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ガルーダ！ またあたしの邪魔をするのね！</v>
      </c>
      <c r="E20" s="3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ランダムでお邪魔パネルに最大5個変換+_x000D_属性パネルプロテクト(最大10個)</v>
      </c>
      <c r="F20" s="36">
        <v>48503019</v>
      </c>
      <c r="G20" s="3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3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0" s="3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3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3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3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3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37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5002</v>
      </c>
      <c r="O20" s="3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36"/>
      <c r="Q20" s="36"/>
      <c r="R20" s="40" t="s">
        <v>283</v>
      </c>
      <c r="S20" s="40" t="s">
        <v>312</v>
      </c>
    </row>
    <row r="21" spans="1:19" ht="21" customHeight="1" x14ac:dyDescent="0.15">
      <c r="A21" s="28" t="str">
        <f t="shared" si="0"/>
        <v>48503007_48503020</v>
      </c>
      <c r="B21" s="36">
        <v>48503007</v>
      </c>
      <c r="C21" s="36">
        <v>48503020</v>
      </c>
      <c r="D21" s="3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杖よ！ あたしに力を！</v>
      </c>
      <c r="E21" s="3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2ターンお邪魔パネルを吸収して攻撃力UP+_x000D_2ターン行動頻度UP</v>
      </c>
      <c r="F21" s="36">
        <v>48503020</v>
      </c>
      <c r="G21" s="3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3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1" s="3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3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3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3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37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3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3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36"/>
      <c r="Q21" s="36"/>
      <c r="R21" s="40" t="s">
        <v>284</v>
      </c>
      <c r="S21" s="40" t="s">
        <v>311</v>
      </c>
    </row>
    <row r="22" spans="1:19" ht="21" customHeight="1" x14ac:dyDescent="0.15">
      <c r="A22" s="28" t="str">
        <f t="shared" si="0"/>
        <v>48503007_48503021</v>
      </c>
      <c r="B22" s="36">
        <v>48503007</v>
      </c>
      <c r="C22" s="36">
        <v>48503021</v>
      </c>
      <c r="D22" s="3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人の子があたしを止められると思ってるの？</v>
      </c>
      <c r="E22" s="3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22" s="36">
        <v>48503021</v>
      </c>
      <c r="G22" s="3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37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3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3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37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2" s="3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3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3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3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36"/>
      <c r="Q22" s="36"/>
      <c r="R22" s="40" t="s">
        <v>241</v>
      </c>
      <c r="S22" s="40" t="s">
        <v>301</v>
      </c>
    </row>
    <row r="23" spans="1:19" ht="21" customHeight="1" x14ac:dyDescent="0.15">
      <c r="A23" s="28" t="str">
        <f t="shared" si="0"/>
        <v>48503007_48503022</v>
      </c>
      <c r="B23" s="36">
        <v>48503007</v>
      </c>
      <c r="C23" s="36">
        <v>48503022</v>
      </c>
      <c r="D23" s="3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このくらいなら耐えられるよね？</v>
      </c>
      <c r="E23" s="3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4ターン全ユニットの回復力50%DOWN</v>
      </c>
      <c r="F23" s="36">
        <v>48503022</v>
      </c>
      <c r="G23" s="3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3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3" s="3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37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3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3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3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3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3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36"/>
      <c r="Q23" s="36"/>
      <c r="R23" s="40" t="s">
        <v>243</v>
      </c>
      <c r="S23" s="40" t="s">
        <v>300</v>
      </c>
    </row>
    <row r="24" spans="1:19" ht="21" customHeight="1" x14ac:dyDescent="0.15">
      <c r="A24" s="28" t="str">
        <f t="shared" si="0"/>
        <v>48503007_48503023</v>
      </c>
      <c r="B24" s="36">
        <v>48503007</v>
      </c>
      <c r="C24" s="36">
        <v>48503023</v>
      </c>
      <c r="D24" s="3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人の子があたしを止められると思ってるの？</v>
      </c>
      <c r="E24" s="3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24" s="36">
        <v>48503023</v>
      </c>
      <c r="G24" s="3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37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3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4" s="37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3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37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3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3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3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4" s="36"/>
      <c r="Q24" s="36"/>
      <c r="R24" s="40" t="s">
        <v>243</v>
      </c>
      <c r="S24" s="40" t="s">
        <v>301</v>
      </c>
    </row>
    <row r="25" spans="1:19" ht="21" customHeight="1" x14ac:dyDescent="0.15">
      <c r="A25" s="28" t="str">
        <f t="shared" si="0"/>
        <v>48503008_48503024</v>
      </c>
      <c r="B25" s="36">
        <v>48503008</v>
      </c>
      <c r="C25" s="36">
        <v>48503024</v>
      </c>
      <c r="D25" s="3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あたしが耐えてきたのはこんなものじゃないわ！</v>
      </c>
      <c r="E25" s="3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ランダムでお邪魔パネルに最大3個変換+_x000D_残りHPの30%ダメージ！</v>
      </c>
      <c r="F25" s="36">
        <v>48503024</v>
      </c>
      <c r="G25" s="3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37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3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3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3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3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3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3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3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36"/>
      <c r="Q25" s="36"/>
      <c r="R25" s="40" t="s">
        <v>243</v>
      </c>
      <c r="S25" s="40" t="s">
        <v>313</v>
      </c>
    </row>
    <row r="26" spans="1:19" ht="21" customHeight="1" x14ac:dyDescent="0.15">
      <c r="A26" s="28" t="str">
        <f t="shared" si="0"/>
        <v>48503008_48503025</v>
      </c>
      <c r="B26" s="36">
        <v>48503008</v>
      </c>
      <c r="C26" s="36">
        <v>48503025</v>
      </c>
      <c r="D26" s="3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雨って良いと思わない？</v>
      </c>
      <c r="E26" s="3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ランダムでお邪魔パネルに最大2個変換+_x000D_単体攻撃</v>
      </c>
      <c r="F26" s="36">
        <v>48503025</v>
      </c>
      <c r="G26" s="3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37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3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26" s="3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37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6" s="37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3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3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3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26" s="36"/>
      <c r="Q26" s="36"/>
      <c r="R26" s="40" t="s">
        <v>248</v>
      </c>
      <c r="S26" s="40" t="s">
        <v>309</v>
      </c>
    </row>
    <row r="27" spans="1:19" ht="21" customHeight="1" x14ac:dyDescent="0.15">
      <c r="A27" s="28" t="str">
        <f t="shared" si="0"/>
        <v>48503008_48503026</v>
      </c>
      <c r="B27" s="36">
        <v>48503008</v>
      </c>
      <c r="C27" s="36">
        <v>48503026</v>
      </c>
      <c r="D27" s="3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あたしは雨がだーいすきっ！</v>
      </c>
      <c r="E27" s="3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ランダムでお邪魔パネルに最大3個変換+_x000D_2回連続攻撃</v>
      </c>
      <c r="F27" s="36">
        <v>48503026</v>
      </c>
      <c r="G27" s="3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37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3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27" s="3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37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7" s="37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3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3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3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27" s="36"/>
      <c r="Q27" s="36"/>
      <c r="R27" s="40" t="s">
        <v>249</v>
      </c>
      <c r="S27" s="40" t="s">
        <v>300</v>
      </c>
    </row>
    <row r="28" spans="1:19" ht="21" customHeight="1" x14ac:dyDescent="0.15">
      <c r="A28" s="28" t="str">
        <f t="shared" si="0"/>
        <v>48503008_48503027</v>
      </c>
      <c r="B28" s="36">
        <v>48503008</v>
      </c>
      <c r="C28" s="36">
        <v>48503027</v>
      </c>
      <c r="D28" s="3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みんな！ やっちゃって！</v>
      </c>
      <c r="E28" s="3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8" s="36">
        <v>48503027</v>
      </c>
      <c r="G28" s="3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37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3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8" s="3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37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8" s="37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3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3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3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8" s="36"/>
      <c r="Q28" s="36"/>
      <c r="R28" s="40" t="s">
        <v>249</v>
      </c>
      <c r="S28" s="40" t="s">
        <v>301</v>
      </c>
    </row>
    <row r="29" spans="1:19" ht="21" customHeight="1" x14ac:dyDescent="0.15">
      <c r="A29" s="28" t="str">
        <f t="shared" si="0"/>
        <v>48503008_48503028</v>
      </c>
      <c r="B29" s="36">
        <v>48503008</v>
      </c>
      <c r="C29" s="36">
        <v>48503028</v>
      </c>
      <c r="D29" s="3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ヘビに睨まれたカエルって知ってる？</v>
      </c>
      <c r="E29" s="3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ランダムでお邪魔パネルに最大5個変換+_x000D_単体攻撃</v>
      </c>
      <c r="F29" s="36">
        <v>48503028</v>
      </c>
      <c r="G29" s="3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37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3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37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" s="3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3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3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3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3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36"/>
      <c r="Q29" s="36"/>
      <c r="R29" s="40" t="s">
        <v>249</v>
      </c>
      <c r="S29" s="40" t="s">
        <v>313</v>
      </c>
    </row>
    <row r="30" spans="1:19" ht="21" customHeight="1" x14ac:dyDescent="0.15">
      <c r="A30" s="28" t="str">
        <f t="shared" si="0"/>
        <v>48503008_48503029</v>
      </c>
      <c r="B30" s="36">
        <v>48503008</v>
      </c>
      <c r="C30" s="36">
        <v>48503029</v>
      </c>
      <c r="D30" s="3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雨って良いと思わない？</v>
      </c>
      <c r="E30" s="3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ランダムでお邪魔パネルに最大2個変換+_x000D_単体攻撃</v>
      </c>
      <c r="F30" s="36">
        <v>48503029</v>
      </c>
      <c r="G30" s="3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37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3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30" s="37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0" s="3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37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3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3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3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30" s="36"/>
      <c r="Q30" s="36"/>
      <c r="R30" s="40" t="s">
        <v>249</v>
      </c>
      <c r="S30" s="40" t="s">
        <v>251</v>
      </c>
    </row>
    <row r="31" spans="1:19" ht="21" customHeight="1" x14ac:dyDescent="0.15">
      <c r="A31" s="28" t="str">
        <f t="shared" si="0"/>
        <v>48503008_48503030</v>
      </c>
      <c r="B31" s="36">
        <v>48503008</v>
      </c>
      <c r="C31" s="36">
        <v>48503030</v>
      </c>
      <c r="D31" s="3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あたしは雨がだーいすきっ！</v>
      </c>
      <c r="E31" s="3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ランダムでお邪魔パネルに最大3個変換+_x000D_2回連続攻撃</v>
      </c>
      <c r="F31" s="36">
        <v>48503030</v>
      </c>
      <c r="G31" s="3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37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3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31" s="37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1" s="3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37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3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3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3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31" s="36"/>
      <c r="Q31" s="36"/>
      <c r="R31" s="40" t="s">
        <v>314</v>
      </c>
      <c r="S31" s="40" t="s">
        <v>315</v>
      </c>
    </row>
    <row r="32" spans="1:19" ht="21" customHeight="1" x14ac:dyDescent="0.15">
      <c r="A32" s="28" t="str">
        <f t="shared" si="0"/>
        <v>48503008_48503031</v>
      </c>
      <c r="B32" s="36">
        <v>48503008</v>
      </c>
      <c r="C32" s="36">
        <v>48503031</v>
      </c>
      <c r="D32" s="3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みんな！ やっちゃって！</v>
      </c>
      <c r="E32" s="3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2" s="36">
        <v>48503031</v>
      </c>
      <c r="G32" s="3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37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3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2" s="37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3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37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3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3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3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2" s="36"/>
      <c r="Q32" s="36"/>
      <c r="R32" s="40" t="s">
        <v>257</v>
      </c>
      <c r="S32" s="40" t="s">
        <v>316</v>
      </c>
    </row>
    <row r="33" spans="1:19" ht="21" customHeight="1" x14ac:dyDescent="0.15">
      <c r="A33" s="28" t="str">
        <f t="shared" si="0"/>
        <v>48503008_48503032</v>
      </c>
      <c r="B33" s="36">
        <v>48503008</v>
      </c>
      <c r="C33" s="36">
        <v>48503032</v>
      </c>
      <c r="D33" s="3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杖よ！ あたしに癒しを！</v>
      </c>
      <c r="E33" s="3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お邪魔パネルを吸収して回復</v>
      </c>
      <c r="F33" s="36">
        <v>48503032</v>
      </c>
      <c r="G33" s="3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37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3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33" s="37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3" s="3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3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3" s="3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3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3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33" s="36"/>
      <c r="Q33" s="36"/>
      <c r="R33" s="40" t="s">
        <v>257</v>
      </c>
      <c r="S33" s="40" t="s">
        <v>258</v>
      </c>
    </row>
    <row r="34" spans="1:19" ht="21" customHeight="1" x14ac:dyDescent="0.15">
      <c r="A34" s="28" t="str">
        <f t="shared" si="0"/>
        <v>48503009_48503033</v>
      </c>
      <c r="B34" s="36">
        <v>48503009</v>
      </c>
      <c r="C34" s="36">
        <v>48503033</v>
      </c>
      <c r="D34" s="3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あたしが好きな世界を作りたいだけなのに！</v>
      </c>
      <c r="E34" s="3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ランダムでお邪魔パネルに最大5個変換+_x000D_2ターン全ユニットの攻撃力30%DOWN+_x000D_2ターン行動頻度UP</v>
      </c>
      <c r="F34" s="36">
        <v>48503033</v>
      </c>
      <c r="G34" s="3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3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4" s="3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3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3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3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37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3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3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36"/>
      <c r="Q34" s="36"/>
      <c r="R34" s="40" t="s">
        <v>257</v>
      </c>
      <c r="S34" s="40" t="s">
        <v>313</v>
      </c>
    </row>
    <row r="35" spans="1:19" ht="21" customHeight="1" x14ac:dyDescent="0.15">
      <c r="A35" s="28" t="str">
        <f t="shared" si="0"/>
        <v>48503009_48503034</v>
      </c>
      <c r="B35" s="36">
        <v>48503009</v>
      </c>
      <c r="C35" s="36">
        <v>48503034</v>
      </c>
      <c r="D35" s="3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ガルーダ…あなただけは絶対に許さない！</v>
      </c>
      <c r="E35" s="3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ランダムでお邪魔パネルに最大5個変換+_x000D_2ターン全ユニットの攻撃力30%DOWN+_x000D_2ターン行動頻度UP</v>
      </c>
      <c r="F35" s="36">
        <v>48503034</v>
      </c>
      <c r="G35" s="3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3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5" s="3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3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3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3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3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37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5001</v>
      </c>
      <c r="O35" s="3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36"/>
      <c r="Q35" s="36"/>
      <c r="R35" s="40" t="s">
        <v>285</v>
      </c>
      <c r="S35" s="40" t="s">
        <v>317</v>
      </c>
    </row>
    <row r="36" spans="1:19" ht="21" customHeight="1" x14ac:dyDescent="0.15">
      <c r="A36" s="28" t="str">
        <f t="shared" si="0"/>
        <v>48503009_48503035</v>
      </c>
      <c r="B36" s="36">
        <v>48503009</v>
      </c>
      <c r="C36" s="36">
        <v>48503035</v>
      </c>
      <c r="D36" s="3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ガルーダ…あなただけは絶対に許さない！</v>
      </c>
      <c r="E36" s="3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ランダムでお邪魔パネルに最大5個変換+_x000D_2ターン全ユニットの攻撃力30%DOWN+_x000D_2ターン行動頻度UP</v>
      </c>
      <c r="F36" s="36">
        <v>48503035</v>
      </c>
      <c r="G36" s="3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3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6" s="3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3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3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3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37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37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5002</v>
      </c>
      <c r="O36" s="3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36"/>
      <c r="Q36" s="36"/>
      <c r="R36" s="40" t="s">
        <v>262</v>
      </c>
      <c r="S36" s="40" t="s">
        <v>318</v>
      </c>
    </row>
    <row r="37" spans="1:19" ht="21" customHeight="1" x14ac:dyDescent="0.15">
      <c r="A37" s="28" t="str">
        <f t="shared" si="0"/>
        <v>48503009_48503036</v>
      </c>
      <c r="B37" s="36">
        <v>48503009</v>
      </c>
      <c r="C37" s="36">
        <v>48503036</v>
      </c>
      <c r="D37" s="3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みんな！ 一緒にいくよ！</v>
      </c>
      <c r="E37" s="3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ランダムでお邪魔パネルに最大3個変換+_x000D_全体攻撃</v>
      </c>
      <c r="F37" s="36">
        <v>48503036</v>
      </c>
      <c r="G37" s="3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37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3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37" s="3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37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7" s="37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37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3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3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37" s="36"/>
      <c r="Q37" s="36"/>
      <c r="R37" s="40" t="s">
        <v>262</v>
      </c>
      <c r="S37" s="40" t="s">
        <v>319</v>
      </c>
    </row>
    <row r="38" spans="1:19" ht="21" customHeight="1" x14ac:dyDescent="0.15">
      <c r="A38" s="28" t="str">
        <f t="shared" si="0"/>
        <v>48503009_48503037</v>
      </c>
      <c r="B38" s="36">
        <v>48503009</v>
      </c>
      <c r="C38" s="36">
        <v>48503037</v>
      </c>
      <c r="D38" s="3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好きにはさせないわよ！</v>
      </c>
      <c r="E38" s="3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属性パネルプロテクト(最大10個)</v>
      </c>
      <c r="F38" s="36">
        <v>48503037</v>
      </c>
      <c r="G38" s="3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37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3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38" s="3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37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8" s="37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37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3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3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38" s="36"/>
      <c r="Q38" s="36"/>
      <c r="R38" s="40" t="s">
        <v>262</v>
      </c>
      <c r="S38" s="40" t="s">
        <v>251</v>
      </c>
    </row>
    <row r="39" spans="1:19" ht="21" customHeight="1" x14ac:dyDescent="0.15">
      <c r="A39" s="28" t="str">
        <f t="shared" si="0"/>
        <v>48503009_48503038</v>
      </c>
      <c r="B39" s="36">
        <v>48503009</v>
      </c>
      <c r="C39" s="36">
        <v>48503038</v>
      </c>
      <c r="D39" s="3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みんな！ 思いっきりやっちゃって！</v>
      </c>
      <c r="E39" s="3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9" s="36">
        <v>48503038</v>
      </c>
      <c r="G39" s="3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37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3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9" s="3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37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39" s="37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3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3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3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9" s="36"/>
      <c r="Q39" s="36"/>
      <c r="R39" s="40" t="s">
        <v>264</v>
      </c>
      <c r="S39" s="40" t="s">
        <v>320</v>
      </c>
    </row>
    <row r="40" spans="1:19" ht="21" customHeight="1" x14ac:dyDescent="0.15">
      <c r="A40" s="28" t="str">
        <f t="shared" si="0"/>
        <v>48503009_48503039</v>
      </c>
      <c r="B40" s="36">
        <v>48503009</v>
      </c>
      <c r="C40" s="36">
        <v>48503039</v>
      </c>
      <c r="D40" s="3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これは耐えられないよね？</v>
      </c>
      <c r="E40" s="3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5ターン全ユニットの回復力90%DOWN</v>
      </c>
      <c r="F40" s="36">
        <v>48503039</v>
      </c>
      <c r="G40" s="3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3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0" s="3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37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40" s="3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37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37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3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3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36"/>
      <c r="Q40" s="36"/>
      <c r="R40" s="40" t="s">
        <v>266</v>
      </c>
      <c r="S40" s="40" t="s">
        <v>321</v>
      </c>
    </row>
    <row r="41" spans="1:19" ht="21" customHeight="1" x14ac:dyDescent="0.15">
      <c r="A41" s="28" t="str">
        <f t="shared" si="0"/>
        <v>48503009_48503040</v>
      </c>
      <c r="B41" s="36">
        <v>48503009</v>
      </c>
      <c r="C41" s="36">
        <v>48503040</v>
      </c>
      <c r="D41" s="3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みんな！ まだまだいくよ！</v>
      </c>
      <c r="E41" s="3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ランダムでお邪魔パネルに最大4個変換+_x000D_4回連続攻撃</v>
      </c>
      <c r="F41" s="36">
        <v>48503040</v>
      </c>
      <c r="G41" s="3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37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3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41" s="37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1" s="3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37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37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3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3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41" s="36"/>
      <c r="Q41" s="36"/>
      <c r="R41" s="40" t="s">
        <v>266</v>
      </c>
      <c r="S41" s="40" t="s">
        <v>322</v>
      </c>
    </row>
    <row r="42" spans="1:19" ht="21" customHeight="1" x14ac:dyDescent="0.15">
      <c r="A42" s="28" t="str">
        <f t="shared" si="0"/>
        <v>48503009_48503041</v>
      </c>
      <c r="B42" s="36">
        <v>48503009</v>
      </c>
      <c r="C42" s="36">
        <v>48503041</v>
      </c>
      <c r="D42" s="3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杖よ！ 薙ぎ払って！</v>
      </c>
      <c r="E42" s="3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42" s="36">
        <v>48503041</v>
      </c>
      <c r="G42" s="3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37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3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42" s="37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2" s="3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37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3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3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3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42" s="36"/>
      <c r="Q42" s="36"/>
      <c r="R42" s="40" t="s">
        <v>266</v>
      </c>
      <c r="S42" s="40" t="s">
        <v>322</v>
      </c>
    </row>
    <row r="43" spans="1:19" ht="21" customHeight="1" x14ac:dyDescent="0.15">
      <c r="A43" s="28" t="str">
        <f t="shared" si="0"/>
        <v>48503009_48503042</v>
      </c>
      <c r="B43" s="36">
        <v>48503009</v>
      </c>
      <c r="C43" s="36">
        <v>48503042</v>
      </c>
      <c r="D43" s="3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杖よ！ あたしに更なる癒しを！</v>
      </c>
      <c r="E43" s="3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お邪魔パネルを吸収して回復</v>
      </c>
      <c r="F43" s="36">
        <v>48503042</v>
      </c>
      <c r="G43" s="3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37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3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43" s="37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3" s="3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37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43" s="37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3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3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43" s="36"/>
      <c r="Q43" s="36"/>
      <c r="R43" s="40" t="s">
        <v>266</v>
      </c>
      <c r="S43" s="40" t="s">
        <v>322</v>
      </c>
    </row>
    <row r="44" spans="1:19" ht="21" customHeight="1" x14ac:dyDescent="0.15">
      <c r="A44" s="28" t="str">
        <f t="shared" si="0"/>
        <v>48503009_48503043</v>
      </c>
      <c r="B44" s="36">
        <v>48503009</v>
      </c>
      <c r="C44" s="36">
        <v>48503043</v>
      </c>
      <c r="D44" s="3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きっついの…いくわよ！</v>
      </c>
      <c r="E44" s="3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ランダムでお邪魔パネルに最大5個変換+_x000D_属性パネルプロテクト(最大20個)</v>
      </c>
      <c r="F44" s="36">
        <v>48503043</v>
      </c>
      <c r="G44" s="3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3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4" s="3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37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4" s="3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37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37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3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3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36"/>
      <c r="Q44" s="36"/>
      <c r="R44" s="40" t="s">
        <v>266</v>
      </c>
      <c r="S44" s="40" t="s">
        <v>322</v>
      </c>
    </row>
    <row r="45" spans="1:19" ht="21" customHeight="1" x14ac:dyDescent="0.15">
      <c r="A45" s="28" t="str">
        <f t="shared" si="0"/>
        <v>48503009_48503044</v>
      </c>
      <c r="B45" s="36">
        <v>48503009</v>
      </c>
      <c r="C45" s="36">
        <v>48503044</v>
      </c>
      <c r="D45" s="3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あたしを……本気にさせたわね</v>
      </c>
      <c r="E45" s="3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次ターン青パネルを吸収して全体攻撃</v>
      </c>
      <c r="F45" s="36">
        <v>48503044</v>
      </c>
      <c r="G45" s="3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3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5" s="3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37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45" s="3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37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37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37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3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36"/>
      <c r="Q45" s="36"/>
      <c r="R45" s="40" t="s">
        <v>266</v>
      </c>
      <c r="S45" s="40" t="s">
        <v>322</v>
      </c>
    </row>
    <row r="46" spans="1:19" ht="21" customHeight="1" x14ac:dyDescent="0.15">
      <c r="A46" s="28" t="str">
        <f t="shared" si="0"/>
        <v>48503009_48503045</v>
      </c>
      <c r="B46" s="36">
        <v>48503009</v>
      </c>
      <c r="C46" s="36">
        <v>48503045</v>
      </c>
      <c r="D46" s="3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干ばつの恐ろしさを教えてあげる</v>
      </c>
      <c r="E46" s="3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青パネルを吸収して全体攻撃+_x000D_青パネルが出現しない</v>
      </c>
      <c r="F46" s="36">
        <v>48503045</v>
      </c>
      <c r="G46" s="3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3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6" s="3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37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46" s="3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37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37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37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3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36"/>
      <c r="Q46" s="36"/>
      <c r="R46" s="40" t="s">
        <v>266</v>
      </c>
      <c r="S46" s="40" t="s">
        <v>322</v>
      </c>
    </row>
    <row r="47" spans="1:19" ht="21" customHeight="1" x14ac:dyDescent="0.15">
      <c r="A47" s="28" t="str">
        <f t="shared" si="0"/>
        <v>48503009_48503046</v>
      </c>
      <c r="B47" s="36">
        <v>48503009</v>
      </c>
      <c r="C47" s="36">
        <v>48503046</v>
      </c>
      <c r="D47" s="3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雨…好きなんだけどなぁ</v>
      </c>
      <c r="E47" s="3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あなたは…雨は…きらい？</v>
      </c>
      <c r="F47" s="36">
        <v>48503046</v>
      </c>
      <c r="G47" s="3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3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47" s="3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37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3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37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7" s="37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37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7" s="3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36"/>
      <c r="Q47" s="36"/>
      <c r="R47" s="40" t="s">
        <v>266</v>
      </c>
      <c r="S47" s="40" t="s">
        <v>322</v>
      </c>
    </row>
    <row r="48" spans="1:19" ht="21" customHeight="1" x14ac:dyDescent="0.15">
      <c r="A48" s="28" t="str">
        <f t="shared" si="0"/>
        <v>48503009_48503047</v>
      </c>
      <c r="B48" s="36">
        <v>48503009</v>
      </c>
      <c r="C48" s="36">
        <v>48503047</v>
      </c>
      <c r="D48" s="3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あたしが雨好きなの知ってるでしょ？</v>
      </c>
      <c r="E48" s="3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うん…ガルーダ…あとはお願いね</v>
      </c>
      <c r="F48" s="36">
        <v>48503047</v>
      </c>
      <c r="G48" s="3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3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48" s="3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37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3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37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8" s="37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37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5001</v>
      </c>
      <c r="O48" s="3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36"/>
      <c r="Q48" s="36"/>
      <c r="R48" s="40" t="s">
        <v>266</v>
      </c>
      <c r="S48" s="40" t="s">
        <v>322</v>
      </c>
    </row>
    <row r="49" spans="1:19" ht="21" customHeight="1" x14ac:dyDescent="0.15">
      <c r="A49" s="28" t="str">
        <f t="shared" si="0"/>
        <v>48503009_48503048</v>
      </c>
      <c r="B49" s="36">
        <v>48503009</v>
      </c>
      <c r="C49" s="36">
        <v>48503048</v>
      </c>
      <c r="D49" s="3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あたしが雨好きなの知ってるでしょ？</v>
      </c>
      <c r="E49" s="3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うん…ガルーダ…あとはお願いね</v>
      </c>
      <c r="F49" s="36">
        <v>48503048</v>
      </c>
      <c r="G49" s="3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3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49" s="3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37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3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3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9" s="3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37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5002</v>
      </c>
      <c r="O49" s="3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36"/>
      <c r="Q49" s="36"/>
      <c r="R49" s="40" t="s">
        <v>266</v>
      </c>
      <c r="S49" s="40" t="s">
        <v>322</v>
      </c>
    </row>
    <row r="50" spans="1:19" ht="21" customHeight="1" x14ac:dyDescent="0.15">
      <c r="A50" s="28" t="str">
        <f t="shared" si="0"/>
        <v>48503010_48503049</v>
      </c>
      <c r="B50" s="104">
        <v>48503010</v>
      </c>
      <c r="C50" s="104">
        <v>48503049</v>
      </c>
      <c r="D50" s="3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稲妻蹴り</v>
      </c>
      <c r="E50" s="3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0" s="104">
        <v>48503049</v>
      </c>
      <c r="G50" s="3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37" t="str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0" s="3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37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50" s="3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37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37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37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3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36"/>
      <c r="Q50" s="36"/>
      <c r="R50" s="40" t="s">
        <v>288</v>
      </c>
      <c r="S50" s="40" t="s">
        <v>202</v>
      </c>
    </row>
    <row r="51" spans="1:19" ht="21" customHeight="1" x14ac:dyDescent="0.15">
      <c r="A51" s="28" t="str">
        <f t="shared" si="0"/>
        <v>48503011_48503050</v>
      </c>
      <c r="B51" s="36">
        <v>48503011</v>
      </c>
      <c r="C51" s="36">
        <v>48503050</v>
      </c>
      <c r="D51" s="3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スパーク</v>
      </c>
      <c r="E51" s="35" t="str">
        <f ca="1">VLOOKUP($C51,OFFSET(enemy_skills!$A$1,0,0,COUNTA(enemy_skills!$A:$A),MATCH(E$1,enemy_skills!$1:$1,0)-MATCH("enemy_skill_id",enemy_skills!$1:$1,0)+1),MATCH(E$1,enemy_skills!$1:$1,0)-MATCH("enemy_skill_id",enemy_skills!$1:$1,0)+1,FALSE)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1" s="36">
        <v>48503050</v>
      </c>
      <c r="G51" s="3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37" t="str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1" s="3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37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3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37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37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37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3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36"/>
      <c r="Q51" s="36"/>
      <c r="R51" s="40" t="s">
        <v>289</v>
      </c>
      <c r="S51" s="40" t="s">
        <v>206</v>
      </c>
    </row>
    <row r="52" spans="1:19" ht="21" customHeight="1" x14ac:dyDescent="0.15">
      <c r="A52" s="28" t="str">
        <f t="shared" si="0"/>
        <v>48503012_48503051</v>
      </c>
      <c r="B52" s="36">
        <v>48503012</v>
      </c>
      <c r="C52" s="36">
        <v>48503051</v>
      </c>
      <c r="D52" s="35" t="str">
        <f ca="1">VLOOKUP($C52,OFFSET(enemy_skills!$A$1,0,0,COUNTA(enemy_skills!$A:$A),MATCH(D$1,enemy_skills!$1:$1,0)-MATCH("enemy_skill_id",enemy_skills!$1:$1,0)+1),MATCH(D$1,enemy_skills!$1:$1,0)-MATCH("enemy_skill_id",enemy_skills!$1:$1,0)+1,FALSE)</f>
        <v>護緑の短刀</v>
      </c>
      <c r="E52" s="35" t="str">
        <f ca="1">VLOOKUP($C52,OFFSET(enemy_skills!$A$1,0,0,COUNTA(enemy_skills!$A:$A),MATCH(E$1,enemy_skills!$1:$1,0)-MATCH("enemy_skill_id",enemy_skills!$1:$1,0)+1),MATCH(E$1,enemy_skills!$1:$1,0)-MATCH("enemy_skill_id",enemy_skills!$1:$1,0)+1,FALSE)</f>
        <v>緑パネルプロテクト(最大5個)</v>
      </c>
      <c r="F52" s="36">
        <v>48503051</v>
      </c>
      <c r="G52" s="3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37" t="str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2" s="3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37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3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37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37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37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3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36"/>
      <c r="Q52" s="36"/>
      <c r="R52" s="40" t="s">
        <v>290</v>
      </c>
      <c r="S52" s="40" t="s">
        <v>291</v>
      </c>
    </row>
    <row r="53" spans="1:19" ht="21" customHeight="1" x14ac:dyDescent="0.15">
      <c r="A53" s="28" t="str">
        <f t="shared" si="0"/>
        <v>48503012_48503052</v>
      </c>
      <c r="B53" s="36">
        <v>48503012</v>
      </c>
      <c r="C53" s="36">
        <v>48503052</v>
      </c>
      <c r="D53" s="3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咆吼</v>
      </c>
      <c r="E53" s="3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2ターン全ユニットの回復力20%DOWN</v>
      </c>
      <c r="F53" s="36">
        <v>48503052</v>
      </c>
      <c r="G53" s="3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37" t="str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3" s="3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37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3" s="3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3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37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3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3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36"/>
      <c r="Q53" s="36"/>
      <c r="R53" s="40" t="s">
        <v>292</v>
      </c>
      <c r="S53" s="40" t="s">
        <v>293</v>
      </c>
    </row>
    <row r="54" spans="1:19" ht="21" customHeight="1" x14ac:dyDescent="0.15">
      <c r="A54" s="28" t="str">
        <f t="shared" si="0"/>
        <v>48503013_48503053</v>
      </c>
      <c r="B54" s="36">
        <v>48503013</v>
      </c>
      <c r="C54" s="36">
        <v>48503053</v>
      </c>
      <c r="D54" s="3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野生の本能</v>
      </c>
      <c r="E54" s="3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攻撃力UP</v>
      </c>
      <c r="F54" s="36">
        <v>48503053</v>
      </c>
      <c r="G54" s="3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37" t="str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4" s="3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37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3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37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37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37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3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36"/>
      <c r="Q54" s="36"/>
      <c r="R54" s="40" t="s">
        <v>294</v>
      </c>
      <c r="S54" s="40" t="s">
        <v>295</v>
      </c>
    </row>
    <row r="55" spans="1:19" ht="21" customHeight="1" x14ac:dyDescent="0.15">
      <c r="A55" s="28" t="str">
        <f t="shared" si="0"/>
        <v>48503013_48503054</v>
      </c>
      <c r="B55" s="36">
        <v>48503013</v>
      </c>
      <c r="C55" s="36">
        <v>48503054</v>
      </c>
      <c r="D55" s="35" t="str">
        <f ca="1">VLOOKUP($C55,OFFSET(enemy_skills!$A$1,0,0,COUNTA(enemy_skills!$A:$A),MATCH(D$1,enemy_skills!$1:$1,0)-MATCH("enemy_skill_id",enemy_skills!$1:$1,0)+1),MATCH(D$1,enemy_skills!$1:$1,0)-MATCH("enemy_skill_id",enemy_skills!$1:$1,0)+1,FALSE)</f>
        <v>大咆吼</v>
      </c>
      <c r="E55" s="35" t="str">
        <f ca="1">VLOOKUP($C55,OFFSET(enemy_skills!$A$1,0,0,COUNTA(enemy_skills!$A:$A),MATCH(E$1,enemy_skills!$1:$1,0)-MATCH("enemy_skill_id",enemy_skills!$1:$1,0)+1),MATCH(E$1,enemy_skills!$1:$1,0)-MATCH("enemy_skill_id",enemy_skills!$1:$1,0)+1,FALSE)</f>
        <v>2ターン全ユニットの回復力40%DOWN</v>
      </c>
      <c r="F55" s="36">
        <v>48503054</v>
      </c>
      <c r="G55" s="3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3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5" s="3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37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5" s="3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37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37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37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3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36"/>
      <c r="Q55" s="36"/>
      <c r="R55" s="40" t="s">
        <v>296</v>
      </c>
      <c r="S55" s="40" t="s">
        <v>206</v>
      </c>
    </row>
    <row r="56" spans="1:19" ht="21" customHeight="1" x14ac:dyDescent="0.15">
      <c r="A56" s="28" t="str">
        <f t="shared" si="0"/>
        <v>48503013_48503055</v>
      </c>
      <c r="B56" s="36">
        <v>48503013</v>
      </c>
      <c r="C56" s="36">
        <v>48503055</v>
      </c>
      <c r="D56" s="35" t="str">
        <f ca="1">VLOOKUP($C56,OFFSET(enemy_skills!$A$1,0,0,COUNTA(enemy_skills!$A:$A),MATCH(D$1,enemy_skills!$1:$1,0)-MATCH("enemy_skill_id",enemy_skills!$1:$1,0)+1),MATCH(D$1,enemy_skills!$1:$1,0)-MATCH("enemy_skill_id",enemy_skills!$1:$1,0)+1,FALSE)</f>
        <v>奪桃の短刀</v>
      </c>
      <c r="E56" s="35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ハートパネルプロテクト(最大5個)</v>
      </c>
      <c r="F56" s="36">
        <v>48503055</v>
      </c>
      <c r="G56" s="37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37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6" s="3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37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6" s="37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37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37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37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37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36"/>
      <c r="Q56" s="36"/>
      <c r="R56" s="40" t="s">
        <v>297</v>
      </c>
      <c r="S56" s="40" t="s">
        <v>298</v>
      </c>
    </row>
    <row r="57" spans="1:19" ht="21" customHeight="1" x14ac:dyDescent="0.15">
      <c r="A57" s="28" t="str">
        <f t="shared" si="0"/>
        <v>48503014_48503056</v>
      </c>
      <c r="B57" s="36">
        <v>48503014</v>
      </c>
      <c r="C57" s="36">
        <v>48503056</v>
      </c>
      <c r="D57" s="35" t="str">
        <f ca="1">VLOOKUP($C57,OFFSET(enemy_skills!$A$1,0,0,COUNTA(enemy_skills!$A:$A),MATCH(D$1,enemy_skills!$1:$1,0)-MATCH("enemy_skill_id",enemy_skills!$1:$1,0)+1),MATCH(D$1,enemy_skills!$1:$1,0)-MATCH("enemy_skill_id",enemy_skills!$1:$1,0)+1,FALSE)</f>
        <v>猿王迅瞬堅毛の術</v>
      </c>
      <c r="E57" s="35" t="str">
        <f ca="1">VLOOKUP($C57,OFFSET(enemy_skills!$A$1,0,0,COUNTA(enemy_skills!$A:$A),MATCH(E$1,enemy_skills!$1:$1,0)-MATCH("enemy_skill_id",enemy_skills!$1:$1,0)+1),MATCH(E$1,enemy_skills!$1:$1,0)-MATCH("enemy_skill_id",enemy_skills!$1:$1,0)+1,FALSE)</f>
        <v>3ターン赤パネルを吸収して防御力UP</v>
      </c>
      <c r="F57" s="36">
        <v>48503056</v>
      </c>
      <c r="G57" s="37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37" t="str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7" s="37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37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37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37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37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37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37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36"/>
      <c r="Q57" s="36"/>
      <c r="R57" s="40" t="s">
        <v>299</v>
      </c>
      <c r="S57" s="40" t="s">
        <v>300</v>
      </c>
    </row>
    <row r="58" spans="1:19" ht="21" customHeight="1" x14ac:dyDescent="0.15">
      <c r="A58" s="28" t="str">
        <f t="shared" si="0"/>
        <v>48503014_48503057</v>
      </c>
      <c r="B58" s="36">
        <v>48503014</v>
      </c>
      <c r="C58" s="36">
        <v>48503057</v>
      </c>
      <c r="D58" s="35" t="str">
        <f ca="1">VLOOKUP($C58,OFFSET(enemy_skills!$A$1,0,0,COUNTA(enemy_skills!$A:$A),MATCH(D$1,enemy_skills!$1:$1,0)-MATCH("enemy_skill_id",enemy_skills!$1:$1,0)+1),MATCH(D$1,enemy_skills!$1:$1,0)-MATCH("enemy_skill_id",enemy_skills!$1:$1,0)+1,FALSE)</f>
        <v>五行封印 臨</v>
      </c>
      <c r="E58" s="35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ランダムでお邪魔パネルに最大1個変換</v>
      </c>
      <c r="F58" s="36">
        <v>48503057</v>
      </c>
      <c r="G58" s="37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37" t="str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8" s="37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58" s="37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37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8" s="37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37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37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37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58" s="36"/>
      <c r="Q58" s="36"/>
      <c r="R58" s="40" t="s">
        <v>299</v>
      </c>
      <c r="S58" s="40" t="s">
        <v>301</v>
      </c>
    </row>
    <row r="59" spans="1:19" ht="21" customHeight="1" x14ac:dyDescent="0.15">
      <c r="A59" s="28" t="str">
        <f t="shared" si="0"/>
        <v>48503014_48503058</v>
      </c>
      <c r="B59" s="36">
        <v>48503014</v>
      </c>
      <c r="C59" s="36">
        <v>48503058</v>
      </c>
      <c r="D59" s="35" t="str">
        <f ca="1">VLOOKUP($C59,OFFSET(enemy_skills!$A$1,0,0,COUNTA(enemy_skills!$A:$A),MATCH(D$1,enemy_skills!$1:$1,0)-MATCH("enemy_skill_id",enemy_skills!$1:$1,0)+1),MATCH(D$1,enemy_skills!$1:$1,0)-MATCH("enemy_skill_id",enemy_skills!$1:$1,0)+1,FALSE)</f>
        <v>五行封印 兵</v>
      </c>
      <c r="E59" s="35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ランダムでお邪魔パネルに最大2個変換</v>
      </c>
      <c r="F59" s="36">
        <v>48503058</v>
      </c>
      <c r="G59" s="37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37" t="str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9" s="37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59" s="37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37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59" s="37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37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37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37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59" s="36"/>
      <c r="Q59" s="36"/>
      <c r="R59" s="40" t="s">
        <v>299</v>
      </c>
      <c r="S59" s="40" t="s">
        <v>302</v>
      </c>
    </row>
    <row r="60" spans="1:19" ht="21" customHeight="1" x14ac:dyDescent="0.15">
      <c r="A60" s="28" t="str">
        <f t="shared" si="0"/>
        <v>48503014_48503059</v>
      </c>
      <c r="B60" s="36">
        <v>48503014</v>
      </c>
      <c r="C60" s="36">
        <v>48503059</v>
      </c>
      <c r="D60" s="35" t="str">
        <f ca="1">VLOOKUP($C60,OFFSET(enemy_skills!$A$1,0,0,COUNTA(enemy_skills!$A:$A),MATCH(D$1,enemy_skills!$1:$1,0)-MATCH("enemy_skill_id",enemy_skills!$1:$1,0)+1),MATCH(D$1,enemy_skills!$1:$1,0)-MATCH("enemy_skill_id",enemy_skills!$1:$1,0)+1,FALSE)</f>
        <v>猿王迅瞬分身の術</v>
      </c>
      <c r="E60" s="35" t="str">
        <f ca="1">VLOOKUP($C60,OFFSET(enemy_skills!$A$1,0,0,COUNTA(enemy_skills!$A:$A),MATCH(E$1,enemy_skills!$1:$1,0)-MATCH("enemy_skill_id",enemy_skills!$1:$1,0)+1),MATCH(E$1,enemy_skills!$1:$1,0)-MATCH("enemy_skill_id",enemy_skills!$1:$1,0)+1,FALSE)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60" s="36">
        <v>48503059</v>
      </c>
      <c r="G60" s="37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37" t="str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0" s="37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60" s="37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37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60" s="37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37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37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37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60" s="36"/>
      <c r="Q60" s="36"/>
      <c r="R60" s="40" t="s">
        <v>303</v>
      </c>
      <c r="S60" s="40" t="s">
        <v>301</v>
      </c>
    </row>
    <row r="61" spans="1:19" ht="21" customHeight="1" x14ac:dyDescent="0.15">
      <c r="A61" s="28" t="str">
        <f t="shared" si="0"/>
        <v>48503014_48503060</v>
      </c>
      <c r="B61" s="36">
        <v>48503014</v>
      </c>
      <c r="C61" s="36">
        <v>48503060</v>
      </c>
      <c r="D61" s="35" t="str">
        <f ca="1">VLOOKUP($C61,OFFSET(enemy_skills!$A$1,0,0,COUNTA(enemy_skills!$A:$A),MATCH(D$1,enemy_skills!$1:$1,0)-MATCH("enemy_skill_id",enemy_skills!$1:$1,0)+1),MATCH(D$1,enemy_skills!$1:$1,0)-MATCH("enemy_skill_id",enemy_skills!$1:$1,0)+1,FALSE)</f>
        <v>五行封印 兵</v>
      </c>
      <c r="E61" s="35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ランダムでお邪魔パネルに最大2個変換</v>
      </c>
      <c r="F61" s="36">
        <v>48503060</v>
      </c>
      <c r="G61" s="37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37" t="str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1" s="37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61" s="37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1" s="37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37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37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37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37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61" s="36"/>
      <c r="Q61" s="36"/>
      <c r="R61" s="40" t="s">
        <v>303</v>
      </c>
      <c r="S61" s="40" t="s">
        <v>304</v>
      </c>
    </row>
    <row r="62" spans="1:19" ht="21" customHeight="1" x14ac:dyDescent="0.15">
      <c r="A62" s="28" t="str">
        <f t="shared" si="0"/>
        <v>48503014_48503061</v>
      </c>
      <c r="B62" s="36">
        <v>48503014</v>
      </c>
      <c r="C62" s="36">
        <v>48503061</v>
      </c>
      <c r="D62" s="35" t="str">
        <f ca="1">VLOOKUP($C62,OFFSET(enemy_skills!$A$1,0,0,COUNTA(enemy_skills!$A:$A),MATCH(D$1,enemy_skills!$1:$1,0)-MATCH("enemy_skill_id",enemy_skills!$1:$1,0)+1),MATCH(D$1,enemy_skills!$1:$1,0)-MATCH("enemy_skill_id",enemy_skills!$1:$1,0)+1,FALSE)</f>
        <v>五行封印 闘</v>
      </c>
      <c r="E62" s="35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ランダムでお邪魔パネルに最大3個変換</v>
      </c>
      <c r="F62" s="36">
        <v>48503061</v>
      </c>
      <c r="G62" s="37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37" t="str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2" s="37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62" s="37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2" s="37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37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37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37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37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62" s="36"/>
      <c r="Q62" s="36"/>
      <c r="R62" s="40" t="s">
        <v>303</v>
      </c>
      <c r="S62" s="40" t="s">
        <v>302</v>
      </c>
    </row>
    <row r="63" spans="1:19" ht="21" customHeight="1" x14ac:dyDescent="0.15">
      <c r="A63" s="28" t="str">
        <f t="shared" si="0"/>
        <v>48503014_48503062</v>
      </c>
      <c r="B63" s="36">
        <v>48503014</v>
      </c>
      <c r="C63" s="36">
        <v>48503062</v>
      </c>
      <c r="D63" s="35" t="str">
        <f ca="1">VLOOKUP($C63,OFFSET(enemy_skills!$A$1,0,0,COUNTA(enemy_skills!$A:$A),MATCH(D$1,enemy_skills!$1:$1,0)-MATCH("enemy_skill_id",enemy_skills!$1:$1,0)+1),MATCH(D$1,enemy_skills!$1:$1,0)-MATCH("enemy_skill_id",enemy_skills!$1:$1,0)+1,FALSE)</f>
        <v>猿王迅瞬分身の術</v>
      </c>
      <c r="E63" s="35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63" s="36">
        <v>48503062</v>
      </c>
      <c r="G63" s="37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37" t="str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3" s="37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63" s="37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3" s="37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37" t="str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3" s="37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37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37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63" s="36"/>
      <c r="Q63" s="36"/>
      <c r="R63" s="40" t="s">
        <v>305</v>
      </c>
      <c r="S63" s="40" t="s">
        <v>202</v>
      </c>
    </row>
    <row r="64" spans="1:19" ht="21" customHeight="1" x14ac:dyDescent="0.15">
      <c r="A64" s="28" t="str">
        <f t="shared" si="0"/>
        <v>48503015_48503063</v>
      </c>
      <c r="B64" s="36">
        <v>48503015</v>
      </c>
      <c r="C64" s="36">
        <v>48503063</v>
      </c>
      <c r="D64" s="35" t="str">
        <f ca="1">VLOOKUP($C64,OFFSET(enemy_skills!$A$1,0,0,COUNTA(enemy_skills!$A:$A),MATCH(D$1,enemy_skills!$1:$1,0)-MATCH("enemy_skill_id",enemy_skills!$1:$1,0)+1),MATCH(D$1,enemy_skills!$1:$1,0)-MATCH("enemy_skill_id",enemy_skills!$1:$1,0)+1,FALSE)</f>
        <v>如意棒</v>
      </c>
      <c r="E64" s="35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64" s="36">
        <v>48503063</v>
      </c>
      <c r="G64" s="37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37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4" s="37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37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37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37" t="str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4" s="37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37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37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36"/>
      <c r="Q64" s="36"/>
      <c r="R64" s="40" t="s">
        <v>306</v>
      </c>
      <c r="S64" s="40" t="s">
        <v>307</v>
      </c>
    </row>
    <row r="65" spans="1:19" ht="21" customHeight="1" x14ac:dyDescent="0.15">
      <c r="A65" s="28" t="str">
        <f t="shared" si="0"/>
        <v>48503015_48503064</v>
      </c>
      <c r="B65" s="36">
        <v>48503015</v>
      </c>
      <c r="C65" s="36">
        <v>48503064</v>
      </c>
      <c r="D65" s="35" t="str">
        <f ca="1">VLOOKUP($C65,OFFSET(enemy_skills!$A$1,0,0,COUNTA(enemy_skills!$A:$A),MATCH(D$1,enemy_skills!$1:$1,0)-MATCH("enemy_skill_id",enemy_skills!$1:$1,0)+1),MATCH(D$1,enemy_skills!$1:$1,0)-MATCH("enemy_skill_id",enemy_skills!$1:$1,0)+1,FALSE)</f>
        <v>金斗雲</v>
      </c>
      <c r="E65" s="35" t="str">
        <f ca="1">VLOOKUP($C65,OFFSET(enemy_skills!$A$1,0,0,COUNTA(enemy_skills!$A:$A),MATCH(E$1,enemy_skills!$1:$1,0)-MATCH("enemy_skill_id",enemy_skills!$1:$1,0)+1),MATCH(E$1,enemy_skills!$1:$1,0)-MATCH("enemy_skill_id",enemy_skills!$1:$1,0)+1,FALSE)</f>
        <v>敵1体の行動頻度UP</v>
      </c>
      <c r="F65" s="36">
        <v>48503064</v>
      </c>
      <c r="G65" s="37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37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5" s="37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5" s="37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5" s="37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37" t="str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5" s="37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37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37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5" s="36"/>
      <c r="Q65" s="36"/>
      <c r="R65" s="40" t="s">
        <v>308</v>
      </c>
      <c r="S65" s="40" t="s">
        <v>309</v>
      </c>
    </row>
    <row r="66" spans="1:19" ht="21" customHeight="1" x14ac:dyDescent="0.15">
      <c r="A66" s="28" t="str">
        <f t="shared" ref="A66:A97" si="1">B66&amp;"_"&amp;C66</f>
        <v>48503016_48503065</v>
      </c>
      <c r="B66" s="36">
        <v>48503016</v>
      </c>
      <c r="C66" s="36">
        <v>48503065</v>
      </c>
      <c r="D66" s="35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あたしはもう我慢なんてしない！</v>
      </c>
      <c r="E66" s="35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ランダムでお邪魔パネルに最大2個変換+_x000D_属性パネルプロテクト(最大5個)</v>
      </c>
      <c r="F66" s="36">
        <v>48503065</v>
      </c>
      <c r="G66" s="37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37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6" s="37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37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37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37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37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37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37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36"/>
      <c r="Q66" s="36"/>
      <c r="R66" s="40" t="s">
        <v>234</v>
      </c>
      <c r="S66" s="40" t="s">
        <v>310</v>
      </c>
    </row>
    <row r="67" spans="1:19" ht="21" customHeight="1" x14ac:dyDescent="0.15">
      <c r="A67" s="28" t="str">
        <f t="shared" si="1"/>
        <v>48503016_48503066</v>
      </c>
      <c r="B67" s="36">
        <v>48503016</v>
      </c>
      <c r="C67" s="36">
        <v>48503066</v>
      </c>
      <c r="D67" s="35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ガルーダ！ またあたしの邪魔をするのね！</v>
      </c>
      <c r="E67" s="35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ランダムでお邪魔パネルに最大2個変換+_x000D_属性パネルプロテクト(最大5個)</v>
      </c>
      <c r="F67" s="36">
        <v>48503066</v>
      </c>
      <c r="G67" s="37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37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7" s="37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37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37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37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37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37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5001</v>
      </c>
      <c r="O67" s="37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36"/>
      <c r="Q67" s="36"/>
      <c r="R67" s="40" t="s">
        <v>282</v>
      </c>
      <c r="S67" s="40" t="s">
        <v>311</v>
      </c>
    </row>
    <row r="68" spans="1:19" ht="21" customHeight="1" x14ac:dyDescent="0.15">
      <c r="A68" s="28" t="str">
        <f t="shared" si="1"/>
        <v>48503016_48503067</v>
      </c>
      <c r="B68" s="36">
        <v>48503016</v>
      </c>
      <c r="C68" s="36">
        <v>48503067</v>
      </c>
      <c r="D68" s="35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ガルーダ！ またあたしの邪魔をするのね！</v>
      </c>
      <c r="E68" s="35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ランダムでお邪魔パネルに最大2個変換+_x000D_属性パネルプロテクト(最大5個)</v>
      </c>
      <c r="F68" s="36">
        <v>48503067</v>
      </c>
      <c r="G68" s="37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37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8" s="37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37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37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37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37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37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5002</v>
      </c>
      <c r="O68" s="37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36"/>
      <c r="Q68" s="36"/>
      <c r="R68" s="40" t="s">
        <v>283</v>
      </c>
      <c r="S68" s="40" t="s">
        <v>312</v>
      </c>
    </row>
    <row r="69" spans="1:19" ht="21" customHeight="1" x14ac:dyDescent="0.15">
      <c r="A69" s="28" t="str">
        <f t="shared" si="1"/>
        <v>48503016_48503068</v>
      </c>
      <c r="B69" s="36">
        <v>48503016</v>
      </c>
      <c r="C69" s="36">
        <v>48503068</v>
      </c>
      <c r="D69" s="35" t="str">
        <f ca="1">VLOOKUP($C69,OFFSET(enemy_skills!$A$1,0,0,COUNTA(enemy_skills!$A:$A),MATCH(D$1,enemy_skills!$1:$1,0)-MATCH("enemy_skill_id",enemy_skills!$1:$1,0)+1),MATCH(D$1,enemy_skills!$1:$1,0)-MATCH("enemy_skill_id",enemy_skills!$1:$1,0)+1,FALSE)</f>
        <v>杖よ！ あたしに力を！</v>
      </c>
      <c r="E69" s="35" t="str">
        <f ca="1">VLOOKUP($C69,OFFSET(enemy_skills!$A$1,0,0,COUNTA(enemy_skills!$A:$A),MATCH(E$1,enemy_skills!$1:$1,0)-MATCH("enemy_skill_id",enemy_skills!$1:$1,0)+1),MATCH(E$1,enemy_skills!$1:$1,0)-MATCH("enemy_skill_id",enemy_skills!$1:$1,0)+1,FALSE)</f>
        <v>2ターンお邪魔パネルを吸収して攻撃力UP+_x000D_2ターン行動頻度UP</v>
      </c>
      <c r="F69" s="36">
        <v>48503068</v>
      </c>
      <c r="G69" s="37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37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69" s="37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37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37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37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37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9" s="37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37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36"/>
      <c r="Q69" s="36"/>
      <c r="R69" s="40" t="s">
        <v>284</v>
      </c>
      <c r="S69" s="40" t="s">
        <v>311</v>
      </c>
    </row>
    <row r="70" spans="1:19" ht="21" customHeight="1" x14ac:dyDescent="0.15">
      <c r="A70" s="28" t="str">
        <f t="shared" si="1"/>
        <v>48503016_48503069</v>
      </c>
      <c r="B70" s="36">
        <v>48503016</v>
      </c>
      <c r="C70" s="36">
        <v>48503069</v>
      </c>
      <c r="D70" s="35" t="str">
        <f ca="1">VLOOKUP($C70,OFFSET(enemy_skills!$A$1,0,0,COUNTA(enemy_skills!$A:$A),MATCH(D$1,enemy_skills!$1:$1,0)-MATCH("enemy_skill_id",enemy_skills!$1:$1,0)+1),MATCH(D$1,enemy_skills!$1:$1,0)-MATCH("enemy_skill_id",enemy_skills!$1:$1,0)+1,FALSE)</f>
        <v>人の子があたしを止められると思ってるの？</v>
      </c>
      <c r="E70" s="35" t="str">
        <f ca="1">VLOOKUP($C70,OFFSET(enemy_skills!$A$1,0,0,COUNTA(enemy_skills!$A:$A),MATCH(E$1,enemy_skills!$1:$1,0)-MATCH("enemy_skill_id",enemy_skills!$1:$1,0)+1),MATCH(E$1,enemy_skills!$1:$1,0)-MATCH("enemy_skill_id",enemy_skills!$1:$1,0)+1,FALSE)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70" s="36">
        <v>48503069</v>
      </c>
      <c r="G70" s="37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37" t="str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0" s="37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0" s="37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37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70" s="37" t="str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" s="37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37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37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0" s="36"/>
      <c r="Q70" s="36"/>
      <c r="R70" s="40" t="s">
        <v>241</v>
      </c>
      <c r="S70" s="40" t="s">
        <v>301</v>
      </c>
    </row>
    <row r="71" spans="1:19" ht="21" customHeight="1" x14ac:dyDescent="0.15">
      <c r="A71" s="28" t="str">
        <f t="shared" si="1"/>
        <v>48503016_48503070</v>
      </c>
      <c r="B71" s="36">
        <v>48503016</v>
      </c>
      <c r="C71" s="36">
        <v>48503070</v>
      </c>
      <c r="D71" s="35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このくらいなら耐えられるよね？</v>
      </c>
      <c r="E71" s="35" t="str">
        <f ca="1">VLOOKUP($C71,OFFSET(enemy_skills!$A$1,0,0,COUNTA(enemy_skills!$A:$A),MATCH(E$1,enemy_skills!$1:$1,0)-MATCH("enemy_skill_id",enemy_skills!$1:$1,0)+1),MATCH(E$1,enemy_skills!$1:$1,0)-MATCH("enemy_skill_id",enemy_skills!$1:$1,0)+1,FALSE)</f>
        <v>2ターン全ユニットの回復力40%DOWN</v>
      </c>
      <c r="F71" s="36">
        <v>48503070</v>
      </c>
      <c r="G71" s="37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37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71" s="37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37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1" s="37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37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37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37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37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36"/>
      <c r="Q71" s="36"/>
      <c r="R71" s="40" t="s">
        <v>243</v>
      </c>
      <c r="S71" s="40" t="s">
        <v>300</v>
      </c>
    </row>
    <row r="72" spans="1:19" ht="21" customHeight="1" x14ac:dyDescent="0.15">
      <c r="A72" s="28" t="str">
        <f t="shared" si="1"/>
        <v>48503016_48503071</v>
      </c>
      <c r="B72" s="36">
        <v>48503016</v>
      </c>
      <c r="C72" s="36">
        <v>48503071</v>
      </c>
      <c r="D72" s="35" t="str">
        <f ca="1">VLOOKUP($C72,OFFSET(enemy_skills!$A$1,0,0,COUNTA(enemy_skills!$A:$A),MATCH(D$1,enemy_skills!$1:$1,0)-MATCH("enemy_skill_id",enemy_skills!$1:$1,0)+1),MATCH(D$1,enemy_skills!$1:$1,0)-MATCH("enemy_skill_id",enemy_skills!$1:$1,0)+1,FALSE)</f>
        <v>人の子があたしを止められると思ってるの？</v>
      </c>
      <c r="E72" s="35" t="str">
        <f ca="1">VLOOKUP($C72,OFFSET(enemy_skills!$A$1,0,0,COUNTA(enemy_skills!$A:$A),MATCH(E$1,enemy_skills!$1:$1,0)-MATCH("enemy_skill_id",enemy_skills!$1:$1,0)+1),MATCH(E$1,enemy_skills!$1:$1,0)-MATCH("enemy_skill_id",enemy_skills!$1:$1,0)+1,FALSE)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72" s="36">
        <v>48503071</v>
      </c>
      <c r="G72" s="37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37" t="str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2" s="37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2" s="37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2" s="37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37" t="str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" s="37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37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37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2" s="36"/>
      <c r="Q72" s="36"/>
      <c r="R72" s="40" t="s">
        <v>243</v>
      </c>
      <c r="S72" s="40" t="s">
        <v>301</v>
      </c>
    </row>
    <row r="73" spans="1:19" ht="21" customHeight="1" x14ac:dyDescent="0.15">
      <c r="A73" s="28" t="str">
        <f t="shared" si="1"/>
        <v>48503017_48503072</v>
      </c>
      <c r="B73" s="36">
        <v>48503017</v>
      </c>
      <c r="C73" s="36">
        <v>48503072</v>
      </c>
      <c r="D73" s="35" t="str">
        <f ca="1">VLOOKUP($C73,OFFSET(enemy_skills!$A$1,0,0,COUNTA(enemy_skills!$A:$A),MATCH(D$1,enemy_skills!$1:$1,0)-MATCH("enemy_skill_id",enemy_skills!$1:$1,0)+1),MATCH(D$1,enemy_skills!$1:$1,0)-MATCH("enemy_skill_id",enemy_skills!$1:$1,0)+1,FALSE)</f>
        <v>あたしが耐えてきたのはこんなものじゃないわ！</v>
      </c>
      <c r="E73" s="35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ランダムでお邪魔パネルに最大3個変換+_x000D_残りHPの30%ダメージ！</v>
      </c>
      <c r="F73" s="36">
        <v>48503072</v>
      </c>
      <c r="G73" s="37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37" t="str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3" s="37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37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37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37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37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37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37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36"/>
      <c r="Q73" s="36"/>
      <c r="R73" s="40" t="s">
        <v>243</v>
      </c>
      <c r="S73" s="40" t="s">
        <v>313</v>
      </c>
    </row>
    <row r="74" spans="1:19" ht="21" customHeight="1" x14ac:dyDescent="0.15">
      <c r="A74" s="28" t="str">
        <f t="shared" si="1"/>
        <v>48503017_48503073</v>
      </c>
      <c r="B74" s="36">
        <v>48503017</v>
      </c>
      <c r="C74" s="36">
        <v>48503073</v>
      </c>
      <c r="D74" s="35" t="str">
        <f ca="1">VLOOKUP($C74,OFFSET(enemy_skills!$A$1,0,0,COUNTA(enemy_skills!$A:$A),MATCH(D$1,enemy_skills!$1:$1,0)-MATCH("enemy_skill_id",enemy_skills!$1:$1,0)+1),MATCH(D$1,enemy_skills!$1:$1,0)-MATCH("enemy_skill_id",enemy_skills!$1:$1,0)+1,FALSE)</f>
        <v>雨って良いと思わない？</v>
      </c>
      <c r="E74" s="35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ランダムでお邪魔パネルに最大2個変換+_x000D_単体攻撃</v>
      </c>
      <c r="F74" s="36">
        <v>48503073</v>
      </c>
      <c r="G74" s="37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37" t="str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4" s="37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74" s="37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37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74" s="37" t="str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4" s="37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37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37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74" s="36"/>
      <c r="Q74" s="36"/>
      <c r="R74" s="40" t="s">
        <v>248</v>
      </c>
      <c r="S74" s="40" t="s">
        <v>309</v>
      </c>
    </row>
    <row r="75" spans="1:19" ht="21" customHeight="1" x14ac:dyDescent="0.15">
      <c r="A75" s="28" t="str">
        <f t="shared" si="1"/>
        <v>48503017_48503074</v>
      </c>
      <c r="B75" s="36">
        <v>48503017</v>
      </c>
      <c r="C75" s="36">
        <v>48503074</v>
      </c>
      <c r="D75" s="35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あたしは雨がだーいすきっ！</v>
      </c>
      <c r="E75" s="35" t="str">
        <f ca="1">VLOOKUP($C75,OFFSET(enemy_skills!$A$1,0,0,COUNTA(enemy_skills!$A:$A),MATCH(E$1,enemy_skills!$1:$1,0)-MATCH("enemy_skill_id",enemy_skills!$1:$1,0)+1),MATCH(E$1,enemy_skills!$1:$1,0)-MATCH("enemy_skill_id",enemy_skills!$1:$1,0)+1,FALSE)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ランダムでお邪魔パネルに最大2個変換+_x000D_2回連続攻撃</v>
      </c>
      <c r="F75" s="36">
        <v>48503074</v>
      </c>
      <c r="G75" s="37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37" t="str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5" s="37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75" s="37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37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75" s="37" t="str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5" s="37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37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37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75" s="36"/>
      <c r="Q75" s="36"/>
      <c r="R75" s="40" t="s">
        <v>249</v>
      </c>
      <c r="S75" s="40" t="s">
        <v>300</v>
      </c>
    </row>
    <row r="76" spans="1:19" ht="21" customHeight="1" x14ac:dyDescent="0.15">
      <c r="A76" s="28" t="str">
        <f t="shared" si="1"/>
        <v>48503017_48503075</v>
      </c>
      <c r="B76" s="36">
        <v>48503017</v>
      </c>
      <c r="C76" s="36">
        <v>48503075</v>
      </c>
      <c r="D76" s="35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みんな！ やっちゃって！</v>
      </c>
      <c r="E76" s="35" t="str">
        <f ca="1">VLOOKUP($C76,OFFSET(enemy_skills!$A$1,0,0,COUNTA(enemy_skills!$A:$A),MATCH(E$1,enemy_skills!$1:$1,0)-MATCH("enemy_skill_id",enemy_skills!$1:$1,0)+1),MATCH(E$1,enemy_skills!$1:$1,0)-MATCH("enemy_skill_id",enemy_skills!$1:$1,0)+1,FALSE)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76" s="36">
        <v>48503075</v>
      </c>
      <c r="G76" s="37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37" t="str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6" s="37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76" s="37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37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76" s="37" t="str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6" s="37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37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37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76" s="36"/>
      <c r="Q76" s="36"/>
      <c r="R76" s="40" t="s">
        <v>249</v>
      </c>
      <c r="S76" s="40" t="s">
        <v>301</v>
      </c>
    </row>
    <row r="77" spans="1:19" ht="21" customHeight="1" x14ac:dyDescent="0.15">
      <c r="A77" s="28" t="str">
        <f t="shared" si="1"/>
        <v>48503017_48503076</v>
      </c>
      <c r="B77" s="36">
        <v>48503017</v>
      </c>
      <c r="C77" s="36">
        <v>48503076</v>
      </c>
      <c r="D77" s="35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ヘビに睨まれたカエルって知ってる？</v>
      </c>
      <c r="E77" s="35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ランダムでお邪魔パネルに最大3個変換+_x000D_単体攻撃</v>
      </c>
      <c r="F77" s="36">
        <v>48503076</v>
      </c>
      <c r="G77" s="37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37" t="str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7" s="37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37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7" s="37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37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37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37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37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36"/>
      <c r="Q77" s="36"/>
      <c r="R77" s="40" t="s">
        <v>249</v>
      </c>
      <c r="S77" s="40" t="s">
        <v>313</v>
      </c>
    </row>
    <row r="78" spans="1:19" ht="21" customHeight="1" x14ac:dyDescent="0.15">
      <c r="A78" s="28" t="str">
        <f t="shared" si="1"/>
        <v>48503017_48503077</v>
      </c>
      <c r="B78" s="36">
        <v>48503017</v>
      </c>
      <c r="C78" s="36">
        <v>48503077</v>
      </c>
      <c r="D78" s="35" t="str">
        <f ca="1">VLOOKUP($C78,OFFSET(enemy_skills!$A$1,0,0,COUNTA(enemy_skills!$A:$A),MATCH(D$1,enemy_skills!$1:$1,0)-MATCH("enemy_skill_id",enemy_skills!$1:$1,0)+1),MATCH(D$1,enemy_skills!$1:$1,0)-MATCH("enemy_skill_id",enemy_skills!$1:$1,0)+1,FALSE)</f>
        <v>雨って良いと思わない？</v>
      </c>
      <c r="E78" s="35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ランダムでお邪魔パネルに最大2個変換+_x000D_単体攻撃</v>
      </c>
      <c r="F78" s="36">
        <v>48503077</v>
      </c>
      <c r="G78" s="37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37" t="str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8" s="37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78" s="37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8" s="37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37" t="str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8" s="37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37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37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78" s="36"/>
      <c r="Q78" s="36"/>
      <c r="R78" s="40" t="s">
        <v>249</v>
      </c>
      <c r="S78" s="40" t="s">
        <v>251</v>
      </c>
    </row>
    <row r="79" spans="1:19" ht="21" customHeight="1" x14ac:dyDescent="0.15">
      <c r="A79" s="28" t="str">
        <f t="shared" si="1"/>
        <v>48503017_48503078</v>
      </c>
      <c r="B79" s="36">
        <v>48503017</v>
      </c>
      <c r="C79" s="36">
        <v>48503078</v>
      </c>
      <c r="D79" s="35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あたしは雨がだーいすきっ！</v>
      </c>
      <c r="E79" s="35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ランダムでお邪魔パネルに2個変換+_x000D_2回連続攻撃</v>
      </c>
      <c r="F79" s="36">
        <v>48503078</v>
      </c>
      <c r="G79" s="37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37" t="str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9" s="37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79" s="37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79" s="37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37" t="str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9" s="37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37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37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79" s="36"/>
      <c r="Q79" s="36"/>
      <c r="R79" s="40" t="s">
        <v>314</v>
      </c>
      <c r="S79" s="40" t="s">
        <v>315</v>
      </c>
    </row>
    <row r="80" spans="1:19" ht="21" customHeight="1" x14ac:dyDescent="0.15">
      <c r="A80" s="28" t="str">
        <f t="shared" si="1"/>
        <v>48503017_48503079</v>
      </c>
      <c r="B80" s="36">
        <v>48503017</v>
      </c>
      <c r="C80" s="36">
        <v>48503079</v>
      </c>
      <c r="D80" s="35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みんな！ やっちゃって！</v>
      </c>
      <c r="E80" s="35" t="str">
        <f ca="1">VLOOKUP($C80,OFFSET(enemy_skills!$A$1,0,0,COUNTA(enemy_skills!$A:$A),MATCH(E$1,enemy_skills!$1:$1,0)-MATCH("enemy_skill_id",enemy_skills!$1:$1,0)+1),MATCH(E$1,enemy_skills!$1:$1,0)-MATCH("enemy_skill_id",enemy_skills!$1:$1,0)+1,FALSE)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80" s="36">
        <v>48503079</v>
      </c>
      <c r="G80" s="37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37" t="str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0" s="37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80" s="37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0" s="37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37" t="str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0" s="37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37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37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80" s="36"/>
      <c r="Q80" s="36"/>
      <c r="R80" s="40" t="s">
        <v>257</v>
      </c>
      <c r="S80" s="40" t="s">
        <v>316</v>
      </c>
    </row>
    <row r="81" spans="1:19" ht="21" customHeight="1" x14ac:dyDescent="0.15">
      <c r="A81" s="28" t="str">
        <f t="shared" si="1"/>
        <v>48503017_48503080</v>
      </c>
      <c r="B81" s="36">
        <v>48503017</v>
      </c>
      <c r="C81" s="36">
        <v>48503080</v>
      </c>
      <c r="D81" s="35" t="str">
        <f ca="1">VLOOKUP($C81,OFFSET(enemy_skills!$A$1,0,0,COUNTA(enemy_skills!$A:$A),MATCH(D$1,enemy_skills!$1:$1,0)-MATCH("enemy_skill_id",enemy_skills!$1:$1,0)+1),MATCH(D$1,enemy_skills!$1:$1,0)-MATCH("enemy_skill_id",enemy_skills!$1:$1,0)+1,FALSE)</f>
        <v>杖よ！ あたしに癒しを！</v>
      </c>
      <c r="E81" s="35" t="str">
        <f ca="1">VLOOKUP($C81,OFFSET(enemy_skills!$A$1,0,0,COUNTA(enemy_skills!$A:$A),MATCH(E$1,enemy_skills!$1:$1,0)-MATCH("enemy_skill_id",enemy_skills!$1:$1,0)+1),MATCH(E$1,enemy_skills!$1:$1,0)-MATCH("enemy_skill_id",enemy_skills!$1:$1,0)+1,FALSE)</f>
        <v>お邪魔パネルを吸収して回復</v>
      </c>
      <c r="F81" s="36">
        <v>48503080</v>
      </c>
      <c r="G81" s="37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37" t="str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1" s="37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81" s="37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1" s="37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37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37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37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37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81" s="36"/>
      <c r="Q81" s="36"/>
      <c r="R81" s="40" t="s">
        <v>257</v>
      </c>
      <c r="S81" s="40" t="s">
        <v>258</v>
      </c>
    </row>
    <row r="82" spans="1:19" ht="21" customHeight="1" x14ac:dyDescent="0.15">
      <c r="A82" s="28" t="str">
        <f t="shared" si="1"/>
        <v>48503018_48503081</v>
      </c>
      <c r="B82" s="36">
        <v>48503018</v>
      </c>
      <c r="C82" s="36">
        <v>48503081</v>
      </c>
      <c r="D82" s="35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あたしが好きな世界を作りたいだけなのに！</v>
      </c>
      <c r="E82" s="35" t="str">
        <f ca="1">VLOOKUP($C82,OFFSET(enemy_skills!$A$1,0,0,COUNTA(enemy_skills!$A:$A),MATCH(E$1,enemy_skills!$1:$1,0)-MATCH("enemy_skill_id",enemy_skills!$1:$1,0)+1),MATCH(E$1,enemy_skills!$1:$1,0)-MATCH("enemy_skill_id",enemy_skills!$1:$1,0)+1,FALSE)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ランダムでお邪魔パネルに最大3個変換+_x000D_2ターン全ユニットの攻撃力20%DOWN+_x000D_2ターン行動頻度UP</v>
      </c>
      <c r="F82" s="36">
        <v>48503081</v>
      </c>
      <c r="G82" s="37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2" s="37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2" s="37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37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37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37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37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37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37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36"/>
      <c r="Q82" s="36"/>
      <c r="R82" s="40" t="s">
        <v>257</v>
      </c>
      <c r="S82" s="40" t="s">
        <v>313</v>
      </c>
    </row>
    <row r="83" spans="1:19" ht="21" customHeight="1" x14ac:dyDescent="0.15">
      <c r="A83" s="28" t="str">
        <f t="shared" si="1"/>
        <v>48503018_48503082</v>
      </c>
      <c r="B83" s="36">
        <v>48503018</v>
      </c>
      <c r="C83" s="36">
        <v>48503082</v>
      </c>
      <c r="D83" s="35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ガルーダ…あなただけは絶対に許さない！</v>
      </c>
      <c r="E83" s="35" t="str">
        <f ca="1">VLOOKUP($C83,OFFSET(enemy_skills!$A$1,0,0,COUNTA(enemy_skills!$A:$A),MATCH(E$1,enemy_skills!$1:$1,0)-MATCH("enemy_skill_id",enemy_skills!$1:$1,0)+1),MATCH(E$1,enemy_skills!$1:$1,0)-MATCH("enemy_skill_id",enemy_skills!$1:$1,0)+1,FALSE)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ランダムでお邪魔パネルに最大3個変換+_x000D_2ターン全ユニットの攻撃力20%DOWN+_x000D_2ターン行動頻度UP</v>
      </c>
      <c r="F83" s="36">
        <v>48503082</v>
      </c>
      <c r="G83" s="37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3" s="37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83" s="37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37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37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37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37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37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5001</v>
      </c>
      <c r="O83" s="37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36"/>
      <c r="Q83" s="36"/>
      <c r="R83" s="40" t="s">
        <v>285</v>
      </c>
      <c r="S83" s="40" t="s">
        <v>317</v>
      </c>
    </row>
    <row r="84" spans="1:19" ht="21" customHeight="1" x14ac:dyDescent="0.15">
      <c r="A84" s="28" t="str">
        <f t="shared" si="1"/>
        <v>48503018_48503083</v>
      </c>
      <c r="B84" s="36">
        <v>48503018</v>
      </c>
      <c r="C84" s="36">
        <v>48503083</v>
      </c>
      <c r="D84" s="35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ガルーダ…あなただけは絶対に許さない！</v>
      </c>
      <c r="E84" s="35" t="str">
        <f ca="1">VLOOKUP($C84,OFFSET(enemy_skills!$A$1,0,0,COUNTA(enemy_skills!$A:$A),MATCH(E$1,enemy_skills!$1:$1,0)-MATCH("enemy_skill_id",enemy_skills!$1:$1,0)+1),MATCH(E$1,enemy_skills!$1:$1,0)-MATCH("enemy_skill_id",enemy_skills!$1:$1,0)+1,FALSE)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ランダムでお邪魔パネルに最大3個変換+_x000D_2ターン全ユニットの攻撃力20%DOWN+_x000D_2ターン行動頻度UP</v>
      </c>
      <c r="F84" s="36">
        <v>48503083</v>
      </c>
      <c r="G84" s="37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4" s="37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4" s="37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37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37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37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37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37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5002</v>
      </c>
      <c r="O84" s="37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36"/>
      <c r="Q84" s="36"/>
      <c r="R84" s="40" t="s">
        <v>262</v>
      </c>
      <c r="S84" s="40" t="s">
        <v>318</v>
      </c>
    </row>
    <row r="85" spans="1:19" ht="21" customHeight="1" x14ac:dyDescent="0.15">
      <c r="A85" s="28" t="str">
        <f t="shared" si="1"/>
        <v>48503018_48503084</v>
      </c>
      <c r="B85" s="36">
        <v>48503018</v>
      </c>
      <c r="C85" s="36">
        <v>48503084</v>
      </c>
      <c r="D85" s="35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みんな！ 一緒にいくよ！</v>
      </c>
      <c r="E85" s="35" t="str">
        <f ca="1">VLOOKUP($C85,OFFSET(enemy_skills!$A$1,0,0,COUNTA(enemy_skills!$A:$A),MATCH(E$1,enemy_skills!$1:$1,0)-MATCH("enemy_skill_id",enemy_skills!$1:$1,0)+1),MATCH(E$1,enemy_skills!$1:$1,0)-MATCH("enemy_skill_id",enemy_skills!$1:$1,0)+1,FALSE)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ランダムでお邪魔パネルに最大2個変換+_x000D_全体攻撃</v>
      </c>
      <c r="F85" s="36">
        <v>48503084</v>
      </c>
      <c r="G85" s="37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37" t="str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5" s="37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85" s="37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37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85" s="37" t="str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5" s="37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37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37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85" s="36"/>
      <c r="Q85" s="36"/>
      <c r="R85" s="40" t="s">
        <v>262</v>
      </c>
      <c r="S85" s="40" t="s">
        <v>319</v>
      </c>
    </row>
    <row r="86" spans="1:19" ht="21" customHeight="1" x14ac:dyDescent="0.15">
      <c r="A86" s="28" t="str">
        <f t="shared" si="1"/>
        <v>48503018_48503085</v>
      </c>
      <c r="B86" s="36">
        <v>48503018</v>
      </c>
      <c r="C86" s="36">
        <v>48503085</v>
      </c>
      <c r="D86" s="35" t="str">
        <f ca="1">VLOOKUP($C86,OFFSET(enemy_skills!$A$1,0,0,COUNTA(enemy_skills!$A:$A),MATCH(D$1,enemy_skills!$1:$1,0)-MATCH("enemy_skill_id",enemy_skills!$1:$1,0)+1),MATCH(D$1,enemy_skills!$1:$1,0)-MATCH("enemy_skill_id",enemy_skills!$1:$1,0)+1,FALSE)</f>
        <v>好きにはさせないわよ！</v>
      </c>
      <c r="E86" s="35" t="str">
        <f ca="1">VLOOKUP($C86,OFFSET(enemy_skills!$A$1,0,0,COUNTA(enemy_skills!$A:$A),MATCH(E$1,enemy_skills!$1:$1,0)-MATCH("enemy_skill_id",enemy_skills!$1:$1,0)+1),MATCH(E$1,enemy_skills!$1:$1,0)-MATCH("enemy_skill_id",enemy_skills!$1:$1,0)+1,FALSE)</f>
        <v>属性パネルプロテクト(最大5個)</v>
      </c>
      <c r="F86" s="36">
        <v>48503085</v>
      </c>
      <c r="G86" s="37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37" t="str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6" s="37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86" s="37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37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86" s="37" t="str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6" s="37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37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37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86" s="36"/>
      <c r="Q86" s="36"/>
      <c r="R86" s="40" t="s">
        <v>262</v>
      </c>
      <c r="S86" s="40" t="s">
        <v>251</v>
      </c>
    </row>
    <row r="87" spans="1:19" ht="21" customHeight="1" x14ac:dyDescent="0.15">
      <c r="A87" s="28" t="str">
        <f t="shared" si="1"/>
        <v>48503018_48503086</v>
      </c>
      <c r="B87" s="36">
        <v>48503018</v>
      </c>
      <c r="C87" s="36">
        <v>48503086</v>
      </c>
      <c r="D87" s="35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みんな！ 思いっきりやっちゃって！</v>
      </c>
      <c r="E87" s="35" t="str">
        <f ca="1">VLOOKUP($C87,OFFSET(enemy_skills!$A$1,0,0,COUNTA(enemy_skills!$A:$A),MATCH(E$1,enemy_skills!$1:$1,0)-MATCH("enemy_skill_id",enemy_skills!$1:$1,0)+1),MATCH(E$1,enemy_skills!$1:$1,0)-MATCH("enemy_skill_id",enemy_skills!$1:$1,0)+1,FALSE)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87" s="36">
        <v>48503086</v>
      </c>
      <c r="G87" s="37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37" t="str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7" s="37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87" s="37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37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87" s="37" t="str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7" s="37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37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37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87" s="36"/>
      <c r="Q87" s="36"/>
      <c r="R87" s="40" t="s">
        <v>264</v>
      </c>
      <c r="S87" s="40" t="s">
        <v>320</v>
      </c>
    </row>
    <row r="88" spans="1:19" ht="21" customHeight="1" x14ac:dyDescent="0.15">
      <c r="A88" s="28" t="str">
        <f t="shared" si="1"/>
        <v>48503018_48503087</v>
      </c>
      <c r="B88" s="36">
        <v>48503018</v>
      </c>
      <c r="C88" s="36">
        <v>48503087</v>
      </c>
      <c r="D88" s="35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これは耐えられないよね？</v>
      </c>
      <c r="E88" s="35" t="str">
        <f ca="1">VLOOKUP($C88,OFFSET(enemy_skills!$A$1,0,0,COUNTA(enemy_skills!$A:$A),MATCH(E$1,enemy_skills!$1:$1,0)-MATCH("enemy_skill_id",enemy_skills!$1:$1,0)+1),MATCH(E$1,enemy_skills!$1:$1,0)-MATCH("enemy_skill_id",enemy_skills!$1:$1,0)+1,FALSE)</f>
        <v>5ターン全ユニットの回復力60%DOWN</v>
      </c>
      <c r="F88" s="36">
        <v>48503087</v>
      </c>
      <c r="G88" s="37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37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88" s="37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37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75</v>
      </c>
      <c r="K88" s="37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37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37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37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37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36"/>
      <c r="Q88" s="36"/>
      <c r="R88" s="40" t="s">
        <v>266</v>
      </c>
      <c r="S88" s="40" t="s">
        <v>321</v>
      </c>
    </row>
    <row r="89" spans="1:19" ht="21" customHeight="1" x14ac:dyDescent="0.15">
      <c r="A89" s="28" t="str">
        <f t="shared" si="1"/>
        <v>48503018_48503088</v>
      </c>
      <c r="B89" s="36">
        <v>48503018</v>
      </c>
      <c r="C89" s="36">
        <v>48503088</v>
      </c>
      <c r="D89" s="35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みんな！ まだまだいくよ！</v>
      </c>
      <c r="E89" s="35" t="str">
        <f ca="1">VLOOKUP($C89,OFFSET(enemy_skills!$A$1,0,0,COUNTA(enemy_skills!$A:$A),MATCH(E$1,enemy_skills!$1:$1,0)-MATCH("enemy_skill_id",enemy_skills!$1:$1,0)+1),MATCH(E$1,enemy_skills!$1:$1,0)-MATCH("enemy_skill_id",enemy_skills!$1:$1,0)+1,FALSE)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ランダムでお邪魔パネルに最大2個変換+_x000D_4回連続攻撃</v>
      </c>
      <c r="F89" s="36">
        <v>48503088</v>
      </c>
      <c r="G89" s="37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37" t="str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9" s="37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89" s="37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9" s="37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37" t="str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9" s="37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37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37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89" s="36"/>
      <c r="Q89" s="36"/>
      <c r="R89" s="40" t="s">
        <v>266</v>
      </c>
      <c r="S89" s="40" t="s">
        <v>322</v>
      </c>
    </row>
    <row r="90" spans="1:19" ht="21" customHeight="1" x14ac:dyDescent="0.15">
      <c r="A90" s="28" t="str">
        <f t="shared" si="1"/>
        <v>48503018_48503089</v>
      </c>
      <c r="B90" s="36">
        <v>48503018</v>
      </c>
      <c r="C90" s="36">
        <v>48503089</v>
      </c>
      <c r="D90" s="35" t="str">
        <f ca="1">VLOOKUP($C90,OFFSET(enemy_skills!$A$1,0,0,COUNTA(enemy_skills!$A:$A),MATCH(D$1,enemy_skills!$1:$1,0)-MATCH("enemy_skill_id",enemy_skills!$1:$1,0)+1),MATCH(D$1,enemy_skills!$1:$1,0)-MATCH("enemy_skill_id",enemy_skills!$1:$1,0)+1,FALSE)</f>
        <v>杖よ！ 薙ぎ払って！</v>
      </c>
      <c r="E90" s="35" t="str">
        <f ca="1">VLOOKUP($C90,OFFSET(enemy_skills!$A$1,0,0,COUNTA(enemy_skills!$A:$A),MATCH(E$1,enemy_skills!$1:$1,0)-MATCH("enemy_skill_id",enemy_skills!$1:$1,0)+1),MATCH(E$1,enemy_skills!$1:$1,0)-MATCH("enemy_skill_id",enemy_skills!$1:$1,0)+1,FALSE)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90" s="36">
        <v>48503089</v>
      </c>
      <c r="G90" s="37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37" t="str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0" s="37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90" s="37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0" s="37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37" t="str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0" s="37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37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37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90" s="36"/>
      <c r="Q90" s="36"/>
      <c r="R90" s="40" t="s">
        <v>266</v>
      </c>
      <c r="S90" s="40" t="s">
        <v>322</v>
      </c>
    </row>
    <row r="91" spans="1:19" ht="21" customHeight="1" x14ac:dyDescent="0.15">
      <c r="A91" s="28" t="str">
        <f t="shared" si="1"/>
        <v>48503018_48503090</v>
      </c>
      <c r="B91" s="36">
        <v>48503018</v>
      </c>
      <c r="C91" s="36">
        <v>48503090</v>
      </c>
      <c r="D91" s="35" t="str">
        <f ca="1">VLOOKUP($C91,OFFSET(enemy_skills!$A$1,0,0,COUNTA(enemy_skills!$A:$A),MATCH(D$1,enemy_skills!$1:$1,0)-MATCH("enemy_skill_id",enemy_skills!$1:$1,0)+1),MATCH(D$1,enemy_skills!$1:$1,0)-MATCH("enemy_skill_id",enemy_skills!$1:$1,0)+1,FALSE)</f>
        <v>杖よ！ あたしに更なる癒しを！</v>
      </c>
      <c r="E91" s="35" t="str">
        <f ca="1">VLOOKUP($C91,OFFSET(enemy_skills!$A$1,0,0,COUNTA(enemy_skills!$A:$A),MATCH(E$1,enemy_skills!$1:$1,0)-MATCH("enemy_skill_id",enemy_skills!$1:$1,0)+1),MATCH(E$1,enemy_skills!$1:$1,0)-MATCH("enemy_skill_id",enemy_skills!$1:$1,0)+1,FALSE)</f>
        <v>お邪魔パネルを吸収して回復</v>
      </c>
      <c r="F91" s="36">
        <v>48503090</v>
      </c>
      <c r="G91" s="37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37" t="str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1" s="37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91" s="37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1" s="37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37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37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37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37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91" s="36"/>
      <c r="Q91" s="36"/>
      <c r="R91" s="40" t="s">
        <v>266</v>
      </c>
      <c r="S91" s="40" t="s">
        <v>322</v>
      </c>
    </row>
    <row r="92" spans="1:19" ht="21" customHeight="1" x14ac:dyDescent="0.15">
      <c r="A92" s="28" t="str">
        <f t="shared" si="1"/>
        <v>48503018_48503091</v>
      </c>
      <c r="B92" s="36">
        <v>48503018</v>
      </c>
      <c r="C92" s="36">
        <v>48503091</v>
      </c>
      <c r="D92" s="35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きっついの…いくわよ！</v>
      </c>
      <c r="E92" s="35" t="str">
        <f ca="1">VLOOKUP($C92,OFFSET(enemy_skills!$A$1,0,0,COUNTA(enemy_skills!$A:$A),MATCH(E$1,enemy_skills!$1:$1,0)-MATCH("enemy_skill_id",enemy_skills!$1:$1,0)+1),MATCH(E$1,enemy_skills!$1:$1,0)-MATCH("enemy_skill_id",enemy_skills!$1:$1,0)+1,FALSE)</f>
        <v>ランダムでお邪魔パネルに最大3個変換+_x000D_属性パネルプロテクト(最大10個)</v>
      </c>
      <c r="F92" s="36">
        <v>48503091</v>
      </c>
      <c r="G92" s="37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37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92" s="37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37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2" s="37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37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37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37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37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36"/>
      <c r="Q92" s="36"/>
      <c r="R92" s="40" t="s">
        <v>266</v>
      </c>
      <c r="S92" s="40" t="s">
        <v>322</v>
      </c>
    </row>
    <row r="93" spans="1:19" ht="21" customHeight="1" x14ac:dyDescent="0.15">
      <c r="A93" s="28" t="str">
        <f t="shared" si="1"/>
        <v>48503018_48503092</v>
      </c>
      <c r="B93" s="36">
        <v>48503018</v>
      </c>
      <c r="C93" s="36">
        <v>48503092</v>
      </c>
      <c r="D93" s="35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あたしを……本気にさせたわね</v>
      </c>
      <c r="E93" s="35" t="str">
        <f ca="1">VLOOKUP($C93,OFFSET(enemy_skills!$A$1,0,0,COUNTA(enemy_skills!$A:$A),MATCH(E$1,enemy_skills!$1:$1,0)-MATCH("enemy_skill_id",enemy_skills!$1:$1,0)+1),MATCH(E$1,enemy_skills!$1:$1,0)-MATCH("enemy_skill_id",enemy_skills!$1:$1,0)+1,FALSE)</f>
        <v>次ターン青パネルを吸収して全体攻撃</v>
      </c>
      <c r="F93" s="36">
        <v>48503092</v>
      </c>
      <c r="G93" s="37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37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93" s="37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37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93" s="37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37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37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37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37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36"/>
      <c r="Q93" s="36"/>
      <c r="R93" s="40" t="s">
        <v>266</v>
      </c>
      <c r="S93" s="40" t="s">
        <v>322</v>
      </c>
    </row>
    <row r="94" spans="1:19" ht="21" customHeight="1" x14ac:dyDescent="0.15">
      <c r="A94" s="28" t="str">
        <f t="shared" si="1"/>
        <v>48503018_48503093</v>
      </c>
      <c r="B94" s="36">
        <v>48503018</v>
      </c>
      <c r="C94" s="36">
        <v>48503093</v>
      </c>
      <c r="D94" s="35" t="str">
        <f ca="1">VLOOKUP($C94,OFFSET(enemy_skills!$A$1,0,0,COUNTA(enemy_skills!$A:$A),MATCH(D$1,enemy_skills!$1:$1,0)-MATCH("enemy_skill_id",enemy_skills!$1:$1,0)+1),MATCH(D$1,enemy_skills!$1:$1,0)-MATCH("enemy_skill_id",enemy_skills!$1:$1,0)+1,FALSE)</f>
        <v>干ばつの恐ろしさを教えてあげる</v>
      </c>
      <c r="E94" s="35" t="str">
        <f ca="1">VLOOKUP($C94,OFFSET(enemy_skills!$A$1,0,0,COUNTA(enemy_skills!$A:$A),MATCH(E$1,enemy_skills!$1:$1,0)-MATCH("enemy_skill_id",enemy_skills!$1:$1,0)+1),MATCH(E$1,enemy_skills!$1:$1,0)-MATCH("enemy_skill_id",enemy_skills!$1:$1,0)+1,FALSE)</f>
        <v>青パネルを吸収して全体攻撃+_x000D_青パネルが出現しない</v>
      </c>
      <c r="F94" s="36">
        <v>48503093</v>
      </c>
      <c r="G94" s="37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37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94" s="37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37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25</v>
      </c>
      <c r="K94" s="37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37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37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37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37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36"/>
      <c r="Q94" s="36"/>
      <c r="R94" s="40" t="s">
        <v>266</v>
      </c>
      <c r="S94" s="40" t="s">
        <v>322</v>
      </c>
    </row>
    <row r="95" spans="1:19" ht="21" customHeight="1" x14ac:dyDescent="0.15">
      <c r="A95" s="28" t="str">
        <f t="shared" si="1"/>
        <v>48503018_48503094</v>
      </c>
      <c r="B95" s="36">
        <v>48503018</v>
      </c>
      <c r="C95" s="36">
        <v>48503094</v>
      </c>
      <c r="D95" s="35" t="str">
        <f ca="1">VLOOKUP($C95,OFFSET(enemy_skills!$A$1,0,0,COUNTA(enemy_skills!$A:$A),MATCH(D$1,enemy_skills!$1:$1,0)-MATCH("enemy_skill_id",enemy_skills!$1:$1,0)+1),MATCH(D$1,enemy_skills!$1:$1,0)-MATCH("enemy_skill_id",enemy_skills!$1:$1,0)+1,FALSE)</f>
        <v>雨…好きなんだけどなぁ</v>
      </c>
      <c r="E95" s="35" t="str">
        <f ca="1">VLOOKUP($C95,OFFSET(enemy_skills!$A$1,0,0,COUNTA(enemy_skills!$A:$A),MATCH(E$1,enemy_skills!$1:$1,0)-MATCH("enemy_skill_id",enemy_skills!$1:$1,0)+1),MATCH(E$1,enemy_skills!$1:$1,0)-MATCH("enemy_skill_id",enemy_skills!$1:$1,0)+1,FALSE)</f>
        <v>あなたは…雨は…きらい？</v>
      </c>
      <c r="F95" s="36">
        <v>48503094</v>
      </c>
      <c r="G95" s="37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37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95" s="37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37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37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37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5" s="37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37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5" s="37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36"/>
      <c r="Q95" s="36"/>
      <c r="R95" s="40" t="s">
        <v>266</v>
      </c>
      <c r="S95" s="40" t="s">
        <v>322</v>
      </c>
    </row>
    <row r="96" spans="1:19" ht="21" customHeight="1" x14ac:dyDescent="0.15">
      <c r="A96" s="28" t="str">
        <f t="shared" si="1"/>
        <v>48503018_48503095</v>
      </c>
      <c r="B96" s="36">
        <v>48503018</v>
      </c>
      <c r="C96" s="36">
        <v>48503095</v>
      </c>
      <c r="D96" s="35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あたしが雨好きなの知ってるでしょ？</v>
      </c>
      <c r="E96" s="35" t="str">
        <f ca="1">VLOOKUP($C96,OFFSET(enemy_skills!$A$1,0,0,COUNTA(enemy_skills!$A:$A),MATCH(E$1,enemy_skills!$1:$1,0)-MATCH("enemy_skill_id",enemy_skills!$1:$1,0)+1),MATCH(E$1,enemy_skills!$1:$1,0)-MATCH("enemy_skill_id",enemy_skills!$1:$1,0)+1,FALSE)</f>
        <v>うん…ガルーダ…あとはお願いね</v>
      </c>
      <c r="F96" s="36">
        <v>48503095</v>
      </c>
      <c r="G96" s="37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37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6</v>
      </c>
      <c r="I96" s="37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37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37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37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6" s="37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37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5001</v>
      </c>
      <c r="O96" s="37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36"/>
      <c r="Q96" s="36"/>
      <c r="R96" s="40" t="s">
        <v>266</v>
      </c>
      <c r="S96" s="40" t="s">
        <v>322</v>
      </c>
    </row>
    <row r="97" spans="1:19" ht="21" customHeight="1" x14ac:dyDescent="0.15">
      <c r="A97" s="28" t="str">
        <f t="shared" si="1"/>
        <v>48503018_48503096</v>
      </c>
      <c r="B97" s="36">
        <v>48503018</v>
      </c>
      <c r="C97" s="36">
        <v>48503096</v>
      </c>
      <c r="D97" s="35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あたしが雨好きなの知ってるでしょ？</v>
      </c>
      <c r="E97" s="35" t="str">
        <f ca="1">VLOOKUP($C97,OFFSET(enemy_skills!$A$1,0,0,COUNTA(enemy_skills!$A:$A),MATCH(E$1,enemy_skills!$1:$1,0)-MATCH("enemy_skill_id",enemy_skills!$1:$1,0)+1),MATCH(E$1,enemy_skills!$1:$1,0)-MATCH("enemy_skill_id",enemy_skills!$1:$1,0)+1,FALSE)</f>
        <v>うん…ガルーダ…あとはお願いね</v>
      </c>
      <c r="F97" s="36">
        <v>48503096</v>
      </c>
      <c r="G97" s="37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37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7</v>
      </c>
      <c r="I97" s="37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37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37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37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7" s="37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37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5002</v>
      </c>
      <c r="O97" s="37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36"/>
      <c r="Q97" s="36"/>
      <c r="R97" s="40" t="s">
        <v>266</v>
      </c>
      <c r="S97" s="40" t="s">
        <v>322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topLeftCell="B1" workbookViewId="0">
      <selection activeCell="H11" sqref="H1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53" t="s">
        <v>107</v>
      </c>
      <c r="B1" s="53" t="s">
        <v>108</v>
      </c>
      <c r="C1" s="54" t="s">
        <v>109</v>
      </c>
      <c r="D1" s="60" t="s">
        <v>130</v>
      </c>
      <c r="E1" s="55" t="s">
        <v>110</v>
      </c>
      <c r="F1" s="53" t="s">
        <v>111</v>
      </c>
      <c r="G1" s="53" t="s">
        <v>323</v>
      </c>
      <c r="H1" s="53" t="s">
        <v>170</v>
      </c>
      <c r="I1" s="53" t="s">
        <v>171</v>
      </c>
      <c r="J1" s="53" t="s">
        <v>172</v>
      </c>
      <c r="K1" s="53" t="s">
        <v>173</v>
      </c>
      <c r="L1" s="53" t="s">
        <v>174</v>
      </c>
      <c r="M1" s="53" t="s">
        <v>118</v>
      </c>
      <c r="N1" s="53" t="s">
        <v>119</v>
      </c>
      <c r="O1" s="53" t="s">
        <v>120</v>
      </c>
      <c r="P1" s="53" t="s">
        <v>121</v>
      </c>
      <c r="Q1" s="53" t="s">
        <v>122</v>
      </c>
      <c r="R1" s="53" t="s">
        <v>123</v>
      </c>
    </row>
    <row r="2" spans="1:18" x14ac:dyDescent="0.15">
      <c r="A2" s="46">
        <f>floors!$C$2</f>
        <v>48503</v>
      </c>
      <c r="B2" s="46">
        <v>1</v>
      </c>
      <c r="C2" s="59" t="str">
        <f>A2&amp; "_"&amp;B2</f>
        <v>48503_1</v>
      </c>
      <c r="D2" s="13" t="str">
        <f ca="1">VLOOKUP($C2,OFFSET([2]stages!$A$1,0,0,COUNTA([2]stages!$A:$A),MATCH(D$1,[2]stages!$2:$2,0)-MATCH($C$1,[2]stages!$2:$2,0)+1),MATCH(D$1,[2]stages!$2:$2,0)-MATCH($C$1,[2]stages!$2:$2,0)+1,FALSE)</f>
        <v>everyone</v>
      </c>
      <c r="E2" s="46">
        <v>1</v>
      </c>
      <c r="F2" s="46" t="s">
        <v>124</v>
      </c>
      <c r="G2" s="46">
        <v>40000</v>
      </c>
      <c r="H2" s="46" t="s">
        <v>48</v>
      </c>
      <c r="I2" s="46">
        <v>1</v>
      </c>
      <c r="J2" s="46">
        <v>1</v>
      </c>
      <c r="K2" s="46">
        <v>0</v>
      </c>
      <c r="L2" s="46">
        <v>0</v>
      </c>
      <c r="M2" s="46">
        <v>0</v>
      </c>
      <c r="N2" s="46">
        <v>0</v>
      </c>
      <c r="O2" s="46">
        <v>1</v>
      </c>
      <c r="P2" s="46">
        <v>150</v>
      </c>
      <c r="Q2" s="46" t="s">
        <v>125</v>
      </c>
      <c r="R2" s="46" t="s">
        <v>126</v>
      </c>
    </row>
    <row r="3" spans="1:18" x14ac:dyDescent="0.15">
      <c r="A3" s="46">
        <f>floors!$C$2</f>
        <v>48503</v>
      </c>
      <c r="B3" s="46">
        <v>1</v>
      </c>
      <c r="C3" s="59" t="str">
        <f t="shared" ref="C3:C18" si="0">A3&amp; "_"&amp;B3</f>
        <v>48503_1</v>
      </c>
      <c r="D3" s="13" t="str">
        <f ca="1">VLOOKUP($C3,OFFSET([2]stages!$A$1,0,0,COUNTA([2]stages!$A:$A),MATCH(D$1,[2]stages!$2:$2,0)-MATCH($C$1,[2]stages!$2:$2,0)+1),MATCH(D$1,[2]stages!$2:$2,0)-MATCH($C$1,[2]stages!$2:$2,0)+1,FALSE)</f>
        <v>everyone</v>
      </c>
      <c r="E3" s="46">
        <v>2</v>
      </c>
      <c r="F3" s="46" t="s">
        <v>324</v>
      </c>
      <c r="G3" s="46">
        <v>30</v>
      </c>
      <c r="H3" s="46" t="s">
        <v>48</v>
      </c>
      <c r="I3" s="46">
        <v>1</v>
      </c>
      <c r="J3" s="46">
        <v>1</v>
      </c>
      <c r="K3" s="46">
        <v>0</v>
      </c>
      <c r="L3" s="46">
        <v>0</v>
      </c>
      <c r="M3" s="46">
        <v>0</v>
      </c>
      <c r="N3" s="46">
        <v>0</v>
      </c>
      <c r="O3" s="46">
        <v>1</v>
      </c>
      <c r="P3" s="46">
        <v>150</v>
      </c>
      <c r="Q3" s="46" t="s">
        <v>125</v>
      </c>
      <c r="R3" s="46" t="s">
        <v>126</v>
      </c>
    </row>
    <row r="4" spans="1:18" x14ac:dyDescent="0.15">
      <c r="A4" s="46">
        <f>floors!$C$2</f>
        <v>48503</v>
      </c>
      <c r="B4" s="46">
        <v>1</v>
      </c>
      <c r="C4" s="59" t="str">
        <f t="shared" si="0"/>
        <v>48503_1</v>
      </c>
      <c r="D4" s="13" t="str">
        <f ca="1">VLOOKUP($C4,OFFSET([2]stages!$A$1,0,0,COUNTA([2]stages!$A:$A),MATCH(D$1,[2]stages!$2:$2,0)-MATCH($C$1,[2]stages!$2:$2,0)+1),MATCH(D$1,[2]stages!$2:$2,0)-MATCH($C$1,[2]stages!$2:$2,0)+1,FALSE)</f>
        <v>everyone</v>
      </c>
      <c r="E4" s="46">
        <v>3</v>
      </c>
      <c r="F4" s="46" t="s">
        <v>158</v>
      </c>
      <c r="G4" s="46">
        <v>5003</v>
      </c>
      <c r="H4" s="46">
        <v>1</v>
      </c>
      <c r="I4" s="46">
        <v>1</v>
      </c>
      <c r="J4" s="46">
        <v>1</v>
      </c>
      <c r="K4" s="46">
        <v>0</v>
      </c>
      <c r="L4" s="46">
        <v>0</v>
      </c>
      <c r="M4" s="46">
        <v>0</v>
      </c>
      <c r="N4" s="46">
        <v>0</v>
      </c>
      <c r="O4" s="46">
        <v>1</v>
      </c>
      <c r="P4" s="46">
        <v>100</v>
      </c>
      <c r="Q4" s="46" t="s">
        <v>125</v>
      </c>
      <c r="R4" s="46" t="s">
        <v>126</v>
      </c>
    </row>
    <row r="5" spans="1:18" x14ac:dyDescent="0.15">
      <c r="A5" s="46">
        <f>floors!$C$2</f>
        <v>48503</v>
      </c>
      <c r="B5" s="46">
        <v>1</v>
      </c>
      <c r="C5" s="59" t="str">
        <f t="shared" si="0"/>
        <v>48503_1</v>
      </c>
      <c r="D5" s="13" t="str">
        <f ca="1">VLOOKUP($C5,OFFSET([2]stages!$A$1,0,0,COUNTA([2]stages!$A:$A),MATCH(D$1,[2]stages!$2:$2,0)-MATCH($C$1,[2]stages!$2:$2,0)+1),MATCH(D$1,[2]stages!$2:$2,0)-MATCH($C$1,[2]stages!$2:$2,0)+1,FALSE)</f>
        <v>everyone</v>
      </c>
      <c r="E5" s="46">
        <v>4</v>
      </c>
      <c r="F5" s="46" t="s">
        <v>158</v>
      </c>
      <c r="G5" s="46">
        <v>337</v>
      </c>
      <c r="H5" s="46">
        <v>1</v>
      </c>
      <c r="I5" s="46">
        <v>1</v>
      </c>
      <c r="J5" s="46">
        <v>1</v>
      </c>
      <c r="K5" s="46">
        <v>0</v>
      </c>
      <c r="L5" s="46">
        <v>0</v>
      </c>
      <c r="M5" s="46">
        <v>0</v>
      </c>
      <c r="N5" s="46">
        <v>0</v>
      </c>
      <c r="O5" s="46">
        <v>1</v>
      </c>
      <c r="P5" s="46">
        <v>28</v>
      </c>
      <c r="Q5" s="46" t="s">
        <v>125</v>
      </c>
      <c r="R5" s="46" t="s">
        <v>126</v>
      </c>
    </row>
    <row r="6" spans="1:18" x14ac:dyDescent="0.15">
      <c r="A6" s="46">
        <f>floors!$C$2</f>
        <v>48503</v>
      </c>
      <c r="B6" s="46">
        <v>1</v>
      </c>
      <c r="C6" s="59" t="str">
        <f t="shared" si="0"/>
        <v>48503_1</v>
      </c>
      <c r="D6" s="13" t="str">
        <f ca="1">VLOOKUP($C6,OFFSET([2]stages!$A$1,0,0,COUNTA([2]stages!$A:$A),MATCH(D$1,[2]stages!$2:$2,0)-MATCH($C$1,[2]stages!$2:$2,0)+1),MATCH(D$1,[2]stages!$2:$2,0)-MATCH($C$1,[2]stages!$2:$2,0)+1,FALSE)</f>
        <v>everyone</v>
      </c>
      <c r="E6" s="46">
        <v>5</v>
      </c>
      <c r="F6" s="46" t="s">
        <v>158</v>
      </c>
      <c r="G6" s="46">
        <v>338</v>
      </c>
      <c r="H6" s="46">
        <v>1</v>
      </c>
      <c r="I6" s="46">
        <v>1</v>
      </c>
      <c r="J6" s="46">
        <v>1</v>
      </c>
      <c r="K6" s="46">
        <v>0</v>
      </c>
      <c r="L6" s="46">
        <v>0</v>
      </c>
      <c r="M6" s="46">
        <v>0</v>
      </c>
      <c r="N6" s="46">
        <v>0</v>
      </c>
      <c r="O6" s="46">
        <v>1</v>
      </c>
      <c r="P6" s="46">
        <v>112</v>
      </c>
      <c r="Q6" s="46" t="s">
        <v>125</v>
      </c>
      <c r="R6" s="46" t="s">
        <v>126</v>
      </c>
    </row>
    <row r="7" spans="1:18" x14ac:dyDescent="0.15">
      <c r="A7" s="46">
        <f>floors!$C$2</f>
        <v>48503</v>
      </c>
      <c r="B7" s="46">
        <v>1</v>
      </c>
      <c r="C7" s="59" t="str">
        <f t="shared" si="0"/>
        <v>48503_1</v>
      </c>
      <c r="D7" s="13" t="str">
        <f ca="1">VLOOKUP($C7,OFFSET([2]stages!$A$1,0,0,COUNTA([2]stages!$A:$A),MATCH(D$1,[2]stages!$2:$2,0)-MATCH($C$1,[2]stages!$2:$2,0)+1),MATCH(D$1,[2]stages!$2:$2,0)-MATCH($C$1,[2]stages!$2:$2,0)+1,FALSE)</f>
        <v>everyone</v>
      </c>
      <c r="E7" s="46">
        <v>6</v>
      </c>
      <c r="F7" s="46" t="s">
        <v>158</v>
      </c>
      <c r="G7" s="46">
        <v>350</v>
      </c>
      <c r="H7" s="46">
        <v>1</v>
      </c>
      <c r="I7" s="46">
        <v>1</v>
      </c>
      <c r="J7" s="46">
        <v>1</v>
      </c>
      <c r="K7" s="46">
        <v>0</v>
      </c>
      <c r="L7" s="46">
        <v>0</v>
      </c>
      <c r="M7" s="46">
        <v>0</v>
      </c>
      <c r="N7" s="46">
        <v>0</v>
      </c>
      <c r="O7" s="46">
        <v>1</v>
      </c>
      <c r="P7" s="46">
        <v>150</v>
      </c>
      <c r="Q7" s="46" t="s">
        <v>125</v>
      </c>
      <c r="R7" s="46" t="s">
        <v>126</v>
      </c>
    </row>
    <row r="8" spans="1:18" x14ac:dyDescent="0.15">
      <c r="A8" s="46">
        <f>floors!$C$2</f>
        <v>48503</v>
      </c>
      <c r="B8" s="46">
        <v>1</v>
      </c>
      <c r="C8" s="59" t="str">
        <f t="shared" si="0"/>
        <v>48503_1</v>
      </c>
      <c r="D8" s="13" t="str">
        <f ca="1">VLOOKUP($C8,OFFSET([2]stages!$A$1,0,0,COUNTA([2]stages!$A:$A),MATCH(D$1,[2]stages!$2:$2,0)-MATCH($C$1,[2]stages!$2:$2,0)+1),MATCH(D$1,[2]stages!$2:$2,0)-MATCH($C$1,[2]stages!$2:$2,0)+1,FALSE)</f>
        <v>everyone</v>
      </c>
      <c r="E8" s="46">
        <v>7</v>
      </c>
      <c r="F8" s="46" t="s">
        <v>158</v>
      </c>
      <c r="G8" s="46">
        <v>121</v>
      </c>
      <c r="H8" s="46">
        <v>1</v>
      </c>
      <c r="I8" s="46">
        <v>1</v>
      </c>
      <c r="J8" s="46">
        <v>1</v>
      </c>
      <c r="K8" s="46">
        <v>0</v>
      </c>
      <c r="L8" s="46">
        <v>0</v>
      </c>
      <c r="M8" s="46">
        <v>0</v>
      </c>
      <c r="N8" s="46">
        <v>0</v>
      </c>
      <c r="O8" s="46">
        <v>1</v>
      </c>
      <c r="P8" s="46">
        <v>100</v>
      </c>
      <c r="Q8" s="46" t="s">
        <v>125</v>
      </c>
      <c r="R8" s="46" t="s">
        <v>126</v>
      </c>
    </row>
    <row r="9" spans="1:18" x14ac:dyDescent="0.15">
      <c r="A9" s="46">
        <f>floors!$C$2</f>
        <v>48503</v>
      </c>
      <c r="B9" s="46">
        <v>1</v>
      </c>
      <c r="C9" s="59" t="str">
        <f t="shared" si="0"/>
        <v>48503_1</v>
      </c>
      <c r="D9" s="13" t="str">
        <f ca="1">VLOOKUP($C9,OFFSET([2]stages!$A$1,0,0,COUNTA([2]stages!$A:$A),MATCH(D$1,[2]stages!$2:$2,0)-MATCH($C$1,[2]stages!$2:$2,0)+1),MATCH(D$1,[2]stages!$2:$2,0)-MATCH($C$1,[2]stages!$2:$2,0)+1,FALSE)</f>
        <v>everyone</v>
      </c>
      <c r="E9" s="46">
        <v>8</v>
      </c>
      <c r="F9" s="46" t="s">
        <v>158</v>
      </c>
      <c r="G9" s="46">
        <v>122</v>
      </c>
      <c r="H9" s="46">
        <v>1</v>
      </c>
      <c r="I9" s="46">
        <v>1</v>
      </c>
      <c r="J9" s="46">
        <v>1</v>
      </c>
      <c r="K9" s="46">
        <v>0</v>
      </c>
      <c r="L9" s="46">
        <v>0</v>
      </c>
      <c r="M9" s="46">
        <v>0</v>
      </c>
      <c r="N9" s="46">
        <v>0</v>
      </c>
      <c r="O9" s="46">
        <v>1</v>
      </c>
      <c r="P9" s="46">
        <v>100</v>
      </c>
      <c r="Q9" s="46" t="s">
        <v>125</v>
      </c>
      <c r="R9" s="46" t="s">
        <v>126</v>
      </c>
    </row>
    <row r="10" spans="1:18" x14ac:dyDescent="0.15">
      <c r="A10" s="46">
        <f>floors!$C$2</f>
        <v>48503</v>
      </c>
      <c r="B10" s="46">
        <v>1</v>
      </c>
      <c r="C10" s="59" t="str">
        <f t="shared" si="0"/>
        <v>48503_1</v>
      </c>
      <c r="D10" s="13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46">
        <v>9</v>
      </c>
      <c r="F10" s="46" t="s">
        <v>158</v>
      </c>
      <c r="G10" s="46">
        <v>123</v>
      </c>
      <c r="H10" s="46">
        <v>1</v>
      </c>
      <c r="I10" s="46">
        <v>1</v>
      </c>
      <c r="J10" s="46">
        <v>1</v>
      </c>
      <c r="K10" s="46">
        <v>0</v>
      </c>
      <c r="L10" s="46">
        <v>0</v>
      </c>
      <c r="M10" s="46">
        <v>0</v>
      </c>
      <c r="N10" s="46">
        <v>0</v>
      </c>
      <c r="O10" s="46">
        <v>1</v>
      </c>
      <c r="P10" s="46">
        <v>100</v>
      </c>
      <c r="Q10" s="46" t="s">
        <v>125</v>
      </c>
      <c r="R10" s="46" t="s">
        <v>126</v>
      </c>
    </row>
    <row r="11" spans="1:18" x14ac:dyDescent="0.15">
      <c r="A11" s="46">
        <f>floors!$C$2</f>
        <v>48503</v>
      </c>
      <c r="B11" s="46">
        <v>1</v>
      </c>
      <c r="C11" s="59" t="str">
        <f t="shared" si="0"/>
        <v>48503_1</v>
      </c>
      <c r="D11" s="13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10">
        <v>10</v>
      </c>
      <c r="F11" s="46" t="s">
        <v>158</v>
      </c>
      <c r="G11" s="46">
        <v>125</v>
      </c>
      <c r="H11" s="46">
        <v>1</v>
      </c>
      <c r="I11" s="110">
        <v>1</v>
      </c>
      <c r="J11" s="110">
        <v>1</v>
      </c>
      <c r="K11" s="110">
        <v>0</v>
      </c>
      <c r="L11" s="110">
        <v>0</v>
      </c>
      <c r="M11" s="110">
        <v>0</v>
      </c>
      <c r="N11" s="110">
        <v>0</v>
      </c>
      <c r="O11" s="110">
        <v>1</v>
      </c>
      <c r="P11" s="46">
        <v>10</v>
      </c>
      <c r="Q11" s="46" t="s">
        <v>125</v>
      </c>
      <c r="R11" s="46" t="s">
        <v>126</v>
      </c>
    </row>
    <row r="12" spans="1:18" x14ac:dyDescent="0.15">
      <c r="A12" s="51">
        <f>floors!$C$2</f>
        <v>48503</v>
      </c>
      <c r="B12" s="51">
        <v>2</v>
      </c>
      <c r="C12" s="59" t="str">
        <f t="shared" si="0"/>
        <v>48503_2</v>
      </c>
      <c r="D12" s="13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1">
        <v>11</v>
      </c>
      <c r="F12" s="51" t="s">
        <v>158</v>
      </c>
      <c r="G12" s="51">
        <v>5003</v>
      </c>
      <c r="H12" s="51">
        <v>1</v>
      </c>
      <c r="I12" s="51">
        <v>1</v>
      </c>
      <c r="J12" s="51">
        <v>1</v>
      </c>
      <c r="K12" s="51">
        <v>0</v>
      </c>
      <c r="L12" s="51">
        <v>0</v>
      </c>
      <c r="M12" s="51">
        <v>0</v>
      </c>
      <c r="N12" s="51">
        <v>0</v>
      </c>
      <c r="O12" s="51">
        <v>1</v>
      </c>
      <c r="P12" s="51">
        <v>500</v>
      </c>
      <c r="Q12" s="46" t="s">
        <v>125</v>
      </c>
      <c r="R12" s="46" t="s">
        <v>126</v>
      </c>
    </row>
    <row r="13" spans="1:18" x14ac:dyDescent="0.15">
      <c r="A13" s="51">
        <f>floors!$C$2</f>
        <v>48503</v>
      </c>
      <c r="B13" s="51">
        <v>2</v>
      </c>
      <c r="C13" s="59" t="str">
        <f t="shared" si="0"/>
        <v>48503_2</v>
      </c>
      <c r="D13" s="13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1">
        <v>12</v>
      </c>
      <c r="F13" s="51" t="s">
        <v>158</v>
      </c>
      <c r="G13" s="51">
        <v>338</v>
      </c>
      <c r="H13" s="51">
        <v>1</v>
      </c>
      <c r="I13" s="51">
        <v>1</v>
      </c>
      <c r="J13" s="51">
        <v>1</v>
      </c>
      <c r="K13" s="51">
        <v>0</v>
      </c>
      <c r="L13" s="51">
        <v>0</v>
      </c>
      <c r="M13" s="51">
        <v>0</v>
      </c>
      <c r="N13" s="51">
        <v>0</v>
      </c>
      <c r="O13" s="51">
        <v>1</v>
      </c>
      <c r="P13" s="51">
        <v>50</v>
      </c>
      <c r="Q13" s="46" t="s">
        <v>125</v>
      </c>
      <c r="R13" s="46" t="s">
        <v>126</v>
      </c>
    </row>
    <row r="14" spans="1:18" x14ac:dyDescent="0.15">
      <c r="A14" s="51">
        <f>floors!$C$2</f>
        <v>48503</v>
      </c>
      <c r="B14" s="51">
        <v>2</v>
      </c>
      <c r="C14" s="59" t="str">
        <f t="shared" si="0"/>
        <v>48503_2</v>
      </c>
      <c r="D14" s="13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1">
        <v>13</v>
      </c>
      <c r="F14" s="51" t="s">
        <v>158</v>
      </c>
      <c r="G14" s="51">
        <v>350</v>
      </c>
      <c r="H14" s="51">
        <v>1</v>
      </c>
      <c r="I14" s="51">
        <v>1</v>
      </c>
      <c r="J14" s="51">
        <v>1</v>
      </c>
      <c r="K14" s="51">
        <v>0</v>
      </c>
      <c r="L14" s="51">
        <v>0</v>
      </c>
      <c r="M14" s="51">
        <v>0</v>
      </c>
      <c r="N14" s="51">
        <v>0</v>
      </c>
      <c r="O14" s="51">
        <v>1</v>
      </c>
      <c r="P14" s="51">
        <v>120</v>
      </c>
      <c r="Q14" s="46" t="s">
        <v>125</v>
      </c>
      <c r="R14" s="46" t="s">
        <v>126</v>
      </c>
    </row>
    <row r="15" spans="1:18" x14ac:dyDescent="0.15">
      <c r="A15" s="51">
        <f>floors!$C$2</f>
        <v>48503</v>
      </c>
      <c r="B15" s="51">
        <v>2</v>
      </c>
      <c r="C15" s="59" t="str">
        <f t="shared" si="0"/>
        <v>48503_2</v>
      </c>
      <c r="D15" s="13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1">
        <v>14</v>
      </c>
      <c r="F15" s="51" t="s">
        <v>158</v>
      </c>
      <c r="G15" s="51">
        <v>607</v>
      </c>
      <c r="H15" s="51">
        <v>1</v>
      </c>
      <c r="I15" s="51">
        <v>1</v>
      </c>
      <c r="J15" s="51">
        <v>1</v>
      </c>
      <c r="K15" s="51">
        <v>0</v>
      </c>
      <c r="L15" s="51">
        <v>0</v>
      </c>
      <c r="M15" s="51">
        <v>0</v>
      </c>
      <c r="N15" s="51">
        <v>0</v>
      </c>
      <c r="O15" s="51">
        <v>1</v>
      </c>
      <c r="P15" s="51">
        <v>100</v>
      </c>
      <c r="Q15" s="46" t="s">
        <v>125</v>
      </c>
      <c r="R15" s="46" t="s">
        <v>126</v>
      </c>
    </row>
    <row r="16" spans="1:18" x14ac:dyDescent="0.15">
      <c r="A16" s="51">
        <f>floors!$C$2</f>
        <v>48503</v>
      </c>
      <c r="B16" s="51">
        <v>2</v>
      </c>
      <c r="C16" s="59" t="str">
        <f t="shared" si="0"/>
        <v>48503_2</v>
      </c>
      <c r="D16" s="13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1">
        <v>15</v>
      </c>
      <c r="F16" s="51" t="s">
        <v>158</v>
      </c>
      <c r="G16" s="51">
        <v>608</v>
      </c>
      <c r="H16" s="51">
        <v>1</v>
      </c>
      <c r="I16" s="51">
        <v>1</v>
      </c>
      <c r="J16" s="51">
        <v>1</v>
      </c>
      <c r="K16" s="51">
        <v>0</v>
      </c>
      <c r="L16" s="51">
        <v>0</v>
      </c>
      <c r="M16" s="51">
        <v>0</v>
      </c>
      <c r="N16" s="51">
        <v>0</v>
      </c>
      <c r="O16" s="51">
        <v>1</v>
      </c>
      <c r="P16" s="51">
        <v>100</v>
      </c>
      <c r="Q16" s="46" t="s">
        <v>125</v>
      </c>
      <c r="R16" s="46" t="s">
        <v>126</v>
      </c>
    </row>
    <row r="17" spans="1:18" x14ac:dyDescent="0.15">
      <c r="A17" s="51">
        <f>floors!$C$2</f>
        <v>48503</v>
      </c>
      <c r="B17" s="51">
        <v>2</v>
      </c>
      <c r="C17" s="59" t="str">
        <f t="shared" si="0"/>
        <v>48503_2</v>
      </c>
      <c r="D17" s="13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1">
        <v>16</v>
      </c>
      <c r="F17" s="51" t="s">
        <v>158</v>
      </c>
      <c r="G17" s="51">
        <v>609</v>
      </c>
      <c r="H17" s="51">
        <v>1</v>
      </c>
      <c r="I17" s="51">
        <v>1</v>
      </c>
      <c r="J17" s="51">
        <v>1</v>
      </c>
      <c r="K17" s="51">
        <v>0</v>
      </c>
      <c r="L17" s="51">
        <v>0</v>
      </c>
      <c r="M17" s="51">
        <v>0</v>
      </c>
      <c r="N17" s="51">
        <v>0</v>
      </c>
      <c r="O17" s="51">
        <v>1</v>
      </c>
      <c r="P17" s="51">
        <v>100</v>
      </c>
      <c r="Q17" s="46" t="s">
        <v>125</v>
      </c>
      <c r="R17" s="46" t="s">
        <v>126</v>
      </c>
    </row>
    <row r="18" spans="1:18" x14ac:dyDescent="0.15">
      <c r="A18" s="51">
        <f>floors!$C$2</f>
        <v>48503</v>
      </c>
      <c r="B18" s="51">
        <v>2</v>
      </c>
      <c r="C18" s="59" t="str">
        <f t="shared" si="0"/>
        <v>48503_2</v>
      </c>
      <c r="D18" s="13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1">
        <v>17</v>
      </c>
      <c r="F18" s="51" t="s">
        <v>158</v>
      </c>
      <c r="G18" s="51">
        <v>125</v>
      </c>
      <c r="H18" s="51">
        <v>1</v>
      </c>
      <c r="I18" s="51">
        <v>1</v>
      </c>
      <c r="J18" s="51">
        <v>1</v>
      </c>
      <c r="K18" s="51">
        <v>0</v>
      </c>
      <c r="L18" s="51">
        <v>0</v>
      </c>
      <c r="M18" s="51">
        <v>0</v>
      </c>
      <c r="N18" s="51">
        <v>0</v>
      </c>
      <c r="O18" s="51">
        <v>1</v>
      </c>
      <c r="P18" s="51">
        <v>30</v>
      </c>
      <c r="Q18" s="46" t="s">
        <v>125</v>
      </c>
      <c r="R18" s="46" t="s">
        <v>126</v>
      </c>
    </row>
  </sheetData>
  <phoneticPr fontId="5"/>
  <dataValidations disablePrompts="1"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sqref="A1:XFD1048576"/>
    </sheetView>
  </sheetViews>
  <sheetFormatPr baseColWidth="12" defaultColWidth="13" defaultRowHeight="15" outlineLevelCol="1" x14ac:dyDescent="0.15"/>
  <cols>
    <col min="1" max="1" width="13" style="7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4" t="s">
        <v>139</v>
      </c>
      <c r="B1" s="61" t="s">
        <v>107</v>
      </c>
      <c r="C1" s="65" t="s">
        <v>16</v>
      </c>
      <c r="D1" s="65" t="s">
        <v>19</v>
      </c>
      <c r="E1" s="61" t="s">
        <v>108</v>
      </c>
      <c r="F1" s="65" t="s">
        <v>16</v>
      </c>
      <c r="G1" s="65" t="s">
        <v>19</v>
      </c>
      <c r="H1" s="61" t="s">
        <v>138</v>
      </c>
      <c r="I1" s="79" t="s">
        <v>148</v>
      </c>
      <c r="J1" s="67" t="s">
        <v>85</v>
      </c>
      <c r="K1" s="66" t="s">
        <v>140</v>
      </c>
      <c r="L1" s="80" t="s">
        <v>150</v>
      </c>
      <c r="M1" s="68" t="s">
        <v>141</v>
      </c>
    </row>
    <row r="17" spans="1:1" x14ac:dyDescent="0.15">
      <c r="A17"/>
    </row>
    <row r="18" spans="1:1" x14ac:dyDescent="0.15">
      <c r="A18"/>
    </row>
    <row r="19" spans="1:1" x14ac:dyDescent="0.15">
      <c r="A19"/>
    </row>
    <row r="20" spans="1:1" x14ac:dyDescent="0.15">
      <c r="A20"/>
    </row>
    <row r="21" spans="1:1" x14ac:dyDescent="0.15">
      <c r="A21"/>
    </row>
    <row r="22" spans="1:1" x14ac:dyDescent="0.15">
      <c r="A22"/>
    </row>
    <row r="23" spans="1:1" x14ac:dyDescent="0.15">
      <c r="A23"/>
    </row>
    <row r="24" spans="1:1" x14ac:dyDescent="0.15">
      <c r="A24"/>
    </row>
    <row r="25" spans="1:1" x14ac:dyDescent="0.15">
      <c r="A25"/>
    </row>
    <row r="26" spans="1:1" x14ac:dyDescent="0.15">
      <c r="A26"/>
    </row>
    <row r="27" spans="1:1" x14ac:dyDescent="0.15">
      <c r="A27"/>
    </row>
    <row r="28" spans="1:1" x14ac:dyDescent="0.15">
      <c r="A28"/>
    </row>
    <row r="29" spans="1:1" x14ac:dyDescent="0.15">
      <c r="A29"/>
    </row>
    <row r="30" spans="1:1" x14ac:dyDescent="0.15">
      <c r="A30"/>
    </row>
    <row r="31" spans="1:1" x14ac:dyDescent="0.15">
      <c r="A31"/>
    </row>
    <row r="32" spans="1:1" x14ac:dyDescent="0.15">
      <c r="A32"/>
    </row>
    <row r="33" spans="1:1" x14ac:dyDescent="0.15">
      <c r="A33"/>
    </row>
    <row r="34" spans="1:1" x14ac:dyDescent="0.15">
      <c r="A34"/>
    </row>
    <row r="35" spans="1:1" x14ac:dyDescent="0.15">
      <c r="A35"/>
    </row>
    <row r="36" spans="1:1" x14ac:dyDescent="0.15">
      <c r="A36"/>
    </row>
    <row r="37" spans="1:1" x14ac:dyDescent="0.15">
      <c r="A37"/>
    </row>
    <row r="38" spans="1:1" x14ac:dyDescent="0.15">
      <c r="A38"/>
    </row>
    <row r="39" spans="1:1" x14ac:dyDescent="0.15">
      <c r="A39"/>
    </row>
    <row r="40" spans="1:1" x14ac:dyDescent="0.15">
      <c r="A40"/>
    </row>
    <row r="41" spans="1:1" x14ac:dyDescent="0.15">
      <c r="A41"/>
    </row>
    <row r="42" spans="1:1" x14ac:dyDescent="0.15">
      <c r="A42"/>
    </row>
    <row r="43" spans="1:1" x14ac:dyDescent="0.15">
      <c r="A43"/>
    </row>
    <row r="44" spans="1:1" x14ac:dyDescent="0.15">
      <c r="A44"/>
    </row>
    <row r="45" spans="1:1" x14ac:dyDescent="0.15">
      <c r="A45"/>
    </row>
    <row r="46" spans="1:1" x14ac:dyDescent="0.15">
      <c r="A46"/>
    </row>
    <row r="47" spans="1:1" x14ac:dyDescent="0.15">
      <c r="A47"/>
    </row>
    <row r="48" spans="1:1" x14ac:dyDescent="0.15">
      <c r="A48"/>
    </row>
    <row r="49" spans="1:1" x14ac:dyDescent="0.15">
      <c r="A49"/>
    </row>
    <row r="50" spans="1:1" x14ac:dyDescent="0.15">
      <c r="A50"/>
    </row>
    <row r="51" spans="1:1" x14ac:dyDescent="0.15">
      <c r="A51"/>
    </row>
    <row r="52" spans="1:1" x14ac:dyDescent="0.15">
      <c r="A52"/>
    </row>
    <row r="53" spans="1:1" x14ac:dyDescent="0.15">
      <c r="A53"/>
    </row>
    <row r="54" spans="1:1" x14ac:dyDescent="0.15">
      <c r="A54"/>
    </row>
    <row r="55" spans="1:1" x14ac:dyDescent="0.15">
      <c r="A55"/>
    </row>
    <row r="56" spans="1:1" x14ac:dyDescent="0.15">
      <c r="A56"/>
    </row>
    <row r="57" spans="1:1" x14ac:dyDescent="0.15">
      <c r="A57"/>
    </row>
    <row r="58" spans="1:1" x14ac:dyDescent="0.15">
      <c r="A58"/>
    </row>
    <row r="59" spans="1:1" x14ac:dyDescent="0.15">
      <c r="A59"/>
    </row>
    <row r="60" spans="1:1" x14ac:dyDescent="0.15">
      <c r="A60"/>
    </row>
    <row r="61" spans="1:1" x14ac:dyDescent="0.15">
      <c r="A61"/>
    </row>
    <row r="62" spans="1:1" x14ac:dyDescent="0.15">
      <c r="A62"/>
    </row>
    <row r="63" spans="1:1" x14ac:dyDescent="0.15">
      <c r="A63"/>
    </row>
    <row r="64" spans="1:1" x14ac:dyDescent="0.15">
      <c r="A64"/>
    </row>
    <row r="65" spans="1:1" x14ac:dyDescent="0.15">
      <c r="A65"/>
    </row>
    <row r="66" spans="1:1" x14ac:dyDescent="0.15">
      <c r="A66"/>
    </row>
    <row r="67" spans="1:1" x14ac:dyDescent="0.15">
      <c r="A67"/>
    </row>
    <row r="68" spans="1:1" x14ac:dyDescent="0.15">
      <c r="A68"/>
    </row>
    <row r="69" spans="1:1" x14ac:dyDescent="0.15">
      <c r="A69"/>
    </row>
    <row r="70" spans="1:1" x14ac:dyDescent="0.15">
      <c r="A70"/>
    </row>
    <row r="71" spans="1:1" x14ac:dyDescent="0.15">
      <c r="A71"/>
    </row>
    <row r="72" spans="1:1" x14ac:dyDescent="0.15">
      <c r="A72"/>
    </row>
    <row r="73" spans="1:1" x14ac:dyDescent="0.15">
      <c r="A73"/>
    </row>
    <row r="74" spans="1:1" x14ac:dyDescent="0.15">
      <c r="A74"/>
    </row>
    <row r="75" spans="1:1" x14ac:dyDescent="0.15">
      <c r="A75"/>
    </row>
    <row r="76" spans="1:1" x14ac:dyDescent="0.15">
      <c r="A76"/>
    </row>
    <row r="77" spans="1:1" x14ac:dyDescent="0.15">
      <c r="A77"/>
    </row>
    <row r="78" spans="1:1" x14ac:dyDescent="0.15">
      <c r="A78"/>
    </row>
    <row r="79" spans="1:1" x14ac:dyDescent="0.15">
      <c r="A79"/>
    </row>
    <row r="80" spans="1:1" x14ac:dyDescent="0.15">
      <c r="A80"/>
    </row>
    <row r="81" spans="1:1" x14ac:dyDescent="0.15">
      <c r="A81"/>
    </row>
    <row r="82" spans="1:1" x14ac:dyDescent="0.15">
      <c r="A82"/>
    </row>
    <row r="83" spans="1:1" x14ac:dyDescent="0.15">
      <c r="A83"/>
    </row>
    <row r="84" spans="1:1" x14ac:dyDescent="0.15">
      <c r="A84"/>
    </row>
    <row r="85" spans="1:1" x14ac:dyDescent="0.15">
      <c r="A85"/>
    </row>
    <row r="86" spans="1:1" x14ac:dyDescent="0.15">
      <c r="A86"/>
    </row>
    <row r="87" spans="1:1" x14ac:dyDescent="0.15">
      <c r="A87"/>
    </row>
    <row r="88" spans="1:1" x14ac:dyDescent="0.15">
      <c r="A88"/>
    </row>
    <row r="89" spans="1:1" x14ac:dyDescent="0.15">
      <c r="A89"/>
    </row>
    <row r="90" spans="1:1" x14ac:dyDescent="0.15">
      <c r="A90"/>
    </row>
    <row r="91" spans="1:1" x14ac:dyDescent="0.15">
      <c r="A91"/>
    </row>
    <row r="92" spans="1:1" x14ac:dyDescent="0.15">
      <c r="A92"/>
    </row>
    <row r="93" spans="1:1" x14ac:dyDescent="0.15">
      <c r="A93"/>
    </row>
    <row r="94" spans="1:1" x14ac:dyDescent="0.15">
      <c r="A94"/>
    </row>
    <row r="95" spans="1:1" x14ac:dyDescent="0.15">
      <c r="A95"/>
    </row>
    <row r="96" spans="1:1" x14ac:dyDescent="0.15">
      <c r="A96"/>
    </row>
    <row r="97" spans="1:1" x14ac:dyDescent="0.15">
      <c r="A97"/>
    </row>
    <row r="98" spans="1:1" x14ac:dyDescent="0.15">
      <c r="A98"/>
    </row>
    <row r="99" spans="1:1" x14ac:dyDescent="0.15">
      <c r="A99"/>
    </row>
    <row r="100" spans="1:1" x14ac:dyDescent="0.15">
      <c r="A100"/>
    </row>
    <row r="101" spans="1:1" x14ac:dyDescent="0.15">
      <c r="A101"/>
    </row>
    <row r="102" spans="1:1" x14ac:dyDescent="0.15">
      <c r="A102"/>
    </row>
    <row r="103" spans="1:1" x14ac:dyDescent="0.15">
      <c r="A103"/>
    </row>
    <row r="104" spans="1:1" x14ac:dyDescent="0.15">
      <c r="A104"/>
    </row>
    <row r="105" spans="1:1" x14ac:dyDescent="0.15">
      <c r="A105"/>
    </row>
    <row r="106" spans="1:1" x14ac:dyDescent="0.15">
      <c r="A106"/>
    </row>
    <row r="107" spans="1:1" x14ac:dyDescent="0.15">
      <c r="A107"/>
    </row>
    <row r="108" spans="1:1" x14ac:dyDescent="0.15">
      <c r="A108"/>
    </row>
    <row r="109" spans="1:1" x14ac:dyDescent="0.15">
      <c r="A109"/>
    </row>
    <row r="110" spans="1:1" x14ac:dyDescent="0.15">
      <c r="A110"/>
    </row>
    <row r="111" spans="1:1" x14ac:dyDescent="0.15">
      <c r="A111"/>
    </row>
    <row r="112" spans="1:1" x14ac:dyDescent="0.15">
      <c r="A112"/>
    </row>
    <row r="113" spans="1:1" x14ac:dyDescent="0.15">
      <c r="A113"/>
    </row>
    <row r="114" spans="1:1" x14ac:dyDescent="0.15">
      <c r="A114"/>
    </row>
    <row r="115" spans="1:1" x14ac:dyDescent="0.15">
      <c r="A115"/>
    </row>
    <row r="116" spans="1:1" x14ac:dyDescent="0.15">
      <c r="A116"/>
    </row>
    <row r="117" spans="1:1" x14ac:dyDescent="0.15">
      <c r="A117"/>
    </row>
    <row r="118" spans="1:1" x14ac:dyDescent="0.15">
      <c r="A118"/>
    </row>
    <row r="119" spans="1:1" x14ac:dyDescent="0.15">
      <c r="A119"/>
    </row>
    <row r="120" spans="1:1" x14ac:dyDescent="0.15">
      <c r="A120"/>
    </row>
    <row r="121" spans="1:1" x14ac:dyDescent="0.15">
      <c r="A121"/>
    </row>
    <row r="122" spans="1:1" x14ac:dyDescent="0.15">
      <c r="A122"/>
    </row>
    <row r="123" spans="1:1" x14ac:dyDescent="0.15">
      <c r="A123"/>
    </row>
    <row r="124" spans="1:1" x14ac:dyDescent="0.15">
      <c r="A124"/>
    </row>
    <row r="125" spans="1:1" x14ac:dyDescent="0.15">
      <c r="A125"/>
    </row>
    <row r="126" spans="1:1" x14ac:dyDescent="0.15">
      <c r="A126"/>
    </row>
    <row r="127" spans="1:1" x14ac:dyDescent="0.15">
      <c r="A127"/>
    </row>
    <row r="128" spans="1:1" x14ac:dyDescent="0.15">
      <c r="A128"/>
    </row>
    <row r="129" spans="1:1" x14ac:dyDescent="0.15">
      <c r="A129"/>
    </row>
    <row r="130" spans="1:1" x14ac:dyDescent="0.15">
      <c r="A130"/>
    </row>
    <row r="131" spans="1:1" x14ac:dyDescent="0.15">
      <c r="A131"/>
    </row>
    <row r="132" spans="1:1" x14ac:dyDescent="0.15">
      <c r="A132"/>
    </row>
    <row r="133" spans="1:1" x14ac:dyDescent="0.15">
      <c r="A133"/>
    </row>
    <row r="134" spans="1:1" x14ac:dyDescent="0.15">
      <c r="A134"/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27"/>
  <sheetViews>
    <sheetView showGridLines="0" topLeftCell="E1" workbookViewId="0">
      <pane ySplit="1" topLeftCell="A20" activePane="bottomLeft" state="frozen"/>
      <selection pane="bottomLeft" activeCell="K26" sqref="K26"/>
    </sheetView>
  </sheetViews>
  <sheetFormatPr baseColWidth="12" defaultColWidth="13" defaultRowHeight="15" outlineLevelCol="1" x14ac:dyDescent="0.15"/>
  <cols>
    <col min="1" max="1" width="13" style="7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15.6640625" bestFit="1" customWidth="1"/>
    <col min="13" max="13" width="42.6640625" customWidth="1"/>
  </cols>
  <sheetData>
    <row r="1" spans="1:15" x14ac:dyDescent="0.15">
      <c r="A1" s="64" t="s">
        <v>139</v>
      </c>
      <c r="B1" s="61" t="s">
        <v>107</v>
      </c>
      <c r="C1" s="65" t="s">
        <v>16</v>
      </c>
      <c r="D1" s="65" t="s">
        <v>19</v>
      </c>
      <c r="E1" s="61" t="s">
        <v>108</v>
      </c>
      <c r="F1" s="65" t="s">
        <v>16</v>
      </c>
      <c r="G1" s="65" t="s">
        <v>19</v>
      </c>
      <c r="H1" s="61" t="s">
        <v>138</v>
      </c>
      <c r="I1" s="77" t="s">
        <v>325</v>
      </c>
      <c r="J1" s="79" t="s">
        <v>148</v>
      </c>
      <c r="K1" s="67" t="s">
        <v>85</v>
      </c>
      <c r="L1" s="66" t="s">
        <v>140</v>
      </c>
      <c r="M1" s="80" t="s">
        <v>150</v>
      </c>
      <c r="N1" s="68" t="s">
        <v>141</v>
      </c>
    </row>
    <row r="2" spans="1:15" ht="28" x14ac:dyDescent="0.15">
      <c r="A2" s="69" t="s">
        <v>142</v>
      </c>
      <c r="B2" s="70">
        <v>48503</v>
      </c>
      <c r="C2" s="71" t="str">
        <f ca="1">VLOOKUP($B2,OFFSET([2]quests!$A$1,0,0,COUNTA([2]quests!$A:$A),MATCH(C$1,[2]quests!$1:$1,0)-MATCH($B$1,[2]quests!$1:$1,0)+1),MATCH(C$1,[2]quests!$1:$1,0)-MATCH($B$1,[2]quests!$1:$1,0)+1,FALSE)</f>
        <v>ナーガ襲来！</v>
      </c>
      <c r="D2" s="71" t="str">
        <f ca="1">VLOOKUP($B2,OFFSET([2]quests!$A$1,0,0,COUNTA([2]quests!$A:$A),MATCH(D$1,[2]quests!$1:$1,0)-MATCH($B$1,[2]quests!$1:$1,0)+1),MATCH(D$1,[2]quests!$1:$1,0)-MATCH($B$1,[2]quests!$1:$1,0)+1,FALSE)</f>
        <v>グローバル版降臨3</v>
      </c>
      <c r="E2" s="72">
        <v>2</v>
      </c>
      <c r="F2" s="71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2" s="71" t="str">
        <f ca="1">VLOOKUP($B2&amp;"_"&amp;$E2,OFFSET([2]stages!$A$1,0,0,COUNTA([2]stages!$A:$A),MATCH(G$1,[2]stages!$2:$2,0)-MATCH("temp_stage",[2]stages!$2:$2,0)+1),MATCH(G$1,[2]stages!$2:$2,0)-MATCH("temp_stage",[2]stages!$2:$2,0)+1,FALSE)</f>
        <v>グローバル版降臨3</v>
      </c>
      <c r="H2" s="73">
        <v>1</v>
      </c>
      <c r="I2" s="78">
        <f>ROW()-1</f>
        <v>1</v>
      </c>
      <c r="J2" s="74" t="str">
        <f>B2&amp;TEXT(I2,"00")</f>
        <v>4850301</v>
      </c>
      <c r="K2" s="72" t="s">
        <v>143</v>
      </c>
      <c r="L2" s="75" t="s">
        <v>184</v>
      </c>
      <c r="M2" s="111" t="s">
        <v>482</v>
      </c>
      <c r="N2" s="46" t="s">
        <v>326</v>
      </c>
      <c r="O2">
        <f>LEN(M2)</f>
        <v>24</v>
      </c>
    </row>
    <row r="3" spans="1:15" ht="28" x14ac:dyDescent="0.15">
      <c r="A3" s="69" t="s">
        <v>142</v>
      </c>
      <c r="B3" s="70">
        <v>48503</v>
      </c>
      <c r="C3" s="71" t="str">
        <f ca="1">VLOOKUP($B3,OFFSET([2]quests!$A$1,0,0,COUNTA([2]quests!$A:$A),MATCH(C$1,[2]quests!$1:$1,0)-MATCH($B$1,[2]quests!$1:$1,0)+1),MATCH(C$1,[2]quests!$1:$1,0)-MATCH($B$1,[2]quests!$1:$1,0)+1,FALSE)</f>
        <v>ナーガ襲来！</v>
      </c>
      <c r="D3" s="71" t="str">
        <f ca="1">VLOOKUP($B3,OFFSET([2]quests!$A$1,0,0,COUNTA([2]quests!$A:$A),MATCH(D$1,[2]quests!$1:$1,0)-MATCH($B$1,[2]quests!$1:$1,0)+1),MATCH(D$1,[2]quests!$1:$1,0)-MATCH($B$1,[2]quests!$1:$1,0)+1,FALSE)</f>
        <v>グローバル版降臨3</v>
      </c>
      <c r="E3" s="72">
        <v>2</v>
      </c>
      <c r="F3" s="71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3" s="71" t="str">
        <f ca="1">VLOOKUP($B3&amp;"_"&amp;$E3,OFFSET([2]stages!$A$1,0,0,COUNTA([2]stages!$A:$A),MATCH(G$1,[2]stages!$2:$2,0)-MATCH("temp_stage",[2]stages!$2:$2,0)+1),MATCH(G$1,[2]stages!$2:$2,0)-MATCH("temp_stage",[2]stages!$2:$2,0)+1,FALSE)</f>
        <v>グローバル版降臨3</v>
      </c>
      <c r="H3" s="73">
        <v>2</v>
      </c>
      <c r="I3" s="78">
        <f t="shared" ref="I3:I27" si="0">ROW()-1</f>
        <v>2</v>
      </c>
      <c r="J3" s="74" t="str">
        <f>B3&amp;TEXT(I3,"00")</f>
        <v>4850302</v>
      </c>
      <c r="K3" s="72" t="s">
        <v>143</v>
      </c>
      <c r="L3" s="75" t="s">
        <v>184</v>
      </c>
      <c r="M3" s="111" t="s">
        <v>497</v>
      </c>
      <c r="N3" s="46" t="s">
        <v>326</v>
      </c>
      <c r="O3">
        <f t="shared" ref="O3:O24" si="1">LEN(M3)</f>
        <v>36</v>
      </c>
    </row>
    <row r="4" spans="1:15" ht="28" x14ac:dyDescent="0.15">
      <c r="A4" s="69" t="s">
        <v>142</v>
      </c>
      <c r="B4" s="70">
        <v>48503</v>
      </c>
      <c r="C4" s="71" t="str">
        <f ca="1">VLOOKUP($B4,OFFSET([2]quests!$A$1,0,0,COUNTA([2]quests!$A:$A),MATCH(C$1,[2]quests!$1:$1,0)-MATCH($B$1,[2]quests!$1:$1,0)+1),MATCH(C$1,[2]quests!$1:$1,0)-MATCH($B$1,[2]quests!$1:$1,0)+1,FALSE)</f>
        <v>ナーガ襲来！</v>
      </c>
      <c r="D4" s="71" t="str">
        <f ca="1">VLOOKUP($B4,OFFSET([2]quests!$A$1,0,0,COUNTA([2]quests!$A:$A),MATCH(D$1,[2]quests!$1:$1,0)-MATCH($B$1,[2]quests!$1:$1,0)+1),MATCH(D$1,[2]quests!$1:$1,0)-MATCH($B$1,[2]quests!$1:$1,0)+1,FALSE)</f>
        <v>グローバル版降臨3</v>
      </c>
      <c r="E4" s="72">
        <v>2</v>
      </c>
      <c r="F4" s="71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4" s="71" t="str">
        <f ca="1">VLOOKUP($B4&amp;"_"&amp;$E4,OFFSET([2]stages!$A$1,0,0,COUNTA([2]stages!$A:$A),MATCH(G$1,[2]stages!$2:$2,0)-MATCH("temp_stage",[2]stages!$2:$2,0)+1),MATCH(G$1,[2]stages!$2:$2,0)-MATCH("temp_stage",[2]stages!$2:$2,0)+1,FALSE)</f>
        <v>グローバル版降臨3</v>
      </c>
      <c r="H4" s="73">
        <v>2</v>
      </c>
      <c r="I4" s="78">
        <f t="shared" si="0"/>
        <v>3</v>
      </c>
      <c r="J4" s="74" t="str">
        <f t="shared" ref="J4:J6" si="2">B4&amp;TEXT(I4,"00")</f>
        <v>4850303</v>
      </c>
      <c r="K4" s="72" t="s">
        <v>143</v>
      </c>
      <c r="L4" s="75" t="s">
        <v>184</v>
      </c>
      <c r="M4" s="111" t="s">
        <v>499</v>
      </c>
      <c r="N4" s="46" t="s">
        <v>326</v>
      </c>
      <c r="O4">
        <f t="shared" si="1"/>
        <v>37</v>
      </c>
    </row>
    <row r="5" spans="1:15" ht="28" x14ac:dyDescent="0.15">
      <c r="A5" s="69" t="s">
        <v>142</v>
      </c>
      <c r="B5" s="70">
        <v>48503</v>
      </c>
      <c r="C5" s="71" t="str">
        <f ca="1">VLOOKUP($B5,OFFSET([2]quests!$A$1,0,0,COUNTA([2]quests!$A:$A),MATCH(C$1,[2]quests!$1:$1,0)-MATCH($B$1,[2]quests!$1:$1,0)+1),MATCH(C$1,[2]quests!$1:$1,0)-MATCH($B$1,[2]quests!$1:$1,0)+1,FALSE)</f>
        <v>ナーガ襲来！</v>
      </c>
      <c r="D5" s="71" t="str">
        <f ca="1">VLOOKUP($B5,OFFSET([2]quests!$A$1,0,0,COUNTA([2]quests!$A:$A),MATCH(D$1,[2]quests!$1:$1,0)-MATCH($B$1,[2]quests!$1:$1,0)+1),MATCH(D$1,[2]quests!$1:$1,0)-MATCH($B$1,[2]quests!$1:$1,0)+1,FALSE)</f>
        <v>グローバル版降臨3</v>
      </c>
      <c r="E5" s="72">
        <v>2</v>
      </c>
      <c r="F5" s="71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5" s="71" t="str">
        <f ca="1">VLOOKUP($B5&amp;"_"&amp;$E5,OFFSET([2]stages!$A$1,0,0,COUNTA([2]stages!$A:$A),MATCH(G$1,[2]stages!$2:$2,0)-MATCH("temp_stage",[2]stages!$2:$2,0)+1),MATCH(G$1,[2]stages!$2:$2,0)-MATCH("temp_stage",[2]stages!$2:$2,0)+1,FALSE)</f>
        <v>グローバル版降臨3</v>
      </c>
      <c r="H5" s="73">
        <v>3</v>
      </c>
      <c r="I5" s="78">
        <f t="shared" si="0"/>
        <v>4</v>
      </c>
      <c r="J5" s="74" t="str">
        <f t="shared" si="2"/>
        <v>4850304</v>
      </c>
      <c r="K5" s="72" t="s">
        <v>143</v>
      </c>
      <c r="L5" s="75" t="s">
        <v>184</v>
      </c>
      <c r="M5" s="111" t="s">
        <v>327</v>
      </c>
      <c r="N5" s="46" t="s">
        <v>326</v>
      </c>
      <c r="O5">
        <f t="shared" si="1"/>
        <v>33</v>
      </c>
    </row>
    <row r="6" spans="1:15" ht="56" x14ac:dyDescent="0.15">
      <c r="A6" s="69" t="s">
        <v>142</v>
      </c>
      <c r="B6" s="70">
        <v>48503</v>
      </c>
      <c r="C6" s="71" t="str">
        <f ca="1">VLOOKUP($B6,OFFSET([2]quests!$A$1,0,0,COUNTA([2]quests!$A:$A),MATCH(C$1,[2]quests!$1:$1,0)-MATCH($B$1,[2]quests!$1:$1,0)+1),MATCH(C$1,[2]quests!$1:$1,0)-MATCH($B$1,[2]quests!$1:$1,0)+1,FALSE)</f>
        <v>ナーガ襲来！</v>
      </c>
      <c r="D6" s="71" t="str">
        <f ca="1">VLOOKUP($B6,OFFSET([2]quests!$A$1,0,0,COUNTA([2]quests!$A:$A),MATCH(D$1,[2]quests!$1:$1,0)-MATCH($B$1,[2]quests!$1:$1,0)+1),MATCH(D$1,[2]quests!$1:$1,0)-MATCH($B$1,[2]quests!$1:$1,0)+1,FALSE)</f>
        <v>グローバル版降臨3</v>
      </c>
      <c r="E6" s="72">
        <v>2</v>
      </c>
      <c r="F6" s="71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6" s="71" t="str">
        <f ca="1">VLOOKUP($B6&amp;"_"&amp;$E6,OFFSET([2]stages!$A$1,0,0,COUNTA([2]stages!$A:$A),MATCH(G$1,[2]stages!$2:$2,0)-MATCH("temp_stage",[2]stages!$2:$2,0)+1),MATCH(G$1,[2]stages!$2:$2,0)-MATCH("temp_stage",[2]stages!$2:$2,0)+1,FALSE)</f>
        <v>グローバル版降臨3</v>
      </c>
      <c r="H6" s="73">
        <v>4</v>
      </c>
      <c r="I6" s="78">
        <f t="shared" si="0"/>
        <v>5</v>
      </c>
      <c r="J6" s="74" t="str">
        <f t="shared" si="2"/>
        <v>4850305</v>
      </c>
      <c r="K6" s="72" t="s">
        <v>143</v>
      </c>
      <c r="L6" s="75" t="s">
        <v>184</v>
      </c>
      <c r="M6" s="111" t="s">
        <v>485</v>
      </c>
      <c r="N6" s="46" t="s">
        <v>326</v>
      </c>
      <c r="O6">
        <f t="shared" si="1"/>
        <v>60</v>
      </c>
    </row>
    <row r="7" spans="1:15" ht="42" x14ac:dyDescent="0.15">
      <c r="A7" s="69" t="s">
        <v>142</v>
      </c>
      <c r="B7" s="70">
        <v>48503</v>
      </c>
      <c r="C7" s="71" t="str">
        <f ca="1">VLOOKUP($B7,OFFSET([2]quests!$A$1,0,0,COUNTA([2]quests!$A:$A),MATCH(C$1,[2]quests!$1:$1,0)-MATCH($B$1,[2]quests!$1:$1,0)+1),MATCH(C$1,[2]quests!$1:$1,0)-MATCH($B$1,[2]quests!$1:$1,0)+1,FALSE)</f>
        <v>ナーガ襲来！</v>
      </c>
      <c r="D7" s="71" t="str">
        <f ca="1">VLOOKUP($B7,OFFSET([2]quests!$A$1,0,0,COUNTA([2]quests!$A:$A),MATCH(D$1,[2]quests!$1:$1,0)-MATCH($B$1,[2]quests!$1:$1,0)+1),MATCH(D$1,[2]quests!$1:$1,0)-MATCH($B$1,[2]quests!$1:$1,0)+1,FALSE)</f>
        <v>グローバル版降臨3</v>
      </c>
      <c r="E7" s="72">
        <v>2</v>
      </c>
      <c r="F7" s="71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7" s="71" t="str">
        <f ca="1">VLOOKUP($B7&amp;"_"&amp;$E7,OFFSET([2]stages!$A$1,0,0,COUNTA([2]stages!$A:$A),MATCH(G$1,[2]stages!$2:$2,0)-MATCH("temp_stage",[2]stages!$2:$2,0)+1),MATCH(G$1,[2]stages!$2:$2,0)-MATCH("temp_stage",[2]stages!$2:$2,0)+1,FALSE)</f>
        <v>グローバル版降臨3</v>
      </c>
      <c r="H7" s="73">
        <v>4</v>
      </c>
      <c r="I7" s="78">
        <f>ROW()-1</f>
        <v>6</v>
      </c>
      <c r="J7" s="74" t="str">
        <f>B7&amp;TEXT(I7,"00")</f>
        <v>4850306</v>
      </c>
      <c r="K7" s="72" t="s">
        <v>143</v>
      </c>
      <c r="L7" s="75" t="s">
        <v>184</v>
      </c>
      <c r="M7" s="111" t="s">
        <v>488</v>
      </c>
      <c r="N7" s="46" t="s">
        <v>326</v>
      </c>
      <c r="O7">
        <f t="shared" si="1"/>
        <v>43</v>
      </c>
    </row>
    <row r="8" spans="1:15" ht="28" x14ac:dyDescent="0.15">
      <c r="A8" s="69" t="s">
        <v>142</v>
      </c>
      <c r="B8" s="70">
        <v>48503</v>
      </c>
      <c r="C8" s="71" t="str">
        <f ca="1">VLOOKUP($B8,OFFSET([2]quests!$A$1,0,0,COUNTA([2]quests!$A:$A),MATCH(C$1,[2]quests!$1:$1,0)-MATCH($B$1,[2]quests!$1:$1,0)+1),MATCH(C$1,[2]quests!$1:$1,0)-MATCH($B$1,[2]quests!$1:$1,0)+1,FALSE)</f>
        <v>ナーガ襲来！</v>
      </c>
      <c r="D8" s="71" t="str">
        <f ca="1">VLOOKUP($B8,OFFSET([2]quests!$A$1,0,0,COUNTA([2]quests!$A:$A),MATCH(D$1,[2]quests!$1:$1,0)-MATCH($B$1,[2]quests!$1:$1,0)+1),MATCH(D$1,[2]quests!$1:$1,0)-MATCH($B$1,[2]quests!$1:$1,0)+1,FALSE)</f>
        <v>グローバル版降臨3</v>
      </c>
      <c r="E8" s="72">
        <v>2</v>
      </c>
      <c r="F8" s="71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8" s="71" t="str">
        <f ca="1">VLOOKUP($B8&amp;"_"&amp;$E8,OFFSET([2]stages!$A$1,0,0,COUNTA([2]stages!$A:$A),MATCH(G$1,[2]stages!$2:$2,0)-MATCH("temp_stage",[2]stages!$2:$2,0)+1),MATCH(G$1,[2]stages!$2:$2,0)-MATCH("temp_stage",[2]stages!$2:$2,0)+1,FALSE)</f>
        <v>グローバル版降臨3</v>
      </c>
      <c r="H8" s="73">
        <v>4</v>
      </c>
      <c r="I8" s="78">
        <f t="shared" si="0"/>
        <v>7</v>
      </c>
      <c r="J8" s="74" t="str">
        <f t="shared" ref="J8:J11" si="3">B8&amp;TEXT(I8,"00")</f>
        <v>4850307</v>
      </c>
      <c r="K8" s="72" t="s">
        <v>143</v>
      </c>
      <c r="L8" s="75" t="s">
        <v>184</v>
      </c>
      <c r="M8" s="111" t="s">
        <v>486</v>
      </c>
      <c r="N8" s="46" t="s">
        <v>326</v>
      </c>
      <c r="O8">
        <f t="shared" si="1"/>
        <v>39</v>
      </c>
    </row>
    <row r="9" spans="1:15" ht="42" x14ac:dyDescent="0.15">
      <c r="A9" s="69" t="s">
        <v>142</v>
      </c>
      <c r="B9" s="70">
        <v>48503</v>
      </c>
      <c r="C9" s="71" t="str">
        <f ca="1">VLOOKUP($B9,OFFSET([2]quests!$A$1,0,0,COUNTA([2]quests!$A:$A),MATCH(C$1,[2]quests!$1:$1,0)-MATCH($B$1,[2]quests!$1:$1,0)+1),MATCH(C$1,[2]quests!$1:$1,0)-MATCH($B$1,[2]quests!$1:$1,0)+1,FALSE)</f>
        <v>ナーガ襲来！</v>
      </c>
      <c r="D9" s="71" t="str">
        <f ca="1">VLOOKUP($B9,OFFSET([2]quests!$A$1,0,0,COUNTA([2]quests!$A:$A),MATCH(D$1,[2]quests!$1:$1,0)-MATCH($B$1,[2]quests!$1:$1,0)+1),MATCH(D$1,[2]quests!$1:$1,0)-MATCH($B$1,[2]quests!$1:$1,0)+1,FALSE)</f>
        <v>グローバル版降臨3</v>
      </c>
      <c r="E9" s="72">
        <v>2</v>
      </c>
      <c r="F9" s="71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9" s="71" t="str">
        <f ca="1">VLOOKUP($B9&amp;"_"&amp;$E9,OFFSET([2]stages!$A$1,0,0,COUNTA([2]stages!$A:$A),MATCH(G$1,[2]stages!$2:$2,0)-MATCH("temp_stage",[2]stages!$2:$2,0)+1),MATCH(G$1,[2]stages!$2:$2,0)-MATCH("temp_stage",[2]stages!$2:$2,0)+1,FALSE)</f>
        <v>グローバル版降臨3</v>
      </c>
      <c r="H9" s="73">
        <v>4</v>
      </c>
      <c r="I9" s="78">
        <f t="shared" si="0"/>
        <v>8</v>
      </c>
      <c r="J9" s="74" t="str">
        <f t="shared" si="3"/>
        <v>4850308</v>
      </c>
      <c r="K9" s="72" t="s">
        <v>143</v>
      </c>
      <c r="L9" s="75" t="s">
        <v>184</v>
      </c>
      <c r="M9" s="111" t="s">
        <v>489</v>
      </c>
      <c r="N9" s="46" t="s">
        <v>326</v>
      </c>
      <c r="O9">
        <f t="shared" si="1"/>
        <v>43</v>
      </c>
    </row>
    <row r="10" spans="1:15" ht="28" x14ac:dyDescent="0.15">
      <c r="A10" s="69" t="s">
        <v>142</v>
      </c>
      <c r="B10" s="70">
        <v>48503</v>
      </c>
      <c r="C10" s="71" t="str">
        <f ca="1">VLOOKUP($B10,OFFSET([2]quests!$A$1,0,0,COUNTA([2]quests!$A:$A),MATCH(C$1,[2]quests!$1:$1,0)-MATCH($B$1,[2]quests!$1:$1,0)+1),MATCH(C$1,[2]quests!$1:$1,0)-MATCH($B$1,[2]quests!$1:$1,0)+1,FALSE)</f>
        <v>ナーガ襲来！</v>
      </c>
      <c r="D10" s="71" t="str">
        <f ca="1">VLOOKUP($B10,OFFSET([2]quests!$A$1,0,0,COUNTA([2]quests!$A:$A),MATCH(D$1,[2]quests!$1:$1,0)-MATCH($B$1,[2]quests!$1:$1,0)+1),MATCH(D$1,[2]quests!$1:$1,0)-MATCH($B$1,[2]quests!$1:$1,0)+1,FALSE)</f>
        <v>グローバル版降臨3</v>
      </c>
      <c r="E10" s="72">
        <v>2</v>
      </c>
      <c r="F10" s="71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10" s="71" t="str">
        <f ca="1">VLOOKUP($B10&amp;"_"&amp;$E10,OFFSET([2]stages!$A$1,0,0,COUNTA([2]stages!$A:$A),MATCH(G$1,[2]stages!$2:$2,0)-MATCH("temp_stage",[2]stages!$2:$2,0)+1),MATCH(G$1,[2]stages!$2:$2,0)-MATCH("temp_stage",[2]stages!$2:$2,0)+1,FALSE)</f>
        <v>グローバル版降臨3</v>
      </c>
      <c r="H10" s="73">
        <v>4</v>
      </c>
      <c r="I10" s="78">
        <f t="shared" si="0"/>
        <v>9</v>
      </c>
      <c r="J10" s="74" t="str">
        <f t="shared" si="3"/>
        <v>4850309</v>
      </c>
      <c r="K10" s="72" t="s">
        <v>143</v>
      </c>
      <c r="L10" s="75" t="s">
        <v>184</v>
      </c>
      <c r="M10" s="111" t="s">
        <v>493</v>
      </c>
      <c r="N10" s="46" t="s">
        <v>326</v>
      </c>
      <c r="O10">
        <f t="shared" si="1"/>
        <v>40</v>
      </c>
    </row>
    <row r="11" spans="1:15" ht="42" x14ac:dyDescent="0.15">
      <c r="A11" s="69" t="s">
        <v>142</v>
      </c>
      <c r="B11" s="70">
        <v>48503</v>
      </c>
      <c r="C11" s="71" t="str">
        <f ca="1">VLOOKUP($B11,OFFSET([2]quests!$A$1,0,0,COUNTA([2]quests!$A:$A),MATCH(C$1,[2]quests!$1:$1,0)-MATCH($B$1,[2]quests!$1:$1,0)+1),MATCH(C$1,[2]quests!$1:$1,0)-MATCH($B$1,[2]quests!$1:$1,0)+1,FALSE)</f>
        <v>ナーガ襲来！</v>
      </c>
      <c r="D11" s="71" t="str">
        <f ca="1">VLOOKUP($B11,OFFSET([2]quests!$A$1,0,0,COUNTA([2]quests!$A:$A),MATCH(D$1,[2]quests!$1:$1,0)-MATCH($B$1,[2]quests!$1:$1,0)+1),MATCH(D$1,[2]quests!$1:$1,0)-MATCH($B$1,[2]quests!$1:$1,0)+1,FALSE)</f>
        <v>グローバル版降臨3</v>
      </c>
      <c r="E11" s="72">
        <v>2</v>
      </c>
      <c r="F11" s="71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11" s="71" t="str">
        <f ca="1">VLOOKUP($B11&amp;"_"&amp;$E11,OFFSET([2]stages!$A$1,0,0,COUNTA([2]stages!$A:$A),MATCH(G$1,[2]stages!$2:$2,0)-MATCH("temp_stage",[2]stages!$2:$2,0)+1),MATCH(G$1,[2]stages!$2:$2,0)-MATCH("temp_stage",[2]stages!$2:$2,0)+1,FALSE)</f>
        <v>グローバル版降臨3</v>
      </c>
      <c r="H11" s="73">
        <v>4</v>
      </c>
      <c r="I11" s="78">
        <f t="shared" si="0"/>
        <v>10</v>
      </c>
      <c r="J11" s="74" t="str">
        <f t="shared" si="3"/>
        <v>4850310</v>
      </c>
      <c r="K11" s="72" t="s">
        <v>143</v>
      </c>
      <c r="L11" s="75" t="s">
        <v>184</v>
      </c>
      <c r="M11" s="111" t="s">
        <v>495</v>
      </c>
      <c r="N11" s="46" t="s">
        <v>326</v>
      </c>
      <c r="O11">
        <f t="shared" si="1"/>
        <v>49</v>
      </c>
    </row>
    <row r="12" spans="1:15" ht="28" x14ac:dyDescent="0.15">
      <c r="A12" s="112" t="s">
        <v>142</v>
      </c>
      <c r="B12" s="113">
        <v>48503</v>
      </c>
      <c r="C12" s="114" t="str">
        <f ca="1">VLOOKUP($B12,OFFSET([2]quests!$A$1,0,0,COUNTA([2]quests!$A:$A),MATCH(C$1,[2]quests!$1:$1,0)-MATCH($B$1,[2]quests!$1:$1,0)+1),MATCH(C$1,[2]quests!$1:$1,0)-MATCH($B$1,[2]quests!$1:$1,0)+1,FALSE)</f>
        <v>ナーガ襲来！</v>
      </c>
      <c r="D12" s="114" t="str">
        <f ca="1">VLOOKUP($B12,OFFSET([2]quests!$A$1,0,0,COUNTA([2]quests!$A:$A),MATCH(D$1,[2]quests!$1:$1,0)-MATCH($B$1,[2]quests!$1:$1,0)+1),MATCH(D$1,[2]quests!$1:$1,0)-MATCH($B$1,[2]quests!$1:$1,0)+1,FALSE)</f>
        <v>グローバル版降臨3</v>
      </c>
      <c r="E12" s="115">
        <v>1</v>
      </c>
      <c r="F12" s="114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【超絶級】ナーガ襲来</v>
      </c>
      <c r="G12" s="114" t="str">
        <f ca="1">VLOOKUP($B12&amp;"_"&amp;$E12,OFFSET([2]stages!$A$1,0,0,COUNTA([2]stages!$A:$A),MATCH(G$1,[2]stages!$2:$2,0)-MATCH("temp_stage",[2]stages!$2:$2,0)+1),MATCH(G$1,[2]stages!$2:$2,0)-MATCH("temp_stage",[2]stages!$2:$2,0)+1,FALSE)</f>
        <v>グローバル版降臨3</v>
      </c>
      <c r="H12" s="114">
        <v>1</v>
      </c>
      <c r="I12" s="78">
        <f>ROW()-1</f>
        <v>11</v>
      </c>
      <c r="J12" s="74" t="str">
        <f>B12&amp;TEXT(I12,"00")</f>
        <v>4850311</v>
      </c>
      <c r="K12" s="115" t="s">
        <v>143</v>
      </c>
      <c r="L12" s="116" t="s">
        <v>184</v>
      </c>
      <c r="M12" s="117" t="s">
        <v>483</v>
      </c>
      <c r="N12" s="118" t="s">
        <v>326</v>
      </c>
      <c r="O12">
        <f t="shared" si="1"/>
        <v>24</v>
      </c>
    </row>
    <row r="13" spans="1:15" ht="28" x14ac:dyDescent="0.15">
      <c r="A13" s="112" t="s">
        <v>142</v>
      </c>
      <c r="B13" s="113">
        <v>48503</v>
      </c>
      <c r="C13" s="114" t="str">
        <f ca="1">VLOOKUP($B13,OFFSET([2]quests!$A$1,0,0,COUNTA([2]quests!$A:$A),MATCH(C$1,[2]quests!$1:$1,0)-MATCH($B$1,[2]quests!$1:$1,0)+1),MATCH(C$1,[2]quests!$1:$1,0)-MATCH($B$1,[2]quests!$1:$1,0)+1,FALSE)</f>
        <v>ナーガ襲来！</v>
      </c>
      <c r="D13" s="114" t="str">
        <f ca="1">VLOOKUP($B13,OFFSET([2]quests!$A$1,0,0,COUNTA([2]quests!$A:$A),MATCH(D$1,[2]quests!$1:$1,0)-MATCH($B$1,[2]quests!$1:$1,0)+1),MATCH(D$1,[2]quests!$1:$1,0)-MATCH($B$1,[2]quests!$1:$1,0)+1,FALSE)</f>
        <v>グローバル版降臨3</v>
      </c>
      <c r="E13" s="115">
        <v>1</v>
      </c>
      <c r="F13" s="114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【超絶級】ナーガ襲来</v>
      </c>
      <c r="G13" s="114" t="str">
        <f ca="1">VLOOKUP($B13&amp;"_"&amp;$E13,OFFSET([2]stages!$A$1,0,0,COUNTA([2]stages!$A:$A),MATCH(G$1,[2]stages!$2:$2,0)-MATCH("temp_stage",[2]stages!$2:$2,0)+1),MATCH(G$1,[2]stages!$2:$2,0)-MATCH("temp_stage",[2]stages!$2:$2,0)+1,FALSE)</f>
        <v>グローバル版降臨3</v>
      </c>
      <c r="H13" s="114">
        <v>2</v>
      </c>
      <c r="I13" s="78">
        <f t="shared" si="0"/>
        <v>12</v>
      </c>
      <c r="J13" s="74" t="str">
        <f>B13&amp;TEXT(I13,"00")</f>
        <v>4850312</v>
      </c>
      <c r="K13" s="115" t="s">
        <v>143</v>
      </c>
      <c r="L13" s="116" t="s">
        <v>184</v>
      </c>
      <c r="M13" s="117" t="s">
        <v>496</v>
      </c>
      <c r="N13" s="118" t="s">
        <v>326</v>
      </c>
      <c r="O13">
        <f t="shared" si="1"/>
        <v>36</v>
      </c>
    </row>
    <row r="14" spans="1:15" ht="28" x14ac:dyDescent="0.15">
      <c r="A14" s="112" t="s">
        <v>142</v>
      </c>
      <c r="B14" s="113">
        <v>48503</v>
      </c>
      <c r="C14" s="114" t="str">
        <f ca="1">VLOOKUP($B14,OFFSET([2]quests!$A$1,0,0,COUNTA([2]quests!$A:$A),MATCH(C$1,[2]quests!$1:$1,0)-MATCH($B$1,[2]quests!$1:$1,0)+1),MATCH(C$1,[2]quests!$1:$1,0)-MATCH($B$1,[2]quests!$1:$1,0)+1,FALSE)</f>
        <v>ナーガ襲来！</v>
      </c>
      <c r="D14" s="114" t="str">
        <f ca="1">VLOOKUP($B14,OFFSET([2]quests!$A$1,0,0,COUNTA([2]quests!$A:$A),MATCH(D$1,[2]quests!$1:$1,0)-MATCH($B$1,[2]quests!$1:$1,0)+1),MATCH(D$1,[2]quests!$1:$1,0)-MATCH($B$1,[2]quests!$1:$1,0)+1,FALSE)</f>
        <v>グローバル版降臨3</v>
      </c>
      <c r="E14" s="115">
        <v>1</v>
      </c>
      <c r="F14" s="114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【超絶級】ナーガ襲来</v>
      </c>
      <c r="G14" s="114" t="str">
        <f ca="1">VLOOKUP($B14&amp;"_"&amp;$E14,OFFSET([2]stages!$A$1,0,0,COUNTA([2]stages!$A:$A),MATCH(G$1,[2]stages!$2:$2,0)-MATCH("temp_stage",[2]stages!$2:$2,0)+1),MATCH(G$1,[2]stages!$2:$2,0)-MATCH("temp_stage",[2]stages!$2:$2,0)+1,FALSE)</f>
        <v>グローバル版降臨3</v>
      </c>
      <c r="H14" s="114">
        <v>2</v>
      </c>
      <c r="I14" s="78">
        <f t="shared" si="0"/>
        <v>13</v>
      </c>
      <c r="J14" s="74" t="str">
        <f t="shared" ref="J14:J16" si="4">B14&amp;TEXT(I14,"00")</f>
        <v>4850313</v>
      </c>
      <c r="K14" s="115" t="s">
        <v>143</v>
      </c>
      <c r="L14" s="116" t="s">
        <v>184</v>
      </c>
      <c r="M14" s="117" t="s">
        <v>498</v>
      </c>
      <c r="N14" s="118" t="s">
        <v>326</v>
      </c>
      <c r="O14">
        <f t="shared" si="1"/>
        <v>37</v>
      </c>
    </row>
    <row r="15" spans="1:15" ht="28" x14ac:dyDescent="0.15">
      <c r="A15" s="112" t="s">
        <v>142</v>
      </c>
      <c r="B15" s="113">
        <v>48503</v>
      </c>
      <c r="C15" s="114" t="str">
        <f ca="1">VLOOKUP($B15,OFFSET([2]quests!$A$1,0,0,COUNTA([2]quests!$A:$A),MATCH(C$1,[2]quests!$1:$1,0)-MATCH($B$1,[2]quests!$1:$1,0)+1),MATCH(C$1,[2]quests!$1:$1,0)-MATCH($B$1,[2]quests!$1:$1,0)+1,FALSE)</f>
        <v>ナーガ襲来！</v>
      </c>
      <c r="D15" s="114" t="str">
        <f ca="1">VLOOKUP($B15,OFFSET([2]quests!$A$1,0,0,COUNTA([2]quests!$A:$A),MATCH(D$1,[2]quests!$1:$1,0)-MATCH($B$1,[2]quests!$1:$1,0)+1),MATCH(D$1,[2]quests!$1:$1,0)-MATCH($B$1,[2]quests!$1:$1,0)+1,FALSE)</f>
        <v>グローバル版降臨3</v>
      </c>
      <c r="E15" s="115">
        <v>1</v>
      </c>
      <c r="F15" s="114" t="str">
        <f ca="1">VLOOKUP($B15&amp;"_"&amp;$E15,OFFSET([2]stages!$A$1,0,0,COUNTA([2]stages!$A:$A),MATCH(F$1,[2]stages!$2:$2,0)-MATCH("temp_stage",[2]stages!$2:$2,0)+1),MATCH(F$1,[2]stages!$2:$2,0)-MATCH("temp_stage",[2]stages!$2:$2,0)+1,FALSE)</f>
        <v>【超絶級】ナーガ襲来</v>
      </c>
      <c r="G15" s="114" t="str">
        <f ca="1">VLOOKUP($B15&amp;"_"&amp;$E15,OFFSET([2]stages!$A$1,0,0,COUNTA([2]stages!$A:$A),MATCH(G$1,[2]stages!$2:$2,0)-MATCH("temp_stage",[2]stages!$2:$2,0)+1),MATCH(G$1,[2]stages!$2:$2,0)-MATCH("temp_stage",[2]stages!$2:$2,0)+1,FALSE)</f>
        <v>グローバル版降臨3</v>
      </c>
      <c r="H15" s="114">
        <v>3</v>
      </c>
      <c r="I15" s="78">
        <f t="shared" si="0"/>
        <v>14</v>
      </c>
      <c r="J15" s="74" t="str">
        <f t="shared" si="4"/>
        <v>4850314</v>
      </c>
      <c r="K15" s="115" t="s">
        <v>143</v>
      </c>
      <c r="L15" s="116" t="s">
        <v>184</v>
      </c>
      <c r="M15" s="117" t="s">
        <v>327</v>
      </c>
      <c r="N15" s="118" t="s">
        <v>326</v>
      </c>
      <c r="O15">
        <f t="shared" si="1"/>
        <v>33</v>
      </c>
    </row>
    <row r="16" spans="1:15" ht="56" x14ac:dyDescent="0.15">
      <c r="A16" s="112" t="s">
        <v>142</v>
      </c>
      <c r="B16" s="113">
        <v>48503</v>
      </c>
      <c r="C16" s="114" t="str">
        <f ca="1">VLOOKUP($B16,OFFSET([2]quests!$A$1,0,0,COUNTA([2]quests!$A:$A),MATCH(C$1,[2]quests!$1:$1,0)-MATCH($B$1,[2]quests!$1:$1,0)+1),MATCH(C$1,[2]quests!$1:$1,0)-MATCH($B$1,[2]quests!$1:$1,0)+1,FALSE)</f>
        <v>ナーガ襲来！</v>
      </c>
      <c r="D16" s="114" t="str">
        <f ca="1">VLOOKUP($B16,OFFSET([2]quests!$A$1,0,0,COUNTA([2]quests!$A:$A),MATCH(D$1,[2]quests!$1:$1,0)-MATCH($B$1,[2]quests!$1:$1,0)+1),MATCH(D$1,[2]quests!$1:$1,0)-MATCH($B$1,[2]quests!$1:$1,0)+1,FALSE)</f>
        <v>グローバル版降臨3</v>
      </c>
      <c r="E16" s="115">
        <v>1</v>
      </c>
      <c r="F16" s="114" t="str">
        <f ca="1">VLOOKUP($B16&amp;"_"&amp;$E16,OFFSET([2]stages!$A$1,0,0,COUNTA([2]stages!$A:$A),MATCH(F$1,[2]stages!$2:$2,0)-MATCH("temp_stage",[2]stages!$2:$2,0)+1),MATCH(F$1,[2]stages!$2:$2,0)-MATCH("temp_stage",[2]stages!$2:$2,0)+1,FALSE)</f>
        <v>【超絶級】ナーガ襲来</v>
      </c>
      <c r="G16" s="114" t="str">
        <f ca="1">VLOOKUP($B16&amp;"_"&amp;$E16,OFFSET([2]stages!$A$1,0,0,COUNTA([2]stages!$A:$A),MATCH(G$1,[2]stages!$2:$2,0)-MATCH("temp_stage",[2]stages!$2:$2,0)+1),MATCH(G$1,[2]stages!$2:$2,0)-MATCH("temp_stage",[2]stages!$2:$2,0)+1,FALSE)</f>
        <v>グローバル版降臨3</v>
      </c>
      <c r="H16" s="114">
        <v>4</v>
      </c>
      <c r="I16" s="78">
        <f t="shared" si="0"/>
        <v>15</v>
      </c>
      <c r="J16" s="74" t="str">
        <f t="shared" si="4"/>
        <v>4850315</v>
      </c>
      <c r="K16" s="115" t="s">
        <v>143</v>
      </c>
      <c r="L16" s="116" t="s">
        <v>184</v>
      </c>
      <c r="M16" s="117" t="s">
        <v>484</v>
      </c>
      <c r="N16" s="118" t="s">
        <v>326</v>
      </c>
      <c r="O16">
        <f t="shared" si="1"/>
        <v>60</v>
      </c>
    </row>
    <row r="17" spans="1:15" ht="42" x14ac:dyDescent="0.15">
      <c r="A17" s="112" t="s">
        <v>142</v>
      </c>
      <c r="B17" s="113">
        <v>48503</v>
      </c>
      <c r="C17" s="114" t="str">
        <f ca="1">VLOOKUP($B17,OFFSET([2]quests!$A$1,0,0,COUNTA([2]quests!$A:$A),MATCH(C$1,[2]quests!$1:$1,0)-MATCH($B$1,[2]quests!$1:$1,0)+1),MATCH(C$1,[2]quests!$1:$1,0)-MATCH($B$1,[2]quests!$1:$1,0)+1,FALSE)</f>
        <v>ナーガ襲来！</v>
      </c>
      <c r="D17" s="114" t="str">
        <f ca="1">VLOOKUP($B17,OFFSET([2]quests!$A$1,0,0,COUNTA([2]quests!$A:$A),MATCH(D$1,[2]quests!$1:$1,0)-MATCH($B$1,[2]quests!$1:$1,0)+1),MATCH(D$1,[2]quests!$1:$1,0)-MATCH($B$1,[2]quests!$1:$1,0)+1,FALSE)</f>
        <v>グローバル版降臨3</v>
      </c>
      <c r="E17" s="115">
        <v>1</v>
      </c>
      <c r="F17" s="114" t="str">
        <f ca="1">VLOOKUP($B17&amp;"_"&amp;$E17,OFFSET([2]stages!$A$1,0,0,COUNTA([2]stages!$A:$A),MATCH(F$1,[2]stages!$2:$2,0)-MATCH("temp_stage",[2]stages!$2:$2,0)+1),MATCH(F$1,[2]stages!$2:$2,0)-MATCH("temp_stage",[2]stages!$2:$2,0)+1,FALSE)</f>
        <v>【超絶級】ナーガ襲来</v>
      </c>
      <c r="G17" s="114" t="str">
        <f ca="1">VLOOKUP($B17&amp;"_"&amp;$E17,OFFSET([2]stages!$A$1,0,0,COUNTA([2]stages!$A:$A),MATCH(G$1,[2]stages!$2:$2,0)-MATCH("temp_stage",[2]stages!$2:$2,0)+1),MATCH(G$1,[2]stages!$2:$2,0)-MATCH("temp_stage",[2]stages!$2:$2,0)+1,FALSE)</f>
        <v>グローバル版降臨3</v>
      </c>
      <c r="H17" s="114">
        <v>4</v>
      </c>
      <c r="I17" s="78">
        <f>ROW()-1</f>
        <v>16</v>
      </c>
      <c r="J17" s="74" t="str">
        <f>B17&amp;TEXT(I17,"00")</f>
        <v>4850316</v>
      </c>
      <c r="K17" s="115" t="s">
        <v>143</v>
      </c>
      <c r="L17" s="116" t="s">
        <v>184</v>
      </c>
      <c r="M17" s="117" t="s">
        <v>490</v>
      </c>
      <c r="N17" s="118" t="s">
        <v>326</v>
      </c>
      <c r="O17">
        <f t="shared" si="1"/>
        <v>43</v>
      </c>
    </row>
    <row r="18" spans="1:15" ht="28" x14ac:dyDescent="0.15">
      <c r="A18" s="112" t="s">
        <v>142</v>
      </c>
      <c r="B18" s="113">
        <v>48503</v>
      </c>
      <c r="C18" s="114" t="str">
        <f ca="1">VLOOKUP($B18,OFFSET([2]quests!$A$1,0,0,COUNTA([2]quests!$A:$A),MATCH(C$1,[2]quests!$1:$1,0)-MATCH($B$1,[2]quests!$1:$1,0)+1),MATCH(C$1,[2]quests!$1:$1,0)-MATCH($B$1,[2]quests!$1:$1,0)+1,FALSE)</f>
        <v>ナーガ襲来！</v>
      </c>
      <c r="D18" s="114" t="str">
        <f ca="1">VLOOKUP($B18,OFFSET([2]quests!$A$1,0,0,COUNTA([2]quests!$A:$A),MATCH(D$1,[2]quests!$1:$1,0)-MATCH($B$1,[2]quests!$1:$1,0)+1),MATCH(D$1,[2]quests!$1:$1,0)-MATCH($B$1,[2]quests!$1:$1,0)+1,FALSE)</f>
        <v>グローバル版降臨3</v>
      </c>
      <c r="E18" s="115">
        <v>1</v>
      </c>
      <c r="F18" s="114" t="str">
        <f ca="1">VLOOKUP($B18&amp;"_"&amp;$E18,OFFSET([2]stages!$A$1,0,0,COUNTA([2]stages!$A:$A),MATCH(F$1,[2]stages!$2:$2,0)-MATCH("temp_stage",[2]stages!$2:$2,0)+1),MATCH(F$1,[2]stages!$2:$2,0)-MATCH("temp_stage",[2]stages!$2:$2,0)+1,FALSE)</f>
        <v>【超絶級】ナーガ襲来</v>
      </c>
      <c r="G18" s="114" t="str">
        <f ca="1">VLOOKUP($B18&amp;"_"&amp;$E18,OFFSET([2]stages!$A$1,0,0,COUNTA([2]stages!$A:$A),MATCH(G$1,[2]stages!$2:$2,0)-MATCH("temp_stage",[2]stages!$2:$2,0)+1),MATCH(G$1,[2]stages!$2:$2,0)-MATCH("temp_stage",[2]stages!$2:$2,0)+1,FALSE)</f>
        <v>グローバル版降臨3</v>
      </c>
      <c r="H18" s="114">
        <v>4</v>
      </c>
      <c r="I18" s="78">
        <f t="shared" si="0"/>
        <v>17</v>
      </c>
      <c r="J18" s="74" t="str">
        <f t="shared" ref="J18:J27" si="5">B18&amp;TEXT(I18,"00")</f>
        <v>4850317</v>
      </c>
      <c r="K18" s="115" t="s">
        <v>143</v>
      </c>
      <c r="L18" s="116" t="s">
        <v>184</v>
      </c>
      <c r="M18" s="117" t="s">
        <v>487</v>
      </c>
      <c r="N18" s="118" t="s">
        <v>326</v>
      </c>
      <c r="O18">
        <f t="shared" si="1"/>
        <v>39</v>
      </c>
    </row>
    <row r="19" spans="1:15" ht="42" x14ac:dyDescent="0.15">
      <c r="A19" s="112" t="s">
        <v>142</v>
      </c>
      <c r="B19" s="113">
        <v>48503</v>
      </c>
      <c r="C19" s="114" t="str">
        <f ca="1">VLOOKUP($B19,OFFSET([2]quests!$A$1,0,0,COUNTA([2]quests!$A:$A),MATCH(C$1,[2]quests!$1:$1,0)-MATCH($B$1,[2]quests!$1:$1,0)+1),MATCH(C$1,[2]quests!$1:$1,0)-MATCH($B$1,[2]quests!$1:$1,0)+1,FALSE)</f>
        <v>ナーガ襲来！</v>
      </c>
      <c r="D19" s="114" t="str">
        <f ca="1">VLOOKUP($B19,OFFSET([2]quests!$A$1,0,0,COUNTA([2]quests!$A:$A),MATCH(D$1,[2]quests!$1:$1,0)-MATCH($B$1,[2]quests!$1:$1,0)+1),MATCH(D$1,[2]quests!$1:$1,0)-MATCH($B$1,[2]quests!$1:$1,0)+1,FALSE)</f>
        <v>グローバル版降臨3</v>
      </c>
      <c r="E19" s="115">
        <v>1</v>
      </c>
      <c r="F19" s="114" t="str">
        <f ca="1">VLOOKUP($B19&amp;"_"&amp;$E19,OFFSET([2]stages!$A$1,0,0,COUNTA([2]stages!$A:$A),MATCH(F$1,[2]stages!$2:$2,0)-MATCH("temp_stage",[2]stages!$2:$2,0)+1),MATCH(F$1,[2]stages!$2:$2,0)-MATCH("temp_stage",[2]stages!$2:$2,0)+1,FALSE)</f>
        <v>【超絶級】ナーガ襲来</v>
      </c>
      <c r="G19" s="114" t="str">
        <f ca="1">VLOOKUP($B19&amp;"_"&amp;$E19,OFFSET([2]stages!$A$1,0,0,COUNTA([2]stages!$A:$A),MATCH(G$1,[2]stages!$2:$2,0)-MATCH("temp_stage",[2]stages!$2:$2,0)+1),MATCH(G$1,[2]stages!$2:$2,0)-MATCH("temp_stage",[2]stages!$2:$2,0)+1,FALSE)</f>
        <v>グローバル版降臨3</v>
      </c>
      <c r="H19" s="114">
        <v>4</v>
      </c>
      <c r="I19" s="78">
        <f t="shared" si="0"/>
        <v>18</v>
      </c>
      <c r="J19" s="74" t="str">
        <f t="shared" si="5"/>
        <v>4850318</v>
      </c>
      <c r="K19" s="115" t="s">
        <v>143</v>
      </c>
      <c r="L19" s="116" t="s">
        <v>184</v>
      </c>
      <c r="M19" s="117" t="s">
        <v>491</v>
      </c>
      <c r="N19" s="118" t="s">
        <v>326</v>
      </c>
      <c r="O19">
        <f t="shared" si="1"/>
        <v>43</v>
      </c>
    </row>
    <row r="20" spans="1:15" ht="28" x14ac:dyDescent="0.15">
      <c r="A20" s="112" t="s">
        <v>142</v>
      </c>
      <c r="B20" s="113">
        <v>48503</v>
      </c>
      <c r="C20" s="114" t="str">
        <f ca="1">VLOOKUP($B20,OFFSET([2]quests!$A$1,0,0,COUNTA([2]quests!$A:$A),MATCH(C$1,[2]quests!$1:$1,0)-MATCH($B$1,[2]quests!$1:$1,0)+1),MATCH(C$1,[2]quests!$1:$1,0)-MATCH($B$1,[2]quests!$1:$1,0)+1,FALSE)</f>
        <v>ナーガ襲来！</v>
      </c>
      <c r="D20" s="114" t="str">
        <f ca="1">VLOOKUP($B20,OFFSET([2]quests!$A$1,0,0,COUNTA([2]quests!$A:$A),MATCH(D$1,[2]quests!$1:$1,0)-MATCH($B$1,[2]quests!$1:$1,0)+1),MATCH(D$1,[2]quests!$1:$1,0)-MATCH($B$1,[2]quests!$1:$1,0)+1,FALSE)</f>
        <v>グローバル版降臨3</v>
      </c>
      <c r="E20" s="115">
        <v>1</v>
      </c>
      <c r="F20" s="114" t="str">
        <f ca="1">VLOOKUP($B20&amp;"_"&amp;$E20,OFFSET([2]stages!$A$1,0,0,COUNTA([2]stages!$A:$A),MATCH(F$1,[2]stages!$2:$2,0)-MATCH("temp_stage",[2]stages!$2:$2,0)+1),MATCH(F$1,[2]stages!$2:$2,0)-MATCH("temp_stage",[2]stages!$2:$2,0)+1,FALSE)</f>
        <v>【超絶級】ナーガ襲来</v>
      </c>
      <c r="G20" s="114" t="str">
        <f ca="1">VLOOKUP($B20&amp;"_"&amp;$E20,OFFSET([2]stages!$A$1,0,0,COUNTA([2]stages!$A:$A),MATCH(G$1,[2]stages!$2:$2,0)-MATCH("temp_stage",[2]stages!$2:$2,0)+1),MATCH(G$1,[2]stages!$2:$2,0)-MATCH("temp_stage",[2]stages!$2:$2,0)+1,FALSE)</f>
        <v>グローバル版降臨3</v>
      </c>
      <c r="H20" s="114">
        <v>4</v>
      </c>
      <c r="I20" s="78">
        <f t="shared" si="0"/>
        <v>19</v>
      </c>
      <c r="J20" s="74" t="str">
        <f t="shared" si="5"/>
        <v>4850319</v>
      </c>
      <c r="K20" s="115" t="s">
        <v>143</v>
      </c>
      <c r="L20" s="116" t="s">
        <v>184</v>
      </c>
      <c r="M20" s="117" t="s">
        <v>492</v>
      </c>
      <c r="N20" s="118" t="s">
        <v>326</v>
      </c>
      <c r="O20">
        <f t="shared" si="1"/>
        <v>40</v>
      </c>
    </row>
    <row r="21" spans="1:15" ht="42" x14ac:dyDescent="0.15">
      <c r="A21" s="112" t="s">
        <v>142</v>
      </c>
      <c r="B21" s="113">
        <v>48503</v>
      </c>
      <c r="C21" s="114" t="str">
        <f ca="1">VLOOKUP($B21,OFFSET([2]quests!$A$1,0,0,COUNTA([2]quests!$A:$A),MATCH(C$1,[2]quests!$1:$1,0)-MATCH($B$1,[2]quests!$1:$1,0)+1),MATCH(C$1,[2]quests!$1:$1,0)-MATCH($B$1,[2]quests!$1:$1,0)+1,FALSE)</f>
        <v>ナーガ襲来！</v>
      </c>
      <c r="D21" s="114" t="str">
        <f ca="1">VLOOKUP($B21,OFFSET([2]quests!$A$1,0,0,COUNTA([2]quests!$A:$A),MATCH(D$1,[2]quests!$1:$1,0)-MATCH($B$1,[2]quests!$1:$1,0)+1),MATCH(D$1,[2]quests!$1:$1,0)-MATCH($B$1,[2]quests!$1:$1,0)+1,FALSE)</f>
        <v>グローバル版降臨3</v>
      </c>
      <c r="E21" s="115">
        <v>1</v>
      </c>
      <c r="F21" s="114" t="str">
        <f ca="1">VLOOKUP($B21&amp;"_"&amp;$E21,OFFSET([2]stages!$A$1,0,0,COUNTA([2]stages!$A:$A),MATCH(F$1,[2]stages!$2:$2,0)-MATCH("temp_stage",[2]stages!$2:$2,0)+1),MATCH(F$1,[2]stages!$2:$2,0)-MATCH("temp_stage",[2]stages!$2:$2,0)+1,FALSE)</f>
        <v>【超絶級】ナーガ襲来</v>
      </c>
      <c r="G21" s="114" t="str">
        <f ca="1">VLOOKUP($B21&amp;"_"&amp;$E21,OFFSET([2]stages!$A$1,0,0,COUNTA([2]stages!$A:$A),MATCH(G$1,[2]stages!$2:$2,0)-MATCH("temp_stage",[2]stages!$2:$2,0)+1),MATCH(G$1,[2]stages!$2:$2,0)-MATCH("temp_stage",[2]stages!$2:$2,0)+1,FALSE)</f>
        <v>グローバル版降臨3</v>
      </c>
      <c r="H21" s="114">
        <v>4</v>
      </c>
      <c r="I21" s="78">
        <f t="shared" si="0"/>
        <v>20</v>
      </c>
      <c r="J21" s="74" t="str">
        <f t="shared" si="5"/>
        <v>4850320</v>
      </c>
      <c r="K21" s="115" t="s">
        <v>143</v>
      </c>
      <c r="L21" s="116" t="s">
        <v>184</v>
      </c>
      <c r="M21" s="117" t="s">
        <v>494</v>
      </c>
      <c r="N21" s="118" t="s">
        <v>326</v>
      </c>
      <c r="O21">
        <f t="shared" si="1"/>
        <v>49</v>
      </c>
    </row>
    <row r="22" spans="1:15" ht="56" x14ac:dyDescent="0.15">
      <c r="A22" s="69" t="s">
        <v>144</v>
      </c>
      <c r="B22" s="70">
        <v>48503</v>
      </c>
      <c r="C22" s="71" t="str">
        <f ca="1">VLOOKUP($B22,OFFSET([2]quests!$A$1,0,0,COUNTA([2]quests!$A:$A),MATCH(C$1,[2]quests!$1:$1,0)-MATCH($B$1,[2]quests!$1:$1,0)+1),MATCH(C$1,[2]quests!$1:$1,0)-MATCH($B$1,[2]quests!$1:$1,0)+1,FALSE)</f>
        <v>ナーガ襲来！</v>
      </c>
      <c r="D22" s="71" t="str">
        <f ca="1">VLOOKUP($B22,OFFSET([2]quests!$A$1,0,0,COUNTA([2]quests!$A:$A),MATCH(D$1,[2]quests!$1:$1,0)-MATCH($B$1,[2]quests!$1:$1,0)+1),MATCH(D$1,[2]quests!$1:$1,0)-MATCH($B$1,[2]quests!$1:$1,0)+1,FALSE)</f>
        <v>グローバル版降臨3</v>
      </c>
      <c r="E22" s="72">
        <v>2</v>
      </c>
      <c r="F22" s="71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22" s="71" t="str">
        <f ca="1">VLOOKUP($B22&amp;"_"&amp;$E22,OFFSET([2]stages!$A$1,0,0,COUNTA([2]stages!$A:$A),MATCH(G$1,[2]stages!$2:$2,0)-MATCH("temp_stage",[2]stages!$2:$2,0)+1),MATCH(G$1,[2]stages!$2:$2,0)-MATCH("temp_stage",[2]stages!$2:$2,0)+1,FALSE)</f>
        <v>グローバル版降臨3</v>
      </c>
      <c r="H22" s="73">
        <v>0</v>
      </c>
      <c r="I22" s="78">
        <f t="shared" si="0"/>
        <v>21</v>
      </c>
      <c r="J22" s="74" t="str">
        <f t="shared" si="5"/>
        <v>4850321</v>
      </c>
      <c r="K22" s="72" t="s">
        <v>143</v>
      </c>
      <c r="L22" s="75" t="s">
        <v>328</v>
      </c>
      <c r="M22" s="111" t="s">
        <v>510</v>
      </c>
      <c r="N22" s="46" t="s">
        <v>326</v>
      </c>
      <c r="O22">
        <f t="shared" si="1"/>
        <v>62</v>
      </c>
    </row>
    <row r="23" spans="1:15" ht="56" x14ac:dyDescent="0.15">
      <c r="A23" s="69" t="s">
        <v>144</v>
      </c>
      <c r="B23" s="70">
        <v>48503</v>
      </c>
      <c r="C23" s="71" t="str">
        <f ca="1">VLOOKUP($B23,OFFSET([2]quests!$A$1,0,0,COUNTA([2]quests!$A:$A),MATCH(C$1,[2]quests!$1:$1,0)-MATCH($B$1,[2]quests!$1:$1,0)+1),MATCH(C$1,[2]quests!$1:$1,0)-MATCH($B$1,[2]quests!$1:$1,0)+1,FALSE)</f>
        <v>ナーガ襲来！</v>
      </c>
      <c r="D23" s="71" t="str">
        <f ca="1">VLOOKUP($B23,OFFSET([2]quests!$A$1,0,0,COUNTA([2]quests!$A:$A),MATCH(D$1,[2]quests!$1:$1,0)-MATCH($B$1,[2]quests!$1:$1,0)+1),MATCH(D$1,[2]quests!$1:$1,0)-MATCH($B$1,[2]quests!$1:$1,0)+1,FALSE)</f>
        <v>グローバル版降臨3</v>
      </c>
      <c r="E23" s="72">
        <v>2</v>
      </c>
      <c r="F23" s="71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23" s="71" t="str">
        <f ca="1">VLOOKUP($B23&amp;"_"&amp;$E23,OFFSET([2]stages!$A$1,0,0,COUNTA([2]stages!$A:$A),MATCH(G$1,[2]stages!$2:$2,0)-MATCH("temp_stage",[2]stages!$2:$2,0)+1),MATCH(G$1,[2]stages!$2:$2,0)-MATCH("temp_stage",[2]stages!$2:$2,0)+1,FALSE)</f>
        <v>グローバル版降臨3</v>
      </c>
      <c r="H23" s="73">
        <v>0</v>
      </c>
      <c r="I23" s="78">
        <f t="shared" si="0"/>
        <v>22</v>
      </c>
      <c r="J23" s="74" t="str">
        <f t="shared" si="5"/>
        <v>4850322</v>
      </c>
      <c r="K23" s="72" t="s">
        <v>143</v>
      </c>
      <c r="L23" s="75" t="s">
        <v>329</v>
      </c>
      <c r="M23" s="111" t="s">
        <v>512</v>
      </c>
      <c r="N23" s="46" t="s">
        <v>326</v>
      </c>
      <c r="O23">
        <f t="shared" si="1"/>
        <v>61</v>
      </c>
    </row>
    <row r="24" spans="1:15" ht="56" x14ac:dyDescent="0.15">
      <c r="A24" s="69" t="s">
        <v>144</v>
      </c>
      <c r="B24" s="70">
        <v>48503</v>
      </c>
      <c r="C24" s="71" t="str">
        <f ca="1">VLOOKUP($B24,OFFSET([2]quests!$A$1,0,0,COUNTA([2]quests!$A:$A),MATCH(C$1,[2]quests!$1:$1,0)-MATCH($B$1,[2]quests!$1:$1,0)+1),MATCH(C$1,[2]quests!$1:$1,0)-MATCH($B$1,[2]quests!$1:$1,0)+1,FALSE)</f>
        <v>ナーガ襲来！</v>
      </c>
      <c r="D24" s="71" t="str">
        <f ca="1">VLOOKUP($B24,OFFSET([2]quests!$A$1,0,0,COUNTA([2]quests!$A:$A),MATCH(D$1,[2]quests!$1:$1,0)-MATCH($B$1,[2]quests!$1:$1,0)+1),MATCH(D$1,[2]quests!$1:$1,0)-MATCH($B$1,[2]quests!$1:$1,0)+1,FALSE)</f>
        <v>グローバル版降臨3</v>
      </c>
      <c r="E24" s="72">
        <v>2</v>
      </c>
      <c r="F24" s="71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24" s="71" t="str">
        <f ca="1">VLOOKUP($B24&amp;"_"&amp;$E24,OFFSET([2]stages!$A$1,0,0,COUNTA([2]stages!$A:$A),MATCH(G$1,[2]stages!$2:$2,0)-MATCH("temp_stage",[2]stages!$2:$2,0)+1),MATCH(G$1,[2]stages!$2:$2,0)-MATCH("temp_stage",[2]stages!$2:$2,0)+1,FALSE)</f>
        <v>グローバル版降臨3</v>
      </c>
      <c r="H24" s="73">
        <v>0</v>
      </c>
      <c r="I24" s="78">
        <f t="shared" si="0"/>
        <v>23</v>
      </c>
      <c r="J24" s="74" t="str">
        <f t="shared" si="5"/>
        <v>4850323</v>
      </c>
      <c r="K24" s="72" t="s">
        <v>143</v>
      </c>
      <c r="L24" s="75" t="s">
        <v>330</v>
      </c>
      <c r="M24" s="111" t="s">
        <v>331</v>
      </c>
      <c r="N24" s="46" t="s">
        <v>326</v>
      </c>
      <c r="O24">
        <f t="shared" si="1"/>
        <v>55</v>
      </c>
    </row>
    <row r="25" spans="1:15" ht="56" x14ac:dyDescent="0.15">
      <c r="A25" s="112" t="s">
        <v>144</v>
      </c>
      <c r="B25" s="113">
        <v>48503</v>
      </c>
      <c r="C25" s="114" t="str">
        <f ca="1">VLOOKUP($B25,OFFSET([2]quests!$A$1,0,0,COUNTA([2]quests!$A:$A),MATCH(C$1,[2]quests!$1:$1,0)-MATCH($B$1,[2]quests!$1:$1,0)+1),MATCH(C$1,[2]quests!$1:$1,0)-MATCH($B$1,[2]quests!$1:$1,0)+1,FALSE)</f>
        <v>ナーガ襲来！</v>
      </c>
      <c r="D25" s="114" t="str">
        <f ca="1">VLOOKUP($B25,OFFSET([2]quests!$A$1,0,0,COUNTA([2]quests!$A:$A),MATCH(D$1,[2]quests!$1:$1,0)-MATCH($B$1,[2]quests!$1:$1,0)+1),MATCH(D$1,[2]quests!$1:$1,0)-MATCH($B$1,[2]quests!$1:$1,0)+1,FALSE)</f>
        <v>グローバル版降臨3</v>
      </c>
      <c r="E25" s="115">
        <v>1</v>
      </c>
      <c r="F25" s="114" t="str">
        <f ca="1">VLOOKUP($B25&amp;"_"&amp;$E25,OFFSET([2]stages!$A$1,0,0,COUNTA([2]stages!$A:$A),MATCH(F$1,[2]stages!$2:$2,0)-MATCH("temp_stage",[2]stages!$2:$2,0)+1),MATCH(F$1,[2]stages!$2:$2,0)-MATCH("temp_stage",[2]stages!$2:$2,0)+1,FALSE)</f>
        <v>【超絶級】ナーガ襲来</v>
      </c>
      <c r="G25" s="114" t="str">
        <f ca="1">VLOOKUP($B25&amp;"_"&amp;$E25,OFFSET([2]stages!$A$1,0,0,COUNTA([2]stages!$A:$A),MATCH(G$1,[2]stages!$2:$2,0)-MATCH("temp_stage",[2]stages!$2:$2,0)+1),MATCH(G$1,[2]stages!$2:$2,0)-MATCH("temp_stage",[2]stages!$2:$2,0)+1,FALSE)</f>
        <v>グローバル版降臨3</v>
      </c>
      <c r="H25" s="114">
        <v>0</v>
      </c>
      <c r="I25" s="78">
        <f t="shared" si="0"/>
        <v>24</v>
      </c>
      <c r="J25" s="74" t="str">
        <f t="shared" si="5"/>
        <v>4850324</v>
      </c>
      <c r="K25" s="115" t="s">
        <v>143</v>
      </c>
      <c r="L25" s="116" t="s">
        <v>328</v>
      </c>
      <c r="M25" s="117" t="s">
        <v>509</v>
      </c>
      <c r="N25" s="118" t="s">
        <v>326</v>
      </c>
      <c r="O25">
        <f>LEN(M25)</f>
        <v>62</v>
      </c>
    </row>
    <row r="26" spans="1:15" ht="56" x14ac:dyDescent="0.15">
      <c r="A26" s="112" t="s">
        <v>144</v>
      </c>
      <c r="B26" s="113">
        <v>48503</v>
      </c>
      <c r="C26" s="114" t="str">
        <f ca="1">VLOOKUP($B26,OFFSET([2]quests!$A$1,0,0,COUNTA([2]quests!$A:$A),MATCH(C$1,[2]quests!$1:$1,0)-MATCH($B$1,[2]quests!$1:$1,0)+1),MATCH(C$1,[2]quests!$1:$1,0)-MATCH($B$1,[2]quests!$1:$1,0)+1,FALSE)</f>
        <v>ナーガ襲来！</v>
      </c>
      <c r="D26" s="114" t="str">
        <f ca="1">VLOOKUP($B26,OFFSET([2]quests!$A$1,0,0,COUNTA([2]quests!$A:$A),MATCH(D$1,[2]quests!$1:$1,0)-MATCH($B$1,[2]quests!$1:$1,0)+1),MATCH(D$1,[2]quests!$1:$1,0)-MATCH($B$1,[2]quests!$1:$1,0)+1,FALSE)</f>
        <v>グローバル版降臨3</v>
      </c>
      <c r="E26" s="115">
        <v>1</v>
      </c>
      <c r="F26" s="114" t="str">
        <f ca="1">VLOOKUP($B26&amp;"_"&amp;$E26,OFFSET([2]stages!$A$1,0,0,COUNTA([2]stages!$A:$A),MATCH(F$1,[2]stages!$2:$2,0)-MATCH("temp_stage",[2]stages!$2:$2,0)+1),MATCH(F$1,[2]stages!$2:$2,0)-MATCH("temp_stage",[2]stages!$2:$2,0)+1,FALSE)</f>
        <v>【超絶級】ナーガ襲来</v>
      </c>
      <c r="G26" s="114" t="str">
        <f ca="1">VLOOKUP($B26&amp;"_"&amp;$E26,OFFSET([2]stages!$A$1,0,0,COUNTA([2]stages!$A:$A),MATCH(G$1,[2]stages!$2:$2,0)-MATCH("temp_stage",[2]stages!$2:$2,0)+1),MATCH(G$1,[2]stages!$2:$2,0)-MATCH("temp_stage",[2]stages!$2:$2,0)+1,FALSE)</f>
        <v>グローバル版降臨3</v>
      </c>
      <c r="H26" s="114">
        <v>0</v>
      </c>
      <c r="I26" s="78">
        <f t="shared" si="0"/>
        <v>25</v>
      </c>
      <c r="J26" s="74" t="str">
        <f t="shared" si="5"/>
        <v>4850325</v>
      </c>
      <c r="K26" s="115" t="s">
        <v>143</v>
      </c>
      <c r="L26" s="116" t="s">
        <v>329</v>
      </c>
      <c r="M26" s="117" t="s">
        <v>511</v>
      </c>
      <c r="N26" s="118" t="s">
        <v>326</v>
      </c>
      <c r="O26">
        <f>LEN(M26)</f>
        <v>61</v>
      </c>
    </row>
    <row r="27" spans="1:15" ht="56" x14ac:dyDescent="0.15">
      <c r="A27" s="112" t="s">
        <v>144</v>
      </c>
      <c r="B27" s="113">
        <v>48503</v>
      </c>
      <c r="C27" s="114" t="str">
        <f ca="1">VLOOKUP($B27,OFFSET([2]quests!$A$1,0,0,COUNTA([2]quests!$A:$A),MATCH(C$1,[2]quests!$1:$1,0)-MATCH($B$1,[2]quests!$1:$1,0)+1),MATCH(C$1,[2]quests!$1:$1,0)-MATCH($B$1,[2]quests!$1:$1,0)+1,FALSE)</f>
        <v>ナーガ襲来！</v>
      </c>
      <c r="D27" s="114" t="str">
        <f ca="1">VLOOKUP($B27,OFFSET([2]quests!$A$1,0,0,COUNTA([2]quests!$A:$A),MATCH(D$1,[2]quests!$1:$1,0)-MATCH($B$1,[2]quests!$1:$1,0)+1),MATCH(D$1,[2]quests!$1:$1,0)-MATCH($B$1,[2]quests!$1:$1,0)+1,FALSE)</f>
        <v>グローバル版降臨3</v>
      </c>
      <c r="E27" s="115">
        <v>1</v>
      </c>
      <c r="F27" s="114" t="str">
        <f ca="1">VLOOKUP($B27&amp;"_"&amp;$E27,OFFSET([2]stages!$A$1,0,0,COUNTA([2]stages!$A:$A),MATCH(F$1,[2]stages!$2:$2,0)-MATCH("temp_stage",[2]stages!$2:$2,0)+1),MATCH(F$1,[2]stages!$2:$2,0)-MATCH("temp_stage",[2]stages!$2:$2,0)+1,FALSE)</f>
        <v>【超絶級】ナーガ襲来</v>
      </c>
      <c r="G27" s="114" t="str">
        <f ca="1">VLOOKUP($B27&amp;"_"&amp;$E27,OFFSET([2]stages!$A$1,0,0,COUNTA([2]stages!$A:$A),MATCH(G$1,[2]stages!$2:$2,0)-MATCH("temp_stage",[2]stages!$2:$2,0)+1),MATCH(G$1,[2]stages!$2:$2,0)-MATCH("temp_stage",[2]stages!$2:$2,0)+1,FALSE)</f>
        <v>グローバル版降臨3</v>
      </c>
      <c r="H27" s="114">
        <v>0</v>
      </c>
      <c r="I27" s="78">
        <f t="shared" si="0"/>
        <v>26</v>
      </c>
      <c r="J27" s="74" t="str">
        <f t="shared" si="5"/>
        <v>4850326</v>
      </c>
      <c r="K27" s="115" t="s">
        <v>143</v>
      </c>
      <c r="L27" s="116" t="s">
        <v>330</v>
      </c>
      <c r="M27" s="117" t="s">
        <v>331</v>
      </c>
      <c r="N27" s="118" t="s">
        <v>326</v>
      </c>
      <c r="O27">
        <f>LEN(M27)</f>
        <v>55</v>
      </c>
    </row>
  </sheetData>
  <phoneticPr fontId="5"/>
  <dataValidations disablePrompts="1" count="1">
    <dataValidation type="list" allowBlank="1" showInputMessage="1" showErrorMessage="1" sqref="A2:A2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D9" sqref="D9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82" t="s">
        <v>156</v>
      </c>
      <c r="B1" s="83" t="s">
        <v>107</v>
      </c>
      <c r="C1" s="65" t="s">
        <v>16</v>
      </c>
      <c r="D1" s="65" t="s">
        <v>19</v>
      </c>
      <c r="E1" s="83" t="s">
        <v>108</v>
      </c>
      <c r="F1" s="65" t="s">
        <v>16</v>
      </c>
      <c r="G1" s="65" t="s">
        <v>19</v>
      </c>
      <c r="H1" s="83" t="s">
        <v>130</v>
      </c>
      <c r="I1" s="83" t="s">
        <v>332</v>
      </c>
      <c r="J1" s="83" t="s">
        <v>110</v>
      </c>
      <c r="K1" s="61" t="s">
        <v>121</v>
      </c>
      <c r="L1" s="61" t="s">
        <v>111</v>
      </c>
      <c r="M1" s="61" t="s">
        <v>323</v>
      </c>
      <c r="N1" s="65" t="s">
        <v>16</v>
      </c>
      <c r="O1" s="61" t="s">
        <v>170</v>
      </c>
      <c r="P1" s="61" t="s">
        <v>171</v>
      </c>
      <c r="Q1" s="61" t="s">
        <v>172</v>
      </c>
      <c r="R1" s="61" t="s">
        <v>173</v>
      </c>
      <c r="S1" s="61" t="s">
        <v>174</v>
      </c>
      <c r="T1" s="61" t="s">
        <v>118</v>
      </c>
      <c r="U1" s="61" t="s">
        <v>119</v>
      </c>
      <c r="V1" s="61" t="s">
        <v>120</v>
      </c>
      <c r="W1" s="61" t="s">
        <v>122</v>
      </c>
      <c r="X1" s="61" t="s">
        <v>123</v>
      </c>
    </row>
    <row r="2" spans="1:24" x14ac:dyDescent="0.15">
      <c r="A2" s="84" t="str">
        <f>B2&amp;"_"&amp;E2&amp;"_"&amp;H2&amp;"_"&amp;I2&amp;"_"&amp;J2</f>
        <v>48503_2_everyone_no_continue_1</v>
      </c>
      <c r="B2" s="70">
        <v>48503</v>
      </c>
      <c r="C2" s="71" t="str">
        <f ca="1">VLOOKUP($B2,OFFSET([2]quests!$A$1,0,0,COUNTA([2]quests!$A:$A),MATCH(C$1,[2]quests!$1:$1,0)-MATCH($B$1,[2]quests!$1:$1,0)+1),MATCH(C$1,[2]quests!$1:$1,0)-MATCH($B$1,[2]quests!$1:$1,0)+1,FALSE)</f>
        <v>ナーガ襲来！</v>
      </c>
      <c r="D2" s="71" t="str">
        <f ca="1">VLOOKUP($B2,OFFSET([2]quests!$A$1,0,0,COUNTA([2]quests!$A:$A),MATCH(D$1,[2]quests!$1:$1,0)-MATCH($B$1,[2]quests!$1:$1,0)+1),MATCH(D$1,[2]quests!$1:$1,0)-MATCH($B$1,[2]quests!$1:$1,0)+1,FALSE)</f>
        <v>グローバル版降臨3</v>
      </c>
      <c r="E2" s="72">
        <v>2</v>
      </c>
      <c r="F2" s="71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2" s="71" t="str">
        <f ca="1">VLOOKUP($B2&amp;"_"&amp;$E2,OFFSET([2]stages!$A$1,0,0,COUNTA([2]stages!$A:$A),MATCH(G$1,[2]stages!$2:$2,0)-MATCH("temp_stage",[2]stages!$2:$2,0)+1),MATCH(G$1,[2]stages!$2:$2,0)-MATCH("temp_stage",[2]stages!$2:$2,0)+1,FALSE)</f>
        <v>グローバル版降臨3</v>
      </c>
      <c r="H2" s="73" t="s">
        <v>157</v>
      </c>
      <c r="I2" s="72" t="s">
        <v>333</v>
      </c>
      <c r="J2" s="72">
        <v>1</v>
      </c>
      <c r="K2" s="72">
        <v>1000</v>
      </c>
      <c r="L2" s="72" t="s">
        <v>158</v>
      </c>
      <c r="M2" s="72">
        <v>5003</v>
      </c>
      <c r="N2" s="8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ナーガ</v>
      </c>
      <c r="O2" s="72">
        <v>1</v>
      </c>
      <c r="P2" s="72">
        <v>1</v>
      </c>
      <c r="Q2" s="72">
        <v>1</v>
      </c>
      <c r="R2" s="72">
        <v>0</v>
      </c>
      <c r="S2" s="72">
        <v>0</v>
      </c>
      <c r="T2" s="72">
        <v>0</v>
      </c>
      <c r="U2" s="72">
        <v>0</v>
      </c>
      <c r="V2" s="72">
        <v>1</v>
      </c>
      <c r="W2" s="86" t="s">
        <v>159</v>
      </c>
      <c r="X2" s="87" t="s">
        <v>160</v>
      </c>
    </row>
    <row r="3" spans="1:24" x14ac:dyDescent="0.15">
      <c r="A3" s="84" t="str">
        <f>B3&amp;"_"&amp;E3&amp;"_"&amp;H3&amp;"_"&amp;I3&amp;"_"&amp;J3</f>
        <v>48503_2_everyone_full_member_2</v>
      </c>
      <c r="B3" s="70">
        <v>48503</v>
      </c>
      <c r="C3" s="71" t="str">
        <f ca="1">VLOOKUP($B3,OFFSET([2]quests!$A$1,0,0,COUNTA([2]quests!$A:$A),MATCH(C$1,[2]quests!$1:$1,0)-MATCH($B$1,[2]quests!$1:$1,0)+1),MATCH(C$1,[2]quests!$1:$1,0)-MATCH($B$1,[2]quests!$1:$1,0)+1,FALSE)</f>
        <v>ナーガ襲来！</v>
      </c>
      <c r="D3" s="71" t="str">
        <f ca="1">VLOOKUP($B3,OFFSET([2]quests!$A$1,0,0,COUNTA([2]quests!$A:$A),MATCH(D$1,[2]quests!$1:$1,0)-MATCH($B$1,[2]quests!$1:$1,0)+1),MATCH(D$1,[2]quests!$1:$1,0)-MATCH($B$1,[2]quests!$1:$1,0)+1,FALSE)</f>
        <v>グローバル版降臨3</v>
      </c>
      <c r="E3" s="72">
        <v>2</v>
      </c>
      <c r="F3" s="71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【ウィザード級】ナーガ襲来</v>
      </c>
      <c r="G3" s="71" t="str">
        <f ca="1">VLOOKUP($B3&amp;"_"&amp;$E3,OFFSET([2]stages!$A$1,0,0,COUNTA([2]stages!$A:$A),MATCH(G$1,[2]stages!$2:$2,0)-MATCH("temp_stage",[2]stages!$2:$2,0)+1),MATCH(G$1,[2]stages!$2:$2,0)-MATCH("temp_stage",[2]stages!$2:$2,0)+1,FALSE)</f>
        <v>グローバル版降臨3</v>
      </c>
      <c r="H3" s="73" t="s">
        <v>157</v>
      </c>
      <c r="I3" s="72" t="s">
        <v>334</v>
      </c>
      <c r="J3" s="72">
        <v>2</v>
      </c>
      <c r="K3" s="72">
        <v>1000</v>
      </c>
      <c r="L3" s="72" t="s">
        <v>158</v>
      </c>
      <c r="M3" s="72">
        <v>5003</v>
      </c>
      <c r="N3" s="85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ナーガ</v>
      </c>
      <c r="O3" s="72">
        <v>1</v>
      </c>
      <c r="P3" s="72">
        <v>1</v>
      </c>
      <c r="Q3" s="72">
        <v>1</v>
      </c>
      <c r="R3" s="72">
        <v>0</v>
      </c>
      <c r="S3" s="72">
        <v>0</v>
      </c>
      <c r="T3" s="72">
        <v>0</v>
      </c>
      <c r="U3" s="72">
        <v>0</v>
      </c>
      <c r="V3" s="72">
        <v>1</v>
      </c>
      <c r="W3" s="86" t="s">
        <v>159</v>
      </c>
      <c r="X3" s="87" t="s">
        <v>160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2017-05-01T05:49:11Z</dcterms:modified>
</cp:coreProperties>
</file>