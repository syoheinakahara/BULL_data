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master_excel/"/>
    </mc:Choice>
  </mc:AlternateContent>
  <bookViews>
    <workbookView xWindow="80" yWindow="600" windowWidth="27320" windowHeight="13940" tabRatio="936" activeTab="9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eval_gift" sheetId="29" r:id="rId8"/>
    <sheet name="ranking_ACH" sheetId="22" r:id="rId9"/>
    <sheet name="enemy_habitats" sheetId="1" r:id="rId10"/>
    <sheet name="enemy_habitat_S" sheetId="7" r:id="rId11"/>
    <sheet name="enemy_skill_sets" sheetId="9" r:id="rId12"/>
    <sheet name="enemy_skills" sheetId="10" r:id="rId13"/>
    <sheet name="enemy_skill_triggers" sheetId="11" r:id="rId14"/>
    <sheet name="bugbonuses" sheetId="18" r:id="rId15"/>
    <sheet name="stage_hints_complete" sheetId="19" r:id="rId16"/>
    <sheet name="stage_hints_failure" sheetId="21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xlnm._FilterDatabase" localSheetId="10" hidden="1">enemy_habitat_S!$B$1:$Y$2</definedName>
    <definedName name="_xlnm._FilterDatabase" localSheetId="9" hidden="1">enemy_habitats!$B$1:$AH$2</definedName>
    <definedName name="_xlnm._FilterDatabase" localSheetId="11" hidden="1">enemy_skill_sets!$A$1:$R$1</definedName>
    <definedName name="_xlnm._FilterDatabase" localSheetId="13" hidden="1">enemy_skill_triggers!$A$1:$G$1</definedName>
    <definedName name="_xlnm._FilterDatabase" localSheetId="12" hidden="1">enemy_skills!$A$1:$AB$1</definedName>
    <definedName name="_xlnm._FilterDatabase" localSheetId="15" hidden="1">stage_hints_complete!$B$1:$L$2</definedName>
    <definedName name="_xlnm._FilterDatabase" localSheetId="16" hidden="1">stage_hints_failure!$B$1:$M$2</definedName>
    <definedName name="Excel_BuiltIn__FilterDatabase_6_1" localSheetId="11">[1]unit_skills!#REF!</definedName>
    <definedName name="Excel_BuiltIn__FilterDatabase_6_1" localSheetId="13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2" i="22" l="1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A33" i="9"/>
  <c r="O33" i="9"/>
  <c r="N33" i="9"/>
  <c r="M33" i="9"/>
  <c r="L33" i="9"/>
  <c r="K33" i="9"/>
  <c r="J33" i="9"/>
  <c r="I33" i="9"/>
  <c r="H33" i="9"/>
  <c r="G33" i="9"/>
  <c r="E33" i="9"/>
  <c r="D33" i="9"/>
  <c r="D58" i="26"/>
  <c r="E58" i="26"/>
  <c r="F58" i="26"/>
  <c r="D59" i="26"/>
  <c r="E59" i="26"/>
  <c r="F59" i="26"/>
  <c r="D60" i="26"/>
  <c r="E60" i="26"/>
  <c r="F60" i="26"/>
  <c r="D61" i="26"/>
  <c r="E61" i="26"/>
  <c r="F61" i="26"/>
  <c r="D63" i="26"/>
  <c r="E63" i="26"/>
  <c r="F63" i="26"/>
  <c r="D64" i="26"/>
  <c r="E64" i="26"/>
  <c r="F64" i="26"/>
  <c r="D65" i="26"/>
  <c r="E65" i="26"/>
  <c r="F65" i="26"/>
  <c r="D66" i="26"/>
  <c r="E66" i="26"/>
  <c r="F66" i="26"/>
  <c r="D67" i="26"/>
  <c r="E67" i="26"/>
  <c r="F67" i="26"/>
  <c r="D68" i="26"/>
  <c r="E68" i="26"/>
  <c r="F68" i="26"/>
  <c r="D69" i="26"/>
  <c r="E69" i="26"/>
  <c r="F69" i="26"/>
  <c r="D70" i="26"/>
  <c r="E70" i="26"/>
  <c r="F70" i="26"/>
  <c r="D71" i="26"/>
  <c r="E71" i="26"/>
  <c r="F71" i="26"/>
  <c r="D72" i="26"/>
  <c r="E72" i="26"/>
  <c r="F72" i="26"/>
  <c r="D73" i="26"/>
  <c r="E73" i="26"/>
  <c r="F73" i="26"/>
  <c r="D74" i="26"/>
  <c r="E74" i="26"/>
  <c r="F74" i="26"/>
  <c r="D75" i="26"/>
  <c r="E75" i="26"/>
  <c r="F75" i="26"/>
  <c r="D76" i="26"/>
  <c r="E76" i="26"/>
  <c r="F76" i="26"/>
  <c r="D77" i="26"/>
  <c r="E77" i="26"/>
  <c r="F77" i="26"/>
  <c r="D78" i="26"/>
  <c r="E78" i="26"/>
  <c r="F78" i="26"/>
  <c r="D79" i="26"/>
  <c r="E79" i="26"/>
  <c r="F79" i="26"/>
  <c r="D80" i="26"/>
  <c r="E80" i="26"/>
  <c r="F80" i="26"/>
  <c r="D34" i="26"/>
  <c r="E34" i="26"/>
  <c r="F34" i="26"/>
  <c r="D35" i="26"/>
  <c r="E35" i="26"/>
  <c r="F35" i="26"/>
  <c r="D36" i="26"/>
  <c r="E36" i="26"/>
  <c r="F36" i="26"/>
  <c r="D37" i="26"/>
  <c r="E37" i="26"/>
  <c r="F37" i="26"/>
  <c r="D38" i="26"/>
  <c r="E38" i="26"/>
  <c r="F38" i="26"/>
  <c r="D39" i="26"/>
  <c r="E39" i="26"/>
  <c r="F39" i="26"/>
  <c r="D40" i="26"/>
  <c r="E40" i="26"/>
  <c r="F40" i="26"/>
  <c r="D41" i="26"/>
  <c r="E41" i="26"/>
  <c r="F41" i="26"/>
  <c r="D42" i="26"/>
  <c r="E42" i="26"/>
  <c r="F42" i="26"/>
  <c r="D43" i="26"/>
  <c r="E43" i="26"/>
  <c r="F43" i="26"/>
  <c r="D44" i="26"/>
  <c r="E44" i="26"/>
  <c r="F44" i="26"/>
  <c r="D45" i="26"/>
  <c r="E45" i="26"/>
  <c r="F45" i="26"/>
  <c r="D46" i="26"/>
  <c r="E46" i="26"/>
  <c r="F46" i="26"/>
  <c r="D47" i="26"/>
  <c r="E47" i="26"/>
  <c r="F47" i="26"/>
  <c r="D49" i="26"/>
  <c r="E49" i="26"/>
  <c r="F49" i="26"/>
  <c r="D50" i="26"/>
  <c r="E50" i="26"/>
  <c r="F50" i="26"/>
  <c r="D51" i="26"/>
  <c r="E51" i="26"/>
  <c r="F51" i="26"/>
  <c r="D52" i="26"/>
  <c r="E52" i="26"/>
  <c r="F52" i="26"/>
  <c r="D53" i="26"/>
  <c r="E53" i="26"/>
  <c r="F53" i="26"/>
  <c r="D54" i="26"/>
  <c r="E54" i="26"/>
  <c r="F54" i="26"/>
  <c r="D55" i="26"/>
  <c r="E55" i="26"/>
  <c r="F55" i="26"/>
  <c r="D56" i="26"/>
  <c r="E56" i="26"/>
  <c r="F56" i="26"/>
  <c r="D57" i="26"/>
  <c r="E57" i="26"/>
  <c r="F57" i="26"/>
  <c r="D17" i="26"/>
  <c r="E17" i="26"/>
  <c r="F17" i="26"/>
  <c r="D18" i="26"/>
  <c r="E18" i="26"/>
  <c r="F18" i="26"/>
  <c r="D19" i="26"/>
  <c r="E19" i="26"/>
  <c r="F19" i="26"/>
  <c r="D20" i="26"/>
  <c r="E20" i="26"/>
  <c r="F20" i="26"/>
  <c r="D21" i="26"/>
  <c r="E21" i="26"/>
  <c r="F21" i="26"/>
  <c r="D22" i="26"/>
  <c r="E22" i="26"/>
  <c r="F22" i="26"/>
  <c r="D23" i="26"/>
  <c r="E23" i="26"/>
  <c r="F23" i="26"/>
  <c r="D24" i="26"/>
  <c r="E24" i="26"/>
  <c r="F24" i="26"/>
  <c r="D25" i="26"/>
  <c r="E25" i="26"/>
  <c r="F25" i="26"/>
  <c r="D26" i="26"/>
  <c r="E26" i="26"/>
  <c r="F26" i="26"/>
  <c r="D27" i="26"/>
  <c r="E27" i="26"/>
  <c r="F27" i="26"/>
  <c r="D28" i="26"/>
  <c r="E28" i="26"/>
  <c r="F28" i="26"/>
  <c r="D30" i="26"/>
  <c r="E30" i="26"/>
  <c r="F30" i="26"/>
  <c r="D31" i="26"/>
  <c r="E31" i="26"/>
  <c r="F31" i="26"/>
  <c r="D32" i="26"/>
  <c r="E32" i="26"/>
  <c r="F32" i="26"/>
  <c r="D33" i="26"/>
  <c r="E33" i="26"/>
  <c r="F33" i="26"/>
  <c r="D16" i="26"/>
  <c r="E16" i="26"/>
  <c r="F16" i="26"/>
  <c r="C23" i="27"/>
  <c r="A10" i="9"/>
  <c r="O10" i="9"/>
  <c r="N10" i="9"/>
  <c r="M10" i="9"/>
  <c r="L10" i="9"/>
  <c r="K10" i="9"/>
  <c r="J10" i="9"/>
  <c r="I10" i="9"/>
  <c r="H10" i="9"/>
  <c r="G10" i="9"/>
  <c r="E10" i="9"/>
  <c r="D10" i="9"/>
  <c r="C7" i="27"/>
  <c r="C17" i="27"/>
  <c r="C3" i="27"/>
  <c r="O39" i="9"/>
  <c r="N39" i="9"/>
  <c r="M39" i="9"/>
  <c r="L39" i="9"/>
  <c r="K39" i="9"/>
  <c r="J39" i="9"/>
  <c r="I39" i="9"/>
  <c r="H39" i="9"/>
  <c r="G39" i="9"/>
  <c r="E39" i="9"/>
  <c r="D39" i="9"/>
  <c r="A39" i="9"/>
  <c r="F81" i="26"/>
  <c r="F62" i="26"/>
  <c r="F48" i="26"/>
  <c r="F29" i="26"/>
  <c r="F15" i="26"/>
  <c r="D14" i="26"/>
  <c r="E14" i="26"/>
  <c r="F14" i="26"/>
  <c r="D13" i="26"/>
  <c r="E13" i="26"/>
  <c r="F13" i="26"/>
  <c r="D12" i="26"/>
  <c r="E12" i="26"/>
  <c r="F12" i="26"/>
  <c r="D11" i="26"/>
  <c r="E11" i="26"/>
  <c r="F11" i="26"/>
  <c r="D10" i="26"/>
  <c r="E10" i="26"/>
  <c r="F10" i="26"/>
  <c r="D9" i="26"/>
  <c r="E9" i="26"/>
  <c r="F9" i="26"/>
  <c r="D8" i="26"/>
  <c r="E8" i="26"/>
  <c r="F8" i="26"/>
  <c r="D7" i="26"/>
  <c r="E7" i="26"/>
  <c r="F7" i="26"/>
  <c r="D6" i="26"/>
  <c r="E6" i="26"/>
  <c r="F6" i="26"/>
  <c r="D5" i="26"/>
  <c r="E5" i="26"/>
  <c r="F5" i="26"/>
  <c r="D4" i="26"/>
  <c r="E4" i="26"/>
  <c r="F4" i="26"/>
  <c r="D3" i="26"/>
  <c r="E3" i="26"/>
  <c r="F3" i="26"/>
  <c r="D2" i="26"/>
  <c r="E2" i="26"/>
  <c r="F2" i="26"/>
  <c r="C5" i="27"/>
  <c r="C9" i="27"/>
  <c r="C11" i="27"/>
  <c r="C15" i="27"/>
  <c r="C19" i="27"/>
  <c r="C27" i="27"/>
  <c r="C30" i="27"/>
  <c r="B27" i="27"/>
  <c r="E27" i="27"/>
  <c r="C26" i="27"/>
  <c r="B26" i="27"/>
  <c r="D26" i="27"/>
  <c r="E26" i="27"/>
  <c r="C25" i="27"/>
  <c r="B25" i="27"/>
  <c r="D25" i="27"/>
  <c r="E25" i="27"/>
  <c r="C24" i="27"/>
  <c r="B24" i="27"/>
  <c r="D24" i="27"/>
  <c r="E24" i="27"/>
  <c r="D23" i="27"/>
  <c r="E23" i="27"/>
  <c r="D22" i="27"/>
  <c r="E22" i="27"/>
  <c r="C21" i="27"/>
  <c r="B21" i="27"/>
  <c r="E21" i="27"/>
  <c r="C20" i="27"/>
  <c r="B20" i="27"/>
  <c r="D20" i="27"/>
  <c r="E20" i="27"/>
  <c r="B19" i="27"/>
  <c r="D19" i="27"/>
  <c r="E19" i="27"/>
  <c r="C18" i="27"/>
  <c r="B18" i="27"/>
  <c r="D18" i="27"/>
  <c r="E18" i="27"/>
  <c r="D17" i="27"/>
  <c r="E17" i="27"/>
  <c r="D16" i="27"/>
  <c r="E16" i="27"/>
  <c r="B15" i="27"/>
  <c r="E15" i="27"/>
  <c r="C14" i="27"/>
  <c r="B14" i="27"/>
  <c r="D14" i="27"/>
  <c r="E14" i="27"/>
  <c r="C13" i="27"/>
  <c r="B13" i="27"/>
  <c r="D13" i="27"/>
  <c r="E13" i="27"/>
  <c r="C12" i="27"/>
  <c r="B12" i="27"/>
  <c r="D12" i="27"/>
  <c r="E12" i="27"/>
  <c r="D11" i="27"/>
  <c r="E11" i="27"/>
  <c r="D10" i="27"/>
  <c r="E10" i="27"/>
  <c r="B9" i="27"/>
  <c r="E9" i="27"/>
  <c r="C8" i="27"/>
  <c r="B8" i="27"/>
  <c r="D8" i="27"/>
  <c r="E8" i="27"/>
  <c r="D7" i="27"/>
  <c r="E7" i="27"/>
  <c r="D6" i="27"/>
  <c r="E6" i="27"/>
  <c r="B5" i="27"/>
  <c r="E5" i="27"/>
  <c r="C4" i="27"/>
  <c r="B4" i="27"/>
  <c r="D4" i="27"/>
  <c r="E4" i="27"/>
  <c r="D3" i="27"/>
  <c r="E3" i="27"/>
  <c r="D2" i="27"/>
  <c r="E2" i="27"/>
  <c r="D20" i="25"/>
  <c r="E20" i="25"/>
  <c r="D19" i="25"/>
  <c r="E19" i="25"/>
  <c r="D18" i="25"/>
  <c r="E18" i="25"/>
  <c r="D16" i="25"/>
  <c r="E16" i="25"/>
  <c r="D15" i="25"/>
  <c r="E15" i="25"/>
  <c r="D14" i="25"/>
  <c r="E14" i="25"/>
  <c r="D12" i="25"/>
  <c r="E12" i="25"/>
  <c r="D11" i="25"/>
  <c r="E11" i="25"/>
  <c r="D10" i="25"/>
  <c r="E10" i="25"/>
  <c r="D8" i="25"/>
  <c r="E8" i="25"/>
  <c r="D7" i="25"/>
  <c r="E7" i="25"/>
  <c r="D6" i="25"/>
  <c r="E6" i="25"/>
  <c r="D4" i="25"/>
  <c r="E4" i="25"/>
  <c r="D3" i="25"/>
  <c r="E3" i="25"/>
  <c r="D2" i="25"/>
  <c r="E2" i="25"/>
  <c r="J18" i="11"/>
  <c r="J76" i="11"/>
  <c r="O38" i="9"/>
  <c r="N38" i="9"/>
  <c r="M38" i="9"/>
  <c r="L38" i="9"/>
  <c r="K38" i="9"/>
  <c r="J38" i="9"/>
  <c r="I38" i="9"/>
  <c r="H38" i="9"/>
  <c r="G38" i="9"/>
  <c r="E38" i="9"/>
  <c r="D38" i="9"/>
  <c r="A38" i="9"/>
  <c r="J75" i="11"/>
  <c r="O37" i="9"/>
  <c r="N37" i="9"/>
  <c r="M37" i="9"/>
  <c r="L37" i="9"/>
  <c r="K37" i="9"/>
  <c r="J37" i="9"/>
  <c r="I37" i="9"/>
  <c r="H37" i="9"/>
  <c r="G37" i="9"/>
  <c r="E37" i="9"/>
  <c r="D37" i="9"/>
  <c r="A37" i="9"/>
  <c r="J74" i="11"/>
  <c r="O36" i="9"/>
  <c r="N36" i="9"/>
  <c r="M36" i="9"/>
  <c r="L36" i="9"/>
  <c r="K36" i="9"/>
  <c r="J36" i="9"/>
  <c r="I36" i="9"/>
  <c r="H36" i="9"/>
  <c r="G36" i="9"/>
  <c r="E36" i="9"/>
  <c r="D36" i="9"/>
  <c r="A36" i="9"/>
  <c r="J73" i="11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J66" i="11"/>
  <c r="O32" i="9"/>
  <c r="N32" i="9"/>
  <c r="M32" i="9"/>
  <c r="L32" i="9"/>
  <c r="K32" i="9"/>
  <c r="J32" i="9"/>
  <c r="I32" i="9"/>
  <c r="H32" i="9"/>
  <c r="G32" i="9"/>
  <c r="E32" i="9"/>
  <c r="D32" i="9"/>
  <c r="A32" i="9"/>
  <c r="J65" i="11"/>
  <c r="O31" i="9"/>
  <c r="N31" i="9"/>
  <c r="M31" i="9"/>
  <c r="L31" i="9"/>
  <c r="K31" i="9"/>
  <c r="J31" i="9"/>
  <c r="I31" i="9"/>
  <c r="H31" i="9"/>
  <c r="G31" i="9"/>
  <c r="E31" i="9"/>
  <c r="D31" i="9"/>
  <c r="A31" i="9"/>
  <c r="J64" i="11"/>
  <c r="O30" i="9"/>
  <c r="N30" i="9"/>
  <c r="M30" i="9"/>
  <c r="L30" i="9"/>
  <c r="K30" i="9"/>
  <c r="J30" i="9"/>
  <c r="I30" i="9"/>
  <c r="H30" i="9"/>
  <c r="G30" i="9"/>
  <c r="E30" i="9"/>
  <c r="D30" i="9"/>
  <c r="A30" i="9"/>
  <c r="J63" i="11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J55" i="11"/>
  <c r="O26" i="9"/>
  <c r="N26" i="9"/>
  <c r="M26" i="9"/>
  <c r="L26" i="9"/>
  <c r="K26" i="9"/>
  <c r="J26" i="9"/>
  <c r="I26" i="9"/>
  <c r="H26" i="9"/>
  <c r="G26" i="9"/>
  <c r="E26" i="9"/>
  <c r="D26" i="9"/>
  <c r="A26" i="9"/>
  <c r="J54" i="11"/>
  <c r="O25" i="9"/>
  <c r="N25" i="9"/>
  <c r="M25" i="9"/>
  <c r="L25" i="9"/>
  <c r="K25" i="9"/>
  <c r="J25" i="9"/>
  <c r="I25" i="9"/>
  <c r="H25" i="9"/>
  <c r="G25" i="9"/>
  <c r="E25" i="9"/>
  <c r="D25" i="9"/>
  <c r="A25" i="9"/>
  <c r="J53" i="11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J49" i="11"/>
  <c r="O21" i="9"/>
  <c r="N21" i="9"/>
  <c r="M21" i="9"/>
  <c r="L21" i="9"/>
  <c r="K21" i="9"/>
  <c r="J21" i="9"/>
  <c r="I21" i="9"/>
  <c r="H21" i="9"/>
  <c r="G21" i="9"/>
  <c r="E21" i="9"/>
  <c r="D21" i="9"/>
  <c r="A21" i="9"/>
  <c r="J48" i="11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J44" i="11"/>
  <c r="O17" i="9"/>
  <c r="N17" i="9"/>
  <c r="M17" i="9"/>
  <c r="L17" i="9"/>
  <c r="K17" i="9"/>
  <c r="J17" i="9"/>
  <c r="I17" i="9"/>
  <c r="H17" i="9"/>
  <c r="G17" i="9"/>
  <c r="E17" i="9"/>
  <c r="D17" i="9"/>
  <c r="A17" i="9"/>
  <c r="J43" i="11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J36" i="11"/>
  <c r="J35" i="11"/>
  <c r="O14" i="9"/>
  <c r="N14" i="9"/>
  <c r="M14" i="9"/>
  <c r="L14" i="9"/>
  <c r="K14" i="9"/>
  <c r="J14" i="9"/>
  <c r="I14" i="9"/>
  <c r="H14" i="9"/>
  <c r="G14" i="9"/>
  <c r="E14" i="9"/>
  <c r="D14" i="9"/>
  <c r="A14" i="9"/>
  <c r="J34" i="11"/>
  <c r="O13" i="9"/>
  <c r="N13" i="9"/>
  <c r="M13" i="9"/>
  <c r="L13" i="9"/>
  <c r="K13" i="9"/>
  <c r="J13" i="9"/>
  <c r="I13" i="9"/>
  <c r="H13" i="9"/>
  <c r="G13" i="9"/>
  <c r="E13" i="9"/>
  <c r="D13" i="9"/>
  <c r="A13" i="9"/>
  <c r="J33" i="11"/>
  <c r="O12" i="9"/>
  <c r="N12" i="9"/>
  <c r="M12" i="9"/>
  <c r="L12" i="9"/>
  <c r="K12" i="9"/>
  <c r="J12" i="9"/>
  <c r="I12" i="9"/>
  <c r="H12" i="9"/>
  <c r="G12" i="9"/>
  <c r="E12" i="9"/>
  <c r="D12" i="9"/>
  <c r="A12" i="9"/>
  <c r="J32" i="11"/>
  <c r="O11" i="9"/>
  <c r="N11" i="9"/>
  <c r="M11" i="9"/>
  <c r="L11" i="9"/>
  <c r="K11" i="9"/>
  <c r="J11" i="9"/>
  <c r="I11" i="9"/>
  <c r="H11" i="9"/>
  <c r="G11" i="9"/>
  <c r="E11" i="9"/>
  <c r="D11" i="9"/>
  <c r="A11" i="9"/>
  <c r="J25" i="11"/>
  <c r="J24" i="11"/>
  <c r="J23" i="11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J17" i="11"/>
  <c r="O7" i="9"/>
  <c r="N7" i="9"/>
  <c r="M7" i="9"/>
  <c r="L7" i="9"/>
  <c r="K7" i="9"/>
  <c r="J7" i="9"/>
  <c r="I7" i="9"/>
  <c r="H7" i="9"/>
  <c r="G7" i="9"/>
  <c r="E7" i="9"/>
  <c r="D7" i="9"/>
  <c r="A7" i="9"/>
  <c r="J14" i="11"/>
  <c r="O6" i="9"/>
  <c r="N6" i="9"/>
  <c r="M6" i="9"/>
  <c r="L6" i="9"/>
  <c r="K6" i="9"/>
  <c r="J6" i="9"/>
  <c r="I6" i="9"/>
  <c r="H6" i="9"/>
  <c r="G6" i="9"/>
  <c r="E6" i="9"/>
  <c r="D6" i="9"/>
  <c r="A6" i="9"/>
  <c r="J13" i="11"/>
  <c r="O5" i="9"/>
  <c r="N5" i="9"/>
  <c r="M5" i="9"/>
  <c r="L5" i="9"/>
  <c r="K5" i="9"/>
  <c r="J5" i="9"/>
  <c r="I5" i="9"/>
  <c r="H5" i="9"/>
  <c r="G5" i="9"/>
  <c r="E5" i="9"/>
  <c r="D5" i="9"/>
  <c r="A5" i="9"/>
  <c r="J12" i="11"/>
  <c r="O4" i="9"/>
  <c r="N4" i="9"/>
  <c r="M4" i="9"/>
  <c r="L4" i="9"/>
  <c r="K4" i="9"/>
  <c r="J4" i="9"/>
  <c r="I4" i="9"/>
  <c r="H4" i="9"/>
  <c r="G4" i="9"/>
  <c r="E4" i="9"/>
  <c r="D4" i="9"/>
  <c r="A4" i="9"/>
  <c r="J7" i="11"/>
  <c r="O3" i="9"/>
  <c r="N3" i="9"/>
  <c r="M3" i="9"/>
  <c r="L3" i="9"/>
  <c r="K3" i="9"/>
  <c r="J3" i="9"/>
  <c r="I3" i="9"/>
  <c r="H3" i="9"/>
  <c r="G3" i="9"/>
  <c r="E3" i="9"/>
  <c r="D3" i="9"/>
  <c r="A3" i="9"/>
  <c r="J81" i="11"/>
  <c r="J80" i="11"/>
  <c r="J79" i="11"/>
  <c r="J78" i="11"/>
  <c r="J77" i="11"/>
  <c r="J72" i="11"/>
  <c r="J71" i="11"/>
  <c r="J70" i="11"/>
  <c r="J69" i="11"/>
  <c r="J68" i="11"/>
  <c r="J67" i="11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J62" i="11"/>
  <c r="J61" i="11"/>
  <c r="J60" i="11"/>
  <c r="J59" i="11"/>
  <c r="J58" i="11"/>
  <c r="J57" i="11"/>
  <c r="J56" i="11"/>
  <c r="J52" i="11"/>
  <c r="J51" i="11"/>
  <c r="J50" i="11"/>
  <c r="J47" i="11"/>
  <c r="J46" i="11"/>
  <c r="J45" i="11"/>
  <c r="J42" i="11"/>
  <c r="J41" i="11"/>
  <c r="J40" i="11"/>
  <c r="J39" i="11"/>
  <c r="J38" i="11"/>
  <c r="J37" i="11"/>
  <c r="J31" i="11"/>
  <c r="J30" i="11"/>
  <c r="J29" i="11"/>
  <c r="J28" i="11"/>
  <c r="J27" i="11"/>
  <c r="J26" i="11"/>
  <c r="J22" i="11"/>
  <c r="J21" i="11"/>
  <c r="J20" i="11"/>
  <c r="J19" i="11"/>
  <c r="J16" i="11"/>
  <c r="J15" i="11"/>
  <c r="J11" i="11"/>
  <c r="J10" i="11"/>
  <c r="J9" i="11"/>
  <c r="J8" i="11"/>
  <c r="J6" i="11"/>
  <c r="J5" i="11"/>
  <c r="J4" i="11"/>
  <c r="J3" i="11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V3" i="1"/>
  <c r="Q3" i="1"/>
  <c r="P3" i="1"/>
  <c r="O3" i="1"/>
  <c r="N3" i="1"/>
  <c r="M3" i="1"/>
  <c r="H3" i="1"/>
  <c r="J3" i="1"/>
  <c r="I3" i="1"/>
  <c r="D3" i="1"/>
  <c r="F3" i="1"/>
  <c r="E3" i="1"/>
  <c r="A3" i="1"/>
  <c r="N6" i="2"/>
  <c r="M6" i="2"/>
  <c r="L6" i="2"/>
  <c r="G6" i="2"/>
  <c r="H6" i="2"/>
  <c r="E6" i="2"/>
  <c r="D6" i="2"/>
  <c r="A6" i="2"/>
  <c r="H2" i="1"/>
  <c r="B6" i="2"/>
  <c r="N5" i="2"/>
  <c r="M5" i="2"/>
  <c r="L5" i="2"/>
  <c r="G5" i="2"/>
  <c r="H5" i="2"/>
  <c r="E5" i="2"/>
  <c r="D5" i="2"/>
  <c r="A5" i="2"/>
  <c r="B5" i="2"/>
  <c r="N4" i="2"/>
  <c r="M4" i="2"/>
  <c r="L4" i="2"/>
  <c r="G4" i="2"/>
  <c r="H4" i="2"/>
  <c r="E4" i="2"/>
  <c r="D4" i="2"/>
  <c r="A4" i="2"/>
  <c r="B4" i="2"/>
  <c r="N3" i="2"/>
  <c r="M3" i="2"/>
  <c r="L3" i="2"/>
  <c r="G3" i="2"/>
  <c r="H3" i="2"/>
  <c r="E3" i="2"/>
  <c r="D3" i="2"/>
  <c r="A3" i="2"/>
  <c r="B3" i="2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6" i="16"/>
  <c r="C25" i="16"/>
  <c r="E26" i="16"/>
  <c r="E25" i="16"/>
  <c r="E24" i="16"/>
  <c r="E8" i="16"/>
  <c r="E9" i="16"/>
  <c r="E5" i="16"/>
  <c r="E6" i="16"/>
  <c r="E7" i="16"/>
  <c r="L2" i="2"/>
  <c r="E4" i="16"/>
  <c r="E2" i="24"/>
  <c r="B2" i="24"/>
  <c r="D2" i="2"/>
  <c r="F2" i="24"/>
  <c r="C2" i="24"/>
  <c r="E2" i="2"/>
  <c r="E23" i="16"/>
  <c r="E22" i="16"/>
  <c r="E20" i="16"/>
  <c r="E21" i="16"/>
  <c r="N2" i="2"/>
  <c r="M2" i="2"/>
  <c r="E3" i="16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E19" i="16"/>
  <c r="E18" i="16"/>
  <c r="B2" i="19"/>
  <c r="G2" i="19"/>
  <c r="F2" i="19"/>
  <c r="D2" i="19"/>
  <c r="C2" i="19"/>
  <c r="E17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E16" i="16"/>
  <c r="W2" i="7"/>
  <c r="V2" i="1"/>
  <c r="R2" i="7"/>
  <c r="Q2" i="7"/>
  <c r="P2" i="7"/>
  <c r="O2" i="7"/>
  <c r="N2" i="7"/>
  <c r="AB2" i="1"/>
  <c r="AE2" i="1"/>
  <c r="AD2" i="1"/>
  <c r="AC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G2" i="2"/>
  <c r="A2" i="2"/>
  <c r="J2" i="7"/>
  <c r="E15" i="16"/>
  <c r="E14" i="16"/>
  <c r="E13" i="16"/>
  <c r="E12" i="16"/>
  <c r="E11" i="16"/>
  <c r="E10" i="16"/>
  <c r="E2" i="16"/>
  <c r="A2" i="1"/>
  <c r="A2" i="9"/>
  <c r="A2" i="7"/>
  <c r="I2" i="7"/>
  <c r="D2" i="7"/>
  <c r="F2" i="7"/>
  <c r="E2" i="7"/>
  <c r="J2" i="1"/>
  <c r="I2" i="1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<sst xmlns="http://schemas.openxmlformats.org/spreadsheetml/2006/main" count="1984" uniqueCount="517">
  <si>
    <t>quest_id</t>
  </si>
  <si>
    <t>stage_id</t>
  </si>
  <si>
    <t>character_id</t>
  </si>
  <si>
    <t>level</t>
  </si>
  <si>
    <t>skill_set_id</t>
    <phoneticPr fontId="8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</si>
  <si>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</si>
  <si>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</si>
  <si>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</si>
  <si>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</si>
  <si>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</si>
  <si>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</si>
  <si>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</si>
  <si>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</si>
  <si>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</si>
  <si>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</si>
  <si>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</si>
  <si>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8"/>
  </si>
  <si>
    <t>rare</t>
    <phoneticPr fontId="8"/>
  </si>
  <si>
    <t>name</t>
    <phoneticPr fontId="8"/>
  </si>
  <si>
    <t>floor_id</t>
    <phoneticPr fontId="8"/>
  </si>
  <si>
    <t>name</t>
    <phoneticPr fontId="8"/>
  </si>
  <si>
    <t>name</t>
    <phoneticPr fontId="8"/>
  </si>
  <si>
    <t>skill_set_id</t>
  </si>
  <si>
    <t>drop_label</t>
    <phoneticPr fontId="8"/>
  </si>
  <si>
    <t>color</t>
    <phoneticPr fontId="8"/>
  </si>
  <si>
    <t>size</t>
    <phoneticPr fontId="8"/>
  </si>
  <si>
    <t>character_main_tribe_id</t>
    <phoneticPr fontId="8"/>
  </si>
  <si>
    <t>drop_label</t>
    <phoneticPr fontId="10"/>
  </si>
  <si>
    <t>temp_stage</t>
    <phoneticPr fontId="8"/>
  </si>
  <si>
    <t>temp_habitats</t>
    <phoneticPr fontId="8"/>
  </si>
  <si>
    <t>temp_floor</t>
    <phoneticPr fontId="8"/>
  </si>
  <si>
    <t>スキル</t>
    <phoneticPr fontId="8"/>
  </si>
  <si>
    <t>temp_stage</t>
    <phoneticPr fontId="8"/>
  </si>
  <si>
    <t>位置付け</t>
    <rPh sb="0" eb="3">
      <t>イチヅ</t>
    </rPh>
    <phoneticPr fontId="8"/>
  </si>
  <si>
    <t>name</t>
    <phoneticPr fontId="8"/>
  </si>
  <si>
    <t>temp_floor</t>
    <phoneticPr fontId="8"/>
  </si>
  <si>
    <t>status</t>
    <phoneticPr fontId="8"/>
  </si>
  <si>
    <t>hp_plus</t>
  </si>
  <si>
    <t>hp_plus</t>
    <phoneticPr fontId="8"/>
  </si>
  <si>
    <t>attack_plus</t>
  </si>
  <si>
    <t>attack_plus</t>
    <phoneticPr fontId="8"/>
  </si>
  <si>
    <t>defense_plus</t>
  </si>
  <si>
    <t>defense_plus</t>
    <phoneticPr fontId="8"/>
  </si>
  <si>
    <t>heal_plus</t>
  </si>
  <si>
    <t>heal_plus</t>
    <phoneticPr fontId="8"/>
  </si>
  <si>
    <t>bug</t>
  </si>
  <si>
    <t>bug</t>
    <phoneticPr fontId="8"/>
  </si>
  <si>
    <t>hp_coefficient</t>
  </si>
  <si>
    <t>hp_coefficient</t>
    <phoneticPr fontId="8"/>
  </si>
  <si>
    <t>attack_coefficient</t>
  </si>
  <si>
    <t>attack_coefficient</t>
    <phoneticPr fontId="8"/>
  </si>
  <si>
    <t>defense_correction</t>
  </si>
  <si>
    <t>defense_correction</t>
    <phoneticPr fontId="8"/>
  </si>
  <si>
    <t>null</t>
    <phoneticPr fontId="8"/>
  </si>
  <si>
    <t>seq_no</t>
    <phoneticPr fontId="8"/>
  </si>
  <si>
    <t>state_no</t>
    <phoneticPr fontId="8"/>
  </si>
  <si>
    <t>character_id</t>
    <phoneticPr fontId="8"/>
  </si>
  <si>
    <t>level</t>
    <phoneticPr fontId="8"/>
  </si>
  <si>
    <t>speed</t>
    <phoneticPr fontId="8"/>
  </si>
  <si>
    <t>skill_set_id</t>
    <phoneticPr fontId="8"/>
  </si>
  <si>
    <t>temp_id</t>
    <phoneticPr fontId="8"/>
  </si>
  <si>
    <t>skill_set_id</t>
    <phoneticPr fontId="10"/>
  </si>
  <si>
    <t>skill_id</t>
    <phoneticPr fontId="10"/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</si>
  <si>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</si>
  <si>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</si>
  <si>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</si>
  <si>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</si>
  <si>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</si>
  <si>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priority</t>
    <phoneticPr fontId="8"/>
  </si>
  <si>
    <t>invoke_rate</t>
    <phoneticPr fontId="8"/>
  </si>
  <si>
    <t>hp_threshold</t>
    <phoneticPr fontId="8"/>
  </si>
  <si>
    <t>hp_termination</t>
    <phoneticPr fontId="8"/>
  </si>
  <si>
    <t>invoke_times</t>
    <phoneticPr fontId="8"/>
  </si>
  <si>
    <t>every_time_count</t>
    <phoneticPr fontId="8"/>
  </si>
  <si>
    <t>neighbor_dead_id</t>
    <phoneticPr fontId="8"/>
  </si>
  <si>
    <t>invoke_weight</t>
    <phoneticPr fontId="8"/>
  </si>
  <si>
    <t>作成者</t>
    <rPh sb="0" eb="3">
      <t>サクセイシャ</t>
    </rPh>
    <phoneticPr fontId="8"/>
  </si>
  <si>
    <t>更新日</t>
    <rPh sb="0" eb="3">
      <t>コウシンニチジ</t>
    </rPh>
    <phoneticPr fontId="8"/>
  </si>
  <si>
    <t>備考（使用箇所）</t>
    <rPh sb="0" eb="2">
      <t>ビコウ</t>
    </rPh>
    <rPh sb="3" eb="7">
      <t>シヨウカショ</t>
    </rPh>
    <phoneticPr fontId="8"/>
  </si>
  <si>
    <t>enemy_skill_id</t>
  </si>
  <si>
    <t>effect_param</t>
    <phoneticPr fontId="8"/>
  </si>
  <si>
    <t>valid_flg</t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</si>
  <si>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</si>
  <si>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</si>
  <si>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</si>
  <si>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</si>
  <si>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</si>
  <si>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invoke_rate</t>
    <phoneticPr fontId="8"/>
  </si>
  <si>
    <t>重複チェック</t>
    <rPh sb="0" eb="2">
      <t>チョウフク</t>
    </rPh>
    <phoneticPr fontId="8"/>
  </si>
  <si>
    <t>null</t>
    <phoneticPr fontId="8"/>
  </si>
  <si>
    <t>null</t>
    <phoneticPr fontId="8"/>
  </si>
  <si>
    <t>enemy_skills</t>
    <phoneticPr fontId="8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</si>
  <si>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</si>
  <si>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</si>
  <si>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</si>
  <si>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</si>
  <si>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</si>
  <si>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</si>
  <si>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</si>
  <si>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</si>
  <si>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</si>
  <si>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8"/>
  </si>
  <si>
    <t>識別子</t>
    <rPh sb="0" eb="3">
      <t>シキベツシ</t>
    </rPh>
    <phoneticPr fontId="8"/>
  </si>
  <si>
    <t>形式</t>
    <rPh sb="0" eb="2">
      <t>ケイシキ</t>
    </rPh>
    <phoneticPr fontId="8"/>
  </si>
  <si>
    <t>出力ファイル名</t>
    <rPh sb="0" eb="2">
      <t>シュツリョク</t>
    </rPh>
    <rPh sb="6" eb="7">
      <t>メイ</t>
    </rPh>
    <phoneticPr fontId="8"/>
  </si>
  <si>
    <t>入力シート名</t>
    <rPh sb="0" eb="2">
      <t>ニュウリョク</t>
    </rPh>
    <rPh sb="5" eb="6">
      <t>メイ</t>
    </rPh>
    <phoneticPr fontId="8"/>
  </si>
  <si>
    <t>出力データ</t>
    <rPh sb="0" eb="2">
      <t>シュツリョク</t>
    </rPh>
    <phoneticPr fontId="8"/>
  </si>
  <si>
    <t>floors_</t>
    <phoneticPr fontId="8"/>
  </si>
  <si>
    <t>.tmp</t>
    <phoneticPr fontId="8"/>
  </si>
  <si>
    <t>floors</t>
    <phoneticPr fontId="8"/>
  </si>
  <si>
    <t>enemy_habitats_</t>
    <phoneticPr fontId="8"/>
  </si>
  <si>
    <t>enemy_habitats</t>
    <phoneticPr fontId="8"/>
  </si>
  <si>
    <t>enemy_habitat_S_</t>
    <phoneticPr fontId="8"/>
  </si>
  <si>
    <t>enemy_habitat_S</t>
    <phoneticPr fontId="8"/>
  </si>
  <si>
    <t>enemy_skill_sets_</t>
    <phoneticPr fontId="8"/>
  </si>
  <si>
    <t>enemy_skill_sets</t>
    <phoneticPr fontId="8"/>
  </si>
  <si>
    <t>enemy_skills_tmp_</t>
    <phoneticPr fontId="8"/>
  </si>
  <si>
    <t>.tmp</t>
    <phoneticPr fontId="8"/>
  </si>
  <si>
    <t>enemy_skills_i18n_</t>
    <phoneticPr fontId="8"/>
  </si>
  <si>
    <t>enemy_skills</t>
    <phoneticPr fontId="8"/>
  </si>
  <si>
    <t>enemy_skill_triggers_</t>
    <phoneticPr fontId="8"/>
  </si>
  <si>
    <t>.tmp</t>
    <phoneticPr fontId="8"/>
  </si>
  <si>
    <t>enemy_skill_triggers</t>
    <phoneticPr fontId="8"/>
  </si>
  <si>
    <t>hp_termination</t>
    <phoneticPr fontId="8"/>
  </si>
  <si>
    <t>invoke_weight</t>
    <phoneticPr fontId="8"/>
  </si>
  <si>
    <t>every_time_count</t>
    <phoneticPr fontId="8"/>
  </si>
  <si>
    <t>neighbor_dead_id</t>
    <phoneticPr fontId="8"/>
  </si>
  <si>
    <t>language</t>
    <phoneticPr fontId="8"/>
  </si>
  <si>
    <t>ja</t>
    <phoneticPr fontId="8"/>
  </si>
  <si>
    <t>skill_set_id</t>
    <phoneticPr fontId="8"/>
  </si>
  <si>
    <t>スキル</t>
    <phoneticPr fontId="8"/>
  </si>
  <si>
    <t>出力flg</t>
    <rPh sb="0" eb="2">
      <t>シュツリョク</t>
    </rPh>
    <phoneticPr fontId="8"/>
  </si>
  <si>
    <t>中間文字列１</t>
    <rPh sb="0" eb="2">
      <t>チュウカン</t>
    </rPh>
    <rPh sb="2" eb="5">
      <t>モジレツ</t>
    </rPh>
    <phoneticPr fontId="8"/>
  </si>
  <si>
    <t>効果１文字列</t>
    <rPh sb="0" eb="2">
      <t>コウカ</t>
    </rPh>
    <rPh sb="3" eb="6">
      <t>モジレツ</t>
    </rPh>
    <phoneticPr fontId="8"/>
  </si>
  <si>
    <t>効果１簡易デコード</t>
    <rPh sb="0" eb="2">
      <t>コウカ</t>
    </rPh>
    <rPh sb="3" eb="5">
      <t>カンイ</t>
    </rPh>
    <phoneticPr fontId="8"/>
  </si>
  <si>
    <t>効果２文字列</t>
    <rPh sb="0" eb="2">
      <t>コウカ</t>
    </rPh>
    <rPh sb="3" eb="6">
      <t>モジレツ</t>
    </rPh>
    <phoneticPr fontId="8"/>
  </si>
  <si>
    <t>効果２簡易デコード</t>
    <rPh sb="0" eb="2">
      <t>コウカ</t>
    </rPh>
    <rPh sb="3" eb="5">
      <t>カンイ</t>
    </rPh>
    <phoneticPr fontId="8"/>
  </si>
  <si>
    <t>効果３文字列</t>
    <rPh sb="0" eb="2">
      <t>コウカ</t>
    </rPh>
    <rPh sb="3" eb="6">
      <t>モジレツ</t>
    </rPh>
    <phoneticPr fontId="8"/>
  </si>
  <si>
    <t>効果３簡易デコード</t>
    <rPh sb="0" eb="2">
      <t>コウカ</t>
    </rPh>
    <rPh sb="3" eb="5">
      <t>カンイ</t>
    </rPh>
    <phoneticPr fontId="8"/>
  </si>
  <si>
    <t>効果１efect位置</t>
    <rPh sb="0" eb="2">
      <t>コウカ</t>
    </rPh>
    <rPh sb="8" eb="10">
      <t>イチ</t>
    </rPh>
    <phoneticPr fontId="8"/>
  </si>
  <si>
    <t>効果１target位置</t>
    <rPh sb="0" eb="2">
      <t>コウカ</t>
    </rPh>
    <rPh sb="9" eb="11">
      <t>イチ</t>
    </rPh>
    <phoneticPr fontId="8"/>
  </si>
  <si>
    <t>効果1終了位置</t>
    <rPh sb="0" eb="2">
      <t>コウカ</t>
    </rPh>
    <rPh sb="3" eb="5">
      <t>シュウリョウ</t>
    </rPh>
    <rPh sb="5" eb="7">
      <t>イチ</t>
    </rPh>
    <phoneticPr fontId="8"/>
  </si>
  <si>
    <t>効果1target終了位置</t>
    <rPh sb="0" eb="2">
      <t>コウカ</t>
    </rPh>
    <rPh sb="9" eb="11">
      <t>シュウリョウ</t>
    </rPh>
    <rPh sb="11" eb="13">
      <t>イチ</t>
    </rPh>
    <phoneticPr fontId="8"/>
  </si>
  <si>
    <t>効果2efect位置</t>
    <rPh sb="0" eb="2">
      <t>コウカ</t>
    </rPh>
    <rPh sb="8" eb="10">
      <t>イチ</t>
    </rPh>
    <phoneticPr fontId="8"/>
  </si>
  <si>
    <t>効果2終了位置</t>
    <rPh sb="0" eb="2">
      <t>コウカ</t>
    </rPh>
    <rPh sb="3" eb="5">
      <t>シュウリョウ</t>
    </rPh>
    <rPh sb="5" eb="7">
      <t>イチ</t>
    </rPh>
    <phoneticPr fontId="8"/>
  </si>
  <si>
    <t>効果2target位置</t>
    <rPh sb="0" eb="2">
      <t>コウカ</t>
    </rPh>
    <rPh sb="9" eb="11">
      <t>イチ</t>
    </rPh>
    <phoneticPr fontId="8"/>
  </si>
  <si>
    <t>効果2target終了位置</t>
    <rPh sb="0" eb="2">
      <t>コウカ</t>
    </rPh>
    <rPh sb="9" eb="11">
      <t>シュウリョウ</t>
    </rPh>
    <rPh sb="11" eb="13">
      <t>イチ</t>
    </rPh>
    <phoneticPr fontId="8"/>
  </si>
  <si>
    <t>効果3efect位置</t>
    <rPh sb="0" eb="2">
      <t>コウカ</t>
    </rPh>
    <rPh sb="8" eb="10">
      <t>イチ</t>
    </rPh>
    <phoneticPr fontId="8"/>
  </si>
  <si>
    <t>効果3終了位置</t>
    <rPh sb="0" eb="2">
      <t>コウカ</t>
    </rPh>
    <rPh sb="3" eb="5">
      <t>シュウリョウ</t>
    </rPh>
    <rPh sb="5" eb="7">
      <t>イチ</t>
    </rPh>
    <phoneticPr fontId="8"/>
  </si>
  <si>
    <t>効果3target位置</t>
    <rPh sb="0" eb="2">
      <t>コウカ</t>
    </rPh>
    <rPh sb="9" eb="11">
      <t>イチ</t>
    </rPh>
    <phoneticPr fontId="8"/>
  </si>
  <si>
    <t>効果3target終了位置</t>
    <rPh sb="0" eb="2">
      <t>コウカ</t>
    </rPh>
    <rPh sb="9" eb="11">
      <t>シュウリョウ</t>
    </rPh>
    <rPh sb="11" eb="13">
      <t>イチ</t>
    </rPh>
    <phoneticPr fontId="8"/>
  </si>
  <si>
    <t>quest_id</t>
    <phoneticPr fontId="8"/>
  </si>
  <si>
    <t>stage_id</t>
    <phoneticPr fontId="8"/>
  </si>
  <si>
    <t>temp_stage</t>
    <phoneticPr fontId="10"/>
  </si>
  <si>
    <t>stage_target</t>
    <phoneticPr fontId="8"/>
  </si>
  <si>
    <t>bonus_id</t>
    <phoneticPr fontId="8"/>
  </si>
  <si>
    <t>bonus_type</t>
    <phoneticPr fontId="8"/>
  </si>
  <si>
    <t>bonus_value</t>
    <phoneticPr fontId="8"/>
  </si>
  <si>
    <t>bonus_count</t>
    <phoneticPr fontId="8"/>
  </si>
  <si>
    <t>level</t>
    <phoneticPr fontId="8"/>
  </si>
  <si>
    <t>skill_level</t>
    <phoneticPr fontId="8"/>
  </si>
  <si>
    <t>hp_plus</t>
    <phoneticPr fontId="8"/>
  </si>
  <si>
    <t>attack_plus</t>
    <phoneticPr fontId="8"/>
  </si>
  <si>
    <t>defense_plus</t>
    <phoneticPr fontId="8"/>
  </si>
  <si>
    <t>heal_plus</t>
    <phoneticPr fontId="8"/>
  </si>
  <si>
    <t>bug</t>
    <phoneticPr fontId="8"/>
  </si>
  <si>
    <t>weight</t>
    <phoneticPr fontId="8"/>
  </si>
  <si>
    <t>definite_start_date</t>
    <phoneticPr fontId="8"/>
  </si>
  <si>
    <t>definite_end_date</t>
    <phoneticPr fontId="8"/>
  </si>
  <si>
    <t>bit</t>
  </si>
  <si>
    <t>null</t>
    <phoneticPr fontId="8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</si>
  <si>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</si>
  <si>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</si>
  <si>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</si>
  <si>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bugbonuses</t>
    <phoneticPr fontId="8"/>
  </si>
  <si>
    <t>stage_id</t>
    <phoneticPr fontId="8"/>
  </si>
  <si>
    <t>stage_target</t>
    <phoneticPr fontId="8"/>
  </si>
  <si>
    <t>bonus_id</t>
    <phoneticPr fontId="8"/>
  </si>
  <si>
    <t>bonus_type</t>
    <phoneticPr fontId="8"/>
  </si>
  <si>
    <t>stage_bug_bonuses_</t>
    <phoneticPr fontId="8"/>
  </si>
  <si>
    <t>skill_level</t>
    <phoneticPr fontId="8"/>
  </si>
  <si>
    <t>skill_level</t>
    <phoneticPr fontId="8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</si>
  <si>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</si>
  <si>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quest_id</t>
    <phoneticPr fontId="8"/>
  </si>
  <si>
    <t>hint_id</t>
    <phoneticPr fontId="8"/>
  </si>
  <si>
    <t>floor_id</t>
    <phoneticPr fontId="8"/>
  </si>
  <si>
    <t>hint_type</t>
    <phoneticPr fontId="8"/>
  </si>
  <si>
    <t>hint</t>
    <phoneticPr fontId="8"/>
  </si>
  <si>
    <t>title</t>
    <phoneticPr fontId="8"/>
  </si>
  <si>
    <t>skip</t>
  </si>
  <si>
    <t>hint_type</t>
    <phoneticPr fontId="8"/>
  </si>
  <si>
    <t>quest_id</t>
    <phoneticPr fontId="8"/>
  </si>
  <si>
    <t>name</t>
    <phoneticPr fontId="8"/>
  </si>
  <si>
    <t>stage_id</t>
    <phoneticPr fontId="8"/>
  </si>
  <si>
    <t>name</t>
    <phoneticPr fontId="8"/>
  </si>
  <si>
    <t>floor_id</t>
    <phoneticPr fontId="8"/>
  </si>
  <si>
    <t>tmp_hint_id</t>
    <phoneticPr fontId="8"/>
  </si>
  <si>
    <t>hint_id</t>
    <phoneticPr fontId="8"/>
  </si>
  <si>
    <t>filename</t>
    <phoneticPr fontId="8"/>
  </si>
  <si>
    <t>failure</t>
  </si>
  <si>
    <t>ja</t>
    <phoneticPr fontId="8"/>
  </si>
  <si>
    <t>攻略のヒント</t>
    <rPh sb="0" eb="2">
      <t>コウリャク</t>
    </rPh>
    <phoneticPr fontId="8"/>
  </si>
  <si>
    <t>NULL</t>
    <phoneticPr fontId="8"/>
  </si>
  <si>
    <t>complete</t>
  </si>
  <si>
    <t>敵が強すぎます</t>
    <rPh sb="0" eb="2">
      <t>テk</t>
    </rPh>
    <rPh sb="2" eb="7">
      <t>ツヨs</t>
    </rPh>
    <phoneticPr fontId="8"/>
  </si>
  <si>
    <t>stage_hints_data_c_</t>
    <phoneticPr fontId="8"/>
  </si>
  <si>
    <t>stage_hints_data_f_</t>
    <phoneticPr fontId="8"/>
  </si>
  <si>
    <t>skip</t>
    <phoneticPr fontId="10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</si>
  <si>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8"/>
  </si>
  <si>
    <t>hint_id</t>
    <phoneticPr fontId="8"/>
  </si>
  <si>
    <t>language</t>
    <phoneticPr fontId="8"/>
  </si>
  <si>
    <t>hint</t>
    <phoneticPr fontId="8"/>
  </si>
  <si>
    <t>filename</t>
  </si>
  <si>
    <t>title</t>
    <phoneticPr fontId="8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</si>
  <si>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8"/>
  </si>
  <si>
    <t>NULL</t>
    <phoneticPr fontId="8"/>
  </si>
  <si>
    <t>stage_hints_failure</t>
    <phoneticPr fontId="8"/>
  </si>
  <si>
    <t>stage_hints_failure</t>
    <phoneticPr fontId="8"/>
  </si>
  <si>
    <t>初級</t>
    <rPh sb="0" eb="2">
      <t>ショキュウ</t>
    </rPh>
    <phoneticPr fontId="8"/>
  </si>
  <si>
    <t>中級</t>
    <rPh sb="0" eb="2">
      <t>チュウキュウ</t>
    </rPh>
    <phoneticPr fontId="8"/>
  </si>
  <si>
    <t>上級</t>
    <rPh sb="0" eb="2">
      <t>ジョウキュウ</t>
    </rPh>
    <phoneticPr fontId="8"/>
  </si>
  <si>
    <t>超級</t>
    <rPh sb="0" eb="2">
      <t>チョウキュウ</t>
    </rPh>
    <phoneticPr fontId="8"/>
  </si>
  <si>
    <t>超絶級</t>
    <rPh sb="0" eb="2">
      <t>チョウゼツ</t>
    </rPh>
    <rPh sb="2" eb="3">
      <t>キュウ</t>
    </rPh>
    <phoneticPr fontId="8"/>
  </si>
  <si>
    <t>(超)ウィザード級</t>
    <rPh sb="1" eb="2">
      <t>チョウ</t>
    </rPh>
    <rPh sb="8" eb="9">
      <t>キュウ</t>
    </rPh>
    <phoneticPr fontId="8"/>
  </si>
  <si>
    <t>param_code_damage_givn</t>
    <phoneticPr fontId="8"/>
  </si>
  <si>
    <t>param_code_damage_received</t>
    <phoneticPr fontId="8"/>
  </si>
  <si>
    <t>param_code_clear_turn</t>
    <phoneticPr fontId="8"/>
  </si>
  <si>
    <t>gift_type</t>
    <phoneticPr fontId="10"/>
  </si>
  <si>
    <t>gift_value</t>
    <phoneticPr fontId="10"/>
  </si>
  <si>
    <t>gift_count</t>
    <phoneticPr fontId="10"/>
  </si>
  <si>
    <t>language</t>
    <phoneticPr fontId="10"/>
  </si>
  <si>
    <t>message</t>
    <phoneticPr fontId="10"/>
  </si>
  <si>
    <t>ranking_ACH_</t>
    <phoneticPr fontId="8"/>
  </si>
  <si>
    <t>ranking_ACH</t>
    <phoneticPr fontId="8"/>
  </si>
  <si>
    <t>quest_id</t>
    <phoneticPr fontId="8"/>
  </si>
  <si>
    <t>upper_ranking</t>
    <phoneticPr fontId="8"/>
  </si>
  <si>
    <t>lower_ranking</t>
    <phoneticPr fontId="8"/>
  </si>
  <si>
    <t>gift_id</t>
    <phoneticPr fontId="8"/>
  </si>
  <si>
    <t>gifts_tmp_</t>
    <phoneticPr fontId="10"/>
  </si>
  <si>
    <t>gift_id</t>
    <phoneticPr fontId="10"/>
  </si>
  <si>
    <t>gifts_i18n_</t>
    <phoneticPr fontId="10"/>
  </si>
  <si>
    <t>title</t>
    <phoneticPr fontId="10"/>
  </si>
  <si>
    <t>detail</t>
    <phoneticPr fontId="10"/>
  </si>
  <si>
    <t>ranking_floors_</t>
    <phoneticPr fontId="8"/>
  </si>
  <si>
    <t>ranking_stages_</t>
    <phoneticPr fontId="8"/>
  </si>
  <si>
    <t>clear_bonus</t>
    <phoneticPr fontId="8"/>
  </si>
  <si>
    <t>ranking_stages</t>
    <phoneticPr fontId="8"/>
  </si>
  <si>
    <t>param_code</t>
    <phoneticPr fontId="8"/>
  </si>
  <si>
    <t>x</t>
    <phoneticPr fontId="8"/>
  </si>
  <si>
    <t>a</t>
    <phoneticPr fontId="8"/>
  </si>
  <si>
    <t>b</t>
    <phoneticPr fontId="8"/>
  </si>
  <si>
    <t>clear_turn_</t>
    <phoneticPr fontId="8"/>
  </si>
  <si>
    <t>damage_give_</t>
    <phoneticPr fontId="8"/>
  </si>
  <si>
    <t>damage_receive</t>
    <phoneticPr fontId="8"/>
  </si>
  <si>
    <t>damage_receive_</t>
    <phoneticPr fontId="8"/>
  </si>
  <si>
    <t>clear_turn</t>
    <phoneticPr fontId="8"/>
  </si>
  <si>
    <t>damege_give</t>
    <phoneticPr fontId="8"/>
  </si>
  <si>
    <t>evaluation_id</t>
    <phoneticPr fontId="8"/>
  </si>
  <si>
    <t>quest_id</t>
    <phoneticPr fontId="8"/>
  </si>
  <si>
    <t>stage_id</t>
    <phoneticPr fontId="8"/>
  </si>
  <si>
    <t>score</t>
    <phoneticPr fontId="8"/>
  </si>
  <si>
    <t>language</t>
    <phoneticPr fontId="8"/>
  </si>
  <si>
    <t>evaluation</t>
    <phoneticPr fontId="8"/>
  </si>
  <si>
    <t>animation_file_name</t>
    <phoneticPr fontId="8"/>
  </si>
  <si>
    <t>ranking_eval_data_</t>
    <phoneticPr fontId="8"/>
  </si>
  <si>
    <t>ranking_eval_i18n_</t>
    <phoneticPr fontId="8"/>
  </si>
  <si>
    <t>ranking_eval</t>
  </si>
  <si>
    <t>skill_level</t>
  </si>
  <si>
    <t>ranking_stage_evaluation_gifts</t>
    <phoneticPr fontId="8"/>
  </si>
  <si>
    <t>ranking_eval_gift</t>
    <phoneticPr fontId="8"/>
  </si>
  <si>
    <t>evaluation_id</t>
    <phoneticPr fontId="8"/>
  </si>
  <si>
    <t>quest_id</t>
    <phoneticPr fontId="8"/>
  </si>
  <si>
    <t>gift_id</t>
    <phoneticPr fontId="8"/>
  </si>
  <si>
    <t xml:space="preserve">gift_limit </t>
    <phoneticPr fontId="8"/>
  </si>
  <si>
    <t>gifts_tmp_</t>
    <phoneticPr fontId="8"/>
  </si>
  <si>
    <t>.tmp</t>
    <phoneticPr fontId="8"/>
  </si>
  <si>
    <t>ranking_eval_gift</t>
    <phoneticPr fontId="8"/>
  </si>
  <si>
    <t>gift_id</t>
    <phoneticPr fontId="10"/>
  </si>
  <si>
    <t>gift_type</t>
    <phoneticPr fontId="10"/>
  </si>
  <si>
    <t>gift_value</t>
    <phoneticPr fontId="10"/>
  </si>
  <si>
    <t>gift_count</t>
    <phoneticPr fontId="10"/>
  </si>
  <si>
    <t>gifts_i18n_</t>
    <phoneticPr fontId="8"/>
  </si>
  <si>
    <t>.tmp</t>
    <phoneticPr fontId="8"/>
  </si>
  <si>
    <t>language</t>
    <phoneticPr fontId="10"/>
  </si>
  <si>
    <t>title</t>
    <phoneticPr fontId="10"/>
  </si>
  <si>
    <t>detail</t>
    <phoneticPr fontId="10"/>
  </si>
  <si>
    <t>message</t>
    <phoneticPr fontId="10"/>
  </si>
  <si>
    <t>ランキングクエストスコア評価報酬</t>
    <rPh sb="12" eb="14">
      <t>ヒョウカ</t>
    </rPh>
    <rPh sb="14" eb="16">
      <t>ホウシュウ</t>
    </rPh>
    <phoneticPr fontId="10"/>
  </si>
  <si>
    <t>ギガ秘術の果実 × 1</t>
    <rPh sb="2" eb="4">
      <t>ヒジュツ</t>
    </rPh>
    <rPh sb="5" eb="7">
      <t>カジツ</t>
    </rPh>
    <phoneticPr fontId="10"/>
  </si>
  <si>
    <t>10万ビット</t>
    <rPh sb="2" eb="3">
      <t>マン</t>
    </rPh>
    <phoneticPr fontId="10"/>
  </si>
  <si>
    <t>old</t>
    <phoneticPr fontId="8"/>
  </si>
  <si>
    <t>old</t>
    <phoneticPr fontId="8"/>
  </si>
  <si>
    <t>old</t>
    <phoneticPr fontId="8"/>
  </si>
  <si>
    <t>[effect:nothing]</t>
    <phoneticPr fontId="8"/>
  </si>
  <si>
    <t>予備枠</t>
    <rPh sb="0" eb="3">
      <t>ヨｂ</t>
    </rPh>
    <phoneticPr fontId="8"/>
  </si>
  <si>
    <t>全体攻撃</t>
    <rPh sb="0" eb="4">
      <t>ゼｎ</t>
    </rPh>
    <phoneticPr fontId="8"/>
  </si>
  <si>
    <t>ムスペルヘイム</t>
    <phoneticPr fontId="8"/>
  </si>
  <si>
    <t>[effect:critical, val:1.1, animation:enemy_critical],[effect:fix_speed, target:myself, turn:2]</t>
    <phoneticPr fontId="8"/>
  </si>
  <si>
    <t>[effect:critical, val:1.1, animation:enemy_critical],[effect:fix_speed, target:myself, turn:3]</t>
    <phoneticPr fontId="8"/>
  </si>
  <si>
    <t>[effect:fix_speed, target:myself, turn:1],[effect:tolerance, target:myself, turn:-1, count:-1, tolerance_effect:all, animation:enemy_tolerance]</t>
    <phoneticPr fontId="8"/>
  </si>
  <si>
    <t>[effect:fix_speed, target:myself, turn:1],[effect:tolerance, target:myself, turn:-1, count:-1, tolerance_effect:all, animation:enemy_tolerance]</t>
    <phoneticPr fontId="8"/>
  </si>
  <si>
    <t>[effect:fix_speed, target:myself, turn:2],[effect:tolerance, target:myself, turn:-1, count:-1, tolerance_effect:all, animation:enemy_tolerance]</t>
    <phoneticPr fontId="8"/>
  </si>
  <si>
    <t>[effect:fix_speed, target:myself, turn:2],[effect:tolerance, target:myself, turn:-1, count:-1, tolerance_effect:all, animation:enemy_tolerance]</t>
    <phoneticPr fontId="8"/>
  </si>
  <si>
    <t>[effect:rush, count:3, val:0.45]</t>
  </si>
  <si>
    <t>[effect:spread, val:0.3, animation:enemy_spread]</t>
    <phoneticPr fontId="8"/>
  </si>
  <si>
    <t>[effect:fix_speed, target:myself, turn:2]</t>
    <phoneticPr fontId="8"/>
  </si>
  <si>
    <t>[effect:fix_speed, target:myself, turn:3]</t>
    <phoneticPr fontId="8"/>
  </si>
  <si>
    <t>[effect:critical, val:1.1, animation:enemy_critical],[effect:fix_speed, target:myself, turn:1]</t>
    <phoneticPr fontId="8"/>
  </si>
  <si>
    <t>[effect:critical, val:1.1, animation:enemy_critical]</t>
    <phoneticPr fontId="8"/>
  </si>
  <si>
    <t>[effect:dis_heart, turn:5, animation:enemy_dis_heart]</t>
    <phoneticPr fontId="8"/>
  </si>
  <si>
    <t>[effect:freq_turn, target:enemy_red, turn:-1, val:1, animation:enemy_freq_turn]</t>
    <phoneticPr fontId="8"/>
  </si>
  <si>
    <t>[effect:enhance_enemy, target:myself, turn:5, status:attack, val:0.35, calc:mul, animation:enemy_enhance_attack]</t>
    <phoneticPr fontId="8"/>
  </si>
  <si>
    <t>[effect:enhance_enemy, target:enemy_yellow, turn:5, status:defense, val:3000, calc:add, animation:enemy_enhance_defense]</t>
    <phoneticPr fontId="8"/>
  </si>
  <si>
    <t>null</t>
    <phoneticPr fontId="8"/>
  </si>
  <si>
    <t>null</t>
    <phoneticPr fontId="8"/>
  </si>
  <si>
    <t>param_code</t>
    <phoneticPr fontId="8"/>
  </si>
  <si>
    <t>x</t>
    <phoneticPr fontId="8"/>
  </si>
  <si>
    <t>y</t>
    <phoneticPr fontId="8"/>
  </si>
  <si>
    <t>a</t>
    <phoneticPr fontId="8"/>
  </si>
  <si>
    <t>b</t>
    <phoneticPr fontId="8"/>
  </si>
  <si>
    <t>param_code</t>
    <phoneticPr fontId="8"/>
  </si>
  <si>
    <t>x</t>
    <phoneticPr fontId="8"/>
  </si>
  <si>
    <t>y</t>
    <phoneticPr fontId="8"/>
  </si>
  <si>
    <t>a</t>
    <phoneticPr fontId="8"/>
  </si>
  <si>
    <t>b</t>
    <phoneticPr fontId="8"/>
  </si>
  <si>
    <t>次条係数</t>
    <rPh sb="0" eb="2">
      <t>jijyou</t>
    </rPh>
    <rPh sb="2" eb="4">
      <t>ケイス</t>
    </rPh>
    <phoneticPr fontId="8"/>
  </si>
  <si>
    <t>param_code</t>
    <phoneticPr fontId="8"/>
  </si>
  <si>
    <t>x</t>
    <phoneticPr fontId="8"/>
  </si>
  <si>
    <t>y</t>
    <phoneticPr fontId="8"/>
  </si>
  <si>
    <t>a</t>
    <phoneticPr fontId="8"/>
  </si>
  <si>
    <t>b</t>
    <phoneticPr fontId="8"/>
  </si>
  <si>
    <t>evaluation_id</t>
    <phoneticPr fontId="8"/>
  </si>
  <si>
    <t>quest_id</t>
    <phoneticPr fontId="8"/>
  </si>
  <si>
    <t>stage_id</t>
    <phoneticPr fontId="8"/>
  </si>
  <si>
    <t>score</t>
    <phoneticPr fontId="8"/>
  </si>
  <si>
    <t>language</t>
    <phoneticPr fontId="8"/>
  </si>
  <si>
    <t>evaluation</t>
    <phoneticPr fontId="8"/>
  </si>
  <si>
    <t>animation_file_name</t>
    <phoneticPr fontId="8"/>
  </si>
  <si>
    <t>ja</t>
    <phoneticPr fontId="10"/>
  </si>
  <si>
    <t>SSS</t>
    <phoneticPr fontId="10"/>
  </si>
  <si>
    <t>View/RankingBattle_Evelution_SSS.ccbi</t>
    <phoneticPr fontId="10"/>
  </si>
  <si>
    <t>SS</t>
    <phoneticPr fontId="10"/>
  </si>
  <si>
    <t>View/RankingBattle_Evelution_SS.ccbi</t>
    <phoneticPr fontId="10"/>
  </si>
  <si>
    <t>S</t>
    <phoneticPr fontId="10"/>
  </si>
  <si>
    <t>View/RankingBattle_Evelution_S.ccbi</t>
    <phoneticPr fontId="10"/>
  </si>
  <si>
    <t>AAA</t>
    <phoneticPr fontId="10"/>
  </si>
  <si>
    <t>View/RankingBattle_Evelution_AAA.ccbi</t>
    <phoneticPr fontId="10"/>
  </si>
  <si>
    <t>AA</t>
    <phoneticPr fontId="10"/>
  </si>
  <si>
    <t>View/RankingBattle_Evelution_AA.ccbi</t>
    <phoneticPr fontId="10"/>
  </si>
  <si>
    <t>A</t>
    <phoneticPr fontId="10"/>
  </si>
  <si>
    <t>View/RankingBattle_Evelution_A.ccbi</t>
    <phoneticPr fontId="10"/>
  </si>
  <si>
    <t>B</t>
    <phoneticPr fontId="10"/>
  </si>
  <si>
    <t>View/RankingBattle_Evelution_B.ccbi</t>
    <phoneticPr fontId="10"/>
  </si>
  <si>
    <t>C</t>
    <phoneticPr fontId="10"/>
  </si>
  <si>
    <t>View/RankingBattle_Evelution_C.ccbi</t>
    <phoneticPr fontId="10"/>
  </si>
  <si>
    <t>evaluation_id</t>
    <phoneticPr fontId="8"/>
  </si>
  <si>
    <t>quest_id</t>
    <phoneticPr fontId="8"/>
  </si>
  <si>
    <t>stage_id</t>
    <phoneticPr fontId="8"/>
  </si>
  <si>
    <t>score</t>
    <phoneticPr fontId="8"/>
  </si>
  <si>
    <t>gift_id</t>
    <phoneticPr fontId="8"/>
  </si>
  <si>
    <t>gift_type</t>
    <phoneticPr fontId="10"/>
  </si>
  <si>
    <t>gift_value</t>
    <phoneticPr fontId="10"/>
  </si>
  <si>
    <t>gift_count</t>
    <phoneticPr fontId="10"/>
  </si>
  <si>
    <t>hp_plus</t>
    <phoneticPr fontId="8"/>
  </si>
  <si>
    <t>attack_plus</t>
    <phoneticPr fontId="8"/>
  </si>
  <si>
    <t>heal_plus</t>
    <phoneticPr fontId="8"/>
  </si>
  <si>
    <t>defense_plus</t>
    <phoneticPr fontId="8"/>
  </si>
  <si>
    <t>level</t>
    <phoneticPr fontId="8"/>
  </si>
  <si>
    <t>skill_level</t>
    <phoneticPr fontId="8"/>
  </si>
  <si>
    <t>bug</t>
    <phoneticPr fontId="8"/>
  </si>
  <si>
    <t>language</t>
    <phoneticPr fontId="10"/>
  </si>
  <si>
    <t>title</t>
    <phoneticPr fontId="10"/>
  </si>
  <si>
    <t>detail</t>
    <phoneticPr fontId="10"/>
  </si>
  <si>
    <t>message</t>
    <phoneticPr fontId="10"/>
  </si>
  <si>
    <t xml:space="preserve">gift_limit </t>
    <phoneticPr fontId="8"/>
  </si>
  <si>
    <t>unit</t>
    <phoneticPr fontId="10"/>
  </si>
  <si>
    <t>ja</t>
    <phoneticPr fontId="10"/>
  </si>
  <si>
    <t>リトルハンプティ × 1</t>
    <phoneticPr fontId="10"/>
  </si>
  <si>
    <t>item</t>
    <phoneticPr fontId="10"/>
  </si>
  <si>
    <t>マスターキー × 3</t>
    <phoneticPr fontId="10"/>
  </si>
  <si>
    <t>炎のメタルジェントル × 1</t>
    <rPh sb="0" eb="1">
      <t>ホノオ</t>
    </rPh>
    <phoneticPr fontId="10"/>
  </si>
  <si>
    <t>森のメタルジェントル × 1</t>
    <rPh sb="0" eb="1">
      <t>モリノ</t>
    </rPh>
    <phoneticPr fontId="10"/>
  </si>
  <si>
    <t>水のメタルジェントル × 1</t>
    <rPh sb="0" eb="1">
      <t>ミズノ</t>
    </rPh>
    <phoneticPr fontId="10"/>
  </si>
  <si>
    <t>雷のメタルジェントル × 1</t>
    <rPh sb="0" eb="1">
      <t>カミナリ</t>
    </rPh>
    <phoneticPr fontId="10"/>
  </si>
  <si>
    <t>link</t>
    <phoneticPr fontId="10"/>
  </si>
  <si>
    <t>null</t>
    <phoneticPr fontId="8"/>
  </si>
  <si>
    <t>2000リンク</t>
    <phoneticPr fontId="10"/>
  </si>
  <si>
    <t>bit</t>
    <phoneticPr fontId="10"/>
  </si>
  <si>
    <t>1000リンク</t>
    <phoneticPr fontId="8"/>
  </si>
  <si>
    <t>ヘンペルチャレンジ
スコア評価報酬</t>
  </si>
  <si>
    <t>[effect:rush, count:3, val:0.4]</t>
    <phoneticPr fontId="8"/>
  </si>
  <si>
    <t>[effect:rush, count:25, val:0.05]</t>
    <phoneticPr fontId="8"/>
  </si>
  <si>
    <t>[effect:enemy_message, dead_type:suicide, val1:1.4, val2:2]</t>
    <phoneticPr fontId="8"/>
  </si>
  <si>
    <t>[effect:rush, count:25, val:0.1]</t>
    <phoneticPr fontId="8"/>
  </si>
  <si>
    <t>[effect:rush, count:5, val:0.25]</t>
    <phoneticPr fontId="8"/>
  </si>
  <si>
    <t>[effect:damage_anti_tribe, target:unit_all, tribe:human, val1:0.7, val2:0.25]</t>
    <phoneticPr fontId="8"/>
  </si>
  <si>
    <t>[effect:damage_anti_color, target:unit_all, color:red, val1:0.7, val2:0.25]</t>
    <phoneticPr fontId="8"/>
  </si>
  <si>
    <t>[effect:force_change_block, new_block:damage, target:block_all, ignore01:crash, ignore02:crack_bomb, ignore03:color_break, ignore04:time_bomb, ignore05:jammer, color:block_yellow, count:5, val:0.05, animation:change_block]</t>
    <phoneticPr fontId="8"/>
  </si>
  <si>
    <t>[effect:break_attack, target:unit_all, val:0.05, lowest_val:1000, count:-1, color:blue, block01:damage]</t>
    <phoneticPr fontId="8"/>
  </si>
  <si>
    <t>3回連続攻撃</t>
    <rPh sb="1" eb="2">
      <t>カ</t>
    </rPh>
    <rPh sb="2" eb="6">
      <t>レンゾｋ</t>
    </rPh>
    <phoneticPr fontId="8"/>
  </si>
  <si>
    <t>種族ヒューマンのユニットに大ダメージの全体攻撃</t>
    <rPh sb="19" eb="21">
      <t>ゼｎ</t>
    </rPh>
    <rPh sb="21" eb="23">
      <t>コウゲｋ</t>
    </rPh>
    <phoneticPr fontId="8"/>
  </si>
  <si>
    <t>状態異常耐性</t>
    <phoneticPr fontId="8"/>
  </si>
  <si>
    <t>[effect:force_change_block, new_block:damage, target:block_all, ignore01:crash, ignore02:crack_bomb, ignore03:color_break, ignore04:time_bomb, ignore05:jammer, count:3, val:0.05, animation:change_block]</t>
    <phoneticPr fontId="8"/>
  </si>
  <si>
    <t>25回連続攻撃</t>
    <rPh sb="2" eb="3">
      <t>カ</t>
    </rPh>
    <rPh sb="3" eb="7">
      <t>チョウレンゾｋ</t>
    </rPh>
    <phoneticPr fontId="8"/>
  </si>
  <si>
    <t>クリティカル！</t>
    <phoneticPr fontId="8"/>
  </si>
  <si>
    <t>5ターンハートパネル無効</t>
    <phoneticPr fontId="8"/>
  </si>
  <si>
    <t>5ターン自身の攻撃力UP</t>
    <rPh sb="4" eb="6">
      <t>ジシｎ</t>
    </rPh>
    <phoneticPr fontId="8"/>
  </si>
  <si>
    <t>状態異常耐性</t>
    <rPh sb="0" eb="4">
      <t>ｊｙ</t>
    </rPh>
    <rPh sb="4" eb="6">
      <t>タイセ</t>
    </rPh>
    <phoneticPr fontId="8"/>
  </si>
  <si>
    <t>5回連続攻撃</t>
    <rPh sb="1" eb="2">
      <t>カ</t>
    </rPh>
    <rPh sb="2" eb="6">
      <t>レンゾｋ</t>
    </rPh>
    <phoneticPr fontId="8"/>
  </si>
  <si>
    <t>赤属性のユニットに大ダメージの全体攻撃</t>
    <rPh sb="0" eb="3">
      <t>アｋ</t>
    </rPh>
    <rPh sb="9" eb="10">
      <t>ダ</t>
    </rPh>
    <rPh sb="15" eb="19">
      <t>ゼｎ</t>
    </rPh>
    <phoneticPr fontId="8"/>
  </si>
  <si>
    <t>連続斬り</t>
    <phoneticPr fontId="8"/>
  </si>
  <si>
    <t>ブルークラッシュ</t>
    <phoneticPr fontId="8"/>
  </si>
  <si>
    <t>アイスエイジ</t>
    <phoneticPr fontId="8"/>
  </si>
  <si>
    <t>美しさは時に命を奪うんだ</t>
    <phoneticPr fontId="8"/>
  </si>
  <si>
    <t>君の生を壊したくなった</t>
    <phoneticPr fontId="8"/>
  </si>
  <si>
    <t>パーティーの始まりだ</t>
    <phoneticPr fontId="8"/>
  </si>
  <si>
    <t>It's Show Time!!</t>
    <phoneticPr fontId="8"/>
  </si>
  <si>
    <t>発火トリック</t>
    <rPh sb="0" eb="2">
      <t>ハッカトリック</t>
    </rPh>
    <phoneticPr fontId="8"/>
  </si>
  <si>
    <t>どこまで耐えられるかな？</t>
    <rPh sb="4" eb="5">
      <t>タエラ</t>
    </rPh>
    <phoneticPr fontId="8"/>
  </si>
  <si>
    <t>夢路に案内しよう</t>
    <rPh sb="0" eb="2">
      <t>ユｍ</t>
    </rPh>
    <rPh sb="3" eb="5">
      <t>アンナ</t>
    </rPh>
    <phoneticPr fontId="8"/>
  </si>
  <si>
    <t>これで眠るといい</t>
    <rPh sb="3" eb="4">
      <t>ネムｒ</t>
    </rPh>
    <phoneticPr fontId="8"/>
  </si>
  <si>
    <t>遠慮なんかしねェぞ！</t>
    <phoneticPr fontId="8"/>
  </si>
  <si>
    <t>天まで灼き尽くすッ！</t>
    <phoneticPr fontId="8"/>
  </si>
  <si>
    <t>デクラメーションアンセスタ</t>
    <phoneticPr fontId="8"/>
  </si>
  <si>
    <t>俺の魂が真ッ赤に燃える！</t>
    <phoneticPr fontId="8"/>
  </si>
  <si>
    <t>こちらに狙いを定めている</t>
    <phoneticPr fontId="8"/>
  </si>
  <si>
    <t>こちらに狙いを定めている</t>
    <phoneticPr fontId="8"/>
  </si>
  <si>
    <t>光は…いつも僕らとともに</t>
    <phoneticPr fontId="8"/>
  </si>
  <si>
    <t>祝福の光耀</t>
    <rPh sb="0" eb="2">
      <t>ｓｙ</t>
    </rPh>
    <rPh sb="3" eb="4">
      <t>Koyo</t>
    </rPh>
    <phoneticPr fontId="8"/>
  </si>
  <si>
    <t>庇護の剥奪</t>
    <rPh sb="0" eb="2">
      <t>ヒゴ</t>
    </rPh>
    <rPh sb="3" eb="5">
      <t>ハｋ</t>
    </rPh>
    <phoneticPr fontId="8"/>
  </si>
  <si>
    <t>光芒の審判</t>
    <rPh sb="0" eb="2">
      <t>コウｂ</t>
    </rPh>
    <rPh sb="3" eb="5">
      <t>シンパｎ</t>
    </rPh>
    <phoneticPr fontId="8"/>
  </si>
  <si>
    <t>数えきれるかい？</t>
    <phoneticPr fontId="8"/>
  </si>
  <si>
    <t>真実を受け入れるんだね</t>
    <phoneticPr fontId="8"/>
  </si>
  <si>
    <t>ブルー・トゥルース</t>
    <phoneticPr fontId="8"/>
  </si>
  <si>
    <t>ヒューマン・パラドックス</t>
    <phoneticPr fontId="8"/>
  </si>
  <si>
    <t>証明を続けようか</t>
    <rPh sb="0" eb="2">
      <t>ショウメ</t>
    </rPh>
    <rPh sb="3" eb="4">
      <t>ツヅｋ</t>
    </rPh>
    <phoneticPr fontId="8"/>
  </si>
  <si>
    <t>フィフス・クロウズ</t>
    <phoneticPr fontId="8"/>
  </si>
  <si>
    <t>命題の証明</t>
    <rPh sb="0" eb="2">
      <t>メ</t>
    </rPh>
    <rPh sb="3" eb="5">
      <t>ショウメ</t>
    </rPh>
    <phoneticPr fontId="8"/>
  </si>
  <si>
    <t>鮮黄の命題</t>
    <rPh sb="3" eb="5">
      <t>メ</t>
    </rPh>
    <phoneticPr fontId="8"/>
  </si>
  <si>
    <t>そろそろ証明終了だ</t>
    <rPh sb="4" eb="6">
      <t>ショウメ</t>
    </rPh>
    <rPh sb="6" eb="8">
      <t>シュ</t>
    </rPh>
    <phoneticPr fontId="8"/>
  </si>
  <si>
    <t>…キミは十分に強い</t>
    <rPh sb="4" eb="6">
      <t>10ｂ</t>
    </rPh>
    <rPh sb="7" eb="8">
      <t>ツｙ</t>
    </rPh>
    <phoneticPr fontId="8"/>
  </si>
  <si>
    <t>異論を挟む余地はないね</t>
    <rPh sb="0" eb="2">
      <t>イｒ</t>
    </rPh>
    <rPh sb="3" eb="4">
      <t>ハサｍ</t>
    </rPh>
    <phoneticPr fontId="8"/>
  </si>
  <si>
    <t>キミは[player_ranking_grade]の挑戦者だね</t>
    <phoneticPr fontId="8"/>
  </si>
  <si>
    <t>[effect:enemy_message, val2:2.8],[effect:force_change_block,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val2:0.25]</t>
    <phoneticPr fontId="8"/>
  </si>
  <si>
    <t>[effect:enemy_message, val2:2.8],[effect:force_change_block,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t>
    <phoneticPr fontId="8"/>
  </si>
  <si>
    <t>[effect:enemy_message, val2:2.8],[effect:force_change_block,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t>
    <phoneticPr fontId="8"/>
  </si>
  <si>
    <t>青のダメージパネルを吸収して全体攻撃</t>
    <rPh sb="10" eb="12">
      <t>キュウシュ</t>
    </rPh>
    <rPh sb="14" eb="16">
      <t>ゼｎ</t>
    </rPh>
    <rPh sb="16" eb="18">
      <t>コウゲｋ</t>
    </rPh>
    <phoneticPr fontId="8"/>
  </si>
  <si>
    <t>黄のダメージパネルを吸収して全体攻撃</t>
    <rPh sb="0" eb="1">
      <t>キ</t>
    </rPh>
    <rPh sb="10" eb="12">
      <t>キュウシュ</t>
    </rPh>
    <rPh sb="14" eb="16">
      <t>ゼｎ</t>
    </rPh>
    <rPh sb="16" eb="18">
      <t>コウゲｋ</t>
    </rPh>
    <phoneticPr fontId="8"/>
  </si>
  <si>
    <t>old</t>
    <phoneticPr fontId="8"/>
  </si>
  <si>
    <t>old</t>
    <phoneticPr fontId="8"/>
  </si>
  <si>
    <t>.csv</t>
    <phoneticPr fontId="8"/>
  </si>
  <si>
    <t xml:space="preserve"> 杖のチケットピース × 1</t>
    <rPh sb="1" eb="2">
      <t>ツ</t>
    </rPh>
    <phoneticPr fontId="10"/>
  </si>
  <si>
    <t>ランキングクエスト報酬</t>
    <rPh sb="9" eb="11">
      <t>ホウシュウ</t>
    </rPh>
    <phoneticPr fontId="10"/>
  </si>
  <si>
    <t>unit</t>
    <phoneticPr fontId="10"/>
  </si>
  <si>
    <t>ja</t>
    <phoneticPr fontId="10"/>
  </si>
  <si>
    <t>ギガ秘術の果実×1</t>
    <rPh sb="2" eb="4">
      <t>ヒジュツ</t>
    </rPh>
    <rPh sb="5" eb="7">
      <t>カジツ</t>
    </rPh>
    <phoneticPr fontId="10"/>
  </si>
  <si>
    <t>item</t>
    <phoneticPr fontId="10"/>
  </si>
  <si>
    <t>メガ秘術の果実 ×1</t>
    <rPh sb="2" eb="4">
      <t>ヒジュツ</t>
    </rPh>
    <rPh sb="5" eb="7">
      <t>カジツ</t>
    </rPh>
    <phoneticPr fontId="10"/>
  </si>
  <si>
    <t>マスターキー×3</t>
    <phoneticPr fontId="10"/>
  </si>
  <si>
    <t>炎のメタルジェントル ×1</t>
    <rPh sb="0" eb="1">
      <t>ホノオ</t>
    </rPh>
    <phoneticPr fontId="10"/>
  </si>
  <si>
    <t>森のメタルジェントル ×1</t>
    <rPh sb="0" eb="1">
      <t>モリノ</t>
    </rPh>
    <phoneticPr fontId="10"/>
  </si>
  <si>
    <t>水のメタルジェントル ×1</t>
    <rPh sb="0" eb="1">
      <t>ミズノ</t>
    </rPh>
    <phoneticPr fontId="10"/>
  </si>
  <si>
    <t>雷のメタルジェントル ×1</t>
    <rPh sb="0" eb="1">
      <t>カミナリ</t>
    </rPh>
    <phoneticPr fontId="10"/>
  </si>
  <si>
    <t>polygon</t>
    <phoneticPr fontId="10"/>
  </si>
  <si>
    <t>ポリゴン×5</t>
    <phoneticPr fontId="10"/>
  </si>
  <si>
    <t>秘術の果実 ×1</t>
    <rPh sb="0" eb="2">
      <t>ヒジュツ</t>
    </rPh>
    <rPh sb="3" eb="5">
      <t>カジツ</t>
    </rPh>
    <phoneticPr fontId="10"/>
  </si>
  <si>
    <t>マスターキー×1</t>
    <phoneticPr fontId="10"/>
  </si>
  <si>
    <t>炎のメタルダック ×1</t>
    <rPh sb="0" eb="1">
      <t>ホノオ</t>
    </rPh>
    <phoneticPr fontId="10"/>
  </si>
  <si>
    <t>森のメタルダック ×1</t>
    <rPh sb="0" eb="1">
      <t>モリノ</t>
    </rPh>
    <phoneticPr fontId="10"/>
  </si>
  <si>
    <t>水のメタルダック ×1</t>
    <rPh sb="0" eb="1">
      <t>ミズノ</t>
    </rPh>
    <phoneticPr fontId="10"/>
  </si>
  <si>
    <t>雷のメタルダック ×1</t>
    <rPh sb="0" eb="1">
      <t>カミナリ</t>
    </rPh>
    <phoneticPr fontId="10"/>
  </si>
  <si>
    <t>link</t>
    <phoneticPr fontId="10"/>
  </si>
  <si>
    <t>2000リンク</t>
    <phoneticPr fontId="10"/>
  </si>
  <si>
    <t>bit</t>
    <phoneticPr fontId="10"/>
  </si>
  <si>
    <t>20万ビット</t>
    <rPh sb="2" eb="3">
      <t>マン</t>
    </rPh>
    <phoneticPr fontId="10"/>
  </si>
  <si>
    <t>1000リンク</t>
    <phoneticPr fontId="10"/>
  </si>
  <si>
    <t>15万ビット</t>
    <rPh sb="2" eb="3">
      <t>マン</t>
    </rPh>
    <phoneticPr fontId="10"/>
  </si>
  <si>
    <t>ポリゴン×1</t>
    <phoneticPr fontId="10"/>
  </si>
  <si>
    <t>name</t>
    <phoneticPr fontId="8"/>
  </si>
  <si>
    <t>upper_ranking</t>
    <phoneticPr fontId="8"/>
  </si>
  <si>
    <t>lower_ranking</t>
    <phoneticPr fontId="8"/>
  </si>
  <si>
    <t>temp_gift_id</t>
    <phoneticPr fontId="8"/>
  </si>
  <si>
    <t>gift_id</t>
    <phoneticPr fontId="8"/>
  </si>
  <si>
    <t>gift_type</t>
    <phoneticPr fontId="10"/>
  </si>
  <si>
    <t>gift_value</t>
    <phoneticPr fontId="10"/>
  </si>
  <si>
    <t>gift_count</t>
    <phoneticPr fontId="10"/>
  </si>
  <si>
    <t>hp_plus</t>
    <phoneticPr fontId="8"/>
  </si>
  <si>
    <t>attack_plus</t>
    <phoneticPr fontId="8"/>
  </si>
  <si>
    <t>defense_plus</t>
    <phoneticPr fontId="8"/>
  </si>
  <si>
    <t>bug</t>
    <phoneticPr fontId="8"/>
  </si>
  <si>
    <t>language</t>
    <phoneticPr fontId="10"/>
  </si>
  <si>
    <t>title</t>
    <phoneticPr fontId="10"/>
  </si>
  <si>
    <t>detail</t>
    <phoneticPr fontId="10"/>
  </si>
  <si>
    <t>message</t>
    <phoneticPr fontId="10"/>
  </si>
  <si>
    <t>ポリゴン×10</t>
    <phoneticPr fontId="10"/>
  </si>
  <si>
    <t>リトルハンプティ×1</t>
    <phoneticPr fontId="10"/>
  </si>
  <si>
    <t>ポリゴン×3</t>
    <phoneticPr fontId="10"/>
  </si>
  <si>
    <t>ポリゴン×2</t>
    <phoneticPr fontId="10"/>
  </si>
  <si>
    <t>杖のランキングチケット × 1</t>
  </si>
  <si>
    <t>杖のチケットピース × 2</t>
  </si>
  <si>
    <t>杖のチケットピース × 1</t>
  </si>
  <si>
    <t>杖のチケットピース × 3</t>
  </si>
  <si>
    <t>ヘンペルチャレンジ
順位報酬</t>
    <rPh sb="10" eb="12">
      <t>ジュンイ</t>
    </rPh>
    <rPh sb="12" eb="14">
      <t>ホウシュウ</t>
    </rPh>
    <phoneticPr fontId="10"/>
  </si>
  <si>
    <t>種族ヒューマンのユニットに大ダメージの全体攻撃+
黄パネルを赤パネルに変換(最大5個)</t>
    <rPh sb="25" eb="26">
      <t>キパネｒ</t>
    </rPh>
    <rPh sb="30" eb="31">
      <t>アｋ</t>
    </rPh>
    <rPh sb="35" eb="37">
      <t>ヘｎ</t>
    </rPh>
    <rPh sb="38" eb="40">
      <t>サ</t>
    </rPh>
    <rPh sb="41" eb="42">
      <t>コ</t>
    </rPh>
    <phoneticPr fontId="8"/>
  </si>
  <si>
    <t>クリティカル！+行動頻度を1に変更</t>
    <phoneticPr fontId="8"/>
  </si>
  <si>
    <t>クリティカル！+行動頻度を2に変更</t>
    <phoneticPr fontId="8"/>
  </si>
  <si>
    <t>クリティカル！+行動頻度を3に変更</t>
    <phoneticPr fontId="8"/>
  </si>
  <si>
    <t>5ターン黄属性の敵の防御力UP</t>
    <rPh sb="4" eb="7">
      <t>キゾｋ</t>
    </rPh>
    <rPh sb="8" eb="9">
      <t>テｋ</t>
    </rPh>
    <rPh sb="10" eb="12">
      <t>ボ</t>
    </rPh>
    <rPh sb="12" eb="13">
      <t>ボ</t>
    </rPh>
    <phoneticPr fontId="8"/>
  </si>
  <si>
    <t>赤属性の敵の行動頻度UP</t>
    <rPh sb="0" eb="3">
      <t>アｋ</t>
    </rPh>
    <rPh sb="4" eb="5">
      <t>テｋ</t>
    </rPh>
    <rPh sb="6" eb="10">
      <t>コウド</t>
    </rPh>
    <phoneticPr fontId="8"/>
  </si>
  <si>
    <t>[effect:break_attack, target:unit_all, val:0.1, lowest_val:1000, count:-1, color:blue, block_color:block_blue, block01:damage]</t>
    <phoneticPr fontId="8"/>
  </si>
  <si>
    <t>ランダムで青のダメージパネルに3個変換</t>
    <rPh sb="16" eb="17">
      <t>コ</t>
    </rPh>
    <rPh sb="17" eb="19">
      <t>ヘｎ</t>
    </rPh>
    <phoneticPr fontId="8"/>
  </si>
  <si>
    <t>ランダムで青のダメージパネルに5個変換</t>
    <rPh sb="5" eb="6">
      <t>ア</t>
    </rPh>
    <rPh sb="17" eb="19">
      <t>ヘｎ</t>
    </rPh>
    <phoneticPr fontId="8"/>
  </si>
  <si>
    <t>ランダムで黄のダメージパネルに5個変換</t>
    <rPh sb="5" eb="6">
      <t>キ</t>
    </rPh>
    <rPh sb="16" eb="17">
      <t>コ</t>
    </rPh>
    <rPh sb="17" eb="19">
      <t>ヘンカｎ</t>
    </rPh>
    <phoneticPr fontId="8"/>
  </si>
  <si>
    <t>[effect:break_attack, target:unit_all, val:0.1, lowest_val:500, count:-1, color:yellow, block_color:block_yellow, block01:damage]</t>
    <phoneticPr fontId="8"/>
  </si>
  <si>
    <t>[effect:break_attack, target:unit_all, val:0.1, lowest_val:750, count:-1, color:yellow, block_color:block_yellow, block01:damage]</t>
    <phoneticPr fontId="8"/>
  </si>
  <si>
    <t>[effect:force_change_block, new_block:damage, target:block_all, ignore01:crash, ignore02:crack_bomb, ignore03:color_break, ignore04:time_bomb, ignore05:jammer, count:3, val:0.02, animation:change_block]</t>
    <phoneticPr fontId="8"/>
  </si>
  <si>
    <t>[effect:force_change_block, new_block:damage, target:block_all, ignore01:crash, ignore02:crack_bomb, ignore03:color_break, ignore04:time_bomb, ignore05:jammer, color:block_blue, count:5, val:0.02, animation:change_block]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</si>
</sst>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charset val="128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725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1" fillId="0" borderId="0"/>
    <xf numFmtId="38" fontId="22" fillId="0" borderId="0" applyFill="0" applyBorder="0" applyAlignment="0" applyProtection="0"/>
    <xf numFmtId="0" fontId="23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0" borderId="0"/>
    <xf numFmtId="0" fontId="26" fillId="0" borderId="0">
      <alignment vertical="center"/>
    </xf>
    <xf numFmtId="0" fontId="27" fillId="0" borderId="0">
      <alignment vertical="center"/>
    </xf>
    <xf numFmtId="0" fontId="28" fillId="10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5" fillId="0" borderId="0"/>
    <xf numFmtId="0" fontId="5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35" fillId="16" borderId="13" applyNumberFormat="0" applyAlignment="0" applyProtection="0"/>
    <xf numFmtId="0" fontId="36" fillId="17" borderId="0" applyNumberFormat="0" applyBorder="0" applyAlignment="0" applyProtection="0"/>
    <xf numFmtId="0" fontId="37" fillId="18" borderId="14" applyNumberFormat="0" applyAlignment="0" applyProtection="0"/>
    <xf numFmtId="0" fontId="38" fillId="0" borderId="0" applyNumberFormat="0" applyFill="0" applyBorder="0" applyAlignment="0" applyProtection="0"/>
    <xf numFmtId="0" fontId="39" fillId="19" borderId="0" applyNumberFormat="0" applyBorder="0" applyAlignment="0" applyProtection="0"/>
    <xf numFmtId="0" fontId="40" fillId="20" borderId="15" applyNumberFormat="0" applyAlignment="0" applyProtection="0"/>
    <xf numFmtId="0" fontId="41" fillId="0" borderId="0" applyNumberFormat="0" applyFill="0" applyBorder="0" applyAlignment="0" applyProtection="0"/>
    <xf numFmtId="0" fontId="42" fillId="0" borderId="16" applyNumberFormat="0" applyFill="0" applyAlignment="0" applyProtection="0"/>
    <xf numFmtId="0" fontId="43" fillId="0" borderId="17" applyNumberFormat="0" applyFill="0" applyAlignment="0" applyProtection="0"/>
    <xf numFmtId="0" fontId="44" fillId="0" borderId="18" applyNumberFormat="0" applyFill="0" applyAlignment="0" applyProtection="0"/>
    <xf numFmtId="0" fontId="44" fillId="0" borderId="0" applyNumberFormat="0" applyFill="0" applyBorder="0" applyAlignment="0" applyProtection="0"/>
    <xf numFmtId="0" fontId="45" fillId="18" borderId="0" applyNumberFormat="0" applyBorder="0" applyAlignment="0" applyProtection="0"/>
    <xf numFmtId="0" fontId="45" fillId="17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2" borderId="0" applyNumberFormat="0" applyBorder="0" applyAlignment="0" applyProtection="0"/>
    <xf numFmtId="0" fontId="45" fillId="16" borderId="0" applyNumberFormat="0" applyBorder="0" applyAlignment="0" applyProtection="0"/>
    <xf numFmtId="0" fontId="45" fillId="18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4" borderId="0" applyNumberFormat="0" applyBorder="0" applyAlignment="0" applyProtection="0"/>
    <xf numFmtId="0" fontId="45" fillId="17" borderId="0" applyNumberFormat="0" applyBorder="0" applyAlignment="0" applyProtection="0"/>
    <xf numFmtId="0" fontId="46" fillId="25" borderId="0" applyNumberFormat="0" applyBorder="0" applyAlignment="0" applyProtection="0"/>
    <xf numFmtId="0" fontId="46" fillId="23" borderId="0" applyNumberFormat="0" applyBorder="0" applyAlignment="0" applyProtection="0"/>
    <xf numFmtId="0" fontId="46" fillId="21" borderId="0" applyNumberFormat="0" applyBorder="0" applyAlignment="0" applyProtection="0"/>
    <xf numFmtId="0" fontId="46" fillId="18" borderId="0" applyNumberFormat="0" applyBorder="0" applyAlignment="0" applyProtection="0"/>
    <xf numFmtId="0" fontId="46" fillId="25" borderId="0" applyNumberFormat="0" applyBorder="0" applyAlignment="0" applyProtection="0"/>
    <xf numFmtId="0" fontId="46" fillId="17" borderId="0" applyNumberFormat="0" applyBorder="0" applyAlignment="0" applyProtection="0"/>
    <xf numFmtId="0" fontId="38" fillId="0" borderId="0" applyNumberFormat="0" applyFill="0" applyBorder="0" applyAlignment="0" applyProtection="0"/>
    <xf numFmtId="0" fontId="46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1" borderId="0" applyNumberFormat="0" applyBorder="0" applyAlignment="0" applyProtection="0"/>
    <xf numFmtId="0" fontId="46" fillId="27" borderId="0" applyNumberFormat="0" applyBorder="0" applyAlignment="0" applyProtection="0"/>
    <xf numFmtId="0" fontId="46" fillId="25" borderId="0" applyNumberFormat="0" applyBorder="0" applyAlignment="0" applyProtection="0"/>
    <xf numFmtId="0" fontId="46" fillId="23" borderId="0" applyNumberFormat="0" applyBorder="0" applyAlignment="0" applyProtection="0"/>
    <xf numFmtId="0" fontId="47" fillId="28" borderId="0" applyNumberFormat="0" applyBorder="0" applyAlignment="0" applyProtection="0"/>
    <xf numFmtId="0" fontId="36" fillId="17" borderId="0" applyNumberFormat="0" applyBorder="0" applyAlignment="0" applyProtection="0"/>
    <xf numFmtId="0" fontId="48" fillId="0" borderId="19" applyNumberFormat="0" applyFill="0" applyAlignment="0" applyProtection="0"/>
    <xf numFmtId="0" fontId="49" fillId="18" borderId="20" applyNumberFormat="0" applyAlignment="0" applyProtection="0"/>
    <xf numFmtId="0" fontId="49" fillId="29" borderId="20" applyNumberFormat="0" applyAlignment="0" applyProtection="0"/>
    <xf numFmtId="0" fontId="37" fillId="17" borderId="14" applyNumberFormat="0" applyAlignment="0" applyProtection="0"/>
    <xf numFmtId="0" fontId="50" fillId="0" borderId="21" applyNumberFormat="0" applyFill="0" applyAlignment="0" applyProtection="0"/>
    <xf numFmtId="0" fontId="51" fillId="29" borderId="14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22" applyNumberFormat="0" applyFill="0" applyAlignment="0" applyProtection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1" fillId="0" borderId="0" applyFont="0" applyFill="0" applyBorder="0" applyAlignment="0" applyProtection="0"/>
  </cellStyleXfs>
  <cellXfs count="155"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9" fillId="5" borderId="3" xfId="0" applyFont="1" applyFill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9" fillId="5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3" borderId="7" xfId="0" applyFont="1" applyFill="1" applyBorder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9" fillId="5" borderId="9" xfId="0" applyFont="1" applyFill="1" applyBorder="1" applyAlignment="1">
      <alignment vertical="center"/>
    </xf>
    <xf numFmtId="0" fontId="9" fillId="5" borderId="7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76" fontId="7" fillId="0" borderId="3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177" fontId="11" fillId="0" borderId="4" xfId="0" applyNumberFormat="1" applyFont="1" applyBorder="1" applyAlignment="1">
      <alignment vertical="center"/>
    </xf>
    <xf numFmtId="0" fontId="7" fillId="2" borderId="7" xfId="0" applyFont="1" applyFill="1" applyBorder="1" applyAlignment="1">
      <alignment horizontal="left" vertical="center"/>
    </xf>
    <xf numFmtId="0" fontId="15" fillId="7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7" fillId="3" borderId="7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8" xfId="0" applyFont="1" applyFill="1" applyBorder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6" borderId="7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vertical="center"/>
    </xf>
    <xf numFmtId="0" fontId="17" fillId="7" borderId="0" xfId="0" applyFont="1" applyFill="1" applyAlignment="1">
      <alignment vertical="center"/>
    </xf>
    <xf numFmtId="0" fontId="19" fillId="6" borderId="7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3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vertical="center"/>
    </xf>
    <xf numFmtId="0" fontId="19" fillId="3" borderId="7" xfId="0" applyFont="1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19" fillId="0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horizontal="left" vertical="center" wrapText="1"/>
    </xf>
    <xf numFmtId="14" fontId="19" fillId="0" borderId="7" xfId="0" applyNumberFormat="1" applyFont="1" applyFill="1" applyBorder="1" applyAlignment="1">
      <alignment horizontal="left" vertical="center"/>
    </xf>
    <xf numFmtId="0" fontId="14" fillId="6" borderId="2" xfId="0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6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9" fillId="12" borderId="7" xfId="0" applyFont="1" applyFill="1" applyBorder="1"/>
    <xf numFmtId="0" fontId="16" fillId="11" borderId="7" xfId="434" applyFont="1" applyFill="1" applyBorder="1" applyAlignment="1"/>
    <xf numFmtId="0" fontId="27" fillId="0" borderId="7" xfId="434" applyBorder="1" applyAlignment="1"/>
    <xf numFmtId="0" fontId="0" fillId="13" borderId="7" xfId="0" applyFill="1" applyBorder="1"/>
    <xf numFmtId="0" fontId="19" fillId="3" borderId="7" xfId="0" applyFont="1" applyFill="1" applyBorder="1" applyAlignment="1">
      <alignment horizontal="left" vertical="center" wrapText="1"/>
    </xf>
    <xf numFmtId="0" fontId="19" fillId="6" borderId="7" xfId="614" applyFont="1" applyFill="1" applyBorder="1" applyAlignment="1">
      <alignment horizontal="left"/>
    </xf>
    <xf numFmtId="0" fontId="17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5" fillId="11" borderId="7" xfId="615" applyFill="1" applyBorder="1"/>
    <xf numFmtId="0" fontId="7" fillId="0" borderId="7" xfId="0" applyFont="1" applyBorder="1" applyAlignment="1">
      <alignment vertical="center"/>
    </xf>
    <xf numFmtId="0" fontId="9" fillId="5" borderId="11" xfId="0" applyFont="1" applyFill="1" applyBorder="1" applyAlignment="1">
      <alignment vertical="center"/>
    </xf>
    <xf numFmtId="0" fontId="0" fillId="3" borderId="7" xfId="0" applyFill="1" applyBorder="1"/>
    <xf numFmtId="0" fontId="19" fillId="3" borderId="7" xfId="614" applyFont="1" applyFill="1" applyBorder="1" applyAlignment="1">
      <alignment horizontal="left"/>
    </xf>
    <xf numFmtId="0" fontId="19" fillId="6" borderId="7" xfId="0" applyFont="1" applyFill="1" applyBorder="1" applyAlignment="1">
      <alignment horizontal="center"/>
    </xf>
    <xf numFmtId="56" fontId="19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5" fillId="0" borderId="0" xfId="615"/>
    <xf numFmtId="0" fontId="30" fillId="6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14" borderId="7" xfId="0" applyFont="1" applyFill="1" applyBorder="1" applyAlignment="1">
      <alignment horizontal="center"/>
    </xf>
    <xf numFmtId="0" fontId="19" fillId="15" borderId="7" xfId="0" applyFont="1" applyFill="1" applyBorder="1" applyAlignment="1">
      <alignment horizontal="center"/>
    </xf>
    <xf numFmtId="0" fontId="0" fillId="15" borderId="7" xfId="0" applyFill="1" applyBorder="1"/>
    <xf numFmtId="0" fontId="30" fillId="0" borderId="7" xfId="0" applyFont="1" applyFill="1" applyBorder="1"/>
    <xf numFmtId="0" fontId="31" fillId="0" borderId="7" xfId="0" applyFont="1" applyFill="1" applyBorder="1"/>
    <xf numFmtId="0" fontId="32" fillId="3" borderId="12" xfId="0" applyFont="1" applyFill="1" applyBorder="1" applyAlignment="1">
      <alignment vertical="center"/>
    </xf>
    <xf numFmtId="0" fontId="33" fillId="0" borderId="7" xfId="0" applyFont="1" applyFill="1" applyBorder="1"/>
    <xf numFmtId="0" fontId="32" fillId="0" borderId="12" xfId="0" applyFont="1" applyFill="1" applyBorder="1" applyAlignment="1">
      <alignment vertical="center"/>
    </xf>
    <xf numFmtId="0" fontId="33" fillId="14" borderId="7" xfId="0" applyFont="1" applyFill="1" applyBorder="1"/>
    <xf numFmtId="0" fontId="34" fillId="0" borderId="7" xfId="0" applyFont="1" applyFill="1" applyBorder="1"/>
    <xf numFmtId="38" fontId="19" fillId="0" borderId="7" xfId="628" applyFont="1" applyFill="1" applyBorder="1" applyAlignment="1"/>
    <xf numFmtId="0" fontId="30" fillId="0" borderId="0" xfId="0" applyFont="1" applyFill="1"/>
    <xf numFmtId="0" fontId="19" fillId="30" borderId="7" xfId="0" applyFont="1" applyFill="1" applyBorder="1" applyAlignment="1">
      <alignment horizontal="center"/>
    </xf>
    <xf numFmtId="0" fontId="33" fillId="30" borderId="7" xfId="0" applyFont="1" applyFill="1" applyBorder="1"/>
    <xf numFmtId="0" fontId="19" fillId="13" borderId="7" xfId="0" applyFont="1" applyFill="1" applyBorder="1" applyAlignment="1">
      <alignment horizontal="center"/>
    </xf>
    <xf numFmtId="56" fontId="19" fillId="14" borderId="7" xfId="0" applyNumberFormat="1" applyFont="1" applyFill="1" applyBorder="1" applyAlignment="1">
      <alignment horizontal="center"/>
    </xf>
    <xf numFmtId="0" fontId="34" fillId="14" borderId="7" xfId="0" applyFont="1" applyFill="1" applyBorder="1"/>
    <xf numFmtId="38" fontId="19" fillId="14" borderId="7" xfId="628" applyFont="1" applyFill="1" applyBorder="1" applyAlignment="1"/>
    <xf numFmtId="0" fontId="19" fillId="6" borderId="7" xfId="11" applyFont="1" applyFill="1" applyBorder="1" applyAlignment="1">
      <alignment horizontal="left"/>
    </xf>
    <xf numFmtId="0" fontId="5" fillId="6" borderId="0" xfId="615" applyFill="1"/>
    <xf numFmtId="0" fontId="29" fillId="0" borderId="0" xfId="0" applyFont="1"/>
    <xf numFmtId="0" fontId="7" fillId="31" borderId="7" xfId="0" applyFont="1" applyFill="1" applyBorder="1" applyAlignment="1">
      <alignment vertical="center"/>
    </xf>
    <xf numFmtId="0" fontId="19" fillId="6" borderId="23" xfId="0" applyFont="1" applyFill="1" applyBorder="1" applyAlignment="1">
      <alignment horizontal="center"/>
    </xf>
    <xf numFmtId="0" fontId="11" fillId="33" borderId="7" xfId="0" applyFont="1" applyFill="1" applyBorder="1" applyAlignment="1">
      <alignment horizontal="left" vertical="center"/>
    </xf>
    <xf numFmtId="0" fontId="19" fillId="32" borderId="7" xfId="432" applyFont="1" applyFill="1" applyBorder="1" applyAlignment="1">
      <alignment horizontal="left" vertical="center"/>
    </xf>
    <xf numFmtId="0" fontId="19" fillId="14" borderId="23" xfId="0" applyFont="1" applyFill="1" applyBorder="1" applyAlignment="1">
      <alignment horizontal="center"/>
    </xf>
    <xf numFmtId="0" fontId="4" fillId="0" borderId="7" xfId="676" applyBorder="1"/>
    <xf numFmtId="0" fontId="4" fillId="11" borderId="7" xfId="676" applyFill="1" applyBorder="1"/>
    <xf numFmtId="0" fontId="3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4" fillId="34" borderId="7" xfId="676" applyFill="1" applyBorder="1"/>
    <xf numFmtId="0" fontId="0" fillId="6" borderId="0" xfId="0" applyFill="1"/>
    <xf numFmtId="0" fontId="0" fillId="34" borderId="7" xfId="676" applyFont="1" applyFill="1" applyBorder="1"/>
    <xf numFmtId="0" fontId="0" fillId="0" borderId="7" xfId="615" applyFont="1" applyFill="1" applyBorder="1"/>
    <xf numFmtId="0" fontId="2" fillId="6" borderId="7" xfId="434" applyFont="1" applyFill="1" applyBorder="1" applyAlignment="1"/>
    <xf numFmtId="0" fontId="0" fillId="0" borderId="7" xfId="676" applyFont="1" applyFill="1" applyBorder="1"/>
    <xf numFmtId="0" fontId="55" fillId="35" borderId="7" xfId="0" applyFont="1" applyFill="1" applyBorder="1"/>
    <xf numFmtId="0" fontId="19" fillId="0" borderId="7" xfId="0" applyFont="1" applyBorder="1" applyAlignment="1">
      <alignment horizontal="left" vertical="center"/>
    </xf>
    <xf numFmtId="0" fontId="19" fillId="0" borderId="7" xfId="432" applyFont="1" applyBorder="1" applyAlignment="1">
      <alignment horizontal="left" vertical="center"/>
    </xf>
    <xf numFmtId="0" fontId="19" fillId="0" borderId="7" xfId="432" applyFont="1" applyBorder="1" applyAlignment="1">
      <alignment horizontal="left" vertical="center" wrapText="1"/>
    </xf>
    <xf numFmtId="0" fontId="7" fillId="0" borderId="7" xfId="0" applyFont="1" applyFill="1" applyBorder="1" applyAlignment="1">
      <alignment horizontal="center" vertical="center"/>
    </xf>
    <xf numFmtId="0" fontId="0" fillId="6" borderId="23" xfId="0" applyFill="1" applyBorder="1"/>
    <xf numFmtId="0" fontId="0" fillId="36" borderId="7" xfId="0" applyFill="1" applyBorder="1"/>
    <xf numFmtId="0" fontId="0" fillId="13" borderId="0" xfId="0" applyFill="1"/>
    <xf numFmtId="38" fontId="0" fillId="37" borderId="7" xfId="724" applyFont="1" applyFill="1" applyBorder="1"/>
    <xf numFmtId="38" fontId="0" fillId="37" borderId="7" xfId="0" applyNumberFormat="1" applyFill="1" applyBorder="1"/>
    <xf numFmtId="38" fontId="0" fillId="36" borderId="7" xfId="724" applyFont="1" applyFill="1" applyBorder="1"/>
    <xf numFmtId="38" fontId="0" fillId="36" borderId="7" xfId="0" applyNumberFormat="1" applyFill="1" applyBorder="1"/>
    <xf numFmtId="0" fontId="0" fillId="38" borderId="7" xfId="0" applyFill="1" applyBorder="1"/>
    <xf numFmtId="38" fontId="0" fillId="38" borderId="7" xfId="724" applyFont="1" applyFill="1" applyBorder="1"/>
    <xf numFmtId="38" fontId="0" fillId="38" borderId="7" xfId="0" applyNumberFormat="1" applyFill="1" applyBorder="1"/>
    <xf numFmtId="40" fontId="0" fillId="37" borderId="7" xfId="724" applyNumberFormat="1" applyFont="1" applyFill="1" applyBorder="1"/>
    <xf numFmtId="9" fontId="0" fillId="0" borderId="0" xfId="0" applyNumberFormat="1"/>
    <xf numFmtId="40" fontId="0" fillId="36" borderId="7" xfId="0" applyNumberFormat="1" applyFill="1" applyBorder="1"/>
    <xf numFmtId="0" fontId="0" fillId="0" borderId="24" xfId="0" applyFill="1" applyBorder="1"/>
    <xf numFmtId="38" fontId="0" fillId="0" borderId="24" xfId="724" applyFont="1" applyFill="1" applyBorder="1"/>
    <xf numFmtId="38" fontId="0" fillId="0" borderId="0" xfId="724" applyFont="1" applyFill="1" applyBorder="1"/>
    <xf numFmtId="0" fontId="0" fillId="36" borderId="7" xfId="724" applyNumberFormat="1" applyFont="1" applyFill="1" applyBorder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38" borderId="7" xfId="724" applyNumberFormat="1" applyFont="1" applyFill="1" applyBorder="1"/>
    <xf numFmtId="0" fontId="0" fillId="6" borderId="2" xfId="0" applyFill="1" applyBorder="1"/>
    <xf numFmtId="0" fontId="0" fillId="32" borderId="2" xfId="0" applyFill="1" applyBorder="1"/>
    <xf numFmtId="0" fontId="19" fillId="0" borderId="7" xfId="432" applyFont="1" applyFill="1" applyBorder="1" applyAlignment="1">
      <alignment horizontal="left" vertical="center"/>
    </xf>
    <xf numFmtId="0" fontId="0" fillId="0" borderId="7" xfId="676" applyFont="1" applyBorder="1"/>
    <xf numFmtId="0" fontId="31" fillId="0" borderId="7" xfId="0" applyFont="1" applyFill="1" applyBorder="1" applyAlignment="1">
      <alignment horizontal="left" vertical="center"/>
    </xf>
    <xf numFmtId="0" fontId="32" fillId="3" borderId="12" xfId="0" applyFont="1" applyFill="1" applyBorder="1" applyAlignment="1">
      <alignment horizontal="left" vertical="center"/>
    </xf>
    <xf numFmtId="0" fontId="32" fillId="0" borderId="12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0" xfId="432" applyFont="1" applyAlignment="1">
      <alignment horizontal="left" vertical="center"/>
    </xf>
    <xf numFmtId="0" fontId="19" fillId="0" borderId="0" xfId="432" applyFont="1" applyAlignment="1">
      <alignment horizontal="left" vertical="center" wrapText="1"/>
    </xf>
    <xf numFmtId="0" fontId="17" fillId="34" borderId="0" xfId="432" applyFont="1" applyFill="1" applyAlignment="1">
      <alignment horizontal="left" vertical="center"/>
    </xf>
  </cellXfs>
  <cellStyles count="72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赤字強調" xfId="431"/>
    <cellStyle name="青字強調" xfId="43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5.xml"/><Relationship Id="rId23" Type="http://schemas.openxmlformats.org/officeDocument/2006/relationships/externalLink" Target="externalLinks/externalLink6.xml"/><Relationship Id="rId24" Type="http://schemas.openxmlformats.org/officeDocument/2006/relationships/externalLink" Target="externalLinks/externalLink7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41001</v>
          </cell>
        </row>
        <row r="231">
          <cell r="A231">
            <v>41002</v>
          </cell>
        </row>
        <row r="232">
          <cell r="A232">
            <v>41003</v>
          </cell>
        </row>
        <row r="233">
          <cell r="A233">
            <v>41004</v>
          </cell>
        </row>
        <row r="234">
          <cell r="A234">
            <v>41005</v>
          </cell>
        </row>
        <row r="235">
          <cell r="A235">
            <v>41006</v>
          </cell>
        </row>
        <row r="236">
          <cell r="A236">
            <v>41007</v>
          </cell>
        </row>
        <row r="237">
          <cell r="A237">
            <v>41008</v>
          </cell>
        </row>
        <row r="238">
          <cell r="A238">
            <v>41009</v>
          </cell>
        </row>
        <row r="239">
          <cell r="A239">
            <v>41010</v>
          </cell>
        </row>
        <row r="240">
          <cell r="A240">
            <v>41011</v>
          </cell>
        </row>
        <row r="241">
          <cell r="A241">
            <v>41012</v>
          </cell>
        </row>
        <row r="242">
          <cell r="A242">
            <v>41013</v>
          </cell>
        </row>
        <row r="243">
          <cell r="A243">
            <v>41014</v>
          </cell>
        </row>
        <row r="244">
          <cell r="A244">
            <v>41015</v>
          </cell>
        </row>
        <row r="245">
          <cell r="A245">
            <v>47001</v>
          </cell>
        </row>
        <row r="246">
          <cell r="A246">
            <v>47002</v>
          </cell>
        </row>
        <row r="247">
          <cell r="A247">
            <v>47003</v>
          </cell>
        </row>
        <row r="248">
          <cell r="A248">
            <v>47004</v>
          </cell>
        </row>
        <row r="249">
          <cell r="A249">
            <v>49001</v>
          </cell>
        </row>
        <row r="250">
          <cell r="A250">
            <v>49002</v>
          </cell>
        </row>
        <row r="251">
          <cell r="A251">
            <v>49003</v>
          </cell>
        </row>
        <row r="252">
          <cell r="A252">
            <v>49004</v>
          </cell>
        </row>
        <row r="253">
          <cell r="A253">
            <v>49005</v>
          </cell>
        </row>
        <row r="254">
          <cell r="A254">
            <v>49006</v>
          </cell>
        </row>
        <row r="255">
          <cell r="A255">
            <v>49007</v>
          </cell>
        </row>
        <row r="256">
          <cell r="A256">
            <v>49008</v>
          </cell>
        </row>
        <row r="257">
          <cell r="A257">
            <v>49009</v>
          </cell>
        </row>
        <row r="258">
          <cell r="A258">
            <v>49010</v>
          </cell>
        </row>
        <row r="259">
          <cell r="A259">
            <v>49011</v>
          </cell>
        </row>
        <row r="260">
          <cell r="A260">
            <v>50001</v>
          </cell>
        </row>
        <row r="261">
          <cell r="A261">
            <v>50002</v>
          </cell>
        </row>
        <row r="262">
          <cell r="A262">
            <v>50003</v>
          </cell>
        </row>
        <row r="263">
          <cell r="A263">
            <v>50004</v>
          </cell>
        </row>
        <row r="264">
          <cell r="A264">
            <v>50005</v>
          </cell>
        </row>
        <row r="265">
          <cell r="A265">
            <v>50006</v>
          </cell>
        </row>
        <row r="266">
          <cell r="A266">
            <v>50007</v>
          </cell>
        </row>
        <row r="267">
          <cell r="A267">
            <v>50008</v>
          </cell>
        </row>
        <row r="268">
          <cell r="A268">
            <v>50009</v>
          </cell>
        </row>
        <row r="269">
          <cell r="A269">
            <v>50010</v>
          </cell>
        </row>
        <row r="270">
          <cell r="A270">
            <v>50011</v>
          </cell>
        </row>
        <row r="271">
          <cell r="A271">
            <v>51001</v>
          </cell>
        </row>
        <row r="272">
          <cell r="A272">
            <v>51002</v>
          </cell>
        </row>
        <row r="273">
          <cell r="A273">
            <v>59001</v>
          </cell>
        </row>
        <row r="274">
          <cell r="A274">
            <v>60001</v>
          </cell>
        </row>
        <row r="275">
          <cell r="A275">
            <v>60002</v>
          </cell>
        </row>
        <row r="276">
          <cell r="A276">
            <v>60003</v>
          </cell>
        </row>
        <row r="277">
          <cell r="A277">
            <v>60004</v>
          </cell>
        </row>
        <row r="278">
          <cell r="A278">
            <v>60005</v>
          </cell>
        </row>
        <row r="279">
          <cell r="A279">
            <v>60006</v>
          </cell>
        </row>
        <row r="280">
          <cell r="A280">
            <v>60007</v>
          </cell>
        </row>
        <row r="281">
          <cell r="A281">
            <v>60010</v>
          </cell>
        </row>
        <row r="282">
          <cell r="A282">
            <v>60011</v>
          </cell>
        </row>
        <row r="283">
          <cell r="A283">
            <v>61011</v>
          </cell>
        </row>
        <row r="284">
          <cell r="A284">
            <v>60012</v>
          </cell>
        </row>
        <row r="285">
          <cell r="A285">
            <v>60013</v>
          </cell>
        </row>
        <row r="286">
          <cell r="A286">
            <v>60014</v>
          </cell>
        </row>
        <row r="287">
          <cell r="A287">
            <v>60015</v>
          </cell>
        </row>
        <row r="288">
          <cell r="A288">
            <v>60016</v>
          </cell>
        </row>
        <row r="289">
          <cell r="A289">
            <v>60017</v>
          </cell>
        </row>
        <row r="290">
          <cell r="A290">
            <v>60018</v>
          </cell>
        </row>
        <row r="291">
          <cell r="A291">
            <v>60019</v>
          </cell>
        </row>
        <row r="292">
          <cell r="A292">
            <v>60020</v>
          </cell>
        </row>
        <row r="293">
          <cell r="A293">
            <v>60025</v>
          </cell>
        </row>
        <row r="294">
          <cell r="A294">
            <v>65525</v>
          </cell>
        </row>
        <row r="295">
          <cell r="A295">
            <v>65526</v>
          </cell>
        </row>
        <row r="296">
          <cell r="A296">
            <v>65527</v>
          </cell>
        </row>
        <row r="297">
          <cell r="A297">
            <v>65533</v>
          </cell>
        </row>
        <row r="298">
          <cell r="A298">
            <v>65534</v>
          </cell>
        </row>
        <row r="299">
          <cell r="A299">
            <v>65535</v>
          </cell>
        </row>
        <row r="300">
          <cell r="A300">
            <v>60021</v>
          </cell>
        </row>
        <row r="301">
          <cell r="A301">
            <v>60022</v>
          </cell>
        </row>
        <row r="302">
          <cell r="A302">
            <v>60023</v>
          </cell>
        </row>
        <row r="303">
          <cell r="A30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48001_1</v>
          </cell>
        </row>
        <row r="796">
          <cell r="A796" t="str">
            <v>48002_1</v>
          </cell>
        </row>
        <row r="797">
          <cell r="A797" t="str">
            <v>48002_2</v>
          </cell>
        </row>
        <row r="798">
          <cell r="A798" t="str">
            <v>48002_3</v>
          </cell>
        </row>
        <row r="799">
          <cell r="A799" t="str">
            <v>48003_1</v>
          </cell>
        </row>
        <row r="800">
          <cell r="A800" t="str">
            <v>48003_2</v>
          </cell>
        </row>
        <row r="801">
          <cell r="A801" t="str">
            <v>48003_3</v>
          </cell>
        </row>
        <row r="802">
          <cell r="A802" t="str">
            <v>48004_1</v>
          </cell>
        </row>
        <row r="803">
          <cell r="A803" t="str">
            <v>48004_2</v>
          </cell>
        </row>
        <row r="804">
          <cell r="A804" t="str">
            <v>48005_1</v>
          </cell>
        </row>
        <row r="805">
          <cell r="A805" t="str">
            <v>48005_2</v>
          </cell>
        </row>
        <row r="806">
          <cell r="A806" t="str">
            <v>48006_1</v>
          </cell>
        </row>
        <row r="807">
          <cell r="A807" t="str">
            <v>48006_2</v>
          </cell>
        </row>
        <row r="808">
          <cell r="A808" t="str">
            <v>48007_1</v>
          </cell>
        </row>
        <row r="809">
          <cell r="A809" t="str">
            <v>48007_2</v>
          </cell>
        </row>
        <row r="810">
          <cell r="A810" t="str">
            <v>48008_1</v>
          </cell>
        </row>
        <row r="811">
          <cell r="A811" t="str">
            <v>48008_2</v>
          </cell>
        </row>
        <row r="812">
          <cell r="A812" t="str">
            <v>49001_1</v>
          </cell>
        </row>
        <row r="813">
          <cell r="A813" t="str">
            <v>49002_1</v>
          </cell>
        </row>
        <row r="814">
          <cell r="A814" t="str">
            <v>49002_2</v>
          </cell>
        </row>
        <row r="815">
          <cell r="A815" t="str">
            <v>49003_1</v>
          </cell>
        </row>
        <row r="816">
          <cell r="A816" t="str">
            <v>49003_2</v>
          </cell>
        </row>
        <row r="817">
          <cell r="A817" t="str">
            <v>49004_1</v>
          </cell>
        </row>
        <row r="818">
          <cell r="A818" t="str">
            <v>49004_2</v>
          </cell>
        </row>
        <row r="819">
          <cell r="A819" t="str">
            <v>49004_3</v>
          </cell>
        </row>
        <row r="820">
          <cell r="A820" t="str">
            <v>49005_1</v>
          </cell>
        </row>
        <row r="821">
          <cell r="A821" t="str">
            <v>49006_1</v>
          </cell>
        </row>
        <row r="822">
          <cell r="A822" t="str">
            <v>49006_2</v>
          </cell>
        </row>
        <row r="823">
          <cell r="A823" t="str">
            <v>49007_1</v>
          </cell>
        </row>
        <row r="824">
          <cell r="A824" t="str">
            <v>49007_2</v>
          </cell>
        </row>
        <row r="825">
          <cell r="A825" t="str">
            <v>49007_3</v>
          </cell>
        </row>
        <row r="826">
          <cell r="A826" t="str">
            <v>49008_1</v>
          </cell>
        </row>
        <row r="827">
          <cell r="A827" t="str">
            <v>49009_1</v>
          </cell>
        </row>
        <row r="828">
          <cell r="A828" t="str">
            <v>49010_1</v>
          </cell>
        </row>
        <row r="829">
          <cell r="A829" t="str">
            <v>49011_1</v>
          </cell>
        </row>
        <row r="830">
          <cell r="A830" t="str">
            <v>50001_1</v>
          </cell>
        </row>
        <row r="831">
          <cell r="A831" t="str">
            <v>50002_1</v>
          </cell>
        </row>
        <row r="832">
          <cell r="A832" t="str">
            <v>50003_1</v>
          </cell>
        </row>
        <row r="833">
          <cell r="A833" t="str">
            <v>50004_1</v>
          </cell>
        </row>
        <row r="834">
          <cell r="A834" t="str">
            <v>50005_1</v>
          </cell>
        </row>
        <row r="835">
          <cell r="A835" t="str">
            <v>50006_1</v>
          </cell>
        </row>
        <row r="836">
          <cell r="A836" t="str">
            <v>50007_1</v>
          </cell>
        </row>
        <row r="837">
          <cell r="A837" t="str">
            <v>50008_1</v>
          </cell>
        </row>
        <row r="838">
          <cell r="A838" t="str">
            <v>50009_1</v>
          </cell>
        </row>
        <row r="839">
          <cell r="A839" t="str">
            <v>50010_1</v>
          </cell>
        </row>
        <row r="840">
          <cell r="A840" t="str">
            <v>50011_1</v>
          </cell>
        </row>
        <row r="841">
          <cell r="A841" t="str">
            <v>51001_1</v>
          </cell>
        </row>
        <row r="842">
          <cell r="A842" t="str">
            <v>51002_1</v>
          </cell>
        </row>
        <row r="843">
          <cell r="A843" t="str">
            <v>59001_1</v>
          </cell>
        </row>
        <row r="844">
          <cell r="A844" t="str">
            <v>60001_1</v>
          </cell>
        </row>
        <row r="845">
          <cell r="A845" t="str">
            <v>60002_1</v>
          </cell>
        </row>
        <row r="846">
          <cell r="A846" t="str">
            <v>60002_2</v>
          </cell>
        </row>
        <row r="847">
          <cell r="A847" t="str">
            <v>60003_1</v>
          </cell>
        </row>
        <row r="848">
          <cell r="A848" t="str">
            <v>60003_2</v>
          </cell>
        </row>
        <row r="849">
          <cell r="A849" t="str">
            <v>60003_3</v>
          </cell>
        </row>
        <row r="850">
          <cell r="A850" t="str">
            <v>60004_1</v>
          </cell>
        </row>
        <row r="851">
          <cell r="A851" t="str">
            <v>60005_1</v>
          </cell>
        </row>
        <row r="852">
          <cell r="A852" t="str">
            <v>60006_1</v>
          </cell>
        </row>
        <row r="853">
          <cell r="A853" t="str">
            <v>60006_2</v>
          </cell>
        </row>
        <row r="854">
          <cell r="A854" t="str">
            <v>60006_3</v>
          </cell>
        </row>
        <row r="855">
          <cell r="A855" t="str">
            <v>60007_1</v>
          </cell>
        </row>
        <row r="856">
          <cell r="A856" t="str">
            <v>60007_2</v>
          </cell>
        </row>
        <row r="857">
          <cell r="A857" t="str">
            <v>60007_3</v>
          </cell>
        </row>
        <row r="858">
          <cell r="A858" t="str">
            <v>60010_1</v>
          </cell>
        </row>
        <row r="859">
          <cell r="A859" t="str">
            <v>60011_1</v>
          </cell>
        </row>
        <row r="860">
          <cell r="A860" t="str">
            <v>60011_2</v>
          </cell>
        </row>
        <row r="861">
          <cell r="A861" t="str">
            <v>60012_1</v>
          </cell>
        </row>
        <row r="862">
          <cell r="A862" t="str">
            <v>60013_1</v>
          </cell>
        </row>
        <row r="863">
          <cell r="A863" t="str">
            <v>60013_2</v>
          </cell>
        </row>
        <row r="864">
          <cell r="A864" t="str">
            <v>60013_3</v>
          </cell>
        </row>
        <row r="865">
          <cell r="A865" t="str">
            <v>60014_1</v>
          </cell>
        </row>
        <row r="866">
          <cell r="A866" t="str">
            <v>60015_1</v>
          </cell>
        </row>
        <row r="867">
          <cell r="A867" t="str">
            <v>60016_1</v>
          </cell>
        </row>
        <row r="868">
          <cell r="A868" t="str">
            <v>60017_1</v>
          </cell>
        </row>
        <row r="869">
          <cell r="A869" t="str">
            <v>60018_1</v>
          </cell>
        </row>
        <row r="870">
          <cell r="A870" t="str">
            <v>60019_1</v>
          </cell>
        </row>
        <row r="871">
          <cell r="A871" t="str">
            <v>60020_1</v>
          </cell>
        </row>
        <row r="872">
          <cell r="A872" t="str">
            <v>60021_3</v>
          </cell>
        </row>
        <row r="873">
          <cell r="A873" t="str">
            <v>60022_3</v>
          </cell>
        </row>
        <row r="874">
          <cell r="A874" t="str">
            <v>60023_3</v>
          </cell>
        </row>
        <row r="875">
          <cell r="A875" t="str">
            <v>60024_3</v>
          </cell>
        </row>
        <row r="876">
          <cell r="A876" t="str">
            <v>60025_1</v>
          </cell>
        </row>
        <row r="877">
          <cell r="A877" t="str">
            <v>61011_1</v>
          </cell>
        </row>
        <row r="878">
          <cell r="A878" t="str">
            <v>65525_1</v>
          </cell>
        </row>
        <row r="879">
          <cell r="A879" t="str">
            <v>65526_1</v>
          </cell>
        </row>
        <row r="880">
          <cell r="A880" t="str">
            <v>65527_1</v>
          </cell>
        </row>
        <row r="881">
          <cell r="A881" t="str">
            <v>65533_1</v>
          </cell>
        </row>
        <row r="882">
          <cell r="A882" t="str">
            <v>65533_2</v>
          </cell>
        </row>
        <row r="883">
          <cell r="A883" t="str">
            <v>65534_1</v>
          </cell>
        </row>
        <row r="884">
          <cell r="A884" t="str">
            <v>65535_1</v>
          </cell>
        </row>
        <row r="885">
          <cell r="A885" t="str">
            <v>65535_2</v>
          </cell>
        </row>
        <row r="886">
          <cell r="A886" t="str">
            <v>65535_3</v>
          </cell>
        </row>
        <row r="887">
          <cell r="A887" t="str">
            <v>65535_4</v>
          </cell>
        </row>
        <row r="888">
          <cell r="A888" t="str">
            <v>65535_5</v>
          </cell>
        </row>
        <row r="889">
          <cell r="A889" t="str">
            <v>65535_6</v>
          </cell>
        </row>
        <row r="890">
          <cell r="A890" t="str">
            <v>65535_7</v>
          </cell>
        </row>
        <row r="891">
          <cell r="A891" t="str">
            <v>65535_8</v>
          </cell>
        </row>
        <row r="892">
          <cell r="A892" t="str">
            <v>65535_9</v>
          </cell>
        </row>
        <row r="893">
          <cell r="A89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6"/>
  <sheetViews>
    <sheetView workbookViewId="0">
      <selection activeCell="B32" sqref="B32"/>
    </sheetView>
  </sheetViews>
  <sheetFormatPr baseColWidth="12" defaultRowHeight="15" x14ac:dyDescent="0.15"/>
  <cols>
    <col min="2" max="2" width="25.66406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290</v>
      </c>
      <c r="B2" s="57" t="s">
        <v>107</v>
      </c>
      <c r="C2" s="62">
        <v>60019</v>
      </c>
      <c r="D2" s="57" t="s">
        <v>108</v>
      </c>
      <c r="E2" s="56" t="str">
        <f>B2&amp;C2&amp;D2</f>
        <v>floors_60019.tmp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292</v>
      </c>
      <c r="B3" s="110" t="s">
        <v>243</v>
      </c>
      <c r="C3" s="62">
        <v>60019</v>
      </c>
      <c r="D3" s="57" t="s">
        <v>108</v>
      </c>
      <c r="E3" s="56" t="str">
        <f>B3&amp;C3&amp;D3</f>
        <v>ranking_floors_60019.tmp</v>
      </c>
      <c r="F3" s="57" t="s">
        <v>109</v>
      </c>
      <c r="G3" s="58" t="s">
        <v>0</v>
      </c>
      <c r="H3" s="58" t="s">
        <v>1</v>
      </c>
      <c r="I3" s="58" t="s">
        <v>13</v>
      </c>
      <c r="J3" s="100" t="s">
        <v>224</v>
      </c>
      <c r="K3" s="100" t="s">
        <v>225</v>
      </c>
      <c r="L3" s="100" t="s">
        <v>226</v>
      </c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0" x14ac:dyDescent="0.15">
      <c r="A4" s="61" t="s">
        <v>292</v>
      </c>
      <c r="B4" s="110" t="s">
        <v>244</v>
      </c>
      <c r="C4" s="62">
        <v>60019</v>
      </c>
      <c r="D4" s="57" t="s">
        <v>108</v>
      </c>
      <c r="E4" s="56" t="str">
        <f>B4&amp;C4&amp;D4</f>
        <v>ranking_stages_60019.tmp</v>
      </c>
      <c r="F4" s="57" t="s">
        <v>246</v>
      </c>
      <c r="G4" s="58" t="s">
        <v>0</v>
      </c>
      <c r="H4" s="58" t="s">
        <v>1</v>
      </c>
      <c r="I4" s="37" t="s">
        <v>245</v>
      </c>
      <c r="J4" s="58"/>
      <c r="K4" s="58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292</v>
      </c>
      <c r="B5" s="110" t="s">
        <v>251</v>
      </c>
      <c r="C5" s="62">
        <v>60019</v>
      </c>
      <c r="D5" s="57" t="s">
        <v>108</v>
      </c>
      <c r="E5" s="56" t="str">
        <f t="shared" ref="E5:E7" si="0">B5&amp;C5&amp;D5</f>
        <v>clear_turn_60019.tmp</v>
      </c>
      <c r="F5" s="57" t="s">
        <v>255</v>
      </c>
      <c r="G5" s="58" t="s">
        <v>247</v>
      </c>
      <c r="H5" s="58" t="s">
        <v>248</v>
      </c>
      <c r="I5" s="58" t="s">
        <v>249</v>
      </c>
      <c r="J5" s="58" t="s">
        <v>250</v>
      </c>
      <c r="K5" s="58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292</v>
      </c>
      <c r="B6" s="110" t="s">
        <v>252</v>
      </c>
      <c r="C6" s="62">
        <v>60019</v>
      </c>
      <c r="D6" s="57" t="s">
        <v>108</v>
      </c>
      <c r="E6" s="56" t="str">
        <f t="shared" si="0"/>
        <v>damage_give_60019.tmp</v>
      </c>
      <c r="F6" s="57" t="s">
        <v>256</v>
      </c>
      <c r="G6" s="58" t="s">
        <v>247</v>
      </c>
      <c r="H6" s="58" t="s">
        <v>248</v>
      </c>
      <c r="I6" s="58" t="s">
        <v>249</v>
      </c>
      <c r="J6" s="58" t="s">
        <v>250</v>
      </c>
      <c r="K6" s="58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292</v>
      </c>
      <c r="B7" s="110" t="s">
        <v>254</v>
      </c>
      <c r="C7" s="62">
        <v>60019</v>
      </c>
      <c r="D7" s="57" t="s">
        <v>108</v>
      </c>
      <c r="E7" s="56" t="str">
        <f t="shared" si="0"/>
        <v>damage_receive_60019.tmp</v>
      </c>
      <c r="F7" s="57" t="s">
        <v>253</v>
      </c>
      <c r="G7" s="58" t="s">
        <v>247</v>
      </c>
      <c r="H7" s="58" t="s">
        <v>248</v>
      </c>
      <c r="I7" s="58" t="s">
        <v>249</v>
      </c>
      <c r="J7" s="58" t="s">
        <v>250</v>
      </c>
      <c r="K7" s="58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448</v>
      </c>
      <c r="B8" s="110" t="s">
        <v>264</v>
      </c>
      <c r="C8" s="62">
        <v>60019</v>
      </c>
      <c r="D8" s="57" t="s">
        <v>108</v>
      </c>
      <c r="E8" s="56" t="str">
        <f t="shared" ref="E8:E9" si="1">B8&amp;C8&amp;D8</f>
        <v>ranking_eval_data_60019.tmp</v>
      </c>
      <c r="F8" s="57" t="s">
        <v>266</v>
      </c>
      <c r="G8" s="58" t="s">
        <v>257</v>
      </c>
      <c r="H8" s="58" t="s">
        <v>258</v>
      </c>
      <c r="I8" s="58" t="s">
        <v>259</v>
      </c>
      <c r="J8" s="58" t="s">
        <v>260</v>
      </c>
      <c r="K8" s="58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449</v>
      </c>
      <c r="B9" s="110" t="s">
        <v>265</v>
      </c>
      <c r="C9" s="62">
        <v>60019</v>
      </c>
      <c r="D9" s="57" t="s">
        <v>108</v>
      </c>
      <c r="E9" s="56" t="str">
        <f t="shared" si="1"/>
        <v>ranking_eval_i18n_60019.tmp</v>
      </c>
      <c r="F9" s="57" t="s">
        <v>266</v>
      </c>
      <c r="G9" s="58" t="s">
        <v>257</v>
      </c>
      <c r="H9" s="109" t="s">
        <v>261</v>
      </c>
      <c r="I9" s="109" t="s">
        <v>262</v>
      </c>
      <c r="J9" s="109" t="s">
        <v>263</v>
      </c>
      <c r="K9" s="58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0" x14ac:dyDescent="0.15">
      <c r="A10" s="61" t="s">
        <v>291</v>
      </c>
      <c r="B10" s="57" t="s">
        <v>110</v>
      </c>
      <c r="C10" s="62">
        <f>C$2</f>
        <v>60019</v>
      </c>
      <c r="D10" s="57" t="s">
        <v>108</v>
      </c>
      <c r="E10" s="56" t="str">
        <f>B10&amp;C10&amp;D10</f>
        <v>enemy_habitats_60019.tmp</v>
      </c>
      <c r="F10" s="57" t="s">
        <v>111</v>
      </c>
      <c r="G10" s="58" t="s">
        <v>0</v>
      </c>
      <c r="H10" s="58" t="s">
        <v>1</v>
      </c>
      <c r="I10" s="58" t="s">
        <v>13</v>
      </c>
      <c r="J10" s="58" t="s">
        <v>2</v>
      </c>
      <c r="K10" s="58" t="s">
        <v>3</v>
      </c>
      <c r="L10" s="58" t="s">
        <v>47</v>
      </c>
      <c r="M10" s="58" t="s">
        <v>49</v>
      </c>
      <c r="N10" s="58" t="s">
        <v>51</v>
      </c>
      <c r="O10" s="58" t="s">
        <v>22</v>
      </c>
      <c r="P10" s="58" t="s">
        <v>5</v>
      </c>
      <c r="Q10" s="58" t="s">
        <v>6</v>
      </c>
      <c r="R10" s="58" t="s">
        <v>7</v>
      </c>
      <c r="S10" s="58" t="s">
        <v>8</v>
      </c>
      <c r="T10" s="58" t="s">
        <v>9</v>
      </c>
      <c r="U10" s="58" t="s">
        <v>10</v>
      </c>
      <c r="V10" s="58" t="s">
        <v>11</v>
      </c>
      <c r="W10" s="58" t="s">
        <v>12</v>
      </c>
      <c r="X10" s="58" t="s">
        <v>37</v>
      </c>
      <c r="Y10" s="58" t="s">
        <v>39</v>
      </c>
      <c r="Z10" s="58" t="s">
        <v>41</v>
      </c>
      <c r="AA10" s="58" t="s">
        <v>43</v>
      </c>
      <c r="AB10" s="58" t="s">
        <v>45</v>
      </c>
      <c r="AC10" s="58" t="s">
        <v>54</v>
      </c>
      <c r="AD10" s="58" t="s">
        <v>180</v>
      </c>
    </row>
    <row r="11" spans="1:30" x14ac:dyDescent="0.15">
      <c r="A11" s="61" t="s">
        <v>292</v>
      </c>
      <c r="B11" s="57" t="s">
        <v>112</v>
      </c>
      <c r="C11" s="62">
        <f t="shared" ref="C11:C23" si="2">C$2</f>
        <v>60019</v>
      </c>
      <c r="D11" s="57" t="s">
        <v>108</v>
      </c>
      <c r="E11" s="56" t="str">
        <f>B11&amp;C11&amp;D11</f>
        <v>enemy_habitat_S_60019.tmp</v>
      </c>
      <c r="F11" s="57" t="s">
        <v>113</v>
      </c>
      <c r="G11" s="58" t="s">
        <v>0</v>
      </c>
      <c r="H11" s="58" t="s">
        <v>1</v>
      </c>
      <c r="I11" s="58" t="s">
        <v>13</v>
      </c>
      <c r="J11" s="58" t="s">
        <v>54</v>
      </c>
      <c r="K11" s="58" t="s">
        <v>55</v>
      </c>
      <c r="L11" s="58" t="s">
        <v>56</v>
      </c>
      <c r="M11" s="58" t="s">
        <v>57</v>
      </c>
      <c r="N11" s="58" t="s">
        <v>58</v>
      </c>
      <c r="O11" s="58" t="s">
        <v>59</v>
      </c>
      <c r="P11" s="58" t="s">
        <v>48</v>
      </c>
      <c r="Q11" s="58" t="s">
        <v>50</v>
      </c>
      <c r="R11" s="58" t="s">
        <v>52</v>
      </c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0" x14ac:dyDescent="0.15">
      <c r="A12" s="61" t="s">
        <v>292</v>
      </c>
      <c r="B12" s="57" t="s">
        <v>114</v>
      </c>
      <c r="C12" s="62">
        <f t="shared" si="2"/>
        <v>60019</v>
      </c>
      <c r="D12" s="57" t="s">
        <v>108</v>
      </c>
      <c r="E12" s="56" t="str">
        <f>B12&amp;C12&amp;D12</f>
        <v>enemy_skill_sets_60019.tmp</v>
      </c>
      <c r="F12" s="57" t="s">
        <v>115</v>
      </c>
      <c r="G12" s="59" t="s">
        <v>22</v>
      </c>
      <c r="H12" s="59" t="s">
        <v>100</v>
      </c>
      <c r="I12" s="59" t="s">
        <v>95</v>
      </c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0" x14ac:dyDescent="0.15">
      <c r="A13" s="61" t="s">
        <v>292</v>
      </c>
      <c r="B13" s="57" t="s">
        <v>116</v>
      </c>
      <c r="C13" s="62">
        <f t="shared" si="2"/>
        <v>60019</v>
      </c>
      <c r="D13" s="57" t="s">
        <v>117</v>
      </c>
      <c r="E13" s="56" t="str">
        <f t="shared" ref="E13:E17" si="3">B13&amp;C13&amp;D13</f>
        <v>enemy_skills_tmp_60019.tmp</v>
      </c>
      <c r="F13" s="57" t="s">
        <v>91</v>
      </c>
      <c r="G13" s="58" t="s">
        <v>79</v>
      </c>
      <c r="H13" s="58" t="s">
        <v>80</v>
      </c>
      <c r="I13" s="58" t="s">
        <v>81</v>
      </c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0" x14ac:dyDescent="0.15">
      <c r="A14" s="61" t="s">
        <v>292</v>
      </c>
      <c r="B14" s="57" t="s">
        <v>118</v>
      </c>
      <c r="C14" s="62">
        <f t="shared" si="2"/>
        <v>60019</v>
      </c>
      <c r="D14" s="57" t="s">
        <v>108</v>
      </c>
      <c r="E14" s="56" t="str">
        <f>B14&amp;C14&amp;D14</f>
        <v>enemy_skills_i18n_60019.tmp</v>
      </c>
      <c r="F14" s="57" t="s">
        <v>119</v>
      </c>
      <c r="G14" s="58" t="s">
        <v>79</v>
      </c>
      <c r="H14" s="58" t="s">
        <v>92</v>
      </c>
      <c r="I14" s="58" t="s">
        <v>93</v>
      </c>
      <c r="J14" s="58" t="s">
        <v>94</v>
      </c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0" x14ac:dyDescent="0.15">
      <c r="A15" s="61" t="s">
        <v>292</v>
      </c>
      <c r="B15" s="57" t="s">
        <v>120</v>
      </c>
      <c r="C15" s="62">
        <f t="shared" si="2"/>
        <v>60019</v>
      </c>
      <c r="D15" s="57" t="s">
        <v>121</v>
      </c>
      <c r="E15" s="56" t="str">
        <f t="shared" si="3"/>
        <v>enemy_skill_triggers_60019.tmp</v>
      </c>
      <c r="F15" s="57" t="s">
        <v>122</v>
      </c>
      <c r="G15" s="58" t="s">
        <v>95</v>
      </c>
      <c r="H15" s="58" t="s">
        <v>96</v>
      </c>
      <c r="I15" s="58" t="s">
        <v>97</v>
      </c>
      <c r="J15" s="58" t="s">
        <v>98</v>
      </c>
      <c r="K15" s="58" t="s">
        <v>123</v>
      </c>
      <c r="L15" s="58" t="s">
        <v>99</v>
      </c>
      <c r="M15" s="58" t="s">
        <v>124</v>
      </c>
      <c r="N15" s="58" t="s">
        <v>125</v>
      </c>
      <c r="O15" s="58" t="s">
        <v>126</v>
      </c>
      <c r="P15" s="58" t="s">
        <v>67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0" x14ac:dyDescent="0.15">
      <c r="A16" s="61" t="s">
        <v>189</v>
      </c>
      <c r="B16" s="67" t="s">
        <v>179</v>
      </c>
      <c r="C16" s="62">
        <f t="shared" si="2"/>
        <v>60019</v>
      </c>
      <c r="D16" s="67" t="s">
        <v>173</v>
      </c>
      <c r="E16" s="68" t="str">
        <f t="shared" si="3"/>
        <v>stage_bug_bonuses_60019.tmp</v>
      </c>
      <c r="F16" s="67" t="s">
        <v>174</v>
      </c>
      <c r="G16" s="64" t="s">
        <v>151</v>
      </c>
      <c r="H16" s="64" t="s">
        <v>175</v>
      </c>
      <c r="I16" s="64" t="s">
        <v>176</v>
      </c>
      <c r="J16" s="66" t="s">
        <v>177</v>
      </c>
      <c r="K16" s="64" t="s">
        <v>178</v>
      </c>
      <c r="L16" s="64" t="s">
        <v>157</v>
      </c>
      <c r="M16" s="64" t="s">
        <v>158</v>
      </c>
      <c r="N16" s="64" t="s">
        <v>159</v>
      </c>
      <c r="O16" s="64" t="s">
        <v>160</v>
      </c>
      <c r="P16" s="64" t="s">
        <v>161</v>
      </c>
      <c r="Q16" s="64" t="s">
        <v>162</v>
      </c>
      <c r="R16" s="64" t="s">
        <v>163</v>
      </c>
      <c r="S16" s="64" t="s">
        <v>164</v>
      </c>
      <c r="T16" s="64" t="s">
        <v>165</v>
      </c>
      <c r="U16" s="64" t="s">
        <v>166</v>
      </c>
      <c r="V16" s="64" t="s">
        <v>167</v>
      </c>
      <c r="W16" s="64" t="s">
        <v>168</v>
      </c>
    </row>
    <row r="17" spans="1:21" s="76" customFormat="1" x14ac:dyDescent="0.15">
      <c r="A17" s="61" t="s">
        <v>189</v>
      </c>
      <c r="B17" s="67" t="s">
        <v>205</v>
      </c>
      <c r="C17" s="62">
        <f>C$2</f>
        <v>60019</v>
      </c>
      <c r="D17" s="67" t="s">
        <v>182</v>
      </c>
      <c r="E17" s="68" t="str">
        <f t="shared" si="3"/>
        <v>stage_hints_data_c_60019.tmp</v>
      </c>
      <c r="F17" s="67" t="s">
        <v>214</v>
      </c>
      <c r="G17" s="73" t="s">
        <v>183</v>
      </c>
      <c r="H17" s="73" t="s">
        <v>175</v>
      </c>
      <c r="I17" s="74" t="s">
        <v>184</v>
      </c>
      <c r="J17" s="66" t="s">
        <v>185</v>
      </c>
      <c r="K17" s="75" t="s">
        <v>186</v>
      </c>
    </row>
    <row r="18" spans="1:21" s="76" customFormat="1" x14ac:dyDescent="0.15">
      <c r="A18" s="61" t="s">
        <v>189</v>
      </c>
      <c r="B18" s="67" t="s">
        <v>206</v>
      </c>
      <c r="C18" s="62">
        <f t="shared" si="2"/>
        <v>60019</v>
      </c>
      <c r="D18" s="67" t="s">
        <v>173</v>
      </c>
      <c r="E18" s="68" t="str">
        <f t="shared" ref="E18:E19" si="4">B18&amp;C18&amp;D18</f>
        <v>stage_hints_data_f_60019.tmp</v>
      </c>
      <c r="F18" s="67" t="s">
        <v>216</v>
      </c>
      <c r="G18" s="73" t="s">
        <v>183</v>
      </c>
      <c r="H18" s="73" t="s">
        <v>175</v>
      </c>
      <c r="I18" s="74" t="s">
        <v>184</v>
      </c>
      <c r="J18" s="66" t="s">
        <v>185</v>
      </c>
      <c r="K18" s="75" t="s">
        <v>186</v>
      </c>
    </row>
    <row r="19" spans="1:21" s="76" customFormat="1" x14ac:dyDescent="0.15">
      <c r="A19" s="67" t="s">
        <v>207</v>
      </c>
      <c r="B19" s="67" t="s">
        <v>208</v>
      </c>
      <c r="C19" s="62">
        <f t="shared" si="2"/>
        <v>60019</v>
      </c>
      <c r="D19" s="67" t="s">
        <v>173</v>
      </c>
      <c r="E19" s="68" t="str">
        <f t="shared" si="4"/>
        <v>stage_hints_i18n_60019.tmp</v>
      </c>
      <c r="F19" s="67" t="s">
        <v>217</v>
      </c>
      <c r="G19" s="74" t="s">
        <v>209</v>
      </c>
      <c r="H19" s="97" t="s">
        <v>210</v>
      </c>
      <c r="I19" s="73" t="s">
        <v>211</v>
      </c>
      <c r="J19" s="98" t="s">
        <v>212</v>
      </c>
      <c r="K19" s="75" t="s">
        <v>213</v>
      </c>
    </row>
    <row r="20" spans="1:21" x14ac:dyDescent="0.15">
      <c r="A20" s="67" t="s">
        <v>207</v>
      </c>
      <c r="B20" s="67" t="s">
        <v>208</v>
      </c>
      <c r="C20" s="62">
        <f t="shared" si="2"/>
        <v>60019</v>
      </c>
      <c r="D20" s="67" t="s">
        <v>173</v>
      </c>
      <c r="E20" s="68" t="str">
        <f t="shared" ref="E20:E21" si="5">B20&amp;C20&amp;D20</f>
        <v>stage_hints_i18n_60019.tmp</v>
      </c>
      <c r="F20" s="67" t="s">
        <v>217</v>
      </c>
      <c r="G20" s="74" t="s">
        <v>209</v>
      </c>
      <c r="H20" s="97" t="s">
        <v>210</v>
      </c>
      <c r="I20" s="73" t="s">
        <v>211</v>
      </c>
      <c r="J20" s="98" t="s">
        <v>212</v>
      </c>
      <c r="K20" s="75" t="s">
        <v>213</v>
      </c>
    </row>
    <row r="21" spans="1:21" x14ac:dyDescent="0.15">
      <c r="A21" s="61" t="s">
        <v>292</v>
      </c>
      <c r="B21" s="111" t="s">
        <v>232</v>
      </c>
      <c r="C21" s="62">
        <f t="shared" si="2"/>
        <v>60019</v>
      </c>
      <c r="D21" s="67" t="s">
        <v>173</v>
      </c>
      <c r="E21" s="68" t="str">
        <f t="shared" si="5"/>
        <v>ranking_ACH_60019.tmp</v>
      </c>
      <c r="F21" s="67" t="s">
        <v>233</v>
      </c>
      <c r="G21" s="74" t="s">
        <v>234</v>
      </c>
      <c r="H21" s="97" t="s">
        <v>235</v>
      </c>
      <c r="I21" s="73" t="s">
        <v>236</v>
      </c>
      <c r="J21" s="75" t="s">
        <v>237</v>
      </c>
      <c r="K21" s="75"/>
    </row>
    <row r="22" spans="1:21" x14ac:dyDescent="0.15">
      <c r="A22" s="61" t="s">
        <v>292</v>
      </c>
      <c r="B22" s="112" t="s">
        <v>238</v>
      </c>
      <c r="C22" s="62">
        <f t="shared" si="2"/>
        <v>60019</v>
      </c>
      <c r="D22" s="105" t="s">
        <v>117</v>
      </c>
      <c r="E22" s="106" t="str">
        <f>B22&amp;C22&amp;D22</f>
        <v>gifts_tmp_60019.tmp</v>
      </c>
      <c r="F22" s="67" t="s">
        <v>233</v>
      </c>
      <c r="G22" s="107" t="s">
        <v>239</v>
      </c>
      <c r="H22" s="107" t="s">
        <v>227</v>
      </c>
      <c r="I22" s="107" t="s">
        <v>228</v>
      </c>
      <c r="J22" s="107" t="s">
        <v>228</v>
      </c>
      <c r="K22" s="107" t="s">
        <v>228</v>
      </c>
      <c r="L22" s="107" t="s">
        <v>229</v>
      </c>
      <c r="M22" s="107" t="s">
        <v>229</v>
      </c>
      <c r="N22" s="107" t="s">
        <v>229</v>
      </c>
      <c r="O22" s="113" t="s">
        <v>41</v>
      </c>
      <c r="P22" s="113" t="s">
        <v>45</v>
      </c>
      <c r="Q22" s="113" t="s">
        <v>39</v>
      </c>
      <c r="R22" s="113" t="s">
        <v>267</v>
      </c>
      <c r="S22" s="113" t="s">
        <v>43</v>
      </c>
      <c r="T22" s="113" t="s">
        <v>3</v>
      </c>
      <c r="U22" s="113" t="s">
        <v>37</v>
      </c>
    </row>
    <row r="23" spans="1:21" x14ac:dyDescent="0.15">
      <c r="A23" s="61" t="s">
        <v>292</v>
      </c>
      <c r="B23" s="112" t="s">
        <v>240</v>
      </c>
      <c r="C23" s="62">
        <f t="shared" si="2"/>
        <v>60019</v>
      </c>
      <c r="D23" s="146" t="s">
        <v>108</v>
      </c>
      <c r="E23" s="106" t="str">
        <f>B23&amp;C23&amp;D23</f>
        <v>gifts_i18n_60019.tmp</v>
      </c>
      <c r="F23" s="67" t="s">
        <v>233</v>
      </c>
      <c r="G23" s="107" t="s">
        <v>239</v>
      </c>
      <c r="H23" s="107" t="s">
        <v>230</v>
      </c>
      <c r="I23" s="107" t="s">
        <v>241</v>
      </c>
      <c r="J23" s="107" t="s">
        <v>242</v>
      </c>
      <c r="K23" s="107" t="s">
        <v>231</v>
      </c>
      <c r="L23" s="107"/>
      <c r="M23" s="107"/>
      <c r="N23" s="107"/>
      <c r="O23" s="105"/>
    </row>
    <row r="24" spans="1:21" x14ac:dyDescent="0.15">
      <c r="A24" s="61" t="s">
        <v>292</v>
      </c>
      <c r="B24" s="114" t="s">
        <v>268</v>
      </c>
      <c r="C24" s="57"/>
      <c r="D24" s="117" t="s">
        <v>450</v>
      </c>
      <c r="E24" s="106" t="str">
        <f>B24&amp;C24&amp;D24</f>
        <v>ranking_stage_evaluation_gifts.csv</v>
      </c>
      <c r="F24" s="115" t="s">
        <v>269</v>
      </c>
      <c r="G24" s="58" t="s">
        <v>270</v>
      </c>
      <c r="H24" s="58" t="s">
        <v>271</v>
      </c>
      <c r="I24" s="109" t="s">
        <v>272</v>
      </c>
      <c r="J24" s="103" t="s">
        <v>273</v>
      </c>
    </row>
    <row r="25" spans="1:21" x14ac:dyDescent="0.15">
      <c r="A25" s="61" t="s">
        <v>292</v>
      </c>
      <c r="B25" s="114" t="s">
        <v>274</v>
      </c>
      <c r="C25" s="56" t="str">
        <f>REPLACE($C$2,2,0,"0")</f>
        <v>600019</v>
      </c>
      <c r="D25" s="57" t="s">
        <v>275</v>
      </c>
      <c r="E25" s="106" t="str">
        <f t="shared" ref="E25:E26" si="6">B25&amp;C25&amp;D25</f>
        <v>gifts_tmp_600019.tmp</v>
      </c>
      <c r="F25" s="115" t="s">
        <v>276</v>
      </c>
      <c r="G25" s="116" t="s">
        <v>277</v>
      </c>
      <c r="H25" s="116" t="s">
        <v>278</v>
      </c>
      <c r="I25" s="116" t="s">
        <v>279</v>
      </c>
      <c r="J25" s="116" t="s">
        <v>279</v>
      </c>
      <c r="K25" s="116" t="s">
        <v>279</v>
      </c>
      <c r="L25" s="116" t="s">
        <v>280</v>
      </c>
      <c r="M25" s="116" t="s">
        <v>280</v>
      </c>
      <c r="N25" s="116" t="s">
        <v>280</v>
      </c>
      <c r="O25" s="113" t="s">
        <v>41</v>
      </c>
      <c r="P25" s="113" t="s">
        <v>45</v>
      </c>
      <c r="Q25" s="113" t="s">
        <v>39</v>
      </c>
      <c r="R25" s="113" t="s">
        <v>267</v>
      </c>
      <c r="S25" s="113" t="s">
        <v>43</v>
      </c>
      <c r="T25" s="113" t="s">
        <v>3</v>
      </c>
      <c r="U25" s="113" t="s">
        <v>37</v>
      </c>
    </row>
    <row r="26" spans="1:21" x14ac:dyDescent="0.15">
      <c r="A26" s="61" t="s">
        <v>292</v>
      </c>
      <c r="B26" s="114" t="s">
        <v>281</v>
      </c>
      <c r="C26" s="56" t="str">
        <f>REPLACE($C$2,2,0,"0")</f>
        <v>600019</v>
      </c>
      <c r="D26" s="57" t="s">
        <v>282</v>
      </c>
      <c r="E26" s="106" t="str">
        <f t="shared" si="6"/>
        <v>gifts_i18n_600019.tmp</v>
      </c>
      <c r="F26" s="115" t="s">
        <v>276</v>
      </c>
      <c r="G26" s="116" t="s">
        <v>277</v>
      </c>
      <c r="H26" s="116" t="s">
        <v>283</v>
      </c>
      <c r="I26" s="116" t="s">
        <v>284</v>
      </c>
      <c r="J26" s="116" t="s">
        <v>285</v>
      </c>
      <c r="K26" s="116" t="s">
        <v>286</v>
      </c>
      <c r="L26" s="116"/>
      <c r="M26" s="116"/>
      <c r="N26" s="116"/>
      <c r="O26" s="105"/>
    </row>
  </sheetData>
  <phoneticPr fontId="8"/>
  <dataValidations count="1">
    <dataValidation type="list" allowBlank="1" showInputMessage="1" showErrorMessage="1" sqref="A2:A18 A21:A26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C2" sqref="C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100" t="s">
        <v>224</v>
      </c>
      <c r="M1" s="100" t="s">
        <v>225</v>
      </c>
      <c r="N1" s="100" t="s">
        <v>226</v>
      </c>
    </row>
    <row r="2" spans="1:14" ht="21" customHeight="1" x14ac:dyDescent="0.15">
      <c r="A2" s="16" t="str">
        <f>G2&amp;"-"&amp;I2</f>
        <v>60019_1-1</v>
      </c>
      <c r="B2" s="16" t="str">
        <f>IF(COUNTIF(enemy_habitats!$H:$H,A2),"OK","NG")</f>
        <v>OK</v>
      </c>
      <c r="C2" s="7">
        <v>60019</v>
      </c>
      <c r="D2" s="11" t="str">
        <f ca="1">VLOOKUP($C2,OFFSET([2]quests!$A$1,0,0,COUNTA([2]quests!$A:$A),MATCH(D$1,[2]quests!$1:$1,0)-MATCH($C$1,[2]quests!$1:$1,0)+1),MATCH(D$1,[2]quests!$1:$1,0)-MATCH($C$1,[2]quests!$1:$1,0)+1,FALSE)</f>
        <v>ヘンペルチャレンジ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ランキング7</v>
      </c>
      <c r="F2" s="21">
        <v>1</v>
      </c>
      <c r="G2" s="23" t="str">
        <f>C2&amp;"_"&amp;F2</f>
        <v>60019_1</v>
      </c>
      <c r="H2" s="15" t="str">
        <f ca="1">VLOOKUP($G2,OFFSET([2]stages!$A$1,0,0,COUNTA([2]stages!$A:$A),MATCH(H$1,[2]stages!$2:$2,0)-MATCH($G$1,[2]stages!$2:$2,0)+1),MATCH(H$1,[2]stages!$2:$2,0)-MATCH($G$1,[2]stages!$2:$2,0)+1,FALSE)</f>
        <v>ヘンペルチャレンジ</v>
      </c>
      <c r="I2" s="21">
        <v>1</v>
      </c>
      <c r="J2" s="12">
        <v>60</v>
      </c>
      <c r="K2" s="12">
        <v>60</v>
      </c>
      <c r="L2" s="69" t="str">
        <f>C2&amp;F2&amp;I2</f>
        <v>6001911</v>
      </c>
      <c r="M2" s="69" t="str">
        <f>C2&amp;F2&amp;I2</f>
        <v>6001911</v>
      </c>
      <c r="N2" s="69" t="str">
        <f>C2&amp;F2&amp;I2</f>
        <v>6001911</v>
      </c>
    </row>
    <row r="3" spans="1:14" ht="21" customHeight="1" x14ac:dyDescent="0.15">
      <c r="A3" s="16" t="str">
        <f t="shared" ref="A3:A6" si="0">G3&amp;"-"&amp;I3</f>
        <v>60019_1-2</v>
      </c>
      <c r="B3" s="16" t="str">
        <f>IF(COUNTIF(enemy_habitats!$H:$H,A3),"OK","NG")</f>
        <v>OK</v>
      </c>
      <c r="C3" s="7">
        <v>60019</v>
      </c>
      <c r="D3" s="11" t="str">
        <f ca="1">VLOOKUP($C3,OFFSET([2]quests!$A$1,0,0,COUNTA([2]quests!$A:$A),MATCH(D$1,[2]quests!$1:$1,0)-MATCH($C$1,[2]quests!$1:$1,0)+1),MATCH(D$1,[2]quests!$1:$1,0)-MATCH($C$1,[2]quests!$1:$1,0)+1,FALSE)</f>
        <v>ヘンペルチャレンジ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ランキング7</v>
      </c>
      <c r="F3" s="21">
        <v>1</v>
      </c>
      <c r="G3" s="23" t="str">
        <f t="shared" ref="G3:G6" si="1">C3&amp;"_"&amp;F3</f>
        <v>60019_1</v>
      </c>
      <c r="H3" s="15" t="str">
        <f ca="1">VLOOKUP($G3,OFFSET([2]stages!$A$1,0,0,COUNTA([2]stages!$A:$A),MATCH(H$1,[2]stages!$2:$2,0)-MATCH($G$1,[2]stages!$2:$2,0)+1),MATCH(H$1,[2]stages!$2:$2,0)-MATCH($G$1,[2]stages!$2:$2,0)+1,FALSE)</f>
        <v>ヘンペルチャレンジ</v>
      </c>
      <c r="I3" s="21">
        <v>2</v>
      </c>
      <c r="J3" s="12">
        <v>60</v>
      </c>
      <c r="K3" s="12">
        <v>60</v>
      </c>
      <c r="L3" s="69" t="str">
        <f t="shared" ref="L3:L6" si="2">C3&amp;F3&amp;I3</f>
        <v>6001912</v>
      </c>
      <c r="M3" s="69" t="str">
        <f t="shared" ref="M3:M6" si="3">C3&amp;F3&amp;I3</f>
        <v>6001912</v>
      </c>
      <c r="N3" s="69" t="str">
        <f t="shared" ref="N3:N6" si="4">C3&amp;F3&amp;I3</f>
        <v>6001912</v>
      </c>
    </row>
    <row r="4" spans="1:14" ht="21" customHeight="1" x14ac:dyDescent="0.15">
      <c r="A4" s="16" t="str">
        <f t="shared" si="0"/>
        <v>60019_1-3</v>
      </c>
      <c r="B4" s="16" t="str">
        <f>IF(COUNTIF(enemy_habitats!$H:$H,A4),"OK","NG")</f>
        <v>OK</v>
      </c>
      <c r="C4" s="7">
        <v>60019</v>
      </c>
      <c r="D4" s="11" t="str">
        <f ca="1">VLOOKUP($C4,OFFSET([2]quests!$A$1,0,0,COUNTA([2]quests!$A:$A),MATCH(D$1,[2]quests!$1:$1,0)-MATCH($C$1,[2]quests!$1:$1,0)+1),MATCH(D$1,[2]quests!$1:$1,0)-MATCH($C$1,[2]quests!$1:$1,0)+1,FALSE)</f>
        <v>ヘンペルチャレンジ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ランキング7</v>
      </c>
      <c r="F4" s="21">
        <v>1</v>
      </c>
      <c r="G4" s="23" t="str">
        <f t="shared" si="1"/>
        <v>60019_1</v>
      </c>
      <c r="H4" s="15" t="str">
        <f ca="1">VLOOKUP($G4,OFFSET([2]stages!$A$1,0,0,COUNTA([2]stages!$A:$A),MATCH(H$1,[2]stages!$2:$2,0)-MATCH($G$1,[2]stages!$2:$2,0)+1),MATCH(H$1,[2]stages!$2:$2,0)-MATCH($G$1,[2]stages!$2:$2,0)+1,FALSE)</f>
        <v>ヘンペルチャレンジ</v>
      </c>
      <c r="I4" s="21">
        <v>3</v>
      </c>
      <c r="J4" s="12">
        <v>60</v>
      </c>
      <c r="K4" s="12">
        <v>60</v>
      </c>
      <c r="L4" s="69" t="str">
        <f t="shared" si="2"/>
        <v>6001913</v>
      </c>
      <c r="M4" s="69" t="str">
        <f t="shared" si="3"/>
        <v>6001913</v>
      </c>
      <c r="N4" s="69" t="str">
        <f t="shared" si="4"/>
        <v>6001913</v>
      </c>
    </row>
    <row r="5" spans="1:14" ht="21" customHeight="1" x14ac:dyDescent="0.15">
      <c r="A5" s="16" t="str">
        <f t="shared" si="0"/>
        <v>60019_1-4</v>
      </c>
      <c r="B5" s="16" t="str">
        <f>IF(COUNTIF(enemy_habitats!$H:$H,A5),"OK","NG")</f>
        <v>OK</v>
      </c>
      <c r="C5" s="7">
        <v>60019</v>
      </c>
      <c r="D5" s="11" t="str">
        <f ca="1">VLOOKUP($C5,OFFSET([2]quests!$A$1,0,0,COUNTA([2]quests!$A:$A),MATCH(D$1,[2]quests!$1:$1,0)-MATCH($C$1,[2]quests!$1:$1,0)+1),MATCH(D$1,[2]quests!$1:$1,0)-MATCH($C$1,[2]quests!$1:$1,0)+1,FALSE)</f>
        <v>ヘンペルチャレンジ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ランキング7</v>
      </c>
      <c r="F5" s="21">
        <v>1</v>
      </c>
      <c r="G5" s="23" t="str">
        <f t="shared" si="1"/>
        <v>60019_1</v>
      </c>
      <c r="H5" s="15" t="str">
        <f ca="1">VLOOKUP($G5,OFFSET([2]stages!$A$1,0,0,COUNTA([2]stages!$A:$A),MATCH(H$1,[2]stages!$2:$2,0)-MATCH($G$1,[2]stages!$2:$2,0)+1),MATCH(H$1,[2]stages!$2:$2,0)-MATCH($G$1,[2]stages!$2:$2,0)+1,FALSE)</f>
        <v>ヘンペルチャレンジ</v>
      </c>
      <c r="I5" s="21">
        <v>4</v>
      </c>
      <c r="J5" s="12">
        <v>60</v>
      </c>
      <c r="K5" s="12">
        <v>60</v>
      </c>
      <c r="L5" s="69" t="str">
        <f t="shared" si="2"/>
        <v>6001914</v>
      </c>
      <c r="M5" s="69" t="str">
        <f t="shared" si="3"/>
        <v>6001914</v>
      </c>
      <c r="N5" s="69" t="str">
        <f t="shared" si="4"/>
        <v>6001914</v>
      </c>
    </row>
    <row r="6" spans="1:14" ht="21" customHeight="1" x14ac:dyDescent="0.15">
      <c r="A6" s="16" t="str">
        <f t="shared" si="0"/>
        <v>60019_1-5</v>
      </c>
      <c r="B6" s="16" t="str">
        <f>IF(COUNTIF(enemy_habitats!$H:$H,A6),"OK","NG")</f>
        <v>OK</v>
      </c>
      <c r="C6" s="7">
        <v>60019</v>
      </c>
      <c r="D6" s="11" t="str">
        <f ca="1">VLOOKUP($C6,OFFSET([2]quests!$A$1,0,0,COUNTA([2]quests!$A:$A),MATCH(D$1,[2]quests!$1:$1,0)-MATCH($C$1,[2]quests!$1:$1,0)+1),MATCH(D$1,[2]quests!$1:$1,0)-MATCH($C$1,[2]quests!$1:$1,0)+1,FALSE)</f>
        <v>ヘンペルチャレンジ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ランキング7</v>
      </c>
      <c r="F6" s="21">
        <v>1</v>
      </c>
      <c r="G6" s="23" t="str">
        <f t="shared" si="1"/>
        <v>60019_1</v>
      </c>
      <c r="H6" s="15" t="str">
        <f ca="1">VLOOKUP($G6,OFFSET([2]stages!$A$1,0,0,COUNTA([2]stages!$A:$A),MATCH(H$1,[2]stages!$2:$2,0)-MATCH($G$1,[2]stages!$2:$2,0)+1),MATCH(H$1,[2]stages!$2:$2,0)-MATCH($G$1,[2]stages!$2:$2,0)+1,FALSE)</f>
        <v>ヘンペルチャレンジ</v>
      </c>
      <c r="I6" s="21">
        <v>5</v>
      </c>
      <c r="J6" s="12">
        <v>60</v>
      </c>
      <c r="K6" s="12">
        <v>60</v>
      </c>
      <c r="L6" s="69" t="str">
        <f t="shared" si="2"/>
        <v>6001915</v>
      </c>
      <c r="M6" s="69" t="str">
        <f t="shared" si="3"/>
        <v>6001915</v>
      </c>
      <c r="N6" s="69" t="str">
        <f t="shared" si="4"/>
        <v>6001915</v>
      </c>
    </row>
  </sheetData>
  <sheetProtection selectLockedCells="1" selectUnlockedCells="1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I7" sqref="I7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3" t="s">
        <v>28</v>
      </c>
      <c r="F1" s="15" t="s">
        <v>16</v>
      </c>
      <c r="G1" s="1" t="s">
        <v>245</v>
      </c>
    </row>
    <row r="2" spans="1:7" x14ac:dyDescent="0.15">
      <c r="A2" s="7">
        <v>60019</v>
      </c>
      <c r="B2" s="11" t="str">
        <f ca="1">VLOOKUP($A2,OFFSET([2]quests!$A$1,0,0,COUNTA([2]quests!$A:$A),MATCH(B$1,[2]quests!$1:$1,0)-MATCH($A$1,[2]quests!$1:$1,0)+1),MATCH(B$1,[2]quests!$1:$1,0)-MATCH($A$1,[2]quests!$1:$1,0)+1,FALSE)</f>
        <v>ヘンペルチャレンジ</v>
      </c>
      <c r="C2" s="18">
        <f ca="1">VLOOKUP($A2,OFFSET([2]quests!$A$1,0,0,COUNTA([2]quests!$A:$A),MATCH(C$1,[2]quests!$1:$1,0)-MATCH($C$1,[2]quests!$1:$1,0)+1),MATCH(C$1,[2]quests!$1:$1,0)-MATCH($C$1,[2]quests!$1:$1,0)+1,FALSE)</f>
        <v>60019</v>
      </c>
      <c r="D2" s="21">
        <v>1</v>
      </c>
      <c r="E2" s="23" t="str">
        <f>A2&amp;"_"&amp;D2</f>
        <v>60019_1</v>
      </c>
      <c r="F2" s="15" t="str">
        <f ca="1">VLOOKUP($E2,OFFSET([2]stages!$A$1,0,0,COUNTA([2]stages!$A:$A),MATCH(F$1,[2]stages!$2:$2,0)-MATCH($E$1,[2]stages!$2:$2,0)+1),MATCH(F$1,[2]stages!$2:$2,0)-MATCH($E$1,[2]stages!$2:$2,0)+1,FALSE)</f>
        <v>ヘンペルチャレンジ</v>
      </c>
      <c r="G2" s="122">
        <v>2000000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21"/>
  <sheetViews>
    <sheetView workbookViewId="0">
      <selection activeCell="B15" sqref="B15"/>
    </sheetView>
  </sheetViews>
  <sheetFormatPr baseColWidth="12" defaultRowHeight="15" x14ac:dyDescent="0.15"/>
  <sheetData>
    <row r="1" spans="1:7" x14ac:dyDescent="0.15">
      <c r="A1" s="58" t="s">
        <v>315</v>
      </c>
      <c r="B1" s="58" t="s">
        <v>316</v>
      </c>
      <c r="C1" s="123" t="s">
        <v>317</v>
      </c>
      <c r="D1" s="58" t="s">
        <v>318</v>
      </c>
      <c r="E1" s="58" t="s">
        <v>319</v>
      </c>
      <c r="F1" s="108"/>
      <c r="G1" s="108"/>
    </row>
    <row r="2" spans="1:7" x14ac:dyDescent="0.15">
      <c r="A2" s="124">
        <v>6001911</v>
      </c>
      <c r="B2" s="124">
        <v>1</v>
      </c>
      <c r="C2" s="125">
        <v>1000000</v>
      </c>
      <c r="D2" s="126">
        <f>(C3-C2)/(B3-B2)</f>
        <v>-125000</v>
      </c>
      <c r="E2" s="127">
        <f t="shared" ref="E2:E3" si="0">C2-D2*B2</f>
        <v>1125000</v>
      </c>
    </row>
    <row r="3" spans="1:7" x14ac:dyDescent="0.15">
      <c r="A3" s="124">
        <v>6001911</v>
      </c>
      <c r="B3" s="124">
        <v>9</v>
      </c>
      <c r="C3" s="125">
        <v>0</v>
      </c>
      <c r="D3" s="126">
        <f>(C4-C3)/(B4-B3)</f>
        <v>-166666.66666666666</v>
      </c>
      <c r="E3" s="127">
        <f t="shared" si="0"/>
        <v>1500000</v>
      </c>
    </row>
    <row r="4" spans="1:7" x14ac:dyDescent="0.15">
      <c r="A4" s="124">
        <v>6001911</v>
      </c>
      <c r="B4" s="124">
        <v>12</v>
      </c>
      <c r="C4" s="125">
        <v>-500000</v>
      </c>
      <c r="D4" s="126">
        <f>(C5-C4)/(B5-B4)</f>
        <v>-3166666.6666666665</v>
      </c>
      <c r="E4" s="127">
        <f>C4-D4*B4</f>
        <v>37500000</v>
      </c>
    </row>
    <row r="5" spans="1:7" x14ac:dyDescent="0.15">
      <c r="A5" s="124">
        <v>6001911</v>
      </c>
      <c r="B5" s="124">
        <v>15</v>
      </c>
      <c r="C5" s="125">
        <v>-10000000</v>
      </c>
      <c r="D5" s="128">
        <v>0</v>
      </c>
      <c r="E5" s="129">
        <v>-10000000</v>
      </c>
    </row>
    <row r="6" spans="1:7" x14ac:dyDescent="0.15">
      <c r="A6" s="130">
        <v>6001912</v>
      </c>
      <c r="B6" s="130">
        <v>1</v>
      </c>
      <c r="C6" s="125">
        <v>1000000</v>
      </c>
      <c r="D6" s="126">
        <f>(C7-C6)/(B7-B6)</f>
        <v>-125000</v>
      </c>
      <c r="E6" s="127">
        <f t="shared" ref="E6:E7" si="1">C6-D6*B6</f>
        <v>1125000</v>
      </c>
    </row>
    <row r="7" spans="1:7" x14ac:dyDescent="0.15">
      <c r="A7" s="130">
        <v>6001912</v>
      </c>
      <c r="B7" s="130">
        <v>9</v>
      </c>
      <c r="C7" s="125">
        <v>0</v>
      </c>
      <c r="D7" s="126">
        <f>(C8-C7)/(B8-B7)</f>
        <v>-166666.66666666666</v>
      </c>
      <c r="E7" s="127">
        <f t="shared" si="1"/>
        <v>1500000</v>
      </c>
    </row>
    <row r="8" spans="1:7" x14ac:dyDescent="0.15">
      <c r="A8" s="130">
        <v>6001912</v>
      </c>
      <c r="B8" s="130">
        <v>12</v>
      </c>
      <c r="C8" s="125">
        <v>-500000</v>
      </c>
      <c r="D8" s="126">
        <f>(C9-C8)/(B9-B8)</f>
        <v>-3166666.6666666665</v>
      </c>
      <c r="E8" s="127">
        <f>C8-D8*B8</f>
        <v>37500000</v>
      </c>
    </row>
    <row r="9" spans="1:7" x14ac:dyDescent="0.15">
      <c r="A9" s="130">
        <v>6001912</v>
      </c>
      <c r="B9" s="130">
        <v>15</v>
      </c>
      <c r="C9" s="125">
        <v>-10000000</v>
      </c>
      <c r="D9" s="131">
        <v>0</v>
      </c>
      <c r="E9" s="132">
        <v>-10000000</v>
      </c>
    </row>
    <row r="10" spans="1:7" x14ac:dyDescent="0.15">
      <c r="A10" s="124">
        <v>6001913</v>
      </c>
      <c r="B10" s="124">
        <v>1</v>
      </c>
      <c r="C10" s="125">
        <v>1500000</v>
      </c>
      <c r="D10" s="126">
        <f>(C11-C10)/(B11-B10)</f>
        <v>-107142.85714285714</v>
      </c>
      <c r="E10" s="127">
        <f t="shared" ref="E10:E11" si="2">C10-D10*B10</f>
        <v>1607142.857142857</v>
      </c>
    </row>
    <row r="11" spans="1:7" x14ac:dyDescent="0.15">
      <c r="A11" s="124">
        <v>6001913</v>
      </c>
      <c r="B11" s="124">
        <v>15</v>
      </c>
      <c r="C11" s="125">
        <v>0</v>
      </c>
      <c r="D11" s="126">
        <f>(C12-C11)/(B12-B11)</f>
        <v>-250000</v>
      </c>
      <c r="E11" s="127">
        <f t="shared" si="2"/>
        <v>3750000</v>
      </c>
    </row>
    <row r="12" spans="1:7" x14ac:dyDescent="0.15">
      <c r="A12" s="124">
        <v>6001913</v>
      </c>
      <c r="B12" s="124">
        <v>17</v>
      </c>
      <c r="C12" s="125">
        <v>-500000</v>
      </c>
      <c r="D12" s="126">
        <f>(C13-C12)/(B13-B12)</f>
        <v>-4750000</v>
      </c>
      <c r="E12" s="127">
        <f>C12-D12*B12</f>
        <v>80250000</v>
      </c>
    </row>
    <row r="13" spans="1:7" x14ac:dyDescent="0.15">
      <c r="A13" s="124">
        <v>6001913</v>
      </c>
      <c r="B13" s="124">
        <v>19</v>
      </c>
      <c r="C13" s="125">
        <v>-10000000</v>
      </c>
      <c r="D13" s="128">
        <v>0</v>
      </c>
      <c r="E13" s="129">
        <v>-10000000</v>
      </c>
    </row>
    <row r="14" spans="1:7" x14ac:dyDescent="0.15">
      <c r="A14" s="130">
        <v>6001914</v>
      </c>
      <c r="B14" s="130">
        <v>1</v>
      </c>
      <c r="C14" s="125">
        <v>1000000</v>
      </c>
      <c r="D14" s="126">
        <f>(C15-C14)/(B15-B14)</f>
        <v>-125000</v>
      </c>
      <c r="E14" s="127">
        <f t="shared" ref="E14:E15" si="3">C14-D14*B14</f>
        <v>1125000</v>
      </c>
    </row>
    <row r="15" spans="1:7" x14ac:dyDescent="0.15">
      <c r="A15" s="130">
        <v>6001914</v>
      </c>
      <c r="B15" s="130">
        <v>9</v>
      </c>
      <c r="C15" s="125">
        <v>0</v>
      </c>
      <c r="D15" s="126">
        <f>(C16-C15)/(B16-B15)</f>
        <v>-166666.66666666666</v>
      </c>
      <c r="E15" s="127">
        <f t="shared" si="3"/>
        <v>1500000</v>
      </c>
    </row>
    <row r="16" spans="1:7" x14ac:dyDescent="0.15">
      <c r="A16" s="130">
        <v>6001914</v>
      </c>
      <c r="B16" s="130">
        <v>12</v>
      </c>
      <c r="C16" s="125">
        <v>-500000</v>
      </c>
      <c r="D16" s="126">
        <f>(C17-C16)/(B17-B16)</f>
        <v>-3166666.6666666665</v>
      </c>
      <c r="E16" s="127">
        <f>C16-D16*B16</f>
        <v>37500000</v>
      </c>
    </row>
    <row r="17" spans="1:5" x14ac:dyDescent="0.15">
      <c r="A17" s="130">
        <v>6001914</v>
      </c>
      <c r="B17" s="130">
        <v>15</v>
      </c>
      <c r="C17" s="125">
        <v>-10000000</v>
      </c>
      <c r="D17" s="131">
        <v>0</v>
      </c>
      <c r="E17" s="132">
        <v>-10000000</v>
      </c>
    </row>
    <row r="18" spans="1:5" x14ac:dyDescent="0.15">
      <c r="A18" s="124">
        <v>6001915</v>
      </c>
      <c r="B18" s="124">
        <v>1</v>
      </c>
      <c r="C18" s="125">
        <v>2000000</v>
      </c>
      <c r="D18" s="126">
        <f>(C19-C18)/(B19-B18)</f>
        <v>-133333.33333333334</v>
      </c>
      <c r="E18" s="127">
        <f t="shared" ref="E18:E19" si="4">C18-D18*B18</f>
        <v>2133333.3333333335</v>
      </c>
    </row>
    <row r="19" spans="1:5" x14ac:dyDescent="0.15">
      <c r="A19" s="124">
        <v>6001915</v>
      </c>
      <c r="B19" s="124">
        <v>16</v>
      </c>
      <c r="C19" s="125">
        <v>0</v>
      </c>
      <c r="D19" s="126">
        <f>(C20-C19)/(B20-B19)</f>
        <v>-166666.66666666666</v>
      </c>
      <c r="E19" s="127">
        <f t="shared" si="4"/>
        <v>2666666.6666666665</v>
      </c>
    </row>
    <row r="20" spans="1:5" x14ac:dyDescent="0.15">
      <c r="A20" s="124">
        <v>6001915</v>
      </c>
      <c r="B20" s="124">
        <v>19</v>
      </c>
      <c r="C20" s="125">
        <v>-500000</v>
      </c>
      <c r="D20" s="126">
        <f>(C21-C20)/(B21-B20)</f>
        <v>-1583333.3333333333</v>
      </c>
      <c r="E20" s="127">
        <f>C20-D20*B20</f>
        <v>29583333.333333332</v>
      </c>
    </row>
    <row r="21" spans="1:5" x14ac:dyDescent="0.15">
      <c r="A21" s="124">
        <v>6001915</v>
      </c>
      <c r="B21" s="124">
        <v>25</v>
      </c>
      <c r="C21" s="125">
        <v>-10000000</v>
      </c>
      <c r="D21" s="128">
        <v>0</v>
      </c>
      <c r="E21" s="129">
        <v>-10000000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F34"/>
  <sheetViews>
    <sheetView workbookViewId="0">
      <selection activeCell="C30" sqref="C30"/>
    </sheetView>
  </sheetViews>
  <sheetFormatPr baseColWidth="12" defaultRowHeight="15" x14ac:dyDescent="0.15"/>
  <sheetData>
    <row r="1" spans="1:6" x14ac:dyDescent="0.15">
      <c r="A1" s="58" t="s">
        <v>320</v>
      </c>
      <c r="B1" s="58" t="s">
        <v>321</v>
      </c>
      <c r="C1" s="58" t="s">
        <v>322</v>
      </c>
      <c r="D1" s="58" t="s">
        <v>323</v>
      </c>
      <c r="E1" s="58" t="s">
        <v>324</v>
      </c>
    </row>
    <row r="2" spans="1:6" x14ac:dyDescent="0.15">
      <c r="A2" s="124">
        <v>6001911</v>
      </c>
      <c r="B2" s="124">
        <v>0</v>
      </c>
      <c r="C2" s="62">
        <v>0</v>
      </c>
      <c r="D2" s="133">
        <f t="shared" ref="D2:D3" si="0">(C3-C2)/(B3-B2)</f>
        <v>2</v>
      </c>
      <c r="E2" s="127">
        <f t="shared" ref="E2:E3" si="1">C2-D2*B2</f>
        <v>0</v>
      </c>
    </row>
    <row r="3" spans="1:6" x14ac:dyDescent="0.15">
      <c r="A3" s="124">
        <v>6001911</v>
      </c>
      <c r="B3" s="124">
        <v>130000</v>
      </c>
      <c r="C3" s="62">
        <f>B3*SQRT(D30)*2</f>
        <v>260000</v>
      </c>
      <c r="D3" s="133">
        <f t="shared" si="0"/>
        <v>2.1000000000000023</v>
      </c>
      <c r="E3" s="127">
        <f t="shared" si="1"/>
        <v>-13000.000000000291</v>
      </c>
      <c r="F3" s="134">
        <v>1</v>
      </c>
    </row>
    <row r="4" spans="1:6" x14ac:dyDescent="0.15">
      <c r="A4" s="124">
        <v>6001911</v>
      </c>
      <c r="B4" s="124">
        <f>B3*1.2</f>
        <v>156000</v>
      </c>
      <c r="C4" s="62">
        <f>C3*SQRT(D31)^2</f>
        <v>314600.00000000006</v>
      </c>
      <c r="D4" s="133">
        <f>(C5-C4)/(B5-B4)</f>
        <v>2.0666666666666651</v>
      </c>
      <c r="E4" s="127">
        <f>C4-D4*B4</f>
        <v>-7799.999999999709</v>
      </c>
      <c r="F4" s="134">
        <v>1.2</v>
      </c>
    </row>
    <row r="5" spans="1:6" x14ac:dyDescent="0.15">
      <c r="A5" s="124">
        <v>6001911</v>
      </c>
      <c r="B5" s="124">
        <f>B3*1.5</f>
        <v>195000</v>
      </c>
      <c r="C5" s="62">
        <f>C3*SQRT(D32)^2</f>
        <v>395200</v>
      </c>
      <c r="D5" s="135">
        <v>0.01</v>
      </c>
      <c r="E5" s="126">
        <f>C5-D5*B5</f>
        <v>393250</v>
      </c>
      <c r="F5" s="134">
        <v>1.5</v>
      </c>
    </row>
    <row r="6" spans="1:6" x14ac:dyDescent="0.15">
      <c r="A6" s="130">
        <v>6001912</v>
      </c>
      <c r="B6" s="130">
        <v>0</v>
      </c>
      <c r="C6" s="62">
        <v>0</v>
      </c>
      <c r="D6" s="133">
        <f t="shared" ref="D6:D7" si="2">(C7-C6)/(B7-B6)</f>
        <v>2</v>
      </c>
      <c r="E6" s="127">
        <f t="shared" ref="E6:E7" si="3">C6-D6*B6</f>
        <v>0</v>
      </c>
    </row>
    <row r="7" spans="1:6" x14ac:dyDescent="0.15">
      <c r="A7" s="130">
        <v>6001912</v>
      </c>
      <c r="B7" s="130">
        <v>150000</v>
      </c>
      <c r="C7" s="62">
        <f>B7*SQRT(D30)*2</f>
        <v>300000</v>
      </c>
      <c r="D7" s="133">
        <f t="shared" si="2"/>
        <v>2.1000000000000019</v>
      </c>
      <c r="E7" s="127">
        <f t="shared" si="3"/>
        <v>-15000.000000000291</v>
      </c>
      <c r="F7" s="134">
        <v>1</v>
      </c>
    </row>
    <row r="8" spans="1:6" x14ac:dyDescent="0.15">
      <c r="A8" s="130">
        <v>6001912</v>
      </c>
      <c r="B8" s="130">
        <f>B7*1.2</f>
        <v>180000</v>
      </c>
      <c r="C8" s="62">
        <f>C7*SQRT(D31)^2</f>
        <v>363000.00000000006</v>
      </c>
      <c r="D8" s="133">
        <f>(C9-C8)/(B9-B8)</f>
        <v>2.0666666666666655</v>
      </c>
      <c r="E8" s="127">
        <f>C8-D8*B8</f>
        <v>-8999.9999999997672</v>
      </c>
      <c r="F8" s="134">
        <v>1.2</v>
      </c>
    </row>
    <row r="9" spans="1:6" x14ac:dyDescent="0.15">
      <c r="A9" s="130">
        <v>6001912</v>
      </c>
      <c r="B9" s="130">
        <f>B7*1.5</f>
        <v>225000</v>
      </c>
      <c r="C9" s="62">
        <f>C7*SQRT(D32)^2</f>
        <v>456000</v>
      </c>
      <c r="D9" s="135">
        <v>0.01</v>
      </c>
      <c r="E9" s="126">
        <f>C9-D9*B9</f>
        <v>453750</v>
      </c>
      <c r="F9" s="134">
        <v>1.5</v>
      </c>
    </row>
    <row r="10" spans="1:6" x14ac:dyDescent="0.15">
      <c r="A10" s="124">
        <v>6001913</v>
      </c>
      <c r="B10" s="124">
        <v>0</v>
      </c>
      <c r="C10" s="62">
        <v>0</v>
      </c>
      <c r="D10" s="133">
        <f t="shared" ref="D10:D11" si="4">(C11-C10)/(B11-B10)</f>
        <v>1</v>
      </c>
      <c r="E10" s="127">
        <f t="shared" ref="E10:E11" si="5">C10-D10*B10</f>
        <v>0</v>
      </c>
    </row>
    <row r="11" spans="1:6" x14ac:dyDescent="0.15">
      <c r="A11" s="124">
        <v>6001913</v>
      </c>
      <c r="B11" s="124">
        <v>750000</v>
      </c>
      <c r="C11" s="62">
        <f>B11*SQRT(D30)*1</f>
        <v>750000</v>
      </c>
      <c r="D11" s="133">
        <f t="shared" si="4"/>
        <v>1.0500000000000007</v>
      </c>
      <c r="E11" s="127">
        <f t="shared" si="5"/>
        <v>-37500.000000000582</v>
      </c>
      <c r="F11" s="134">
        <v>1</v>
      </c>
    </row>
    <row r="12" spans="1:6" x14ac:dyDescent="0.15">
      <c r="A12" s="124">
        <v>6001913</v>
      </c>
      <c r="B12" s="124">
        <f>B11*1.2</f>
        <v>900000</v>
      </c>
      <c r="C12" s="62">
        <f>C11*SQRT(D31)^2</f>
        <v>907500.00000000012</v>
      </c>
      <c r="D12" s="133">
        <f>(C13-C12)/(B13-B12)</f>
        <v>1.0333333333333328</v>
      </c>
      <c r="E12" s="127">
        <f>C12-D12*B12</f>
        <v>-22499.999999999418</v>
      </c>
      <c r="F12" s="134">
        <v>1.2</v>
      </c>
    </row>
    <row r="13" spans="1:6" x14ac:dyDescent="0.15">
      <c r="A13" s="124">
        <v>6001913</v>
      </c>
      <c r="B13" s="124">
        <f>B11*1.5</f>
        <v>1125000</v>
      </c>
      <c r="C13" s="62">
        <f>C11*SQRT(D32)^2</f>
        <v>1140000</v>
      </c>
      <c r="D13" s="133">
        <f>(C14-C13)/(B14-B13)</f>
        <v>1.0199999999999994</v>
      </c>
      <c r="E13" s="127">
        <f t="shared" ref="E13:E14" si="6">C13-D13*B13</f>
        <v>-7499.9999999993015</v>
      </c>
      <c r="F13" s="134">
        <v>1.5</v>
      </c>
    </row>
    <row r="14" spans="1:6" x14ac:dyDescent="0.15">
      <c r="A14" s="124">
        <v>6001913</v>
      </c>
      <c r="B14" s="124">
        <f>B11*2</f>
        <v>1500000</v>
      </c>
      <c r="C14" s="62">
        <f>C11*SQRT(D33)^2</f>
        <v>1522499.9999999998</v>
      </c>
      <c r="D14" s="133">
        <f>(C15-C14)/(B15-B14)</f>
        <v>1</v>
      </c>
      <c r="E14" s="127">
        <f t="shared" si="6"/>
        <v>22499.999999999767</v>
      </c>
      <c r="F14" s="134">
        <v>2</v>
      </c>
    </row>
    <row r="15" spans="1:6" x14ac:dyDescent="0.15">
      <c r="A15" s="124">
        <v>6001913</v>
      </c>
      <c r="B15" s="124">
        <f>B11*2.5</f>
        <v>1875000</v>
      </c>
      <c r="C15" s="62">
        <f>C11*SQRT(D34)^2</f>
        <v>1897499.9999999998</v>
      </c>
      <c r="D15" s="135">
        <v>0.01</v>
      </c>
      <c r="E15" s="126">
        <f>C15-D15*B15</f>
        <v>1878749.9999999998</v>
      </c>
      <c r="F15" s="134">
        <v>2.5</v>
      </c>
    </row>
    <row r="16" spans="1:6" x14ac:dyDescent="0.15">
      <c r="A16" s="130">
        <v>6001914</v>
      </c>
      <c r="B16" s="130">
        <v>0</v>
      </c>
      <c r="C16" s="62">
        <v>0</v>
      </c>
      <c r="D16" s="133">
        <f t="shared" ref="D16:D17" si="7">(C17-C16)/(B17-B16)</f>
        <v>1.5</v>
      </c>
      <c r="E16" s="127">
        <f t="shared" ref="E16:E17" si="8">C16-D16*B16</f>
        <v>0</v>
      </c>
    </row>
    <row r="17" spans="1:6" x14ac:dyDescent="0.15">
      <c r="A17" s="130">
        <v>6001914</v>
      </c>
      <c r="B17" s="130">
        <v>280000</v>
      </c>
      <c r="C17" s="62">
        <f>B17*SQRT(D30)*1.5</f>
        <v>420000</v>
      </c>
      <c r="D17" s="133">
        <f t="shared" si="7"/>
        <v>1.5750000000000011</v>
      </c>
      <c r="E17" s="127">
        <f t="shared" si="8"/>
        <v>-21000.000000000291</v>
      </c>
      <c r="F17" s="134">
        <v>1</v>
      </c>
    </row>
    <row r="18" spans="1:6" x14ac:dyDescent="0.15">
      <c r="A18" s="130">
        <v>6001914</v>
      </c>
      <c r="B18" s="130">
        <f>B17*1.2</f>
        <v>336000</v>
      </c>
      <c r="C18" s="62">
        <f>C17*SQRT(D31)^2</f>
        <v>508200.00000000006</v>
      </c>
      <c r="D18" s="133">
        <f>(C19-C18)/(B19-B18)</f>
        <v>1.5499999999999994</v>
      </c>
      <c r="E18" s="127">
        <f>C18-D18*B18</f>
        <v>-12599.999999999709</v>
      </c>
      <c r="F18" s="134">
        <v>1.2</v>
      </c>
    </row>
    <row r="19" spans="1:6" x14ac:dyDescent="0.15">
      <c r="A19" s="130">
        <v>6001914</v>
      </c>
      <c r="B19" s="130">
        <f>B17*1.5</f>
        <v>420000</v>
      </c>
      <c r="C19" s="62">
        <f>C17*SQRT(D32)^2</f>
        <v>638400</v>
      </c>
      <c r="D19" s="133">
        <f t="shared" ref="D19:D20" si="9">(C20-C19)/(B20-B19)</f>
        <v>1.5299999999999991</v>
      </c>
      <c r="E19" s="127">
        <f t="shared" ref="E19:E20" si="10">C19-D19*B19</f>
        <v>-4199.9999999996508</v>
      </c>
      <c r="F19" s="134">
        <v>1.5</v>
      </c>
    </row>
    <row r="20" spans="1:6" x14ac:dyDescent="0.15">
      <c r="A20" s="130">
        <v>6001914</v>
      </c>
      <c r="B20" s="130">
        <f>B17*2</f>
        <v>560000</v>
      </c>
      <c r="C20" s="62">
        <f>C17*SQRT(D33)^2</f>
        <v>852599.99999999988</v>
      </c>
      <c r="D20" s="133">
        <f t="shared" si="9"/>
        <v>1.5000000000000009</v>
      </c>
      <c r="E20" s="127">
        <f t="shared" si="10"/>
        <v>12599.999999999418</v>
      </c>
      <c r="F20" s="134">
        <v>2</v>
      </c>
    </row>
    <row r="21" spans="1:6" x14ac:dyDescent="0.15">
      <c r="A21" s="130">
        <v>6001914</v>
      </c>
      <c r="B21" s="130">
        <f>B17*2.5</f>
        <v>700000</v>
      </c>
      <c r="C21" s="62">
        <f>C17*SQRT(D34)^2</f>
        <v>1062600</v>
      </c>
      <c r="D21" s="135">
        <v>0.01</v>
      </c>
      <c r="E21" s="126">
        <f>C21-D21*B21</f>
        <v>1055600</v>
      </c>
      <c r="F21" s="134">
        <v>2.5</v>
      </c>
    </row>
    <row r="22" spans="1:6" x14ac:dyDescent="0.15">
      <c r="A22" s="124">
        <v>6001915</v>
      </c>
      <c r="B22" s="124">
        <v>0</v>
      </c>
      <c r="C22" s="62">
        <v>0</v>
      </c>
      <c r="D22" s="133">
        <f t="shared" ref="D22" si="11">(C23-C22)/(B23-B22)</f>
        <v>0.5</v>
      </c>
      <c r="E22" s="127">
        <f t="shared" ref="E22:E25" si="12">C22-D22*B22</f>
        <v>0</v>
      </c>
    </row>
    <row r="23" spans="1:6" x14ac:dyDescent="0.15">
      <c r="A23" s="124">
        <v>6001915</v>
      </c>
      <c r="B23" s="124">
        <v>2340000</v>
      </c>
      <c r="C23" s="62">
        <f>B23*SQRT(D30)*0.5</f>
        <v>1170000</v>
      </c>
      <c r="D23" s="133">
        <f>(C24-C23)/(B24-B23)</f>
        <v>0.52500000000000047</v>
      </c>
      <c r="E23" s="127">
        <f t="shared" si="12"/>
        <v>-58500.000000001164</v>
      </c>
      <c r="F23" s="134">
        <v>1</v>
      </c>
    </row>
    <row r="24" spans="1:6" x14ac:dyDescent="0.15">
      <c r="A24" s="124">
        <v>6001915</v>
      </c>
      <c r="B24" s="124">
        <f>B23*1.2</f>
        <v>2808000</v>
      </c>
      <c r="C24" s="62">
        <f>$C$23*SQRT(D31)^2</f>
        <v>1415700.0000000002</v>
      </c>
      <c r="D24" s="133">
        <f>(C25-C24)/(B25-B24)</f>
        <v>0.51666666666666639</v>
      </c>
      <c r="E24" s="127">
        <f t="shared" si="12"/>
        <v>-35099.999999999069</v>
      </c>
      <c r="F24" s="134">
        <v>1.2</v>
      </c>
    </row>
    <row r="25" spans="1:6" x14ac:dyDescent="0.15">
      <c r="A25" s="124">
        <v>6001915</v>
      </c>
      <c r="B25" s="124">
        <f>B23*1.5</f>
        <v>3510000</v>
      </c>
      <c r="C25" s="62">
        <f>$C$23*SQRT(D32)^2</f>
        <v>1778400</v>
      </c>
      <c r="D25" s="133">
        <f>(C26-C25)/(B26-B25)</f>
        <v>0.51</v>
      </c>
      <c r="E25" s="127">
        <f t="shared" si="12"/>
        <v>-11700</v>
      </c>
      <c r="F25" s="134">
        <v>1.5</v>
      </c>
    </row>
    <row r="26" spans="1:6" x14ac:dyDescent="0.15">
      <c r="A26" s="124">
        <v>6001915</v>
      </c>
      <c r="B26" s="124">
        <f>B23*2</f>
        <v>4680000</v>
      </c>
      <c r="C26" s="62">
        <f>$C$23*SQRT(D33)^2</f>
        <v>2375100</v>
      </c>
      <c r="D26" s="133">
        <f>(C27-C26)/(B27-B26)</f>
        <v>0.5</v>
      </c>
      <c r="E26" s="127">
        <f>C26-D26*B26</f>
        <v>35100</v>
      </c>
      <c r="F26" s="134">
        <v>2</v>
      </c>
    </row>
    <row r="27" spans="1:6" x14ac:dyDescent="0.15">
      <c r="A27" s="124">
        <v>6001915</v>
      </c>
      <c r="B27" s="124">
        <f>B23*2.5</f>
        <v>5850000</v>
      </c>
      <c r="C27" s="62">
        <f>$C$23*SQRT(D34)^2</f>
        <v>2960100</v>
      </c>
      <c r="D27" s="135">
        <v>0.01</v>
      </c>
      <c r="E27" s="126">
        <f>C27-D27*B27</f>
        <v>2901600</v>
      </c>
      <c r="F27" s="134">
        <v>2.5</v>
      </c>
    </row>
    <row r="29" spans="1:6" x14ac:dyDescent="0.15">
      <c r="D29" t="s">
        <v>325</v>
      </c>
    </row>
    <row r="30" spans="1:6" x14ac:dyDescent="0.15">
      <c r="A30" s="136"/>
      <c r="B30" s="136"/>
      <c r="C30" s="137">
        <f>SUM(C5,C9,C15,C19,C27)</f>
        <v>6347200</v>
      </c>
      <c r="D30">
        <v>1</v>
      </c>
    </row>
    <row r="31" spans="1:6" x14ac:dyDescent="0.15">
      <c r="A31" s="108"/>
      <c r="B31" s="108"/>
      <c r="C31" s="138"/>
      <c r="D31">
        <v>1.21</v>
      </c>
    </row>
    <row r="32" spans="1:6" x14ac:dyDescent="0.15">
      <c r="A32" s="108"/>
      <c r="B32" s="108"/>
      <c r="C32" s="138"/>
      <c r="D32">
        <v>1.52</v>
      </c>
    </row>
    <row r="33" spans="4:4" x14ac:dyDescent="0.15">
      <c r="D33">
        <v>2.0299999999999998</v>
      </c>
    </row>
    <row r="34" spans="4:4" x14ac:dyDescent="0.15">
      <c r="D34">
        <v>2.5299999999999998</v>
      </c>
    </row>
  </sheetData>
  <phoneticPr fontId="8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F81"/>
  <sheetViews>
    <sheetView workbookViewId="0">
      <selection activeCell="M21" sqref="M21"/>
    </sheetView>
  </sheetViews>
  <sheetFormatPr baseColWidth="12" defaultRowHeight="15" x14ac:dyDescent="0.15"/>
  <sheetData>
    <row r="1" spans="1:6" x14ac:dyDescent="0.15">
      <c r="A1" s="58" t="s">
        <v>326</v>
      </c>
      <c r="B1" s="58" t="s">
        <v>327</v>
      </c>
      <c r="C1" s="58" t="s">
        <v>328</v>
      </c>
      <c r="D1" s="58" t="s">
        <v>329</v>
      </c>
      <c r="E1" s="58" t="s">
        <v>330</v>
      </c>
    </row>
    <row r="2" spans="1:6" x14ac:dyDescent="0.15">
      <c r="A2" s="139">
        <v>6001911</v>
      </c>
      <c r="B2" s="139">
        <v>0</v>
      </c>
      <c r="C2" s="125">
        <v>0</v>
      </c>
      <c r="D2" s="140">
        <f t="shared" ref="D2:D13" si="0">(C3-C2)/(B3-B2)</f>
        <v>-300000</v>
      </c>
      <c r="E2" s="141">
        <f t="shared" ref="E2:E13" si="1">C2-D2*B2</f>
        <v>0</v>
      </c>
      <c r="F2">
        <f>B2*D2+E2</f>
        <v>0</v>
      </c>
    </row>
    <row r="3" spans="1:6" x14ac:dyDescent="0.15">
      <c r="A3" s="139">
        <v>6001911</v>
      </c>
      <c r="B3" s="139">
        <v>0.01</v>
      </c>
      <c r="C3" s="125">
        <v>-3000</v>
      </c>
      <c r="D3" s="140">
        <f>(C4-C3)/(B4-B3)</f>
        <v>-300000</v>
      </c>
      <c r="E3" s="141">
        <f t="shared" si="1"/>
        <v>0</v>
      </c>
      <c r="F3">
        <f t="shared" ref="F3:F71" si="2">B3*D3+E3</f>
        <v>-3000</v>
      </c>
    </row>
    <row r="4" spans="1:6" x14ac:dyDescent="0.15">
      <c r="A4" s="139">
        <v>6001911</v>
      </c>
      <c r="B4" s="139">
        <v>0.05</v>
      </c>
      <c r="C4" s="125">
        <v>-15000</v>
      </c>
      <c r="D4" s="140">
        <f t="shared" si="0"/>
        <v>-300000</v>
      </c>
      <c r="E4" s="141">
        <f t="shared" si="1"/>
        <v>0</v>
      </c>
      <c r="F4">
        <f t="shared" si="2"/>
        <v>-15000</v>
      </c>
    </row>
    <row r="5" spans="1:6" x14ac:dyDescent="0.15">
      <c r="A5" s="139">
        <v>6001911</v>
      </c>
      <c r="B5" s="139">
        <v>0.1</v>
      </c>
      <c r="C5" s="125">
        <v>-30000</v>
      </c>
      <c r="D5" s="140">
        <f t="shared" si="0"/>
        <v>-300000</v>
      </c>
      <c r="E5" s="141">
        <f t="shared" si="1"/>
        <v>0</v>
      </c>
      <c r="F5">
        <f t="shared" si="2"/>
        <v>-30000</v>
      </c>
    </row>
    <row r="6" spans="1:6" x14ac:dyDescent="0.15">
      <c r="A6" s="139">
        <v>6001911</v>
      </c>
      <c r="B6" s="139">
        <v>0.2</v>
      </c>
      <c r="C6" s="125">
        <v>-60000</v>
      </c>
      <c r="D6" s="140">
        <f t="shared" si="0"/>
        <v>-300000</v>
      </c>
      <c r="E6" s="141">
        <f t="shared" si="1"/>
        <v>0</v>
      </c>
      <c r="F6">
        <f t="shared" si="2"/>
        <v>-60000</v>
      </c>
    </row>
    <row r="7" spans="1:6" x14ac:dyDescent="0.15">
      <c r="A7" s="139">
        <v>6001911</v>
      </c>
      <c r="B7" s="139">
        <v>0.4</v>
      </c>
      <c r="C7" s="125">
        <v>-120000</v>
      </c>
      <c r="D7" s="140">
        <f t="shared" si="0"/>
        <v>-300000.00000000006</v>
      </c>
      <c r="E7" s="141">
        <f t="shared" si="1"/>
        <v>0</v>
      </c>
      <c r="F7">
        <f t="shared" si="2"/>
        <v>-120000.00000000003</v>
      </c>
    </row>
    <row r="8" spans="1:6" x14ac:dyDescent="0.15">
      <c r="A8" s="139">
        <v>6001911</v>
      </c>
      <c r="B8" s="139">
        <v>0.6</v>
      </c>
      <c r="C8" s="125">
        <v>-180000</v>
      </c>
      <c r="D8" s="140">
        <f t="shared" si="0"/>
        <v>-299999.99999999988</v>
      </c>
      <c r="E8" s="141">
        <f t="shared" si="1"/>
        <v>0</v>
      </c>
      <c r="F8">
        <f t="shared" si="2"/>
        <v>-179999.99999999991</v>
      </c>
    </row>
    <row r="9" spans="1:6" x14ac:dyDescent="0.15">
      <c r="A9" s="139">
        <v>6001911</v>
      </c>
      <c r="B9" s="139">
        <v>0.8</v>
      </c>
      <c r="C9" s="125">
        <v>-240000</v>
      </c>
      <c r="D9" s="140">
        <f t="shared" si="0"/>
        <v>-300000.00000000006</v>
      </c>
      <c r="E9" s="141">
        <f t="shared" si="1"/>
        <v>0</v>
      </c>
      <c r="F9">
        <f t="shared" si="2"/>
        <v>-240000.00000000006</v>
      </c>
    </row>
    <row r="10" spans="1:6" x14ac:dyDescent="0.15">
      <c r="A10" s="139">
        <v>6001911</v>
      </c>
      <c r="B10" s="139">
        <v>1</v>
      </c>
      <c r="C10" s="125">
        <v>-300000</v>
      </c>
      <c r="D10" s="140">
        <f t="shared" si="0"/>
        <v>-300000.00000000006</v>
      </c>
      <c r="E10" s="141">
        <f t="shared" si="1"/>
        <v>0</v>
      </c>
      <c r="F10">
        <f t="shared" si="2"/>
        <v>-300000.00000000006</v>
      </c>
    </row>
    <row r="11" spans="1:6" x14ac:dyDescent="0.15">
      <c r="A11" s="139">
        <v>6001911</v>
      </c>
      <c r="B11" s="139">
        <v>1.2</v>
      </c>
      <c r="C11" s="125">
        <v>-360000</v>
      </c>
      <c r="D11" s="140">
        <f t="shared" si="0"/>
        <v>-300000.00000000006</v>
      </c>
      <c r="E11" s="141">
        <f t="shared" si="1"/>
        <v>0</v>
      </c>
      <c r="F11">
        <f t="shared" si="2"/>
        <v>-360000.00000000006</v>
      </c>
    </row>
    <row r="12" spans="1:6" x14ac:dyDescent="0.15">
      <c r="A12" s="139">
        <v>6001911</v>
      </c>
      <c r="B12" s="139">
        <v>1.4</v>
      </c>
      <c r="C12" s="125">
        <v>-420000</v>
      </c>
      <c r="D12" s="140">
        <f t="shared" si="0"/>
        <v>-299999.99999999971</v>
      </c>
      <c r="E12" s="141">
        <f t="shared" si="1"/>
        <v>0</v>
      </c>
      <c r="F12">
        <f t="shared" si="2"/>
        <v>-419999.99999999959</v>
      </c>
    </row>
    <row r="13" spans="1:6" x14ac:dyDescent="0.15">
      <c r="A13" s="139">
        <v>6001911</v>
      </c>
      <c r="B13" s="139">
        <v>1.6</v>
      </c>
      <c r="C13" s="125">
        <v>-480000</v>
      </c>
      <c r="D13" s="140">
        <f t="shared" si="0"/>
        <v>-300000.00000000006</v>
      </c>
      <c r="E13" s="141">
        <f t="shared" si="1"/>
        <v>0</v>
      </c>
      <c r="F13">
        <f t="shared" si="2"/>
        <v>-480000.00000000012</v>
      </c>
    </row>
    <row r="14" spans="1:6" x14ac:dyDescent="0.15">
      <c r="A14" s="139">
        <v>6001911</v>
      </c>
      <c r="B14" s="139">
        <v>1.8</v>
      </c>
      <c r="C14" s="125">
        <v>-540000</v>
      </c>
      <c r="D14" s="140">
        <f>(C15-C14)/(B15-B14)</f>
        <v>-2300000.0000000005</v>
      </c>
      <c r="E14" s="141">
        <f>C14-D14*B14</f>
        <v>3600000.0000000009</v>
      </c>
      <c r="F14">
        <f t="shared" si="2"/>
        <v>-540000</v>
      </c>
    </row>
    <row r="15" spans="1:6" x14ac:dyDescent="0.15">
      <c r="A15" s="139">
        <v>6001911</v>
      </c>
      <c r="B15" s="139">
        <v>2</v>
      </c>
      <c r="C15" s="125">
        <v>-1000000</v>
      </c>
      <c r="D15" s="128">
        <v>0</v>
      </c>
      <c r="E15" s="129">
        <v>-10000000</v>
      </c>
      <c r="F15">
        <f t="shared" si="2"/>
        <v>-10000000</v>
      </c>
    </row>
    <row r="16" spans="1:6" x14ac:dyDescent="0.15">
      <c r="A16" s="142">
        <v>6001912</v>
      </c>
      <c r="B16" s="142">
        <v>0</v>
      </c>
      <c r="C16" s="125">
        <v>0</v>
      </c>
      <c r="D16" s="140">
        <f t="shared" ref="D16:D27" si="3">(C17-C16)/(B17-B16)</f>
        <v>-450000</v>
      </c>
      <c r="E16" s="141">
        <f t="shared" ref="E16:E27" si="4">C16-D16*B16</f>
        <v>0</v>
      </c>
      <c r="F16">
        <f t="shared" si="2"/>
        <v>0</v>
      </c>
    </row>
    <row r="17" spans="1:6" x14ac:dyDescent="0.15">
      <c r="A17" s="142">
        <v>6001912</v>
      </c>
      <c r="B17" s="142">
        <v>0.01</v>
      </c>
      <c r="C17" s="125">
        <v>-4500</v>
      </c>
      <c r="D17" s="140">
        <f>(C18-C17)/(B18-B17)</f>
        <v>-450000</v>
      </c>
      <c r="E17" s="141">
        <f t="shared" si="4"/>
        <v>0</v>
      </c>
      <c r="F17">
        <f t="shared" si="2"/>
        <v>-4500</v>
      </c>
    </row>
    <row r="18" spans="1:6" x14ac:dyDescent="0.15">
      <c r="A18" s="142">
        <v>6001912</v>
      </c>
      <c r="B18" s="142">
        <v>0.05</v>
      </c>
      <c r="C18" s="125">
        <v>-22500</v>
      </c>
      <c r="D18" s="140">
        <f t="shared" si="3"/>
        <v>-450000</v>
      </c>
      <c r="E18" s="141">
        <f t="shared" si="4"/>
        <v>0</v>
      </c>
      <c r="F18">
        <f t="shared" si="2"/>
        <v>-22500</v>
      </c>
    </row>
    <row r="19" spans="1:6" x14ac:dyDescent="0.15">
      <c r="A19" s="142">
        <v>6001912</v>
      </c>
      <c r="B19" s="142">
        <v>0.1</v>
      </c>
      <c r="C19" s="125">
        <v>-45000</v>
      </c>
      <c r="D19" s="140">
        <f t="shared" si="3"/>
        <v>-450000</v>
      </c>
      <c r="E19" s="141">
        <f t="shared" si="4"/>
        <v>0</v>
      </c>
      <c r="F19">
        <f t="shared" si="2"/>
        <v>-45000</v>
      </c>
    </row>
    <row r="20" spans="1:6" x14ac:dyDescent="0.15">
      <c r="A20" s="142">
        <v>6001912</v>
      </c>
      <c r="B20" s="142">
        <v>0.2</v>
      </c>
      <c r="C20" s="125">
        <v>-90000</v>
      </c>
      <c r="D20" s="140">
        <f t="shared" si="3"/>
        <v>-450000.00000000029</v>
      </c>
      <c r="E20" s="141">
        <f t="shared" si="4"/>
        <v>0</v>
      </c>
      <c r="F20">
        <f t="shared" si="2"/>
        <v>-90000.000000000058</v>
      </c>
    </row>
    <row r="21" spans="1:6" x14ac:dyDescent="0.15">
      <c r="A21" s="142">
        <v>6001912</v>
      </c>
      <c r="B21" s="142">
        <v>0.4</v>
      </c>
      <c r="C21" s="125">
        <v>-180000.00000000006</v>
      </c>
      <c r="D21" s="140">
        <f t="shared" si="3"/>
        <v>-449999.99999999924</v>
      </c>
      <c r="E21" s="141">
        <f t="shared" si="4"/>
        <v>-3.4924596548080444E-10</v>
      </c>
      <c r="F21">
        <f t="shared" si="2"/>
        <v>-180000.00000000006</v>
      </c>
    </row>
    <row r="22" spans="1:6" x14ac:dyDescent="0.15">
      <c r="A22" s="142">
        <v>6001912</v>
      </c>
      <c r="B22" s="142">
        <v>0.6</v>
      </c>
      <c r="C22" s="125">
        <v>-269999.99999999988</v>
      </c>
      <c r="D22" s="140">
        <f t="shared" si="3"/>
        <v>-450000.00000000099</v>
      </c>
      <c r="E22" s="141">
        <f t="shared" si="4"/>
        <v>6.9849193096160889E-10</v>
      </c>
      <c r="F22">
        <f t="shared" si="2"/>
        <v>-269999.99999999988</v>
      </c>
    </row>
    <row r="23" spans="1:6" x14ac:dyDescent="0.15">
      <c r="A23" s="142">
        <v>6001912</v>
      </c>
      <c r="B23" s="142">
        <v>0.8</v>
      </c>
      <c r="C23" s="125">
        <v>-360000.00000000012</v>
      </c>
      <c r="D23" s="140">
        <f t="shared" si="3"/>
        <v>-450000.00000000012</v>
      </c>
      <c r="E23" s="141">
        <f t="shared" si="4"/>
        <v>0</v>
      </c>
      <c r="F23">
        <f t="shared" si="2"/>
        <v>-360000.00000000012</v>
      </c>
    </row>
    <row r="24" spans="1:6" x14ac:dyDescent="0.15">
      <c r="A24" s="142">
        <v>6001912</v>
      </c>
      <c r="B24" s="142">
        <v>1</v>
      </c>
      <c r="C24" s="125">
        <v>-450000.00000000012</v>
      </c>
      <c r="D24" s="140">
        <f t="shared" si="3"/>
        <v>-450000.00000000012</v>
      </c>
      <c r="E24" s="141">
        <f t="shared" si="4"/>
        <v>0</v>
      </c>
      <c r="F24">
        <f t="shared" si="2"/>
        <v>-450000.00000000012</v>
      </c>
    </row>
    <row r="25" spans="1:6" x14ac:dyDescent="0.15">
      <c r="A25" s="142">
        <v>6001912</v>
      </c>
      <c r="B25" s="142">
        <v>1.2</v>
      </c>
      <c r="C25" s="125">
        <v>-540000.00000000012</v>
      </c>
      <c r="D25" s="140">
        <f t="shared" si="3"/>
        <v>-449999.99999999662</v>
      </c>
      <c r="E25" s="141">
        <f t="shared" si="4"/>
        <v>-4.1909515857696533E-9</v>
      </c>
      <c r="F25">
        <f t="shared" si="2"/>
        <v>-540000.00000000012</v>
      </c>
    </row>
    <row r="26" spans="1:6" x14ac:dyDescent="0.15">
      <c r="A26" s="142">
        <v>6001912</v>
      </c>
      <c r="B26" s="142">
        <v>1.4</v>
      </c>
      <c r="C26" s="125">
        <v>-629999.99999999942</v>
      </c>
      <c r="D26" s="140">
        <f t="shared" si="3"/>
        <v>-450000.00000000367</v>
      </c>
      <c r="E26" s="141">
        <f t="shared" si="4"/>
        <v>5.7043507695198059E-9</v>
      </c>
      <c r="F26">
        <f t="shared" si="2"/>
        <v>-629999.99999999942</v>
      </c>
    </row>
    <row r="27" spans="1:6" x14ac:dyDescent="0.15">
      <c r="A27" s="142">
        <v>6001912</v>
      </c>
      <c r="B27" s="142">
        <v>1.6</v>
      </c>
      <c r="C27" s="125">
        <v>-720000.00000000023</v>
      </c>
      <c r="D27" s="140">
        <f t="shared" si="3"/>
        <v>-449999.99999999895</v>
      </c>
      <c r="E27" s="141">
        <f t="shared" si="4"/>
        <v>-1.862645149230957E-9</v>
      </c>
      <c r="F27">
        <f t="shared" si="2"/>
        <v>-720000.00000000023</v>
      </c>
    </row>
    <row r="28" spans="1:6" x14ac:dyDescent="0.15">
      <c r="A28" s="142">
        <v>6001912</v>
      </c>
      <c r="B28" s="142">
        <v>1.8</v>
      </c>
      <c r="C28" s="125">
        <v>-810000</v>
      </c>
      <c r="D28" s="140">
        <f>(C29-C28)/(B29-B28)</f>
        <v>-70950000.000000015</v>
      </c>
      <c r="E28" s="141">
        <f>C28-D28*B28</f>
        <v>126900000.00000003</v>
      </c>
      <c r="F28">
        <f t="shared" si="2"/>
        <v>-810000</v>
      </c>
    </row>
    <row r="29" spans="1:6" x14ac:dyDescent="0.15">
      <c r="A29" s="142">
        <v>6001912</v>
      </c>
      <c r="B29" s="142">
        <v>2</v>
      </c>
      <c r="C29" s="125">
        <v>-15000000</v>
      </c>
      <c r="D29" s="131">
        <v>0</v>
      </c>
      <c r="E29" s="132">
        <v>-10000000</v>
      </c>
      <c r="F29">
        <f t="shared" si="2"/>
        <v>-10000000</v>
      </c>
    </row>
    <row r="30" spans="1:6" x14ac:dyDescent="0.15">
      <c r="A30" s="139">
        <v>6001913</v>
      </c>
      <c r="B30" s="139">
        <v>0</v>
      </c>
      <c r="C30" s="125">
        <v>0</v>
      </c>
      <c r="D30" s="140">
        <f t="shared" ref="D30:D46" si="5">(C31-C30)/(B31-B30)</f>
        <v>-1800000</v>
      </c>
      <c r="E30" s="141">
        <f t="shared" ref="E30:E46" si="6">C30-D30*B30</f>
        <v>0</v>
      </c>
      <c r="F30">
        <f>B30*D30+E30</f>
        <v>0</v>
      </c>
    </row>
    <row r="31" spans="1:6" x14ac:dyDescent="0.15">
      <c r="A31" s="139">
        <v>6001913</v>
      </c>
      <c r="B31" s="139">
        <v>0.01</v>
      </c>
      <c r="C31" s="125">
        <v>-18000</v>
      </c>
      <c r="D31" s="140">
        <f t="shared" si="5"/>
        <v>-1800000</v>
      </c>
      <c r="E31" s="141">
        <f t="shared" si="6"/>
        <v>0</v>
      </c>
      <c r="F31">
        <f t="shared" si="2"/>
        <v>-18000</v>
      </c>
    </row>
    <row r="32" spans="1:6" x14ac:dyDescent="0.15">
      <c r="A32" s="139">
        <v>6001913</v>
      </c>
      <c r="B32" s="139">
        <v>0.05</v>
      </c>
      <c r="C32" s="125">
        <v>-90000</v>
      </c>
      <c r="D32" s="140">
        <f t="shared" si="5"/>
        <v>-1800000</v>
      </c>
      <c r="E32" s="141">
        <f t="shared" si="6"/>
        <v>0</v>
      </c>
      <c r="F32">
        <f t="shared" si="2"/>
        <v>-90000</v>
      </c>
    </row>
    <row r="33" spans="1:6" x14ac:dyDescent="0.15">
      <c r="A33" s="139">
        <v>6001913</v>
      </c>
      <c r="B33" s="139">
        <v>0.1</v>
      </c>
      <c r="C33" s="125">
        <v>-180000</v>
      </c>
      <c r="D33" s="140">
        <f t="shared" si="5"/>
        <v>-1800000</v>
      </c>
      <c r="E33" s="141">
        <f t="shared" si="6"/>
        <v>0</v>
      </c>
      <c r="F33">
        <f t="shared" si="2"/>
        <v>-180000</v>
      </c>
    </row>
    <row r="34" spans="1:6" x14ac:dyDescent="0.15">
      <c r="A34" s="139">
        <v>6001913</v>
      </c>
      <c r="B34" s="139">
        <v>0.2</v>
      </c>
      <c r="C34" s="125">
        <v>-360000</v>
      </c>
      <c r="D34" s="140">
        <f t="shared" si="5"/>
        <v>-1800000.0000000012</v>
      </c>
      <c r="E34" s="141">
        <f t="shared" si="6"/>
        <v>0</v>
      </c>
      <c r="F34">
        <f t="shared" si="2"/>
        <v>-360000.00000000023</v>
      </c>
    </row>
    <row r="35" spans="1:6" x14ac:dyDescent="0.15">
      <c r="A35" s="139">
        <v>6001913</v>
      </c>
      <c r="B35" s="139">
        <v>0.4</v>
      </c>
      <c r="C35" s="125">
        <v>-720000.00000000023</v>
      </c>
      <c r="D35" s="140">
        <f t="shared" si="5"/>
        <v>-1799999.999999997</v>
      </c>
      <c r="E35" s="141">
        <f t="shared" si="6"/>
        <v>-1.3969838619232178E-9</v>
      </c>
      <c r="F35">
        <f t="shared" si="2"/>
        <v>-720000.00000000023</v>
      </c>
    </row>
    <row r="36" spans="1:6" x14ac:dyDescent="0.15">
      <c r="A36" s="139">
        <v>6001913</v>
      </c>
      <c r="B36" s="139">
        <v>0.6</v>
      </c>
      <c r="C36" s="125">
        <v>-1079999.9999999995</v>
      </c>
      <c r="D36" s="140">
        <f t="shared" si="5"/>
        <v>-1800000.000000004</v>
      </c>
      <c r="E36" s="141">
        <f t="shared" si="6"/>
        <v>2.7939677238464355E-9</v>
      </c>
      <c r="F36">
        <f t="shared" si="2"/>
        <v>-1079999.9999999995</v>
      </c>
    </row>
    <row r="37" spans="1:6" x14ac:dyDescent="0.15">
      <c r="A37" s="139">
        <v>6001913</v>
      </c>
      <c r="B37" s="139">
        <v>0.8</v>
      </c>
      <c r="C37" s="125">
        <v>-1440000.0000000005</v>
      </c>
      <c r="D37" s="140">
        <f t="shared" si="5"/>
        <v>-1800000.0000000005</v>
      </c>
      <c r="E37" s="141">
        <f t="shared" si="6"/>
        <v>0</v>
      </c>
      <c r="F37">
        <f t="shared" si="2"/>
        <v>-1440000.0000000005</v>
      </c>
    </row>
    <row r="38" spans="1:6" x14ac:dyDescent="0.15">
      <c r="A38" s="139">
        <v>6001913</v>
      </c>
      <c r="B38" s="139">
        <v>1</v>
      </c>
      <c r="C38" s="125">
        <v>-1800000.0000000005</v>
      </c>
      <c r="D38" s="140">
        <f t="shared" si="5"/>
        <v>-1800000.0000000005</v>
      </c>
      <c r="E38" s="141">
        <f t="shared" si="6"/>
        <v>0</v>
      </c>
      <c r="F38">
        <f t="shared" si="2"/>
        <v>-1800000.0000000005</v>
      </c>
    </row>
    <row r="39" spans="1:6" x14ac:dyDescent="0.15">
      <c r="A39" s="139">
        <v>6001913</v>
      </c>
      <c r="B39" s="139">
        <v>1.2</v>
      </c>
      <c r="C39" s="125">
        <v>-2160000.0000000005</v>
      </c>
      <c r="D39" s="140">
        <f t="shared" si="5"/>
        <v>-1799999.9999999865</v>
      </c>
      <c r="E39" s="141">
        <f t="shared" si="6"/>
        <v>-1.6763806343078613E-8</v>
      </c>
      <c r="F39">
        <f t="shared" si="2"/>
        <v>-2160000.0000000005</v>
      </c>
    </row>
    <row r="40" spans="1:6" x14ac:dyDescent="0.15">
      <c r="A40" s="139">
        <v>6001913</v>
      </c>
      <c r="B40" s="139">
        <v>1.4</v>
      </c>
      <c r="C40" s="125">
        <v>-2519999.9999999977</v>
      </c>
      <c r="D40" s="140">
        <f t="shared" si="5"/>
        <v>-1800000.0000000147</v>
      </c>
      <c r="E40" s="141">
        <f t="shared" si="6"/>
        <v>2.2817403078079224E-8</v>
      </c>
      <c r="F40">
        <f t="shared" si="2"/>
        <v>-2519999.9999999977</v>
      </c>
    </row>
    <row r="41" spans="1:6" x14ac:dyDescent="0.15">
      <c r="A41" s="139">
        <v>6001913</v>
      </c>
      <c r="B41" s="139">
        <v>1.6</v>
      </c>
      <c r="C41" s="125">
        <v>-2880000.0000000009</v>
      </c>
      <c r="D41" s="140">
        <f t="shared" si="5"/>
        <v>-1800000.0000000005</v>
      </c>
      <c r="E41" s="141">
        <f t="shared" si="6"/>
        <v>0</v>
      </c>
      <c r="F41">
        <f t="shared" si="2"/>
        <v>-2880000.0000000009</v>
      </c>
    </row>
    <row r="42" spans="1:6" x14ac:dyDescent="0.15">
      <c r="A42" s="139">
        <v>6001913</v>
      </c>
      <c r="B42" s="139">
        <v>1.8</v>
      </c>
      <c r="C42" s="125">
        <v>-3240000.0000000009</v>
      </c>
      <c r="D42" s="140">
        <f t="shared" si="5"/>
        <v>-1799999.9999999772</v>
      </c>
      <c r="E42" s="141">
        <f t="shared" si="6"/>
        <v>-4.1909515857696533E-8</v>
      </c>
      <c r="F42">
        <f t="shared" si="2"/>
        <v>-3240000.0000000009</v>
      </c>
    </row>
    <row r="43" spans="1:6" x14ac:dyDescent="0.15">
      <c r="A43" s="139">
        <v>6001913</v>
      </c>
      <c r="B43" s="139">
        <v>2</v>
      </c>
      <c r="C43" s="125">
        <v>-3599999.9999999963</v>
      </c>
      <c r="D43" s="140">
        <f t="shared" si="5"/>
        <v>-1800000.000000017</v>
      </c>
      <c r="E43" s="141">
        <f t="shared" si="6"/>
        <v>3.771856427192688E-8</v>
      </c>
      <c r="F43">
        <f t="shared" si="2"/>
        <v>-3599999.9999999963</v>
      </c>
    </row>
    <row r="44" spans="1:6" x14ac:dyDescent="0.15">
      <c r="A44" s="139">
        <v>6001913</v>
      </c>
      <c r="B44" s="139">
        <v>2.2000000000000002</v>
      </c>
      <c r="C44" s="125">
        <v>-3960000</v>
      </c>
      <c r="D44" s="140">
        <f t="shared" si="5"/>
        <v>-1799999.9999999837</v>
      </c>
      <c r="E44" s="141">
        <f t="shared" si="6"/>
        <v>-3.5390257835388184E-8</v>
      </c>
      <c r="F44">
        <f t="shared" si="2"/>
        <v>-3960000</v>
      </c>
    </row>
    <row r="45" spans="1:6" x14ac:dyDescent="0.15">
      <c r="A45" s="139">
        <v>6001913</v>
      </c>
      <c r="B45" s="139">
        <v>2.4</v>
      </c>
      <c r="C45" s="125">
        <v>-4319999.9999999963</v>
      </c>
      <c r="D45" s="140">
        <f t="shared" si="5"/>
        <v>-1800000.000000017</v>
      </c>
      <c r="E45" s="141">
        <f t="shared" si="6"/>
        <v>4.4703483581542969E-8</v>
      </c>
      <c r="F45">
        <f t="shared" si="2"/>
        <v>-4319999.9999999963</v>
      </c>
    </row>
    <row r="46" spans="1:6" x14ac:dyDescent="0.15">
      <c r="A46" s="139">
        <v>6001913</v>
      </c>
      <c r="B46" s="139">
        <v>2.6</v>
      </c>
      <c r="C46" s="125">
        <v>-4680000</v>
      </c>
      <c r="D46" s="140">
        <f t="shared" si="5"/>
        <v>-1800000.0000000023</v>
      </c>
      <c r="E46" s="141">
        <f t="shared" si="6"/>
        <v>0</v>
      </c>
      <c r="F46">
        <f t="shared" si="2"/>
        <v>-4680000.0000000065</v>
      </c>
    </row>
    <row r="47" spans="1:6" x14ac:dyDescent="0.15">
      <c r="A47" s="139">
        <v>6001913</v>
      </c>
      <c r="B47" s="139">
        <v>2.8</v>
      </c>
      <c r="C47" s="125">
        <v>-5040000</v>
      </c>
      <c r="D47" s="140">
        <f>(C48-C47)/(B48-B47)</f>
        <v>-49799999.999999955</v>
      </c>
      <c r="E47" s="141">
        <f>C47-D47*B47</f>
        <v>134399999.99999988</v>
      </c>
      <c r="F47">
        <f t="shared" si="2"/>
        <v>-5040000</v>
      </c>
    </row>
    <row r="48" spans="1:6" x14ac:dyDescent="0.15">
      <c r="A48" s="139">
        <v>6001913</v>
      </c>
      <c r="B48" s="139">
        <v>3</v>
      </c>
      <c r="C48" s="125">
        <v>-15000000</v>
      </c>
      <c r="D48" s="128">
        <v>0</v>
      </c>
      <c r="E48" s="129">
        <v>-10000000</v>
      </c>
      <c r="F48">
        <f t="shared" si="2"/>
        <v>-10000000</v>
      </c>
    </row>
    <row r="49" spans="1:6" x14ac:dyDescent="0.15">
      <c r="A49" s="142">
        <v>6001914</v>
      </c>
      <c r="B49" s="142">
        <v>0</v>
      </c>
      <c r="C49" s="125">
        <v>0</v>
      </c>
      <c r="D49" s="140">
        <f t="shared" ref="D49:D60" si="7">(C50-C49)/(B50-B49)</f>
        <v>-1800000</v>
      </c>
      <c r="E49" s="141">
        <f t="shared" ref="E49:E60" si="8">C49-D49*B49</f>
        <v>0</v>
      </c>
      <c r="F49">
        <f>B49*D49+E49</f>
        <v>0</v>
      </c>
    </row>
    <row r="50" spans="1:6" x14ac:dyDescent="0.15">
      <c r="A50" s="142">
        <v>6001914</v>
      </c>
      <c r="B50" s="142">
        <v>0.01</v>
      </c>
      <c r="C50" s="125">
        <v>-18000</v>
      </c>
      <c r="D50" s="140">
        <f t="shared" si="7"/>
        <v>-1800000</v>
      </c>
      <c r="E50" s="141">
        <f t="shared" si="8"/>
        <v>0</v>
      </c>
      <c r="F50">
        <f t="shared" si="2"/>
        <v>-18000</v>
      </c>
    </row>
    <row r="51" spans="1:6" x14ac:dyDescent="0.15">
      <c r="A51" s="142">
        <v>6001914</v>
      </c>
      <c r="B51" s="142">
        <v>0.05</v>
      </c>
      <c r="C51" s="125">
        <v>-90000</v>
      </c>
      <c r="D51" s="140">
        <f t="shared" si="7"/>
        <v>-1800000</v>
      </c>
      <c r="E51" s="141">
        <f t="shared" si="8"/>
        <v>0</v>
      </c>
      <c r="F51">
        <f t="shared" si="2"/>
        <v>-90000</v>
      </c>
    </row>
    <row r="52" spans="1:6" x14ac:dyDescent="0.15">
      <c r="A52" s="142">
        <v>6001914</v>
      </c>
      <c r="B52" s="142">
        <v>0.1</v>
      </c>
      <c r="C52" s="125">
        <v>-180000</v>
      </c>
      <c r="D52" s="140">
        <f t="shared" si="7"/>
        <v>-1800000</v>
      </c>
      <c r="E52" s="141">
        <f t="shared" si="8"/>
        <v>0</v>
      </c>
      <c r="F52">
        <f t="shared" si="2"/>
        <v>-180000</v>
      </c>
    </row>
    <row r="53" spans="1:6" x14ac:dyDescent="0.15">
      <c r="A53" s="142">
        <v>6001914</v>
      </c>
      <c r="B53" s="142">
        <v>0.2</v>
      </c>
      <c r="C53" s="125">
        <v>-360000</v>
      </c>
      <c r="D53" s="140">
        <f t="shared" si="7"/>
        <v>-1800000.0000000012</v>
      </c>
      <c r="E53" s="141">
        <f t="shared" si="8"/>
        <v>0</v>
      </c>
      <c r="F53">
        <f t="shared" si="2"/>
        <v>-360000.00000000023</v>
      </c>
    </row>
    <row r="54" spans="1:6" x14ac:dyDescent="0.15">
      <c r="A54" s="142">
        <v>6001914</v>
      </c>
      <c r="B54" s="142">
        <v>0.4</v>
      </c>
      <c r="C54" s="125">
        <v>-720000.00000000023</v>
      </c>
      <c r="D54" s="140">
        <f t="shared" si="7"/>
        <v>-1799999.999999997</v>
      </c>
      <c r="E54" s="141">
        <f t="shared" si="8"/>
        <v>-1.3969838619232178E-9</v>
      </c>
      <c r="F54">
        <f t="shared" si="2"/>
        <v>-720000.00000000023</v>
      </c>
    </row>
    <row r="55" spans="1:6" x14ac:dyDescent="0.15">
      <c r="A55" s="142">
        <v>6001914</v>
      </c>
      <c r="B55" s="142">
        <v>0.6</v>
      </c>
      <c r="C55" s="125">
        <v>-1079999.9999999995</v>
      </c>
      <c r="D55" s="140">
        <f t="shared" si="7"/>
        <v>-1800000.000000004</v>
      </c>
      <c r="E55" s="141">
        <f t="shared" si="8"/>
        <v>2.7939677238464355E-9</v>
      </c>
      <c r="F55">
        <f t="shared" si="2"/>
        <v>-1079999.9999999995</v>
      </c>
    </row>
    <row r="56" spans="1:6" x14ac:dyDescent="0.15">
      <c r="A56" s="142">
        <v>6001914</v>
      </c>
      <c r="B56" s="142">
        <v>0.8</v>
      </c>
      <c r="C56" s="125">
        <v>-1440000.0000000005</v>
      </c>
      <c r="D56" s="140">
        <f t="shared" si="7"/>
        <v>-1800000.0000000005</v>
      </c>
      <c r="E56" s="141">
        <f t="shared" si="8"/>
        <v>0</v>
      </c>
      <c r="F56">
        <f t="shared" si="2"/>
        <v>-1440000.0000000005</v>
      </c>
    </row>
    <row r="57" spans="1:6" x14ac:dyDescent="0.15">
      <c r="A57" s="142">
        <v>6001914</v>
      </c>
      <c r="B57" s="142">
        <v>1</v>
      </c>
      <c r="C57" s="125">
        <v>-1800000.0000000005</v>
      </c>
      <c r="D57" s="140">
        <f t="shared" si="7"/>
        <v>-1800000.0000000005</v>
      </c>
      <c r="E57" s="141">
        <f t="shared" si="8"/>
        <v>0</v>
      </c>
      <c r="F57">
        <f t="shared" si="2"/>
        <v>-1800000.0000000005</v>
      </c>
    </row>
    <row r="58" spans="1:6" x14ac:dyDescent="0.15">
      <c r="A58" s="142">
        <v>6001914</v>
      </c>
      <c r="B58" s="142">
        <v>1.2</v>
      </c>
      <c r="C58" s="125">
        <v>-2160000.0000000005</v>
      </c>
      <c r="D58" s="140">
        <f t="shared" si="7"/>
        <v>-1799999.9999999865</v>
      </c>
      <c r="E58" s="141">
        <f t="shared" si="8"/>
        <v>-1.6763806343078613E-8</v>
      </c>
      <c r="F58">
        <f t="shared" si="2"/>
        <v>-2160000.0000000005</v>
      </c>
    </row>
    <row r="59" spans="1:6" x14ac:dyDescent="0.15">
      <c r="A59" s="142">
        <v>6001914</v>
      </c>
      <c r="B59" s="142">
        <v>1.4</v>
      </c>
      <c r="C59" s="125">
        <v>-2519999.9999999977</v>
      </c>
      <c r="D59" s="140">
        <f t="shared" si="7"/>
        <v>-1800000.0000000147</v>
      </c>
      <c r="E59" s="141">
        <f t="shared" si="8"/>
        <v>2.2817403078079224E-8</v>
      </c>
      <c r="F59">
        <f t="shared" si="2"/>
        <v>-2519999.9999999977</v>
      </c>
    </row>
    <row r="60" spans="1:6" x14ac:dyDescent="0.15">
      <c r="A60" s="142">
        <v>6001914</v>
      </c>
      <c r="B60" s="142">
        <v>1.6</v>
      </c>
      <c r="C60" s="125">
        <v>-2880000.0000000009</v>
      </c>
      <c r="D60" s="140">
        <f t="shared" si="7"/>
        <v>-1799999.9999999958</v>
      </c>
      <c r="E60" s="141">
        <f t="shared" si="8"/>
        <v>-7.4505805969238281E-9</v>
      </c>
      <c r="F60">
        <f t="shared" si="2"/>
        <v>-2880000.0000000009</v>
      </c>
    </row>
    <row r="61" spans="1:6" x14ac:dyDescent="0.15">
      <c r="A61" s="142">
        <v>6001914</v>
      </c>
      <c r="B61" s="142">
        <v>1.8</v>
      </c>
      <c r="C61" s="125">
        <v>-3240000</v>
      </c>
      <c r="D61" s="140">
        <f>(C62-C61)/(B62-B61)</f>
        <v>-58800000.000000015</v>
      </c>
      <c r="E61" s="141">
        <f>C61-D61*B61</f>
        <v>102600000.00000003</v>
      </c>
      <c r="F61">
        <f t="shared" si="2"/>
        <v>-3240000</v>
      </c>
    </row>
    <row r="62" spans="1:6" x14ac:dyDescent="0.15">
      <c r="A62" s="142">
        <v>6001914</v>
      </c>
      <c r="B62" s="142">
        <v>2</v>
      </c>
      <c r="C62" s="125">
        <v>-15000000</v>
      </c>
      <c r="D62" s="131">
        <v>0</v>
      </c>
      <c r="E62" s="132">
        <v>-10000000</v>
      </c>
      <c r="F62">
        <f t="shared" si="2"/>
        <v>-10000000</v>
      </c>
    </row>
    <row r="63" spans="1:6" x14ac:dyDescent="0.15">
      <c r="A63" s="139">
        <v>6001915</v>
      </c>
      <c r="B63" s="139">
        <v>0</v>
      </c>
      <c r="C63" s="125">
        <v>0</v>
      </c>
      <c r="D63" s="140">
        <f t="shared" ref="D63:D79" si="9">(C64-C63)/(B64-B63)</f>
        <v>-1800000</v>
      </c>
      <c r="E63" s="141">
        <f t="shared" ref="E63:E79" si="10">C63-D63*B63</f>
        <v>0</v>
      </c>
      <c r="F63">
        <f t="shared" si="2"/>
        <v>0</v>
      </c>
    </row>
    <row r="64" spans="1:6" x14ac:dyDescent="0.15">
      <c r="A64" s="139">
        <v>6001915</v>
      </c>
      <c r="B64" s="139">
        <v>0.01</v>
      </c>
      <c r="C64" s="125">
        <v>-18000</v>
      </c>
      <c r="D64" s="140">
        <f t="shared" si="9"/>
        <v>-1800000</v>
      </c>
      <c r="E64" s="141">
        <f t="shared" si="10"/>
        <v>0</v>
      </c>
      <c r="F64">
        <f t="shared" si="2"/>
        <v>-18000</v>
      </c>
    </row>
    <row r="65" spans="1:6" x14ac:dyDescent="0.15">
      <c r="A65" s="139">
        <v>6001915</v>
      </c>
      <c r="B65" s="139">
        <v>0.05</v>
      </c>
      <c r="C65" s="125">
        <v>-90000</v>
      </c>
      <c r="D65" s="140">
        <f t="shared" si="9"/>
        <v>-1800000</v>
      </c>
      <c r="E65" s="141">
        <f t="shared" si="10"/>
        <v>0</v>
      </c>
      <c r="F65">
        <f t="shared" si="2"/>
        <v>-90000</v>
      </c>
    </row>
    <row r="66" spans="1:6" x14ac:dyDescent="0.15">
      <c r="A66" s="139">
        <v>6001915</v>
      </c>
      <c r="B66" s="139">
        <v>0.1</v>
      </c>
      <c r="C66" s="125">
        <v>-180000</v>
      </c>
      <c r="D66" s="140">
        <f t="shared" si="9"/>
        <v>-1800000</v>
      </c>
      <c r="E66" s="141">
        <f t="shared" si="10"/>
        <v>0</v>
      </c>
      <c r="F66">
        <f t="shared" si="2"/>
        <v>-180000</v>
      </c>
    </row>
    <row r="67" spans="1:6" x14ac:dyDescent="0.15">
      <c r="A67" s="139">
        <v>6001915</v>
      </c>
      <c r="B67" s="139">
        <v>0.2</v>
      </c>
      <c r="C67" s="125">
        <v>-360000</v>
      </c>
      <c r="D67" s="140">
        <f t="shared" si="9"/>
        <v>-1800000.0000000012</v>
      </c>
      <c r="E67" s="141">
        <f t="shared" si="10"/>
        <v>0</v>
      </c>
      <c r="F67">
        <f t="shared" si="2"/>
        <v>-360000.00000000023</v>
      </c>
    </row>
    <row r="68" spans="1:6" x14ac:dyDescent="0.15">
      <c r="A68" s="139">
        <v>6001915</v>
      </c>
      <c r="B68" s="139">
        <v>0.4</v>
      </c>
      <c r="C68" s="125">
        <v>-720000.00000000023</v>
      </c>
      <c r="D68" s="140">
        <f t="shared" si="9"/>
        <v>-1799999.999999997</v>
      </c>
      <c r="E68" s="141">
        <f t="shared" si="10"/>
        <v>-1.3969838619232178E-9</v>
      </c>
      <c r="F68">
        <f t="shared" si="2"/>
        <v>-720000.00000000023</v>
      </c>
    </row>
    <row r="69" spans="1:6" x14ac:dyDescent="0.15">
      <c r="A69" s="139">
        <v>6001915</v>
      </c>
      <c r="B69" s="139">
        <v>0.6</v>
      </c>
      <c r="C69" s="125">
        <v>-1079999.9999999995</v>
      </c>
      <c r="D69" s="140">
        <f t="shared" si="9"/>
        <v>-1800000.000000004</v>
      </c>
      <c r="E69" s="141">
        <f t="shared" si="10"/>
        <v>2.7939677238464355E-9</v>
      </c>
      <c r="F69">
        <f t="shared" si="2"/>
        <v>-1079999.9999999995</v>
      </c>
    </row>
    <row r="70" spans="1:6" x14ac:dyDescent="0.15">
      <c r="A70" s="139">
        <v>6001915</v>
      </c>
      <c r="B70" s="139">
        <v>0.8</v>
      </c>
      <c r="C70" s="125">
        <v>-1440000.0000000005</v>
      </c>
      <c r="D70" s="140">
        <f t="shared" si="9"/>
        <v>-1800000.0000000005</v>
      </c>
      <c r="E70" s="141">
        <f t="shared" si="10"/>
        <v>0</v>
      </c>
      <c r="F70">
        <f t="shared" si="2"/>
        <v>-1440000.0000000005</v>
      </c>
    </row>
    <row r="71" spans="1:6" x14ac:dyDescent="0.15">
      <c r="A71" s="139">
        <v>6001915</v>
      </c>
      <c r="B71" s="139">
        <v>1</v>
      </c>
      <c r="C71" s="125">
        <v>-1800000.0000000005</v>
      </c>
      <c r="D71" s="140">
        <f t="shared" si="9"/>
        <v>-1800000.0000000005</v>
      </c>
      <c r="E71" s="141">
        <f t="shared" si="10"/>
        <v>0</v>
      </c>
      <c r="F71">
        <f t="shared" si="2"/>
        <v>-1800000.0000000005</v>
      </c>
    </row>
    <row r="72" spans="1:6" x14ac:dyDescent="0.15">
      <c r="A72" s="139">
        <v>6001915</v>
      </c>
      <c r="B72" s="139">
        <v>1.2</v>
      </c>
      <c r="C72" s="125">
        <v>-2160000.0000000005</v>
      </c>
      <c r="D72" s="140">
        <f t="shared" si="9"/>
        <v>-1799999.9999999865</v>
      </c>
      <c r="E72" s="141">
        <f t="shared" si="10"/>
        <v>-1.6763806343078613E-8</v>
      </c>
      <c r="F72">
        <f t="shared" ref="F72:F76" si="11">B72*D72+E72</f>
        <v>-2160000.0000000005</v>
      </c>
    </row>
    <row r="73" spans="1:6" x14ac:dyDescent="0.15">
      <c r="A73" s="139">
        <v>6001915</v>
      </c>
      <c r="B73" s="139">
        <v>1.4</v>
      </c>
      <c r="C73" s="125">
        <v>-2519999.9999999977</v>
      </c>
      <c r="D73" s="140">
        <f t="shared" si="9"/>
        <v>-1800000.0000000147</v>
      </c>
      <c r="E73" s="141">
        <f t="shared" si="10"/>
        <v>2.2817403078079224E-8</v>
      </c>
      <c r="F73">
        <f t="shared" si="11"/>
        <v>-2519999.9999999977</v>
      </c>
    </row>
    <row r="74" spans="1:6" x14ac:dyDescent="0.15">
      <c r="A74" s="139">
        <v>6001915</v>
      </c>
      <c r="B74" s="139">
        <v>1.6</v>
      </c>
      <c r="C74" s="125">
        <v>-2880000.0000000009</v>
      </c>
      <c r="D74" s="140">
        <f t="shared" si="9"/>
        <v>-1800000.0000000005</v>
      </c>
      <c r="E74" s="141">
        <f t="shared" si="10"/>
        <v>0</v>
      </c>
      <c r="F74">
        <f t="shared" si="11"/>
        <v>-2880000.0000000009</v>
      </c>
    </row>
    <row r="75" spans="1:6" x14ac:dyDescent="0.15">
      <c r="A75" s="139">
        <v>6001915</v>
      </c>
      <c r="B75" s="139">
        <v>1.8</v>
      </c>
      <c r="C75" s="125">
        <v>-3240000.0000000009</v>
      </c>
      <c r="D75" s="140">
        <f t="shared" si="9"/>
        <v>-1799999.9999999772</v>
      </c>
      <c r="E75" s="141">
        <f t="shared" si="10"/>
        <v>-4.1909515857696533E-8</v>
      </c>
      <c r="F75">
        <f t="shared" si="11"/>
        <v>-3240000.0000000009</v>
      </c>
    </row>
    <row r="76" spans="1:6" x14ac:dyDescent="0.15">
      <c r="A76" s="139">
        <v>6001915</v>
      </c>
      <c r="B76" s="139">
        <v>2</v>
      </c>
      <c r="C76" s="125">
        <v>-3599999.9999999963</v>
      </c>
      <c r="D76" s="140">
        <f t="shared" si="9"/>
        <v>-1800000.000000017</v>
      </c>
      <c r="E76" s="141">
        <f t="shared" si="10"/>
        <v>3.771856427192688E-8</v>
      </c>
      <c r="F76">
        <f t="shared" si="11"/>
        <v>-3599999.9999999963</v>
      </c>
    </row>
    <row r="77" spans="1:6" x14ac:dyDescent="0.15">
      <c r="A77" s="139">
        <v>6001915</v>
      </c>
      <c r="B77" s="139">
        <v>2.2000000000000002</v>
      </c>
      <c r="C77" s="125">
        <v>-3960000</v>
      </c>
      <c r="D77" s="140">
        <f t="shared" si="9"/>
        <v>-1799999.9999999837</v>
      </c>
      <c r="E77" s="141">
        <f t="shared" si="10"/>
        <v>-3.5390257835388184E-8</v>
      </c>
      <c r="F77">
        <f>B77*D77+E77</f>
        <v>-3960000</v>
      </c>
    </row>
    <row r="78" spans="1:6" x14ac:dyDescent="0.15">
      <c r="A78" s="139">
        <v>6001915</v>
      </c>
      <c r="B78" s="139">
        <v>2.4</v>
      </c>
      <c r="C78" s="125">
        <v>-4319999.9999999963</v>
      </c>
      <c r="D78" s="140">
        <f t="shared" si="9"/>
        <v>-1800000.000000017</v>
      </c>
      <c r="E78" s="141">
        <f t="shared" si="10"/>
        <v>4.4703483581542969E-8</v>
      </c>
      <c r="F78">
        <f>B78*D78+E78</f>
        <v>-4319999.9999999963</v>
      </c>
    </row>
    <row r="79" spans="1:6" x14ac:dyDescent="0.15">
      <c r="A79" s="139">
        <v>6001915</v>
      </c>
      <c r="B79" s="139">
        <v>2.6</v>
      </c>
      <c r="C79" s="125">
        <v>-4680000</v>
      </c>
      <c r="D79" s="140">
        <f t="shared" si="9"/>
        <v>-1800000.0000000023</v>
      </c>
      <c r="E79" s="141">
        <f t="shared" si="10"/>
        <v>0</v>
      </c>
      <c r="F79">
        <f t="shared" ref="F79:F81" si="12">B79*D79+E79</f>
        <v>-4680000.0000000065</v>
      </c>
    </row>
    <row r="80" spans="1:6" x14ac:dyDescent="0.15">
      <c r="A80" s="139">
        <v>6001915</v>
      </c>
      <c r="B80" s="139">
        <v>2.8</v>
      </c>
      <c r="C80" s="125">
        <v>-5040000</v>
      </c>
      <c r="D80" s="140">
        <f>(C81-C80)/(B81-B80)</f>
        <v>-49799999.999999955</v>
      </c>
      <c r="E80" s="141">
        <f>C80-D80*B80</f>
        <v>134399999.99999988</v>
      </c>
      <c r="F80">
        <f t="shared" si="12"/>
        <v>-5040000</v>
      </c>
    </row>
    <row r="81" spans="1:6" x14ac:dyDescent="0.15">
      <c r="A81" s="139">
        <v>6001915</v>
      </c>
      <c r="B81" s="139">
        <v>3</v>
      </c>
      <c r="C81" s="125">
        <v>-15000000</v>
      </c>
      <c r="D81" s="128">
        <v>0</v>
      </c>
      <c r="E81" s="129">
        <v>-10000000</v>
      </c>
      <c r="F81">
        <f t="shared" si="12"/>
        <v>-10000000</v>
      </c>
    </row>
  </sheetData>
  <phoneticPr fontId="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A2" sqref="A2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43" t="s">
        <v>331</v>
      </c>
      <c r="B1" s="143" t="s">
        <v>332</v>
      </c>
      <c r="C1" s="143" t="s">
        <v>333</v>
      </c>
      <c r="D1" s="143" t="s">
        <v>334</v>
      </c>
      <c r="E1" s="144" t="s">
        <v>335</v>
      </c>
      <c r="F1" s="144" t="s">
        <v>336</v>
      </c>
      <c r="G1" s="144" t="s">
        <v>337</v>
      </c>
    </row>
    <row r="2" spans="1:7" x14ac:dyDescent="0.15">
      <c r="A2" s="118">
        <v>1901</v>
      </c>
      <c r="B2" s="118">
        <v>60019</v>
      </c>
      <c r="C2" s="118">
        <v>1</v>
      </c>
      <c r="D2" s="118">
        <v>10000000</v>
      </c>
      <c r="E2" s="118" t="s">
        <v>338</v>
      </c>
      <c r="F2" s="118" t="s">
        <v>339</v>
      </c>
      <c r="G2" s="118" t="s">
        <v>340</v>
      </c>
    </row>
    <row r="3" spans="1:7" x14ac:dyDescent="0.15">
      <c r="A3" s="118">
        <v>1902</v>
      </c>
      <c r="B3" s="118">
        <v>60019</v>
      </c>
      <c r="C3" s="118">
        <v>1</v>
      </c>
      <c r="D3" s="118">
        <v>8500000</v>
      </c>
      <c r="E3" s="118" t="s">
        <v>338</v>
      </c>
      <c r="F3" s="118" t="s">
        <v>341</v>
      </c>
      <c r="G3" s="118" t="s">
        <v>342</v>
      </c>
    </row>
    <row r="4" spans="1:7" x14ac:dyDescent="0.15">
      <c r="A4" s="118">
        <v>1903</v>
      </c>
      <c r="B4" s="118">
        <v>60019</v>
      </c>
      <c r="C4" s="118">
        <v>1</v>
      </c>
      <c r="D4" s="118">
        <v>7000000</v>
      </c>
      <c r="E4" s="118" t="s">
        <v>338</v>
      </c>
      <c r="F4" s="118" t="s">
        <v>343</v>
      </c>
      <c r="G4" s="118" t="s">
        <v>344</v>
      </c>
    </row>
    <row r="5" spans="1:7" x14ac:dyDescent="0.15">
      <c r="A5" s="118">
        <v>1904</v>
      </c>
      <c r="B5" s="118">
        <v>60019</v>
      </c>
      <c r="C5" s="118">
        <v>1</v>
      </c>
      <c r="D5" s="118">
        <v>5500000</v>
      </c>
      <c r="E5" s="118" t="s">
        <v>338</v>
      </c>
      <c r="F5" s="118" t="s">
        <v>345</v>
      </c>
      <c r="G5" s="118" t="s">
        <v>346</v>
      </c>
    </row>
    <row r="6" spans="1:7" x14ac:dyDescent="0.15">
      <c r="A6" s="118">
        <v>1905</v>
      </c>
      <c r="B6" s="118">
        <v>60019</v>
      </c>
      <c r="C6" s="118">
        <v>1</v>
      </c>
      <c r="D6" s="118">
        <v>4000000</v>
      </c>
      <c r="E6" s="118" t="s">
        <v>338</v>
      </c>
      <c r="F6" s="118" t="s">
        <v>347</v>
      </c>
      <c r="G6" s="118" t="s">
        <v>348</v>
      </c>
    </row>
    <row r="7" spans="1:7" x14ac:dyDescent="0.15">
      <c r="A7" s="118">
        <v>1906</v>
      </c>
      <c r="B7" s="118">
        <v>60019</v>
      </c>
      <c r="C7" s="118">
        <v>1</v>
      </c>
      <c r="D7" s="118">
        <v>3000000</v>
      </c>
      <c r="E7" s="118" t="s">
        <v>338</v>
      </c>
      <c r="F7" s="118" t="s">
        <v>349</v>
      </c>
      <c r="G7" s="118" t="s">
        <v>350</v>
      </c>
    </row>
    <row r="8" spans="1:7" x14ac:dyDescent="0.15">
      <c r="A8" s="118">
        <v>1907</v>
      </c>
      <c r="B8" s="118">
        <v>60019</v>
      </c>
      <c r="C8" s="118">
        <v>1</v>
      </c>
      <c r="D8" s="118">
        <v>2000000</v>
      </c>
      <c r="E8" s="118" t="s">
        <v>338</v>
      </c>
      <c r="F8" s="118" t="s">
        <v>351</v>
      </c>
      <c r="G8" s="118" t="s">
        <v>352</v>
      </c>
    </row>
    <row r="9" spans="1:7" x14ac:dyDescent="0.15">
      <c r="A9" s="118">
        <v>1908</v>
      </c>
      <c r="B9" s="118">
        <v>60019</v>
      </c>
      <c r="C9" s="118">
        <v>1</v>
      </c>
      <c r="D9" s="118">
        <v>0</v>
      </c>
      <c r="E9" s="118" t="s">
        <v>338</v>
      </c>
      <c r="F9" s="118" t="s">
        <v>353</v>
      </c>
      <c r="G9" s="118" t="s">
        <v>354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T12"/>
  <sheetViews>
    <sheetView zoomScale="106" workbookViewId="0">
      <selection activeCell="A2" sqref="A2"/>
    </sheetView>
  </sheetViews>
  <sheetFormatPr baseColWidth="12" defaultRowHeight="15" x14ac:dyDescent="0.15"/>
  <cols>
    <col min="1" max="1" width="11.83203125" bestFit="1" customWidth="1"/>
    <col min="2" max="3" width="8" bestFit="1" customWidth="1"/>
    <col min="4" max="4" width="10.1640625" bestFit="1" customWidth="1"/>
    <col min="5" max="5" width="11.832031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18.1640625" bestFit="1" customWidth="1"/>
    <col min="18" max="18" width="25.1640625" bestFit="1" customWidth="1"/>
    <col min="19" max="19" width="12.33203125" bestFit="1" customWidth="1"/>
    <col min="20" max="20" width="7.5" bestFit="1" customWidth="1"/>
  </cols>
  <sheetData>
    <row r="1" spans="1:20" x14ac:dyDescent="0.15">
      <c r="A1" s="58" t="s">
        <v>355</v>
      </c>
      <c r="B1" s="58" t="s">
        <v>356</v>
      </c>
      <c r="C1" s="58" t="s">
        <v>357</v>
      </c>
      <c r="D1" s="58" t="s">
        <v>358</v>
      </c>
      <c r="E1" s="109" t="s">
        <v>359</v>
      </c>
      <c r="F1" s="102" t="s">
        <v>360</v>
      </c>
      <c r="G1" s="102" t="s">
        <v>361</v>
      </c>
      <c r="H1" s="102" t="s">
        <v>362</v>
      </c>
      <c r="I1" s="102" t="s">
        <v>363</v>
      </c>
      <c r="J1" s="102" t="s">
        <v>364</v>
      </c>
      <c r="K1" s="103" t="s">
        <v>365</v>
      </c>
      <c r="L1" s="103" t="s">
        <v>366</v>
      </c>
      <c r="M1" s="103" t="s">
        <v>367</v>
      </c>
      <c r="N1" s="103" t="s">
        <v>368</v>
      </c>
      <c r="O1" s="103" t="s">
        <v>369</v>
      </c>
      <c r="P1" s="103" t="s">
        <v>370</v>
      </c>
      <c r="Q1" s="103" t="s">
        <v>371</v>
      </c>
      <c r="R1" s="103" t="s">
        <v>372</v>
      </c>
      <c r="S1" s="103" t="s">
        <v>373</v>
      </c>
      <c r="T1" s="103" t="s">
        <v>374</v>
      </c>
    </row>
    <row r="2" spans="1:20" ht="42" x14ac:dyDescent="0.15">
      <c r="A2" s="118">
        <v>1901</v>
      </c>
      <c r="B2" s="118">
        <v>60019</v>
      </c>
      <c r="C2" s="118">
        <v>1</v>
      </c>
      <c r="D2" s="118">
        <v>10000000</v>
      </c>
      <c r="E2" s="119">
        <v>60019201</v>
      </c>
      <c r="F2" s="120" t="s">
        <v>375</v>
      </c>
      <c r="G2" s="120">
        <v>837</v>
      </c>
      <c r="H2" s="120">
        <v>1</v>
      </c>
      <c r="I2" s="120">
        <v>0</v>
      </c>
      <c r="J2" s="120">
        <v>0</v>
      </c>
      <c r="K2" s="120">
        <v>0</v>
      </c>
      <c r="L2" s="120">
        <v>0</v>
      </c>
      <c r="M2" s="120">
        <v>1</v>
      </c>
      <c r="N2" s="120">
        <v>1</v>
      </c>
      <c r="O2" s="120">
        <v>1</v>
      </c>
      <c r="P2" s="120" t="s">
        <v>376</v>
      </c>
      <c r="Q2" s="120" t="s">
        <v>377</v>
      </c>
      <c r="R2" s="120" t="s">
        <v>287</v>
      </c>
      <c r="S2" s="121" t="s">
        <v>389</v>
      </c>
      <c r="T2" s="57">
        <v>1</v>
      </c>
    </row>
    <row r="3" spans="1:20" ht="42" x14ac:dyDescent="0.15">
      <c r="A3" s="118">
        <v>1901</v>
      </c>
      <c r="B3" s="118">
        <v>60019</v>
      </c>
      <c r="C3" s="118">
        <v>1</v>
      </c>
      <c r="D3" s="118">
        <v>10000000</v>
      </c>
      <c r="E3" s="119">
        <v>60019202</v>
      </c>
      <c r="F3" s="120" t="s">
        <v>375</v>
      </c>
      <c r="G3" s="120">
        <v>614</v>
      </c>
      <c r="H3" s="120">
        <v>1</v>
      </c>
      <c r="I3" s="120">
        <v>0</v>
      </c>
      <c r="J3" s="120">
        <v>0</v>
      </c>
      <c r="K3" s="120">
        <v>0</v>
      </c>
      <c r="L3" s="120">
        <v>0</v>
      </c>
      <c r="M3" s="120">
        <v>1</v>
      </c>
      <c r="N3" s="120">
        <v>1</v>
      </c>
      <c r="O3" s="120">
        <v>1</v>
      </c>
      <c r="P3" s="120" t="s">
        <v>376</v>
      </c>
      <c r="Q3" s="120" t="s">
        <v>288</v>
      </c>
      <c r="R3" s="120" t="s">
        <v>287</v>
      </c>
      <c r="S3" s="121" t="s">
        <v>389</v>
      </c>
      <c r="T3" s="57">
        <v>1</v>
      </c>
    </row>
    <row r="4" spans="1:20" ht="42" x14ac:dyDescent="0.15">
      <c r="A4" s="118">
        <v>1902</v>
      </c>
      <c r="B4" s="118">
        <v>60019</v>
      </c>
      <c r="C4" s="118">
        <v>1</v>
      </c>
      <c r="D4" s="118">
        <v>8500000</v>
      </c>
      <c r="E4" s="119">
        <v>60019203</v>
      </c>
      <c r="F4" s="120" t="s">
        <v>378</v>
      </c>
      <c r="G4" s="120">
        <v>606</v>
      </c>
      <c r="H4" s="120">
        <v>1</v>
      </c>
      <c r="I4" s="120">
        <v>0</v>
      </c>
      <c r="J4" s="120">
        <v>0</v>
      </c>
      <c r="K4" s="120">
        <v>0</v>
      </c>
      <c r="L4" s="120">
        <v>0</v>
      </c>
      <c r="M4" s="120">
        <v>1</v>
      </c>
      <c r="N4" s="120">
        <v>1</v>
      </c>
      <c r="O4" s="120">
        <v>1</v>
      </c>
      <c r="P4" s="120" t="s">
        <v>376</v>
      </c>
      <c r="Q4" s="120" t="s">
        <v>451</v>
      </c>
      <c r="R4" s="120" t="s">
        <v>287</v>
      </c>
      <c r="S4" s="121" t="s">
        <v>389</v>
      </c>
      <c r="T4" s="57">
        <v>1</v>
      </c>
    </row>
    <row r="5" spans="1:20" ht="42" x14ac:dyDescent="0.15">
      <c r="A5" s="118">
        <v>1903</v>
      </c>
      <c r="B5" s="118">
        <v>60019</v>
      </c>
      <c r="C5" s="118">
        <v>1</v>
      </c>
      <c r="D5" s="118">
        <v>7000000</v>
      </c>
      <c r="E5" s="119">
        <v>60019204</v>
      </c>
      <c r="F5" s="120" t="s">
        <v>378</v>
      </c>
      <c r="G5" s="120">
        <v>1</v>
      </c>
      <c r="H5" s="120">
        <v>3</v>
      </c>
      <c r="I5" s="120">
        <v>0</v>
      </c>
      <c r="J5" s="120">
        <v>0</v>
      </c>
      <c r="K5" s="120">
        <v>0</v>
      </c>
      <c r="L5" s="120">
        <v>0</v>
      </c>
      <c r="M5" s="120">
        <v>1</v>
      </c>
      <c r="N5" s="120">
        <v>1</v>
      </c>
      <c r="O5" s="120">
        <v>1</v>
      </c>
      <c r="P5" s="120" t="s">
        <v>376</v>
      </c>
      <c r="Q5" s="120" t="s">
        <v>379</v>
      </c>
      <c r="R5" s="120" t="s">
        <v>287</v>
      </c>
      <c r="S5" s="121" t="s">
        <v>389</v>
      </c>
      <c r="T5" s="57">
        <v>1</v>
      </c>
    </row>
    <row r="6" spans="1:20" ht="42" x14ac:dyDescent="0.15">
      <c r="A6" s="118">
        <v>1904</v>
      </c>
      <c r="B6" s="118">
        <v>60019</v>
      </c>
      <c r="C6" s="118">
        <v>1</v>
      </c>
      <c r="D6" s="118">
        <v>5500000</v>
      </c>
      <c r="E6" s="119">
        <v>60019205</v>
      </c>
      <c r="F6" s="120" t="s">
        <v>375</v>
      </c>
      <c r="G6" s="120">
        <v>335</v>
      </c>
      <c r="H6" s="120">
        <v>1</v>
      </c>
      <c r="I6" s="120">
        <v>0</v>
      </c>
      <c r="J6" s="120">
        <v>0</v>
      </c>
      <c r="K6" s="120">
        <v>0</v>
      </c>
      <c r="L6" s="120">
        <v>0</v>
      </c>
      <c r="M6" s="120">
        <v>1</v>
      </c>
      <c r="N6" s="120">
        <v>1</v>
      </c>
      <c r="O6" s="120">
        <v>1</v>
      </c>
      <c r="P6" s="120" t="s">
        <v>376</v>
      </c>
      <c r="Q6" s="120" t="s">
        <v>380</v>
      </c>
      <c r="R6" s="120" t="s">
        <v>287</v>
      </c>
      <c r="S6" s="121" t="s">
        <v>389</v>
      </c>
      <c r="T6" s="57">
        <v>1</v>
      </c>
    </row>
    <row r="7" spans="1:20" ht="42" x14ac:dyDescent="0.15">
      <c r="A7" s="118">
        <v>1904</v>
      </c>
      <c r="B7" s="118">
        <v>60019</v>
      </c>
      <c r="C7" s="118">
        <v>1</v>
      </c>
      <c r="D7" s="118">
        <v>5500000</v>
      </c>
      <c r="E7" s="119">
        <v>60019206</v>
      </c>
      <c r="F7" s="120" t="s">
        <v>375</v>
      </c>
      <c r="G7" s="120">
        <v>339</v>
      </c>
      <c r="H7" s="120">
        <v>1</v>
      </c>
      <c r="I7" s="120">
        <v>0</v>
      </c>
      <c r="J7" s="120">
        <v>0</v>
      </c>
      <c r="K7" s="120">
        <v>0</v>
      </c>
      <c r="L7" s="120">
        <v>0</v>
      </c>
      <c r="M7" s="120">
        <v>1</v>
      </c>
      <c r="N7" s="120">
        <v>1</v>
      </c>
      <c r="O7" s="120">
        <v>1</v>
      </c>
      <c r="P7" s="120" t="s">
        <v>376</v>
      </c>
      <c r="Q7" s="120" t="s">
        <v>381</v>
      </c>
      <c r="R7" s="120" t="s">
        <v>287</v>
      </c>
      <c r="S7" s="121" t="s">
        <v>389</v>
      </c>
      <c r="T7" s="57">
        <v>1</v>
      </c>
    </row>
    <row r="8" spans="1:20" ht="42" x14ac:dyDescent="0.15">
      <c r="A8" s="118">
        <v>1904</v>
      </c>
      <c r="B8" s="118">
        <v>60019</v>
      </c>
      <c r="C8" s="118">
        <v>1</v>
      </c>
      <c r="D8" s="118">
        <v>5500000</v>
      </c>
      <c r="E8" s="119">
        <v>60019207</v>
      </c>
      <c r="F8" s="120" t="s">
        <v>375</v>
      </c>
      <c r="G8" s="120">
        <v>343</v>
      </c>
      <c r="H8" s="120">
        <v>1</v>
      </c>
      <c r="I8" s="120">
        <v>0</v>
      </c>
      <c r="J8" s="120">
        <v>0</v>
      </c>
      <c r="K8" s="120">
        <v>0</v>
      </c>
      <c r="L8" s="120">
        <v>0</v>
      </c>
      <c r="M8" s="120">
        <v>1</v>
      </c>
      <c r="N8" s="120">
        <v>1</v>
      </c>
      <c r="O8" s="120">
        <v>1</v>
      </c>
      <c r="P8" s="120" t="s">
        <v>376</v>
      </c>
      <c r="Q8" s="120" t="s">
        <v>382</v>
      </c>
      <c r="R8" s="120" t="s">
        <v>287</v>
      </c>
      <c r="S8" s="121" t="s">
        <v>389</v>
      </c>
      <c r="T8" s="57">
        <v>1</v>
      </c>
    </row>
    <row r="9" spans="1:20" ht="42" x14ac:dyDescent="0.15">
      <c r="A9" s="118">
        <v>1904</v>
      </c>
      <c r="B9" s="118">
        <v>60019</v>
      </c>
      <c r="C9" s="118">
        <v>1</v>
      </c>
      <c r="D9" s="118">
        <v>5500000</v>
      </c>
      <c r="E9" s="119">
        <v>60019208</v>
      </c>
      <c r="F9" s="120" t="s">
        <v>375</v>
      </c>
      <c r="G9" s="120">
        <v>347</v>
      </c>
      <c r="H9" s="120">
        <v>1</v>
      </c>
      <c r="I9" s="120">
        <v>0</v>
      </c>
      <c r="J9" s="120">
        <v>0</v>
      </c>
      <c r="K9" s="120">
        <v>0</v>
      </c>
      <c r="L9" s="120">
        <v>0</v>
      </c>
      <c r="M9" s="120">
        <v>1</v>
      </c>
      <c r="N9" s="120">
        <v>1</v>
      </c>
      <c r="O9" s="120">
        <v>1</v>
      </c>
      <c r="P9" s="120" t="s">
        <v>376</v>
      </c>
      <c r="Q9" s="120" t="s">
        <v>383</v>
      </c>
      <c r="R9" s="120" t="s">
        <v>287</v>
      </c>
      <c r="S9" s="121" t="s">
        <v>389</v>
      </c>
      <c r="T9" s="57">
        <v>1</v>
      </c>
    </row>
    <row r="10" spans="1:20" ht="42" x14ac:dyDescent="0.15">
      <c r="A10" s="118">
        <v>1905</v>
      </c>
      <c r="B10" s="118">
        <v>60019</v>
      </c>
      <c r="C10" s="118">
        <v>1</v>
      </c>
      <c r="D10" s="118">
        <v>4000000</v>
      </c>
      <c r="E10" s="119">
        <v>60019209</v>
      </c>
      <c r="F10" s="120" t="s">
        <v>384</v>
      </c>
      <c r="G10" s="120">
        <v>2000</v>
      </c>
      <c r="H10" s="120" t="s">
        <v>385</v>
      </c>
      <c r="I10" s="120">
        <v>0</v>
      </c>
      <c r="J10" s="120">
        <v>0</v>
      </c>
      <c r="K10" s="120">
        <v>0</v>
      </c>
      <c r="L10" s="120">
        <v>0</v>
      </c>
      <c r="M10" s="120">
        <v>1</v>
      </c>
      <c r="N10" s="120">
        <v>1</v>
      </c>
      <c r="O10" s="120">
        <v>1</v>
      </c>
      <c r="P10" s="120" t="s">
        <v>376</v>
      </c>
      <c r="Q10" s="120" t="s">
        <v>386</v>
      </c>
      <c r="R10" s="120" t="s">
        <v>287</v>
      </c>
      <c r="S10" s="121" t="s">
        <v>389</v>
      </c>
      <c r="T10" s="57">
        <v>1</v>
      </c>
    </row>
    <row r="11" spans="1:20" ht="42" x14ac:dyDescent="0.15">
      <c r="A11" s="118">
        <v>1906</v>
      </c>
      <c r="B11" s="118">
        <v>60019</v>
      </c>
      <c r="C11" s="118">
        <v>1</v>
      </c>
      <c r="D11" s="57">
        <v>3000000</v>
      </c>
      <c r="E11" s="119">
        <v>60019210</v>
      </c>
      <c r="F11" s="120" t="s">
        <v>387</v>
      </c>
      <c r="G11" s="120">
        <v>100000</v>
      </c>
      <c r="H11" s="120" t="s">
        <v>385</v>
      </c>
      <c r="I11" s="120">
        <v>0</v>
      </c>
      <c r="J11" s="120">
        <v>0</v>
      </c>
      <c r="K11" s="120">
        <v>0</v>
      </c>
      <c r="L11" s="120">
        <v>0</v>
      </c>
      <c r="M11" s="120">
        <v>1</v>
      </c>
      <c r="N11" s="120">
        <v>1</v>
      </c>
      <c r="O11" s="120">
        <v>1</v>
      </c>
      <c r="P11" s="120" t="s">
        <v>376</v>
      </c>
      <c r="Q11" s="120" t="s">
        <v>289</v>
      </c>
      <c r="R11" s="120" t="s">
        <v>287</v>
      </c>
      <c r="S11" s="121" t="s">
        <v>389</v>
      </c>
      <c r="T11" s="57">
        <v>1</v>
      </c>
    </row>
    <row r="12" spans="1:20" ht="42" x14ac:dyDescent="0.15">
      <c r="A12" s="118">
        <v>1907</v>
      </c>
      <c r="B12" s="118">
        <v>60019</v>
      </c>
      <c r="C12" s="118">
        <v>1</v>
      </c>
      <c r="D12" s="57">
        <v>2000000</v>
      </c>
      <c r="E12" s="119">
        <v>60019211</v>
      </c>
      <c r="F12" s="120" t="s">
        <v>384</v>
      </c>
      <c r="G12" s="120">
        <v>1000</v>
      </c>
      <c r="H12" s="120" t="s">
        <v>385</v>
      </c>
      <c r="I12" s="120">
        <v>0</v>
      </c>
      <c r="J12" s="120">
        <v>0</v>
      </c>
      <c r="K12" s="120">
        <v>0</v>
      </c>
      <c r="L12" s="120">
        <v>0</v>
      </c>
      <c r="M12" s="120">
        <v>1</v>
      </c>
      <c r="N12" s="120">
        <v>1</v>
      </c>
      <c r="O12" s="120">
        <v>1</v>
      </c>
      <c r="P12" s="120" t="s">
        <v>376</v>
      </c>
      <c r="Q12" s="145" t="s">
        <v>388</v>
      </c>
      <c r="R12" s="120" t="s">
        <v>287</v>
      </c>
      <c r="S12" s="121" t="s">
        <v>389</v>
      </c>
      <c r="T12" s="57">
        <v>1</v>
      </c>
    </row>
  </sheetData>
  <phoneticPr fontId="8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workbookViewId="0">
      <selection activeCell="D8" sqref="D8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3" t="s">
        <v>151</v>
      </c>
      <c r="B1" s="78" t="s">
        <v>478</v>
      </c>
      <c r="C1" s="78" t="s">
        <v>33</v>
      </c>
      <c r="D1" s="73" t="s">
        <v>479</v>
      </c>
      <c r="E1" s="73" t="s">
        <v>480</v>
      </c>
      <c r="F1" s="104" t="s">
        <v>481</v>
      </c>
      <c r="G1" s="101" t="s">
        <v>482</v>
      </c>
      <c r="H1" s="102" t="s">
        <v>483</v>
      </c>
      <c r="I1" s="102" t="s">
        <v>484</v>
      </c>
      <c r="J1" s="102" t="s">
        <v>485</v>
      </c>
      <c r="K1" s="102" t="s">
        <v>486</v>
      </c>
      <c r="L1" s="102" t="s">
        <v>487</v>
      </c>
      <c r="M1" s="103" t="s">
        <v>44</v>
      </c>
      <c r="N1" s="103" t="s">
        <v>488</v>
      </c>
      <c r="O1" s="103" t="s">
        <v>159</v>
      </c>
      <c r="P1" s="103" t="s">
        <v>160</v>
      </c>
      <c r="Q1" s="103" t="s">
        <v>489</v>
      </c>
      <c r="R1" s="103" t="s">
        <v>490</v>
      </c>
      <c r="S1" s="103" t="s">
        <v>491</v>
      </c>
      <c r="T1" s="103" t="s">
        <v>492</v>
      </c>
      <c r="U1" s="103" t="s">
        <v>493</v>
      </c>
    </row>
    <row r="2" spans="1:21" ht="28" x14ac:dyDescent="0.15">
      <c r="A2" s="147">
        <v>60019</v>
      </c>
      <c r="B2" s="148" t="str">
        <f ca="1">VLOOKUP($A2,OFFSET([2]quests!$A$1,0,0,COUNTA([2]quests!$A:$A),MATCH(B$1,[2]quests!$1:$1,0)-MATCH($A$1,[2]quests!$1:$1,0)+1),MATCH(B$1,[2]quests!$1:$1,0)-MATCH($A$1,[2]quests!$1:$1,0)+1,FALSE)</f>
        <v>ヘンペルチャレンジ</v>
      </c>
      <c r="C2" s="148" t="str">
        <f ca="1">VLOOKUP($A2,OFFSET([2]quests!$A$1,0,0,COUNTA([2]quests!$A:$A),MATCH(C$1,[2]quests!$1:$1,0)-MATCH($A$1,[2]quests!$1:$1,0)+1),MATCH(C$1,[2]quests!$1:$1,0)-MATCH($A$1,[2]quests!$1:$1,0)+1,FALSE)</f>
        <v>ランキング7</v>
      </c>
      <c r="D2" s="147">
        <v>1</v>
      </c>
      <c r="E2" s="149">
        <v>1</v>
      </c>
      <c r="F2" s="150" t="str">
        <f>A2&amp;TEXT(E2,"0000")</f>
        <v>600190001</v>
      </c>
      <c r="G2" s="151" t="str">
        <f>F2&amp;TEXT(COUNTIF(F$2:F2,F2),"00")</f>
        <v>60019000101</v>
      </c>
      <c r="H2" s="152" t="s">
        <v>456</v>
      </c>
      <c r="I2" s="152">
        <v>605</v>
      </c>
      <c r="J2" s="152">
        <v>1</v>
      </c>
      <c r="K2" s="152">
        <v>0</v>
      </c>
      <c r="L2" s="152">
        <v>0</v>
      </c>
      <c r="M2" s="152">
        <v>0</v>
      </c>
      <c r="N2" s="152">
        <v>0</v>
      </c>
      <c r="O2" s="152">
        <v>1</v>
      </c>
      <c r="P2" s="152">
        <v>1</v>
      </c>
      <c r="Q2" s="152">
        <v>1</v>
      </c>
      <c r="R2" s="152" t="s">
        <v>454</v>
      </c>
      <c r="S2" s="152" t="s">
        <v>498</v>
      </c>
      <c r="T2" s="152" t="s">
        <v>452</v>
      </c>
      <c r="U2" s="153" t="s">
        <v>502</v>
      </c>
    </row>
    <row r="3" spans="1:21" ht="28" x14ac:dyDescent="0.15">
      <c r="A3" s="147">
        <v>60019</v>
      </c>
      <c r="B3" s="148" t="str">
        <f ca="1">VLOOKUP($A3,OFFSET([2]quests!$A$1,0,0,COUNTA([2]quests!$A:$A),MATCH(B$1,[2]quests!$1:$1,0)-MATCH($A$1,[2]quests!$1:$1,0)+1),MATCH(B$1,[2]quests!$1:$1,0)-MATCH($A$1,[2]quests!$1:$1,0)+1,FALSE)</f>
        <v>ヘンペルチャレンジ</v>
      </c>
      <c r="C3" s="148" t="str">
        <f ca="1">VLOOKUP($A3,OFFSET([2]quests!$A$1,0,0,COUNTA([2]quests!$A:$A),MATCH(C$1,[2]quests!$1:$1,0)-MATCH($A$1,[2]quests!$1:$1,0)+1),MATCH(C$1,[2]quests!$1:$1,0)-MATCH($A$1,[2]quests!$1:$1,0)+1,FALSE)</f>
        <v>ランキング7</v>
      </c>
      <c r="D3" s="147">
        <v>1</v>
      </c>
      <c r="E3" s="149">
        <v>1</v>
      </c>
      <c r="F3" s="150" t="str">
        <f t="shared" ref="F3:F6" si="0">A3&amp;TEXT(E3,"0000")</f>
        <v>600190001</v>
      </c>
      <c r="G3" s="151" t="str">
        <f>F3&amp;TEXT(COUNTIF(F$2:F3,F3),"00")</f>
        <v>60019000102</v>
      </c>
      <c r="H3" s="152" t="s">
        <v>456</v>
      </c>
      <c r="I3" s="152">
        <v>606</v>
      </c>
      <c r="J3" s="152">
        <v>2</v>
      </c>
      <c r="K3" s="152">
        <v>0</v>
      </c>
      <c r="L3" s="152">
        <v>0</v>
      </c>
      <c r="M3" s="152">
        <v>0</v>
      </c>
      <c r="N3" s="152">
        <v>0</v>
      </c>
      <c r="O3" s="152">
        <v>1</v>
      </c>
      <c r="P3" s="152">
        <v>1</v>
      </c>
      <c r="Q3" s="152">
        <v>1</v>
      </c>
      <c r="R3" s="152" t="s">
        <v>454</v>
      </c>
      <c r="S3" s="152" t="s">
        <v>499</v>
      </c>
      <c r="T3" s="152" t="s">
        <v>452</v>
      </c>
      <c r="U3" s="153" t="s">
        <v>502</v>
      </c>
    </row>
    <row r="4" spans="1:21" ht="28" x14ac:dyDescent="0.15">
      <c r="A4" s="147">
        <v>60019</v>
      </c>
      <c r="B4" s="148" t="str">
        <f ca="1">VLOOKUP($A4,OFFSET([2]quests!$A$1,0,0,COUNTA([2]quests!$A:$A),MATCH(B$1,[2]quests!$1:$1,0)-MATCH($A$1,[2]quests!$1:$1,0)+1),MATCH(B$1,[2]quests!$1:$1,0)-MATCH($A$1,[2]quests!$1:$1,0)+1,FALSE)</f>
        <v>ヘンペルチャレンジ</v>
      </c>
      <c r="C4" s="148" t="str">
        <f ca="1">VLOOKUP($A4,OFFSET([2]quests!$A$1,0,0,COUNTA([2]quests!$A:$A),MATCH(C$1,[2]quests!$1:$1,0)-MATCH($A$1,[2]quests!$1:$1,0)+1),MATCH(C$1,[2]quests!$1:$1,0)-MATCH($A$1,[2]quests!$1:$1,0)+1,FALSE)</f>
        <v>ランキング7</v>
      </c>
      <c r="D4" s="147">
        <v>1</v>
      </c>
      <c r="E4" s="149">
        <v>1</v>
      </c>
      <c r="F4" s="150" t="str">
        <f t="shared" si="0"/>
        <v>600190001</v>
      </c>
      <c r="G4" s="151" t="str">
        <f>F4&amp;TEXT(COUNTIF(F$2:F4,F4),"00")</f>
        <v>60019000103</v>
      </c>
      <c r="H4" s="152" t="s">
        <v>463</v>
      </c>
      <c r="I4" s="152">
        <v>10</v>
      </c>
      <c r="J4" s="152" t="s">
        <v>89</v>
      </c>
      <c r="K4" s="152">
        <v>0</v>
      </c>
      <c r="L4" s="152">
        <v>0</v>
      </c>
      <c r="M4" s="152">
        <v>0</v>
      </c>
      <c r="N4" s="152">
        <v>0</v>
      </c>
      <c r="O4" s="152">
        <v>1</v>
      </c>
      <c r="P4" s="152">
        <v>1</v>
      </c>
      <c r="Q4" s="152">
        <v>1</v>
      </c>
      <c r="R4" s="152" t="s">
        <v>454</v>
      </c>
      <c r="S4" s="152" t="s">
        <v>494</v>
      </c>
      <c r="T4" s="152" t="s">
        <v>452</v>
      </c>
      <c r="U4" s="153" t="s">
        <v>502</v>
      </c>
    </row>
    <row r="5" spans="1:21" ht="28" x14ac:dyDescent="0.15">
      <c r="A5" s="147">
        <v>60019</v>
      </c>
      <c r="B5" s="148" t="str">
        <f ca="1">VLOOKUP($A5,OFFSET([2]quests!$A$1,0,0,COUNTA([2]quests!$A:$A),MATCH(B$1,[2]quests!$1:$1,0)-MATCH($A$1,[2]quests!$1:$1,0)+1),MATCH(B$1,[2]quests!$1:$1,0)-MATCH($A$1,[2]quests!$1:$1,0)+1,FALSE)</f>
        <v>ヘンペルチャレンジ</v>
      </c>
      <c r="C5" s="148" t="str">
        <f ca="1">VLOOKUP($A5,OFFSET([2]quests!$A$1,0,0,COUNTA([2]quests!$A:$A),MATCH(C$1,[2]quests!$1:$1,0)-MATCH($A$1,[2]quests!$1:$1,0)+1),MATCH(C$1,[2]quests!$1:$1,0)-MATCH($A$1,[2]quests!$1:$1,0)+1,FALSE)</f>
        <v>ランキング7</v>
      </c>
      <c r="D5" s="147">
        <v>1</v>
      </c>
      <c r="E5" s="149">
        <v>1</v>
      </c>
      <c r="F5" s="150" t="str">
        <f t="shared" si="0"/>
        <v>600190001</v>
      </c>
      <c r="G5" s="151" t="str">
        <f>F5&amp;TEXT(COUNTIF(F$2:F5,F5),"00")</f>
        <v>60019000104</v>
      </c>
      <c r="H5" s="152" t="s">
        <v>453</v>
      </c>
      <c r="I5" s="152">
        <v>837</v>
      </c>
      <c r="J5" s="152">
        <v>1</v>
      </c>
      <c r="K5" s="152">
        <v>0</v>
      </c>
      <c r="L5" s="152">
        <v>0</v>
      </c>
      <c r="M5" s="152">
        <v>0</v>
      </c>
      <c r="N5" s="152">
        <v>0</v>
      </c>
      <c r="O5" s="152">
        <v>1</v>
      </c>
      <c r="P5" s="152">
        <v>1</v>
      </c>
      <c r="Q5" s="152">
        <v>1</v>
      </c>
      <c r="R5" s="152" t="s">
        <v>454</v>
      </c>
      <c r="S5" s="152" t="s">
        <v>495</v>
      </c>
      <c r="T5" s="152" t="s">
        <v>452</v>
      </c>
      <c r="U5" s="153" t="s">
        <v>502</v>
      </c>
    </row>
    <row r="6" spans="1:21" ht="28" x14ac:dyDescent="0.15">
      <c r="A6" s="147">
        <v>60019</v>
      </c>
      <c r="B6" s="148" t="str">
        <f ca="1">VLOOKUP($A6,OFFSET([2]quests!$A$1,0,0,COUNTA([2]quests!$A:$A),MATCH(B$1,[2]quests!$1:$1,0)-MATCH($A$1,[2]quests!$1:$1,0)+1),MATCH(B$1,[2]quests!$1:$1,0)-MATCH($A$1,[2]quests!$1:$1,0)+1,FALSE)</f>
        <v>ヘンペルチャレンジ</v>
      </c>
      <c r="C6" s="148" t="str">
        <f ca="1">VLOOKUP($A6,OFFSET([2]quests!$A$1,0,0,COUNTA([2]quests!$A:$A),MATCH(C$1,[2]quests!$1:$1,0)-MATCH($A$1,[2]quests!$1:$1,0)+1),MATCH(C$1,[2]quests!$1:$1,0)-MATCH($A$1,[2]quests!$1:$1,0)+1,FALSE)</f>
        <v>ランキング7</v>
      </c>
      <c r="D6" s="147">
        <v>1</v>
      </c>
      <c r="E6" s="149">
        <v>1</v>
      </c>
      <c r="F6" s="150" t="str">
        <f t="shared" si="0"/>
        <v>600190001</v>
      </c>
      <c r="G6" s="151" t="str">
        <f>F6&amp;TEXT(COUNTIF(F$2:F6,F6),"00")</f>
        <v>60019000105</v>
      </c>
      <c r="H6" s="152" t="s">
        <v>453</v>
      </c>
      <c r="I6" s="152">
        <v>614</v>
      </c>
      <c r="J6" s="152">
        <v>1</v>
      </c>
      <c r="K6" s="152">
        <v>0</v>
      </c>
      <c r="L6" s="152">
        <v>0</v>
      </c>
      <c r="M6" s="152">
        <v>0</v>
      </c>
      <c r="N6" s="152">
        <v>0</v>
      </c>
      <c r="O6" s="152">
        <v>1</v>
      </c>
      <c r="P6" s="152">
        <v>1</v>
      </c>
      <c r="Q6" s="152">
        <v>1</v>
      </c>
      <c r="R6" s="152" t="s">
        <v>454</v>
      </c>
      <c r="S6" s="152" t="s">
        <v>455</v>
      </c>
      <c r="T6" s="152" t="s">
        <v>452</v>
      </c>
      <c r="U6" s="153" t="s">
        <v>502</v>
      </c>
    </row>
    <row r="7" spans="1:21" ht="28" x14ac:dyDescent="0.15">
      <c r="A7" s="147">
        <v>60019</v>
      </c>
      <c r="B7" s="148" t="str">
        <f ca="1">VLOOKUP($A7,OFFSET([2]quests!$A$1,0,0,COUNTA([2]quests!$A:$A),MATCH(B$1,[2]quests!$1:$1,0)-MATCH($A$1,[2]quests!$1:$1,0)+1),MATCH(B$1,[2]quests!$1:$1,0)-MATCH($A$1,[2]quests!$1:$1,0)+1,FALSE)</f>
        <v>ヘンペルチャレンジ</v>
      </c>
      <c r="C7" s="148" t="str">
        <f ca="1">VLOOKUP($A7,OFFSET([2]quests!$A$1,0,0,COUNTA([2]quests!$A:$A),MATCH(C$1,[2]quests!$1:$1,0)-MATCH($A$1,[2]quests!$1:$1,0)+1),MATCH(C$1,[2]quests!$1:$1,0)-MATCH($A$1,[2]quests!$1:$1,0)+1,FALSE)</f>
        <v>ランキング7</v>
      </c>
      <c r="D7" s="147">
        <v>2</v>
      </c>
      <c r="E7" s="149">
        <v>2</v>
      </c>
      <c r="F7" s="150" t="str">
        <f>A7&amp;TEXT(E7,"0000")</f>
        <v>600190002</v>
      </c>
      <c r="G7" s="151" t="str">
        <f>F7&amp;TEXT(COUNTIF(F$2:F7,F7),"00")</f>
        <v>60019000201</v>
      </c>
      <c r="H7" s="152" t="s">
        <v>456</v>
      </c>
      <c r="I7" s="152">
        <v>605</v>
      </c>
      <c r="J7" s="152">
        <v>1</v>
      </c>
      <c r="K7" s="152">
        <v>0</v>
      </c>
      <c r="L7" s="152">
        <v>0</v>
      </c>
      <c r="M7" s="152">
        <v>0</v>
      </c>
      <c r="N7" s="152">
        <v>0</v>
      </c>
      <c r="O7" s="152">
        <v>1</v>
      </c>
      <c r="P7" s="152">
        <v>1</v>
      </c>
      <c r="Q7" s="152">
        <v>1</v>
      </c>
      <c r="R7" s="152" t="s">
        <v>454</v>
      </c>
      <c r="S7" s="152" t="s">
        <v>498</v>
      </c>
      <c r="T7" s="152" t="s">
        <v>452</v>
      </c>
      <c r="U7" s="153" t="s">
        <v>502</v>
      </c>
    </row>
    <row r="8" spans="1:21" ht="28" x14ac:dyDescent="0.15">
      <c r="A8" s="147">
        <v>60019</v>
      </c>
      <c r="B8" s="148" t="str">
        <f ca="1">VLOOKUP($A8,OFFSET([2]quests!$A$1,0,0,COUNTA([2]quests!$A:$A),MATCH(B$1,[2]quests!$1:$1,0)-MATCH($A$1,[2]quests!$1:$1,0)+1),MATCH(B$1,[2]quests!$1:$1,0)-MATCH($A$1,[2]quests!$1:$1,0)+1,FALSE)</f>
        <v>ヘンペルチャレンジ</v>
      </c>
      <c r="C8" s="148" t="str">
        <f ca="1">VLOOKUP($A8,OFFSET([2]quests!$A$1,0,0,COUNTA([2]quests!$A:$A),MATCH(C$1,[2]quests!$1:$1,0)-MATCH($A$1,[2]quests!$1:$1,0)+1),MATCH(C$1,[2]quests!$1:$1,0)-MATCH($A$1,[2]quests!$1:$1,0)+1,FALSE)</f>
        <v>ランキング7</v>
      </c>
      <c r="D8" s="147">
        <v>2</v>
      </c>
      <c r="E8" s="149">
        <v>2</v>
      </c>
      <c r="F8" s="150" t="str">
        <f t="shared" ref="F8:F26" si="1">A8&amp;TEXT(E8,"0000")</f>
        <v>600190002</v>
      </c>
      <c r="G8" s="151" t="str">
        <f>F8&amp;TEXT(COUNTIF(F$2:F8,F8),"00")</f>
        <v>60019000202</v>
      </c>
      <c r="H8" s="152" t="s">
        <v>456</v>
      </c>
      <c r="I8" s="152">
        <v>606</v>
      </c>
      <c r="J8" s="152">
        <v>1</v>
      </c>
      <c r="K8" s="152">
        <v>0</v>
      </c>
      <c r="L8" s="152">
        <v>0</v>
      </c>
      <c r="M8" s="152">
        <v>0</v>
      </c>
      <c r="N8" s="152">
        <v>0</v>
      </c>
      <c r="O8" s="152">
        <v>1</v>
      </c>
      <c r="P8" s="152">
        <v>1</v>
      </c>
      <c r="Q8" s="152">
        <v>1</v>
      </c>
      <c r="R8" s="152" t="s">
        <v>454</v>
      </c>
      <c r="S8" s="154" t="s">
        <v>500</v>
      </c>
      <c r="T8" s="152" t="s">
        <v>452</v>
      </c>
      <c r="U8" s="153" t="s">
        <v>502</v>
      </c>
    </row>
    <row r="9" spans="1:21" ht="28" x14ac:dyDescent="0.15">
      <c r="A9" s="147">
        <v>60019</v>
      </c>
      <c r="B9" s="148" t="str">
        <f ca="1">VLOOKUP($A9,OFFSET([2]quests!$A$1,0,0,COUNTA([2]quests!$A:$A),MATCH(B$1,[2]quests!$1:$1,0)-MATCH($A$1,[2]quests!$1:$1,0)+1),MATCH(B$1,[2]quests!$1:$1,0)-MATCH($A$1,[2]quests!$1:$1,0)+1,FALSE)</f>
        <v>ヘンペルチャレンジ</v>
      </c>
      <c r="C9" s="148" t="str">
        <f ca="1">VLOOKUP($A9,OFFSET([2]quests!$A$1,0,0,COUNTA([2]quests!$A:$A),MATCH(C$1,[2]quests!$1:$1,0)-MATCH($A$1,[2]quests!$1:$1,0)+1),MATCH(C$1,[2]quests!$1:$1,0)-MATCH($A$1,[2]quests!$1:$1,0)+1,FALSE)</f>
        <v>ランキング7</v>
      </c>
      <c r="D9" s="147">
        <v>2</v>
      </c>
      <c r="E9" s="149">
        <v>2</v>
      </c>
      <c r="F9" s="150" t="str">
        <f t="shared" si="1"/>
        <v>600190002</v>
      </c>
      <c r="G9" s="151" t="str">
        <f>F9&amp;TEXT(COUNTIF(F$2:F9,F9),"00")</f>
        <v>60019000203</v>
      </c>
      <c r="H9" s="152" t="s">
        <v>463</v>
      </c>
      <c r="I9" s="152">
        <v>5</v>
      </c>
      <c r="J9" s="152" t="s">
        <v>89</v>
      </c>
      <c r="K9" s="152">
        <v>0</v>
      </c>
      <c r="L9" s="152">
        <v>0</v>
      </c>
      <c r="M9" s="152">
        <v>0</v>
      </c>
      <c r="N9" s="152">
        <v>0</v>
      </c>
      <c r="O9" s="152">
        <v>1</v>
      </c>
      <c r="P9" s="152">
        <v>1</v>
      </c>
      <c r="Q9" s="152">
        <v>1</v>
      </c>
      <c r="R9" s="152" t="s">
        <v>454</v>
      </c>
      <c r="S9" s="152" t="s">
        <v>464</v>
      </c>
      <c r="T9" s="152" t="s">
        <v>452</v>
      </c>
      <c r="U9" s="153" t="s">
        <v>502</v>
      </c>
    </row>
    <row r="10" spans="1:21" ht="28" x14ac:dyDescent="0.15">
      <c r="A10" s="147">
        <v>60019</v>
      </c>
      <c r="B10" s="148" t="str">
        <f ca="1">VLOOKUP($A10,OFFSET([2]quests!$A$1,0,0,COUNTA([2]quests!$A:$A),MATCH(B$1,[2]quests!$1:$1,0)-MATCH($A$1,[2]quests!$1:$1,0)+1),MATCH(B$1,[2]quests!$1:$1,0)-MATCH($A$1,[2]quests!$1:$1,0)+1,FALSE)</f>
        <v>ヘンペルチャレンジ</v>
      </c>
      <c r="C10" s="148" t="str">
        <f ca="1">VLOOKUP($A10,OFFSET([2]quests!$A$1,0,0,COUNTA([2]quests!$A:$A),MATCH(C$1,[2]quests!$1:$1,0)-MATCH($A$1,[2]quests!$1:$1,0)+1),MATCH(C$1,[2]quests!$1:$1,0)-MATCH($A$1,[2]quests!$1:$1,0)+1,FALSE)</f>
        <v>ランキング7</v>
      </c>
      <c r="D10" s="147">
        <v>2</v>
      </c>
      <c r="E10" s="149">
        <v>2</v>
      </c>
      <c r="F10" s="150" t="str">
        <f t="shared" si="1"/>
        <v>600190002</v>
      </c>
      <c r="G10" s="151" t="str">
        <f>F10&amp;TEXT(COUNTIF(F$2:F10,F10),"00")</f>
        <v>60019000204</v>
      </c>
      <c r="H10" s="152" t="s">
        <v>453</v>
      </c>
      <c r="I10" s="152">
        <v>610</v>
      </c>
      <c r="J10" s="152">
        <v>1</v>
      </c>
      <c r="K10" s="152">
        <v>0</v>
      </c>
      <c r="L10" s="152">
        <v>0</v>
      </c>
      <c r="M10" s="152">
        <v>0</v>
      </c>
      <c r="N10" s="152">
        <v>0</v>
      </c>
      <c r="O10" s="152">
        <v>1</v>
      </c>
      <c r="P10" s="152">
        <v>1</v>
      </c>
      <c r="Q10" s="152">
        <v>1</v>
      </c>
      <c r="R10" s="152" t="s">
        <v>454</v>
      </c>
      <c r="S10" s="152" t="s">
        <v>457</v>
      </c>
      <c r="T10" s="152" t="s">
        <v>452</v>
      </c>
      <c r="U10" s="153" t="s">
        <v>502</v>
      </c>
    </row>
    <row r="11" spans="1:21" ht="28" x14ac:dyDescent="0.15">
      <c r="A11" s="147">
        <v>60019</v>
      </c>
      <c r="B11" s="148" t="str">
        <f ca="1">VLOOKUP($A11,OFFSET([2]quests!$A$1,0,0,COUNTA([2]quests!$A:$A),MATCH(B$1,[2]quests!$1:$1,0)-MATCH($A$1,[2]quests!$1:$1,0)+1),MATCH(B$1,[2]quests!$1:$1,0)-MATCH($A$1,[2]quests!$1:$1,0)+1,FALSE)</f>
        <v>ヘンペルチャレンジ</v>
      </c>
      <c r="C11" s="148" t="str">
        <f ca="1">VLOOKUP($A11,OFFSET([2]quests!$A$1,0,0,COUNTA([2]quests!$A:$A),MATCH(C$1,[2]quests!$1:$1,0)-MATCH($A$1,[2]quests!$1:$1,0)+1),MATCH(C$1,[2]quests!$1:$1,0)-MATCH($A$1,[2]quests!$1:$1,0)+1,FALSE)</f>
        <v>ランキング7</v>
      </c>
      <c r="D11" s="147">
        <v>2</v>
      </c>
      <c r="E11" s="149">
        <v>2</v>
      </c>
      <c r="F11" s="150" t="str">
        <f t="shared" si="1"/>
        <v>600190002</v>
      </c>
      <c r="G11" s="151" t="str">
        <f>F11&amp;TEXT(COUNTIF(F$2:F11,F11),"00")</f>
        <v>60019000205</v>
      </c>
      <c r="H11" s="152" t="s">
        <v>456</v>
      </c>
      <c r="I11" s="152">
        <v>1</v>
      </c>
      <c r="J11" s="152">
        <v>3</v>
      </c>
      <c r="K11" s="152">
        <v>0</v>
      </c>
      <c r="L11" s="152">
        <v>0</v>
      </c>
      <c r="M11" s="152">
        <v>0</v>
      </c>
      <c r="N11" s="152">
        <v>0</v>
      </c>
      <c r="O11" s="152">
        <v>1</v>
      </c>
      <c r="P11" s="152">
        <v>1</v>
      </c>
      <c r="Q11" s="152">
        <v>1</v>
      </c>
      <c r="R11" s="152" t="s">
        <v>454</v>
      </c>
      <c r="S11" s="152" t="s">
        <v>458</v>
      </c>
      <c r="T11" s="152" t="s">
        <v>452</v>
      </c>
      <c r="U11" s="153" t="s">
        <v>502</v>
      </c>
    </row>
    <row r="12" spans="1:21" ht="28" x14ac:dyDescent="0.15">
      <c r="A12" s="147">
        <v>60019</v>
      </c>
      <c r="B12" s="148" t="str">
        <f ca="1">VLOOKUP($A12,OFFSET([2]quests!$A$1,0,0,COUNTA([2]quests!$A:$A),MATCH(B$1,[2]quests!$1:$1,0)-MATCH($A$1,[2]quests!$1:$1,0)+1),MATCH(B$1,[2]quests!$1:$1,0)-MATCH($A$1,[2]quests!$1:$1,0)+1,FALSE)</f>
        <v>ヘンペルチャレンジ</v>
      </c>
      <c r="C12" s="148" t="str">
        <f ca="1">VLOOKUP($A12,OFFSET([2]quests!$A$1,0,0,COUNTA([2]quests!$A:$A),MATCH(C$1,[2]quests!$1:$1,0)-MATCH($A$1,[2]quests!$1:$1,0)+1),MATCH(C$1,[2]quests!$1:$1,0)-MATCH($A$1,[2]quests!$1:$1,0)+1,FALSE)</f>
        <v>ランキング7</v>
      </c>
      <c r="D12" s="147">
        <v>3</v>
      </c>
      <c r="E12" s="149">
        <v>3</v>
      </c>
      <c r="F12" s="150" t="str">
        <f t="shared" si="1"/>
        <v>600190003</v>
      </c>
      <c r="G12" s="151" t="str">
        <f>F12&amp;TEXT(COUNTIF(F$2:F12,F12),"00")</f>
        <v>60019000301</v>
      </c>
      <c r="H12" s="152" t="s">
        <v>456</v>
      </c>
      <c r="I12" s="152">
        <v>606</v>
      </c>
      <c r="J12" s="152">
        <v>3</v>
      </c>
      <c r="K12" s="152">
        <v>0</v>
      </c>
      <c r="L12" s="152">
        <v>0</v>
      </c>
      <c r="M12" s="152">
        <v>0</v>
      </c>
      <c r="N12" s="152">
        <v>0</v>
      </c>
      <c r="O12" s="152">
        <v>1</v>
      </c>
      <c r="P12" s="152">
        <v>1</v>
      </c>
      <c r="Q12" s="152">
        <v>1</v>
      </c>
      <c r="R12" s="152" t="s">
        <v>454</v>
      </c>
      <c r="S12" s="152" t="s">
        <v>501</v>
      </c>
      <c r="T12" s="152" t="s">
        <v>452</v>
      </c>
      <c r="U12" s="153" t="s">
        <v>502</v>
      </c>
    </row>
    <row r="13" spans="1:21" ht="28" x14ac:dyDescent="0.15">
      <c r="A13" s="147">
        <v>60019</v>
      </c>
      <c r="B13" s="148" t="str">
        <f ca="1">VLOOKUP($A13,OFFSET([2]quests!$A$1,0,0,COUNTA([2]quests!$A:$A),MATCH(B$1,[2]quests!$1:$1,0)-MATCH($A$1,[2]quests!$1:$1,0)+1),MATCH(B$1,[2]quests!$1:$1,0)-MATCH($A$1,[2]quests!$1:$1,0)+1,FALSE)</f>
        <v>ヘンペルチャレンジ</v>
      </c>
      <c r="C13" s="148" t="str">
        <f ca="1">VLOOKUP($A13,OFFSET([2]quests!$A$1,0,0,COUNTA([2]quests!$A:$A),MATCH(C$1,[2]quests!$1:$1,0)-MATCH($A$1,[2]quests!$1:$1,0)+1),MATCH(C$1,[2]quests!$1:$1,0)-MATCH($A$1,[2]quests!$1:$1,0)+1,FALSE)</f>
        <v>ランキング7</v>
      </c>
      <c r="D13" s="147">
        <v>3</v>
      </c>
      <c r="E13" s="149">
        <v>3</v>
      </c>
      <c r="F13" s="150" t="str">
        <f t="shared" si="1"/>
        <v>600190003</v>
      </c>
      <c r="G13" s="151" t="str">
        <f>F13&amp;TEXT(COUNTIF(F$2:F13,F13),"00")</f>
        <v>60019000302</v>
      </c>
      <c r="H13" s="152" t="s">
        <v>453</v>
      </c>
      <c r="I13" s="152">
        <v>335</v>
      </c>
      <c r="J13" s="152">
        <v>1</v>
      </c>
      <c r="K13" s="152">
        <v>0</v>
      </c>
      <c r="L13" s="152">
        <v>0</v>
      </c>
      <c r="M13" s="152">
        <v>0</v>
      </c>
      <c r="N13" s="152">
        <v>0</v>
      </c>
      <c r="O13" s="152">
        <v>1</v>
      </c>
      <c r="P13" s="152">
        <v>1</v>
      </c>
      <c r="Q13" s="152">
        <v>1</v>
      </c>
      <c r="R13" s="152" t="s">
        <v>454</v>
      </c>
      <c r="S13" s="152" t="s">
        <v>459</v>
      </c>
      <c r="T13" s="152" t="s">
        <v>452</v>
      </c>
      <c r="U13" s="153" t="s">
        <v>502</v>
      </c>
    </row>
    <row r="14" spans="1:21" ht="28" x14ac:dyDescent="0.15">
      <c r="A14" s="147">
        <v>60019</v>
      </c>
      <c r="B14" s="148" t="str">
        <f ca="1">VLOOKUP($A14,OFFSET([2]quests!$A$1,0,0,COUNTA([2]quests!$A:$A),MATCH(B$1,[2]quests!$1:$1,0)-MATCH($A$1,[2]quests!$1:$1,0)+1),MATCH(B$1,[2]quests!$1:$1,0)-MATCH($A$1,[2]quests!$1:$1,0)+1,FALSE)</f>
        <v>ヘンペルチャレンジ</v>
      </c>
      <c r="C14" s="148" t="str">
        <f ca="1">VLOOKUP($A14,OFFSET([2]quests!$A$1,0,0,COUNTA([2]quests!$A:$A),MATCH(C$1,[2]quests!$1:$1,0)-MATCH($A$1,[2]quests!$1:$1,0)+1),MATCH(C$1,[2]quests!$1:$1,0)-MATCH($A$1,[2]quests!$1:$1,0)+1,FALSE)</f>
        <v>ランキング7</v>
      </c>
      <c r="D14" s="147">
        <v>3</v>
      </c>
      <c r="E14" s="149">
        <v>3</v>
      </c>
      <c r="F14" s="150" t="str">
        <f t="shared" si="1"/>
        <v>600190003</v>
      </c>
      <c r="G14" s="151" t="str">
        <f>F14&amp;TEXT(COUNTIF(F$2:F14,F14),"00")</f>
        <v>60019000303</v>
      </c>
      <c r="H14" s="152" t="s">
        <v>453</v>
      </c>
      <c r="I14" s="152">
        <v>339</v>
      </c>
      <c r="J14" s="152">
        <v>1</v>
      </c>
      <c r="K14" s="152">
        <v>0</v>
      </c>
      <c r="L14" s="152">
        <v>0</v>
      </c>
      <c r="M14" s="152">
        <v>0</v>
      </c>
      <c r="N14" s="152">
        <v>0</v>
      </c>
      <c r="O14" s="152">
        <v>1</v>
      </c>
      <c r="P14" s="152">
        <v>1</v>
      </c>
      <c r="Q14" s="152">
        <v>1</v>
      </c>
      <c r="R14" s="152" t="s">
        <v>454</v>
      </c>
      <c r="S14" s="152" t="s">
        <v>460</v>
      </c>
      <c r="T14" s="152" t="s">
        <v>452</v>
      </c>
      <c r="U14" s="153" t="s">
        <v>502</v>
      </c>
    </row>
    <row r="15" spans="1:21" ht="28" x14ac:dyDescent="0.15">
      <c r="A15" s="147">
        <v>60019</v>
      </c>
      <c r="B15" s="148" t="str">
        <f ca="1">VLOOKUP($A15,OFFSET([2]quests!$A$1,0,0,COUNTA([2]quests!$A:$A),MATCH(B$1,[2]quests!$1:$1,0)-MATCH($A$1,[2]quests!$1:$1,0)+1),MATCH(B$1,[2]quests!$1:$1,0)-MATCH($A$1,[2]quests!$1:$1,0)+1,FALSE)</f>
        <v>ヘンペルチャレンジ</v>
      </c>
      <c r="C15" s="148" t="str">
        <f ca="1">VLOOKUP($A15,OFFSET([2]quests!$A$1,0,0,COUNTA([2]quests!$A:$A),MATCH(C$1,[2]quests!$1:$1,0)-MATCH($A$1,[2]quests!$1:$1,0)+1),MATCH(C$1,[2]quests!$1:$1,0)-MATCH($A$1,[2]quests!$1:$1,0)+1,FALSE)</f>
        <v>ランキング7</v>
      </c>
      <c r="D15" s="147">
        <v>3</v>
      </c>
      <c r="E15" s="149">
        <v>3</v>
      </c>
      <c r="F15" s="150" t="str">
        <f t="shared" si="1"/>
        <v>600190003</v>
      </c>
      <c r="G15" s="151" t="str">
        <f>F15&amp;TEXT(COUNTIF(F$2:F15,F15),"00")</f>
        <v>60019000304</v>
      </c>
      <c r="H15" s="152" t="s">
        <v>453</v>
      </c>
      <c r="I15" s="152">
        <v>343</v>
      </c>
      <c r="J15" s="152">
        <v>1</v>
      </c>
      <c r="K15" s="152">
        <v>0</v>
      </c>
      <c r="L15" s="152">
        <v>0</v>
      </c>
      <c r="M15" s="152">
        <v>0</v>
      </c>
      <c r="N15" s="152">
        <v>0</v>
      </c>
      <c r="O15" s="152">
        <v>1</v>
      </c>
      <c r="P15" s="152">
        <v>1</v>
      </c>
      <c r="Q15" s="152">
        <v>1</v>
      </c>
      <c r="R15" s="152" t="s">
        <v>454</v>
      </c>
      <c r="S15" s="152" t="s">
        <v>461</v>
      </c>
      <c r="T15" s="152" t="s">
        <v>452</v>
      </c>
      <c r="U15" s="153" t="s">
        <v>502</v>
      </c>
    </row>
    <row r="16" spans="1:21" ht="28" x14ac:dyDescent="0.15">
      <c r="A16" s="147">
        <v>60019</v>
      </c>
      <c r="B16" s="148" t="str">
        <f ca="1">VLOOKUP($A16,OFFSET([2]quests!$A$1,0,0,COUNTA([2]quests!$A:$A),MATCH(B$1,[2]quests!$1:$1,0)-MATCH($A$1,[2]quests!$1:$1,0)+1),MATCH(B$1,[2]quests!$1:$1,0)-MATCH($A$1,[2]quests!$1:$1,0)+1,FALSE)</f>
        <v>ヘンペルチャレンジ</v>
      </c>
      <c r="C16" s="148" t="str">
        <f ca="1">VLOOKUP($A16,OFFSET([2]quests!$A$1,0,0,COUNTA([2]quests!$A:$A),MATCH(C$1,[2]quests!$1:$1,0)-MATCH($A$1,[2]quests!$1:$1,0)+1),MATCH(C$1,[2]quests!$1:$1,0)-MATCH($A$1,[2]quests!$1:$1,0)+1,FALSE)</f>
        <v>ランキング7</v>
      </c>
      <c r="D16" s="147">
        <v>3</v>
      </c>
      <c r="E16" s="149">
        <v>3</v>
      </c>
      <c r="F16" s="150" t="str">
        <f t="shared" si="1"/>
        <v>600190003</v>
      </c>
      <c r="G16" s="151" t="str">
        <f>F16&amp;TEXT(COUNTIF(F$2:F16,F16),"00")</f>
        <v>60019000305</v>
      </c>
      <c r="H16" s="152" t="s">
        <v>453</v>
      </c>
      <c r="I16" s="152">
        <v>347</v>
      </c>
      <c r="J16" s="152">
        <v>1</v>
      </c>
      <c r="K16" s="152">
        <v>0</v>
      </c>
      <c r="L16" s="152">
        <v>0</v>
      </c>
      <c r="M16" s="152">
        <v>0</v>
      </c>
      <c r="N16" s="152">
        <v>0</v>
      </c>
      <c r="O16" s="152">
        <v>1</v>
      </c>
      <c r="P16" s="152">
        <v>1</v>
      </c>
      <c r="Q16" s="152">
        <v>1</v>
      </c>
      <c r="R16" s="152" t="s">
        <v>454</v>
      </c>
      <c r="S16" s="152" t="s">
        <v>462</v>
      </c>
      <c r="T16" s="152" t="s">
        <v>452</v>
      </c>
      <c r="U16" s="153" t="s">
        <v>502</v>
      </c>
    </row>
    <row r="17" spans="1:21" ht="28" x14ac:dyDescent="0.15">
      <c r="A17" s="147">
        <v>60019</v>
      </c>
      <c r="B17" s="148" t="str">
        <f ca="1">VLOOKUP($A17,OFFSET([2]quests!$A$1,0,0,COUNTA([2]quests!$A:$A),MATCH(B$1,[2]quests!$1:$1,0)-MATCH($A$1,[2]quests!$1:$1,0)+1),MATCH(B$1,[2]quests!$1:$1,0)-MATCH($A$1,[2]quests!$1:$1,0)+1,FALSE)</f>
        <v>ヘンペルチャレンジ</v>
      </c>
      <c r="C17" s="148" t="str">
        <f ca="1">VLOOKUP($A17,OFFSET([2]quests!$A$1,0,0,COUNTA([2]quests!$A:$A),MATCH(C$1,[2]quests!$1:$1,0)-MATCH($A$1,[2]quests!$1:$1,0)+1),MATCH(C$1,[2]quests!$1:$1,0)-MATCH($A$1,[2]quests!$1:$1,0)+1,FALSE)</f>
        <v>ランキング7</v>
      </c>
      <c r="D17" s="147">
        <v>3</v>
      </c>
      <c r="E17" s="149">
        <v>3</v>
      </c>
      <c r="F17" s="150" t="str">
        <f t="shared" si="1"/>
        <v>600190003</v>
      </c>
      <c r="G17" s="151" t="str">
        <f>F17&amp;TEXT(COUNTIF(F$2:F17,F17),"00")</f>
        <v>60019000306</v>
      </c>
      <c r="H17" s="152" t="s">
        <v>463</v>
      </c>
      <c r="I17" s="152">
        <v>5</v>
      </c>
      <c r="J17" s="152" t="s">
        <v>89</v>
      </c>
      <c r="K17" s="152">
        <v>0</v>
      </c>
      <c r="L17" s="152">
        <v>0</v>
      </c>
      <c r="M17" s="152">
        <v>0</v>
      </c>
      <c r="N17" s="152">
        <v>0</v>
      </c>
      <c r="O17" s="152">
        <v>1</v>
      </c>
      <c r="P17" s="152">
        <v>1</v>
      </c>
      <c r="Q17" s="152">
        <v>1</v>
      </c>
      <c r="R17" s="152" t="s">
        <v>454</v>
      </c>
      <c r="S17" s="152" t="s">
        <v>464</v>
      </c>
      <c r="T17" s="152" t="s">
        <v>452</v>
      </c>
      <c r="U17" s="153" t="s">
        <v>502</v>
      </c>
    </row>
    <row r="18" spans="1:21" ht="28" x14ac:dyDescent="0.15">
      <c r="A18" s="147">
        <v>60019</v>
      </c>
      <c r="B18" s="148" t="str">
        <f ca="1">VLOOKUP($A18,OFFSET([2]quests!$A$1,0,0,COUNTA([2]quests!$A:$A),MATCH(B$1,[2]quests!$1:$1,0)-MATCH($A$1,[2]quests!$1:$1,0)+1),MATCH(B$1,[2]quests!$1:$1,0)-MATCH($A$1,[2]quests!$1:$1,0)+1,FALSE)</f>
        <v>ヘンペルチャレンジ</v>
      </c>
      <c r="C18" s="148" t="str">
        <f ca="1">VLOOKUP($A18,OFFSET([2]quests!$A$1,0,0,COUNTA([2]quests!$A:$A),MATCH(C$1,[2]quests!$1:$1,0)-MATCH($A$1,[2]quests!$1:$1,0)+1),MATCH(C$1,[2]quests!$1:$1,0)-MATCH($A$1,[2]quests!$1:$1,0)+1,FALSE)</f>
        <v>ランキング7</v>
      </c>
      <c r="D18" s="147">
        <v>3</v>
      </c>
      <c r="E18" s="149">
        <v>3</v>
      </c>
      <c r="F18" s="150" t="str">
        <f t="shared" si="1"/>
        <v>600190003</v>
      </c>
      <c r="G18" s="151" t="str">
        <f>F18&amp;TEXT(COUNTIF(F$2:F18,F18),"00")</f>
        <v>60019000307</v>
      </c>
      <c r="H18" s="152" t="s">
        <v>453</v>
      </c>
      <c r="I18" s="152">
        <v>125</v>
      </c>
      <c r="J18" s="152">
        <v>1</v>
      </c>
      <c r="K18" s="152">
        <v>0</v>
      </c>
      <c r="L18" s="152">
        <v>0</v>
      </c>
      <c r="M18" s="152">
        <v>0</v>
      </c>
      <c r="N18" s="152">
        <v>0</v>
      </c>
      <c r="O18" s="152">
        <v>1</v>
      </c>
      <c r="P18" s="152">
        <v>1</v>
      </c>
      <c r="Q18" s="152">
        <v>1</v>
      </c>
      <c r="R18" s="152" t="s">
        <v>454</v>
      </c>
      <c r="S18" s="152" t="s">
        <v>465</v>
      </c>
      <c r="T18" s="152" t="s">
        <v>452</v>
      </c>
      <c r="U18" s="153" t="s">
        <v>502</v>
      </c>
    </row>
    <row r="19" spans="1:21" ht="28" x14ac:dyDescent="0.15">
      <c r="A19" s="147">
        <v>60019</v>
      </c>
      <c r="B19" s="148" t="str">
        <f ca="1">VLOOKUP($A19,OFFSET([2]quests!$A$1,0,0,COUNTA([2]quests!$A:$A),MATCH(B$1,[2]quests!$1:$1,0)-MATCH($A$1,[2]quests!$1:$1,0)+1),MATCH(B$1,[2]quests!$1:$1,0)-MATCH($A$1,[2]quests!$1:$1,0)+1,FALSE)</f>
        <v>ヘンペルチャレンジ</v>
      </c>
      <c r="C19" s="148" t="str">
        <f ca="1">VLOOKUP($A19,OFFSET([2]quests!$A$1,0,0,COUNTA([2]quests!$A:$A),MATCH(C$1,[2]quests!$1:$1,0)-MATCH($A$1,[2]quests!$1:$1,0)+1),MATCH(C$1,[2]quests!$1:$1,0)-MATCH($A$1,[2]quests!$1:$1,0)+1,FALSE)</f>
        <v>ランキング7</v>
      </c>
      <c r="D19" s="147">
        <v>3</v>
      </c>
      <c r="E19" s="149">
        <v>3</v>
      </c>
      <c r="F19" s="150" t="str">
        <f t="shared" si="1"/>
        <v>600190003</v>
      </c>
      <c r="G19" s="151" t="str">
        <f>F19&amp;TEXT(COUNTIF(F$2:F19,F19),"00")</f>
        <v>60019000308</v>
      </c>
      <c r="H19" s="152" t="s">
        <v>456</v>
      </c>
      <c r="I19" s="152">
        <v>1</v>
      </c>
      <c r="J19" s="152">
        <v>1</v>
      </c>
      <c r="K19" s="152">
        <v>0</v>
      </c>
      <c r="L19" s="152">
        <v>0</v>
      </c>
      <c r="M19" s="152">
        <v>0</v>
      </c>
      <c r="N19" s="152">
        <v>0</v>
      </c>
      <c r="O19" s="152">
        <v>1</v>
      </c>
      <c r="P19" s="152">
        <v>1</v>
      </c>
      <c r="Q19" s="152">
        <v>1</v>
      </c>
      <c r="R19" s="152" t="s">
        <v>454</v>
      </c>
      <c r="S19" s="152" t="s">
        <v>466</v>
      </c>
      <c r="T19" s="152" t="s">
        <v>452</v>
      </c>
      <c r="U19" s="153" t="s">
        <v>502</v>
      </c>
    </row>
    <row r="20" spans="1:21" ht="28" x14ac:dyDescent="0.15">
      <c r="A20" s="147">
        <v>60019</v>
      </c>
      <c r="B20" s="148" t="str">
        <f ca="1">VLOOKUP($A20,OFFSET([2]quests!$A$1,0,0,COUNTA([2]quests!$A:$A),MATCH(B$1,[2]quests!$1:$1,0)-MATCH($A$1,[2]quests!$1:$1,0)+1),MATCH(B$1,[2]quests!$1:$1,0)-MATCH($A$1,[2]quests!$1:$1,0)+1,FALSE)</f>
        <v>ヘンペルチャレンジ</v>
      </c>
      <c r="C20" s="148" t="str">
        <f ca="1">VLOOKUP($A20,OFFSET([2]quests!$A$1,0,0,COUNTA([2]quests!$A:$A),MATCH(C$1,[2]quests!$1:$1,0)-MATCH($A$1,[2]quests!$1:$1,0)+1),MATCH(C$1,[2]quests!$1:$1,0)-MATCH($A$1,[2]quests!$1:$1,0)+1,FALSE)</f>
        <v>ランキング7</v>
      </c>
      <c r="D20" s="147">
        <v>4</v>
      </c>
      <c r="E20" s="149">
        <v>5</v>
      </c>
      <c r="F20" s="150" t="str">
        <f t="shared" si="1"/>
        <v>600190005</v>
      </c>
      <c r="G20" s="151" t="str">
        <f>F20&amp;TEXT(COUNTIF(F$2:F20,F20),"00")</f>
        <v>60019000501</v>
      </c>
      <c r="H20" s="152" t="s">
        <v>456</v>
      </c>
      <c r="I20" s="152">
        <v>606</v>
      </c>
      <c r="J20" s="152">
        <v>2</v>
      </c>
      <c r="K20" s="152">
        <v>0</v>
      </c>
      <c r="L20" s="152">
        <v>0</v>
      </c>
      <c r="M20" s="152">
        <v>0</v>
      </c>
      <c r="N20" s="152">
        <v>0</v>
      </c>
      <c r="O20" s="152">
        <v>1</v>
      </c>
      <c r="P20" s="152">
        <v>1</v>
      </c>
      <c r="Q20" s="152">
        <v>1</v>
      </c>
      <c r="R20" s="152" t="s">
        <v>454</v>
      </c>
      <c r="S20" s="152" t="s">
        <v>499</v>
      </c>
      <c r="T20" s="152" t="s">
        <v>452</v>
      </c>
      <c r="U20" s="153" t="s">
        <v>502</v>
      </c>
    </row>
    <row r="21" spans="1:21" ht="28" x14ac:dyDescent="0.15">
      <c r="A21" s="147">
        <v>60019</v>
      </c>
      <c r="B21" s="148" t="str">
        <f ca="1">VLOOKUP($A21,OFFSET([2]quests!$A$1,0,0,COUNTA([2]quests!$A:$A),MATCH(B$1,[2]quests!$1:$1,0)-MATCH($A$1,[2]quests!$1:$1,0)+1),MATCH(B$1,[2]quests!$1:$1,0)-MATCH($A$1,[2]quests!$1:$1,0)+1,FALSE)</f>
        <v>ヘンペルチャレンジ</v>
      </c>
      <c r="C21" s="148" t="str">
        <f ca="1">VLOOKUP($A21,OFFSET([2]quests!$A$1,0,0,COUNTA([2]quests!$A:$A),MATCH(C$1,[2]quests!$1:$1,0)-MATCH($A$1,[2]quests!$1:$1,0)+1),MATCH(C$1,[2]quests!$1:$1,0)-MATCH($A$1,[2]quests!$1:$1,0)+1,FALSE)</f>
        <v>ランキング7</v>
      </c>
      <c r="D21" s="147">
        <v>4</v>
      </c>
      <c r="E21" s="149">
        <v>5</v>
      </c>
      <c r="F21" s="150" t="str">
        <f t="shared" si="1"/>
        <v>600190005</v>
      </c>
      <c r="G21" s="151" t="str">
        <f>F21&amp;TEXT(COUNTIF(F$2:F21,F21),"00")</f>
        <v>60019000502</v>
      </c>
      <c r="H21" s="152" t="s">
        <v>453</v>
      </c>
      <c r="I21" s="152">
        <v>335</v>
      </c>
      <c r="J21" s="152">
        <v>1</v>
      </c>
      <c r="K21" s="152">
        <v>0</v>
      </c>
      <c r="L21" s="152">
        <v>0</v>
      </c>
      <c r="M21" s="152">
        <v>0</v>
      </c>
      <c r="N21" s="152">
        <v>0</v>
      </c>
      <c r="O21" s="152">
        <v>1</v>
      </c>
      <c r="P21" s="152">
        <v>1</v>
      </c>
      <c r="Q21" s="152">
        <v>1</v>
      </c>
      <c r="R21" s="152" t="s">
        <v>454</v>
      </c>
      <c r="S21" s="152" t="s">
        <v>459</v>
      </c>
      <c r="T21" s="152" t="s">
        <v>452</v>
      </c>
      <c r="U21" s="153" t="s">
        <v>502</v>
      </c>
    </row>
    <row r="22" spans="1:21" ht="28" x14ac:dyDescent="0.15">
      <c r="A22" s="147">
        <v>60019</v>
      </c>
      <c r="B22" s="148" t="str">
        <f ca="1">VLOOKUP($A22,OFFSET([2]quests!$A$1,0,0,COUNTA([2]quests!$A:$A),MATCH(B$1,[2]quests!$1:$1,0)-MATCH($A$1,[2]quests!$1:$1,0)+1),MATCH(B$1,[2]quests!$1:$1,0)-MATCH($A$1,[2]quests!$1:$1,0)+1,FALSE)</f>
        <v>ヘンペルチャレンジ</v>
      </c>
      <c r="C22" s="148" t="str">
        <f ca="1">VLOOKUP($A22,OFFSET([2]quests!$A$1,0,0,COUNTA([2]quests!$A:$A),MATCH(C$1,[2]quests!$1:$1,0)-MATCH($A$1,[2]quests!$1:$1,0)+1),MATCH(C$1,[2]quests!$1:$1,0)-MATCH($A$1,[2]quests!$1:$1,0)+1,FALSE)</f>
        <v>ランキング7</v>
      </c>
      <c r="D22" s="147">
        <v>4</v>
      </c>
      <c r="E22" s="149">
        <v>5</v>
      </c>
      <c r="F22" s="150" t="str">
        <f t="shared" si="1"/>
        <v>600190005</v>
      </c>
      <c r="G22" s="151" t="str">
        <f>F22&amp;TEXT(COUNTIF(F$2:F22,F22),"00")</f>
        <v>60019000503</v>
      </c>
      <c r="H22" s="152" t="s">
        <v>453</v>
      </c>
      <c r="I22" s="152">
        <v>339</v>
      </c>
      <c r="J22" s="152">
        <v>1</v>
      </c>
      <c r="K22" s="152">
        <v>0</v>
      </c>
      <c r="L22" s="152">
        <v>0</v>
      </c>
      <c r="M22" s="152">
        <v>0</v>
      </c>
      <c r="N22" s="152">
        <v>0</v>
      </c>
      <c r="O22" s="152">
        <v>1</v>
      </c>
      <c r="P22" s="152">
        <v>1</v>
      </c>
      <c r="Q22" s="152">
        <v>1</v>
      </c>
      <c r="R22" s="152" t="s">
        <v>454</v>
      </c>
      <c r="S22" s="152" t="s">
        <v>460</v>
      </c>
      <c r="T22" s="152" t="s">
        <v>452</v>
      </c>
      <c r="U22" s="153" t="s">
        <v>502</v>
      </c>
    </row>
    <row r="23" spans="1:21" ht="28" x14ac:dyDescent="0.15">
      <c r="A23" s="147">
        <v>60019</v>
      </c>
      <c r="B23" s="148" t="str">
        <f ca="1">VLOOKUP($A23,OFFSET([2]quests!$A$1,0,0,COUNTA([2]quests!$A:$A),MATCH(B$1,[2]quests!$1:$1,0)-MATCH($A$1,[2]quests!$1:$1,0)+1),MATCH(B$1,[2]quests!$1:$1,0)-MATCH($A$1,[2]quests!$1:$1,0)+1,FALSE)</f>
        <v>ヘンペルチャレンジ</v>
      </c>
      <c r="C23" s="148" t="str">
        <f ca="1">VLOOKUP($A23,OFFSET([2]quests!$A$1,0,0,COUNTA([2]quests!$A:$A),MATCH(C$1,[2]quests!$1:$1,0)-MATCH($A$1,[2]quests!$1:$1,0)+1),MATCH(C$1,[2]quests!$1:$1,0)-MATCH($A$1,[2]quests!$1:$1,0)+1,FALSE)</f>
        <v>ランキング7</v>
      </c>
      <c r="D23" s="147">
        <v>4</v>
      </c>
      <c r="E23" s="149">
        <v>5</v>
      </c>
      <c r="F23" s="150" t="str">
        <f t="shared" si="1"/>
        <v>600190005</v>
      </c>
      <c r="G23" s="151" t="str">
        <f>F23&amp;TEXT(COUNTIF(F$2:F23,F23),"00")</f>
        <v>60019000504</v>
      </c>
      <c r="H23" s="152" t="s">
        <v>453</v>
      </c>
      <c r="I23" s="152">
        <v>343</v>
      </c>
      <c r="J23" s="152">
        <v>1</v>
      </c>
      <c r="K23" s="152">
        <v>0</v>
      </c>
      <c r="L23" s="152">
        <v>0</v>
      </c>
      <c r="M23" s="152">
        <v>0</v>
      </c>
      <c r="N23" s="152">
        <v>0</v>
      </c>
      <c r="O23" s="152">
        <v>1</v>
      </c>
      <c r="P23" s="152">
        <v>1</v>
      </c>
      <c r="Q23" s="152">
        <v>1</v>
      </c>
      <c r="R23" s="152" t="s">
        <v>454</v>
      </c>
      <c r="S23" s="152" t="s">
        <v>461</v>
      </c>
      <c r="T23" s="152" t="s">
        <v>452</v>
      </c>
      <c r="U23" s="153" t="s">
        <v>502</v>
      </c>
    </row>
    <row r="24" spans="1:21" ht="28" x14ac:dyDescent="0.15">
      <c r="A24" s="147">
        <v>60019</v>
      </c>
      <c r="B24" s="148" t="str">
        <f ca="1">VLOOKUP($A24,OFFSET([2]quests!$A$1,0,0,COUNTA([2]quests!$A:$A),MATCH(B$1,[2]quests!$1:$1,0)-MATCH($A$1,[2]quests!$1:$1,0)+1),MATCH(B$1,[2]quests!$1:$1,0)-MATCH($A$1,[2]quests!$1:$1,0)+1,FALSE)</f>
        <v>ヘンペルチャレンジ</v>
      </c>
      <c r="C24" s="148" t="str">
        <f ca="1">VLOOKUP($A24,OFFSET([2]quests!$A$1,0,0,COUNTA([2]quests!$A:$A),MATCH(C$1,[2]quests!$1:$1,0)-MATCH($A$1,[2]quests!$1:$1,0)+1),MATCH(C$1,[2]quests!$1:$1,0)-MATCH($A$1,[2]quests!$1:$1,0)+1,FALSE)</f>
        <v>ランキング7</v>
      </c>
      <c r="D24" s="147">
        <v>4</v>
      </c>
      <c r="E24" s="149">
        <v>5</v>
      </c>
      <c r="F24" s="150" t="str">
        <f t="shared" si="1"/>
        <v>600190005</v>
      </c>
      <c r="G24" s="151" t="str">
        <f>F24&amp;TEXT(COUNTIF(F$2:F24,F24),"00")</f>
        <v>60019000505</v>
      </c>
      <c r="H24" s="152" t="s">
        <v>453</v>
      </c>
      <c r="I24" s="152">
        <v>347</v>
      </c>
      <c r="J24" s="152">
        <v>1</v>
      </c>
      <c r="K24" s="152">
        <v>0</v>
      </c>
      <c r="L24" s="152">
        <v>0</v>
      </c>
      <c r="M24" s="152">
        <v>0</v>
      </c>
      <c r="N24" s="152">
        <v>0</v>
      </c>
      <c r="O24" s="152">
        <v>1</v>
      </c>
      <c r="P24" s="152">
        <v>1</v>
      </c>
      <c r="Q24" s="152">
        <v>1</v>
      </c>
      <c r="R24" s="152" t="s">
        <v>454</v>
      </c>
      <c r="S24" s="152" t="s">
        <v>462</v>
      </c>
      <c r="T24" s="152" t="s">
        <v>452</v>
      </c>
      <c r="U24" s="153" t="s">
        <v>502</v>
      </c>
    </row>
    <row r="25" spans="1:21" ht="28" x14ac:dyDescent="0.15">
      <c r="A25" s="147">
        <v>60019</v>
      </c>
      <c r="B25" s="148" t="str">
        <f ca="1">VLOOKUP($A25,OFFSET([2]quests!$A$1,0,0,COUNTA([2]quests!$A:$A),MATCH(B$1,[2]quests!$1:$1,0)-MATCH($A$1,[2]quests!$1:$1,0)+1),MATCH(B$1,[2]quests!$1:$1,0)-MATCH($A$1,[2]quests!$1:$1,0)+1,FALSE)</f>
        <v>ヘンペルチャレンジ</v>
      </c>
      <c r="C25" s="148" t="str">
        <f ca="1">VLOOKUP($A25,OFFSET([2]quests!$A$1,0,0,COUNTA([2]quests!$A:$A),MATCH(C$1,[2]quests!$1:$1,0)-MATCH($A$1,[2]quests!$1:$1,0)+1),MATCH(C$1,[2]quests!$1:$1,0)-MATCH($A$1,[2]quests!$1:$1,0)+1,FALSE)</f>
        <v>ランキング7</v>
      </c>
      <c r="D25" s="147">
        <v>4</v>
      </c>
      <c r="E25" s="149">
        <v>5</v>
      </c>
      <c r="F25" s="150" t="str">
        <f t="shared" si="1"/>
        <v>600190005</v>
      </c>
      <c r="G25" s="151" t="str">
        <f>F25&amp;TEXT(COUNTIF(F$2:F25,F25),"00")</f>
        <v>60019000506</v>
      </c>
      <c r="H25" s="152" t="s">
        <v>463</v>
      </c>
      <c r="I25" s="152">
        <v>5</v>
      </c>
      <c r="J25" s="152" t="s">
        <v>89</v>
      </c>
      <c r="K25" s="152">
        <v>0</v>
      </c>
      <c r="L25" s="152">
        <v>0</v>
      </c>
      <c r="M25" s="152">
        <v>0</v>
      </c>
      <c r="N25" s="152">
        <v>0</v>
      </c>
      <c r="O25" s="152">
        <v>1</v>
      </c>
      <c r="P25" s="152">
        <v>1</v>
      </c>
      <c r="Q25" s="152">
        <v>1</v>
      </c>
      <c r="R25" s="152" t="s">
        <v>454</v>
      </c>
      <c r="S25" s="152" t="s">
        <v>464</v>
      </c>
      <c r="T25" s="152" t="s">
        <v>452</v>
      </c>
      <c r="U25" s="153" t="s">
        <v>502</v>
      </c>
    </row>
    <row r="26" spans="1:21" ht="28" x14ac:dyDescent="0.15">
      <c r="A26" s="147">
        <v>60019</v>
      </c>
      <c r="B26" s="148" t="str">
        <f ca="1">VLOOKUP($A26,OFFSET([2]quests!$A$1,0,0,COUNTA([2]quests!$A:$A),MATCH(B$1,[2]quests!$1:$1,0)-MATCH($A$1,[2]quests!$1:$1,0)+1),MATCH(B$1,[2]quests!$1:$1,0)-MATCH($A$1,[2]quests!$1:$1,0)+1,FALSE)</f>
        <v>ヘンペルチャレンジ</v>
      </c>
      <c r="C26" s="148" t="str">
        <f ca="1">VLOOKUP($A26,OFFSET([2]quests!$A$1,0,0,COUNTA([2]quests!$A:$A),MATCH(C$1,[2]quests!$1:$1,0)-MATCH($A$1,[2]quests!$1:$1,0)+1),MATCH(C$1,[2]quests!$1:$1,0)-MATCH($A$1,[2]quests!$1:$1,0)+1,FALSE)</f>
        <v>ランキング7</v>
      </c>
      <c r="D26" s="147">
        <v>4</v>
      </c>
      <c r="E26" s="149">
        <v>5</v>
      </c>
      <c r="F26" s="150" t="str">
        <f t="shared" si="1"/>
        <v>600190005</v>
      </c>
      <c r="G26" s="151" t="str">
        <f>F26&amp;TEXT(COUNTIF(F$2:F26,F26),"00")</f>
        <v>60019000507</v>
      </c>
      <c r="H26" s="152" t="s">
        <v>471</v>
      </c>
      <c r="I26" s="152">
        <v>2000</v>
      </c>
      <c r="J26" s="152" t="s">
        <v>89</v>
      </c>
      <c r="K26" s="152">
        <v>0</v>
      </c>
      <c r="L26" s="152">
        <v>0</v>
      </c>
      <c r="M26" s="152">
        <v>0</v>
      </c>
      <c r="N26" s="152">
        <v>0</v>
      </c>
      <c r="O26" s="152">
        <v>1</v>
      </c>
      <c r="P26" s="152">
        <v>1</v>
      </c>
      <c r="Q26" s="152">
        <v>1</v>
      </c>
      <c r="R26" s="152" t="s">
        <v>454</v>
      </c>
      <c r="S26" s="152" t="s">
        <v>472</v>
      </c>
      <c r="T26" s="152" t="s">
        <v>452</v>
      </c>
      <c r="U26" s="153" t="s">
        <v>502</v>
      </c>
    </row>
    <row r="27" spans="1:21" ht="28" x14ac:dyDescent="0.15">
      <c r="A27" s="147">
        <v>60019</v>
      </c>
      <c r="B27" s="148" t="str">
        <f ca="1">VLOOKUP($A27,OFFSET([2]quests!$A$1,0,0,COUNTA([2]quests!$A:$A),MATCH(B$1,[2]quests!$1:$1,0)-MATCH($A$1,[2]quests!$1:$1,0)+1),MATCH(B$1,[2]quests!$1:$1,0)-MATCH($A$1,[2]quests!$1:$1,0)+1,FALSE)</f>
        <v>ヘンペルチャレンジ</v>
      </c>
      <c r="C27" s="148" t="str">
        <f ca="1">VLOOKUP($A27,OFFSET([2]quests!$A$1,0,0,COUNTA([2]quests!$A:$A),MATCH(C$1,[2]quests!$1:$1,0)-MATCH($A$1,[2]quests!$1:$1,0)+1),MATCH(C$1,[2]quests!$1:$1,0)-MATCH($A$1,[2]quests!$1:$1,0)+1,FALSE)</f>
        <v>ランキング7</v>
      </c>
      <c r="D27" s="147">
        <v>6</v>
      </c>
      <c r="E27" s="149">
        <v>10</v>
      </c>
      <c r="F27" s="150" t="str">
        <f>A27&amp;TEXT(E27,"0000")</f>
        <v>600190010</v>
      </c>
      <c r="G27" s="151" t="str">
        <f>F27&amp;TEXT(COUNTIF(F$2:F27,F27),"00")</f>
        <v>60019001001</v>
      </c>
      <c r="H27" s="152" t="s">
        <v>456</v>
      </c>
      <c r="I27" s="152">
        <v>606</v>
      </c>
      <c r="J27" s="152">
        <v>1</v>
      </c>
      <c r="K27" s="152">
        <v>0</v>
      </c>
      <c r="L27" s="152">
        <v>0</v>
      </c>
      <c r="M27" s="152">
        <v>0</v>
      </c>
      <c r="N27" s="152">
        <v>0</v>
      </c>
      <c r="O27" s="152">
        <v>1</v>
      </c>
      <c r="P27" s="152">
        <v>1</v>
      </c>
      <c r="Q27" s="152">
        <v>1</v>
      </c>
      <c r="R27" s="152" t="s">
        <v>454</v>
      </c>
      <c r="S27" s="152" t="s">
        <v>500</v>
      </c>
      <c r="T27" s="152" t="s">
        <v>452</v>
      </c>
      <c r="U27" s="153" t="s">
        <v>502</v>
      </c>
    </row>
    <row r="28" spans="1:21" ht="28" x14ac:dyDescent="0.15">
      <c r="A28" s="147">
        <v>60019</v>
      </c>
      <c r="B28" s="148" t="str">
        <f ca="1">VLOOKUP($A28,OFFSET([2]quests!$A$1,0,0,COUNTA([2]quests!$A:$A),MATCH(B$1,[2]quests!$1:$1,0)-MATCH($A$1,[2]quests!$1:$1,0)+1),MATCH(B$1,[2]quests!$1:$1,0)-MATCH($A$1,[2]quests!$1:$1,0)+1,FALSE)</f>
        <v>ヘンペルチャレンジ</v>
      </c>
      <c r="C28" s="148" t="str">
        <f ca="1">VLOOKUP($A28,OFFSET([2]quests!$A$1,0,0,COUNTA([2]quests!$A:$A),MATCH(C$1,[2]quests!$1:$1,0)-MATCH($A$1,[2]quests!$1:$1,0)+1),MATCH(C$1,[2]quests!$1:$1,0)-MATCH($A$1,[2]quests!$1:$1,0)+1,FALSE)</f>
        <v>ランキング7</v>
      </c>
      <c r="D28" s="147">
        <v>6</v>
      </c>
      <c r="E28" s="149">
        <v>10</v>
      </c>
      <c r="F28" s="150" t="str">
        <f t="shared" ref="F28:F42" si="2">A28&amp;TEXT(E28,"0000")</f>
        <v>600190010</v>
      </c>
      <c r="G28" s="151" t="str">
        <f>F28&amp;TEXT(COUNTIF(F$2:F28,F28),"00")</f>
        <v>60019001002</v>
      </c>
      <c r="H28" s="152" t="s">
        <v>453</v>
      </c>
      <c r="I28" s="152">
        <v>334</v>
      </c>
      <c r="J28" s="152">
        <v>1</v>
      </c>
      <c r="K28" s="152">
        <v>0</v>
      </c>
      <c r="L28" s="152">
        <v>0</v>
      </c>
      <c r="M28" s="152">
        <v>0</v>
      </c>
      <c r="N28" s="152">
        <v>0</v>
      </c>
      <c r="O28" s="152">
        <v>1</v>
      </c>
      <c r="P28" s="152">
        <v>1</v>
      </c>
      <c r="Q28" s="152">
        <v>1</v>
      </c>
      <c r="R28" s="152" t="s">
        <v>454</v>
      </c>
      <c r="S28" s="152" t="s">
        <v>467</v>
      </c>
      <c r="T28" s="152" t="s">
        <v>452</v>
      </c>
      <c r="U28" s="153" t="s">
        <v>502</v>
      </c>
    </row>
    <row r="29" spans="1:21" ht="28" x14ac:dyDescent="0.15">
      <c r="A29" s="147">
        <v>60019</v>
      </c>
      <c r="B29" s="148" t="str">
        <f ca="1">VLOOKUP($A29,OFFSET([2]quests!$A$1,0,0,COUNTA([2]quests!$A:$A),MATCH(B$1,[2]quests!$1:$1,0)-MATCH($A$1,[2]quests!$1:$1,0)+1),MATCH(B$1,[2]quests!$1:$1,0)-MATCH($A$1,[2]quests!$1:$1,0)+1,FALSE)</f>
        <v>ヘンペルチャレンジ</v>
      </c>
      <c r="C29" s="148" t="str">
        <f ca="1">VLOOKUP($A29,OFFSET([2]quests!$A$1,0,0,COUNTA([2]quests!$A:$A),MATCH(C$1,[2]quests!$1:$1,0)-MATCH($A$1,[2]quests!$1:$1,0)+1),MATCH(C$1,[2]quests!$1:$1,0)-MATCH($A$1,[2]quests!$1:$1,0)+1,FALSE)</f>
        <v>ランキング7</v>
      </c>
      <c r="D29" s="147">
        <v>6</v>
      </c>
      <c r="E29" s="149">
        <v>10</v>
      </c>
      <c r="F29" s="150" t="str">
        <f t="shared" si="2"/>
        <v>600190010</v>
      </c>
      <c r="G29" s="151" t="str">
        <f>F29&amp;TEXT(COUNTIF(F$2:F29,F29),"00")</f>
        <v>60019001003</v>
      </c>
      <c r="H29" s="152" t="s">
        <v>453</v>
      </c>
      <c r="I29" s="152">
        <v>338</v>
      </c>
      <c r="J29" s="152">
        <v>1</v>
      </c>
      <c r="K29" s="152">
        <v>0</v>
      </c>
      <c r="L29" s="152">
        <v>0</v>
      </c>
      <c r="M29" s="152">
        <v>0</v>
      </c>
      <c r="N29" s="152">
        <v>0</v>
      </c>
      <c r="O29" s="152">
        <v>1</v>
      </c>
      <c r="P29" s="152">
        <v>1</v>
      </c>
      <c r="Q29" s="152">
        <v>1</v>
      </c>
      <c r="R29" s="152" t="s">
        <v>454</v>
      </c>
      <c r="S29" s="152" t="s">
        <v>468</v>
      </c>
      <c r="T29" s="152" t="s">
        <v>452</v>
      </c>
      <c r="U29" s="153" t="s">
        <v>502</v>
      </c>
    </row>
    <row r="30" spans="1:21" ht="28" x14ac:dyDescent="0.15">
      <c r="A30" s="147">
        <v>60019</v>
      </c>
      <c r="B30" s="148" t="str">
        <f ca="1">VLOOKUP($A30,OFFSET([2]quests!$A$1,0,0,COUNTA([2]quests!$A:$A),MATCH(B$1,[2]quests!$1:$1,0)-MATCH($A$1,[2]quests!$1:$1,0)+1),MATCH(B$1,[2]quests!$1:$1,0)-MATCH($A$1,[2]quests!$1:$1,0)+1,FALSE)</f>
        <v>ヘンペルチャレンジ</v>
      </c>
      <c r="C30" s="148" t="str">
        <f ca="1">VLOOKUP($A30,OFFSET([2]quests!$A$1,0,0,COUNTA([2]quests!$A:$A),MATCH(C$1,[2]quests!$1:$1,0)-MATCH($A$1,[2]quests!$1:$1,0)+1),MATCH(C$1,[2]quests!$1:$1,0)-MATCH($A$1,[2]quests!$1:$1,0)+1,FALSE)</f>
        <v>ランキング7</v>
      </c>
      <c r="D30" s="147">
        <v>6</v>
      </c>
      <c r="E30" s="149">
        <v>10</v>
      </c>
      <c r="F30" s="150" t="str">
        <f t="shared" si="2"/>
        <v>600190010</v>
      </c>
      <c r="G30" s="151" t="str">
        <f>F30&amp;TEXT(COUNTIF(F$2:F30,F30),"00")</f>
        <v>60019001004</v>
      </c>
      <c r="H30" s="152" t="s">
        <v>453</v>
      </c>
      <c r="I30" s="152">
        <v>342</v>
      </c>
      <c r="J30" s="152">
        <v>1</v>
      </c>
      <c r="K30" s="152">
        <v>0</v>
      </c>
      <c r="L30" s="152">
        <v>0</v>
      </c>
      <c r="M30" s="152">
        <v>0</v>
      </c>
      <c r="N30" s="152">
        <v>0</v>
      </c>
      <c r="O30" s="152">
        <v>1</v>
      </c>
      <c r="P30" s="152">
        <v>1</v>
      </c>
      <c r="Q30" s="152">
        <v>1</v>
      </c>
      <c r="R30" s="152" t="s">
        <v>454</v>
      </c>
      <c r="S30" s="152" t="s">
        <v>469</v>
      </c>
      <c r="T30" s="152" t="s">
        <v>452</v>
      </c>
      <c r="U30" s="153" t="s">
        <v>502</v>
      </c>
    </row>
    <row r="31" spans="1:21" ht="28" x14ac:dyDescent="0.15">
      <c r="A31" s="147">
        <v>60019</v>
      </c>
      <c r="B31" s="148" t="str">
        <f ca="1">VLOOKUP($A31,OFFSET([2]quests!$A$1,0,0,COUNTA([2]quests!$A:$A),MATCH(B$1,[2]quests!$1:$1,0)-MATCH($A$1,[2]quests!$1:$1,0)+1),MATCH(B$1,[2]quests!$1:$1,0)-MATCH($A$1,[2]quests!$1:$1,0)+1,FALSE)</f>
        <v>ヘンペルチャレンジ</v>
      </c>
      <c r="C31" s="148" t="str">
        <f ca="1">VLOOKUP($A31,OFFSET([2]quests!$A$1,0,0,COUNTA([2]quests!$A:$A),MATCH(C$1,[2]quests!$1:$1,0)-MATCH($A$1,[2]quests!$1:$1,0)+1),MATCH(C$1,[2]quests!$1:$1,0)-MATCH($A$1,[2]quests!$1:$1,0)+1,FALSE)</f>
        <v>ランキング7</v>
      </c>
      <c r="D31" s="147">
        <v>6</v>
      </c>
      <c r="E31" s="149">
        <v>10</v>
      </c>
      <c r="F31" s="150" t="str">
        <f t="shared" si="2"/>
        <v>600190010</v>
      </c>
      <c r="G31" s="151" t="str">
        <f>F31&amp;TEXT(COUNTIF(F$2:F31,F31),"00")</f>
        <v>60019001005</v>
      </c>
      <c r="H31" s="152" t="s">
        <v>453</v>
      </c>
      <c r="I31" s="152">
        <v>346</v>
      </c>
      <c r="J31" s="152">
        <v>1</v>
      </c>
      <c r="K31" s="152">
        <v>0</v>
      </c>
      <c r="L31" s="152">
        <v>0</v>
      </c>
      <c r="M31" s="152">
        <v>0</v>
      </c>
      <c r="N31" s="152">
        <v>0</v>
      </c>
      <c r="O31" s="152">
        <v>1</v>
      </c>
      <c r="P31" s="152">
        <v>1</v>
      </c>
      <c r="Q31" s="152">
        <v>1</v>
      </c>
      <c r="R31" s="152" t="s">
        <v>454</v>
      </c>
      <c r="S31" s="152" t="s">
        <v>470</v>
      </c>
      <c r="T31" s="152" t="s">
        <v>452</v>
      </c>
      <c r="U31" s="153" t="s">
        <v>502</v>
      </c>
    </row>
    <row r="32" spans="1:21" ht="28" x14ac:dyDescent="0.15">
      <c r="A32" s="147">
        <v>60019</v>
      </c>
      <c r="B32" s="148" t="str">
        <f ca="1">VLOOKUP($A32,OFFSET([2]quests!$A$1,0,0,COUNTA([2]quests!$A:$A),MATCH(B$1,[2]quests!$1:$1,0)-MATCH($A$1,[2]quests!$1:$1,0)+1),MATCH(B$1,[2]quests!$1:$1,0)-MATCH($A$1,[2]quests!$1:$1,0)+1,FALSE)</f>
        <v>ヘンペルチャレンジ</v>
      </c>
      <c r="C32" s="148" t="str">
        <f ca="1">VLOOKUP($A32,OFFSET([2]quests!$A$1,0,0,COUNTA([2]quests!$A:$A),MATCH(C$1,[2]quests!$1:$1,0)-MATCH($A$1,[2]quests!$1:$1,0)+1),MATCH(C$1,[2]quests!$1:$1,0)-MATCH($A$1,[2]quests!$1:$1,0)+1,FALSE)</f>
        <v>ランキング7</v>
      </c>
      <c r="D32" s="147">
        <v>6</v>
      </c>
      <c r="E32" s="149">
        <v>10</v>
      </c>
      <c r="F32" s="150" t="str">
        <f t="shared" si="2"/>
        <v>600190010</v>
      </c>
      <c r="G32" s="151" t="str">
        <f>F32&amp;TEXT(COUNTIF(F$2:F32,F32),"00")</f>
        <v>60019001006</v>
      </c>
      <c r="H32" s="152" t="s">
        <v>463</v>
      </c>
      <c r="I32" s="152">
        <v>3</v>
      </c>
      <c r="J32" s="152" t="s">
        <v>89</v>
      </c>
      <c r="K32" s="152">
        <v>0</v>
      </c>
      <c r="L32" s="152">
        <v>0</v>
      </c>
      <c r="M32" s="152">
        <v>0</v>
      </c>
      <c r="N32" s="152">
        <v>0</v>
      </c>
      <c r="O32" s="152">
        <v>1</v>
      </c>
      <c r="P32" s="152">
        <v>1</v>
      </c>
      <c r="Q32" s="152">
        <v>1</v>
      </c>
      <c r="R32" s="152" t="s">
        <v>454</v>
      </c>
      <c r="S32" s="152" t="s">
        <v>496</v>
      </c>
      <c r="T32" s="152" t="s">
        <v>452</v>
      </c>
      <c r="U32" s="153" t="s">
        <v>502</v>
      </c>
    </row>
    <row r="33" spans="1:21" ht="28" x14ac:dyDescent="0.15">
      <c r="A33" s="147">
        <v>60019</v>
      </c>
      <c r="B33" s="148" t="str">
        <f ca="1">VLOOKUP($A33,OFFSET([2]quests!$A$1,0,0,COUNTA([2]quests!$A:$A),MATCH(B$1,[2]quests!$1:$1,0)-MATCH($A$1,[2]quests!$1:$1,0)+1),MATCH(B$1,[2]quests!$1:$1,0)-MATCH($A$1,[2]quests!$1:$1,0)+1,FALSE)</f>
        <v>ヘンペルチャレンジ</v>
      </c>
      <c r="C33" s="148" t="str">
        <f ca="1">VLOOKUP($A33,OFFSET([2]quests!$A$1,0,0,COUNTA([2]quests!$A:$A),MATCH(C$1,[2]quests!$1:$1,0)-MATCH($A$1,[2]quests!$1:$1,0)+1),MATCH(C$1,[2]quests!$1:$1,0)-MATCH($A$1,[2]quests!$1:$1,0)+1,FALSE)</f>
        <v>ランキング7</v>
      </c>
      <c r="D33" s="147">
        <v>6</v>
      </c>
      <c r="E33" s="149">
        <v>10</v>
      </c>
      <c r="F33" s="150" t="str">
        <f t="shared" si="2"/>
        <v>600190010</v>
      </c>
      <c r="G33" s="151" t="str">
        <f>F33&amp;TEXT(COUNTIF(F$2:F33,F33),"00")</f>
        <v>60019001007</v>
      </c>
      <c r="H33" s="152" t="s">
        <v>471</v>
      </c>
      <c r="I33" s="152">
        <v>2000</v>
      </c>
      <c r="J33" s="152" t="s">
        <v>89</v>
      </c>
      <c r="K33" s="152">
        <v>0</v>
      </c>
      <c r="L33" s="152">
        <v>0</v>
      </c>
      <c r="M33" s="152">
        <v>0</v>
      </c>
      <c r="N33" s="152">
        <v>0</v>
      </c>
      <c r="O33" s="152">
        <v>1</v>
      </c>
      <c r="P33" s="152">
        <v>1</v>
      </c>
      <c r="Q33" s="152">
        <v>1</v>
      </c>
      <c r="R33" s="152" t="s">
        <v>454</v>
      </c>
      <c r="S33" s="152" t="s">
        <v>472</v>
      </c>
      <c r="T33" s="152" t="s">
        <v>452</v>
      </c>
      <c r="U33" s="153" t="s">
        <v>502</v>
      </c>
    </row>
    <row r="34" spans="1:21" ht="28" x14ac:dyDescent="0.15">
      <c r="A34" s="147">
        <v>60019</v>
      </c>
      <c r="B34" s="148" t="str">
        <f ca="1">VLOOKUP($A34,OFFSET([2]quests!$A$1,0,0,COUNTA([2]quests!$A:$A),MATCH(B$1,[2]quests!$1:$1,0)-MATCH($A$1,[2]quests!$1:$1,0)+1),MATCH(B$1,[2]quests!$1:$1,0)-MATCH($A$1,[2]quests!$1:$1,0)+1,FALSE)</f>
        <v>ヘンペルチャレンジ</v>
      </c>
      <c r="C34" s="148" t="str">
        <f ca="1">VLOOKUP($A34,OFFSET([2]quests!$A$1,0,0,COUNTA([2]quests!$A:$A),MATCH(C$1,[2]quests!$1:$1,0)-MATCH($A$1,[2]quests!$1:$1,0)+1),MATCH(C$1,[2]quests!$1:$1,0)-MATCH($A$1,[2]quests!$1:$1,0)+1,FALSE)</f>
        <v>ランキング7</v>
      </c>
      <c r="D34" s="147">
        <v>11</v>
      </c>
      <c r="E34" s="149">
        <v>25</v>
      </c>
      <c r="F34" s="150" t="str">
        <f t="shared" si="2"/>
        <v>600190025</v>
      </c>
      <c r="G34" s="151" t="str">
        <f>F34&amp;TEXT(COUNTIF(F$2:F34,F34),"00")</f>
        <v>60019002501</v>
      </c>
      <c r="H34" s="152" t="s">
        <v>463</v>
      </c>
      <c r="I34" s="152">
        <v>3</v>
      </c>
      <c r="J34" s="152" t="s">
        <v>89</v>
      </c>
      <c r="K34" s="152">
        <v>0</v>
      </c>
      <c r="L34" s="152">
        <v>0</v>
      </c>
      <c r="M34" s="152">
        <v>0</v>
      </c>
      <c r="N34" s="152">
        <v>0</v>
      </c>
      <c r="O34" s="152">
        <v>1</v>
      </c>
      <c r="P34" s="152">
        <v>1</v>
      </c>
      <c r="Q34" s="152">
        <v>1</v>
      </c>
      <c r="R34" s="152" t="s">
        <v>454</v>
      </c>
      <c r="S34" s="152" t="s">
        <v>496</v>
      </c>
      <c r="T34" s="152" t="s">
        <v>452</v>
      </c>
      <c r="U34" s="153" t="s">
        <v>502</v>
      </c>
    </row>
    <row r="35" spans="1:21" ht="28" x14ac:dyDescent="0.15">
      <c r="A35" s="147">
        <v>60019</v>
      </c>
      <c r="B35" s="148" t="str">
        <f ca="1">VLOOKUP($A35,OFFSET([2]quests!$A$1,0,0,COUNTA([2]quests!$A:$A),MATCH(B$1,[2]quests!$1:$1,0)-MATCH($A$1,[2]quests!$1:$1,0)+1),MATCH(B$1,[2]quests!$1:$1,0)-MATCH($A$1,[2]quests!$1:$1,0)+1,FALSE)</f>
        <v>ヘンペルチャレンジ</v>
      </c>
      <c r="C35" s="148" t="str">
        <f ca="1">VLOOKUP($A35,OFFSET([2]quests!$A$1,0,0,COUNTA([2]quests!$A:$A),MATCH(C$1,[2]quests!$1:$1,0)-MATCH($A$1,[2]quests!$1:$1,0)+1),MATCH(C$1,[2]quests!$1:$1,0)-MATCH($A$1,[2]quests!$1:$1,0)+1,FALSE)</f>
        <v>ランキング7</v>
      </c>
      <c r="D35" s="147">
        <v>11</v>
      </c>
      <c r="E35" s="149">
        <v>25</v>
      </c>
      <c r="F35" s="150" t="str">
        <f t="shared" si="2"/>
        <v>600190025</v>
      </c>
      <c r="G35" s="151" t="str">
        <f>F35&amp;TEXT(COUNTIF(F$2:F35,F35),"00")</f>
        <v>60019002502</v>
      </c>
      <c r="H35" s="152" t="s">
        <v>471</v>
      </c>
      <c r="I35" s="152">
        <v>2000</v>
      </c>
      <c r="J35" s="152" t="s">
        <v>89</v>
      </c>
      <c r="K35" s="152">
        <v>0</v>
      </c>
      <c r="L35" s="152">
        <v>0</v>
      </c>
      <c r="M35" s="152">
        <v>0</v>
      </c>
      <c r="N35" s="152">
        <v>0</v>
      </c>
      <c r="O35" s="152">
        <v>1</v>
      </c>
      <c r="P35" s="152">
        <v>1</v>
      </c>
      <c r="Q35" s="152">
        <v>1</v>
      </c>
      <c r="R35" s="152" t="s">
        <v>454</v>
      </c>
      <c r="S35" s="152" t="s">
        <v>472</v>
      </c>
      <c r="T35" s="152" t="s">
        <v>452</v>
      </c>
      <c r="U35" s="153" t="s">
        <v>502</v>
      </c>
    </row>
    <row r="36" spans="1:21" ht="28" x14ac:dyDescent="0.15">
      <c r="A36" s="147">
        <v>60019</v>
      </c>
      <c r="B36" s="148" t="str">
        <f ca="1">VLOOKUP($A36,OFFSET([2]quests!$A$1,0,0,COUNTA([2]quests!$A:$A),MATCH(B$1,[2]quests!$1:$1,0)-MATCH($A$1,[2]quests!$1:$1,0)+1),MATCH(B$1,[2]quests!$1:$1,0)-MATCH($A$1,[2]quests!$1:$1,0)+1,FALSE)</f>
        <v>ヘンペルチャレンジ</v>
      </c>
      <c r="C36" s="148" t="str">
        <f ca="1">VLOOKUP($A36,OFFSET([2]quests!$A$1,0,0,COUNTA([2]quests!$A:$A),MATCH(C$1,[2]quests!$1:$1,0)-MATCH($A$1,[2]quests!$1:$1,0)+1),MATCH(C$1,[2]quests!$1:$1,0)-MATCH($A$1,[2]quests!$1:$1,0)+1,FALSE)</f>
        <v>ランキング7</v>
      </c>
      <c r="D36" s="147">
        <v>11</v>
      </c>
      <c r="E36" s="149">
        <v>25</v>
      </c>
      <c r="F36" s="150" t="str">
        <f t="shared" si="2"/>
        <v>600190025</v>
      </c>
      <c r="G36" s="151" t="str">
        <f>F36&amp;TEXT(COUNTIF(F$2:F36,F36),"00")</f>
        <v>60019002503</v>
      </c>
      <c r="H36" s="152" t="s">
        <v>473</v>
      </c>
      <c r="I36" s="152">
        <v>200000</v>
      </c>
      <c r="J36" s="152" t="s">
        <v>89</v>
      </c>
      <c r="K36" s="152">
        <v>0</v>
      </c>
      <c r="L36" s="152">
        <v>0</v>
      </c>
      <c r="M36" s="152">
        <v>0</v>
      </c>
      <c r="N36" s="152">
        <v>0</v>
      </c>
      <c r="O36" s="152">
        <v>1</v>
      </c>
      <c r="P36" s="152">
        <v>1</v>
      </c>
      <c r="Q36" s="152">
        <v>1</v>
      </c>
      <c r="R36" s="152" t="s">
        <v>454</v>
      </c>
      <c r="S36" s="152" t="s">
        <v>474</v>
      </c>
      <c r="T36" s="152" t="s">
        <v>452</v>
      </c>
      <c r="U36" s="153" t="s">
        <v>502</v>
      </c>
    </row>
    <row r="37" spans="1:21" ht="28" x14ac:dyDescent="0.15">
      <c r="A37" s="147">
        <v>60019</v>
      </c>
      <c r="B37" s="148" t="str">
        <f ca="1">VLOOKUP($A37,OFFSET([2]quests!$A$1,0,0,COUNTA([2]quests!$A:$A),MATCH(B$1,[2]quests!$1:$1,0)-MATCH($A$1,[2]quests!$1:$1,0)+1),MATCH(B$1,[2]quests!$1:$1,0)-MATCH($A$1,[2]quests!$1:$1,0)+1,FALSE)</f>
        <v>ヘンペルチャレンジ</v>
      </c>
      <c r="C37" s="148" t="str">
        <f ca="1">VLOOKUP($A37,OFFSET([2]quests!$A$1,0,0,COUNTA([2]quests!$A:$A),MATCH(C$1,[2]quests!$1:$1,0)-MATCH($A$1,[2]quests!$1:$1,0)+1),MATCH(C$1,[2]quests!$1:$1,0)-MATCH($A$1,[2]quests!$1:$1,0)+1,FALSE)</f>
        <v>ランキング7</v>
      </c>
      <c r="D37" s="147">
        <v>26</v>
      </c>
      <c r="E37" s="149">
        <v>35</v>
      </c>
      <c r="F37" s="150" t="str">
        <f t="shared" si="2"/>
        <v>600190035</v>
      </c>
      <c r="G37" s="151" t="str">
        <f>F37&amp;TEXT(COUNTIF(F$2:F37,F37),"00")</f>
        <v>60019003501</v>
      </c>
      <c r="H37" s="152" t="s">
        <v>463</v>
      </c>
      <c r="I37" s="152">
        <v>2</v>
      </c>
      <c r="J37" s="152" t="s">
        <v>89</v>
      </c>
      <c r="K37" s="152">
        <v>0</v>
      </c>
      <c r="L37" s="152">
        <v>0</v>
      </c>
      <c r="M37" s="152">
        <v>0</v>
      </c>
      <c r="N37" s="152">
        <v>0</v>
      </c>
      <c r="O37" s="152">
        <v>1</v>
      </c>
      <c r="P37" s="152">
        <v>1</v>
      </c>
      <c r="Q37" s="152">
        <v>1</v>
      </c>
      <c r="R37" s="152" t="s">
        <v>454</v>
      </c>
      <c r="S37" s="152" t="s">
        <v>497</v>
      </c>
      <c r="T37" s="152" t="s">
        <v>452</v>
      </c>
      <c r="U37" s="153" t="s">
        <v>502</v>
      </c>
    </row>
    <row r="38" spans="1:21" ht="28" x14ac:dyDescent="0.15">
      <c r="A38" s="147">
        <v>60019</v>
      </c>
      <c r="B38" s="148" t="str">
        <f ca="1">VLOOKUP($A38,OFFSET([2]quests!$A$1,0,0,COUNTA([2]quests!$A:$A),MATCH(B$1,[2]quests!$1:$1,0)-MATCH($A$1,[2]quests!$1:$1,0)+1),MATCH(B$1,[2]quests!$1:$1,0)-MATCH($A$1,[2]quests!$1:$1,0)+1,FALSE)</f>
        <v>ヘンペルチャレンジ</v>
      </c>
      <c r="C38" s="148" t="str">
        <f ca="1">VLOOKUP($A38,OFFSET([2]quests!$A$1,0,0,COUNTA([2]quests!$A:$A),MATCH(C$1,[2]quests!$1:$1,0)-MATCH($A$1,[2]quests!$1:$1,0)+1),MATCH(C$1,[2]quests!$1:$1,0)-MATCH($A$1,[2]quests!$1:$1,0)+1,FALSE)</f>
        <v>ランキング7</v>
      </c>
      <c r="D38" s="147">
        <v>26</v>
      </c>
      <c r="E38" s="149">
        <v>35</v>
      </c>
      <c r="F38" s="150" t="str">
        <f t="shared" si="2"/>
        <v>600190035</v>
      </c>
      <c r="G38" s="151" t="str">
        <f>F38&amp;TEXT(COUNTIF(F$2:F38,F38),"00")</f>
        <v>60019003502</v>
      </c>
      <c r="H38" s="152" t="s">
        <v>471</v>
      </c>
      <c r="I38" s="152">
        <v>1000</v>
      </c>
      <c r="J38" s="152" t="s">
        <v>89</v>
      </c>
      <c r="K38" s="152">
        <v>0</v>
      </c>
      <c r="L38" s="152">
        <v>0</v>
      </c>
      <c r="M38" s="152">
        <v>0</v>
      </c>
      <c r="N38" s="152">
        <v>0</v>
      </c>
      <c r="O38" s="152">
        <v>1</v>
      </c>
      <c r="P38" s="152">
        <v>1</v>
      </c>
      <c r="Q38" s="152">
        <v>1</v>
      </c>
      <c r="R38" s="152" t="s">
        <v>454</v>
      </c>
      <c r="S38" s="152" t="s">
        <v>475</v>
      </c>
      <c r="T38" s="152" t="s">
        <v>452</v>
      </c>
      <c r="U38" s="153" t="s">
        <v>502</v>
      </c>
    </row>
    <row r="39" spans="1:21" ht="28" x14ac:dyDescent="0.15">
      <c r="A39" s="147">
        <v>60019</v>
      </c>
      <c r="B39" s="148" t="str">
        <f ca="1">VLOOKUP($A39,OFFSET([2]quests!$A$1,0,0,COUNTA([2]quests!$A:$A),MATCH(B$1,[2]quests!$1:$1,0)-MATCH($A$1,[2]quests!$1:$1,0)+1),MATCH(B$1,[2]quests!$1:$1,0)-MATCH($A$1,[2]quests!$1:$1,0)+1,FALSE)</f>
        <v>ヘンペルチャレンジ</v>
      </c>
      <c r="C39" s="148" t="str">
        <f ca="1">VLOOKUP($A39,OFFSET([2]quests!$A$1,0,0,COUNTA([2]quests!$A:$A),MATCH(C$1,[2]quests!$1:$1,0)-MATCH($A$1,[2]quests!$1:$1,0)+1),MATCH(C$1,[2]quests!$1:$1,0)-MATCH($A$1,[2]quests!$1:$1,0)+1,FALSE)</f>
        <v>ランキング7</v>
      </c>
      <c r="D39" s="147">
        <v>26</v>
      </c>
      <c r="E39" s="149">
        <v>35</v>
      </c>
      <c r="F39" s="150" t="str">
        <f t="shared" si="2"/>
        <v>600190035</v>
      </c>
      <c r="G39" s="151" t="str">
        <f>F39&amp;TEXT(COUNTIF(F$2:F39,F39),"00")</f>
        <v>60019003503</v>
      </c>
      <c r="H39" s="152" t="s">
        <v>473</v>
      </c>
      <c r="I39" s="152">
        <v>150000</v>
      </c>
      <c r="J39" s="152" t="s">
        <v>89</v>
      </c>
      <c r="K39" s="152">
        <v>0</v>
      </c>
      <c r="L39" s="152">
        <v>0</v>
      </c>
      <c r="M39" s="152">
        <v>0</v>
      </c>
      <c r="N39" s="152">
        <v>0</v>
      </c>
      <c r="O39" s="152">
        <v>1</v>
      </c>
      <c r="P39" s="152">
        <v>1</v>
      </c>
      <c r="Q39" s="152">
        <v>1</v>
      </c>
      <c r="R39" s="152" t="s">
        <v>454</v>
      </c>
      <c r="S39" s="152" t="s">
        <v>476</v>
      </c>
      <c r="T39" s="152" t="s">
        <v>452</v>
      </c>
      <c r="U39" s="153" t="s">
        <v>502</v>
      </c>
    </row>
    <row r="40" spans="1:21" ht="28" x14ac:dyDescent="0.15">
      <c r="A40" s="147">
        <v>60019</v>
      </c>
      <c r="B40" s="148" t="str">
        <f ca="1">VLOOKUP($A40,OFFSET([2]quests!$A$1,0,0,COUNTA([2]quests!$A:$A),MATCH(B$1,[2]quests!$1:$1,0)-MATCH($A$1,[2]quests!$1:$1,0)+1),MATCH(B$1,[2]quests!$1:$1,0)-MATCH($A$1,[2]quests!$1:$1,0)+1,FALSE)</f>
        <v>ヘンペルチャレンジ</v>
      </c>
      <c r="C40" s="148" t="str">
        <f ca="1">VLOOKUP($A40,OFFSET([2]quests!$A$1,0,0,COUNTA([2]quests!$A:$A),MATCH(C$1,[2]quests!$1:$1,0)-MATCH($A$1,[2]quests!$1:$1,0)+1),MATCH(C$1,[2]quests!$1:$1,0)-MATCH($A$1,[2]quests!$1:$1,0)+1,FALSE)</f>
        <v>ランキング7</v>
      </c>
      <c r="D40" s="147">
        <v>36</v>
      </c>
      <c r="E40" s="149">
        <v>1000</v>
      </c>
      <c r="F40" s="150" t="str">
        <f t="shared" si="2"/>
        <v>600191000</v>
      </c>
      <c r="G40" s="151" t="str">
        <f>F40&amp;TEXT(COUNTIF(F$2:F40,F40),"00")</f>
        <v>60019100001</v>
      </c>
      <c r="H40" s="152" t="s">
        <v>463</v>
      </c>
      <c r="I40" s="152">
        <v>1</v>
      </c>
      <c r="J40" s="152" t="s">
        <v>89</v>
      </c>
      <c r="K40" s="152">
        <v>0</v>
      </c>
      <c r="L40" s="152">
        <v>0</v>
      </c>
      <c r="M40" s="152">
        <v>0</v>
      </c>
      <c r="N40" s="152">
        <v>0</v>
      </c>
      <c r="O40" s="152">
        <v>1</v>
      </c>
      <c r="P40" s="152">
        <v>1</v>
      </c>
      <c r="Q40" s="152">
        <v>1</v>
      </c>
      <c r="R40" s="152" t="s">
        <v>454</v>
      </c>
      <c r="S40" s="152" t="s">
        <v>477</v>
      </c>
      <c r="T40" s="152" t="s">
        <v>452</v>
      </c>
      <c r="U40" s="153" t="s">
        <v>502</v>
      </c>
    </row>
    <row r="41" spans="1:21" ht="28" x14ac:dyDescent="0.15">
      <c r="A41" s="147">
        <v>60019</v>
      </c>
      <c r="B41" s="148" t="str">
        <f ca="1">VLOOKUP($A41,OFFSET([2]quests!$A$1,0,0,COUNTA([2]quests!$A:$A),MATCH(B$1,[2]quests!$1:$1,0)-MATCH($A$1,[2]quests!$1:$1,0)+1),MATCH(B$1,[2]quests!$1:$1,0)-MATCH($A$1,[2]quests!$1:$1,0)+1,FALSE)</f>
        <v>ヘンペルチャレンジ</v>
      </c>
      <c r="C41" s="148" t="str">
        <f ca="1">VLOOKUP($A41,OFFSET([2]quests!$A$1,0,0,COUNTA([2]quests!$A:$A),MATCH(C$1,[2]quests!$1:$1,0)-MATCH($A$1,[2]quests!$1:$1,0)+1),MATCH(C$1,[2]quests!$1:$1,0)-MATCH($A$1,[2]quests!$1:$1,0)+1,FALSE)</f>
        <v>ランキング7</v>
      </c>
      <c r="D41" s="147">
        <v>36</v>
      </c>
      <c r="E41" s="149">
        <v>1000</v>
      </c>
      <c r="F41" s="150" t="str">
        <f t="shared" si="2"/>
        <v>600191000</v>
      </c>
      <c r="G41" s="151" t="str">
        <f>F41&amp;TEXT(COUNTIF(F$2:F41,F41),"00")</f>
        <v>60019100002</v>
      </c>
      <c r="H41" s="152" t="s">
        <v>471</v>
      </c>
      <c r="I41" s="152">
        <v>1000</v>
      </c>
      <c r="J41" s="152" t="s">
        <v>89</v>
      </c>
      <c r="K41" s="152">
        <v>0</v>
      </c>
      <c r="L41" s="152">
        <v>0</v>
      </c>
      <c r="M41" s="152">
        <v>0</v>
      </c>
      <c r="N41" s="152">
        <v>0</v>
      </c>
      <c r="O41" s="152">
        <v>1</v>
      </c>
      <c r="P41" s="152">
        <v>1</v>
      </c>
      <c r="Q41" s="152">
        <v>1</v>
      </c>
      <c r="R41" s="152" t="s">
        <v>454</v>
      </c>
      <c r="S41" s="152" t="s">
        <v>475</v>
      </c>
      <c r="T41" s="152" t="s">
        <v>452</v>
      </c>
      <c r="U41" s="153" t="s">
        <v>502</v>
      </c>
    </row>
    <row r="42" spans="1:21" ht="28" x14ac:dyDescent="0.15">
      <c r="A42" s="147">
        <v>60019</v>
      </c>
      <c r="B42" s="148" t="str">
        <f ca="1">VLOOKUP($A42,OFFSET([2]quests!$A$1,0,0,COUNTA([2]quests!$A:$A),MATCH(B$1,[2]quests!$1:$1,0)-MATCH($A$1,[2]quests!$1:$1,0)+1),MATCH(B$1,[2]quests!$1:$1,0)-MATCH($A$1,[2]quests!$1:$1,0)+1,FALSE)</f>
        <v>ヘンペルチャレンジ</v>
      </c>
      <c r="C42" s="148" t="str">
        <f ca="1">VLOOKUP($A42,OFFSET([2]quests!$A$1,0,0,COUNTA([2]quests!$A:$A),MATCH(C$1,[2]quests!$1:$1,0)-MATCH($A$1,[2]quests!$1:$1,0)+1),MATCH(C$1,[2]quests!$1:$1,0)-MATCH($A$1,[2]quests!$1:$1,0)+1,FALSE)</f>
        <v>ランキング7</v>
      </c>
      <c r="D42" s="147">
        <v>36</v>
      </c>
      <c r="E42" s="149">
        <v>1000</v>
      </c>
      <c r="F42" s="150" t="str">
        <f t="shared" si="2"/>
        <v>600191000</v>
      </c>
      <c r="G42" s="151" t="str">
        <f>F42&amp;TEXT(COUNTIF(F$2:F42,F42),"00")</f>
        <v>60019100003</v>
      </c>
      <c r="H42" s="152" t="s">
        <v>473</v>
      </c>
      <c r="I42" s="152">
        <v>100000</v>
      </c>
      <c r="J42" s="152" t="s">
        <v>89</v>
      </c>
      <c r="K42" s="152">
        <v>0</v>
      </c>
      <c r="L42" s="152">
        <v>0</v>
      </c>
      <c r="M42" s="152">
        <v>0</v>
      </c>
      <c r="N42" s="152">
        <v>0</v>
      </c>
      <c r="O42" s="152">
        <v>1</v>
      </c>
      <c r="P42" s="152">
        <v>1</v>
      </c>
      <c r="Q42" s="152">
        <v>1</v>
      </c>
      <c r="R42" s="152" t="s">
        <v>454</v>
      </c>
      <c r="S42" s="152" t="s">
        <v>289</v>
      </c>
      <c r="T42" s="152" t="s">
        <v>452</v>
      </c>
      <c r="U42" s="153" t="s">
        <v>502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9"/>
  <sheetViews>
    <sheetView showGridLines="0" tabSelected="1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L19" sqref="L1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181</v>
      </c>
    </row>
    <row r="2" spans="1:40" ht="21" customHeight="1" x14ac:dyDescent="0.15">
      <c r="A2" s="16" t="str">
        <f>B2&amp;"_"&amp;C2&amp;"-"&amp;G2&amp;"/"&amp;L2&amp;"&lt;lv"&amp;R2&amp;"&gt;s"&amp;AA2</f>
        <v>60019_1-1/374&lt;lv80&gt;s1</v>
      </c>
      <c r="B2" s="22">
        <v>60019</v>
      </c>
      <c r="C2" s="21">
        <v>1</v>
      </c>
      <c r="D2" s="2" t="str">
        <f>B2&amp;"_"&amp;C2</f>
        <v>60019_1</v>
      </c>
      <c r="E2" s="4" t="str">
        <f ca="1">VLOOKUP($B2,OFFSET([2]quests!$A$1,0,0,COUNTA([2]quests!$A:$A),MATCH(E$1,[2]quests!$1:$1,0)-MATCH($B$1,[2]quests!$1:$1,0)+1),MATCH(E$1,[2]quests!$1:$1,0)-MATCH($B$1,[2]quests!$1:$1,0)+1,FALSE)</f>
        <v>ヘンペルチャレンジ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ヘンペルチャレンジ</v>
      </c>
      <c r="G2" s="21">
        <v>1</v>
      </c>
      <c r="H2" s="15" t="str">
        <f>B2&amp;"_"&amp;C2&amp;"-"&amp;G2</f>
        <v>60019_1-1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374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影丸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5">
        <v>2</v>
      </c>
      <c r="T2" s="25">
        <v>1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">
        <v>60019000</v>
      </c>
      <c r="X2" s="6">
        <v>2</v>
      </c>
      <c r="Y2" s="6">
        <v>100</v>
      </c>
      <c r="Z2" s="6">
        <v>0</v>
      </c>
      <c r="AA2" s="17">
        <v>1</v>
      </c>
      <c r="AB2" s="24">
        <f>L2</f>
        <v>374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影丸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Drop1S</v>
      </c>
      <c r="AF2" s="7">
        <v>1</v>
      </c>
      <c r="AG2" s="24">
        <f ca="1">AD2</f>
        <v>2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ref="A3:A9" si="0">B3&amp;"_"&amp;C3&amp;"-"&amp;G3&amp;"/"&amp;L3&amp;"&lt;lv"&amp;R3&amp;"&gt;s"&amp;AA3</f>
        <v>60019_1-1/199&lt;lv80&gt;s2</v>
      </c>
      <c r="B3" s="22">
        <v>60019</v>
      </c>
      <c r="C3" s="21">
        <v>1</v>
      </c>
      <c r="D3" s="2" t="str">
        <f t="shared" ref="D3:D9" si="1">B3&amp;"_"&amp;C3</f>
        <v>60019_1</v>
      </c>
      <c r="E3" s="4" t="str">
        <f ca="1">VLOOKUP($B3,OFFSET([2]quests!$A$1,0,0,COUNTA([2]quests!$A:$A),MATCH(E$1,[2]quests!$1:$1,0)-MATCH($B$1,[2]quests!$1:$1,0)+1),MATCH(E$1,[2]quests!$1:$1,0)-MATCH($B$1,[2]quests!$1:$1,0)+1,FALSE)</f>
        <v>ヘンペルチャレンジ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ヘンペルチャレンジ</v>
      </c>
      <c r="G3" s="21">
        <v>1</v>
      </c>
      <c r="H3" s="15" t="str">
        <f t="shared" ref="H3:H9" si="2">B3&amp;"_"&amp;C3&amp;"-"&amp;G3</f>
        <v>60019_1-1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199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ジークフリート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80</v>
      </c>
      <c r="S3" s="25">
        <v>0.6</v>
      </c>
      <c r="T3" s="25">
        <v>1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4">
        <v>60019001</v>
      </c>
      <c r="X3" s="6">
        <v>1</v>
      </c>
      <c r="Y3" s="6">
        <v>100</v>
      </c>
      <c r="Z3" s="6">
        <v>1</v>
      </c>
      <c r="AA3" s="17">
        <v>2</v>
      </c>
      <c r="AB3" s="24">
        <f t="shared" ref="AB3:AB9" si="3">L3</f>
        <v>199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ジークフリート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3" s="7">
        <v>1</v>
      </c>
      <c r="AG3" s="24">
        <f t="shared" ref="AG3:AG9" ca="1" si="4">AD3</f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si="0"/>
        <v>60019_1-2/53&lt;lv80&gt;s1</v>
      </c>
      <c r="B4" s="22">
        <v>60019</v>
      </c>
      <c r="C4" s="21">
        <v>1</v>
      </c>
      <c r="D4" s="2" t="str">
        <f t="shared" si="1"/>
        <v>60019_1</v>
      </c>
      <c r="E4" s="4" t="str">
        <f ca="1">VLOOKUP($B4,OFFSET([2]quests!$A$1,0,0,COUNTA([2]quests!$A:$A),MATCH(E$1,[2]quests!$1:$1,0)-MATCH($B$1,[2]quests!$1:$1,0)+1),MATCH(E$1,[2]quests!$1:$1,0)-MATCH($B$1,[2]quests!$1:$1,0)+1,FALSE)</f>
        <v>ヘンペルチャレンジ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ヘンペルチャレンジ</v>
      </c>
      <c r="G4" s="21">
        <v>2</v>
      </c>
      <c r="H4" s="15" t="str">
        <f t="shared" si="2"/>
        <v>60019_1-2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53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ケンジ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80</v>
      </c>
      <c r="S4" s="25">
        <v>2</v>
      </c>
      <c r="T4" s="25">
        <v>1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4">
        <v>60019002</v>
      </c>
      <c r="X4" s="6">
        <v>2</v>
      </c>
      <c r="Y4" s="6">
        <v>100</v>
      </c>
      <c r="Z4" s="6">
        <v>0</v>
      </c>
      <c r="AA4" s="17">
        <v>1</v>
      </c>
      <c r="AB4" s="24">
        <f t="shared" si="3"/>
        <v>53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4">
        <f t="shared" ca="1" si="4"/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si="0"/>
        <v>60019_1-2/1104&lt;lv80&gt;s2</v>
      </c>
      <c r="B5" s="22">
        <v>60019</v>
      </c>
      <c r="C5" s="21">
        <v>1</v>
      </c>
      <c r="D5" s="2" t="str">
        <f t="shared" si="1"/>
        <v>60019_1</v>
      </c>
      <c r="E5" s="4" t="str">
        <f ca="1">VLOOKUP($B5,OFFSET([2]quests!$A$1,0,0,COUNTA([2]quests!$A:$A),MATCH(E$1,[2]quests!$1:$1,0)-MATCH($B$1,[2]quests!$1:$1,0)+1),MATCH(E$1,[2]quests!$1:$1,0)-MATCH($B$1,[2]quests!$1:$1,0)+1,FALSE)</f>
        <v>ヘンペルチャレンジ</v>
      </c>
      <c r="F5" s="4" t="str">
        <f ca="1">VLOOKUP($D5,OFFSET([2]stages!$A$1,0,0,COUNTA([2]stages!$A:$A),MATCH(F$1,[2]stages!$2:$2,0)-MATCH($D$1,[2]stages!$2:$2,0)+1),MATCH(F$1,[2]stages!$2:$2,0)-MATCH($D$1,[2]stages!$2:$2,0)+1,FALSE)</f>
        <v>ヘンペルチャレンジ</v>
      </c>
      <c r="G5" s="21">
        <v>2</v>
      </c>
      <c r="H5" s="15" t="str">
        <f t="shared" si="2"/>
        <v>60019_1-2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1104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クリムト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5">
        <v>1</v>
      </c>
      <c r="T5" s="25">
        <v>0.6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4">
        <v>60019003</v>
      </c>
      <c r="X5" s="6">
        <v>1</v>
      </c>
      <c r="Y5" s="6">
        <v>100</v>
      </c>
      <c r="Z5" s="6">
        <v>1</v>
      </c>
      <c r="AA5" s="17">
        <v>2</v>
      </c>
      <c r="AB5" s="24">
        <f t="shared" si="3"/>
        <v>1104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クリムト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5" s="7">
        <v>1</v>
      </c>
      <c r="AG5" s="24">
        <f t="shared" ca="1" si="4"/>
        <v>4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si="0"/>
        <v>60019_1-3/479&lt;lv80&gt;s2</v>
      </c>
      <c r="B6" s="22">
        <v>60019</v>
      </c>
      <c r="C6" s="21">
        <v>1</v>
      </c>
      <c r="D6" s="2" t="str">
        <f t="shared" si="1"/>
        <v>60019_1</v>
      </c>
      <c r="E6" s="4" t="str">
        <f ca="1">VLOOKUP($B6,OFFSET([2]quests!$A$1,0,0,COUNTA([2]quests!$A:$A),MATCH(E$1,[2]quests!$1:$1,0)-MATCH($B$1,[2]quests!$1:$1,0)+1),MATCH(E$1,[2]quests!$1:$1,0)-MATCH($B$1,[2]quests!$1:$1,0)+1,FALSE)</f>
        <v>ヘンペルチャレンジ</v>
      </c>
      <c r="F6" s="4" t="str">
        <f ca="1">VLOOKUP($D6,OFFSET([2]stages!$A$1,0,0,COUNTA([2]stages!$A:$A),MATCH(F$1,[2]stages!$2:$2,0)-MATCH($D$1,[2]stages!$2:$2,0)+1),MATCH(F$1,[2]stages!$2:$2,0)-MATCH($D$1,[2]stages!$2:$2,0)+1,FALSE)</f>
        <v>ヘンペルチャレンジ</v>
      </c>
      <c r="G6" s="21">
        <v>3</v>
      </c>
      <c r="H6" s="15" t="str">
        <f t="shared" si="2"/>
        <v>60019_1-3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479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フール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80</v>
      </c>
      <c r="S6" s="25">
        <v>3</v>
      </c>
      <c r="T6" s="25">
        <v>0.76</v>
      </c>
      <c r="U6" s="5">
        <v>0</v>
      </c>
      <c r="V6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6" s="4">
        <v>60019004</v>
      </c>
      <c r="X6" s="6">
        <v>0</v>
      </c>
      <c r="Y6" s="6">
        <v>100</v>
      </c>
      <c r="Z6" s="6">
        <v>1</v>
      </c>
      <c r="AA6" s="17">
        <v>2</v>
      </c>
      <c r="AB6" s="24">
        <f t="shared" si="3"/>
        <v>479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フール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6" s="7">
        <v>1</v>
      </c>
      <c r="AG6" s="24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si="0"/>
        <v>60019_1-4/604&lt;lv80&gt;s2</v>
      </c>
      <c r="B7" s="22">
        <v>60019</v>
      </c>
      <c r="C7" s="21">
        <v>1</v>
      </c>
      <c r="D7" s="2" t="str">
        <f t="shared" si="1"/>
        <v>60019_1</v>
      </c>
      <c r="E7" s="4" t="str">
        <f ca="1">VLOOKUP($B7,OFFSET([2]quests!$A$1,0,0,COUNTA([2]quests!$A:$A),MATCH(E$1,[2]quests!$1:$1,0)-MATCH($B$1,[2]quests!$1:$1,0)+1),MATCH(E$1,[2]quests!$1:$1,0)-MATCH($B$1,[2]quests!$1:$1,0)+1,FALSE)</f>
        <v>ヘンペルチャレンジ</v>
      </c>
      <c r="F7" s="4" t="str">
        <f ca="1">VLOOKUP($D7,OFFSET([2]stages!$A$1,0,0,COUNTA([2]stages!$A:$A),MATCH(F$1,[2]stages!$2:$2,0)-MATCH($D$1,[2]stages!$2:$2,0)+1),MATCH(F$1,[2]stages!$2:$2,0)-MATCH($D$1,[2]stages!$2:$2,0)+1,FALSE)</f>
        <v>ヘンペルチャレンジ</v>
      </c>
      <c r="G7" s="21">
        <v>4</v>
      </c>
      <c r="H7" s="15" t="str">
        <f t="shared" si="2"/>
        <v>60019_1-4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604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バルドル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25</v>
      </c>
      <c r="R7" s="5">
        <v>80</v>
      </c>
      <c r="S7" s="25">
        <v>2</v>
      </c>
      <c r="T7" s="25">
        <v>0.83</v>
      </c>
      <c r="U7" s="5">
        <v>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4">
        <v>60019006</v>
      </c>
      <c r="X7" s="6">
        <v>1</v>
      </c>
      <c r="Y7" s="6">
        <v>100</v>
      </c>
      <c r="Z7" s="6">
        <v>1</v>
      </c>
      <c r="AA7" s="17">
        <v>2</v>
      </c>
      <c r="AB7" s="24">
        <f t="shared" si="3"/>
        <v>604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バルドル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3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7">
        <v>1</v>
      </c>
      <c r="AG7" s="24">
        <f t="shared" ca="1" si="4"/>
        <v>3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si="0"/>
        <v>60019_1-4/596&lt;lv80&gt;s3</v>
      </c>
      <c r="B8" s="22">
        <v>60019</v>
      </c>
      <c r="C8" s="21">
        <v>1</v>
      </c>
      <c r="D8" s="2" t="str">
        <f t="shared" si="1"/>
        <v>60019_1</v>
      </c>
      <c r="E8" s="4" t="str">
        <f ca="1">VLOOKUP($B8,OFFSET([2]quests!$A$1,0,0,COUNTA([2]quests!$A:$A),MATCH(E$1,[2]quests!$1:$1,0)-MATCH($B$1,[2]quests!$1:$1,0)+1),MATCH(E$1,[2]quests!$1:$1,0)-MATCH($B$1,[2]quests!$1:$1,0)+1,FALSE)</f>
        <v>ヘンペルチャレンジ</v>
      </c>
      <c r="F8" s="4" t="str">
        <f ca="1">VLOOKUP($D8,OFFSET([2]stages!$A$1,0,0,COUNTA([2]stages!$A:$A),MATCH(F$1,[2]stages!$2:$2,0)-MATCH($D$1,[2]stages!$2:$2,0)+1),MATCH(F$1,[2]stages!$2:$2,0)-MATCH($D$1,[2]stages!$2:$2,0)+1,FALSE)</f>
        <v>ヘンペルチャレンジ</v>
      </c>
      <c r="G8" s="21">
        <v>4</v>
      </c>
      <c r="H8" s="15" t="str">
        <f t="shared" si="2"/>
        <v>60019_1-4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596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ムスペルヘイム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25</v>
      </c>
      <c r="R8" s="5">
        <v>80</v>
      </c>
      <c r="S8" s="25">
        <v>2</v>
      </c>
      <c r="T8" s="25">
        <v>0.95</v>
      </c>
      <c r="U8" s="5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8" s="4">
        <v>60019007</v>
      </c>
      <c r="X8" s="6">
        <v>1</v>
      </c>
      <c r="Y8" s="6">
        <v>100</v>
      </c>
      <c r="Z8" s="6">
        <v>1</v>
      </c>
      <c r="AA8" s="17">
        <v>3</v>
      </c>
      <c r="AB8" s="24">
        <f t="shared" si="3"/>
        <v>596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ムスペルヘイム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3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7">
        <v>1</v>
      </c>
      <c r="AG8" s="24">
        <f t="shared" ca="1" si="4"/>
        <v>3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si="0"/>
        <v>60019_1-5/488&lt;lv80&gt;s1</v>
      </c>
      <c r="B9" s="22">
        <v>60019</v>
      </c>
      <c r="C9" s="21">
        <v>1</v>
      </c>
      <c r="D9" s="2" t="str">
        <f t="shared" si="1"/>
        <v>60019_1</v>
      </c>
      <c r="E9" s="4" t="str">
        <f ca="1">VLOOKUP($B9,OFFSET([2]quests!$A$1,0,0,COUNTA([2]quests!$A:$A),MATCH(E$1,[2]quests!$1:$1,0)-MATCH($B$1,[2]quests!$1:$1,0)+1),MATCH(E$1,[2]quests!$1:$1,0)-MATCH($B$1,[2]quests!$1:$1,0)+1,FALSE)</f>
        <v>ヘンペルチャレンジ</v>
      </c>
      <c r="F9" s="4" t="str">
        <f ca="1">VLOOKUP($D9,OFFSET([2]stages!$A$1,0,0,COUNTA([2]stages!$A:$A),MATCH(F$1,[2]stages!$2:$2,0)-MATCH($D$1,[2]stages!$2:$2,0)+1),MATCH(F$1,[2]stages!$2:$2,0)-MATCH($D$1,[2]stages!$2:$2,0)+1,FALSE)</f>
        <v>ヘンペルチャレンジ</v>
      </c>
      <c r="G9" s="21">
        <v>5</v>
      </c>
      <c r="H9" s="15" t="str">
        <f t="shared" si="2"/>
        <v>60019_1-5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2</v>
      </c>
      <c r="L9" s="20">
        <v>488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直観の異論 ヘンペル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80</v>
      </c>
      <c r="S9" s="25">
        <v>6</v>
      </c>
      <c r="T9" s="25">
        <v>0.77</v>
      </c>
      <c r="U9" s="5">
        <v>0</v>
      </c>
      <c r="V9" s="4" t="e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9" s="4">
        <v>60019008</v>
      </c>
      <c r="X9" s="6">
        <v>1</v>
      </c>
      <c r="Y9" s="6">
        <v>100</v>
      </c>
      <c r="Z9" s="6">
        <v>1</v>
      </c>
      <c r="AA9" s="17">
        <v>1</v>
      </c>
      <c r="AB9" s="24">
        <f t="shared" si="3"/>
        <v>488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直観の異論 ヘンペル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9" s="7">
        <v>1</v>
      </c>
      <c r="AG9" s="24">
        <f t="shared" ca="1" si="4"/>
        <v>5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</sheetData>
  <sheetProtection selectLockedCells="1" selectUnlockedCells="1"/>
  <autoFilter ref="B1:AH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Q8" sqref="Q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60019_1-3/480&lt;lv80&gt;sq1st2</v>
      </c>
      <c r="B2" s="22">
        <v>60019</v>
      </c>
      <c r="C2" s="21">
        <v>1</v>
      </c>
      <c r="D2" s="2" t="str">
        <f>B2&amp;"_"&amp;C2</f>
        <v>60019_1</v>
      </c>
      <c r="E2" s="4" t="str">
        <f ca="1">VLOOKUP($B2,OFFSET([2]quests!$A$1,0,0,COUNTA([2]quests!$A:$A),MATCH(E$1,[2]quests!$1:$1,0)-MATCH($B$1,[2]quests!$1:$1,0)+1),MATCH(E$1,[2]quests!$1:$1,0)-MATCH($B$1,[2]quests!$1:$1,0)+1,FALSE)</f>
        <v>ヘンペルチャレンジ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ヘンペルチャレンジ</v>
      </c>
      <c r="G2" s="21">
        <v>3</v>
      </c>
      <c r="H2" s="15" t="str">
        <f>B2&amp;"_"&amp;C2&amp;"-"&amp;G2</f>
        <v>60019_1-3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480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夢幻の愚者フール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4</v>
      </c>
      <c r="U2" s="25">
        <v>0.73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60019005</v>
      </c>
      <c r="Y2" s="70">
        <v>1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60019_1-5/800&lt;lv80&gt;sq2st2</v>
      </c>
      <c r="B3" s="22">
        <v>60019</v>
      </c>
      <c r="C3" s="21">
        <v>1</v>
      </c>
      <c r="D3" s="2" t="str">
        <f t="shared" ref="D3:D4" si="1">B3&amp;"_"&amp;C3</f>
        <v>60019_1</v>
      </c>
      <c r="E3" s="4" t="str">
        <f ca="1">VLOOKUP($B3,OFFSET([2]quests!$A$1,0,0,COUNTA([2]quests!$A:$A),MATCH(E$1,[2]quests!$1:$1,0)-MATCH($B$1,[2]quests!$1:$1,0)+1),MATCH(E$1,[2]quests!$1:$1,0)-MATCH($B$1,[2]quests!$1:$1,0)+1,FALSE)</f>
        <v>ヘンペルチャレンジ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ヘンペルチャレンジ</v>
      </c>
      <c r="G3" s="21">
        <v>5</v>
      </c>
      <c r="H3" s="15" t="str">
        <f t="shared" ref="H3:H4" si="2">B3&amp;"_"&amp;C3&amp;"-"&amp;G3</f>
        <v>60019_1-5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800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蒼穹包む命題 ヘンペル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6</v>
      </c>
      <c r="U3" s="25">
        <v>0.77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60019009</v>
      </c>
      <c r="Y3" s="70">
        <v>1</v>
      </c>
    </row>
    <row r="4" spans="1:25" ht="21" customHeight="1" x14ac:dyDescent="0.15">
      <c r="A4" s="16" t="str">
        <f t="shared" si="0"/>
        <v>60019_1-5/800&lt;lv80&gt;sq2st3</v>
      </c>
      <c r="B4" s="22">
        <v>60019</v>
      </c>
      <c r="C4" s="21">
        <v>1</v>
      </c>
      <c r="D4" s="2" t="str">
        <f t="shared" si="1"/>
        <v>60019_1</v>
      </c>
      <c r="E4" s="4" t="str">
        <f ca="1">VLOOKUP($B4,OFFSET([2]quests!$A$1,0,0,COUNTA([2]quests!$A:$A),MATCH(E$1,[2]quests!$1:$1,0)-MATCH($B$1,[2]quests!$1:$1,0)+1),MATCH(E$1,[2]quests!$1:$1,0)-MATCH($B$1,[2]quests!$1:$1,0)+1,FALSE)</f>
        <v>ヘンペルチャレンジ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ヘンペルチャレンジ</v>
      </c>
      <c r="G4" s="21">
        <v>5</v>
      </c>
      <c r="H4" s="15" t="str">
        <f t="shared" si="2"/>
        <v>60019_1-5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800</v>
      </c>
      <c r="N4" s="17" t="str">
        <f ca="1">VLOOKUP($M4,OFFSET([3]enemies!$A$1,0,0,COUNTA([3]enemies!$A:$A),MATCH(N$1,[3]enemies!$1:$1,0)-MATCH($M$1,[3]enemies!$1:$1,0)+1),MATCH(N$1,[3]enemies!$1:$1,0)-MATCH($M$1,[3]enemies!$1:$1,0)+1,FALSE)</f>
        <v>蒼穹包む命題 ヘンペル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8</v>
      </c>
      <c r="U4" s="25">
        <v>0.77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60019010</v>
      </c>
      <c r="Y4" s="70">
        <v>1</v>
      </c>
    </row>
  </sheetData>
  <sheetProtection selectLockedCells="1" selectUnlockedCells="1"/>
  <autoFilter ref="B1:Y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9"/>
  <sheetViews>
    <sheetView showGridLines="0" workbookViewId="0">
      <pane xSplit="5" ySplit="1" topLeftCell="F16" activePane="bottomRight" state="frozen"/>
      <selection pane="topRight"/>
      <selection pane="bottomLeft"/>
      <selection pane="bottomRight" activeCell="J33" sqref="J33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60019000_60019000</v>
      </c>
      <c r="B2" s="47">
        <v>60019000</v>
      </c>
      <c r="C2" s="47">
        <v>60019000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連続斬り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" s="47">
        <v>60019000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" s="47"/>
      <c r="Q2" s="47"/>
      <c r="R2" s="47"/>
    </row>
    <row r="3" spans="1:18" ht="21" customHeight="1" x14ac:dyDescent="0.15">
      <c r="A3" s="39" t="str">
        <f t="shared" ref="A3:A32" si="1">B3&amp;"_"&amp;C3</f>
        <v>60019001_60019005</v>
      </c>
      <c r="B3" s="47">
        <v>60019001</v>
      </c>
      <c r="C3" s="47">
        <v>60019005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アイスエイジ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47">
        <v>60019005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" s="47"/>
      <c r="Q3" s="47"/>
      <c r="R3" s="47"/>
    </row>
    <row r="4" spans="1:18" ht="21" customHeight="1" x14ac:dyDescent="0.15">
      <c r="A4" s="39" t="str">
        <f t="shared" si="1"/>
        <v>60019002_60019010</v>
      </c>
      <c r="B4" s="47">
        <v>60019002</v>
      </c>
      <c r="C4" s="47">
        <v>60019010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ブルークラッシュ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クリティカル！+行動頻度を1に変更</v>
      </c>
      <c r="F4" s="47">
        <v>60019010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" s="47"/>
      <c r="Q4" s="47"/>
      <c r="R4" s="47"/>
    </row>
    <row r="5" spans="1:18" ht="21" customHeight="1" x14ac:dyDescent="0.15">
      <c r="A5" s="39" t="str">
        <f t="shared" si="1"/>
        <v>60019002_60019011</v>
      </c>
      <c r="B5" s="47">
        <v>60019002</v>
      </c>
      <c r="C5" s="47">
        <v>60019011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ブルークラッシュ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クリティカル！+行動頻度を2に変更</v>
      </c>
      <c r="F5" s="47">
        <v>60019011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5" s="47"/>
      <c r="Q5" s="47"/>
      <c r="R5" s="47"/>
    </row>
    <row r="6" spans="1:18" ht="21" customHeight="1" x14ac:dyDescent="0.15">
      <c r="A6" s="39" t="str">
        <f t="shared" si="1"/>
        <v>60019002_60019012</v>
      </c>
      <c r="B6" s="47">
        <v>60019002</v>
      </c>
      <c r="C6" s="47">
        <v>60019012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ブルークラッシュ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クリティカル！+行動頻度を3に変更</v>
      </c>
      <c r="F6" s="47">
        <v>60019012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60019003_60019015</v>
      </c>
      <c r="B7" s="47">
        <v>60019003</v>
      </c>
      <c r="C7" s="47">
        <v>60019015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美しさは時に命を奪うんだ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7" s="47">
        <v>60019015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7" s="47"/>
      <c r="Q7" s="47"/>
      <c r="R7" s="47"/>
    </row>
    <row r="8" spans="1:18" ht="21" customHeight="1" x14ac:dyDescent="0.15">
      <c r="A8" s="39" t="str">
        <f t="shared" si="1"/>
        <v>60019004_60019020</v>
      </c>
      <c r="B8" s="47">
        <v>60019004</v>
      </c>
      <c r="C8" s="47">
        <v>60019020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パーティーの始まりだ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" s="47">
        <v>60019020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60019004_60019021</v>
      </c>
      <c r="B9" s="47">
        <v>60019004</v>
      </c>
      <c r="C9" s="47">
        <v>60019021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発火トリック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種族ヒューマンのユニットに大ダメージの全体攻撃+_x000D_黄パネルを赤パネルに変換(最大5個)</v>
      </c>
      <c r="F9" s="47">
        <v>60019021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" s="47"/>
      <c r="Q9" s="47"/>
      <c r="R9" s="47"/>
    </row>
    <row r="10" spans="1:18" ht="21" customHeight="1" x14ac:dyDescent="0.15">
      <c r="A10" s="39" t="str">
        <f>B10&amp;"_"&amp;C10</f>
        <v>60019004_60019024</v>
      </c>
      <c r="B10" s="47">
        <v>60019004</v>
      </c>
      <c r="C10" s="47">
        <v>60019024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どこまで耐えられるかな？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25回連続攻撃</v>
      </c>
      <c r="F10" s="47">
        <v>60019024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60019005_60019030</v>
      </c>
      <c r="B11" s="47">
        <v>60019005</v>
      </c>
      <c r="C11" s="47">
        <v>60019030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It's Show Time!!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" s="47">
        <v>60019030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60019005_60019031</v>
      </c>
      <c r="B12" s="47">
        <v>60019005</v>
      </c>
      <c r="C12" s="47">
        <v>60019031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発火トリック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種族ヒューマンのユニットに大ダメージの全体攻撃+_x000D_黄パネルを赤パネルに変換(最大5個)</v>
      </c>
      <c r="F12" s="47">
        <v>60019031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2" s="47"/>
      <c r="Q12" s="47"/>
      <c r="R12" s="47"/>
    </row>
    <row r="13" spans="1:18" ht="21" customHeight="1" x14ac:dyDescent="0.15">
      <c r="A13" s="39" t="str">
        <f t="shared" si="1"/>
        <v>60019005_60019032</v>
      </c>
      <c r="B13" s="47">
        <v>60019005</v>
      </c>
      <c r="C13" s="47">
        <v>60019032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夢路に案内しよう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ランダムで青のダメージパネルに5個変換</v>
      </c>
      <c r="F13" s="47">
        <v>60019032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3" s="47"/>
      <c r="Q13" s="47"/>
      <c r="R13" s="47"/>
    </row>
    <row r="14" spans="1:18" ht="21" customHeight="1" x14ac:dyDescent="0.15">
      <c r="A14" s="39" t="str">
        <f t="shared" si="1"/>
        <v>60019005_60019033</v>
      </c>
      <c r="B14" s="47">
        <v>60019005</v>
      </c>
      <c r="C14" s="47">
        <v>60019033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これで眠るといい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青のダメージパネルを吸収して全体攻撃</v>
      </c>
      <c r="F14" s="47">
        <v>60019033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4" s="47"/>
      <c r="Q14" s="47"/>
      <c r="R14" s="47"/>
    </row>
    <row r="15" spans="1:18" ht="21" customHeight="1" x14ac:dyDescent="0.15">
      <c r="A15" s="39" t="str">
        <f t="shared" si="1"/>
        <v>60019006_60019040</v>
      </c>
      <c r="B15" s="47">
        <v>60019006</v>
      </c>
      <c r="C15" s="47">
        <v>60019040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光は…いつも僕らとともに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こちらに狙いを定めている</v>
      </c>
      <c r="F15" s="47">
        <v>60019040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60019006_60019041</v>
      </c>
      <c r="B16" s="47">
        <v>60019006</v>
      </c>
      <c r="C16" s="47">
        <v>60019041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光芒の審判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6" s="47">
        <v>60019041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6" s="47"/>
      <c r="Q16" s="47"/>
      <c r="R16" s="47"/>
    </row>
    <row r="17" spans="1:18" ht="21" customHeight="1" x14ac:dyDescent="0.15">
      <c r="A17" s="39" t="str">
        <f t="shared" si="1"/>
        <v>60019006_60019042</v>
      </c>
      <c r="B17" s="47">
        <v>60019006</v>
      </c>
      <c r="C17" s="47">
        <v>60019042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庇護の剥奪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5ターンハートパネル無効</v>
      </c>
      <c r="F17" s="47">
        <v>60019042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7" s="47"/>
      <c r="Q17" s="47"/>
      <c r="R17" s="47"/>
    </row>
    <row r="18" spans="1:18" ht="21" customHeight="1" x14ac:dyDescent="0.15">
      <c r="A18" s="39" t="str">
        <f t="shared" si="1"/>
        <v>60019006_60019043</v>
      </c>
      <c r="B18" s="47">
        <v>60019006</v>
      </c>
      <c r="C18" s="47">
        <v>60019043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祝福の光耀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赤属性の敵の行動頻度UP</v>
      </c>
      <c r="F18" s="47">
        <v>60019043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60019007_60019045</v>
      </c>
      <c r="B19" s="47">
        <v>60019007</v>
      </c>
      <c r="C19" s="47">
        <v>60019045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俺の魂が真ッ赤に燃える！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こちらに狙いを定めている</v>
      </c>
      <c r="F19" s="47">
        <v>60019045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60019007_60019046</v>
      </c>
      <c r="B20" s="47">
        <v>60019007</v>
      </c>
      <c r="C20" s="47">
        <v>60019046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遠慮なんかしねェぞ！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0" s="47">
        <v>60019046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0" s="47"/>
      <c r="Q20" s="47"/>
      <c r="R20" s="47"/>
    </row>
    <row r="21" spans="1:18" ht="21" customHeight="1" x14ac:dyDescent="0.15">
      <c r="A21" s="39" t="str">
        <f t="shared" si="1"/>
        <v>60019007_60019047</v>
      </c>
      <c r="B21" s="47">
        <v>60019007</v>
      </c>
      <c r="C21" s="47">
        <v>60019047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天まで灼き尽くすッ！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5ターン自身の攻撃力UP</v>
      </c>
      <c r="F21" s="47">
        <v>60019047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60019007_60019048</v>
      </c>
      <c r="B22" s="47">
        <v>60019007</v>
      </c>
      <c r="C22" s="47">
        <v>60019048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デクラメーションアンセスタ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5ターン黄属性の敵の防御力UP</v>
      </c>
      <c r="F22" s="47">
        <v>60019048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60019008_60019050</v>
      </c>
      <c r="B23" s="47">
        <v>60019008</v>
      </c>
      <c r="C23" s="47">
        <v>60019050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キミは[player_ranking_grade]の挑戦者だね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3" s="47">
        <v>60019050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60019008_60019051</v>
      </c>
      <c r="B24" s="47">
        <v>60019008</v>
      </c>
      <c r="C24" s="47">
        <v>60019051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フィフス・クロウズ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4" s="47">
        <v>60019051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4" s="47"/>
      <c r="Q24" s="47"/>
      <c r="R24" s="47"/>
    </row>
    <row r="25" spans="1:18" ht="21" customHeight="1" x14ac:dyDescent="0.15">
      <c r="A25" s="39" t="str">
        <f t="shared" si="1"/>
        <v>60019008_60019052</v>
      </c>
      <c r="B25" s="47">
        <v>60019008</v>
      </c>
      <c r="C25" s="47">
        <v>60019052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ヒューマン・パラドックス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種族ヒューマンのユニットに大ダメージの全体攻撃+_x000D_黄パネルを赤パネルに変換(最大5個)</v>
      </c>
      <c r="F25" s="47">
        <v>60019052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5" s="47"/>
      <c r="Q25" s="47"/>
      <c r="R25" s="47"/>
    </row>
    <row r="26" spans="1:18" ht="21" customHeight="1" x14ac:dyDescent="0.15">
      <c r="A26" s="39" t="str">
        <f t="shared" si="1"/>
        <v>60019008_60019053</v>
      </c>
      <c r="B26" s="47">
        <v>60019008</v>
      </c>
      <c r="C26" s="47">
        <v>60019053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ブルー・トゥルース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赤属性のユニットに大ダメージの全体攻撃</v>
      </c>
      <c r="F26" s="47">
        <v>60019053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6" s="47"/>
      <c r="Q26" s="47"/>
      <c r="R26" s="47"/>
    </row>
    <row r="27" spans="1:18" ht="21" customHeight="1" x14ac:dyDescent="0.15">
      <c r="A27" s="39" t="str">
        <f t="shared" si="1"/>
        <v>60019008_60019054</v>
      </c>
      <c r="B27" s="47">
        <v>60019008</v>
      </c>
      <c r="C27" s="47">
        <v>60019054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数えきれるかい？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25回連続攻撃</v>
      </c>
      <c r="F27" s="47">
        <v>60019054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60019009_60019060</v>
      </c>
      <c r="B28" s="47">
        <v>60019009</v>
      </c>
      <c r="C28" s="47">
        <v>60019060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証明を続けようか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8" s="47">
        <v>60019060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60019009_60019061</v>
      </c>
      <c r="B29" s="47">
        <v>60019009</v>
      </c>
      <c r="C29" s="47">
        <v>60019061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フィフス・クロウズ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9" s="47">
        <v>60019061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9" s="47"/>
      <c r="Q29" s="47"/>
      <c r="R29" s="47"/>
    </row>
    <row r="30" spans="1:18" ht="21" customHeight="1" x14ac:dyDescent="0.15">
      <c r="A30" s="39" t="str">
        <f t="shared" si="1"/>
        <v>60019009_60019062</v>
      </c>
      <c r="B30" s="47">
        <v>60019009</v>
      </c>
      <c r="C30" s="47">
        <v>60019062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ヒューマン・パラドックス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種族ヒューマンのユニットに大ダメージの全体攻撃+_x000D_黄パネルを赤パネルに変換(最大5個)</v>
      </c>
      <c r="F30" s="47">
        <v>60019062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0" s="47"/>
      <c r="Q30" s="47"/>
      <c r="R30" s="47"/>
    </row>
    <row r="31" spans="1:18" ht="21" customHeight="1" x14ac:dyDescent="0.15">
      <c r="A31" s="39" t="str">
        <f t="shared" si="1"/>
        <v>60019009_60019063</v>
      </c>
      <c r="B31" s="47">
        <v>60019009</v>
      </c>
      <c r="C31" s="47">
        <v>60019063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鮮黄の命題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ランダムで黄のダメージパネルに5個変換</v>
      </c>
      <c r="F31" s="47">
        <v>60019063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1" s="47"/>
      <c r="Q31" s="47"/>
      <c r="R31" s="47"/>
    </row>
    <row r="32" spans="1:18" ht="21" customHeight="1" x14ac:dyDescent="0.15">
      <c r="A32" s="39" t="str">
        <f t="shared" si="1"/>
        <v>60019009_60019064</v>
      </c>
      <c r="B32" s="47">
        <v>60019009</v>
      </c>
      <c r="C32" s="47">
        <v>60019064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命題の証明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黄のダメージパネルを吸収して全体攻撃</v>
      </c>
      <c r="F32" s="47">
        <v>60019064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2" s="47"/>
      <c r="Q32" s="47"/>
      <c r="R32" s="47"/>
    </row>
    <row r="33" spans="1:18" ht="21" customHeight="1" x14ac:dyDescent="0.15">
      <c r="A33" s="39" t="str">
        <f>B33&amp;"_"&amp;C33</f>
        <v>60019009_60019065</v>
      </c>
      <c r="B33" s="47">
        <v>60019009</v>
      </c>
      <c r="C33" s="47">
        <v>60019065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真実を受け入れるんだね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25回連続攻撃</v>
      </c>
      <c r="F33" s="47">
        <v>60019065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ref="A34:A38" si="2">B34&amp;"_"&amp;C34</f>
        <v>60019010_60019070</v>
      </c>
      <c r="B34" s="47">
        <v>60019010</v>
      </c>
      <c r="C34" s="47">
        <v>60019070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そろそろ証明終了だ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4" s="47">
        <v>60019070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2"/>
        <v>60019010_60019071</v>
      </c>
      <c r="B35" s="47">
        <v>60019010</v>
      </c>
      <c r="C35" s="47">
        <v>60019071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フィフス・クロウズ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5" s="47">
        <v>60019071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5" s="47"/>
      <c r="Q35" s="47"/>
      <c r="R35" s="47"/>
    </row>
    <row r="36" spans="1:18" ht="21" customHeight="1" x14ac:dyDescent="0.15">
      <c r="A36" s="39" t="str">
        <f t="shared" si="2"/>
        <v>60019010_60019072</v>
      </c>
      <c r="B36" s="47">
        <v>60019010</v>
      </c>
      <c r="C36" s="47">
        <v>60019072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ヒューマン・パラドックス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種族ヒューマンのユニットに大ダメージの全体攻撃+_x000D_黄パネルを赤パネルに変換(最大5個)</v>
      </c>
      <c r="F36" s="47">
        <v>60019072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6" s="47"/>
      <c r="Q36" s="47"/>
      <c r="R36" s="47"/>
    </row>
    <row r="37" spans="1:18" ht="21" customHeight="1" x14ac:dyDescent="0.15">
      <c r="A37" s="39" t="str">
        <f t="shared" si="2"/>
        <v>60019010_60019073</v>
      </c>
      <c r="B37" s="47">
        <v>60019010</v>
      </c>
      <c r="C37" s="47">
        <v>60019073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鮮黄の命題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ランダムで黄のダメージパネルに5個変換</v>
      </c>
      <c r="F37" s="47">
        <v>60019073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7" s="47"/>
      <c r="Q37" s="47"/>
      <c r="R37" s="47"/>
    </row>
    <row r="38" spans="1:18" ht="21" customHeight="1" x14ac:dyDescent="0.15">
      <c r="A38" s="39" t="str">
        <f t="shared" si="2"/>
        <v>60019010_60019074</v>
      </c>
      <c r="B38" s="47">
        <v>60019010</v>
      </c>
      <c r="C38" s="47">
        <v>60019074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命題の証明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黄のダメージパネルを吸収して全体攻撃</v>
      </c>
      <c r="F38" s="47">
        <v>60019074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8" s="47"/>
      <c r="Q38" s="47"/>
      <c r="R38" s="47"/>
    </row>
    <row r="39" spans="1:18" ht="21" customHeight="1" x14ac:dyDescent="0.15">
      <c r="A39" s="39" t="str">
        <f t="shared" ref="A39" si="3">B39&amp;"_"&amp;C39</f>
        <v>60019010_60019076</v>
      </c>
      <c r="B39" s="47">
        <v>60019010</v>
      </c>
      <c r="C39" s="47">
        <v>60019076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…キミは十分に強い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異論を挟む余地はないね</v>
      </c>
      <c r="F39" s="47">
        <v>60019076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</sheetData>
  <autoFilter ref="A1:R1"/>
  <phoneticPr fontId="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3"/>
  <sheetViews>
    <sheetView showGridLines="0" zoomScale="120" zoomScaleNormal="120" zoomScalePageLayoutView="120" workbookViewId="0">
      <pane ySplit="1" topLeftCell="A2" activePane="bottomLeft" state="frozenSplit"/>
      <selection pane="bottomLeft" activeCell="B17" sqref="B17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60019000</v>
      </c>
      <c r="B2" s="47" t="s">
        <v>390</v>
      </c>
      <c r="C2" s="50">
        <v>3</v>
      </c>
      <c r="D2" s="50" t="s">
        <v>128</v>
      </c>
      <c r="E2" s="51" t="s">
        <v>410</v>
      </c>
      <c r="F2" s="51" t="s">
        <v>399</v>
      </c>
      <c r="G2" s="63" t="str">
        <f>IFERROR(LEFT(B2,FIND("],",B2)),B2)</f>
        <v>[effect:rush, count:3, val:0.4]</v>
      </c>
      <c r="H2" s="63">
        <f>FIND("effect:",G2)+7</f>
        <v>9</v>
      </c>
      <c r="I2" s="63">
        <f>IFERROR(FIND(",",G2),LEN(G2))</f>
        <v>13</v>
      </c>
      <c r="J2" s="63" t="e">
        <f>FIND("target:",G2)+7</f>
        <v>#VALUE!</v>
      </c>
      <c r="K2" s="63">
        <f>FIND(",",G2,I2+1)</f>
        <v>22</v>
      </c>
      <c r="L2" s="63" t="str">
        <f>IFERROR(VLOOKUP(MID(G2,J2,K2-J2),[6]skilldef!$C:$D,2,FALSE),"-") &amp; " / " &amp; IFERROR(VLOOKUP(MID(G2,H2,I2-H2),[6]skilldef!$A:$B,2,FALSE),"-")</f>
        <v>- / 連続攻撃</v>
      </c>
      <c r="M2" s="63" t="str">
        <f>IFERROR(RIGHT(B2,LEN(B2)-FIND("],",B2)-1),"none")</f>
        <v>none</v>
      </c>
      <c r="N2" s="48" t="str">
        <f>IFERROR(LEFT(M2,FIND("],",M2)+S4),M2)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60019005</v>
      </c>
      <c r="B3" s="47" t="s">
        <v>304</v>
      </c>
      <c r="C3" s="50">
        <v>3</v>
      </c>
      <c r="D3" s="50" t="s">
        <v>128</v>
      </c>
      <c r="E3" s="51" t="s">
        <v>412</v>
      </c>
      <c r="F3" s="51" t="s">
        <v>295</v>
      </c>
      <c r="G3" s="63" t="str">
        <f t="shared" ref="G3:G31" si="0">IFERROR(LEFT(B3,FIND("],",B3)),B3)</f>
        <v>[effect:spread, val:0.3, animation:enemy_spread]</v>
      </c>
      <c r="H3" s="63">
        <f t="shared" ref="H3:H32" si="1">FIND("effect:",G3)+7</f>
        <v>9</v>
      </c>
      <c r="I3" s="63">
        <f t="shared" ref="I3:I31" si="2">IFERROR(FIND(",",G3),LEN(G3))</f>
        <v>15</v>
      </c>
      <c r="J3" s="63" t="e">
        <f t="shared" ref="J3:J31" si="3">FIND("target:",G3)+7</f>
        <v>#VALUE!</v>
      </c>
      <c r="K3" s="63">
        <f t="shared" ref="K3:K31" si="4">FIND(",",G3,I3+1)</f>
        <v>24</v>
      </c>
      <c r="L3" s="63" t="str">
        <f>IFERROR(VLOOKUP(MID(G3,J3,K3-J3),[6]skilldef!$C:$D,2,FALSE),"-") &amp; " / " &amp; IFERROR(VLOOKUP(MID(G3,H3,I3-H3),[6]skilldef!$A:$B,2,FALSE),"-")</f>
        <v>- / 全体攻撃</v>
      </c>
      <c r="M3" s="63" t="str">
        <f t="shared" ref="M3:M31" si="5">IFERROR(RIGHT(B3,LEN(B3)-FIND("],",B3)-1),"none")</f>
        <v>none</v>
      </c>
      <c r="N3" s="48" t="str">
        <f>IFERROR(LEFT(M3,FIND("],",M3)+S7),M3)</f>
        <v>none</v>
      </c>
      <c r="O3" s="63" t="e">
        <f t="shared" ref="O3:O32" si="6">FIND("effect:",N3)+7</f>
        <v>#VALUE!</v>
      </c>
      <c r="P3" s="63">
        <f t="shared" ref="P3:P31" si="7">IFERROR(FIND(",",N3),LEN(N3))</f>
        <v>4</v>
      </c>
      <c r="Q3" s="63" t="e">
        <f t="shared" ref="Q3:Q31" si="8">FIND("target:",N3)+7</f>
        <v>#VALUE!</v>
      </c>
      <c r="R3" s="63" t="e">
        <f t="shared" ref="R3:R31" si="9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31" si="10">IFERROR(RIGHT(M3,LEN(M3)-FIND("],",M3)-1),"none")</f>
        <v>none</v>
      </c>
      <c r="U3" s="63" t="e">
        <f t="shared" ref="U3:U32" si="11">FIND("effect:",T3)+7</f>
        <v>#VALUE!</v>
      </c>
      <c r="V3" s="63">
        <f t="shared" ref="V3:V31" si="12">IFERROR(FIND(",",T3),LEN(T3))</f>
        <v>4</v>
      </c>
      <c r="W3" s="63" t="e">
        <f t="shared" ref="W3:W31" si="13">FIND("target:",T3)+7</f>
        <v>#VALUE!</v>
      </c>
      <c r="X3" s="63" t="e">
        <f t="shared" ref="X3:X31" si="14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60019010</v>
      </c>
      <c r="B4" s="47" t="s">
        <v>307</v>
      </c>
      <c r="C4" s="50">
        <v>3</v>
      </c>
      <c r="D4" s="50" t="s">
        <v>128</v>
      </c>
      <c r="E4" s="51" t="s">
        <v>411</v>
      </c>
      <c r="F4" s="51" t="s">
        <v>504</v>
      </c>
      <c r="G4" s="63" t="str">
        <f t="shared" si="0"/>
        <v>[effect:critical, val:1.1, animation:enemy_critical]</v>
      </c>
      <c r="H4" s="63">
        <f t="shared" si="1"/>
        <v>9</v>
      </c>
      <c r="I4" s="63">
        <f t="shared" si="2"/>
        <v>17</v>
      </c>
      <c r="J4" s="63" t="e">
        <f t="shared" si="3"/>
        <v>#VALUE!</v>
      </c>
      <c r="K4" s="63">
        <f t="shared" si="4"/>
        <v>26</v>
      </c>
      <c r="L4" s="63" t="str">
        <f>IFERROR(VLOOKUP(MID(G4,J4,K4-J4),[6]skilldef!$C:$D,2,FALSE),"-") &amp; " / " &amp; IFERROR(VLOOKUP(MID(G4,H4,I4-H4),[6]skilldef!$A:$B,2,FALSE),"-")</f>
        <v>- / 大攻撃</v>
      </c>
      <c r="M4" s="63" t="str">
        <f t="shared" si="5"/>
        <v>[effect:fix_speed, target:myself, turn:1]</v>
      </c>
      <c r="N4" s="48" t="str">
        <f>IFERROR(LEFT(M4,FIND("],",M4)+S9),M4)</f>
        <v>[effect:fix_speed, target:myself, turn:1]</v>
      </c>
      <c r="O4" s="63">
        <f t="shared" si="6"/>
        <v>9</v>
      </c>
      <c r="P4" s="63">
        <f t="shared" si="7"/>
        <v>18</v>
      </c>
      <c r="Q4" s="63">
        <f t="shared" si="8"/>
        <v>27</v>
      </c>
      <c r="R4" s="63">
        <f t="shared" si="9"/>
        <v>33</v>
      </c>
      <c r="S4" s="63" t="str">
        <f>IFERROR(VLOOKUP(MID(N4,Q4,R4-Q4),[6]skilldef!$C:$D,2,FALSE),"-") &amp; " / " &amp; IFERROR(VLOOKUP(MID(N4,O4,P4-O4),[6]skilldef!$A:$B,2,FALSE),"-")</f>
        <v>自分自身に / 行動値設定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60019011</v>
      </c>
      <c r="B5" s="47" t="s">
        <v>297</v>
      </c>
      <c r="C5" s="50">
        <v>3</v>
      </c>
      <c r="D5" s="50" t="s">
        <v>128</v>
      </c>
      <c r="E5" s="51" t="s">
        <v>411</v>
      </c>
      <c r="F5" s="51" t="s">
        <v>505</v>
      </c>
      <c r="G5" s="63" t="str">
        <f t="shared" si="0"/>
        <v>[effect:critical, val:1.1, animation:enemy_critical]</v>
      </c>
      <c r="H5" s="63">
        <f t="shared" si="1"/>
        <v>9</v>
      </c>
      <c r="I5" s="63">
        <f t="shared" si="2"/>
        <v>17</v>
      </c>
      <c r="J5" s="63" t="e">
        <f t="shared" si="3"/>
        <v>#VALUE!</v>
      </c>
      <c r="K5" s="63">
        <f t="shared" si="4"/>
        <v>26</v>
      </c>
      <c r="L5" s="63" t="str">
        <f>IFERROR(VLOOKUP(MID(G5,J5,K5-J5),[6]skilldef!$C:$D,2,FALSE),"-") &amp; " / " &amp; IFERROR(VLOOKUP(MID(G5,H5,I5-H5),[6]skilldef!$A:$B,2,FALSE),"-")</f>
        <v>- / 大攻撃</v>
      </c>
      <c r="M5" s="63" t="str">
        <f t="shared" si="5"/>
        <v>[effect:fix_speed, target:myself, turn:2]</v>
      </c>
      <c r="N5" s="48" t="str">
        <f>IFERROR(LEFT(M5,FIND("],",M5)+S10),M5)</f>
        <v>[effect:fix_speed, target:myself, turn:2]</v>
      </c>
      <c r="O5" s="63">
        <f t="shared" si="6"/>
        <v>9</v>
      </c>
      <c r="P5" s="63">
        <f t="shared" si="7"/>
        <v>18</v>
      </c>
      <c r="Q5" s="63">
        <f t="shared" si="8"/>
        <v>27</v>
      </c>
      <c r="R5" s="63">
        <f t="shared" si="9"/>
        <v>33</v>
      </c>
      <c r="S5" s="63" t="str">
        <f>IFERROR(VLOOKUP(MID(N5,Q5,R5-Q5),[6]skilldef!$C:$D,2,FALSE),"-") &amp; " / " &amp; IFERROR(VLOOKUP(MID(N5,O5,P5-O5),[6]skilldef!$A:$B,2,FALSE),"-")</f>
        <v>自分自身に / 行動値設定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60019012</v>
      </c>
      <c r="B6" s="47" t="s">
        <v>298</v>
      </c>
      <c r="C6" s="50">
        <v>3</v>
      </c>
      <c r="D6" s="50" t="s">
        <v>128</v>
      </c>
      <c r="E6" s="51" t="s">
        <v>411</v>
      </c>
      <c r="F6" s="51" t="s">
        <v>506</v>
      </c>
      <c r="G6" s="63" t="str">
        <f t="shared" si="0"/>
        <v>[effect:critical, val:1.1, animation:enemy_critical]</v>
      </c>
      <c r="H6" s="63">
        <f t="shared" si="1"/>
        <v>9</v>
      </c>
      <c r="I6" s="63">
        <f t="shared" si="2"/>
        <v>17</v>
      </c>
      <c r="J6" s="63" t="e">
        <f t="shared" si="3"/>
        <v>#VALUE!</v>
      </c>
      <c r="K6" s="63">
        <f t="shared" si="4"/>
        <v>26</v>
      </c>
      <c r="L6" s="63" t="str">
        <f>IFERROR(VLOOKUP(MID(G6,J6,K6-J6),[6]skilldef!$C:$D,2,FALSE),"-") &amp; " / " &amp; IFERROR(VLOOKUP(MID(G6,H6,I6-H6),[6]skilldef!$A:$B,2,FALSE),"-")</f>
        <v>- / 大攻撃</v>
      </c>
      <c r="M6" s="63" t="str">
        <f t="shared" si="5"/>
        <v>[effect:fix_speed, target:myself, turn:3]</v>
      </c>
      <c r="N6" s="48" t="str">
        <f>IFERROR(LEFT(M6,FIND("],",M6)+S11),M6)</f>
        <v>[effect:fix_speed, target:myself, turn:3]</v>
      </c>
      <c r="O6" s="63">
        <f t="shared" si="6"/>
        <v>9</v>
      </c>
      <c r="P6" s="63">
        <f t="shared" si="7"/>
        <v>18</v>
      </c>
      <c r="Q6" s="63">
        <f t="shared" si="8"/>
        <v>27</v>
      </c>
      <c r="R6" s="63">
        <f t="shared" si="9"/>
        <v>33</v>
      </c>
      <c r="S6" s="63" t="str">
        <f>IFERROR(VLOOKUP(MID(N6,Q6,R6-Q6),[6]skilldef!$C:$D,2,FALSE),"-") &amp; " / " &amp; IFERROR(VLOOKUP(MID(N6,O6,P6-O6),[6]skilldef!$A:$B,2,FALSE),"-")</f>
        <v>自分自身に / 行動値設定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60019015</v>
      </c>
      <c r="B7" s="47" t="s">
        <v>395</v>
      </c>
      <c r="C7" s="50">
        <v>3</v>
      </c>
      <c r="D7" s="50" t="s">
        <v>128</v>
      </c>
      <c r="E7" s="51" t="s">
        <v>413</v>
      </c>
      <c r="F7" s="51" t="s">
        <v>400</v>
      </c>
      <c r="G7" s="63" t="str">
        <f t="shared" si="0"/>
        <v>[effect:damage_anti_tribe, target:unit_all, tribe:human, val1:0.7, val2:0.25]</v>
      </c>
      <c r="H7" s="63">
        <f t="shared" si="1"/>
        <v>9</v>
      </c>
      <c r="I7" s="63">
        <f t="shared" si="2"/>
        <v>26</v>
      </c>
      <c r="J7" s="63">
        <f t="shared" si="3"/>
        <v>35</v>
      </c>
      <c r="K7" s="63">
        <f t="shared" si="4"/>
        <v>43</v>
      </c>
      <c r="L7" s="63" t="str">
        <f>IFERROR(VLOOKUP(MID(G7,J7,K7-J7),[6]skilldef!$C:$D,2,FALSE),"-") &amp; " / " &amp; IFERROR(VLOOKUP(MID(G7,H7,I7-H7),[6]skilldef!$A:$B,2,FALSE),"-")</f>
        <v>味方全体に / 種族キラー</v>
      </c>
      <c r="M7" s="63" t="str">
        <f t="shared" si="5"/>
        <v>none</v>
      </c>
      <c r="N7" s="48" t="str">
        <f>IFERROR(LEFT(M7,FIND("],",M7)+#REF!),M7)</f>
        <v>none</v>
      </c>
      <c r="O7" s="63" t="e">
        <f t="shared" si="6"/>
        <v>#VALUE!</v>
      </c>
      <c r="P7" s="63">
        <f t="shared" si="7"/>
        <v>4</v>
      </c>
      <c r="Q7" s="63" t="e">
        <f t="shared" si="8"/>
        <v>#VALUE!</v>
      </c>
      <c r="R7" s="63" t="e">
        <f t="shared" si="9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60019016</v>
      </c>
      <c r="B8" s="47" t="s">
        <v>402</v>
      </c>
      <c r="C8" s="50">
        <v>3</v>
      </c>
      <c r="D8" s="50" t="s">
        <v>128</v>
      </c>
      <c r="E8" s="51" t="s">
        <v>414</v>
      </c>
      <c r="F8" s="51" t="s">
        <v>510</v>
      </c>
      <c r="G8" s="63" t="str">
        <f t="shared" si="0"/>
        <v>[effect:force_change_block, new_block:damage, target:block_all, ignore01:crash, ignore02:crack_bomb, ignore03:color_break, ignore04:time_bomb, ignore05:jammer, count:3, val:0.05, animation:change_block]</v>
      </c>
      <c r="H8" s="63">
        <f t="shared" si="1"/>
        <v>9</v>
      </c>
      <c r="I8" s="63">
        <f t="shared" si="2"/>
        <v>27</v>
      </c>
      <c r="J8" s="63">
        <f t="shared" si="3"/>
        <v>54</v>
      </c>
      <c r="K8" s="63">
        <f t="shared" si="4"/>
        <v>45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si="5"/>
        <v>none</v>
      </c>
      <c r="N8" s="48" t="str">
        <f>IFERROR(LEFT(M8,FIND("],",M8)+#REF!),M8)</f>
        <v>none</v>
      </c>
      <c r="O8" s="63" t="e">
        <f t="shared" si="6"/>
        <v>#VALUE!</v>
      </c>
      <c r="P8" s="63">
        <f t="shared" si="7"/>
        <v>4</v>
      </c>
      <c r="Q8" s="63" t="e">
        <f t="shared" si="8"/>
        <v>#VALUE!</v>
      </c>
      <c r="R8" s="63" t="e">
        <f t="shared" si="9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60019020</v>
      </c>
      <c r="B9" s="47" t="s">
        <v>302</v>
      </c>
      <c r="C9" s="50">
        <v>3</v>
      </c>
      <c r="D9" s="50" t="s">
        <v>128</v>
      </c>
      <c r="E9" s="51" t="s">
        <v>415</v>
      </c>
      <c r="F9" s="51" t="s">
        <v>401</v>
      </c>
      <c r="G9" s="63" t="str">
        <f t="shared" si="0"/>
        <v>[effect:fix_speed, target:myself, turn:2]</v>
      </c>
      <c r="H9" s="63">
        <f t="shared" si="1"/>
        <v>9</v>
      </c>
      <c r="I9" s="63">
        <f t="shared" si="2"/>
        <v>18</v>
      </c>
      <c r="J9" s="63">
        <f t="shared" si="3"/>
        <v>27</v>
      </c>
      <c r="K9" s="63">
        <f t="shared" si="4"/>
        <v>33</v>
      </c>
      <c r="L9" s="63" t="str">
        <f>IFERROR(VLOOKUP(MID(G9,J9,K9-J9),[6]skilldef!$C:$D,2,FALSE),"-") &amp; " / " &amp; IFERROR(VLOOKUP(MID(G9,H9,I9-H9),[6]skilldef!$A:$B,2,FALSE),"-")</f>
        <v>自分自身に / 行動値設定</v>
      </c>
      <c r="M9" s="63" t="str">
        <f t="shared" si="5"/>
        <v>[effect:tolerance, target:myself, turn:-1, count:-1, tolerance_effect:all, animation:enemy_tolerance]</v>
      </c>
      <c r="N9" s="48" t="str">
        <f>IFERROR(LEFT(M9,FIND("],",M9)+S14),M9)</f>
        <v>[effect:tolerance, target:myself, turn:-1, count:-1, tolerance_effect:all, animation:enemy_tolerance]</v>
      </c>
      <c r="O9" s="63">
        <f t="shared" si="6"/>
        <v>9</v>
      </c>
      <c r="P9" s="63">
        <f t="shared" si="7"/>
        <v>18</v>
      </c>
      <c r="Q9" s="63">
        <f t="shared" si="8"/>
        <v>27</v>
      </c>
      <c r="R9" s="63">
        <f t="shared" si="9"/>
        <v>33</v>
      </c>
      <c r="S9" s="63" t="str">
        <f>IFERROR(VLOOKUP(MID(N9,Q9,R9-Q9),[6]skilldef!$C:$D,2,FALSE),"-") &amp; " / " &amp; IFERROR(VLOOKUP(MID(N9,O9,P9-O9),[6]skilldef!$A:$B,2,FALSE),"-")</f>
        <v>自分自身に / 状態異常耐性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60019021</v>
      </c>
      <c r="B10" s="47" t="s">
        <v>444</v>
      </c>
      <c r="C10" s="50">
        <v>3</v>
      </c>
      <c r="D10" s="50" t="s">
        <v>128</v>
      </c>
      <c r="E10" s="51" t="s">
        <v>417</v>
      </c>
      <c r="F10" s="51" t="s">
        <v>503</v>
      </c>
      <c r="G10" s="63" t="str">
        <f t="shared" si="0"/>
        <v>[effect:enemy_message, val2:2.8]</v>
      </c>
      <c r="H10" s="63">
        <f t="shared" si="1"/>
        <v>9</v>
      </c>
      <c r="I10" s="63">
        <f t="shared" si="2"/>
        <v>22</v>
      </c>
      <c r="J10" s="63" t="e">
        <f t="shared" si="3"/>
        <v>#VALUE!</v>
      </c>
      <c r="K10" s="63" t="e">
        <f t="shared" si="4"/>
        <v>#VALUE!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5"/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v>
      </c>
      <c r="N10" s="48" t="str">
        <f>IFERROR(LEFT(M10,FIND("],",M10)+S15),M10)</f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v>
      </c>
      <c r="O10" s="63">
        <f t="shared" si="6"/>
        <v>9</v>
      </c>
      <c r="P10" s="63">
        <f t="shared" si="7"/>
        <v>27</v>
      </c>
      <c r="Q10" s="63">
        <f t="shared" si="8"/>
        <v>57</v>
      </c>
      <c r="R10" s="63">
        <f t="shared" si="9"/>
        <v>48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0"/>
        <v>[effect:damage_anti_tribe, target:unit_all, tribe:human, val1:0.7, val2:0.3]</v>
      </c>
      <c r="U10" s="63">
        <f t="shared" si="11"/>
        <v>9</v>
      </c>
      <c r="V10" s="63">
        <f t="shared" si="12"/>
        <v>26</v>
      </c>
      <c r="W10" s="63">
        <f t="shared" si="13"/>
        <v>35</v>
      </c>
      <c r="X10" s="63">
        <f t="shared" si="14"/>
        <v>43</v>
      </c>
      <c r="Y10" s="63" t="str">
        <f>IFERROR(VLOOKUP(MID(T10,W10,X10-W10),[6]skilldef!$C:$D,2,FALSE),"-") &amp; " / " &amp; IFERROR(VLOOKUP(MID(T10,U10,V10-U10),[6]skilldef!$A:$B,2,FALSE),"-")</f>
        <v>味方全体に / 種族キラー</v>
      </c>
      <c r="Z10" s="50"/>
      <c r="AA10" s="52"/>
      <c r="AB10" s="50"/>
    </row>
    <row r="11" spans="1:28" ht="21" customHeight="1" x14ac:dyDescent="0.15">
      <c r="A11" s="47">
        <v>60019022</v>
      </c>
      <c r="B11" s="47" t="s">
        <v>515</v>
      </c>
      <c r="C11" s="50">
        <v>3</v>
      </c>
      <c r="D11" s="50" t="s">
        <v>128</v>
      </c>
      <c r="E11" s="51" t="s">
        <v>419</v>
      </c>
      <c r="F11" s="51" t="s">
        <v>510</v>
      </c>
      <c r="G11" s="63" t="str">
        <f t="shared" si="0"/>
        <v>[effect:force_change_block, new_block:damage, target:block_all, ignore01:crash, ignore02:crack_bomb, ignore03:color_break, ignore04:time_bomb, ignore05:jammer, count:3, val:0.02, animation:change_block]</v>
      </c>
      <c r="H11" s="63">
        <f t="shared" si="1"/>
        <v>9</v>
      </c>
      <c r="I11" s="63">
        <f t="shared" si="2"/>
        <v>27</v>
      </c>
      <c r="J11" s="63">
        <f t="shared" si="3"/>
        <v>54</v>
      </c>
      <c r="K11" s="63">
        <f t="shared" si="4"/>
        <v>45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5"/>
        <v>none</v>
      </c>
      <c r="N11" s="48" t="str">
        <f>IFERROR(LEFT(M11,FIND("],",M11)+S16),M11)</f>
        <v>none</v>
      </c>
      <c r="O11" s="63" t="e">
        <f t="shared" si="6"/>
        <v>#VALUE!</v>
      </c>
      <c r="P11" s="63">
        <f t="shared" si="7"/>
        <v>4</v>
      </c>
      <c r="Q11" s="63" t="e">
        <f t="shared" si="8"/>
        <v>#VALUE!</v>
      </c>
      <c r="R11" s="63" t="e">
        <f t="shared" si="9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60019023</v>
      </c>
      <c r="B12" s="47" t="s">
        <v>398</v>
      </c>
      <c r="C12" s="50">
        <v>3</v>
      </c>
      <c r="D12" s="50" t="s">
        <v>128</v>
      </c>
      <c r="E12" s="51" t="s">
        <v>420</v>
      </c>
      <c r="F12" s="51" t="s">
        <v>446</v>
      </c>
      <c r="G12" s="63" t="str">
        <f t="shared" si="0"/>
        <v>[effect:break_attack, target:unit_all, val:0.05, lowest_val:1000, count:-1, color:blue, block01:damage]</v>
      </c>
      <c r="H12" s="63">
        <f t="shared" si="1"/>
        <v>9</v>
      </c>
      <c r="I12" s="63">
        <f t="shared" si="2"/>
        <v>21</v>
      </c>
      <c r="J12" s="63">
        <f t="shared" si="3"/>
        <v>30</v>
      </c>
      <c r="K12" s="63">
        <f t="shared" si="4"/>
        <v>38</v>
      </c>
      <c r="L12" s="63" t="str">
        <f>IFERROR(VLOOKUP(MID(G12,J12,K12-J12),[6]skilldef!$C:$D,2,FALSE),"-") &amp; " / " &amp; IFERROR(VLOOKUP(MID(G12,H12,I12-H12),[6]skilldef!$A:$B,2,FALSE),"-")</f>
        <v>味方全体に / -</v>
      </c>
      <c r="M12" s="63" t="str">
        <f t="shared" si="5"/>
        <v>none</v>
      </c>
      <c r="N12" s="48" t="str">
        <f>IFERROR(LEFT(M12,FIND("],",M12)+S17),M12)</f>
        <v>none</v>
      </c>
      <c r="O12" s="63" t="e">
        <f t="shared" si="6"/>
        <v>#VALUE!</v>
      </c>
      <c r="P12" s="63">
        <f t="shared" si="7"/>
        <v>4</v>
      </c>
      <c r="Q12" s="63" t="e">
        <f t="shared" si="8"/>
        <v>#VALUE!</v>
      </c>
      <c r="R12" s="63" t="e">
        <f t="shared" si="9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60019024</v>
      </c>
      <c r="B13" s="47" t="s">
        <v>391</v>
      </c>
      <c r="C13" s="50">
        <v>3</v>
      </c>
      <c r="D13" s="50" t="s">
        <v>128</v>
      </c>
      <c r="E13" s="51" t="s">
        <v>418</v>
      </c>
      <c r="F13" s="51" t="s">
        <v>403</v>
      </c>
      <c r="G13" s="63" t="str">
        <f t="shared" si="0"/>
        <v>[effect:rush, count:25, val:0.05]</v>
      </c>
      <c r="H13" s="63">
        <f t="shared" si="1"/>
        <v>9</v>
      </c>
      <c r="I13" s="63">
        <f t="shared" si="2"/>
        <v>13</v>
      </c>
      <c r="J13" s="63" t="e">
        <f t="shared" si="3"/>
        <v>#VALUE!</v>
      </c>
      <c r="K13" s="63">
        <f t="shared" si="4"/>
        <v>23</v>
      </c>
      <c r="L13" s="63" t="str">
        <f>IFERROR(VLOOKUP(MID(G13,J13,K13-J13),[6]skilldef!$C:$D,2,FALSE),"-") &amp; " / " &amp; IFERROR(VLOOKUP(MID(G13,H13,I13-H13),[6]skilldef!$A:$B,2,FALSE),"-")</f>
        <v>- / 連続攻撃</v>
      </c>
      <c r="M13" s="63" t="str">
        <f t="shared" si="5"/>
        <v>none</v>
      </c>
      <c r="N13" s="48" t="str">
        <f>IFERROR(LEFT(M13,FIND("],",M13)+#REF!),M13)</f>
        <v>none</v>
      </c>
      <c r="O13" s="63" t="e">
        <f t="shared" si="6"/>
        <v>#VALUE!</v>
      </c>
      <c r="P13" s="63">
        <f t="shared" si="7"/>
        <v>4</v>
      </c>
      <c r="Q13" s="63" t="e">
        <f t="shared" si="8"/>
        <v>#VALUE!</v>
      </c>
      <c r="R13" s="63" t="e">
        <f t="shared" si="9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60019030</v>
      </c>
      <c r="B14" s="47" t="s">
        <v>300</v>
      </c>
      <c r="C14" s="50">
        <v>3</v>
      </c>
      <c r="D14" s="50" t="s">
        <v>128</v>
      </c>
      <c r="E14" s="51" t="s">
        <v>416</v>
      </c>
      <c r="F14" s="51" t="s">
        <v>401</v>
      </c>
      <c r="G14" s="63" t="str">
        <f t="shared" si="0"/>
        <v>[effect:fix_speed, target:myself, turn:1]</v>
      </c>
      <c r="H14" s="63">
        <f t="shared" si="1"/>
        <v>9</v>
      </c>
      <c r="I14" s="63">
        <f t="shared" si="2"/>
        <v>18</v>
      </c>
      <c r="J14" s="63">
        <f t="shared" si="3"/>
        <v>27</v>
      </c>
      <c r="K14" s="63">
        <f t="shared" si="4"/>
        <v>33</v>
      </c>
      <c r="L14" s="63" t="str">
        <f>IFERROR(VLOOKUP(MID(G14,J14,K14-J14),[6]skilldef!$C:$D,2,FALSE),"-") &amp; " / " &amp; IFERROR(VLOOKUP(MID(G14,H14,I14-H14),[6]skilldef!$A:$B,2,FALSE),"-")</f>
        <v>自分自身に / 行動値設定</v>
      </c>
      <c r="M14" s="63" t="str">
        <f t="shared" si="5"/>
        <v>[effect:tolerance, target:myself, turn:-1, count:-1, tolerance_effect:all, animation:enemy_tolerance]</v>
      </c>
      <c r="N14" s="48" t="str">
        <f>IFERROR(LEFT(M14,FIND("],",M14)+S18),M14)</f>
        <v>[effect:tolerance, target:myself, turn:-1, count:-1, tolerance_effect:all, animation:enemy_tolerance]</v>
      </c>
      <c r="O14" s="63">
        <f t="shared" si="6"/>
        <v>9</v>
      </c>
      <c r="P14" s="63">
        <f t="shared" si="7"/>
        <v>18</v>
      </c>
      <c r="Q14" s="63">
        <f t="shared" si="8"/>
        <v>27</v>
      </c>
      <c r="R14" s="63">
        <f t="shared" si="9"/>
        <v>33</v>
      </c>
      <c r="S14" s="63" t="str">
        <f>IFERROR(VLOOKUP(MID(N14,Q14,R14-Q14),[6]skilldef!$C:$D,2,FALSE),"-") &amp; " / " &amp; IFERROR(VLOOKUP(MID(N14,O14,P14-O14),[6]skilldef!$A:$B,2,FALSE),"-")</f>
        <v>自分自身に / 状態異常耐性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60019031</v>
      </c>
      <c r="B15" s="47" t="s">
        <v>445</v>
      </c>
      <c r="C15" s="50">
        <v>3</v>
      </c>
      <c r="D15" s="50" t="s">
        <v>128</v>
      </c>
      <c r="E15" s="51" t="s">
        <v>417</v>
      </c>
      <c r="F15" s="51" t="s">
        <v>503</v>
      </c>
      <c r="G15" s="63" t="str">
        <f t="shared" si="0"/>
        <v>[effect:enemy_message, val2:2.8]</v>
      </c>
      <c r="H15" s="63">
        <f t="shared" si="1"/>
        <v>9</v>
      </c>
      <c r="I15" s="63">
        <f t="shared" si="2"/>
        <v>22</v>
      </c>
      <c r="J15" s="63" t="e">
        <f t="shared" si="3"/>
        <v>#VALUE!</v>
      </c>
      <c r="K15" s="63" t="e">
        <f t="shared" si="4"/>
        <v>#VALUE!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si="5"/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v>
      </c>
      <c r="N15" s="48" t="str">
        <f>IFERROR(LEFT(M15,FIND("],",M15)+S19),M15)</f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v>
      </c>
      <c r="O15" s="63">
        <f t="shared" si="6"/>
        <v>9</v>
      </c>
      <c r="P15" s="63">
        <f t="shared" si="7"/>
        <v>27</v>
      </c>
      <c r="Q15" s="63">
        <f t="shared" si="8"/>
        <v>57</v>
      </c>
      <c r="R15" s="63">
        <f t="shared" si="9"/>
        <v>48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0"/>
        <v>[effect:damage_anti_tribe, target:unit_all, tribe:human, val1:0.7, val2:0.3]</v>
      </c>
      <c r="U15" s="63">
        <f t="shared" si="11"/>
        <v>9</v>
      </c>
      <c r="V15" s="63">
        <f t="shared" si="12"/>
        <v>26</v>
      </c>
      <c r="W15" s="63">
        <f t="shared" si="13"/>
        <v>35</v>
      </c>
      <c r="X15" s="63">
        <f t="shared" si="14"/>
        <v>43</v>
      </c>
      <c r="Y15" s="63" t="str">
        <f>IFERROR(VLOOKUP(MID(T15,W15,X15-W15),[6]skilldef!$C:$D,2,FALSE),"-") &amp; " / " &amp; IFERROR(VLOOKUP(MID(T15,U15,V15-U15),[6]skilldef!$A:$B,2,FALSE),"-")</f>
        <v>味方全体に / 種族キラー</v>
      </c>
      <c r="Z15" s="50"/>
      <c r="AA15" s="52"/>
      <c r="AB15" s="50"/>
    </row>
    <row r="16" spans="1:28" ht="21" customHeight="1" x14ac:dyDescent="0.15">
      <c r="A16" s="47">
        <v>60019032</v>
      </c>
      <c r="B16" s="47" t="s">
        <v>516</v>
      </c>
      <c r="C16" s="50">
        <v>3</v>
      </c>
      <c r="D16" s="50" t="s">
        <v>128</v>
      </c>
      <c r="E16" s="51" t="s">
        <v>419</v>
      </c>
      <c r="F16" s="51" t="s">
        <v>511</v>
      </c>
      <c r="G16" s="63" t="str">
        <f t="shared" si="0"/>
        <v>[effect:force_change_block, new_block:damage, target:block_all, ignore01:crash, ignore02:crack_bomb, ignore03:color_break, ignore04:time_bomb, ignore05:jammer, color:block_blue, count:5, val:0.02, animation:change_block]</v>
      </c>
      <c r="H16" s="63">
        <f t="shared" si="1"/>
        <v>9</v>
      </c>
      <c r="I16" s="63">
        <f t="shared" si="2"/>
        <v>27</v>
      </c>
      <c r="J16" s="63">
        <f t="shared" si="3"/>
        <v>54</v>
      </c>
      <c r="K16" s="63">
        <f t="shared" si="4"/>
        <v>45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5"/>
        <v>none</v>
      </c>
      <c r="N16" s="48" t="str">
        <f>IFERROR(LEFT(M16,FIND("],",M16)+S20),M16)</f>
        <v>none</v>
      </c>
      <c r="O16" s="63" t="e">
        <f t="shared" si="6"/>
        <v>#VALUE!</v>
      </c>
      <c r="P16" s="63">
        <f t="shared" si="7"/>
        <v>4</v>
      </c>
      <c r="Q16" s="63" t="e">
        <f t="shared" si="8"/>
        <v>#VALUE!</v>
      </c>
      <c r="R16" s="63" t="e">
        <f t="shared" si="9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0"/>
        <v>none</v>
      </c>
      <c r="U16" s="63" t="e">
        <f t="shared" si="11"/>
        <v>#VALUE!</v>
      </c>
      <c r="V16" s="63">
        <f t="shared" si="12"/>
        <v>4</v>
      </c>
      <c r="W16" s="63" t="e">
        <f t="shared" si="13"/>
        <v>#VALUE!</v>
      </c>
      <c r="X16" s="63" t="e">
        <f t="shared" si="14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60019033</v>
      </c>
      <c r="B17" s="47" t="s">
        <v>509</v>
      </c>
      <c r="C17" s="50">
        <v>3</v>
      </c>
      <c r="D17" s="50" t="s">
        <v>128</v>
      </c>
      <c r="E17" s="51" t="s">
        <v>420</v>
      </c>
      <c r="F17" s="51" t="s">
        <v>446</v>
      </c>
      <c r="G17" s="63" t="str">
        <f t="shared" si="0"/>
        <v>[effect:break_attack, target:unit_all, val:0.1, lowest_val:1000, count:-1, color:blue, block_color:block_blue, block01:damage]</v>
      </c>
      <c r="H17" s="63">
        <f t="shared" si="1"/>
        <v>9</v>
      </c>
      <c r="I17" s="63">
        <f t="shared" si="2"/>
        <v>21</v>
      </c>
      <c r="J17" s="63">
        <f t="shared" si="3"/>
        <v>30</v>
      </c>
      <c r="K17" s="63">
        <f t="shared" si="4"/>
        <v>38</v>
      </c>
      <c r="L17" s="63" t="str">
        <f>IFERROR(VLOOKUP(MID(G17,J17,K17-J17),[6]skilldef!$C:$D,2,FALSE),"-") &amp; " / " &amp; IFERROR(VLOOKUP(MID(G17,H17,I17-H17),[6]skilldef!$A:$B,2,FALSE),"-")</f>
        <v>味方全体に / -</v>
      </c>
      <c r="M17" s="63" t="str">
        <f t="shared" si="5"/>
        <v>none</v>
      </c>
      <c r="N17" s="48" t="str">
        <f>IFERROR(LEFT(M17,FIND("],",M17)+S21),M17)</f>
        <v>none</v>
      </c>
      <c r="O17" s="63" t="e">
        <f t="shared" si="6"/>
        <v>#VALUE!</v>
      </c>
      <c r="P17" s="63">
        <f t="shared" si="7"/>
        <v>4</v>
      </c>
      <c r="Q17" s="63" t="e">
        <f t="shared" si="8"/>
        <v>#VALUE!</v>
      </c>
      <c r="R17" s="63" t="e">
        <f t="shared" si="9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60019040</v>
      </c>
      <c r="B18" s="47" t="s">
        <v>305</v>
      </c>
      <c r="C18" s="50">
        <v>3</v>
      </c>
      <c r="D18" s="50" t="s">
        <v>128</v>
      </c>
      <c r="E18" s="51" t="s">
        <v>427</v>
      </c>
      <c r="F18" s="51" t="s">
        <v>426</v>
      </c>
      <c r="G18" s="63" t="str">
        <f t="shared" si="0"/>
        <v>[effect:fix_speed, target:myself, turn:2]</v>
      </c>
      <c r="H18" s="63">
        <f t="shared" si="1"/>
        <v>9</v>
      </c>
      <c r="I18" s="63">
        <f t="shared" si="2"/>
        <v>18</v>
      </c>
      <c r="J18" s="63">
        <f t="shared" si="3"/>
        <v>27</v>
      </c>
      <c r="K18" s="63">
        <f t="shared" si="4"/>
        <v>33</v>
      </c>
      <c r="L18" s="63" t="str">
        <f>IFERROR(VLOOKUP(MID(G18,J18,K18-J18),[6]skilldef!$C:$D,2,FALSE),"-") &amp; " / " &amp; IFERROR(VLOOKUP(MID(G18,H18,I18-H18),[6]skilldef!$A:$B,2,FALSE),"-")</f>
        <v>自分自身に / 行動値設定</v>
      </c>
      <c r="M18" s="63" t="str">
        <f t="shared" si="5"/>
        <v>none</v>
      </c>
      <c r="N18" s="48" t="str">
        <f>IFERROR(LEFT(M18,FIND("],",M18)+S27),M18)</f>
        <v>none</v>
      </c>
      <c r="O18" s="63" t="e">
        <f t="shared" si="6"/>
        <v>#VALUE!</v>
      </c>
      <c r="P18" s="63">
        <f t="shared" si="7"/>
        <v>4</v>
      </c>
      <c r="Q18" s="63" t="e">
        <f t="shared" si="8"/>
        <v>#VALUE!</v>
      </c>
      <c r="R18" s="63" t="e">
        <f t="shared" si="9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60019041</v>
      </c>
      <c r="B19" s="47" t="s">
        <v>308</v>
      </c>
      <c r="C19" s="50">
        <v>3</v>
      </c>
      <c r="D19" s="50" t="s">
        <v>128</v>
      </c>
      <c r="E19" s="51" t="s">
        <v>430</v>
      </c>
      <c r="F19" s="51" t="s">
        <v>404</v>
      </c>
      <c r="G19" s="63" t="str">
        <f t="shared" si="0"/>
        <v>[effect:critical, val:1.1, animation:enemy_critical]</v>
      </c>
      <c r="H19" s="63">
        <f t="shared" si="1"/>
        <v>9</v>
      </c>
      <c r="I19" s="63">
        <f t="shared" si="2"/>
        <v>17</v>
      </c>
      <c r="J19" s="63" t="e">
        <f t="shared" si="3"/>
        <v>#VALUE!</v>
      </c>
      <c r="K19" s="63">
        <f t="shared" si="4"/>
        <v>26</v>
      </c>
      <c r="L19" s="63" t="str">
        <f>IFERROR(VLOOKUP(MID(G19,J19,K19-J19),[6]skilldef!$C:$D,2,FALSE),"-") &amp; " / " &amp; IFERROR(VLOOKUP(MID(G19,H19,I19-H19),[6]skilldef!$A:$B,2,FALSE),"-")</f>
        <v>- / 大攻撃</v>
      </c>
      <c r="M19" s="63" t="str">
        <f t="shared" si="5"/>
        <v>none</v>
      </c>
      <c r="N19" s="48" t="str">
        <f>IFERROR(LEFT(M19,FIND("],",M19)+S28),M19)</f>
        <v>none</v>
      </c>
      <c r="O19" s="63" t="e">
        <f t="shared" si="6"/>
        <v>#VALUE!</v>
      </c>
      <c r="P19" s="63">
        <f t="shared" si="7"/>
        <v>4</v>
      </c>
      <c r="Q19" s="63" t="e">
        <f t="shared" si="8"/>
        <v>#VALUE!</v>
      </c>
      <c r="R19" s="63" t="e">
        <f t="shared" si="9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60019042</v>
      </c>
      <c r="B20" s="47" t="s">
        <v>309</v>
      </c>
      <c r="C20" s="50">
        <v>3</v>
      </c>
      <c r="D20" s="50" t="s">
        <v>128</v>
      </c>
      <c r="E20" s="51" t="s">
        <v>429</v>
      </c>
      <c r="F20" s="51" t="s">
        <v>405</v>
      </c>
      <c r="G20" s="63" t="str">
        <f t="shared" si="0"/>
        <v>[effect:dis_heart, turn:5, animation:enemy_dis_heart]</v>
      </c>
      <c r="H20" s="63">
        <f t="shared" si="1"/>
        <v>9</v>
      </c>
      <c r="I20" s="63">
        <f t="shared" si="2"/>
        <v>18</v>
      </c>
      <c r="J20" s="63" t="e">
        <f t="shared" si="3"/>
        <v>#VALUE!</v>
      </c>
      <c r="K20" s="63">
        <f t="shared" si="4"/>
        <v>26</v>
      </c>
      <c r="L20" s="63" t="str">
        <f>IFERROR(VLOOKUP(MID(G20,J20,K20-J20),[6]skilldef!$C:$D,2,FALSE),"-") &amp; " / " &amp; IFERROR(VLOOKUP(MID(G20,H20,I20-H20),[6]skilldef!$A:$B,2,FALSE),"-")</f>
        <v>- / ディスハート</v>
      </c>
      <c r="M20" s="63" t="str">
        <f t="shared" si="5"/>
        <v>none</v>
      </c>
      <c r="N20" s="48" t="str">
        <f>IFERROR(LEFT(M20,FIND("],",M20)+S29),M20)</f>
        <v>none</v>
      </c>
      <c r="O20" s="63" t="e">
        <f t="shared" si="6"/>
        <v>#VALUE!</v>
      </c>
      <c r="P20" s="63">
        <f t="shared" si="7"/>
        <v>4</v>
      </c>
      <c r="Q20" s="63" t="e">
        <f t="shared" si="8"/>
        <v>#VALUE!</v>
      </c>
      <c r="R20" s="63" t="e">
        <f t="shared" si="9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0"/>
        <v>none</v>
      </c>
      <c r="U20" s="63" t="e">
        <f t="shared" si="11"/>
        <v>#VALUE!</v>
      </c>
      <c r="V20" s="63">
        <f t="shared" si="12"/>
        <v>4</v>
      </c>
      <c r="W20" s="63" t="e">
        <f t="shared" si="13"/>
        <v>#VALUE!</v>
      </c>
      <c r="X20" s="63" t="e">
        <f t="shared" si="14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60019043</v>
      </c>
      <c r="B21" s="47" t="s">
        <v>310</v>
      </c>
      <c r="C21" s="50">
        <v>3</v>
      </c>
      <c r="D21" s="50" t="s">
        <v>128</v>
      </c>
      <c r="E21" s="51" t="s">
        <v>428</v>
      </c>
      <c r="F21" s="51" t="s">
        <v>508</v>
      </c>
      <c r="G21" s="63" t="str">
        <f t="shared" si="0"/>
        <v>[effect:freq_turn, target:enemy_red, turn:-1, val:1, animation:enemy_freq_turn]</v>
      </c>
      <c r="H21" s="63">
        <f t="shared" si="1"/>
        <v>9</v>
      </c>
      <c r="I21" s="63">
        <f t="shared" si="2"/>
        <v>18</v>
      </c>
      <c r="J21" s="63">
        <f t="shared" si="3"/>
        <v>27</v>
      </c>
      <c r="K21" s="63">
        <f t="shared" si="4"/>
        <v>36</v>
      </c>
      <c r="L21" s="63" t="str">
        <f>IFERROR(VLOOKUP(MID(G21,J21,K21-J21),[6]skilldef!$C:$D,2,FALSE),"-") &amp; " / " &amp; IFERROR(VLOOKUP(MID(G21,H21,I21-H21),[6]skilldef!$A:$B,2,FALSE),"-")</f>
        <v>赤の敵に / 攻撃頻度がUP</v>
      </c>
      <c r="M21" s="63" t="str">
        <f t="shared" si="5"/>
        <v>none</v>
      </c>
      <c r="N21" s="48" t="str">
        <f>IFERROR(LEFT(M21,FIND("],",M21)+S30),M21)</f>
        <v>none</v>
      </c>
      <c r="O21" s="63" t="e">
        <f t="shared" si="6"/>
        <v>#VALUE!</v>
      </c>
      <c r="P21" s="63">
        <f t="shared" si="7"/>
        <v>4</v>
      </c>
      <c r="Q21" s="63" t="e">
        <f t="shared" si="8"/>
        <v>#VALUE!</v>
      </c>
      <c r="R21" s="63" t="e">
        <f t="shared" si="9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60019045</v>
      </c>
      <c r="B22" s="47" t="s">
        <v>306</v>
      </c>
      <c r="C22" s="50">
        <v>3</v>
      </c>
      <c r="D22" s="50" t="s">
        <v>128</v>
      </c>
      <c r="E22" s="51" t="s">
        <v>424</v>
      </c>
      <c r="F22" s="51" t="s">
        <v>425</v>
      </c>
      <c r="G22" s="63" t="str">
        <f t="shared" si="0"/>
        <v>[effect:fix_speed, target:myself, turn:3]</v>
      </c>
      <c r="H22" s="63">
        <f t="shared" si="1"/>
        <v>9</v>
      </c>
      <c r="I22" s="63">
        <f t="shared" si="2"/>
        <v>18</v>
      </c>
      <c r="J22" s="63">
        <f t="shared" si="3"/>
        <v>27</v>
      </c>
      <c r="K22" s="63">
        <f t="shared" si="4"/>
        <v>33</v>
      </c>
      <c r="L22" s="63" t="str">
        <f>IFERROR(VLOOKUP(MID(G22,J22,K22-J22),[6]skilldef!$C:$D,2,FALSE),"-") &amp; " / " &amp; IFERROR(VLOOKUP(MID(G22,H22,I22-H22),[6]skilldef!$A:$B,2,FALSE),"-")</f>
        <v>自分自身に / 行動値設定</v>
      </c>
      <c r="M22" s="63" t="str">
        <f t="shared" si="5"/>
        <v>none</v>
      </c>
      <c r="N22" s="48" t="str">
        <f>IFERROR(LEFT(M22,FIND("],",M22)+#REF!),M22)</f>
        <v>none</v>
      </c>
      <c r="O22" s="63" t="e">
        <f t="shared" si="6"/>
        <v>#VALUE!</v>
      </c>
      <c r="P22" s="63">
        <f t="shared" si="7"/>
        <v>4</v>
      </c>
      <c r="Q22" s="63" t="e">
        <f t="shared" si="8"/>
        <v>#VALUE!</v>
      </c>
      <c r="R22" s="63" t="e">
        <f t="shared" si="9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60019046</v>
      </c>
      <c r="B23" s="47" t="s">
        <v>303</v>
      </c>
      <c r="C23" s="50">
        <v>3</v>
      </c>
      <c r="D23" s="50" t="s">
        <v>128</v>
      </c>
      <c r="E23" s="51" t="s">
        <v>421</v>
      </c>
      <c r="F23" s="51" t="s">
        <v>399</v>
      </c>
      <c r="G23" s="63" t="str">
        <f t="shared" si="0"/>
        <v>[effect:rush, count:3, val:0.45]</v>
      </c>
      <c r="H23" s="63">
        <f t="shared" si="1"/>
        <v>9</v>
      </c>
      <c r="I23" s="63">
        <f t="shared" si="2"/>
        <v>13</v>
      </c>
      <c r="J23" s="63" t="e">
        <f t="shared" si="3"/>
        <v>#VALUE!</v>
      </c>
      <c r="K23" s="63">
        <f t="shared" si="4"/>
        <v>22</v>
      </c>
      <c r="L23" s="63" t="str">
        <f>IFERROR(VLOOKUP(MID(G23,J23,K23-J23),[6]skilldef!$C:$D,2,FALSE),"-") &amp; " / " &amp; IFERROR(VLOOKUP(MID(G23,H23,I23-H23),[6]skilldef!$A:$B,2,FALSE),"-")</f>
        <v>- / 連続攻撃</v>
      </c>
      <c r="M23" s="63" t="str">
        <f t="shared" si="5"/>
        <v>none</v>
      </c>
      <c r="N23" s="48" t="str">
        <f>IFERROR(LEFT(M23,FIND("],",M23)+#REF!),M23)</f>
        <v>none</v>
      </c>
      <c r="O23" s="63" t="e">
        <f t="shared" si="6"/>
        <v>#VALUE!</v>
      </c>
      <c r="P23" s="63">
        <f t="shared" si="7"/>
        <v>4</v>
      </c>
      <c r="Q23" s="63" t="e">
        <f t="shared" si="8"/>
        <v>#VALUE!</v>
      </c>
      <c r="R23" s="63" t="e">
        <f t="shared" si="9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60019047</v>
      </c>
      <c r="B24" s="47" t="s">
        <v>311</v>
      </c>
      <c r="C24" s="50">
        <v>3</v>
      </c>
      <c r="D24" s="50" t="s">
        <v>128</v>
      </c>
      <c r="E24" s="51" t="s">
        <v>422</v>
      </c>
      <c r="F24" s="51" t="s">
        <v>406</v>
      </c>
      <c r="G24" s="63" t="str">
        <f t="shared" si="0"/>
        <v>[effect:enhance_enemy, target:myself, turn:5, status:attack, val:0.35, calc:mul, animation:enemy_enhance_attack]</v>
      </c>
      <c r="H24" s="63">
        <f t="shared" si="1"/>
        <v>9</v>
      </c>
      <c r="I24" s="63">
        <f t="shared" si="2"/>
        <v>22</v>
      </c>
      <c r="J24" s="63">
        <f t="shared" si="3"/>
        <v>31</v>
      </c>
      <c r="K24" s="63">
        <f t="shared" si="4"/>
        <v>37</v>
      </c>
      <c r="L24" s="63" t="str">
        <f>IFERROR(VLOOKUP(MID(G24,J24,K24-J24),[6]skilldef!$C:$D,2,FALSE),"-") &amp; " / " &amp; IFERROR(VLOOKUP(MID(G24,H24,I24-H24),[6]skilldef!$A:$B,2,FALSE),"-")</f>
        <v>自分自身に / ステータス強化</v>
      </c>
      <c r="M24" s="63" t="str">
        <f t="shared" si="5"/>
        <v>none</v>
      </c>
      <c r="N24" s="48" t="str">
        <f>IFERROR(LEFT(M24,FIND("],",M24)+#REF!),M24)</f>
        <v>none</v>
      </c>
      <c r="O24" s="63" t="e">
        <f t="shared" si="6"/>
        <v>#VALUE!</v>
      </c>
      <c r="P24" s="63">
        <f t="shared" si="7"/>
        <v>4</v>
      </c>
      <c r="Q24" s="63" t="e">
        <f t="shared" si="8"/>
        <v>#VALUE!</v>
      </c>
      <c r="R24" s="63" t="e">
        <f t="shared" si="9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0"/>
        <v>none</v>
      </c>
      <c r="U24" s="63" t="e">
        <f t="shared" si="11"/>
        <v>#VALUE!</v>
      </c>
      <c r="V24" s="63">
        <f t="shared" si="12"/>
        <v>4</v>
      </c>
      <c r="W24" s="63" t="e">
        <f t="shared" si="13"/>
        <v>#VALUE!</v>
      </c>
      <c r="X24" s="63" t="e">
        <f t="shared" si="14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60019048</v>
      </c>
      <c r="B25" s="47" t="s">
        <v>312</v>
      </c>
      <c r="C25" s="50">
        <v>3</v>
      </c>
      <c r="D25" s="50" t="s">
        <v>128</v>
      </c>
      <c r="E25" s="51" t="s">
        <v>423</v>
      </c>
      <c r="F25" s="51" t="s">
        <v>507</v>
      </c>
      <c r="G25" s="63" t="str">
        <f t="shared" si="0"/>
        <v>[effect:enhance_enemy, target:enemy_yellow, turn:5, status:defense, val:3000, calc:add, animation:enemy_enhance_defense]</v>
      </c>
      <c r="H25" s="63">
        <f t="shared" si="1"/>
        <v>9</v>
      </c>
      <c r="I25" s="63">
        <f t="shared" si="2"/>
        <v>22</v>
      </c>
      <c r="J25" s="63">
        <f t="shared" si="3"/>
        <v>31</v>
      </c>
      <c r="K25" s="63">
        <f t="shared" si="4"/>
        <v>43</v>
      </c>
      <c r="L25" s="63" t="str">
        <f>IFERROR(VLOOKUP(MID(G25,J25,K25-J25),[6]skilldef!$C:$D,2,FALSE),"-") &amp; " / " &amp; IFERROR(VLOOKUP(MID(G25,H25,I25-H25),[6]skilldef!$A:$B,2,FALSE),"-")</f>
        <v>黄の敵に / ステータス強化</v>
      </c>
      <c r="M25" s="63" t="str">
        <f t="shared" si="5"/>
        <v>none</v>
      </c>
      <c r="N25" s="48" t="str">
        <f>IFERROR(LEFT(M25,FIND("],",M25)+#REF!),M25)</f>
        <v>none</v>
      </c>
      <c r="O25" s="63" t="e">
        <f t="shared" si="6"/>
        <v>#VALUE!</v>
      </c>
      <c r="P25" s="63">
        <f t="shared" si="7"/>
        <v>4</v>
      </c>
      <c r="Q25" s="63" t="e">
        <f t="shared" si="8"/>
        <v>#VALUE!</v>
      </c>
      <c r="R25" s="63" t="e">
        <f t="shared" si="9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10"/>
        <v>none</v>
      </c>
      <c r="U25" s="63" t="e">
        <f t="shared" si="11"/>
        <v>#VALUE!</v>
      </c>
      <c r="V25" s="63">
        <f t="shared" si="12"/>
        <v>4</v>
      </c>
      <c r="W25" s="63" t="e">
        <f t="shared" si="13"/>
        <v>#VALUE!</v>
      </c>
      <c r="X25" s="63" t="e">
        <f t="shared" si="14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60019049</v>
      </c>
      <c r="B26" s="47" t="s">
        <v>293</v>
      </c>
      <c r="C26" s="50">
        <v>3</v>
      </c>
      <c r="D26" s="50" t="s">
        <v>128</v>
      </c>
      <c r="E26" s="51" t="s">
        <v>296</v>
      </c>
      <c r="F26" s="51" t="s">
        <v>294</v>
      </c>
      <c r="G26" s="63" t="str">
        <f t="shared" si="0"/>
        <v>[effect:nothing]</v>
      </c>
      <c r="H26" s="63">
        <f t="shared" si="1"/>
        <v>9</v>
      </c>
      <c r="I26" s="63">
        <f t="shared" si="2"/>
        <v>16</v>
      </c>
      <c r="J26" s="63" t="e">
        <f t="shared" si="3"/>
        <v>#VALUE!</v>
      </c>
      <c r="K26" s="63" t="e">
        <f t="shared" si="4"/>
        <v>#VALUE!</v>
      </c>
      <c r="L26" s="63" t="str">
        <f>IFERROR(VLOOKUP(MID(G26,J26,K26-J26),[6]skilldef!$C:$D,2,FALSE),"-") &amp; " / " &amp; IFERROR(VLOOKUP(MID(G26,H26,I26-H26),[6]skilldef!$A:$B,2,FALSE),"-")</f>
        <v>- / 何もしない</v>
      </c>
      <c r="M26" s="63" t="str">
        <f t="shared" si="5"/>
        <v>none</v>
      </c>
      <c r="N26" s="48" t="str">
        <f>IFERROR(LEFT(M26,FIND("],",M26)+#REF!),M26)</f>
        <v>none</v>
      </c>
      <c r="O26" s="63" t="e">
        <f t="shared" si="6"/>
        <v>#VALUE!</v>
      </c>
      <c r="P26" s="63">
        <f t="shared" si="7"/>
        <v>4</v>
      </c>
      <c r="Q26" s="63" t="e">
        <f t="shared" si="8"/>
        <v>#VALUE!</v>
      </c>
      <c r="R26" s="63" t="e">
        <f t="shared" si="9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0"/>
        <v>none</v>
      </c>
      <c r="U26" s="63" t="e">
        <f t="shared" si="11"/>
        <v>#VALUE!</v>
      </c>
      <c r="V26" s="63">
        <f t="shared" si="12"/>
        <v>4</v>
      </c>
      <c r="W26" s="63" t="e">
        <f t="shared" si="13"/>
        <v>#VALUE!</v>
      </c>
      <c r="X26" s="63" t="e">
        <f t="shared" si="14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60019050</v>
      </c>
      <c r="B27" s="47" t="s">
        <v>301</v>
      </c>
      <c r="C27" s="50">
        <v>3</v>
      </c>
      <c r="D27" s="50" t="s">
        <v>128</v>
      </c>
      <c r="E27" s="51" t="s">
        <v>442</v>
      </c>
      <c r="F27" s="51" t="s">
        <v>407</v>
      </c>
      <c r="G27" s="63" t="str">
        <f t="shared" si="0"/>
        <v>[effect:fix_speed, target:myself, turn:2]</v>
      </c>
      <c r="H27" s="63">
        <f t="shared" si="1"/>
        <v>9</v>
      </c>
      <c r="I27" s="63">
        <f t="shared" si="2"/>
        <v>18</v>
      </c>
      <c r="J27" s="63">
        <f t="shared" si="3"/>
        <v>27</v>
      </c>
      <c r="K27" s="63">
        <f t="shared" si="4"/>
        <v>33</v>
      </c>
      <c r="L27" s="63" t="str">
        <f>IFERROR(VLOOKUP(MID(G27,J27,K27-J27),[6]skilldef!$C:$D,2,FALSE),"-") &amp; " / " &amp; IFERROR(VLOOKUP(MID(G27,H27,I27-H27),[6]skilldef!$A:$B,2,FALSE),"-")</f>
        <v>自分自身に / 行動値設定</v>
      </c>
      <c r="M27" s="63" t="str">
        <f t="shared" si="5"/>
        <v>[effect:tolerance, target:myself, turn:-1, count:-1, tolerance_effect:all, animation:enemy_tolerance]</v>
      </c>
      <c r="N27" s="48" t="str">
        <f>IFERROR(LEFT(M27,FIND("],",M27)+S32),M27)</f>
        <v>[effect:tolerance, target:myself, turn:-1, count:-1, tolerance_effect:all, animation:enemy_tolerance]</v>
      </c>
      <c r="O27" s="63">
        <f t="shared" si="6"/>
        <v>9</v>
      </c>
      <c r="P27" s="63">
        <f t="shared" si="7"/>
        <v>18</v>
      </c>
      <c r="Q27" s="63">
        <f t="shared" si="8"/>
        <v>27</v>
      </c>
      <c r="R27" s="63">
        <f t="shared" si="9"/>
        <v>33</v>
      </c>
      <c r="S27" s="63" t="str">
        <f>IFERROR(VLOOKUP(MID(N27,Q27,R27-Q27),[6]skilldef!$C:$D,2,FALSE),"-") &amp; " / " &amp; IFERROR(VLOOKUP(MID(N27,O27,P27-O27),[6]skilldef!$A:$B,2,FALSE),"-")</f>
        <v>自分自身に / 状態異常耐性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60019051</v>
      </c>
      <c r="B28" s="47" t="s">
        <v>394</v>
      </c>
      <c r="C28" s="50">
        <v>3</v>
      </c>
      <c r="D28" s="50" t="s">
        <v>128</v>
      </c>
      <c r="E28" s="51" t="s">
        <v>436</v>
      </c>
      <c r="F28" s="51" t="s">
        <v>408</v>
      </c>
      <c r="G28" s="63" t="str">
        <f t="shared" si="0"/>
        <v>[effect:rush, count:5, val:0.25]</v>
      </c>
      <c r="H28" s="63">
        <f t="shared" si="1"/>
        <v>9</v>
      </c>
      <c r="I28" s="63">
        <f t="shared" si="2"/>
        <v>13</v>
      </c>
      <c r="J28" s="63" t="e">
        <f t="shared" si="3"/>
        <v>#VALUE!</v>
      </c>
      <c r="K28" s="63">
        <f t="shared" si="4"/>
        <v>22</v>
      </c>
      <c r="L28" s="63" t="str">
        <f>IFERROR(VLOOKUP(MID(G28,J28,K28-J28),[6]skilldef!$C:$D,2,FALSE),"-") &amp; " / " &amp; IFERROR(VLOOKUP(MID(G28,H28,I28-H28),[6]skilldef!$A:$B,2,FALSE),"-")</f>
        <v>- / 連続攻撃</v>
      </c>
      <c r="M28" s="63" t="str">
        <f t="shared" si="5"/>
        <v>none</v>
      </c>
      <c r="N28" s="48" t="str">
        <f>IFERROR(LEFT(M28,FIND("],",M28)+S33),M28)</f>
        <v>none</v>
      </c>
      <c r="O28" s="63" t="e">
        <f t="shared" si="6"/>
        <v>#VALUE!</v>
      </c>
      <c r="P28" s="63">
        <f t="shared" si="7"/>
        <v>4</v>
      </c>
      <c r="Q28" s="63" t="e">
        <f t="shared" si="8"/>
        <v>#VALUE!</v>
      </c>
      <c r="R28" s="63" t="e">
        <f t="shared" si="9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0"/>
        <v>none</v>
      </c>
      <c r="U28" s="63" t="e">
        <f t="shared" si="11"/>
        <v>#VALUE!</v>
      </c>
      <c r="V28" s="63">
        <f t="shared" si="12"/>
        <v>4</v>
      </c>
      <c r="W28" s="63" t="e">
        <f t="shared" si="13"/>
        <v>#VALUE!</v>
      </c>
      <c r="X28" s="63" t="e">
        <f t="shared" si="14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60019052</v>
      </c>
      <c r="B29" s="47" t="s">
        <v>444</v>
      </c>
      <c r="C29" s="50">
        <v>3</v>
      </c>
      <c r="D29" s="50" t="s">
        <v>128</v>
      </c>
      <c r="E29" s="51" t="s">
        <v>434</v>
      </c>
      <c r="F29" s="51" t="s">
        <v>503</v>
      </c>
      <c r="G29" s="63" t="str">
        <f t="shared" si="0"/>
        <v>[effect:enemy_message, val2:2.8]</v>
      </c>
      <c r="H29" s="63">
        <f t="shared" si="1"/>
        <v>9</v>
      </c>
      <c r="I29" s="63">
        <f t="shared" si="2"/>
        <v>22</v>
      </c>
      <c r="J29" s="63" t="e">
        <f t="shared" si="3"/>
        <v>#VALUE!</v>
      </c>
      <c r="K29" s="63" t="e">
        <f t="shared" si="4"/>
        <v>#VALUE!</v>
      </c>
      <c r="L29" s="63" t="str">
        <f>IFERROR(VLOOKUP(MID(G29,J29,K29-J29),[6]skilldef!$C:$D,2,FALSE),"-") &amp; " / " &amp; IFERROR(VLOOKUP(MID(G29,H29,I29-H29),[6]skilldef!$A:$B,2,FALSE),"-")</f>
        <v>- / -</v>
      </c>
      <c r="M29" s="63" t="str">
        <f t="shared" si="5"/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v>
      </c>
      <c r="N29" s="48" t="str">
        <f>IFERROR(LEFT(M29,FIND("],",M29)+S34),M29)</f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v>
      </c>
      <c r="O29" s="63">
        <f t="shared" si="6"/>
        <v>9</v>
      </c>
      <c r="P29" s="63">
        <f t="shared" si="7"/>
        <v>27</v>
      </c>
      <c r="Q29" s="63">
        <f t="shared" si="8"/>
        <v>57</v>
      </c>
      <c r="R29" s="63">
        <f t="shared" si="9"/>
        <v>48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10"/>
        <v>[effect:damage_anti_tribe, target:unit_all, tribe:human, val1:0.7, val2:0.3]</v>
      </c>
      <c r="U29" s="63">
        <f t="shared" si="11"/>
        <v>9</v>
      </c>
      <c r="V29" s="63">
        <f t="shared" si="12"/>
        <v>26</v>
      </c>
      <c r="W29" s="63">
        <f t="shared" si="13"/>
        <v>35</v>
      </c>
      <c r="X29" s="63">
        <f t="shared" si="14"/>
        <v>43</v>
      </c>
      <c r="Y29" s="63" t="str">
        <f>IFERROR(VLOOKUP(MID(T29,W29,X29-W29),[6]skilldef!$C:$D,2,FALSE),"-") &amp; " / " &amp; IFERROR(VLOOKUP(MID(T29,U29,V29-U29),[6]skilldef!$A:$B,2,FALSE),"-")</f>
        <v>味方全体に / 種族キラー</v>
      </c>
      <c r="Z29" s="50"/>
      <c r="AA29" s="52"/>
      <c r="AB29" s="50"/>
    </row>
    <row r="30" spans="1:28" ht="21" customHeight="1" x14ac:dyDescent="0.15">
      <c r="A30" s="47">
        <v>60019053</v>
      </c>
      <c r="B30" s="47" t="s">
        <v>396</v>
      </c>
      <c r="C30" s="50">
        <v>3</v>
      </c>
      <c r="D30" s="50" t="s">
        <v>128</v>
      </c>
      <c r="E30" s="51" t="s">
        <v>433</v>
      </c>
      <c r="F30" s="51" t="s">
        <v>409</v>
      </c>
      <c r="G30" s="63" t="str">
        <f t="shared" si="0"/>
        <v>[effect:damage_anti_color, target:unit_all, color:red, val1:0.7, val2:0.25]</v>
      </c>
      <c r="H30" s="63">
        <f t="shared" si="1"/>
        <v>9</v>
      </c>
      <c r="I30" s="63">
        <f t="shared" si="2"/>
        <v>26</v>
      </c>
      <c r="J30" s="63">
        <f t="shared" si="3"/>
        <v>35</v>
      </c>
      <c r="K30" s="63">
        <f t="shared" si="4"/>
        <v>43</v>
      </c>
      <c r="L30" s="63" t="str">
        <f>IFERROR(VLOOKUP(MID(G30,J30,K30-J30),[6]skilldef!$C:$D,2,FALSE),"-") &amp; " / " &amp; IFERROR(VLOOKUP(MID(G30,H30,I30-H30),[6]skilldef!$A:$B,2,FALSE),"-")</f>
        <v>味方全体に / 属性キラー</v>
      </c>
      <c r="M30" s="63" t="str">
        <f t="shared" si="5"/>
        <v>none</v>
      </c>
      <c r="N30" s="48" t="str">
        <f>IFERROR(LEFT(M30,FIND("],",M30)+S35),M30)</f>
        <v>none</v>
      </c>
      <c r="O30" s="63" t="e">
        <f t="shared" si="6"/>
        <v>#VALUE!</v>
      </c>
      <c r="P30" s="63">
        <f t="shared" si="7"/>
        <v>4</v>
      </c>
      <c r="Q30" s="63" t="e">
        <f t="shared" si="8"/>
        <v>#VALUE!</v>
      </c>
      <c r="R30" s="63" t="e">
        <f t="shared" si="9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10"/>
        <v>none</v>
      </c>
      <c r="U30" s="63" t="e">
        <f t="shared" si="11"/>
        <v>#VALUE!</v>
      </c>
      <c r="V30" s="63">
        <f t="shared" si="12"/>
        <v>4</v>
      </c>
      <c r="W30" s="63" t="e">
        <f t="shared" si="13"/>
        <v>#VALUE!</v>
      </c>
      <c r="X30" s="63" t="e">
        <f t="shared" si="14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60019054</v>
      </c>
      <c r="B31" s="47" t="s">
        <v>393</v>
      </c>
      <c r="C31" s="50">
        <v>3</v>
      </c>
      <c r="D31" s="50" t="s">
        <v>128</v>
      </c>
      <c r="E31" s="51" t="s">
        <v>431</v>
      </c>
      <c r="F31" s="51" t="s">
        <v>403</v>
      </c>
      <c r="G31" s="63" t="str">
        <f t="shared" si="0"/>
        <v>[effect:rush, count:25, val:0.1]</v>
      </c>
      <c r="H31" s="63">
        <f t="shared" si="1"/>
        <v>9</v>
      </c>
      <c r="I31" s="63">
        <f t="shared" si="2"/>
        <v>13</v>
      </c>
      <c r="J31" s="63" t="e">
        <f t="shared" si="3"/>
        <v>#VALUE!</v>
      </c>
      <c r="K31" s="63">
        <f t="shared" si="4"/>
        <v>23</v>
      </c>
      <c r="L31" s="63" t="str">
        <f>IFERROR(VLOOKUP(MID(G31,J31,K31-J31),[6]skilldef!$C:$D,2,FALSE),"-") &amp; " / " &amp; IFERROR(VLOOKUP(MID(G31,H31,I31-H31),[6]skilldef!$A:$B,2,FALSE),"-")</f>
        <v>- / 連続攻撃</v>
      </c>
      <c r="M31" s="63" t="str">
        <f t="shared" si="5"/>
        <v>none</v>
      </c>
      <c r="N31" s="48" t="str">
        <f>IFERROR(LEFT(M31,FIND("],",M31)+S36),M31)</f>
        <v>none</v>
      </c>
      <c r="O31" s="63" t="e">
        <f t="shared" si="6"/>
        <v>#VALUE!</v>
      </c>
      <c r="P31" s="63">
        <f t="shared" si="7"/>
        <v>4</v>
      </c>
      <c r="Q31" s="63" t="e">
        <f t="shared" si="8"/>
        <v>#VALUE!</v>
      </c>
      <c r="R31" s="63" t="e">
        <f t="shared" si="9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10"/>
        <v>none</v>
      </c>
      <c r="U31" s="63" t="e">
        <f t="shared" si="11"/>
        <v>#VALUE!</v>
      </c>
      <c r="V31" s="63">
        <f t="shared" si="12"/>
        <v>4</v>
      </c>
      <c r="W31" s="63" t="e">
        <f t="shared" si="13"/>
        <v>#VALUE!</v>
      </c>
      <c r="X31" s="63" t="e">
        <f t="shared" si="14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60019060</v>
      </c>
      <c r="B32" s="47" t="s">
        <v>300</v>
      </c>
      <c r="C32" s="50">
        <v>3</v>
      </c>
      <c r="D32" s="50" t="s">
        <v>128</v>
      </c>
      <c r="E32" s="51" t="s">
        <v>435</v>
      </c>
      <c r="F32" s="51" t="s">
        <v>407</v>
      </c>
      <c r="G32" s="63" t="str">
        <f t="shared" ref="G32" si="15">IFERROR(LEFT(B32,FIND("],",B32)),B32)</f>
        <v>[effect:fix_speed, target:myself, turn:1]</v>
      </c>
      <c r="H32" s="63">
        <f t="shared" si="1"/>
        <v>9</v>
      </c>
      <c r="I32" s="63">
        <f t="shared" ref="I32" si="16">IFERROR(FIND(",",G32),LEN(G32))</f>
        <v>18</v>
      </c>
      <c r="J32" s="63">
        <f t="shared" ref="J32" si="17">FIND("target:",G32)+7</f>
        <v>27</v>
      </c>
      <c r="K32" s="63">
        <f t="shared" ref="K32" si="18">FIND(",",G32,I32+1)</f>
        <v>33</v>
      </c>
      <c r="L32" s="63" t="str">
        <f>IFERROR(VLOOKUP(MID(G32,J32,K32-J32),[6]skilldef!$C:$D,2,FALSE),"-") &amp; " / " &amp; IFERROR(VLOOKUP(MID(G32,H32,I32-H32),[6]skilldef!$A:$B,2,FALSE),"-")</f>
        <v>自分自身に / 行動値設定</v>
      </c>
      <c r="M32" s="63" t="str">
        <f t="shared" ref="M32" si="19">IFERROR(RIGHT(B32,LEN(B32)-FIND("],",B32)-1),"none")</f>
        <v>[effect:tolerance, target:myself, turn:-1, count:-1, tolerance_effect:all, animation:enemy_tolerance]</v>
      </c>
      <c r="N32" s="48" t="str">
        <f>IFERROR(LEFT(M32,FIND("],",M32)+S38),M32)</f>
        <v>[effect:tolerance, target:myself, turn:-1, count:-1, tolerance_effect:all, animation:enemy_tolerance]</v>
      </c>
      <c r="O32" s="63">
        <f t="shared" si="6"/>
        <v>9</v>
      </c>
      <c r="P32" s="63">
        <f t="shared" ref="P32" si="20">IFERROR(FIND(",",N32),LEN(N32))</f>
        <v>18</v>
      </c>
      <c r="Q32" s="63">
        <f t="shared" ref="Q32" si="21">FIND("target:",N32)+7</f>
        <v>27</v>
      </c>
      <c r="R32" s="63">
        <f t="shared" ref="R32" si="22">FIND(",",N32,P32+1)</f>
        <v>33</v>
      </c>
      <c r="S32" s="63" t="str">
        <f>IFERROR(VLOOKUP(MID(N32,Q32,R32-Q32),[6]skilldef!$C:$D,2,FALSE),"-") &amp; " / " &amp; IFERROR(VLOOKUP(MID(N32,O32,P32-O32),[6]skilldef!$A:$B,2,FALSE),"-")</f>
        <v>自分自身に / 状態異常耐性</v>
      </c>
      <c r="T32" s="48" t="str">
        <f t="shared" ref="T32" si="23">IFERROR(RIGHT(M32,LEN(M32)-FIND("],",M32)-1),"none")</f>
        <v>none</v>
      </c>
      <c r="U32" s="63" t="e">
        <f t="shared" si="11"/>
        <v>#VALUE!</v>
      </c>
      <c r="V32" s="63">
        <f t="shared" ref="V32" si="24">IFERROR(FIND(",",T32),LEN(T32))</f>
        <v>4</v>
      </c>
      <c r="W32" s="63" t="e">
        <f t="shared" ref="W32" si="25">FIND("target:",T32)+7</f>
        <v>#VALUE!</v>
      </c>
      <c r="X32" s="63" t="e">
        <f t="shared" ref="X32" si="26">FIND(",",T32,V32+1)</f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60019061</v>
      </c>
      <c r="B33" s="47" t="s">
        <v>394</v>
      </c>
      <c r="C33" s="50">
        <v>3</v>
      </c>
      <c r="D33" s="50" t="s">
        <v>128</v>
      </c>
      <c r="E33" s="51" t="s">
        <v>436</v>
      </c>
      <c r="F33" s="51" t="s">
        <v>408</v>
      </c>
      <c r="G33" s="63" t="str">
        <f t="shared" ref="G33:G43" si="27">IFERROR(LEFT(B33,FIND("],",B33)),B33)</f>
        <v>[effect:rush, count:5, val:0.25]</v>
      </c>
      <c r="H33" s="63">
        <f t="shared" ref="H33:H43" si="28">FIND("effect:",G33)+7</f>
        <v>9</v>
      </c>
      <c r="I33" s="63">
        <f t="shared" ref="I33:I43" si="29">IFERROR(FIND(",",G33),LEN(G33))</f>
        <v>13</v>
      </c>
      <c r="J33" s="63" t="e">
        <f t="shared" ref="J33:J43" si="30">FIND("target:",G33)+7</f>
        <v>#VALUE!</v>
      </c>
      <c r="K33" s="63">
        <f t="shared" ref="K33:K43" si="31">FIND(",",G33,I33+1)</f>
        <v>22</v>
      </c>
      <c r="L33" s="63" t="str">
        <f>IFERROR(VLOOKUP(MID(G33,J33,K33-J33),[6]skilldef!$C:$D,2,FALSE),"-") &amp; " / " &amp; IFERROR(VLOOKUP(MID(G33,H33,I33-H33),[6]skilldef!$A:$B,2,FALSE),"-")</f>
        <v>- / 連続攻撃</v>
      </c>
      <c r="M33" s="63" t="str">
        <f t="shared" ref="M33:M43" si="32">IFERROR(RIGHT(B33,LEN(B33)-FIND("],",B33)-1),"none")</f>
        <v>none</v>
      </c>
      <c r="N33" s="48" t="str">
        <f>IFERROR(LEFT(M33,FIND("],",M33)+S39),M33)</f>
        <v>none</v>
      </c>
      <c r="O33" s="63" t="e">
        <f t="shared" ref="O33:O43" si="33">FIND("effect:",N33)+7</f>
        <v>#VALUE!</v>
      </c>
      <c r="P33" s="63">
        <f t="shared" ref="P33:P43" si="34">IFERROR(FIND(",",N33),LEN(N33))</f>
        <v>4</v>
      </c>
      <c r="Q33" s="63" t="e">
        <f t="shared" ref="Q33:Q43" si="35">FIND("target:",N33)+7</f>
        <v>#VALUE!</v>
      </c>
      <c r="R33" s="63" t="e">
        <f t="shared" ref="R33:R43" si="36">FIND(",",N33,P33+1)</f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ref="T33:T43" si="37">IFERROR(RIGHT(M33,LEN(M33)-FIND("],",M33)-1),"none")</f>
        <v>none</v>
      </c>
      <c r="U33" s="63" t="e">
        <f t="shared" ref="U33:U43" si="38">FIND("effect:",T33)+7</f>
        <v>#VALUE!</v>
      </c>
      <c r="V33" s="63">
        <f t="shared" ref="V33:V43" si="39">IFERROR(FIND(",",T33),LEN(T33))</f>
        <v>4</v>
      </c>
      <c r="W33" s="63" t="e">
        <f t="shared" ref="W33:W43" si="40">FIND("target:",T33)+7</f>
        <v>#VALUE!</v>
      </c>
      <c r="X33" s="63" t="e">
        <f t="shared" ref="X33:X43" si="41">FIND(",",T33,V33+1)</f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60019062</v>
      </c>
      <c r="B34" s="47" t="s">
        <v>444</v>
      </c>
      <c r="C34" s="50">
        <v>3</v>
      </c>
      <c r="D34" s="50" t="s">
        <v>128</v>
      </c>
      <c r="E34" s="51" t="s">
        <v>434</v>
      </c>
      <c r="F34" s="51" t="s">
        <v>503</v>
      </c>
      <c r="G34" s="63" t="str">
        <f t="shared" si="27"/>
        <v>[effect:enemy_message, val2:2.8]</v>
      </c>
      <c r="H34" s="63">
        <f t="shared" si="28"/>
        <v>9</v>
      </c>
      <c r="I34" s="63">
        <f t="shared" si="29"/>
        <v>22</v>
      </c>
      <c r="J34" s="63" t="e">
        <f t="shared" si="30"/>
        <v>#VALUE!</v>
      </c>
      <c r="K34" s="63" t="e">
        <f t="shared" si="31"/>
        <v>#VALUE!</v>
      </c>
      <c r="L34" s="63" t="str">
        <f>IFERROR(VLOOKUP(MID(G34,J34,K34-J34),[6]skilldef!$C:$D,2,FALSE),"-") &amp; " / " &amp; IFERROR(VLOOKUP(MID(G34,H34,I34-H34),[6]skilldef!$A:$B,2,FALSE),"-")</f>
        <v>- / -</v>
      </c>
      <c r="M34" s="63" t="str">
        <f t="shared" si="32"/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v>
      </c>
      <c r="N34" s="48" t="str">
        <f>IFERROR(LEFT(M34,FIND("],",M34)+S40),M34)</f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val2:0.3]</v>
      </c>
      <c r="O34" s="63">
        <f t="shared" si="33"/>
        <v>9</v>
      </c>
      <c r="P34" s="63">
        <f t="shared" si="34"/>
        <v>27</v>
      </c>
      <c r="Q34" s="63">
        <f t="shared" si="35"/>
        <v>57</v>
      </c>
      <c r="R34" s="63">
        <f t="shared" si="36"/>
        <v>48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37"/>
        <v>[effect:damage_anti_tribe, target:unit_all, tribe:human, val1:0.7, val2:0.3]</v>
      </c>
      <c r="U34" s="63">
        <f t="shared" si="38"/>
        <v>9</v>
      </c>
      <c r="V34" s="63">
        <f t="shared" si="39"/>
        <v>26</v>
      </c>
      <c r="W34" s="63">
        <f t="shared" si="40"/>
        <v>35</v>
      </c>
      <c r="X34" s="63">
        <f t="shared" si="41"/>
        <v>43</v>
      </c>
      <c r="Y34" s="63" t="str">
        <f>IFERROR(VLOOKUP(MID(T34,W34,X34-W34),[6]skilldef!$C:$D,2,FALSE),"-") &amp; " / " &amp; IFERROR(VLOOKUP(MID(T34,U34,V34-U34),[6]skilldef!$A:$B,2,FALSE),"-")</f>
        <v>味方全体に / 種族キラー</v>
      </c>
      <c r="Z34" s="50"/>
      <c r="AA34" s="52"/>
      <c r="AB34" s="50"/>
    </row>
    <row r="35" spans="1:28" ht="21" customHeight="1" x14ac:dyDescent="0.15">
      <c r="A35" s="47">
        <v>60019063</v>
      </c>
      <c r="B35" s="47" t="s">
        <v>397</v>
      </c>
      <c r="C35" s="50">
        <v>3</v>
      </c>
      <c r="D35" s="50" t="s">
        <v>128</v>
      </c>
      <c r="E35" s="51" t="s">
        <v>438</v>
      </c>
      <c r="F35" s="51" t="s">
        <v>512</v>
      </c>
      <c r="G35" s="63" t="str">
        <f t="shared" si="27"/>
        <v>[effect:force_change_block, new_block:damage, target:block_all, ignore01:crash, ignore02:crack_bomb, ignore03:color_break, ignore04:time_bomb, ignore05:jammer, color:block_yellow, count:5, val:0.05, animation:change_block]</v>
      </c>
      <c r="H35" s="63">
        <f t="shared" si="28"/>
        <v>9</v>
      </c>
      <c r="I35" s="63">
        <f t="shared" si="29"/>
        <v>27</v>
      </c>
      <c r="J35" s="63">
        <f t="shared" si="30"/>
        <v>54</v>
      </c>
      <c r="K35" s="63">
        <f t="shared" si="31"/>
        <v>45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si="32"/>
        <v>none</v>
      </c>
      <c r="N35" s="48" t="str">
        <f>IFERROR(LEFT(M35,FIND("],",M35)+S41),M35)</f>
        <v>none</v>
      </c>
      <c r="O35" s="63" t="e">
        <f t="shared" si="33"/>
        <v>#VALUE!</v>
      </c>
      <c r="P35" s="63">
        <f t="shared" si="34"/>
        <v>4</v>
      </c>
      <c r="Q35" s="63" t="e">
        <f t="shared" si="35"/>
        <v>#VALUE!</v>
      </c>
      <c r="R35" s="63" t="e">
        <f t="shared" si="36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37"/>
        <v>none</v>
      </c>
      <c r="U35" s="63" t="e">
        <f t="shared" si="38"/>
        <v>#VALUE!</v>
      </c>
      <c r="V35" s="63">
        <f t="shared" si="39"/>
        <v>4</v>
      </c>
      <c r="W35" s="63" t="e">
        <f t="shared" si="40"/>
        <v>#VALUE!</v>
      </c>
      <c r="X35" s="63" t="e">
        <f t="shared" si="41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60019064</v>
      </c>
      <c r="B36" s="47" t="s">
        <v>513</v>
      </c>
      <c r="C36" s="50">
        <v>3</v>
      </c>
      <c r="D36" s="50" t="s">
        <v>128</v>
      </c>
      <c r="E36" s="51" t="s">
        <v>437</v>
      </c>
      <c r="F36" s="51" t="s">
        <v>447</v>
      </c>
      <c r="G36" s="63" t="str">
        <f t="shared" si="27"/>
        <v>[effect:break_attack, target:unit_all, val:0.1, lowest_val:500, count:-1, color:yellow, block_color:block_yellow, block01:damage]</v>
      </c>
      <c r="H36" s="63">
        <f t="shared" si="28"/>
        <v>9</v>
      </c>
      <c r="I36" s="63">
        <f t="shared" si="29"/>
        <v>21</v>
      </c>
      <c r="J36" s="63">
        <f t="shared" si="30"/>
        <v>30</v>
      </c>
      <c r="K36" s="63">
        <f t="shared" si="31"/>
        <v>38</v>
      </c>
      <c r="L36" s="63" t="str">
        <f>IFERROR(VLOOKUP(MID(G36,J36,K36-J36),[6]skilldef!$C:$D,2,FALSE),"-") &amp; " / " &amp; IFERROR(VLOOKUP(MID(G36,H36,I36-H36),[6]skilldef!$A:$B,2,FALSE),"-")</f>
        <v>味方全体に / -</v>
      </c>
      <c r="M36" s="63" t="str">
        <f t="shared" si="32"/>
        <v>none</v>
      </c>
      <c r="N36" s="48" t="str">
        <f>IFERROR(LEFT(M36,FIND("],",M36)+S42),M36)</f>
        <v>none</v>
      </c>
      <c r="O36" s="63" t="e">
        <f t="shared" si="33"/>
        <v>#VALUE!</v>
      </c>
      <c r="P36" s="63">
        <f t="shared" si="34"/>
        <v>4</v>
      </c>
      <c r="Q36" s="63" t="e">
        <f t="shared" si="35"/>
        <v>#VALUE!</v>
      </c>
      <c r="R36" s="63" t="e">
        <f t="shared" si="36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37"/>
        <v>none</v>
      </c>
      <c r="U36" s="63" t="e">
        <f t="shared" si="38"/>
        <v>#VALUE!</v>
      </c>
      <c r="V36" s="63">
        <f t="shared" si="39"/>
        <v>4</v>
      </c>
      <c r="W36" s="63" t="e">
        <f t="shared" si="40"/>
        <v>#VALUE!</v>
      </c>
      <c r="X36" s="63" t="e">
        <f t="shared" si="41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60019065</v>
      </c>
      <c r="B37" s="47" t="s">
        <v>393</v>
      </c>
      <c r="C37" s="50">
        <v>3</v>
      </c>
      <c r="D37" s="50" t="s">
        <v>128</v>
      </c>
      <c r="E37" s="51" t="s">
        <v>432</v>
      </c>
      <c r="F37" s="51" t="s">
        <v>403</v>
      </c>
      <c r="G37" s="63" t="str">
        <f t="shared" si="27"/>
        <v>[effect:rush, count:25, val:0.1]</v>
      </c>
      <c r="H37" s="63">
        <f t="shared" si="28"/>
        <v>9</v>
      </c>
      <c r="I37" s="63">
        <f t="shared" si="29"/>
        <v>13</v>
      </c>
      <c r="J37" s="63" t="e">
        <f t="shared" si="30"/>
        <v>#VALUE!</v>
      </c>
      <c r="K37" s="63">
        <f t="shared" si="31"/>
        <v>23</v>
      </c>
      <c r="L37" s="63" t="str">
        <f>IFERROR(VLOOKUP(MID(G37,J37,K37-J37),[6]skilldef!$C:$D,2,FALSE),"-") &amp; " / " &amp; IFERROR(VLOOKUP(MID(G37,H37,I37-H37),[6]skilldef!$A:$B,2,FALSE),"-")</f>
        <v>- / 連続攻撃</v>
      </c>
      <c r="M37" s="63" t="str">
        <f t="shared" si="32"/>
        <v>none</v>
      </c>
      <c r="N37" s="48" t="str">
        <f>IFERROR(LEFT(M37,FIND("],",M37)+#REF!),M37)</f>
        <v>none</v>
      </c>
      <c r="O37" s="63" t="e">
        <f t="shared" si="33"/>
        <v>#VALUE!</v>
      </c>
      <c r="P37" s="63">
        <f t="shared" si="34"/>
        <v>4</v>
      </c>
      <c r="Q37" s="63" t="e">
        <f t="shared" si="35"/>
        <v>#VALUE!</v>
      </c>
      <c r="R37" s="63" t="e">
        <f t="shared" si="36"/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37"/>
        <v>none</v>
      </c>
      <c r="U37" s="63" t="e">
        <f t="shared" si="38"/>
        <v>#VALUE!</v>
      </c>
      <c r="V37" s="63">
        <f t="shared" si="39"/>
        <v>4</v>
      </c>
      <c r="W37" s="63" t="e">
        <f t="shared" si="40"/>
        <v>#VALUE!</v>
      </c>
      <c r="X37" s="63" t="e">
        <f t="shared" si="41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47">
        <v>60019070</v>
      </c>
      <c r="B38" s="47" t="s">
        <v>299</v>
      </c>
      <c r="C38" s="50">
        <v>3</v>
      </c>
      <c r="D38" s="50" t="s">
        <v>128</v>
      </c>
      <c r="E38" s="51" t="s">
        <v>439</v>
      </c>
      <c r="F38" s="51" t="s">
        <v>407</v>
      </c>
      <c r="G38" s="63" t="str">
        <f t="shared" si="27"/>
        <v>[effect:fix_speed, target:myself, turn:1]</v>
      </c>
      <c r="H38" s="63">
        <f t="shared" si="28"/>
        <v>9</v>
      </c>
      <c r="I38" s="63">
        <f t="shared" si="29"/>
        <v>18</v>
      </c>
      <c r="J38" s="63">
        <f t="shared" si="30"/>
        <v>27</v>
      </c>
      <c r="K38" s="63">
        <f t="shared" si="31"/>
        <v>33</v>
      </c>
      <c r="L38" s="63" t="str">
        <f>IFERROR(VLOOKUP(MID(G38,J38,K38-J38),[6]skilldef!$C:$D,2,FALSE),"-") &amp; " / " &amp; IFERROR(VLOOKUP(MID(G38,H38,I38-H38),[6]skilldef!$A:$B,2,FALSE),"-")</f>
        <v>自分自身に / 行動値設定</v>
      </c>
      <c r="M38" s="63" t="str">
        <f t="shared" si="32"/>
        <v>[effect:tolerance, target:myself, turn:-1, count:-1, tolerance_effect:all, animation:enemy_tolerance]</v>
      </c>
      <c r="N38" s="48" t="str">
        <f>IFERROR(LEFT(M38,FIND("],",M38)+#REF!),M38)</f>
        <v>[effect:tolerance, target:myself, turn:-1, count:-1, tolerance_effect:all, animation:enemy_tolerance]</v>
      </c>
      <c r="O38" s="63">
        <f t="shared" si="33"/>
        <v>9</v>
      </c>
      <c r="P38" s="63">
        <f t="shared" si="34"/>
        <v>18</v>
      </c>
      <c r="Q38" s="63">
        <f t="shared" si="35"/>
        <v>27</v>
      </c>
      <c r="R38" s="63">
        <f t="shared" si="36"/>
        <v>33</v>
      </c>
      <c r="S38" s="63" t="str">
        <f>IFERROR(VLOOKUP(MID(N38,Q38,R38-Q38),[6]skilldef!$C:$D,2,FALSE),"-") &amp; " / " &amp; IFERROR(VLOOKUP(MID(N38,O38,P38-O38),[6]skilldef!$A:$B,2,FALSE),"-")</f>
        <v>自分自身に / 状態異常耐性</v>
      </c>
      <c r="T38" s="48" t="str">
        <f t="shared" si="37"/>
        <v>none</v>
      </c>
      <c r="U38" s="63" t="e">
        <f t="shared" si="38"/>
        <v>#VALUE!</v>
      </c>
      <c r="V38" s="63">
        <f t="shared" si="39"/>
        <v>4</v>
      </c>
      <c r="W38" s="63" t="e">
        <f t="shared" si="40"/>
        <v>#VALUE!</v>
      </c>
      <c r="X38" s="63" t="e">
        <f t="shared" si="41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47">
        <v>60019071</v>
      </c>
      <c r="B39" s="47" t="s">
        <v>394</v>
      </c>
      <c r="C39" s="50">
        <v>3</v>
      </c>
      <c r="D39" s="50" t="s">
        <v>128</v>
      </c>
      <c r="E39" s="51" t="s">
        <v>436</v>
      </c>
      <c r="F39" s="51" t="s">
        <v>408</v>
      </c>
      <c r="G39" s="63" t="str">
        <f t="shared" si="27"/>
        <v>[effect:rush, count:5, val:0.25]</v>
      </c>
      <c r="H39" s="63">
        <f t="shared" si="28"/>
        <v>9</v>
      </c>
      <c r="I39" s="63">
        <f t="shared" si="29"/>
        <v>13</v>
      </c>
      <c r="J39" s="63" t="e">
        <f t="shared" si="30"/>
        <v>#VALUE!</v>
      </c>
      <c r="K39" s="63">
        <f t="shared" si="31"/>
        <v>22</v>
      </c>
      <c r="L39" s="63" t="str">
        <f>IFERROR(VLOOKUP(MID(G39,J39,K39-J39),[6]skilldef!$C:$D,2,FALSE),"-") &amp; " / " &amp; IFERROR(VLOOKUP(MID(G39,H39,I39-H39),[6]skilldef!$A:$B,2,FALSE),"-")</f>
        <v>- / 連続攻撃</v>
      </c>
      <c r="M39" s="63" t="str">
        <f t="shared" si="32"/>
        <v>none</v>
      </c>
      <c r="N39" s="48" t="str">
        <f>IFERROR(LEFT(M39,FIND("],",M39)+#REF!),M39)</f>
        <v>none</v>
      </c>
      <c r="O39" s="63" t="e">
        <f t="shared" si="33"/>
        <v>#VALUE!</v>
      </c>
      <c r="P39" s="63">
        <f t="shared" si="34"/>
        <v>4</v>
      </c>
      <c r="Q39" s="63" t="e">
        <f t="shared" si="35"/>
        <v>#VALUE!</v>
      </c>
      <c r="R39" s="63" t="e">
        <f t="shared" si="36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37"/>
        <v>none</v>
      </c>
      <c r="U39" s="63" t="e">
        <f t="shared" si="38"/>
        <v>#VALUE!</v>
      </c>
      <c r="V39" s="63">
        <f t="shared" si="39"/>
        <v>4</v>
      </c>
      <c r="W39" s="63" t="e">
        <f t="shared" si="40"/>
        <v>#VALUE!</v>
      </c>
      <c r="X39" s="63" t="e">
        <f t="shared" si="41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47">
        <v>60019072</v>
      </c>
      <c r="B40" s="47" t="s">
        <v>443</v>
      </c>
      <c r="C40" s="50">
        <v>3</v>
      </c>
      <c r="D40" s="50" t="s">
        <v>128</v>
      </c>
      <c r="E40" s="51" t="s">
        <v>434</v>
      </c>
      <c r="F40" s="51" t="s">
        <v>503</v>
      </c>
      <c r="G40" s="63" t="str">
        <f t="shared" si="27"/>
        <v>[effect:enemy_message, val2:2.8]</v>
      </c>
      <c r="H40" s="63">
        <f t="shared" si="28"/>
        <v>9</v>
      </c>
      <c r="I40" s="63">
        <f t="shared" si="29"/>
        <v>22</v>
      </c>
      <c r="J40" s="63" t="e">
        <f t="shared" si="30"/>
        <v>#VALUE!</v>
      </c>
      <c r="K40" s="63" t="e">
        <f t="shared" si="31"/>
        <v>#VALUE!</v>
      </c>
      <c r="L40" s="63" t="str">
        <f>IFERROR(VLOOKUP(MID(G40,J40,K40-J40),[6]skilldef!$C:$D,2,FALSE),"-") &amp; " / " &amp; IFERROR(VLOOKUP(MID(G40,H40,I40-H40),[6]skilldef!$A:$B,2,FALSE),"-")</f>
        <v>- / -</v>
      </c>
      <c r="M40" s="63" t="str">
        <f t="shared" si="32"/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val2:0.25]</v>
      </c>
      <c r="N40" s="48" t="str">
        <f>IFERROR(LEFT(M40,FIND("],",M40)+#REF!),M40)</f>
        <v>[effect:force_change_block, new_block:block_red, target:block_yellow, ignore01:crash, ignore02:time_bomb, ignore03:jammer, ignore04:damage, ignore05:color_break, color:block_red, count:5, val:0, animation:change_block],[effect:damage_anti_tribe, target:unit_all, tribe:human, val1:0.7, val2:0.25]</v>
      </c>
      <c r="O40" s="63">
        <f t="shared" si="33"/>
        <v>9</v>
      </c>
      <c r="P40" s="63">
        <f t="shared" si="34"/>
        <v>27</v>
      </c>
      <c r="Q40" s="63">
        <f t="shared" si="35"/>
        <v>57</v>
      </c>
      <c r="R40" s="63">
        <f t="shared" si="36"/>
        <v>48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37"/>
        <v>[effect:damage_anti_tribe, target:unit_all, tribe:human, val1:0.7, val2:0.25]</v>
      </c>
      <c r="U40" s="63">
        <f t="shared" si="38"/>
        <v>9</v>
      </c>
      <c r="V40" s="63">
        <f t="shared" si="39"/>
        <v>26</v>
      </c>
      <c r="W40" s="63">
        <f t="shared" si="40"/>
        <v>35</v>
      </c>
      <c r="X40" s="63">
        <f t="shared" si="41"/>
        <v>43</v>
      </c>
      <c r="Y40" s="63" t="str">
        <f>IFERROR(VLOOKUP(MID(T40,W40,X40-W40),[6]skilldef!$C:$D,2,FALSE),"-") &amp; " / " &amp; IFERROR(VLOOKUP(MID(T40,U40,V40-U40),[6]skilldef!$A:$B,2,FALSE),"-")</f>
        <v>味方全体に / 種族キラー</v>
      </c>
      <c r="Z40" s="50"/>
      <c r="AA40" s="52"/>
      <c r="AB40" s="50"/>
    </row>
    <row r="41" spans="1:28" ht="21" customHeight="1" x14ac:dyDescent="0.15">
      <c r="A41" s="47">
        <v>60019073</v>
      </c>
      <c r="B41" s="47" t="s">
        <v>397</v>
      </c>
      <c r="C41" s="50">
        <v>3</v>
      </c>
      <c r="D41" s="50" t="s">
        <v>128</v>
      </c>
      <c r="E41" s="51" t="s">
        <v>438</v>
      </c>
      <c r="F41" s="51" t="s">
        <v>512</v>
      </c>
      <c r="G41" s="63" t="str">
        <f t="shared" si="27"/>
        <v>[effect:force_change_block, new_block:damage, target:block_all, ignore01:crash, ignore02:crack_bomb, ignore03:color_break, ignore04:time_bomb, ignore05:jammer, color:block_yellow, count:5, val:0.05, animation:change_block]</v>
      </c>
      <c r="H41" s="63">
        <f t="shared" si="28"/>
        <v>9</v>
      </c>
      <c r="I41" s="63">
        <f t="shared" si="29"/>
        <v>27</v>
      </c>
      <c r="J41" s="63">
        <f t="shared" si="30"/>
        <v>54</v>
      </c>
      <c r="K41" s="63">
        <f t="shared" si="31"/>
        <v>45</v>
      </c>
      <c r="L41" s="63" t="str">
        <f>IFERROR(VLOOKUP(MID(G41,J41,K41-J41),[6]skilldef!$C:$D,2,FALSE),"-") &amp; " / " &amp; IFERROR(VLOOKUP(MID(G41,H41,I41-H41),[6]skilldef!$A:$B,2,FALSE),"-")</f>
        <v>- / -</v>
      </c>
      <c r="M41" s="63" t="str">
        <f t="shared" si="32"/>
        <v>none</v>
      </c>
      <c r="N41" s="48" t="str">
        <f>IFERROR(LEFT(M41,FIND("],",M41)+#REF!),M41)</f>
        <v>none</v>
      </c>
      <c r="O41" s="63" t="e">
        <f t="shared" si="33"/>
        <v>#VALUE!</v>
      </c>
      <c r="P41" s="63">
        <f t="shared" si="34"/>
        <v>4</v>
      </c>
      <c r="Q41" s="63" t="e">
        <f t="shared" si="35"/>
        <v>#VALUE!</v>
      </c>
      <c r="R41" s="63" t="e">
        <f t="shared" si="36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37"/>
        <v>none</v>
      </c>
      <c r="U41" s="63" t="e">
        <f t="shared" si="38"/>
        <v>#VALUE!</v>
      </c>
      <c r="V41" s="63">
        <f t="shared" si="39"/>
        <v>4</v>
      </c>
      <c r="W41" s="63" t="e">
        <f t="shared" si="40"/>
        <v>#VALUE!</v>
      </c>
      <c r="X41" s="63" t="e">
        <f t="shared" si="41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47">
        <v>60019074</v>
      </c>
      <c r="B42" s="47" t="s">
        <v>514</v>
      </c>
      <c r="C42" s="50">
        <v>3</v>
      </c>
      <c r="D42" s="50" t="s">
        <v>128</v>
      </c>
      <c r="E42" s="51" t="s">
        <v>437</v>
      </c>
      <c r="F42" s="51" t="s">
        <v>447</v>
      </c>
      <c r="G42" s="63" t="str">
        <f t="shared" si="27"/>
        <v>[effect:break_attack, target:unit_all, val:0.1, lowest_val:750, count:-1, color:yellow, block_color:block_yellow, block01:damage]</v>
      </c>
      <c r="H42" s="63">
        <f t="shared" si="28"/>
        <v>9</v>
      </c>
      <c r="I42" s="63">
        <f t="shared" si="29"/>
        <v>21</v>
      </c>
      <c r="J42" s="63">
        <f t="shared" si="30"/>
        <v>30</v>
      </c>
      <c r="K42" s="63">
        <f t="shared" si="31"/>
        <v>38</v>
      </c>
      <c r="L42" s="63" t="str">
        <f>IFERROR(VLOOKUP(MID(G42,J42,K42-J42),[6]skilldef!$C:$D,2,FALSE),"-") &amp; " / " &amp; IFERROR(VLOOKUP(MID(G42,H42,I42-H42),[6]skilldef!$A:$B,2,FALSE),"-")</f>
        <v>味方全体に / -</v>
      </c>
      <c r="M42" s="63" t="str">
        <f t="shared" si="32"/>
        <v>none</v>
      </c>
      <c r="N42" s="48" t="str">
        <f>IFERROR(LEFT(M42,FIND("],",M42)+#REF!),M42)</f>
        <v>none</v>
      </c>
      <c r="O42" s="63" t="e">
        <f t="shared" si="33"/>
        <v>#VALUE!</v>
      </c>
      <c r="P42" s="63">
        <f t="shared" si="34"/>
        <v>4</v>
      </c>
      <c r="Q42" s="63" t="e">
        <f t="shared" si="35"/>
        <v>#VALUE!</v>
      </c>
      <c r="R42" s="63" t="e">
        <f t="shared" si="36"/>
        <v>#VALUE!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si="37"/>
        <v>none</v>
      </c>
      <c r="U42" s="63" t="e">
        <f t="shared" si="38"/>
        <v>#VALUE!</v>
      </c>
      <c r="V42" s="63">
        <f t="shared" si="39"/>
        <v>4</v>
      </c>
      <c r="W42" s="63" t="e">
        <f t="shared" si="40"/>
        <v>#VALUE!</v>
      </c>
      <c r="X42" s="63" t="e">
        <f t="shared" si="41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47">
        <v>60019076</v>
      </c>
      <c r="B43" s="47" t="s">
        <v>392</v>
      </c>
      <c r="C43" s="50">
        <v>3</v>
      </c>
      <c r="D43" s="50" t="s">
        <v>128</v>
      </c>
      <c r="E43" s="51" t="s">
        <v>440</v>
      </c>
      <c r="F43" s="51" t="s">
        <v>441</v>
      </c>
      <c r="G43" s="63" t="str">
        <f t="shared" si="27"/>
        <v>[effect:enemy_message, dead_type:suicide, val1:1.4, val2:2]</v>
      </c>
      <c r="H43" s="63">
        <f t="shared" si="28"/>
        <v>9</v>
      </c>
      <c r="I43" s="63">
        <f t="shared" si="29"/>
        <v>22</v>
      </c>
      <c r="J43" s="63" t="e">
        <f t="shared" si="30"/>
        <v>#VALUE!</v>
      </c>
      <c r="K43" s="63">
        <f t="shared" si="31"/>
        <v>41</v>
      </c>
      <c r="L43" s="63" t="str">
        <f>IFERROR(VLOOKUP(MID(G43,J43,K43-J43),[6]skilldef!$C:$D,2,FALSE),"-") &amp; " / " &amp; IFERROR(VLOOKUP(MID(G43,H43,I43-H43),[6]skilldef!$A:$B,2,FALSE),"-")</f>
        <v>- / -</v>
      </c>
      <c r="M43" s="63" t="str">
        <f t="shared" si="32"/>
        <v>none</v>
      </c>
      <c r="N43" s="48" t="str">
        <f>IFERROR(LEFT(M43,FIND("],",M43)+#REF!),M43)</f>
        <v>none</v>
      </c>
      <c r="O43" s="63" t="e">
        <f t="shared" si="33"/>
        <v>#VALUE!</v>
      </c>
      <c r="P43" s="63">
        <f t="shared" si="34"/>
        <v>4</v>
      </c>
      <c r="Q43" s="63" t="e">
        <f t="shared" si="35"/>
        <v>#VALUE!</v>
      </c>
      <c r="R43" s="63" t="e">
        <f t="shared" si="36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37"/>
        <v>none</v>
      </c>
      <c r="U43" s="63" t="e">
        <f t="shared" si="38"/>
        <v>#VALUE!</v>
      </c>
      <c r="V43" s="63">
        <f t="shared" si="39"/>
        <v>4</v>
      </c>
      <c r="W43" s="63" t="e">
        <f t="shared" si="40"/>
        <v>#VALUE!</v>
      </c>
      <c r="X43" s="63" t="e">
        <f t="shared" si="41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</sheetData>
  <autoFilter ref="A1:AB1"/>
  <phoneticPr fontId="8"/>
  <pageMargins left="0.75" right="0.75" top="1" bottom="1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81"/>
  <sheetViews>
    <sheetView showGridLines="0" zoomScale="90" zoomScaleNormal="90" zoomScalePageLayoutView="90" workbookViewId="0">
      <pane ySplit="1" topLeftCell="A54" activePane="bottomLeft" state="frozenSplit"/>
      <selection pane="bottomLeft" activeCell="E68" sqref="E6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60019000</v>
      </c>
      <c r="B2" s="47">
        <v>0</v>
      </c>
      <c r="C2" s="47" t="s">
        <v>89</v>
      </c>
      <c r="D2" s="47">
        <v>30</v>
      </c>
      <c r="E2" s="47" t="s">
        <v>90</v>
      </c>
      <c r="F2" s="47" t="s">
        <v>90</v>
      </c>
      <c r="G2" s="47" t="s">
        <v>90</v>
      </c>
      <c r="H2" s="47" t="s">
        <v>90</v>
      </c>
      <c r="I2" s="47" t="s">
        <v>90</v>
      </c>
      <c r="J2" s="48">
        <f t="shared" ref="J2" si="0">D2</f>
        <v>30</v>
      </c>
    </row>
    <row r="3" spans="1:11" ht="21" customHeight="1" x14ac:dyDescent="0.15">
      <c r="A3" s="47">
        <v>60019001</v>
      </c>
      <c r="B3" s="47">
        <v>0</v>
      </c>
      <c r="C3" s="47" t="s">
        <v>89</v>
      </c>
      <c r="D3" s="47">
        <v>100</v>
      </c>
      <c r="E3" s="47" t="s">
        <v>90</v>
      </c>
      <c r="F3" s="47" t="s">
        <v>90</v>
      </c>
      <c r="G3" s="47" t="s">
        <v>90</v>
      </c>
      <c r="H3" s="47" t="s">
        <v>90</v>
      </c>
      <c r="I3" s="47" t="s">
        <v>90</v>
      </c>
      <c r="J3" s="48">
        <f t="shared" ref="J3:J60" si="1">D3</f>
        <v>100</v>
      </c>
    </row>
    <row r="4" spans="1:11" ht="21" customHeight="1" x14ac:dyDescent="0.15">
      <c r="A4" s="47">
        <v>60019002</v>
      </c>
      <c r="B4" s="47">
        <v>0</v>
      </c>
      <c r="C4" s="47" t="s">
        <v>89</v>
      </c>
      <c r="D4" s="47">
        <v>100</v>
      </c>
      <c r="E4" s="47" t="s">
        <v>90</v>
      </c>
      <c r="F4" s="47" t="s">
        <v>90</v>
      </c>
      <c r="G4" s="47" t="s">
        <v>90</v>
      </c>
      <c r="H4" s="47" t="s">
        <v>90</v>
      </c>
      <c r="I4" s="47" t="s">
        <v>90</v>
      </c>
      <c r="J4" s="48">
        <f t="shared" si="1"/>
        <v>100</v>
      </c>
    </row>
    <row r="5" spans="1:11" ht="21" customHeight="1" x14ac:dyDescent="0.15">
      <c r="A5" s="47">
        <v>60019003</v>
      </c>
      <c r="B5" s="47">
        <v>0</v>
      </c>
      <c r="C5" s="47" t="s">
        <v>89</v>
      </c>
      <c r="D5" s="47">
        <v>100</v>
      </c>
      <c r="E5" s="47" t="s">
        <v>90</v>
      </c>
      <c r="F5" s="47" t="s">
        <v>90</v>
      </c>
      <c r="G5" s="47" t="s">
        <v>90</v>
      </c>
      <c r="H5" s="47" t="s">
        <v>90</v>
      </c>
      <c r="I5" s="47" t="s">
        <v>90</v>
      </c>
      <c r="J5" s="48">
        <f t="shared" si="1"/>
        <v>100</v>
      </c>
    </row>
    <row r="6" spans="1:11" ht="21" customHeight="1" x14ac:dyDescent="0.15">
      <c r="A6" s="47">
        <v>60019004</v>
      </c>
      <c r="B6" s="47">
        <v>0</v>
      </c>
      <c r="C6" s="47" t="s">
        <v>89</v>
      </c>
      <c r="D6" s="47">
        <v>100</v>
      </c>
      <c r="E6" s="47" t="s">
        <v>90</v>
      </c>
      <c r="F6" s="47" t="s">
        <v>90</v>
      </c>
      <c r="G6" s="47" t="s">
        <v>90</v>
      </c>
      <c r="H6" s="47" t="s">
        <v>90</v>
      </c>
      <c r="I6" s="47" t="s">
        <v>90</v>
      </c>
      <c r="J6" s="48">
        <f t="shared" si="1"/>
        <v>100</v>
      </c>
    </row>
    <row r="7" spans="1:11" ht="21" customHeight="1" x14ac:dyDescent="0.15">
      <c r="A7" s="47">
        <v>60019005</v>
      </c>
      <c r="B7" s="47">
        <v>0</v>
      </c>
      <c r="C7" s="47" t="s">
        <v>89</v>
      </c>
      <c r="D7" s="47">
        <v>30</v>
      </c>
      <c r="E7" s="47" t="s">
        <v>90</v>
      </c>
      <c r="F7" s="47" t="s">
        <v>90</v>
      </c>
      <c r="G7" s="47" t="s">
        <v>90</v>
      </c>
      <c r="H7" s="47" t="s">
        <v>90</v>
      </c>
      <c r="I7" s="47" t="s">
        <v>90</v>
      </c>
      <c r="J7" s="48">
        <f t="shared" si="1"/>
        <v>30</v>
      </c>
    </row>
    <row r="8" spans="1:11" ht="21" customHeight="1" x14ac:dyDescent="0.15">
      <c r="A8" s="47">
        <v>60019006</v>
      </c>
      <c r="B8" s="47">
        <v>0</v>
      </c>
      <c r="C8" s="47" t="s">
        <v>89</v>
      </c>
      <c r="D8" s="47">
        <v>100</v>
      </c>
      <c r="E8" s="47" t="s">
        <v>90</v>
      </c>
      <c r="F8" s="47" t="s">
        <v>90</v>
      </c>
      <c r="G8" s="47" t="s">
        <v>90</v>
      </c>
      <c r="H8" s="47" t="s">
        <v>90</v>
      </c>
      <c r="I8" s="47" t="s">
        <v>90</v>
      </c>
      <c r="J8" s="48">
        <f t="shared" si="1"/>
        <v>100</v>
      </c>
    </row>
    <row r="9" spans="1:11" ht="21" customHeight="1" x14ac:dyDescent="0.15">
      <c r="A9" s="47">
        <v>60019007</v>
      </c>
      <c r="B9" s="47">
        <v>0</v>
      </c>
      <c r="C9" s="47" t="s">
        <v>89</v>
      </c>
      <c r="D9" s="47">
        <v>100</v>
      </c>
      <c r="E9" s="47" t="s">
        <v>90</v>
      </c>
      <c r="F9" s="47" t="s">
        <v>90</v>
      </c>
      <c r="G9" s="47" t="s">
        <v>90</v>
      </c>
      <c r="H9" s="47" t="s">
        <v>90</v>
      </c>
      <c r="I9" s="47" t="s">
        <v>90</v>
      </c>
      <c r="J9" s="48">
        <f t="shared" si="1"/>
        <v>100</v>
      </c>
    </row>
    <row r="10" spans="1:11" ht="21" customHeight="1" x14ac:dyDescent="0.15">
      <c r="A10" s="47">
        <v>60019008</v>
      </c>
      <c r="B10" s="47">
        <v>0</v>
      </c>
      <c r="C10" s="47" t="s">
        <v>89</v>
      </c>
      <c r="D10" s="47">
        <v>100</v>
      </c>
      <c r="E10" s="47" t="s">
        <v>90</v>
      </c>
      <c r="F10" s="47" t="s">
        <v>90</v>
      </c>
      <c r="G10" s="47" t="s">
        <v>90</v>
      </c>
      <c r="H10" s="47" t="s">
        <v>90</v>
      </c>
      <c r="I10" s="47" t="s">
        <v>90</v>
      </c>
      <c r="J10" s="48">
        <f t="shared" si="1"/>
        <v>100</v>
      </c>
    </row>
    <row r="11" spans="1:11" ht="21" customHeight="1" x14ac:dyDescent="0.15">
      <c r="A11" s="47">
        <v>60019009</v>
      </c>
      <c r="B11" s="47">
        <v>0</v>
      </c>
      <c r="C11" s="47" t="s">
        <v>89</v>
      </c>
      <c r="D11" s="47">
        <v>100</v>
      </c>
      <c r="E11" s="47" t="s">
        <v>90</v>
      </c>
      <c r="F11" s="47" t="s">
        <v>90</v>
      </c>
      <c r="G11" s="47" t="s">
        <v>90</v>
      </c>
      <c r="H11" s="47" t="s">
        <v>90</v>
      </c>
      <c r="I11" s="47" t="s">
        <v>90</v>
      </c>
      <c r="J11" s="48">
        <f t="shared" si="1"/>
        <v>100</v>
      </c>
    </row>
    <row r="12" spans="1:11" ht="21" customHeight="1" x14ac:dyDescent="0.15">
      <c r="A12" s="47">
        <v>60019010</v>
      </c>
      <c r="B12" s="47">
        <v>0</v>
      </c>
      <c r="C12" s="47">
        <v>100</v>
      </c>
      <c r="D12" s="47">
        <v>30</v>
      </c>
      <c r="E12" s="47" t="s">
        <v>313</v>
      </c>
      <c r="F12" s="47" t="s">
        <v>313</v>
      </c>
      <c r="G12" s="47" t="s">
        <v>313</v>
      </c>
      <c r="H12" s="47" t="s">
        <v>313</v>
      </c>
      <c r="I12" s="47" t="s">
        <v>313</v>
      </c>
      <c r="J12" s="48">
        <f t="shared" si="1"/>
        <v>30</v>
      </c>
    </row>
    <row r="13" spans="1:11" ht="21" customHeight="1" x14ac:dyDescent="0.15">
      <c r="A13" s="47">
        <v>60019011</v>
      </c>
      <c r="B13" s="47">
        <v>0</v>
      </c>
      <c r="C13" s="47">
        <v>90</v>
      </c>
      <c r="D13" s="47">
        <v>60</v>
      </c>
      <c r="E13" s="47" t="s">
        <v>313</v>
      </c>
      <c r="F13" s="47" t="s">
        <v>313</v>
      </c>
      <c r="G13" s="47" t="s">
        <v>313</v>
      </c>
      <c r="H13" s="47" t="s">
        <v>313</v>
      </c>
      <c r="I13" s="47" t="s">
        <v>313</v>
      </c>
      <c r="J13" s="48">
        <f t="shared" si="1"/>
        <v>60</v>
      </c>
    </row>
    <row r="14" spans="1:11" ht="21" customHeight="1" x14ac:dyDescent="0.15">
      <c r="A14" s="47">
        <v>60019012</v>
      </c>
      <c r="B14" s="47">
        <v>0</v>
      </c>
      <c r="C14" s="47">
        <v>80</v>
      </c>
      <c r="D14" s="47">
        <v>100</v>
      </c>
      <c r="E14" s="47" t="s">
        <v>313</v>
      </c>
      <c r="F14" s="47" t="s">
        <v>313</v>
      </c>
      <c r="G14" s="47" t="s">
        <v>313</v>
      </c>
      <c r="H14" s="47" t="s">
        <v>313</v>
      </c>
      <c r="I14" s="47" t="s">
        <v>313</v>
      </c>
      <c r="J14" s="48">
        <f t="shared" si="1"/>
        <v>100</v>
      </c>
    </row>
    <row r="15" spans="1:11" ht="21" customHeight="1" x14ac:dyDescent="0.15">
      <c r="A15" s="47">
        <v>60019013</v>
      </c>
      <c r="B15" s="47">
        <v>0</v>
      </c>
      <c r="C15" s="47" t="s">
        <v>89</v>
      </c>
      <c r="D15" s="47">
        <v>100</v>
      </c>
      <c r="E15" s="47" t="s">
        <v>90</v>
      </c>
      <c r="F15" s="47" t="s">
        <v>90</v>
      </c>
      <c r="G15" s="47" t="s">
        <v>90</v>
      </c>
      <c r="H15" s="47" t="s">
        <v>90</v>
      </c>
      <c r="I15" s="47" t="s">
        <v>90</v>
      </c>
      <c r="J15" s="48">
        <f t="shared" si="1"/>
        <v>100</v>
      </c>
    </row>
    <row r="16" spans="1:11" ht="21" customHeight="1" x14ac:dyDescent="0.15">
      <c r="A16" s="47">
        <v>60019014</v>
      </c>
      <c r="B16" s="47">
        <v>0</v>
      </c>
      <c r="C16" s="47" t="s">
        <v>89</v>
      </c>
      <c r="D16" s="47">
        <v>100</v>
      </c>
      <c r="E16" s="47" t="s">
        <v>90</v>
      </c>
      <c r="F16" s="47" t="s">
        <v>90</v>
      </c>
      <c r="G16" s="47" t="s">
        <v>90</v>
      </c>
      <c r="H16" s="47" t="s">
        <v>90</v>
      </c>
      <c r="I16" s="47" t="s">
        <v>90</v>
      </c>
      <c r="J16" s="48">
        <f t="shared" si="1"/>
        <v>100</v>
      </c>
    </row>
    <row r="17" spans="1:10" ht="21" customHeight="1" x14ac:dyDescent="0.15">
      <c r="A17" s="47">
        <v>60019015</v>
      </c>
      <c r="B17" s="47">
        <v>0</v>
      </c>
      <c r="C17" s="47" t="s">
        <v>89</v>
      </c>
      <c r="D17" s="47">
        <v>30</v>
      </c>
      <c r="E17" s="47" t="s">
        <v>90</v>
      </c>
      <c r="F17" s="47" t="s">
        <v>90</v>
      </c>
      <c r="G17" s="47" t="s">
        <v>90</v>
      </c>
      <c r="H17" s="47" t="s">
        <v>90</v>
      </c>
      <c r="I17" s="47" t="s">
        <v>90</v>
      </c>
      <c r="J17" s="48">
        <f t="shared" si="1"/>
        <v>30</v>
      </c>
    </row>
    <row r="18" spans="1:10" ht="21" customHeight="1" x14ac:dyDescent="0.15">
      <c r="A18" s="47">
        <v>60019016</v>
      </c>
      <c r="B18" s="47">
        <v>0</v>
      </c>
      <c r="C18" s="47" t="s">
        <v>89</v>
      </c>
      <c r="D18" s="47">
        <v>20</v>
      </c>
      <c r="E18" s="47" t="s">
        <v>90</v>
      </c>
      <c r="F18" s="47" t="s">
        <v>90</v>
      </c>
      <c r="G18" s="47">
        <v>3</v>
      </c>
      <c r="H18" s="47" t="s">
        <v>90</v>
      </c>
      <c r="I18" s="47" t="s">
        <v>90</v>
      </c>
      <c r="J18" s="48">
        <f t="shared" si="1"/>
        <v>20</v>
      </c>
    </row>
    <row r="19" spans="1:10" ht="21" customHeight="1" x14ac:dyDescent="0.15">
      <c r="A19" s="47">
        <v>60019017</v>
      </c>
      <c r="B19" s="47">
        <v>0</v>
      </c>
      <c r="C19" s="47" t="s">
        <v>89</v>
      </c>
      <c r="D19" s="47">
        <v>100</v>
      </c>
      <c r="E19" s="47" t="s">
        <v>90</v>
      </c>
      <c r="F19" s="47" t="s">
        <v>90</v>
      </c>
      <c r="G19" s="47" t="s">
        <v>90</v>
      </c>
      <c r="H19" s="47" t="s">
        <v>90</v>
      </c>
      <c r="I19" s="47" t="s">
        <v>90</v>
      </c>
      <c r="J19" s="48">
        <f t="shared" si="1"/>
        <v>100</v>
      </c>
    </row>
    <row r="20" spans="1:10" ht="21" customHeight="1" x14ac:dyDescent="0.15">
      <c r="A20" s="47">
        <v>60019018</v>
      </c>
      <c r="B20" s="47">
        <v>0</v>
      </c>
      <c r="C20" s="47" t="s">
        <v>89</v>
      </c>
      <c r="D20" s="47">
        <v>100</v>
      </c>
      <c r="E20" s="47" t="s">
        <v>90</v>
      </c>
      <c r="F20" s="47" t="s">
        <v>90</v>
      </c>
      <c r="G20" s="47" t="s">
        <v>90</v>
      </c>
      <c r="H20" s="47" t="s">
        <v>90</v>
      </c>
      <c r="I20" s="47" t="s">
        <v>90</v>
      </c>
      <c r="J20" s="48">
        <f t="shared" si="1"/>
        <v>100</v>
      </c>
    </row>
    <row r="21" spans="1:10" ht="21" customHeight="1" x14ac:dyDescent="0.15">
      <c r="A21" s="47">
        <v>60019019</v>
      </c>
      <c r="B21" s="47">
        <v>0</v>
      </c>
      <c r="C21" s="47" t="s">
        <v>89</v>
      </c>
      <c r="D21" s="47">
        <v>100</v>
      </c>
      <c r="E21" s="47" t="s">
        <v>90</v>
      </c>
      <c r="F21" s="47" t="s">
        <v>90</v>
      </c>
      <c r="G21" s="47" t="s">
        <v>90</v>
      </c>
      <c r="H21" s="47" t="s">
        <v>90</v>
      </c>
      <c r="I21" s="47" t="s">
        <v>90</v>
      </c>
      <c r="J21" s="48">
        <f t="shared" si="1"/>
        <v>100</v>
      </c>
    </row>
    <row r="22" spans="1:10" ht="21" customHeight="1" x14ac:dyDescent="0.15">
      <c r="A22" s="47">
        <v>60019020</v>
      </c>
      <c r="B22" s="47">
        <v>1</v>
      </c>
      <c r="C22" s="47" t="s">
        <v>89</v>
      </c>
      <c r="D22" s="47">
        <v>100</v>
      </c>
      <c r="E22" s="47" t="s">
        <v>90</v>
      </c>
      <c r="F22" s="47" t="s">
        <v>90</v>
      </c>
      <c r="G22" s="47">
        <v>1</v>
      </c>
      <c r="H22" s="47" t="s">
        <v>90</v>
      </c>
      <c r="I22" s="47" t="s">
        <v>90</v>
      </c>
      <c r="J22" s="48">
        <f t="shared" si="1"/>
        <v>100</v>
      </c>
    </row>
    <row r="23" spans="1:10" ht="21" customHeight="1" x14ac:dyDescent="0.15">
      <c r="A23" s="47">
        <v>60019021</v>
      </c>
      <c r="B23" s="47">
        <v>0</v>
      </c>
      <c r="C23" s="47">
        <v>90</v>
      </c>
      <c r="D23" s="47">
        <v>60</v>
      </c>
      <c r="E23" s="47" t="s">
        <v>90</v>
      </c>
      <c r="F23" s="47" t="s">
        <v>90</v>
      </c>
      <c r="G23" s="47" t="s">
        <v>90</v>
      </c>
      <c r="H23" s="47" t="s">
        <v>90</v>
      </c>
      <c r="I23" s="47" t="s">
        <v>90</v>
      </c>
      <c r="J23" s="48">
        <f t="shared" si="1"/>
        <v>60</v>
      </c>
    </row>
    <row r="24" spans="1:10" ht="21" customHeight="1" x14ac:dyDescent="0.15">
      <c r="A24" s="47">
        <v>60019022</v>
      </c>
      <c r="B24" s="47">
        <v>0</v>
      </c>
      <c r="C24" s="47" t="s">
        <v>89</v>
      </c>
      <c r="D24" s="47">
        <v>30</v>
      </c>
      <c r="E24" s="47" t="s">
        <v>90</v>
      </c>
      <c r="F24" s="47" t="s">
        <v>90</v>
      </c>
      <c r="G24" s="47" t="s">
        <v>90</v>
      </c>
      <c r="H24" s="47" t="s">
        <v>90</v>
      </c>
      <c r="I24" s="47" t="s">
        <v>90</v>
      </c>
      <c r="J24" s="48">
        <f t="shared" si="1"/>
        <v>30</v>
      </c>
    </row>
    <row r="25" spans="1:10" ht="21" customHeight="1" x14ac:dyDescent="0.15">
      <c r="A25" s="47">
        <v>60019023</v>
      </c>
      <c r="B25" s="47">
        <v>0</v>
      </c>
      <c r="C25" s="47" t="s">
        <v>89</v>
      </c>
      <c r="D25" s="47">
        <v>30</v>
      </c>
      <c r="E25" s="47" t="s">
        <v>90</v>
      </c>
      <c r="F25" s="47" t="s">
        <v>90</v>
      </c>
      <c r="G25" s="47" t="s">
        <v>90</v>
      </c>
      <c r="H25" s="47" t="s">
        <v>90</v>
      </c>
      <c r="I25" s="47" t="s">
        <v>90</v>
      </c>
      <c r="J25" s="48">
        <f t="shared" si="1"/>
        <v>30</v>
      </c>
    </row>
    <row r="26" spans="1:10" ht="21" customHeight="1" x14ac:dyDescent="0.15">
      <c r="A26" s="47">
        <v>60019024</v>
      </c>
      <c r="B26" s="47">
        <v>0</v>
      </c>
      <c r="C26" s="47">
        <v>100</v>
      </c>
      <c r="D26" s="47">
        <v>100</v>
      </c>
      <c r="E26" s="47">
        <v>70</v>
      </c>
      <c r="F26" s="47" t="s">
        <v>90</v>
      </c>
      <c r="G26" s="47" t="s">
        <v>314</v>
      </c>
      <c r="H26" s="47" t="s">
        <v>90</v>
      </c>
      <c r="I26" s="47" t="s">
        <v>90</v>
      </c>
      <c r="J26" s="48">
        <f t="shared" si="1"/>
        <v>100</v>
      </c>
    </row>
    <row r="27" spans="1:10" ht="21" customHeight="1" x14ac:dyDescent="0.15">
      <c r="A27" s="47">
        <v>60019025</v>
      </c>
      <c r="B27" s="47">
        <v>0</v>
      </c>
      <c r="C27" s="47" t="s">
        <v>89</v>
      </c>
      <c r="D27" s="47">
        <v>100</v>
      </c>
      <c r="E27" s="47" t="s">
        <v>90</v>
      </c>
      <c r="F27" s="47" t="s">
        <v>90</v>
      </c>
      <c r="G27" s="47" t="s">
        <v>90</v>
      </c>
      <c r="H27" s="47" t="s">
        <v>90</v>
      </c>
      <c r="I27" s="47" t="s">
        <v>90</v>
      </c>
      <c r="J27" s="48">
        <f t="shared" si="1"/>
        <v>100</v>
      </c>
    </row>
    <row r="28" spans="1:10" ht="21" customHeight="1" x14ac:dyDescent="0.15">
      <c r="A28" s="47">
        <v>60019026</v>
      </c>
      <c r="B28" s="47">
        <v>0</v>
      </c>
      <c r="C28" s="47" t="s">
        <v>89</v>
      </c>
      <c r="D28" s="47">
        <v>100</v>
      </c>
      <c r="E28" s="47" t="s">
        <v>90</v>
      </c>
      <c r="F28" s="47" t="s">
        <v>90</v>
      </c>
      <c r="G28" s="47" t="s">
        <v>90</v>
      </c>
      <c r="H28" s="47" t="s">
        <v>90</v>
      </c>
      <c r="I28" s="47" t="s">
        <v>90</v>
      </c>
      <c r="J28" s="48">
        <f t="shared" si="1"/>
        <v>100</v>
      </c>
    </row>
    <row r="29" spans="1:10" ht="21" customHeight="1" x14ac:dyDescent="0.15">
      <c r="A29" s="47">
        <v>60019027</v>
      </c>
      <c r="B29" s="47">
        <v>0</v>
      </c>
      <c r="C29" s="47" t="s">
        <v>89</v>
      </c>
      <c r="D29" s="47">
        <v>100</v>
      </c>
      <c r="E29" s="47" t="s">
        <v>90</v>
      </c>
      <c r="F29" s="47" t="s">
        <v>90</v>
      </c>
      <c r="G29" s="47" t="s">
        <v>90</v>
      </c>
      <c r="H29" s="47" t="s">
        <v>90</v>
      </c>
      <c r="I29" s="47" t="s">
        <v>90</v>
      </c>
      <c r="J29" s="48">
        <f t="shared" si="1"/>
        <v>100</v>
      </c>
    </row>
    <row r="30" spans="1:10" ht="21" customHeight="1" x14ac:dyDescent="0.15">
      <c r="A30" s="47">
        <v>60019028</v>
      </c>
      <c r="B30" s="47">
        <v>0</v>
      </c>
      <c r="C30" s="47" t="s">
        <v>89</v>
      </c>
      <c r="D30" s="47">
        <v>100</v>
      </c>
      <c r="E30" s="47" t="s">
        <v>90</v>
      </c>
      <c r="F30" s="47" t="s">
        <v>90</v>
      </c>
      <c r="G30" s="47" t="s">
        <v>90</v>
      </c>
      <c r="H30" s="47" t="s">
        <v>90</v>
      </c>
      <c r="I30" s="47" t="s">
        <v>90</v>
      </c>
      <c r="J30" s="48">
        <f t="shared" si="1"/>
        <v>100</v>
      </c>
    </row>
    <row r="31" spans="1:10" ht="21" customHeight="1" x14ac:dyDescent="0.15">
      <c r="A31" s="47">
        <v>60019029</v>
      </c>
      <c r="B31" s="47">
        <v>0</v>
      </c>
      <c r="C31" s="47" t="s">
        <v>89</v>
      </c>
      <c r="D31" s="47">
        <v>100</v>
      </c>
      <c r="E31" s="47" t="s">
        <v>90</v>
      </c>
      <c r="F31" s="47" t="s">
        <v>90</v>
      </c>
      <c r="G31" s="47" t="s">
        <v>90</v>
      </c>
      <c r="H31" s="47" t="s">
        <v>90</v>
      </c>
      <c r="I31" s="47" t="s">
        <v>90</v>
      </c>
      <c r="J31" s="48">
        <f t="shared" si="1"/>
        <v>100</v>
      </c>
    </row>
    <row r="32" spans="1:10" ht="21" customHeight="1" x14ac:dyDescent="0.15">
      <c r="A32" s="47">
        <v>60019030</v>
      </c>
      <c r="B32" s="47">
        <v>1</v>
      </c>
      <c r="C32" s="47" t="s">
        <v>53</v>
      </c>
      <c r="D32" s="47">
        <v>100</v>
      </c>
      <c r="E32" s="47" t="s">
        <v>53</v>
      </c>
      <c r="F32" s="47" t="s">
        <v>53</v>
      </c>
      <c r="G32" s="47">
        <v>1</v>
      </c>
      <c r="H32" s="47" t="s">
        <v>53</v>
      </c>
      <c r="I32" s="47" t="s">
        <v>53</v>
      </c>
      <c r="J32" s="48">
        <f t="shared" si="1"/>
        <v>100</v>
      </c>
    </row>
    <row r="33" spans="1:10" ht="21" customHeight="1" x14ac:dyDescent="0.15">
      <c r="A33" s="47">
        <v>60019031</v>
      </c>
      <c r="B33" s="47">
        <v>0</v>
      </c>
      <c r="C33" s="47">
        <v>70</v>
      </c>
      <c r="D33" s="47">
        <v>40</v>
      </c>
      <c r="E33" s="47" t="s">
        <v>53</v>
      </c>
      <c r="F33" s="47" t="s">
        <v>53</v>
      </c>
      <c r="G33" s="47" t="s">
        <v>53</v>
      </c>
      <c r="H33" s="47" t="s">
        <v>53</v>
      </c>
      <c r="I33" s="47" t="s">
        <v>53</v>
      </c>
      <c r="J33" s="48">
        <f t="shared" si="1"/>
        <v>40</v>
      </c>
    </row>
    <row r="34" spans="1:10" ht="21" customHeight="1" x14ac:dyDescent="0.15">
      <c r="A34" s="47">
        <v>60019032</v>
      </c>
      <c r="B34" s="47">
        <v>0</v>
      </c>
      <c r="C34" s="47">
        <v>80</v>
      </c>
      <c r="D34" s="47">
        <v>60</v>
      </c>
      <c r="E34" s="47" t="s">
        <v>53</v>
      </c>
      <c r="F34" s="47" t="s">
        <v>53</v>
      </c>
      <c r="G34" s="47" t="s">
        <v>53</v>
      </c>
      <c r="H34" s="47" t="s">
        <v>53</v>
      </c>
      <c r="I34" s="47" t="s">
        <v>53</v>
      </c>
      <c r="J34" s="48">
        <f t="shared" si="1"/>
        <v>60</v>
      </c>
    </row>
    <row r="35" spans="1:10" ht="21" customHeight="1" x14ac:dyDescent="0.15">
      <c r="A35" s="47">
        <v>60019033</v>
      </c>
      <c r="B35" s="47">
        <v>0</v>
      </c>
      <c r="C35" s="47">
        <v>90</v>
      </c>
      <c r="D35" s="47">
        <v>40</v>
      </c>
      <c r="E35" s="47" t="s">
        <v>53</v>
      </c>
      <c r="F35" s="47" t="s">
        <v>53</v>
      </c>
      <c r="G35" s="47" t="s">
        <v>53</v>
      </c>
      <c r="H35" s="47" t="s">
        <v>53</v>
      </c>
      <c r="I35" s="47" t="s">
        <v>53</v>
      </c>
      <c r="J35" s="48">
        <f t="shared" si="1"/>
        <v>40</v>
      </c>
    </row>
    <row r="36" spans="1:10" ht="21" customHeight="1" x14ac:dyDescent="0.15">
      <c r="A36" s="47">
        <v>60019034</v>
      </c>
      <c r="B36" s="47">
        <v>0</v>
      </c>
      <c r="C36" s="47">
        <v>100</v>
      </c>
      <c r="D36" s="47">
        <v>100</v>
      </c>
      <c r="E36" s="47">
        <v>70</v>
      </c>
      <c r="F36" s="47" t="s">
        <v>53</v>
      </c>
      <c r="G36" s="47" t="s">
        <v>314</v>
      </c>
      <c r="H36" s="47" t="s">
        <v>53</v>
      </c>
      <c r="I36" s="47" t="s">
        <v>53</v>
      </c>
      <c r="J36" s="48">
        <f t="shared" si="1"/>
        <v>100</v>
      </c>
    </row>
    <row r="37" spans="1:10" ht="21" customHeight="1" x14ac:dyDescent="0.15">
      <c r="A37" s="47">
        <v>60019035</v>
      </c>
      <c r="B37" s="47">
        <v>0</v>
      </c>
      <c r="C37" s="47" t="s">
        <v>89</v>
      </c>
      <c r="D37" s="47">
        <v>100</v>
      </c>
      <c r="E37" s="47" t="s">
        <v>90</v>
      </c>
      <c r="F37" s="47" t="s">
        <v>90</v>
      </c>
      <c r="G37" s="47" t="s">
        <v>90</v>
      </c>
      <c r="H37" s="47" t="s">
        <v>90</v>
      </c>
      <c r="I37" s="47" t="s">
        <v>90</v>
      </c>
      <c r="J37" s="48">
        <f t="shared" si="1"/>
        <v>100</v>
      </c>
    </row>
    <row r="38" spans="1:10" ht="21" customHeight="1" x14ac:dyDescent="0.15">
      <c r="A38" s="47">
        <v>60019036</v>
      </c>
      <c r="B38" s="47">
        <v>0</v>
      </c>
      <c r="C38" s="47" t="s">
        <v>89</v>
      </c>
      <c r="D38" s="47">
        <v>100</v>
      </c>
      <c r="E38" s="47" t="s">
        <v>90</v>
      </c>
      <c r="F38" s="47" t="s">
        <v>90</v>
      </c>
      <c r="G38" s="47" t="s">
        <v>90</v>
      </c>
      <c r="H38" s="47" t="s">
        <v>90</v>
      </c>
      <c r="I38" s="47" t="s">
        <v>90</v>
      </c>
      <c r="J38" s="48">
        <f t="shared" si="1"/>
        <v>100</v>
      </c>
    </row>
    <row r="39" spans="1:10" ht="21" customHeight="1" x14ac:dyDescent="0.15">
      <c r="A39" s="47">
        <v>60019037</v>
      </c>
      <c r="B39" s="47">
        <v>0</v>
      </c>
      <c r="C39" s="47" t="s">
        <v>89</v>
      </c>
      <c r="D39" s="47">
        <v>100</v>
      </c>
      <c r="E39" s="47" t="s">
        <v>90</v>
      </c>
      <c r="F39" s="47" t="s">
        <v>90</v>
      </c>
      <c r="G39" s="47" t="s">
        <v>90</v>
      </c>
      <c r="H39" s="47" t="s">
        <v>90</v>
      </c>
      <c r="I39" s="47" t="s">
        <v>90</v>
      </c>
      <c r="J39" s="48">
        <f t="shared" si="1"/>
        <v>100</v>
      </c>
    </row>
    <row r="40" spans="1:10" ht="21" customHeight="1" x14ac:dyDescent="0.15">
      <c r="A40" s="47">
        <v>60019038</v>
      </c>
      <c r="B40" s="47">
        <v>0</v>
      </c>
      <c r="C40" s="47" t="s">
        <v>89</v>
      </c>
      <c r="D40" s="47">
        <v>100</v>
      </c>
      <c r="E40" s="47" t="s">
        <v>90</v>
      </c>
      <c r="F40" s="47" t="s">
        <v>90</v>
      </c>
      <c r="G40" s="47" t="s">
        <v>90</v>
      </c>
      <c r="H40" s="47" t="s">
        <v>90</v>
      </c>
      <c r="I40" s="47" t="s">
        <v>90</v>
      </c>
      <c r="J40" s="48">
        <f t="shared" si="1"/>
        <v>100</v>
      </c>
    </row>
    <row r="41" spans="1:10" ht="21" customHeight="1" x14ac:dyDescent="0.15">
      <c r="A41" s="47">
        <v>60019039</v>
      </c>
      <c r="B41" s="47">
        <v>0</v>
      </c>
      <c r="C41" s="47" t="s">
        <v>89</v>
      </c>
      <c r="D41" s="47">
        <v>100</v>
      </c>
      <c r="E41" s="47" t="s">
        <v>90</v>
      </c>
      <c r="F41" s="47" t="s">
        <v>90</v>
      </c>
      <c r="G41" s="47" t="s">
        <v>90</v>
      </c>
      <c r="H41" s="47" t="s">
        <v>90</v>
      </c>
      <c r="I41" s="47" t="s">
        <v>90</v>
      </c>
      <c r="J41" s="48">
        <f t="shared" si="1"/>
        <v>100</v>
      </c>
    </row>
    <row r="42" spans="1:10" ht="21" customHeight="1" x14ac:dyDescent="0.15">
      <c r="A42" s="47">
        <v>60019040</v>
      </c>
      <c r="B42" s="47">
        <v>1</v>
      </c>
      <c r="C42" s="47" t="s">
        <v>89</v>
      </c>
      <c r="D42" s="47">
        <v>100</v>
      </c>
      <c r="E42" s="47" t="s">
        <v>90</v>
      </c>
      <c r="F42" s="47" t="s">
        <v>90</v>
      </c>
      <c r="G42" s="47">
        <v>1</v>
      </c>
      <c r="H42" s="47" t="s">
        <v>53</v>
      </c>
      <c r="I42" s="47" t="s">
        <v>90</v>
      </c>
      <c r="J42" s="48">
        <f t="shared" si="1"/>
        <v>100</v>
      </c>
    </row>
    <row r="43" spans="1:10" ht="21" customHeight="1" x14ac:dyDescent="0.15">
      <c r="A43" s="47">
        <v>60019041</v>
      </c>
      <c r="B43" s="47">
        <v>0</v>
      </c>
      <c r="C43" s="47" t="s">
        <v>89</v>
      </c>
      <c r="D43" s="47">
        <v>30</v>
      </c>
      <c r="E43" s="47" t="s">
        <v>90</v>
      </c>
      <c r="F43" s="47" t="s">
        <v>90</v>
      </c>
      <c r="G43" s="47" t="s">
        <v>90</v>
      </c>
      <c r="H43" s="47" t="s">
        <v>90</v>
      </c>
      <c r="I43" s="47" t="s">
        <v>90</v>
      </c>
      <c r="J43" s="48">
        <f t="shared" si="1"/>
        <v>30</v>
      </c>
    </row>
    <row r="44" spans="1:10" ht="21" customHeight="1" x14ac:dyDescent="0.15">
      <c r="A44" s="47">
        <v>60019042</v>
      </c>
      <c r="B44" s="47">
        <v>0</v>
      </c>
      <c r="C44" s="47" t="s">
        <v>89</v>
      </c>
      <c r="D44" s="47">
        <v>30</v>
      </c>
      <c r="E44" s="47" t="s">
        <v>90</v>
      </c>
      <c r="F44" s="47" t="s">
        <v>90</v>
      </c>
      <c r="G44" s="47">
        <v>3</v>
      </c>
      <c r="H44" s="47" t="s">
        <v>90</v>
      </c>
      <c r="I44" s="47" t="s">
        <v>90</v>
      </c>
      <c r="J44" s="48">
        <f t="shared" si="1"/>
        <v>30</v>
      </c>
    </row>
    <row r="45" spans="1:10" ht="21" customHeight="1" x14ac:dyDescent="0.15">
      <c r="A45" s="47">
        <v>60019043</v>
      </c>
      <c r="B45" s="47">
        <v>0</v>
      </c>
      <c r="C45" s="47">
        <v>100</v>
      </c>
      <c r="D45" s="47">
        <v>100</v>
      </c>
      <c r="E45" s="47" t="s">
        <v>90</v>
      </c>
      <c r="F45" s="47" t="s">
        <v>90</v>
      </c>
      <c r="G45" s="47">
        <v>1</v>
      </c>
      <c r="H45" s="47">
        <v>4</v>
      </c>
      <c r="I45" s="47" t="s">
        <v>90</v>
      </c>
      <c r="J45" s="48">
        <f t="shared" si="1"/>
        <v>100</v>
      </c>
    </row>
    <row r="46" spans="1:10" ht="21" customHeight="1" x14ac:dyDescent="0.15">
      <c r="A46" s="47">
        <v>60019044</v>
      </c>
      <c r="B46" s="47">
        <v>0</v>
      </c>
      <c r="C46" s="47" t="s">
        <v>89</v>
      </c>
      <c r="D46" s="47">
        <v>100</v>
      </c>
      <c r="E46" s="47" t="s">
        <v>90</v>
      </c>
      <c r="F46" s="47" t="s">
        <v>90</v>
      </c>
      <c r="G46" s="47" t="s">
        <v>90</v>
      </c>
      <c r="H46" s="47" t="s">
        <v>90</v>
      </c>
      <c r="I46" s="47" t="s">
        <v>90</v>
      </c>
      <c r="J46" s="48">
        <f t="shared" si="1"/>
        <v>100</v>
      </c>
    </row>
    <row r="47" spans="1:10" ht="21" customHeight="1" x14ac:dyDescent="0.15">
      <c r="A47" s="47">
        <v>60019045</v>
      </c>
      <c r="B47" s="47">
        <v>1</v>
      </c>
      <c r="C47" s="47" t="s">
        <v>89</v>
      </c>
      <c r="D47" s="47">
        <v>100</v>
      </c>
      <c r="E47" s="47" t="s">
        <v>90</v>
      </c>
      <c r="F47" s="47" t="s">
        <v>90</v>
      </c>
      <c r="G47" s="47">
        <v>1</v>
      </c>
      <c r="H47" s="47" t="s">
        <v>90</v>
      </c>
      <c r="I47" s="47" t="s">
        <v>90</v>
      </c>
      <c r="J47" s="48">
        <f t="shared" si="1"/>
        <v>100</v>
      </c>
    </row>
    <row r="48" spans="1:10" ht="21" customHeight="1" x14ac:dyDescent="0.15">
      <c r="A48" s="47">
        <v>60019046</v>
      </c>
      <c r="B48" s="47">
        <v>0</v>
      </c>
      <c r="C48" s="47" t="s">
        <v>89</v>
      </c>
      <c r="D48" s="47">
        <v>30</v>
      </c>
      <c r="E48" s="47" t="s">
        <v>90</v>
      </c>
      <c r="F48" s="47" t="s">
        <v>90</v>
      </c>
      <c r="G48" s="47" t="s">
        <v>90</v>
      </c>
      <c r="H48" s="47" t="s">
        <v>90</v>
      </c>
      <c r="I48" s="47" t="s">
        <v>90</v>
      </c>
      <c r="J48" s="48">
        <f t="shared" si="1"/>
        <v>30</v>
      </c>
    </row>
    <row r="49" spans="1:10" ht="21" customHeight="1" x14ac:dyDescent="0.15">
      <c r="A49" s="47">
        <v>60019047</v>
      </c>
      <c r="B49" s="47">
        <v>0</v>
      </c>
      <c r="C49" s="47">
        <v>100</v>
      </c>
      <c r="D49" s="47">
        <v>100</v>
      </c>
      <c r="E49" s="47" t="s">
        <v>90</v>
      </c>
      <c r="F49" s="47" t="s">
        <v>90</v>
      </c>
      <c r="G49" s="47">
        <v>1</v>
      </c>
      <c r="H49" s="47">
        <v>5</v>
      </c>
      <c r="I49" s="47" t="s">
        <v>90</v>
      </c>
      <c r="J49" s="48">
        <f t="shared" si="1"/>
        <v>100</v>
      </c>
    </row>
    <row r="50" spans="1:10" ht="21" customHeight="1" x14ac:dyDescent="0.15">
      <c r="A50" s="47">
        <v>60019048</v>
      </c>
      <c r="B50" s="47">
        <v>0</v>
      </c>
      <c r="C50" s="47">
        <v>100</v>
      </c>
      <c r="D50" s="47">
        <v>100</v>
      </c>
      <c r="E50" s="47" t="s">
        <v>90</v>
      </c>
      <c r="F50" s="47" t="s">
        <v>90</v>
      </c>
      <c r="G50" s="47">
        <v>1</v>
      </c>
      <c r="H50" s="47">
        <v>4</v>
      </c>
      <c r="I50" s="47" t="s">
        <v>90</v>
      </c>
      <c r="J50" s="48">
        <f t="shared" si="1"/>
        <v>100</v>
      </c>
    </row>
    <row r="51" spans="1:10" ht="21" customHeight="1" x14ac:dyDescent="0.15">
      <c r="A51" s="47">
        <v>60019049</v>
      </c>
      <c r="B51" s="47">
        <v>0</v>
      </c>
      <c r="C51" s="47" t="s">
        <v>89</v>
      </c>
      <c r="D51" s="47">
        <v>100</v>
      </c>
      <c r="E51" s="47" t="s">
        <v>90</v>
      </c>
      <c r="F51" s="47" t="s">
        <v>90</v>
      </c>
      <c r="G51" s="47" t="s">
        <v>90</v>
      </c>
      <c r="H51" s="47" t="s">
        <v>90</v>
      </c>
      <c r="I51" s="47" t="s">
        <v>90</v>
      </c>
      <c r="J51" s="48">
        <f t="shared" si="1"/>
        <v>100</v>
      </c>
    </row>
    <row r="52" spans="1:10" ht="21" customHeight="1" x14ac:dyDescent="0.15">
      <c r="A52" s="47">
        <v>60019050</v>
      </c>
      <c r="B52" s="47">
        <v>1</v>
      </c>
      <c r="C52" s="47" t="s">
        <v>89</v>
      </c>
      <c r="D52" s="47">
        <v>100</v>
      </c>
      <c r="E52" s="47" t="s">
        <v>90</v>
      </c>
      <c r="F52" s="47" t="s">
        <v>90</v>
      </c>
      <c r="G52" s="47">
        <v>1</v>
      </c>
      <c r="H52" s="47" t="s">
        <v>90</v>
      </c>
      <c r="I52" s="47" t="s">
        <v>90</v>
      </c>
      <c r="J52" s="48">
        <f t="shared" si="1"/>
        <v>100</v>
      </c>
    </row>
    <row r="53" spans="1:10" ht="21" customHeight="1" x14ac:dyDescent="0.15">
      <c r="A53" s="47">
        <v>60019051</v>
      </c>
      <c r="B53" s="47">
        <v>0</v>
      </c>
      <c r="C53" s="47">
        <v>90</v>
      </c>
      <c r="D53" s="47">
        <v>60</v>
      </c>
      <c r="E53" s="47" t="s">
        <v>90</v>
      </c>
      <c r="F53" s="47" t="s">
        <v>90</v>
      </c>
      <c r="G53" s="47" t="s">
        <v>90</v>
      </c>
      <c r="H53" s="47" t="s">
        <v>90</v>
      </c>
      <c r="I53" s="47" t="s">
        <v>90</v>
      </c>
      <c r="J53" s="48">
        <f t="shared" si="1"/>
        <v>60</v>
      </c>
    </row>
    <row r="54" spans="1:10" ht="21" customHeight="1" x14ac:dyDescent="0.15">
      <c r="A54" s="47">
        <v>60019052</v>
      </c>
      <c r="B54" s="47">
        <v>0</v>
      </c>
      <c r="C54" s="47">
        <v>80</v>
      </c>
      <c r="D54" s="47">
        <v>40</v>
      </c>
      <c r="E54" s="47" t="s">
        <v>90</v>
      </c>
      <c r="F54" s="47" t="s">
        <v>90</v>
      </c>
      <c r="G54" s="47" t="s">
        <v>90</v>
      </c>
      <c r="H54" s="47" t="s">
        <v>90</v>
      </c>
      <c r="I54" s="47" t="s">
        <v>90</v>
      </c>
      <c r="J54" s="48">
        <f t="shared" si="1"/>
        <v>40</v>
      </c>
    </row>
    <row r="55" spans="1:10" ht="21" customHeight="1" x14ac:dyDescent="0.15">
      <c r="A55" s="47">
        <v>60019053</v>
      </c>
      <c r="B55" s="47">
        <v>0</v>
      </c>
      <c r="C55" s="47">
        <v>70</v>
      </c>
      <c r="D55" s="47">
        <v>40</v>
      </c>
      <c r="E55" s="47" t="s">
        <v>90</v>
      </c>
      <c r="F55" s="47" t="s">
        <v>90</v>
      </c>
      <c r="G55" s="47" t="s">
        <v>90</v>
      </c>
      <c r="H55" s="47" t="s">
        <v>90</v>
      </c>
      <c r="I55" s="47" t="s">
        <v>90</v>
      </c>
      <c r="J55" s="48">
        <f t="shared" si="1"/>
        <v>40</v>
      </c>
    </row>
    <row r="56" spans="1:10" ht="21" customHeight="1" x14ac:dyDescent="0.15">
      <c r="A56" s="47">
        <v>60019054</v>
      </c>
      <c r="B56" s="47">
        <v>0</v>
      </c>
      <c r="C56" s="47">
        <v>100</v>
      </c>
      <c r="D56" s="47">
        <v>100</v>
      </c>
      <c r="E56" s="47">
        <v>70</v>
      </c>
      <c r="F56" s="47" t="s">
        <v>90</v>
      </c>
      <c r="G56" s="47" t="s">
        <v>90</v>
      </c>
      <c r="H56" s="47" t="s">
        <v>90</v>
      </c>
      <c r="I56" s="47" t="s">
        <v>90</v>
      </c>
      <c r="J56" s="48">
        <f t="shared" si="1"/>
        <v>100</v>
      </c>
    </row>
    <row r="57" spans="1:10" ht="21" customHeight="1" x14ac:dyDescent="0.15">
      <c r="A57" s="47">
        <v>60019055</v>
      </c>
      <c r="B57" s="47">
        <v>0</v>
      </c>
      <c r="C57" s="47" t="s">
        <v>89</v>
      </c>
      <c r="D57" s="47">
        <v>100</v>
      </c>
      <c r="E57" s="47" t="s">
        <v>90</v>
      </c>
      <c r="F57" s="47" t="s">
        <v>90</v>
      </c>
      <c r="G57" s="47" t="s">
        <v>90</v>
      </c>
      <c r="H57" s="47" t="s">
        <v>90</v>
      </c>
      <c r="I57" s="47" t="s">
        <v>90</v>
      </c>
      <c r="J57" s="48">
        <f t="shared" si="1"/>
        <v>100</v>
      </c>
    </row>
    <row r="58" spans="1:10" ht="21" customHeight="1" x14ac:dyDescent="0.15">
      <c r="A58" s="47">
        <v>60019056</v>
      </c>
      <c r="B58" s="47">
        <v>0</v>
      </c>
      <c r="C58" s="47" t="s">
        <v>89</v>
      </c>
      <c r="D58" s="47">
        <v>100</v>
      </c>
      <c r="E58" s="47" t="s">
        <v>90</v>
      </c>
      <c r="F58" s="47" t="s">
        <v>90</v>
      </c>
      <c r="G58" s="47" t="s">
        <v>90</v>
      </c>
      <c r="H58" s="47" t="s">
        <v>90</v>
      </c>
      <c r="I58" s="47" t="s">
        <v>90</v>
      </c>
      <c r="J58" s="48">
        <f t="shared" si="1"/>
        <v>100</v>
      </c>
    </row>
    <row r="59" spans="1:10" ht="21" customHeight="1" x14ac:dyDescent="0.15">
      <c r="A59" s="47">
        <v>60019057</v>
      </c>
      <c r="B59" s="47">
        <v>0</v>
      </c>
      <c r="C59" s="47" t="s">
        <v>89</v>
      </c>
      <c r="D59" s="47">
        <v>100</v>
      </c>
      <c r="E59" s="47" t="s">
        <v>90</v>
      </c>
      <c r="F59" s="47" t="s">
        <v>90</v>
      </c>
      <c r="G59" s="47" t="s">
        <v>90</v>
      </c>
      <c r="H59" s="47" t="s">
        <v>90</v>
      </c>
      <c r="I59" s="47" t="s">
        <v>90</v>
      </c>
      <c r="J59" s="48">
        <f t="shared" si="1"/>
        <v>100</v>
      </c>
    </row>
    <row r="60" spans="1:10" ht="21" customHeight="1" x14ac:dyDescent="0.15">
      <c r="A60" s="47">
        <v>60019058</v>
      </c>
      <c r="B60" s="47">
        <v>0</v>
      </c>
      <c r="C60" s="47" t="s">
        <v>89</v>
      </c>
      <c r="D60" s="47">
        <v>100</v>
      </c>
      <c r="E60" s="47" t="s">
        <v>90</v>
      </c>
      <c r="F60" s="47" t="s">
        <v>90</v>
      </c>
      <c r="G60" s="47" t="s">
        <v>90</v>
      </c>
      <c r="H60" s="47" t="s">
        <v>90</v>
      </c>
      <c r="I60" s="47" t="s">
        <v>90</v>
      </c>
      <c r="J60" s="48">
        <f t="shared" si="1"/>
        <v>100</v>
      </c>
    </row>
    <row r="61" spans="1:10" ht="21" customHeight="1" x14ac:dyDescent="0.15">
      <c r="A61" s="47">
        <v>60019059</v>
      </c>
      <c r="B61" s="47">
        <v>0</v>
      </c>
      <c r="C61" s="47" t="s">
        <v>89</v>
      </c>
      <c r="D61" s="47">
        <v>100</v>
      </c>
      <c r="E61" s="47" t="s">
        <v>90</v>
      </c>
      <c r="F61" s="47" t="s">
        <v>90</v>
      </c>
      <c r="G61" s="47" t="s">
        <v>90</v>
      </c>
      <c r="H61" s="47" t="s">
        <v>90</v>
      </c>
      <c r="I61" s="47" t="s">
        <v>90</v>
      </c>
      <c r="J61" s="48">
        <f t="shared" ref="J61:J62" si="2">D61</f>
        <v>100</v>
      </c>
    </row>
    <row r="62" spans="1:10" ht="21" customHeight="1" x14ac:dyDescent="0.15">
      <c r="A62" s="47">
        <v>60019060</v>
      </c>
      <c r="B62" s="47">
        <v>1</v>
      </c>
      <c r="C62" s="47" t="s">
        <v>89</v>
      </c>
      <c r="D62" s="47">
        <v>100</v>
      </c>
      <c r="E62" s="47" t="s">
        <v>90</v>
      </c>
      <c r="F62" s="47" t="s">
        <v>90</v>
      </c>
      <c r="G62" s="47">
        <v>1</v>
      </c>
      <c r="H62" s="47" t="s">
        <v>90</v>
      </c>
      <c r="I62" s="47" t="s">
        <v>90</v>
      </c>
      <c r="J62" s="48">
        <f t="shared" si="2"/>
        <v>100</v>
      </c>
    </row>
    <row r="63" spans="1:10" ht="21" customHeight="1" x14ac:dyDescent="0.15">
      <c r="A63" s="47">
        <v>60019061</v>
      </c>
      <c r="B63" s="47">
        <v>0</v>
      </c>
      <c r="C63" s="47">
        <v>60</v>
      </c>
      <c r="D63" s="47">
        <v>60</v>
      </c>
      <c r="E63" s="47" t="s">
        <v>90</v>
      </c>
      <c r="F63" s="47" t="s">
        <v>90</v>
      </c>
      <c r="G63" s="47" t="s">
        <v>90</v>
      </c>
      <c r="H63" s="47" t="s">
        <v>90</v>
      </c>
      <c r="I63" s="47" t="s">
        <v>90</v>
      </c>
      <c r="J63" s="48">
        <f t="shared" ref="J63:J81" si="3">D63</f>
        <v>60</v>
      </c>
    </row>
    <row r="64" spans="1:10" ht="21" customHeight="1" x14ac:dyDescent="0.15">
      <c r="A64" s="47">
        <v>60019062</v>
      </c>
      <c r="B64" s="47">
        <v>0</v>
      </c>
      <c r="C64" s="47">
        <v>70</v>
      </c>
      <c r="D64" s="47">
        <v>40</v>
      </c>
      <c r="E64" s="47" t="s">
        <v>90</v>
      </c>
      <c r="F64" s="47" t="s">
        <v>90</v>
      </c>
      <c r="G64" s="47" t="s">
        <v>90</v>
      </c>
      <c r="H64" s="47" t="s">
        <v>90</v>
      </c>
      <c r="I64" s="47" t="s">
        <v>90</v>
      </c>
      <c r="J64" s="48">
        <f t="shared" si="3"/>
        <v>40</v>
      </c>
    </row>
    <row r="65" spans="1:10" ht="21" customHeight="1" x14ac:dyDescent="0.15">
      <c r="A65" s="47">
        <v>60019063</v>
      </c>
      <c r="B65" s="47">
        <v>0</v>
      </c>
      <c r="C65" s="47">
        <v>80</v>
      </c>
      <c r="D65" s="47">
        <v>60</v>
      </c>
      <c r="E65" s="47" t="s">
        <v>90</v>
      </c>
      <c r="F65" s="47" t="s">
        <v>90</v>
      </c>
      <c r="G65" s="47" t="s">
        <v>90</v>
      </c>
      <c r="H65" s="47" t="s">
        <v>90</v>
      </c>
      <c r="I65" s="47" t="s">
        <v>90</v>
      </c>
      <c r="J65" s="48">
        <f t="shared" si="3"/>
        <v>60</v>
      </c>
    </row>
    <row r="66" spans="1:10" ht="21" customHeight="1" x14ac:dyDescent="0.15">
      <c r="A66" s="47">
        <v>60019064</v>
      </c>
      <c r="B66" s="47">
        <v>0</v>
      </c>
      <c r="C66" s="47">
        <v>90</v>
      </c>
      <c r="D66" s="47">
        <v>40</v>
      </c>
      <c r="E66" s="47" t="s">
        <v>90</v>
      </c>
      <c r="F66" s="47" t="s">
        <v>90</v>
      </c>
      <c r="G66" s="47" t="s">
        <v>90</v>
      </c>
      <c r="H66" s="47" t="s">
        <v>90</v>
      </c>
      <c r="I66" s="47" t="s">
        <v>90</v>
      </c>
      <c r="J66" s="48">
        <f t="shared" si="3"/>
        <v>40</v>
      </c>
    </row>
    <row r="67" spans="1:10" ht="21" customHeight="1" x14ac:dyDescent="0.15">
      <c r="A67" s="47">
        <v>60019065</v>
      </c>
      <c r="B67" s="47">
        <v>0</v>
      </c>
      <c r="C67" s="47">
        <v>100</v>
      </c>
      <c r="D67" s="47">
        <v>100</v>
      </c>
      <c r="E67" s="47">
        <v>50</v>
      </c>
      <c r="F67" s="47" t="s">
        <v>90</v>
      </c>
      <c r="G67" s="47" t="s">
        <v>90</v>
      </c>
      <c r="H67" s="47" t="s">
        <v>90</v>
      </c>
      <c r="I67" s="47" t="s">
        <v>90</v>
      </c>
      <c r="J67" s="48">
        <f t="shared" si="3"/>
        <v>100</v>
      </c>
    </row>
    <row r="68" spans="1:10" ht="21" customHeight="1" x14ac:dyDescent="0.15">
      <c r="A68" s="47">
        <v>60019066</v>
      </c>
      <c r="B68" s="47">
        <v>0</v>
      </c>
      <c r="C68" s="47" t="s">
        <v>53</v>
      </c>
      <c r="D68" s="47">
        <v>100</v>
      </c>
      <c r="E68" s="47" t="s">
        <v>90</v>
      </c>
      <c r="F68" s="47" t="s">
        <v>90</v>
      </c>
      <c r="G68" s="47" t="s">
        <v>90</v>
      </c>
      <c r="H68" s="47" t="s">
        <v>90</v>
      </c>
      <c r="I68" s="47" t="s">
        <v>90</v>
      </c>
      <c r="J68" s="48">
        <f t="shared" si="3"/>
        <v>100</v>
      </c>
    </row>
    <row r="69" spans="1:10" ht="21" customHeight="1" x14ac:dyDescent="0.15">
      <c r="A69" s="47">
        <v>60019067</v>
      </c>
      <c r="B69" s="47">
        <v>0</v>
      </c>
      <c r="C69" s="47" t="s">
        <v>53</v>
      </c>
      <c r="D69" s="47">
        <v>100</v>
      </c>
      <c r="E69" s="47" t="s">
        <v>90</v>
      </c>
      <c r="F69" s="47" t="s">
        <v>90</v>
      </c>
      <c r="G69" s="47" t="s">
        <v>90</v>
      </c>
      <c r="H69" s="47" t="s">
        <v>90</v>
      </c>
      <c r="I69" s="47" t="s">
        <v>90</v>
      </c>
      <c r="J69" s="48">
        <f t="shared" si="3"/>
        <v>100</v>
      </c>
    </row>
    <row r="70" spans="1:10" ht="21" customHeight="1" x14ac:dyDescent="0.15">
      <c r="A70" s="47">
        <v>60019068</v>
      </c>
      <c r="B70" s="47">
        <v>0</v>
      </c>
      <c r="C70" s="47" t="s">
        <v>53</v>
      </c>
      <c r="D70" s="47">
        <v>100</v>
      </c>
      <c r="E70" s="47" t="s">
        <v>90</v>
      </c>
      <c r="F70" s="47" t="s">
        <v>90</v>
      </c>
      <c r="G70" s="47" t="s">
        <v>90</v>
      </c>
      <c r="H70" s="47" t="s">
        <v>90</v>
      </c>
      <c r="I70" s="47" t="s">
        <v>90</v>
      </c>
      <c r="J70" s="48">
        <f t="shared" si="3"/>
        <v>100</v>
      </c>
    </row>
    <row r="71" spans="1:10" ht="21" customHeight="1" x14ac:dyDescent="0.15">
      <c r="A71" s="47">
        <v>60019069</v>
      </c>
      <c r="B71" s="47">
        <v>0</v>
      </c>
      <c r="C71" s="47" t="s">
        <v>53</v>
      </c>
      <c r="D71" s="47">
        <v>100</v>
      </c>
      <c r="E71" s="47" t="s">
        <v>90</v>
      </c>
      <c r="F71" s="47" t="s">
        <v>90</v>
      </c>
      <c r="G71" s="47" t="s">
        <v>90</v>
      </c>
      <c r="H71" s="47" t="s">
        <v>90</v>
      </c>
      <c r="I71" s="47" t="s">
        <v>90</v>
      </c>
      <c r="J71" s="48">
        <f t="shared" si="3"/>
        <v>100</v>
      </c>
    </row>
    <row r="72" spans="1:10" ht="21" customHeight="1" x14ac:dyDescent="0.15">
      <c r="A72" s="47">
        <v>60019070</v>
      </c>
      <c r="B72" s="47">
        <v>1</v>
      </c>
      <c r="C72" s="47" t="s">
        <v>53</v>
      </c>
      <c r="D72" s="47">
        <v>100</v>
      </c>
      <c r="E72" s="47" t="s">
        <v>90</v>
      </c>
      <c r="F72" s="47" t="s">
        <v>90</v>
      </c>
      <c r="G72" s="47">
        <v>1</v>
      </c>
      <c r="H72" s="47" t="s">
        <v>90</v>
      </c>
      <c r="I72" s="47" t="s">
        <v>90</v>
      </c>
      <c r="J72" s="48">
        <f t="shared" si="3"/>
        <v>100</v>
      </c>
    </row>
    <row r="73" spans="1:10" ht="21" customHeight="1" x14ac:dyDescent="0.15">
      <c r="A73" s="47">
        <v>60019071</v>
      </c>
      <c r="B73" s="47">
        <v>0</v>
      </c>
      <c r="C73" s="47">
        <v>60</v>
      </c>
      <c r="D73" s="47">
        <v>60</v>
      </c>
      <c r="E73" s="47" t="s">
        <v>90</v>
      </c>
      <c r="F73" s="47" t="s">
        <v>90</v>
      </c>
      <c r="G73" s="47" t="s">
        <v>90</v>
      </c>
      <c r="H73" s="47" t="s">
        <v>90</v>
      </c>
      <c r="I73" s="47" t="s">
        <v>90</v>
      </c>
      <c r="J73" s="48">
        <f t="shared" si="3"/>
        <v>60</v>
      </c>
    </row>
    <row r="74" spans="1:10" ht="21" customHeight="1" x14ac:dyDescent="0.15">
      <c r="A74" s="47">
        <v>60019072</v>
      </c>
      <c r="B74" s="47">
        <v>0</v>
      </c>
      <c r="C74" s="47">
        <v>70</v>
      </c>
      <c r="D74" s="47">
        <v>40</v>
      </c>
      <c r="E74" s="47" t="s">
        <v>90</v>
      </c>
      <c r="F74" s="47" t="s">
        <v>90</v>
      </c>
      <c r="G74" s="47" t="s">
        <v>90</v>
      </c>
      <c r="H74" s="47" t="s">
        <v>90</v>
      </c>
      <c r="I74" s="47" t="s">
        <v>90</v>
      </c>
      <c r="J74" s="48">
        <f t="shared" si="3"/>
        <v>40</v>
      </c>
    </row>
    <row r="75" spans="1:10" ht="21" customHeight="1" x14ac:dyDescent="0.15">
      <c r="A75" s="47">
        <v>60019073</v>
      </c>
      <c r="B75" s="47">
        <v>0</v>
      </c>
      <c r="C75" s="47">
        <v>80</v>
      </c>
      <c r="D75" s="47">
        <v>60</v>
      </c>
      <c r="E75" s="47" t="s">
        <v>90</v>
      </c>
      <c r="F75" s="47" t="s">
        <v>90</v>
      </c>
      <c r="G75" s="47" t="s">
        <v>90</v>
      </c>
      <c r="H75" s="47" t="s">
        <v>90</v>
      </c>
      <c r="I75" s="47" t="s">
        <v>90</v>
      </c>
      <c r="J75" s="48">
        <f t="shared" si="3"/>
        <v>60</v>
      </c>
    </row>
    <row r="76" spans="1:10" ht="21" customHeight="1" x14ac:dyDescent="0.15">
      <c r="A76" s="47">
        <v>60019074</v>
      </c>
      <c r="B76" s="47">
        <v>0</v>
      </c>
      <c r="C76" s="47">
        <v>90</v>
      </c>
      <c r="D76" s="47">
        <v>40</v>
      </c>
      <c r="E76" s="47" t="s">
        <v>90</v>
      </c>
      <c r="F76" s="47" t="s">
        <v>90</v>
      </c>
      <c r="G76" s="47" t="s">
        <v>90</v>
      </c>
      <c r="H76" s="47" t="s">
        <v>90</v>
      </c>
      <c r="I76" s="47" t="s">
        <v>90</v>
      </c>
      <c r="J76" s="48">
        <f t="shared" si="3"/>
        <v>40</v>
      </c>
    </row>
    <row r="77" spans="1:10" ht="21" customHeight="1" x14ac:dyDescent="0.15">
      <c r="A77" s="47">
        <v>60019075</v>
      </c>
      <c r="B77" s="47">
        <v>0</v>
      </c>
      <c r="C77" s="47">
        <v>100</v>
      </c>
      <c r="D77" s="47">
        <v>100</v>
      </c>
      <c r="E77" s="47">
        <v>50</v>
      </c>
      <c r="F77" s="47" t="s">
        <v>90</v>
      </c>
      <c r="G77" s="47" t="s">
        <v>90</v>
      </c>
      <c r="H77" s="47" t="s">
        <v>90</v>
      </c>
      <c r="I77" s="47" t="s">
        <v>90</v>
      </c>
      <c r="J77" s="48">
        <f t="shared" si="3"/>
        <v>100</v>
      </c>
    </row>
    <row r="78" spans="1:10" ht="21" customHeight="1" x14ac:dyDescent="0.15">
      <c r="A78" s="47">
        <v>60019076</v>
      </c>
      <c r="B78" s="47">
        <v>0</v>
      </c>
      <c r="C78" s="47" t="s">
        <v>53</v>
      </c>
      <c r="D78" s="47">
        <v>100</v>
      </c>
      <c r="E78" s="47" t="s">
        <v>53</v>
      </c>
      <c r="F78" s="47" t="s">
        <v>53</v>
      </c>
      <c r="G78" s="47">
        <v>0</v>
      </c>
      <c r="H78" s="47" t="s">
        <v>53</v>
      </c>
      <c r="I78" s="47">
        <v>0</v>
      </c>
      <c r="J78" s="48">
        <f t="shared" si="3"/>
        <v>100</v>
      </c>
    </row>
    <row r="79" spans="1:10" ht="21" customHeight="1" x14ac:dyDescent="0.15">
      <c r="A79" s="47">
        <v>60019077</v>
      </c>
      <c r="B79" s="47">
        <v>0</v>
      </c>
      <c r="C79" s="47" t="s">
        <v>53</v>
      </c>
      <c r="D79" s="47">
        <v>100</v>
      </c>
      <c r="E79" s="47" t="s">
        <v>90</v>
      </c>
      <c r="F79" s="47" t="s">
        <v>90</v>
      </c>
      <c r="G79" s="47" t="s">
        <v>90</v>
      </c>
      <c r="H79" s="47" t="s">
        <v>90</v>
      </c>
      <c r="I79" s="47" t="s">
        <v>90</v>
      </c>
      <c r="J79" s="48">
        <f t="shared" si="3"/>
        <v>100</v>
      </c>
    </row>
    <row r="80" spans="1:10" ht="21" customHeight="1" x14ac:dyDescent="0.15">
      <c r="A80" s="47">
        <v>60019078</v>
      </c>
      <c r="B80" s="47">
        <v>0</v>
      </c>
      <c r="C80" s="47" t="s">
        <v>53</v>
      </c>
      <c r="D80" s="47">
        <v>100</v>
      </c>
      <c r="E80" s="47" t="s">
        <v>90</v>
      </c>
      <c r="F80" s="47" t="s">
        <v>90</v>
      </c>
      <c r="G80" s="47" t="s">
        <v>90</v>
      </c>
      <c r="H80" s="47" t="s">
        <v>90</v>
      </c>
      <c r="I80" s="47" t="s">
        <v>90</v>
      </c>
      <c r="J80" s="48">
        <f t="shared" si="3"/>
        <v>100</v>
      </c>
    </row>
    <row r="81" spans="1:10" ht="21" customHeight="1" x14ac:dyDescent="0.15">
      <c r="A81" s="47">
        <v>60019079</v>
      </c>
      <c r="B81" s="47">
        <v>0</v>
      </c>
      <c r="C81" s="47" t="s">
        <v>53</v>
      </c>
      <c r="D81" s="47">
        <v>100</v>
      </c>
      <c r="E81" s="47" t="s">
        <v>90</v>
      </c>
      <c r="F81" s="47" t="s">
        <v>90</v>
      </c>
      <c r="G81" s="47" t="s">
        <v>90</v>
      </c>
      <c r="H81" s="47" t="s">
        <v>90</v>
      </c>
      <c r="I81" s="47" t="s">
        <v>90</v>
      </c>
      <c r="J81" s="48">
        <f t="shared" si="3"/>
        <v>100</v>
      </c>
    </row>
  </sheetData>
  <autoFilter ref="A1:G1"/>
  <phoneticPr fontId="8"/>
  <conditionalFormatting sqref="K82:K1048576 K1:K2">
    <cfRule type="duplicateValues" dxfId="3" priority="4"/>
  </conditionalFormatting>
  <conditionalFormatting sqref="K3:K60">
    <cfRule type="duplicateValues" dxfId="2" priority="3"/>
  </conditionalFormatting>
  <conditionalFormatting sqref="K61:K62">
    <cfRule type="duplicateValues" dxfId="1" priority="2"/>
  </conditionalFormatting>
  <conditionalFormatting sqref="K63:K81">
    <cfRule type="duplicateValues" dxfId="0" priority="6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f>floors!C2</f>
        <v>60019</v>
      </c>
      <c r="B2" s="57">
        <v>1</v>
      </c>
      <c r="C2" s="71" t="str">
        <f>A2&amp; "_"&amp;B2</f>
        <v>60019_1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169</v>
      </c>
      <c r="G2" s="57">
        <v>1000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171</v>
      </c>
      <c r="R2" s="57" t="s">
        <v>172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8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190</v>
      </c>
      <c r="B1" s="73" t="s">
        <v>191</v>
      </c>
      <c r="C1" s="78" t="s">
        <v>192</v>
      </c>
      <c r="D1" s="78" t="s">
        <v>33</v>
      </c>
      <c r="E1" s="73" t="s">
        <v>193</v>
      </c>
      <c r="F1" s="78" t="s">
        <v>194</v>
      </c>
      <c r="G1" s="78" t="s">
        <v>33</v>
      </c>
      <c r="H1" s="73" t="s">
        <v>195</v>
      </c>
      <c r="I1" s="93" t="s">
        <v>197</v>
      </c>
      <c r="J1" s="80" t="s">
        <v>127</v>
      </c>
      <c r="K1" s="79" t="s">
        <v>188</v>
      </c>
      <c r="L1" s="94" t="s">
        <v>187</v>
      </c>
      <c r="M1" s="81" t="s">
        <v>198</v>
      </c>
    </row>
    <row r="2" spans="1:13" x14ac:dyDescent="0.15">
      <c r="A2" s="82" t="s">
        <v>203</v>
      </c>
      <c r="B2" s="83">
        <f>floors!$C$2</f>
        <v>60019</v>
      </c>
      <c r="C2" s="84" t="str">
        <f ca="1">VLOOKUP($B2,OFFSET([2]quests!$A$1,0,0,COUNTA([2]quests!$A:$A),MATCH(C$1,[2]quests!$1:$1,0)-MATCH($B$1,[2]quests!$1:$1,0)+1),MATCH(C$1,[2]quests!$1:$1,0)-MATCH($B$1,[2]quests!$1:$1,0)+1,FALSE)</f>
        <v>ヘンペルチャレンジ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ランキング7</v>
      </c>
      <c r="E2" s="88" t="s">
        <v>218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>
        <v>0</v>
      </c>
      <c r="I2">
        <v>1</v>
      </c>
      <c r="J2" s="85" t="s">
        <v>200</v>
      </c>
      <c r="K2" s="95" t="str">
        <f>VLOOKUP(I2,[7]stage_hints!$A:$C,3,FALSE)</f>
        <v>長くつなげて大ダメージ</v>
      </c>
      <c r="L2" s="96" t="str">
        <f>VLOOKUP(I2,[7]stage_hints!$A:$D,4,FALSE)</f>
        <v>パネルを長くつなげるほど_x000D_大ダメージを与えることができます</v>
      </c>
      <c r="M2" s="57" t="s">
        <v>215</v>
      </c>
    </row>
    <row r="3" spans="1:13" x14ac:dyDescent="0.15">
      <c r="A3" s="82" t="s">
        <v>203</v>
      </c>
      <c r="B3" s="83">
        <f>floors!$C$2</f>
        <v>60019</v>
      </c>
      <c r="C3" s="84" t="str">
        <f ca="1">VLOOKUP($B3,OFFSET([2]quests!$A$1,0,0,COUNTA([2]quests!$A:$A),MATCH(C$1,[2]quests!$1:$1,0)-MATCH($B$1,[2]quests!$1:$1,0)+1),MATCH(C$1,[2]quests!$1:$1,0)-MATCH($B$1,[2]quests!$1:$1,0)+1,FALSE)</f>
        <v>ヘンペルチャレンジ</v>
      </c>
      <c r="D3" s="84" t="str">
        <f ca="1">VLOOKUP($B3,OFFSET([2]quests!$A$1,0,0,COUNTA([2]quests!$A:$A),MATCH(D$1,[2]quests!$1:$1,0)-MATCH($B$1,[2]quests!$1:$1,0)+1),MATCH(D$1,[2]quests!$1:$1,0)-MATCH($B$1,[2]quests!$1:$1,0)+1,FALSE)</f>
        <v>ランキング7</v>
      </c>
      <c r="E3" s="88" t="s">
        <v>218</v>
      </c>
      <c r="F3" s="8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6">
        <v>0</v>
      </c>
      <c r="I3">
        <v>2</v>
      </c>
      <c r="J3" s="85" t="s">
        <v>200</v>
      </c>
      <c r="K3" s="95" t="str">
        <f>VLOOKUP(I3,[7]stage_hints!$A:$C,3,FALSE)</f>
        <v>属性の相性</v>
      </c>
      <c r="L3" s="96" t="str">
        <f>VLOOKUP(I3,[7]stage_hints!$A:$D,4,FALSE)</f>
        <v>赤＞青　青＞黄　黄＞緑　緑＞赤_x000D_敵属性に最適なパーティがオススメです</v>
      </c>
      <c r="M3" s="57" t="s">
        <v>215</v>
      </c>
    </row>
    <row r="4" spans="1:13" x14ac:dyDescent="0.15">
      <c r="A4" s="82" t="s">
        <v>203</v>
      </c>
      <c r="B4" s="83">
        <f>floors!$C$2</f>
        <v>60019</v>
      </c>
      <c r="C4" s="84" t="str">
        <f ca="1">VLOOKUP($B4,OFFSET([2]quests!$A$1,0,0,COUNTA([2]quests!$A:$A),MATCH(C$1,[2]quests!$1:$1,0)-MATCH($B$1,[2]quests!$1:$1,0)+1),MATCH(C$1,[2]quests!$1:$1,0)-MATCH($B$1,[2]quests!$1:$1,0)+1,FALSE)</f>
        <v>ヘンペルチャレンジ</v>
      </c>
      <c r="D4" s="84" t="str">
        <f ca="1">VLOOKUP($B4,OFFSET([2]quests!$A$1,0,0,COUNTA([2]quests!$A:$A),MATCH(D$1,[2]quests!$1:$1,0)-MATCH($B$1,[2]quests!$1:$1,0)+1),MATCH(D$1,[2]quests!$1:$1,0)-MATCH($B$1,[2]quests!$1:$1,0)+1,FALSE)</f>
        <v>ランキング7</v>
      </c>
      <c r="E4" s="88" t="s">
        <v>218</v>
      </c>
      <c r="F4" s="84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4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6">
        <v>0</v>
      </c>
      <c r="I4">
        <v>3</v>
      </c>
      <c r="J4" s="85" t="s">
        <v>200</v>
      </c>
      <c r="K4" s="95" t="str">
        <f>VLOOKUP(I4,[7]stage_hints!$A:$C,3,FALSE)</f>
        <v>ターゲット</v>
      </c>
      <c r="L4" s="96" t="str">
        <f>VLOOKUP(I4,[7]stage_hints!$A:$D,4,FALSE)</f>
        <v>敵ユニットをタップすると_x000D_その敵を狙い撃ちできます</v>
      </c>
      <c r="M4" s="57" t="s">
        <v>215</v>
      </c>
    </row>
    <row r="5" spans="1:13" x14ac:dyDescent="0.15">
      <c r="A5" s="82" t="s">
        <v>203</v>
      </c>
      <c r="B5" s="83">
        <f>floors!$C$2</f>
        <v>60019</v>
      </c>
      <c r="C5" s="84" t="str">
        <f ca="1">VLOOKUP($B5,OFFSET([2]quests!$A$1,0,0,COUNTA([2]quests!$A:$A),MATCH(C$1,[2]quests!$1:$1,0)-MATCH($B$1,[2]quests!$1:$1,0)+1),MATCH(C$1,[2]quests!$1:$1,0)-MATCH($B$1,[2]quests!$1:$1,0)+1,FALSE)</f>
        <v>ヘンペルチャレンジ</v>
      </c>
      <c r="D5" s="84" t="str">
        <f ca="1">VLOOKUP($B5,OFFSET([2]quests!$A$1,0,0,COUNTA([2]quests!$A:$A),MATCH(D$1,[2]quests!$1:$1,0)-MATCH($B$1,[2]quests!$1:$1,0)+1),MATCH(D$1,[2]quests!$1:$1,0)-MATCH($B$1,[2]quests!$1:$1,0)+1,FALSE)</f>
        <v>ランキング7</v>
      </c>
      <c r="E5" s="88" t="s">
        <v>218</v>
      </c>
      <c r="F5" s="84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4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6">
        <v>0</v>
      </c>
      <c r="I5">
        <v>5</v>
      </c>
      <c r="J5" s="85" t="s">
        <v>200</v>
      </c>
      <c r="K5" s="95" t="str">
        <f>VLOOKUP(I5,[7]stage_hints!$A:$C,3,FALSE)</f>
        <v>ユニット強化でレベルアップ</v>
      </c>
      <c r="L5" s="96" t="str">
        <f>VLOOKUP(I5,[7]stage_hints!$A:$D,4,FALSE)</f>
        <v>「ユニット強化」でレベルアップすると_x000D_勝てない敵にも勝てるようになります</v>
      </c>
      <c r="M5" s="57" t="s">
        <v>215</v>
      </c>
    </row>
    <row r="6" spans="1:13" x14ac:dyDescent="0.15">
      <c r="A6" s="82" t="s">
        <v>203</v>
      </c>
      <c r="B6" s="83">
        <f>floors!$C$2</f>
        <v>60019</v>
      </c>
      <c r="C6" s="84" t="str">
        <f ca="1">VLOOKUP($B6,OFFSET([2]quests!$A$1,0,0,COUNTA([2]quests!$A:$A),MATCH(C$1,[2]quests!$1:$1,0)-MATCH($B$1,[2]quests!$1:$1,0)+1),MATCH(C$1,[2]quests!$1:$1,0)-MATCH($B$1,[2]quests!$1:$1,0)+1,FALSE)</f>
        <v>ヘンペルチャレンジ</v>
      </c>
      <c r="D6" s="84" t="str">
        <f ca="1">VLOOKUP($B6,OFFSET([2]quests!$A$1,0,0,COUNTA([2]quests!$A:$A),MATCH(D$1,[2]quests!$1:$1,0)-MATCH($B$1,[2]quests!$1:$1,0)+1),MATCH(D$1,[2]quests!$1:$1,0)-MATCH($B$1,[2]quests!$1:$1,0)+1,FALSE)</f>
        <v>ランキング7</v>
      </c>
      <c r="E6" s="88" t="s">
        <v>218</v>
      </c>
      <c r="F6" s="84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4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6">
        <v>0</v>
      </c>
      <c r="I6">
        <v>6</v>
      </c>
      <c r="J6" s="85" t="s">
        <v>200</v>
      </c>
      <c r="K6" s="95" t="str">
        <f>VLOOKUP(I6,[7]stage_hints!$A:$C,3,FALSE)</f>
        <v>ユニット強化の属性ボーナス</v>
      </c>
      <c r="L6" s="96" t="str">
        <f>VLOOKUP(I6,[7]stage_hints!$A:$D,4,FALSE)</f>
        <v>同属性ユニットを強化素材にすると_x000D_経験値が多くもらえます</v>
      </c>
      <c r="M6" s="57" t="s">
        <v>215</v>
      </c>
    </row>
    <row r="7" spans="1:13" x14ac:dyDescent="0.15">
      <c r="A7" s="82" t="s">
        <v>203</v>
      </c>
      <c r="B7" s="83">
        <f>floors!$C$2</f>
        <v>60019</v>
      </c>
      <c r="C7" s="84" t="str">
        <f ca="1">VLOOKUP($B7,OFFSET([2]quests!$A$1,0,0,COUNTA([2]quests!$A:$A),MATCH(C$1,[2]quests!$1:$1,0)-MATCH($B$1,[2]quests!$1:$1,0)+1),MATCH(C$1,[2]quests!$1:$1,0)-MATCH($B$1,[2]quests!$1:$1,0)+1,FALSE)</f>
        <v>ヘンペルチャレンジ</v>
      </c>
      <c r="D7" s="84" t="str">
        <f ca="1">VLOOKUP($B7,OFFSET([2]quests!$A$1,0,0,COUNTA([2]quests!$A:$A),MATCH(D$1,[2]quests!$1:$1,0)-MATCH($B$1,[2]quests!$1:$1,0)+1),MATCH(D$1,[2]quests!$1:$1,0)-MATCH($B$1,[2]quests!$1:$1,0)+1,FALSE)</f>
        <v>ランキング7</v>
      </c>
      <c r="E7" s="88" t="s">
        <v>218</v>
      </c>
      <c r="F7" s="84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4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6">
        <v>0</v>
      </c>
      <c r="I7">
        <v>7</v>
      </c>
      <c r="J7" s="85" t="s">
        <v>200</v>
      </c>
      <c r="K7" s="95" t="str">
        <f>VLOOKUP(I7,[7]stage_hints!$A:$C,3,FALSE)</f>
        <v>メタルダックで経験値を獲得</v>
      </c>
      <c r="L7" s="96" t="str">
        <f>VLOOKUP(I7,[7]stage_hints!$A:$D,4,FALSE)</f>
        <v>「メタルなアヒル」を強化素材にすると_x000D_大量の経験値がもらえます</v>
      </c>
      <c r="M7" s="57" t="s">
        <v>215</v>
      </c>
    </row>
    <row r="8" spans="1:13" x14ac:dyDescent="0.15">
      <c r="A8" s="82" t="s">
        <v>203</v>
      </c>
      <c r="B8" s="83">
        <f>floors!$C$2</f>
        <v>60019</v>
      </c>
      <c r="C8" s="84" t="str">
        <f ca="1">VLOOKUP($B8,OFFSET([2]quests!$A$1,0,0,COUNTA([2]quests!$A:$A),MATCH(C$1,[2]quests!$1:$1,0)-MATCH($B$1,[2]quests!$1:$1,0)+1),MATCH(C$1,[2]quests!$1:$1,0)-MATCH($B$1,[2]quests!$1:$1,0)+1,FALSE)</f>
        <v>ヘンペルチャレンジ</v>
      </c>
      <c r="D8" s="84" t="str">
        <f ca="1">VLOOKUP($B8,OFFSET([2]quests!$A$1,0,0,COUNTA([2]quests!$A:$A),MATCH(D$1,[2]quests!$1:$1,0)-MATCH($B$1,[2]quests!$1:$1,0)+1),MATCH(D$1,[2]quests!$1:$1,0)-MATCH($B$1,[2]quests!$1:$1,0)+1,FALSE)</f>
        <v>ランキング7</v>
      </c>
      <c r="E8" s="88" t="s">
        <v>218</v>
      </c>
      <c r="F8" s="84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4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6">
        <v>0</v>
      </c>
      <c r="I8">
        <v>8</v>
      </c>
      <c r="J8" s="85" t="s">
        <v>200</v>
      </c>
      <c r="K8" s="95" t="str">
        <f>VLOOKUP(I8,[7]stage_hints!$A:$C,3,FALSE)</f>
        <v>ゲリラクエストは要チェック</v>
      </c>
      <c r="L8" s="96" t="str">
        <f>VLOOKUP(I8,[7]stage_hints!$A:$D,4,FALSE)</f>
        <v>時間限定の「アヒル捕獲作戦」では_x000D_経験値素材ユニットが多く手に入ります</v>
      </c>
      <c r="M8" s="57" t="s">
        <v>215</v>
      </c>
    </row>
    <row r="9" spans="1:13" x14ac:dyDescent="0.15">
      <c r="A9" s="82" t="s">
        <v>203</v>
      </c>
      <c r="B9" s="83">
        <f>floors!$C$2</f>
        <v>60019</v>
      </c>
      <c r="C9" s="84" t="str">
        <f ca="1">VLOOKUP($B9,OFFSET([2]quests!$A$1,0,0,COUNTA([2]quests!$A:$A),MATCH(C$1,[2]quests!$1:$1,0)-MATCH($B$1,[2]quests!$1:$1,0)+1),MATCH(C$1,[2]quests!$1:$1,0)-MATCH($B$1,[2]quests!$1:$1,0)+1,FALSE)</f>
        <v>ヘンペルチャレンジ</v>
      </c>
      <c r="D9" s="84" t="str">
        <f ca="1">VLOOKUP($B9,OFFSET([2]quests!$A$1,0,0,COUNTA([2]quests!$A:$A),MATCH(D$1,[2]quests!$1:$1,0)-MATCH($B$1,[2]quests!$1:$1,0)+1),MATCH(D$1,[2]quests!$1:$1,0)-MATCH($B$1,[2]quests!$1:$1,0)+1,FALSE)</f>
        <v>ランキング7</v>
      </c>
      <c r="E9" s="88" t="s">
        <v>218</v>
      </c>
      <c r="F9" s="84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4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6">
        <v>0</v>
      </c>
      <c r="I9">
        <v>9</v>
      </c>
      <c r="J9" s="85" t="s">
        <v>200</v>
      </c>
      <c r="K9" s="95" t="str">
        <f>VLOOKUP(I9,[7]stage_hints!$A:$C,3,FALSE)</f>
        <v>ゴールドダックでビットを獲得</v>
      </c>
      <c r="L9" s="96" t="str">
        <f>VLOOKUP(I9,[7]stage_hints!$A:$D,4,FALSE)</f>
        <v>「ゴールドなアヒル」を売却すると_x000D_大量のビットがもらえます</v>
      </c>
      <c r="M9" s="57" t="s">
        <v>215</v>
      </c>
    </row>
    <row r="10" spans="1:13" x14ac:dyDescent="0.15">
      <c r="A10" s="82" t="s">
        <v>203</v>
      </c>
      <c r="B10" s="83">
        <f>floors!$C$2</f>
        <v>60019</v>
      </c>
      <c r="C10" s="84" t="str">
        <f ca="1">VLOOKUP($B10,OFFSET([2]quests!$A$1,0,0,COUNTA([2]quests!$A:$A),MATCH(C$1,[2]quests!$1:$1,0)-MATCH($B$1,[2]quests!$1:$1,0)+1),MATCH(C$1,[2]quests!$1:$1,0)-MATCH($B$1,[2]quests!$1:$1,0)+1,FALSE)</f>
        <v>ヘンペルチャレンジ</v>
      </c>
      <c r="D10" s="84" t="str">
        <f ca="1">VLOOKUP($B10,OFFSET([2]quests!$A$1,0,0,COUNTA([2]quests!$A:$A),MATCH(D$1,[2]quests!$1:$1,0)-MATCH($B$1,[2]quests!$1:$1,0)+1),MATCH(D$1,[2]quests!$1:$1,0)-MATCH($B$1,[2]quests!$1:$1,0)+1,FALSE)</f>
        <v>ランキング7</v>
      </c>
      <c r="E10" s="88" t="s">
        <v>218</v>
      </c>
      <c r="F10" s="84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4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6">
        <v>0</v>
      </c>
      <c r="I10">
        <v>10</v>
      </c>
      <c r="J10" s="85" t="s">
        <v>200</v>
      </c>
      <c r="K10" s="95" t="str">
        <f>VLOOKUP(I10,[7]stage_hints!$A:$C,3,FALSE)</f>
        <v>土日に大量のビットを獲得</v>
      </c>
      <c r="L10" s="96" t="str">
        <f>VLOOKUP(I10,[7]stage_hints!$A:$D,4,FALSE)</f>
        <v>土日限定の「ゴールドカジノ」では_x000D_売却素材ユニットが多く手に入ります</v>
      </c>
      <c r="M10" s="57" t="s">
        <v>215</v>
      </c>
    </row>
    <row r="11" spans="1:13" x14ac:dyDescent="0.15">
      <c r="A11" s="82" t="s">
        <v>203</v>
      </c>
      <c r="B11" s="83">
        <f>floors!$C$2</f>
        <v>60019</v>
      </c>
      <c r="C11" s="84" t="str">
        <f ca="1">VLOOKUP($B11,OFFSET([2]quests!$A$1,0,0,COUNTA([2]quests!$A:$A),MATCH(C$1,[2]quests!$1:$1,0)-MATCH($B$1,[2]quests!$1:$1,0)+1),MATCH(C$1,[2]quests!$1:$1,0)-MATCH($B$1,[2]quests!$1:$1,0)+1,FALSE)</f>
        <v>ヘンペルチャレンジ</v>
      </c>
      <c r="D11" s="84" t="str">
        <f ca="1">VLOOKUP($B11,OFFSET([2]quests!$A$1,0,0,COUNTA([2]quests!$A:$A),MATCH(D$1,[2]quests!$1:$1,0)-MATCH($B$1,[2]quests!$1:$1,0)+1),MATCH(D$1,[2]quests!$1:$1,0)-MATCH($B$1,[2]quests!$1:$1,0)+1,FALSE)</f>
        <v>ランキング7</v>
      </c>
      <c r="E11" s="88" t="s">
        <v>218</v>
      </c>
      <c r="F11" s="84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4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6">
        <v>0</v>
      </c>
      <c r="I11">
        <v>11</v>
      </c>
      <c r="J11" s="85" t="s">
        <v>200</v>
      </c>
      <c r="K11" s="95" t="str">
        <f>VLOOKUP(I11,[7]stage_hints!$A:$C,3,FALSE)</f>
        <v>ランク解放クエスト</v>
      </c>
      <c r="L11" s="96" t="str">
        <f>VLOOKUP(I11,[7]stage_hints!$A:$D,4,FALSE)</f>
        <v>一定ランクに到達すると_x000D_報酬付きのランク開放クエストが現れます</v>
      </c>
      <c r="M11" s="57" t="s">
        <v>215</v>
      </c>
    </row>
    <row r="12" spans="1:13" x14ac:dyDescent="0.15">
      <c r="A12" s="82" t="s">
        <v>203</v>
      </c>
      <c r="B12" s="83">
        <f>floors!$C$2</f>
        <v>60019</v>
      </c>
      <c r="C12" s="84" t="str">
        <f ca="1">VLOOKUP($B12,OFFSET([2]quests!$A$1,0,0,COUNTA([2]quests!$A:$A),MATCH(C$1,[2]quests!$1:$1,0)-MATCH($B$1,[2]quests!$1:$1,0)+1),MATCH(C$1,[2]quests!$1:$1,0)-MATCH($B$1,[2]quests!$1:$1,0)+1,FALSE)</f>
        <v>ヘンペルチャレンジ</v>
      </c>
      <c r="D12" s="84" t="str">
        <f ca="1">VLOOKUP($B12,OFFSET([2]quests!$A$1,0,0,COUNTA([2]quests!$A:$A),MATCH(D$1,[2]quests!$1:$1,0)-MATCH($B$1,[2]quests!$1:$1,0)+1),MATCH(D$1,[2]quests!$1:$1,0)-MATCH($B$1,[2]quests!$1:$1,0)+1,FALSE)</f>
        <v>ランキング7</v>
      </c>
      <c r="E12" s="88" t="s">
        <v>218</v>
      </c>
      <c r="F12" s="84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4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6">
        <v>0</v>
      </c>
      <c r="I12">
        <v>12</v>
      </c>
      <c r="J12" s="85" t="s">
        <v>200</v>
      </c>
      <c r="K12" s="95" t="str">
        <f>VLOOKUP(I12,[7]stage_hints!$A:$C,3,FALSE)</f>
        <v>ユニットのお気に入り登録</v>
      </c>
      <c r="L12" s="96" t="str">
        <f>VLOOKUP(I12,[7]stage_hints!$A:$D,4,FALSE)</f>
        <v>大事なユニットを誤って消さないように_x000D_フォルダから「お気に入り登録」しましょう</v>
      </c>
      <c r="M12" s="57" t="s">
        <v>215</v>
      </c>
    </row>
    <row r="13" spans="1:13" x14ac:dyDescent="0.15">
      <c r="A13" s="82" t="s">
        <v>203</v>
      </c>
      <c r="B13" s="83">
        <f>floors!$C$2</f>
        <v>60019</v>
      </c>
      <c r="C13" s="84" t="str">
        <f ca="1">VLOOKUP($B13,OFFSET([2]quests!$A$1,0,0,COUNTA([2]quests!$A:$A),MATCH(C$1,[2]quests!$1:$1,0)-MATCH($B$1,[2]quests!$1:$1,0)+1),MATCH(C$1,[2]quests!$1:$1,0)-MATCH($B$1,[2]quests!$1:$1,0)+1,FALSE)</f>
        <v>ヘンペルチャレンジ</v>
      </c>
      <c r="D13" s="84" t="str">
        <f ca="1">VLOOKUP($B13,OFFSET([2]quests!$A$1,0,0,COUNTA([2]quests!$A:$A),MATCH(D$1,[2]quests!$1:$1,0)-MATCH($B$1,[2]quests!$1:$1,0)+1),MATCH(D$1,[2]quests!$1:$1,0)-MATCH($B$1,[2]quests!$1:$1,0)+1,FALSE)</f>
        <v>ランキング7</v>
      </c>
      <c r="E13" s="88" t="s">
        <v>218</v>
      </c>
      <c r="F13" s="84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4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6">
        <v>0</v>
      </c>
      <c r="I13">
        <v>13</v>
      </c>
      <c r="J13" s="85" t="s">
        <v>200</v>
      </c>
      <c r="K13" s="95" t="str">
        <f>VLOOKUP(I13,[7]stage_hints!$A:$C,3,FALSE)</f>
        <v>ユニットの覚醒</v>
      </c>
      <c r="L13" s="96" t="str">
        <f>VLOOKUP(I13,[7]stage_hints!$A:$D,4,FALSE)</f>
        <v>ユニットを覚醒させると_x000D_比べものにならない強さが手に入ります</v>
      </c>
      <c r="M13" s="57" t="s">
        <v>215</v>
      </c>
    </row>
    <row r="14" spans="1:13" x14ac:dyDescent="0.15">
      <c r="A14" s="82" t="s">
        <v>203</v>
      </c>
      <c r="B14" s="83">
        <f>floors!$C$2</f>
        <v>60019</v>
      </c>
      <c r="C14" s="84" t="str">
        <f ca="1">VLOOKUP($B14,OFFSET([2]quests!$A$1,0,0,COUNTA([2]quests!$A:$A),MATCH(C$1,[2]quests!$1:$1,0)-MATCH($B$1,[2]quests!$1:$1,0)+1),MATCH(C$1,[2]quests!$1:$1,0)-MATCH($B$1,[2]quests!$1:$1,0)+1,FALSE)</f>
        <v>ヘンペルチャレンジ</v>
      </c>
      <c r="D14" s="84" t="str">
        <f ca="1">VLOOKUP($B14,OFFSET([2]quests!$A$1,0,0,COUNTA([2]quests!$A:$A),MATCH(D$1,[2]quests!$1:$1,0)-MATCH($B$1,[2]quests!$1:$1,0)+1),MATCH(D$1,[2]quests!$1:$1,0)-MATCH($B$1,[2]quests!$1:$1,0)+1,FALSE)</f>
        <v>ランキング7</v>
      </c>
      <c r="E14" s="88" t="s">
        <v>218</v>
      </c>
      <c r="F14" s="84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4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6">
        <v>0</v>
      </c>
      <c r="I14">
        <v>14</v>
      </c>
      <c r="J14" s="85" t="s">
        <v>200</v>
      </c>
      <c r="K14" s="95" t="str">
        <f>VLOOKUP(I14,[7]stage_hints!$A:$C,3,FALSE)</f>
        <v>覚醒するにはレベルを最大に</v>
      </c>
      <c r="L14" s="96" t="str">
        <f>VLOOKUP(I14,[7]stage_hints!$A:$D,4,FALSE)</f>
        <v>覚醒するにはユニットのレベルを_x000D_最大まで上げる必要があります</v>
      </c>
      <c r="M14" s="57" t="s">
        <v>215</v>
      </c>
    </row>
    <row r="15" spans="1:13" x14ac:dyDescent="0.15">
      <c r="A15" s="82" t="s">
        <v>203</v>
      </c>
      <c r="B15" s="83">
        <f>floors!$C$2</f>
        <v>60019</v>
      </c>
      <c r="C15" s="84" t="str">
        <f ca="1">VLOOKUP($B15,OFFSET([2]quests!$A$1,0,0,COUNTA([2]quests!$A:$A),MATCH(C$1,[2]quests!$1:$1,0)-MATCH($B$1,[2]quests!$1:$1,0)+1),MATCH(C$1,[2]quests!$1:$1,0)-MATCH($B$1,[2]quests!$1:$1,0)+1,FALSE)</f>
        <v>ヘンペルチャレンジ</v>
      </c>
      <c r="D15" s="84" t="str">
        <f ca="1">VLOOKUP($B15,OFFSET([2]quests!$A$1,0,0,COUNTA([2]quests!$A:$A),MATCH(D$1,[2]quests!$1:$1,0)-MATCH($B$1,[2]quests!$1:$1,0)+1),MATCH(D$1,[2]quests!$1:$1,0)-MATCH($B$1,[2]quests!$1:$1,0)+1,FALSE)</f>
        <v>ランキング7</v>
      </c>
      <c r="E15" s="88" t="s">
        <v>218</v>
      </c>
      <c r="F15" s="84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4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6">
        <v>0</v>
      </c>
      <c r="I15">
        <v>15</v>
      </c>
      <c r="J15" s="85" t="s">
        <v>200</v>
      </c>
      <c r="K15" s="95" t="str">
        <f>VLOOKUP(I15,[7]stage_hints!$A:$C,3,FALSE)</f>
        <v>覚醒素材を獲得</v>
      </c>
      <c r="L15" s="96" t="str">
        <f>VLOOKUP(I15,[7]stage_hints!$A:$D,4,FALSE)</f>
        <v>「曜日クエスト」では_x000D_ユニットの覚醒に必要な素材が手に入ります</v>
      </c>
      <c r="M15" s="57" t="s">
        <v>215</v>
      </c>
    </row>
    <row r="16" spans="1:13" x14ac:dyDescent="0.15">
      <c r="A16" s="82" t="s">
        <v>203</v>
      </c>
      <c r="B16" s="83">
        <f>floors!$C$2</f>
        <v>60019</v>
      </c>
      <c r="C16" s="84" t="str">
        <f ca="1">VLOOKUP($B16,OFFSET([2]quests!$A$1,0,0,COUNTA([2]quests!$A:$A),MATCH(C$1,[2]quests!$1:$1,0)-MATCH($B$1,[2]quests!$1:$1,0)+1),MATCH(C$1,[2]quests!$1:$1,0)-MATCH($B$1,[2]quests!$1:$1,0)+1,FALSE)</f>
        <v>ヘンペルチャレンジ</v>
      </c>
      <c r="D16" s="84" t="str">
        <f ca="1">VLOOKUP($B16,OFFSET([2]quests!$A$1,0,0,COUNTA([2]quests!$A:$A),MATCH(D$1,[2]quests!$1:$1,0)-MATCH($B$1,[2]quests!$1:$1,0)+1),MATCH(D$1,[2]quests!$1:$1,0)-MATCH($B$1,[2]quests!$1:$1,0)+1,FALSE)</f>
        <v>ランキング7</v>
      </c>
      <c r="E16" s="88" t="s">
        <v>218</v>
      </c>
      <c r="F16" s="84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4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6">
        <v>0</v>
      </c>
      <c r="I16">
        <v>16</v>
      </c>
      <c r="J16" s="85" t="s">
        <v>200</v>
      </c>
      <c r="K16" s="95" t="str">
        <f>VLOOKUP(I16,[7]stage_hints!$A:$C,3,FALSE)</f>
        <v>マルチプレイのメリット（その1）</v>
      </c>
      <c r="L16" s="96" t="str">
        <f>VLOOKUP(I16,[7]stage_hints!$A:$D,4,FALSE)</f>
        <v>他のプレイヤーとマルチプレイで遊ぶと_x000D_ポリゴンがもらえます（100人まで）</v>
      </c>
      <c r="M16" s="57" t="s">
        <v>215</v>
      </c>
    </row>
    <row r="17" spans="1:13" x14ac:dyDescent="0.15">
      <c r="A17" s="82" t="s">
        <v>203</v>
      </c>
      <c r="B17" s="83">
        <f>floors!$C$2</f>
        <v>60019</v>
      </c>
      <c r="C17" s="84" t="str">
        <f ca="1">VLOOKUP($B17,OFFSET([2]quests!$A$1,0,0,COUNTA([2]quests!$A:$A),MATCH(C$1,[2]quests!$1:$1,0)-MATCH($B$1,[2]quests!$1:$1,0)+1),MATCH(C$1,[2]quests!$1:$1,0)-MATCH($B$1,[2]quests!$1:$1,0)+1,FALSE)</f>
        <v>ヘンペルチャレンジ</v>
      </c>
      <c r="D17" s="84" t="str">
        <f ca="1">VLOOKUP($B17,OFFSET([2]quests!$A$1,0,0,COUNTA([2]quests!$A:$A),MATCH(D$1,[2]quests!$1:$1,0)-MATCH($B$1,[2]quests!$1:$1,0)+1),MATCH(D$1,[2]quests!$1:$1,0)-MATCH($B$1,[2]quests!$1:$1,0)+1,FALSE)</f>
        <v>ランキング7</v>
      </c>
      <c r="E17" s="88" t="s">
        <v>218</v>
      </c>
      <c r="F17" s="84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4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6">
        <v>0</v>
      </c>
      <c r="I17">
        <v>17</v>
      </c>
      <c r="J17" s="85" t="s">
        <v>200</v>
      </c>
      <c r="K17" s="95" t="str">
        <f>VLOOKUP(I17,[7]stage_hints!$A:$C,3,FALSE)</f>
        <v>リンクガチャ</v>
      </c>
      <c r="L17" s="96" t="str">
        <f>VLOOKUP(I17,[7]stage_hints!$A:$D,4,FALSE)</f>
        <v>無料のリンクガチャを回して_x000D_経験値素材や売却素材を獲得しましょう</v>
      </c>
      <c r="M17" s="57" t="s">
        <v>215</v>
      </c>
    </row>
    <row r="18" spans="1:13" x14ac:dyDescent="0.15">
      <c r="A18" s="82" t="s">
        <v>203</v>
      </c>
      <c r="B18" s="83">
        <f>floors!$C$2</f>
        <v>60019</v>
      </c>
      <c r="C18" s="84" t="str">
        <f ca="1">VLOOKUP($B18,OFFSET([2]quests!$A$1,0,0,COUNTA([2]quests!$A:$A),MATCH(C$1,[2]quests!$1:$1,0)-MATCH($B$1,[2]quests!$1:$1,0)+1),MATCH(C$1,[2]quests!$1:$1,0)-MATCH($B$1,[2]quests!$1:$1,0)+1,FALSE)</f>
        <v>ヘンペルチャレンジ</v>
      </c>
      <c r="D18" s="84" t="str">
        <f ca="1">VLOOKUP($B18,OFFSET([2]quests!$A$1,0,0,COUNTA([2]quests!$A:$A),MATCH(D$1,[2]quests!$1:$1,0)-MATCH($B$1,[2]quests!$1:$1,0)+1),MATCH(D$1,[2]quests!$1:$1,0)-MATCH($B$1,[2]quests!$1:$1,0)+1,FALSE)</f>
        <v>ランキング7</v>
      </c>
      <c r="E18" s="88" t="s">
        <v>218</v>
      </c>
      <c r="F18" s="84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4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6">
        <v>0</v>
      </c>
      <c r="I18">
        <v>18</v>
      </c>
      <c r="J18" s="85" t="s">
        <v>200</v>
      </c>
      <c r="K18" s="95" t="str">
        <f>VLOOKUP(I18,[7]stage_hints!$A:$C,3,FALSE)</f>
        <v>マルチプレイのメリット（その2）</v>
      </c>
      <c r="L18" s="96" t="str">
        <f>VLOOKUP(I18,[7]stage_hints!$A:$D,4,FALSE)</f>
        <v>マルチプレイならリンクが2倍もらえます_x000D_リンクガチャをたくさん回しましょう</v>
      </c>
      <c r="M18" s="57" t="s">
        <v>215</v>
      </c>
    </row>
    <row r="19" spans="1:13" x14ac:dyDescent="0.15">
      <c r="A19" s="82" t="s">
        <v>203</v>
      </c>
      <c r="B19" s="83">
        <f>floors!$C$2</f>
        <v>60019</v>
      </c>
      <c r="C19" s="84" t="str">
        <f ca="1">VLOOKUP($B19,OFFSET([2]quests!$A$1,0,0,COUNTA([2]quests!$A:$A),MATCH(C$1,[2]quests!$1:$1,0)-MATCH($B$1,[2]quests!$1:$1,0)+1),MATCH(C$1,[2]quests!$1:$1,0)-MATCH($B$1,[2]quests!$1:$1,0)+1,FALSE)</f>
        <v>ヘンペルチャレンジ</v>
      </c>
      <c r="D19" s="84" t="str">
        <f ca="1">VLOOKUP($B19,OFFSET([2]quests!$A$1,0,0,COUNTA([2]quests!$A:$A),MATCH(D$1,[2]quests!$1:$1,0)-MATCH($B$1,[2]quests!$1:$1,0)+1),MATCH(D$1,[2]quests!$1:$1,0)-MATCH($B$1,[2]quests!$1:$1,0)+1,FALSE)</f>
        <v>ランキング7</v>
      </c>
      <c r="E19" s="88" t="s">
        <v>218</v>
      </c>
      <c r="F19" s="84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4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6">
        <v>0</v>
      </c>
      <c r="I19">
        <v>19</v>
      </c>
      <c r="J19" s="85" t="s">
        <v>200</v>
      </c>
      <c r="K19" s="95" t="str">
        <f>VLOOKUP(I19,[7]stage_hints!$A:$C,3,FALSE)</f>
        <v>ソロ専用チャレンジタワー</v>
      </c>
      <c r="L19" s="96" t="str">
        <f>VLOOKUP(I19,[7]stage_hints!$A:$D,4,FALSE)</f>
        <v>ソロ専用の「チャレンジタワー」では_x000D_各フロアごとにクリア報酬がもらえます</v>
      </c>
      <c r="M19" s="57" t="s">
        <v>215</v>
      </c>
    </row>
    <row r="20" spans="1:13" x14ac:dyDescent="0.15">
      <c r="A20" s="82" t="s">
        <v>203</v>
      </c>
      <c r="B20" s="83">
        <f>floors!$C$2</f>
        <v>60019</v>
      </c>
      <c r="C20" s="84" t="str">
        <f ca="1">VLOOKUP($B20,OFFSET([2]quests!$A$1,0,0,COUNTA([2]quests!$A:$A),MATCH(C$1,[2]quests!$1:$1,0)-MATCH($B$1,[2]quests!$1:$1,0)+1),MATCH(C$1,[2]quests!$1:$1,0)-MATCH($B$1,[2]quests!$1:$1,0)+1,FALSE)</f>
        <v>ヘンペルチャレンジ</v>
      </c>
      <c r="D20" s="84" t="str">
        <f ca="1">VLOOKUP($B20,OFFSET([2]quests!$A$1,0,0,COUNTA([2]quests!$A:$A),MATCH(D$1,[2]quests!$1:$1,0)-MATCH($B$1,[2]quests!$1:$1,0)+1),MATCH(D$1,[2]quests!$1:$1,0)-MATCH($B$1,[2]quests!$1:$1,0)+1,FALSE)</f>
        <v>ランキング7</v>
      </c>
      <c r="E20" s="88" t="s">
        <v>218</v>
      </c>
      <c r="F20" s="84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4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6">
        <v>0</v>
      </c>
      <c r="I20">
        <v>20</v>
      </c>
      <c r="J20" s="85" t="s">
        <v>200</v>
      </c>
      <c r="K20" s="95" t="str">
        <f>VLOOKUP(I20,[7]stage_hints!$A:$C,3,FALSE)</f>
        <v>マルチプレイのメリット（その3）</v>
      </c>
      <c r="L20" s="96" t="str">
        <f>VLOOKUP(I20,[7]stage_hints!$A:$D,4,FALSE)</f>
        <v>マルチプレイへの参加はエナジー消費ゼロ_x000D_いつでも好きなだけ遊ぶことができます</v>
      </c>
      <c r="M20" s="57" t="s">
        <v>215</v>
      </c>
    </row>
    <row r="21" spans="1:13" x14ac:dyDescent="0.15">
      <c r="A21" s="82" t="s">
        <v>203</v>
      </c>
      <c r="B21" s="83">
        <f>floors!$C$2</f>
        <v>60019</v>
      </c>
      <c r="C21" s="84" t="str">
        <f ca="1">VLOOKUP($B21,OFFSET([2]quests!$A$1,0,0,COUNTA([2]quests!$A:$A),MATCH(C$1,[2]quests!$1:$1,0)-MATCH($B$1,[2]quests!$1:$1,0)+1),MATCH(C$1,[2]quests!$1:$1,0)-MATCH($B$1,[2]quests!$1:$1,0)+1,FALSE)</f>
        <v>ヘンペルチャレンジ</v>
      </c>
      <c r="D21" s="84" t="str">
        <f ca="1">VLOOKUP($B21,OFFSET([2]quests!$A$1,0,0,COUNTA([2]quests!$A:$A),MATCH(D$1,[2]quests!$1:$1,0)-MATCH($B$1,[2]quests!$1:$1,0)+1),MATCH(D$1,[2]quests!$1:$1,0)-MATCH($B$1,[2]quests!$1:$1,0)+1,FALSE)</f>
        <v>ランキング7</v>
      </c>
      <c r="E21" s="88" t="s">
        <v>218</v>
      </c>
      <c r="F21" s="84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4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6">
        <v>0</v>
      </c>
      <c r="I21">
        <v>21</v>
      </c>
      <c r="J21" s="85" t="s">
        <v>200</v>
      </c>
      <c r="K21" s="95" t="str">
        <f>VLOOKUP(I21,[7]stage_hints!$A:$C,3,FALSE)</f>
        <v>スキルを有効に</v>
      </c>
      <c r="L21" s="96" t="str">
        <f>VLOOKUP(I21,[7]stage_hints!$A:$D,4,FALSE)</f>
        <v>ターン経過でユニットのスキルが使えます_x000D_強力スキルでバトルを有利に進めましょう</v>
      </c>
      <c r="M21" s="57" t="s">
        <v>215</v>
      </c>
    </row>
    <row r="22" spans="1:13" x14ac:dyDescent="0.15">
      <c r="A22" s="82" t="s">
        <v>203</v>
      </c>
      <c r="B22" s="83">
        <f>floors!$C$2</f>
        <v>60019</v>
      </c>
      <c r="C22" s="84" t="str">
        <f ca="1">VLOOKUP($B22,OFFSET([2]quests!$A$1,0,0,COUNTA([2]quests!$A:$A),MATCH(C$1,[2]quests!$1:$1,0)-MATCH($B$1,[2]quests!$1:$1,0)+1),MATCH(C$1,[2]quests!$1:$1,0)-MATCH($B$1,[2]quests!$1:$1,0)+1,FALSE)</f>
        <v>ヘンペルチャレンジ</v>
      </c>
      <c r="D22" s="84" t="str">
        <f ca="1">VLOOKUP($B22,OFFSET([2]quests!$A$1,0,0,COUNTA([2]quests!$A:$A),MATCH(D$1,[2]quests!$1:$1,0)-MATCH($B$1,[2]quests!$1:$1,0)+1),MATCH(D$1,[2]quests!$1:$1,0)-MATCH($B$1,[2]quests!$1:$1,0)+1,FALSE)</f>
        <v>ランキング7</v>
      </c>
      <c r="E22" s="88" t="s">
        <v>218</v>
      </c>
      <c r="F22" s="84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4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6">
        <v>0</v>
      </c>
      <c r="I22">
        <v>22</v>
      </c>
      <c r="J22" s="85" t="s">
        <v>200</v>
      </c>
      <c r="K22" s="95" t="str">
        <f>VLOOKUP(I22,[7]stage_hints!$A:$C,3,FALSE)</f>
        <v>フィーバーで一発逆転（その1）</v>
      </c>
      <c r="L22" s="96" t="str">
        <f>VLOOKUP(I22,[7]stage_hints!$A:$D,4,FALSE)</f>
        <v>フィーバーは攻撃と回復を兼ね備えます_x000D_ピンチからの一発逆転を狙いましょう</v>
      </c>
      <c r="M22" s="57" t="s">
        <v>215</v>
      </c>
    </row>
    <row r="23" spans="1:13" x14ac:dyDescent="0.15">
      <c r="A23" s="82" t="s">
        <v>203</v>
      </c>
      <c r="B23" s="83">
        <f>floors!$C$2</f>
        <v>60019</v>
      </c>
      <c r="C23" s="84" t="str">
        <f ca="1">VLOOKUP($B23,OFFSET([2]quests!$A$1,0,0,COUNTA([2]quests!$A:$A),MATCH(C$1,[2]quests!$1:$1,0)-MATCH($B$1,[2]quests!$1:$1,0)+1),MATCH(C$1,[2]quests!$1:$1,0)-MATCH($B$1,[2]quests!$1:$1,0)+1,FALSE)</f>
        <v>ヘンペルチャレンジ</v>
      </c>
      <c r="D23" s="84" t="str">
        <f ca="1">VLOOKUP($B23,OFFSET([2]quests!$A$1,0,0,COUNTA([2]quests!$A:$A),MATCH(D$1,[2]quests!$1:$1,0)-MATCH($B$1,[2]quests!$1:$1,0)+1),MATCH(D$1,[2]quests!$1:$1,0)-MATCH($B$1,[2]quests!$1:$1,0)+1,FALSE)</f>
        <v>ランキング7</v>
      </c>
      <c r="E23" s="88" t="s">
        <v>218</v>
      </c>
      <c r="F23" s="84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4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6">
        <v>0</v>
      </c>
      <c r="I23">
        <v>23</v>
      </c>
      <c r="J23" s="85" t="s">
        <v>200</v>
      </c>
      <c r="K23" s="95" t="str">
        <f>VLOOKUP(I23,[7]stage_hints!$A:$C,3,FALSE)</f>
        <v>フィーバーで一発逆転（その2）</v>
      </c>
      <c r="L23" s="96" t="str">
        <f>VLOOKUP(I23,[7]stage_hints!$A:$D,4,FALSE)</f>
        <v>フィーバー中は虹色のボムパネルを狙って_x000D_画面上のパネルを一気に破壊しましょう</v>
      </c>
      <c r="M23" s="57" t="s">
        <v>215</v>
      </c>
    </row>
    <row r="24" spans="1:13" x14ac:dyDescent="0.15">
      <c r="A24" s="82" t="s">
        <v>203</v>
      </c>
      <c r="B24" s="83">
        <f>floors!$C$2</f>
        <v>60019</v>
      </c>
      <c r="C24" s="84" t="str">
        <f ca="1">VLOOKUP($B24,OFFSET([2]quests!$A$1,0,0,COUNTA([2]quests!$A:$A),MATCH(C$1,[2]quests!$1:$1,0)-MATCH($B$1,[2]quests!$1:$1,0)+1),MATCH(C$1,[2]quests!$1:$1,0)-MATCH($B$1,[2]quests!$1:$1,0)+1,FALSE)</f>
        <v>ヘンペルチャレンジ</v>
      </c>
      <c r="D24" s="84" t="str">
        <f ca="1">VLOOKUP($B24,OFFSET([2]quests!$A$1,0,0,COUNTA([2]quests!$A:$A),MATCH(D$1,[2]quests!$1:$1,0)-MATCH($B$1,[2]quests!$1:$1,0)+1),MATCH(D$1,[2]quests!$1:$1,0)-MATCH($B$1,[2]quests!$1:$1,0)+1,FALSE)</f>
        <v>ランキング7</v>
      </c>
      <c r="E24" s="88" t="s">
        <v>218</v>
      </c>
      <c r="F24" s="84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4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6">
        <v>0</v>
      </c>
      <c r="I24">
        <v>24</v>
      </c>
      <c r="J24" s="85" t="s">
        <v>200</v>
      </c>
      <c r="K24" s="95" t="str">
        <f>VLOOKUP(I24,[7]stage_hints!$A:$C,3,FALSE)</f>
        <v>りんごを使って限界突破</v>
      </c>
      <c r="L24" s="96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7" t="s">
        <v>215</v>
      </c>
    </row>
    <row r="25" spans="1:13" x14ac:dyDescent="0.15">
      <c r="A25" s="82" t="s">
        <v>203</v>
      </c>
      <c r="B25" s="83">
        <f>floors!$C$2</f>
        <v>60019</v>
      </c>
      <c r="C25" s="84" t="str">
        <f ca="1">VLOOKUP($B25,OFFSET([2]quests!$A$1,0,0,COUNTA([2]quests!$A:$A),MATCH(C$1,[2]quests!$1:$1,0)-MATCH($B$1,[2]quests!$1:$1,0)+1),MATCH(C$1,[2]quests!$1:$1,0)-MATCH($B$1,[2]quests!$1:$1,0)+1,FALSE)</f>
        <v>ヘンペルチャレンジ</v>
      </c>
      <c r="D25" s="84" t="str">
        <f ca="1">VLOOKUP($B25,OFFSET([2]quests!$A$1,0,0,COUNTA([2]quests!$A:$A),MATCH(D$1,[2]quests!$1:$1,0)-MATCH($B$1,[2]quests!$1:$1,0)+1),MATCH(D$1,[2]quests!$1:$1,0)-MATCH($B$1,[2]quests!$1:$1,0)+1,FALSE)</f>
        <v>ランキング7</v>
      </c>
      <c r="E25" s="88" t="s">
        <v>218</v>
      </c>
      <c r="F25" s="84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4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6">
        <v>0</v>
      </c>
      <c r="I25">
        <v>25</v>
      </c>
      <c r="J25" s="85" t="s">
        <v>200</v>
      </c>
      <c r="K25" s="95" t="str">
        <f>VLOOKUP(I25,[7]stage_hints!$A:$C,3,FALSE)</f>
        <v>スキルレベルアップ</v>
      </c>
      <c r="L25" s="96" t="str">
        <f>VLOOKUP(I25,[7]stage_hints!$A:$D,4,FALSE)</f>
        <v>「クリスタルのりんご」を強化に使うと_x000D_スキルレベルを上げることができます</v>
      </c>
      <c r="M25" s="57" t="s">
        <v>215</v>
      </c>
    </row>
    <row r="26" spans="1:13" x14ac:dyDescent="0.15">
      <c r="A26" s="82" t="s">
        <v>203</v>
      </c>
      <c r="B26" s="83">
        <f>floors!$C$2</f>
        <v>60019</v>
      </c>
      <c r="C26" s="84" t="str">
        <f ca="1">VLOOKUP($B26,OFFSET([2]quests!$A$1,0,0,COUNTA([2]quests!$A:$A),MATCH(C$1,[2]quests!$1:$1,0)-MATCH($B$1,[2]quests!$1:$1,0)+1),MATCH(C$1,[2]quests!$1:$1,0)-MATCH($B$1,[2]quests!$1:$1,0)+1,FALSE)</f>
        <v>ヘンペルチャレンジ</v>
      </c>
      <c r="D26" s="84" t="str">
        <f ca="1">VLOOKUP($B26,OFFSET([2]quests!$A$1,0,0,COUNTA([2]quests!$A:$A),MATCH(D$1,[2]quests!$1:$1,0)-MATCH($B$1,[2]quests!$1:$1,0)+1),MATCH(D$1,[2]quests!$1:$1,0)-MATCH($B$1,[2]quests!$1:$1,0)+1,FALSE)</f>
        <v>ランキング7</v>
      </c>
      <c r="E26" s="88" t="s">
        <v>218</v>
      </c>
      <c r="F26" s="84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4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6">
        <v>0</v>
      </c>
      <c r="I26">
        <v>26</v>
      </c>
      <c r="J26" s="85" t="s">
        <v>200</v>
      </c>
      <c r="K26" s="95" t="str">
        <f>VLOOKUP(I26,[7]stage_hints!$A:$C,3,FALSE)</f>
        <v>スキルレベルの効果</v>
      </c>
      <c r="L26" s="96" t="str">
        <f>VLOOKUP(I26,[7]stage_hints!$A:$D,4,FALSE)</f>
        <v>スキルレベルが上がると_x000D_短いターンでスキルを使うことができます</v>
      </c>
      <c r="M26" s="57" t="s">
        <v>215</v>
      </c>
    </row>
    <row r="27" spans="1:13" x14ac:dyDescent="0.15">
      <c r="A27" s="82" t="s">
        <v>203</v>
      </c>
      <c r="B27" s="83">
        <f>floors!$C$2</f>
        <v>60019</v>
      </c>
      <c r="C27" s="84" t="str">
        <f ca="1">VLOOKUP($B27,OFFSET([2]quests!$A$1,0,0,COUNTA([2]quests!$A:$A),MATCH(C$1,[2]quests!$1:$1,0)-MATCH($B$1,[2]quests!$1:$1,0)+1),MATCH(C$1,[2]quests!$1:$1,0)-MATCH($B$1,[2]quests!$1:$1,0)+1,FALSE)</f>
        <v>ヘンペルチャレンジ</v>
      </c>
      <c r="D27" s="84" t="str">
        <f ca="1">VLOOKUP($B27,OFFSET([2]quests!$A$1,0,0,COUNTA([2]quests!$A:$A),MATCH(D$1,[2]quests!$1:$1,0)-MATCH($B$1,[2]quests!$1:$1,0)+1),MATCH(D$1,[2]quests!$1:$1,0)-MATCH($B$1,[2]quests!$1:$1,0)+1,FALSE)</f>
        <v>ランキング7</v>
      </c>
      <c r="E27" s="88" t="s">
        <v>218</v>
      </c>
      <c r="F27" s="84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4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6">
        <v>0</v>
      </c>
      <c r="I27">
        <v>39</v>
      </c>
      <c r="J27" s="85" t="s">
        <v>200</v>
      </c>
      <c r="K27" s="95" t="str">
        <f>VLOOKUP(I27,[7]stage_hints!$A:$C,3,FALSE)</f>
        <v>システム適合者を確認</v>
      </c>
      <c r="L27" s="96" t="str">
        <f>VLOOKUP(I27,[7]stage_hints!$A:$D,4,FALSE)</f>
        <v>ALICEが 「アナタ」を呼んでいます</v>
      </c>
      <c r="M27" s="57" t="s">
        <v>215</v>
      </c>
    </row>
    <row r="28" spans="1:13" x14ac:dyDescent="0.15">
      <c r="A28" s="82" t="s">
        <v>203</v>
      </c>
      <c r="B28" s="83">
        <f>floors!$C$2</f>
        <v>60019</v>
      </c>
      <c r="C28" s="84" t="str">
        <f ca="1">VLOOKUP($B28,OFFSET([2]quests!$A$1,0,0,COUNTA([2]quests!$A:$A),MATCH(C$1,[2]quests!$1:$1,0)-MATCH($B$1,[2]quests!$1:$1,0)+1),MATCH(C$1,[2]quests!$1:$1,0)-MATCH($B$1,[2]quests!$1:$1,0)+1,FALSE)</f>
        <v>ヘンペルチャレンジ</v>
      </c>
      <c r="D28" s="84" t="str">
        <f ca="1">VLOOKUP($B28,OFFSET([2]quests!$A$1,0,0,COUNTA([2]quests!$A:$A),MATCH(D$1,[2]quests!$1:$1,0)-MATCH($B$1,[2]quests!$1:$1,0)+1),MATCH(D$1,[2]quests!$1:$1,0)-MATCH($B$1,[2]quests!$1:$1,0)+1,FALSE)</f>
        <v>ランキング7</v>
      </c>
      <c r="E28" s="88" t="s">
        <v>219</v>
      </c>
      <c r="F28" s="84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4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6">
        <v>0</v>
      </c>
      <c r="I28">
        <v>3</v>
      </c>
      <c r="J28" s="85" t="s">
        <v>200</v>
      </c>
      <c r="K28" s="95" t="str">
        <f>VLOOKUP(I28,[7]stage_hints!$A:$C,3,FALSE)</f>
        <v>ターゲット</v>
      </c>
      <c r="L28" s="96" t="str">
        <f>VLOOKUP(I28,[7]stage_hints!$A:$D,4,FALSE)</f>
        <v>敵ユニットをタップすると_x000D_その敵を狙い撃ちできます</v>
      </c>
      <c r="M28" s="57" t="s">
        <v>215</v>
      </c>
    </row>
    <row r="29" spans="1:13" x14ac:dyDescent="0.15">
      <c r="A29" s="82" t="s">
        <v>203</v>
      </c>
      <c r="B29" s="83">
        <f>floors!$C$2</f>
        <v>60019</v>
      </c>
      <c r="C29" s="84" t="str">
        <f ca="1">VLOOKUP($B29,OFFSET([2]quests!$A$1,0,0,COUNTA([2]quests!$A:$A),MATCH(C$1,[2]quests!$1:$1,0)-MATCH($B$1,[2]quests!$1:$1,0)+1),MATCH(C$1,[2]quests!$1:$1,0)-MATCH($B$1,[2]quests!$1:$1,0)+1,FALSE)</f>
        <v>ヘンペルチャレンジ</v>
      </c>
      <c r="D29" s="84" t="str">
        <f ca="1">VLOOKUP($B29,OFFSET([2]quests!$A$1,0,0,COUNTA([2]quests!$A:$A),MATCH(D$1,[2]quests!$1:$1,0)-MATCH($B$1,[2]quests!$1:$1,0)+1),MATCH(D$1,[2]quests!$1:$1,0)-MATCH($B$1,[2]quests!$1:$1,0)+1,FALSE)</f>
        <v>ランキング7</v>
      </c>
      <c r="E29" s="88" t="s">
        <v>219</v>
      </c>
      <c r="F29" s="84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4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6">
        <v>0</v>
      </c>
      <c r="I29">
        <v>6</v>
      </c>
      <c r="J29" s="85" t="s">
        <v>200</v>
      </c>
      <c r="K29" s="95" t="str">
        <f>VLOOKUP(I29,[7]stage_hints!$A:$C,3,FALSE)</f>
        <v>ユニット強化の属性ボーナス</v>
      </c>
      <c r="L29" s="96" t="str">
        <f>VLOOKUP(I29,[7]stage_hints!$A:$D,4,FALSE)</f>
        <v>同属性ユニットを強化素材にすると_x000D_経験値が多くもらえます</v>
      </c>
      <c r="M29" s="57" t="s">
        <v>215</v>
      </c>
    </row>
    <row r="30" spans="1:13" x14ac:dyDescent="0.15">
      <c r="A30" s="82" t="s">
        <v>203</v>
      </c>
      <c r="B30" s="83">
        <f>floors!$C$2</f>
        <v>60019</v>
      </c>
      <c r="C30" s="84" t="str">
        <f ca="1">VLOOKUP($B30,OFFSET([2]quests!$A$1,0,0,COUNTA([2]quests!$A:$A),MATCH(C$1,[2]quests!$1:$1,0)-MATCH($B$1,[2]quests!$1:$1,0)+1),MATCH(C$1,[2]quests!$1:$1,0)-MATCH($B$1,[2]quests!$1:$1,0)+1,FALSE)</f>
        <v>ヘンペルチャレンジ</v>
      </c>
      <c r="D30" s="84" t="str">
        <f ca="1">VLOOKUP($B30,OFFSET([2]quests!$A$1,0,0,COUNTA([2]quests!$A:$A),MATCH(D$1,[2]quests!$1:$1,0)-MATCH($B$1,[2]quests!$1:$1,0)+1),MATCH(D$1,[2]quests!$1:$1,0)-MATCH($B$1,[2]quests!$1:$1,0)+1,FALSE)</f>
        <v>ランキング7</v>
      </c>
      <c r="E30" s="88" t="s">
        <v>219</v>
      </c>
      <c r="F30" s="84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4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6">
        <v>0</v>
      </c>
      <c r="I30">
        <v>7</v>
      </c>
      <c r="J30" s="85" t="s">
        <v>200</v>
      </c>
      <c r="K30" s="95" t="str">
        <f>VLOOKUP(I30,[7]stage_hints!$A:$C,3,FALSE)</f>
        <v>メタルダックで経験値を獲得</v>
      </c>
      <c r="L30" s="96" t="str">
        <f>VLOOKUP(I30,[7]stage_hints!$A:$D,4,FALSE)</f>
        <v>「メタルなアヒル」を強化素材にすると_x000D_大量の経験値がもらえます</v>
      </c>
      <c r="M30" s="57" t="s">
        <v>215</v>
      </c>
    </row>
    <row r="31" spans="1:13" x14ac:dyDescent="0.15">
      <c r="A31" s="82" t="s">
        <v>203</v>
      </c>
      <c r="B31" s="83">
        <f>floors!$C$2</f>
        <v>60019</v>
      </c>
      <c r="C31" s="84" t="str">
        <f ca="1">VLOOKUP($B31,OFFSET([2]quests!$A$1,0,0,COUNTA([2]quests!$A:$A),MATCH(C$1,[2]quests!$1:$1,0)-MATCH($B$1,[2]quests!$1:$1,0)+1),MATCH(C$1,[2]quests!$1:$1,0)-MATCH($B$1,[2]quests!$1:$1,0)+1,FALSE)</f>
        <v>ヘンペルチャレンジ</v>
      </c>
      <c r="D31" s="84" t="str">
        <f ca="1">VLOOKUP($B31,OFFSET([2]quests!$A$1,0,0,COUNTA([2]quests!$A:$A),MATCH(D$1,[2]quests!$1:$1,0)-MATCH($B$1,[2]quests!$1:$1,0)+1),MATCH(D$1,[2]quests!$1:$1,0)-MATCH($B$1,[2]quests!$1:$1,0)+1,FALSE)</f>
        <v>ランキング7</v>
      </c>
      <c r="E31" s="88" t="s">
        <v>219</v>
      </c>
      <c r="F31" s="84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4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6">
        <v>0</v>
      </c>
      <c r="I31">
        <v>8</v>
      </c>
      <c r="J31" s="85" t="s">
        <v>200</v>
      </c>
      <c r="K31" s="95" t="str">
        <f>VLOOKUP(I31,[7]stage_hints!$A:$C,3,FALSE)</f>
        <v>ゲリラクエストは要チェック</v>
      </c>
      <c r="L31" s="96" t="str">
        <f>VLOOKUP(I31,[7]stage_hints!$A:$D,4,FALSE)</f>
        <v>時間限定の「アヒル捕獲作戦」では_x000D_経験値素材ユニットが多く手に入ります</v>
      </c>
      <c r="M31" s="57" t="s">
        <v>215</v>
      </c>
    </row>
    <row r="32" spans="1:13" x14ac:dyDescent="0.15">
      <c r="A32" s="82" t="s">
        <v>203</v>
      </c>
      <c r="B32" s="83">
        <f>floors!$C$2</f>
        <v>60019</v>
      </c>
      <c r="C32" s="84" t="str">
        <f ca="1">VLOOKUP($B32,OFFSET([2]quests!$A$1,0,0,COUNTA([2]quests!$A:$A),MATCH(C$1,[2]quests!$1:$1,0)-MATCH($B$1,[2]quests!$1:$1,0)+1),MATCH(C$1,[2]quests!$1:$1,0)-MATCH($B$1,[2]quests!$1:$1,0)+1,FALSE)</f>
        <v>ヘンペルチャレンジ</v>
      </c>
      <c r="D32" s="84" t="str">
        <f ca="1">VLOOKUP($B32,OFFSET([2]quests!$A$1,0,0,COUNTA([2]quests!$A:$A),MATCH(D$1,[2]quests!$1:$1,0)-MATCH($B$1,[2]quests!$1:$1,0)+1),MATCH(D$1,[2]quests!$1:$1,0)-MATCH($B$1,[2]quests!$1:$1,0)+1,FALSE)</f>
        <v>ランキング7</v>
      </c>
      <c r="E32" s="88" t="s">
        <v>219</v>
      </c>
      <c r="F32" s="84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4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6">
        <v>0</v>
      </c>
      <c r="I32">
        <v>9</v>
      </c>
      <c r="J32" s="85" t="s">
        <v>200</v>
      </c>
      <c r="K32" s="95" t="str">
        <f>VLOOKUP(I32,[7]stage_hints!$A:$C,3,FALSE)</f>
        <v>ゴールドダックでビットを獲得</v>
      </c>
      <c r="L32" s="96" t="str">
        <f>VLOOKUP(I32,[7]stage_hints!$A:$D,4,FALSE)</f>
        <v>「ゴールドなアヒル」を売却すると_x000D_大量のビットがもらえます</v>
      </c>
      <c r="M32" s="57" t="s">
        <v>215</v>
      </c>
    </row>
    <row r="33" spans="1:13" x14ac:dyDescent="0.15">
      <c r="A33" s="82" t="s">
        <v>203</v>
      </c>
      <c r="B33" s="83">
        <f>floors!$C$2</f>
        <v>60019</v>
      </c>
      <c r="C33" s="84" t="str">
        <f ca="1">VLOOKUP($B33,OFFSET([2]quests!$A$1,0,0,COUNTA([2]quests!$A:$A),MATCH(C$1,[2]quests!$1:$1,0)-MATCH($B$1,[2]quests!$1:$1,0)+1),MATCH(C$1,[2]quests!$1:$1,0)-MATCH($B$1,[2]quests!$1:$1,0)+1,FALSE)</f>
        <v>ヘンペルチャレンジ</v>
      </c>
      <c r="D33" s="84" t="str">
        <f ca="1">VLOOKUP($B33,OFFSET([2]quests!$A$1,0,0,COUNTA([2]quests!$A:$A),MATCH(D$1,[2]quests!$1:$1,0)-MATCH($B$1,[2]quests!$1:$1,0)+1),MATCH(D$1,[2]quests!$1:$1,0)-MATCH($B$1,[2]quests!$1:$1,0)+1,FALSE)</f>
        <v>ランキング7</v>
      </c>
      <c r="E33" s="88" t="s">
        <v>219</v>
      </c>
      <c r="F33" s="84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4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6">
        <v>0</v>
      </c>
      <c r="I33">
        <v>10</v>
      </c>
      <c r="J33" s="85" t="s">
        <v>200</v>
      </c>
      <c r="K33" s="95" t="str">
        <f>VLOOKUP(I33,[7]stage_hints!$A:$C,3,FALSE)</f>
        <v>土日に大量のビットを獲得</v>
      </c>
      <c r="L33" s="96" t="str">
        <f>VLOOKUP(I33,[7]stage_hints!$A:$D,4,FALSE)</f>
        <v>土日限定の「ゴールドカジノ」では_x000D_売却素材ユニットが多く手に入ります</v>
      </c>
      <c r="M33" s="57" t="s">
        <v>215</v>
      </c>
    </row>
    <row r="34" spans="1:13" x14ac:dyDescent="0.15">
      <c r="A34" s="82" t="s">
        <v>203</v>
      </c>
      <c r="B34" s="83">
        <f>floors!$C$2</f>
        <v>60019</v>
      </c>
      <c r="C34" s="84" t="str">
        <f ca="1">VLOOKUP($B34,OFFSET([2]quests!$A$1,0,0,COUNTA([2]quests!$A:$A),MATCH(C$1,[2]quests!$1:$1,0)-MATCH($B$1,[2]quests!$1:$1,0)+1),MATCH(C$1,[2]quests!$1:$1,0)-MATCH($B$1,[2]quests!$1:$1,0)+1,FALSE)</f>
        <v>ヘンペルチャレンジ</v>
      </c>
      <c r="D34" s="84" t="str">
        <f ca="1">VLOOKUP($B34,OFFSET([2]quests!$A$1,0,0,COUNTA([2]quests!$A:$A),MATCH(D$1,[2]quests!$1:$1,0)-MATCH($B$1,[2]quests!$1:$1,0)+1),MATCH(D$1,[2]quests!$1:$1,0)-MATCH($B$1,[2]quests!$1:$1,0)+1,FALSE)</f>
        <v>ランキング7</v>
      </c>
      <c r="E34" s="88" t="s">
        <v>219</v>
      </c>
      <c r="F34" s="84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4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6">
        <v>0</v>
      </c>
      <c r="I34">
        <v>11</v>
      </c>
      <c r="J34" s="85" t="s">
        <v>200</v>
      </c>
      <c r="K34" s="95" t="str">
        <f>VLOOKUP(I34,[7]stage_hints!$A:$C,3,FALSE)</f>
        <v>ランク解放クエスト</v>
      </c>
      <c r="L34" s="96" t="str">
        <f>VLOOKUP(I34,[7]stage_hints!$A:$D,4,FALSE)</f>
        <v>一定ランクに到達すると_x000D_報酬付きのランク開放クエストが現れます</v>
      </c>
      <c r="M34" s="57" t="s">
        <v>215</v>
      </c>
    </row>
    <row r="35" spans="1:13" x14ac:dyDescent="0.15">
      <c r="A35" s="82" t="s">
        <v>203</v>
      </c>
      <c r="B35" s="83">
        <f>floors!$C$2</f>
        <v>60019</v>
      </c>
      <c r="C35" s="84" t="str">
        <f ca="1">VLOOKUP($B35,OFFSET([2]quests!$A$1,0,0,COUNTA([2]quests!$A:$A),MATCH(C$1,[2]quests!$1:$1,0)-MATCH($B$1,[2]quests!$1:$1,0)+1),MATCH(C$1,[2]quests!$1:$1,0)-MATCH($B$1,[2]quests!$1:$1,0)+1,FALSE)</f>
        <v>ヘンペルチャレンジ</v>
      </c>
      <c r="D35" s="84" t="str">
        <f ca="1">VLOOKUP($B35,OFFSET([2]quests!$A$1,0,0,COUNTA([2]quests!$A:$A),MATCH(D$1,[2]quests!$1:$1,0)-MATCH($B$1,[2]quests!$1:$1,0)+1),MATCH(D$1,[2]quests!$1:$1,0)-MATCH($B$1,[2]quests!$1:$1,0)+1,FALSE)</f>
        <v>ランキング7</v>
      </c>
      <c r="E35" s="88" t="s">
        <v>219</v>
      </c>
      <c r="F35" s="84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4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6">
        <v>0</v>
      </c>
      <c r="I35">
        <v>12</v>
      </c>
      <c r="J35" s="85" t="s">
        <v>200</v>
      </c>
      <c r="K35" s="95" t="str">
        <f>VLOOKUP(I35,[7]stage_hints!$A:$C,3,FALSE)</f>
        <v>ユニットのお気に入り登録</v>
      </c>
      <c r="L35" s="96" t="str">
        <f>VLOOKUP(I35,[7]stage_hints!$A:$D,4,FALSE)</f>
        <v>大事なユニットを誤って消さないように_x000D_フォルダから「お気に入り登録」しましょう</v>
      </c>
      <c r="M35" s="57" t="s">
        <v>215</v>
      </c>
    </row>
    <row r="36" spans="1:13" x14ac:dyDescent="0.15">
      <c r="A36" s="82" t="s">
        <v>203</v>
      </c>
      <c r="B36" s="83">
        <f>floors!$C$2</f>
        <v>60019</v>
      </c>
      <c r="C36" s="84" t="str">
        <f ca="1">VLOOKUP($B36,OFFSET([2]quests!$A$1,0,0,COUNTA([2]quests!$A:$A),MATCH(C$1,[2]quests!$1:$1,0)-MATCH($B$1,[2]quests!$1:$1,0)+1),MATCH(C$1,[2]quests!$1:$1,0)-MATCH($B$1,[2]quests!$1:$1,0)+1,FALSE)</f>
        <v>ヘンペルチャレンジ</v>
      </c>
      <c r="D36" s="84" t="str">
        <f ca="1">VLOOKUP($B36,OFFSET([2]quests!$A$1,0,0,COUNTA([2]quests!$A:$A),MATCH(D$1,[2]quests!$1:$1,0)-MATCH($B$1,[2]quests!$1:$1,0)+1),MATCH(D$1,[2]quests!$1:$1,0)-MATCH($B$1,[2]quests!$1:$1,0)+1,FALSE)</f>
        <v>ランキング7</v>
      </c>
      <c r="E36" s="88" t="s">
        <v>219</v>
      </c>
      <c r="F36" s="84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4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6">
        <v>0</v>
      </c>
      <c r="I36">
        <v>13</v>
      </c>
      <c r="J36" s="85" t="s">
        <v>200</v>
      </c>
      <c r="K36" s="95" t="str">
        <f>VLOOKUP(I36,[7]stage_hints!$A:$C,3,FALSE)</f>
        <v>ユニットの覚醒</v>
      </c>
      <c r="L36" s="96" t="str">
        <f>VLOOKUP(I36,[7]stage_hints!$A:$D,4,FALSE)</f>
        <v>ユニットを覚醒させると_x000D_比べものにならない強さが手に入ります</v>
      </c>
      <c r="M36" s="57" t="s">
        <v>215</v>
      </c>
    </row>
    <row r="37" spans="1:13" x14ac:dyDescent="0.15">
      <c r="A37" s="82" t="s">
        <v>203</v>
      </c>
      <c r="B37" s="83">
        <f>floors!$C$2</f>
        <v>60019</v>
      </c>
      <c r="C37" s="84" t="str">
        <f ca="1">VLOOKUP($B37,OFFSET([2]quests!$A$1,0,0,COUNTA([2]quests!$A:$A),MATCH(C$1,[2]quests!$1:$1,0)-MATCH($B$1,[2]quests!$1:$1,0)+1),MATCH(C$1,[2]quests!$1:$1,0)-MATCH($B$1,[2]quests!$1:$1,0)+1,FALSE)</f>
        <v>ヘンペルチャレンジ</v>
      </c>
      <c r="D37" s="84" t="str">
        <f ca="1">VLOOKUP($B37,OFFSET([2]quests!$A$1,0,0,COUNTA([2]quests!$A:$A),MATCH(D$1,[2]quests!$1:$1,0)-MATCH($B$1,[2]quests!$1:$1,0)+1),MATCH(D$1,[2]quests!$1:$1,0)-MATCH($B$1,[2]quests!$1:$1,0)+1,FALSE)</f>
        <v>ランキング7</v>
      </c>
      <c r="E37" s="88" t="s">
        <v>219</v>
      </c>
      <c r="F37" s="84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4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6">
        <v>0</v>
      </c>
      <c r="I37">
        <v>14</v>
      </c>
      <c r="J37" s="85" t="s">
        <v>200</v>
      </c>
      <c r="K37" s="95" t="str">
        <f>VLOOKUP(I37,[7]stage_hints!$A:$C,3,FALSE)</f>
        <v>覚醒するにはレベルを最大に</v>
      </c>
      <c r="L37" s="96" t="str">
        <f>VLOOKUP(I37,[7]stage_hints!$A:$D,4,FALSE)</f>
        <v>覚醒するにはユニットのレベルを_x000D_最大まで上げる必要があります</v>
      </c>
      <c r="M37" s="57" t="s">
        <v>215</v>
      </c>
    </row>
    <row r="38" spans="1:13" x14ac:dyDescent="0.15">
      <c r="A38" s="82" t="s">
        <v>203</v>
      </c>
      <c r="B38" s="83">
        <f>floors!$C$2</f>
        <v>60019</v>
      </c>
      <c r="C38" s="84" t="str">
        <f ca="1">VLOOKUP($B38,OFFSET([2]quests!$A$1,0,0,COUNTA([2]quests!$A:$A),MATCH(C$1,[2]quests!$1:$1,0)-MATCH($B$1,[2]quests!$1:$1,0)+1),MATCH(C$1,[2]quests!$1:$1,0)-MATCH($B$1,[2]quests!$1:$1,0)+1,FALSE)</f>
        <v>ヘンペルチャレンジ</v>
      </c>
      <c r="D38" s="84" t="str">
        <f ca="1">VLOOKUP($B38,OFFSET([2]quests!$A$1,0,0,COUNTA([2]quests!$A:$A),MATCH(D$1,[2]quests!$1:$1,0)-MATCH($B$1,[2]quests!$1:$1,0)+1),MATCH(D$1,[2]quests!$1:$1,0)-MATCH($B$1,[2]quests!$1:$1,0)+1,FALSE)</f>
        <v>ランキング7</v>
      </c>
      <c r="E38" s="88" t="s">
        <v>219</v>
      </c>
      <c r="F38" s="84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4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6">
        <v>0</v>
      </c>
      <c r="I38">
        <v>15</v>
      </c>
      <c r="J38" s="85" t="s">
        <v>200</v>
      </c>
      <c r="K38" s="95" t="str">
        <f>VLOOKUP(I38,[7]stage_hints!$A:$C,3,FALSE)</f>
        <v>覚醒素材を獲得</v>
      </c>
      <c r="L38" s="96" t="str">
        <f>VLOOKUP(I38,[7]stage_hints!$A:$D,4,FALSE)</f>
        <v>「曜日クエスト」では_x000D_ユニットの覚醒に必要な素材が手に入ります</v>
      </c>
      <c r="M38" s="57" t="s">
        <v>215</v>
      </c>
    </row>
    <row r="39" spans="1:13" x14ac:dyDescent="0.15">
      <c r="A39" s="82" t="s">
        <v>203</v>
      </c>
      <c r="B39" s="83">
        <f>floors!$C$2</f>
        <v>60019</v>
      </c>
      <c r="C39" s="84" t="str">
        <f ca="1">VLOOKUP($B39,OFFSET([2]quests!$A$1,0,0,COUNTA([2]quests!$A:$A),MATCH(C$1,[2]quests!$1:$1,0)-MATCH($B$1,[2]quests!$1:$1,0)+1),MATCH(C$1,[2]quests!$1:$1,0)-MATCH($B$1,[2]quests!$1:$1,0)+1,FALSE)</f>
        <v>ヘンペルチャレンジ</v>
      </c>
      <c r="D39" s="84" t="str">
        <f ca="1">VLOOKUP($B39,OFFSET([2]quests!$A$1,0,0,COUNTA([2]quests!$A:$A),MATCH(D$1,[2]quests!$1:$1,0)-MATCH($B$1,[2]quests!$1:$1,0)+1),MATCH(D$1,[2]quests!$1:$1,0)-MATCH($B$1,[2]quests!$1:$1,0)+1,FALSE)</f>
        <v>ランキング7</v>
      </c>
      <c r="E39" s="88" t="s">
        <v>219</v>
      </c>
      <c r="F39" s="84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4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6">
        <v>0</v>
      </c>
      <c r="I39">
        <v>16</v>
      </c>
      <c r="J39" s="85" t="s">
        <v>200</v>
      </c>
      <c r="K39" s="95" t="str">
        <f>VLOOKUP(I39,[7]stage_hints!$A:$C,3,FALSE)</f>
        <v>マルチプレイのメリット（その1）</v>
      </c>
      <c r="L39" s="96" t="str">
        <f>VLOOKUP(I39,[7]stage_hints!$A:$D,4,FALSE)</f>
        <v>他のプレイヤーとマルチプレイで遊ぶと_x000D_ポリゴンがもらえます（100人まで）</v>
      </c>
      <c r="M39" s="57" t="s">
        <v>215</v>
      </c>
    </row>
    <row r="40" spans="1:13" x14ac:dyDescent="0.15">
      <c r="A40" s="82" t="s">
        <v>203</v>
      </c>
      <c r="B40" s="83">
        <f>floors!$C$2</f>
        <v>60019</v>
      </c>
      <c r="C40" s="84" t="str">
        <f ca="1">VLOOKUP($B40,OFFSET([2]quests!$A$1,0,0,COUNTA([2]quests!$A:$A),MATCH(C$1,[2]quests!$1:$1,0)-MATCH($B$1,[2]quests!$1:$1,0)+1),MATCH(C$1,[2]quests!$1:$1,0)-MATCH($B$1,[2]quests!$1:$1,0)+1,FALSE)</f>
        <v>ヘンペルチャレンジ</v>
      </c>
      <c r="D40" s="84" t="str">
        <f ca="1">VLOOKUP($B40,OFFSET([2]quests!$A$1,0,0,COUNTA([2]quests!$A:$A),MATCH(D$1,[2]quests!$1:$1,0)-MATCH($B$1,[2]quests!$1:$1,0)+1),MATCH(D$1,[2]quests!$1:$1,0)-MATCH($B$1,[2]quests!$1:$1,0)+1,FALSE)</f>
        <v>ランキング7</v>
      </c>
      <c r="E40" s="88" t="s">
        <v>219</v>
      </c>
      <c r="F40" s="84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4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6">
        <v>0</v>
      </c>
      <c r="I40">
        <v>17</v>
      </c>
      <c r="J40" s="85" t="s">
        <v>200</v>
      </c>
      <c r="K40" s="95" t="str">
        <f>VLOOKUP(I40,[7]stage_hints!$A:$C,3,FALSE)</f>
        <v>リンクガチャ</v>
      </c>
      <c r="L40" s="96" t="str">
        <f>VLOOKUP(I40,[7]stage_hints!$A:$D,4,FALSE)</f>
        <v>無料のリンクガチャを回して_x000D_経験値素材や売却素材を獲得しましょう</v>
      </c>
      <c r="M40" s="57" t="s">
        <v>215</v>
      </c>
    </row>
    <row r="41" spans="1:13" x14ac:dyDescent="0.15">
      <c r="A41" s="82" t="s">
        <v>203</v>
      </c>
      <c r="B41" s="83">
        <f>floors!$C$2</f>
        <v>60019</v>
      </c>
      <c r="C41" s="84" t="str">
        <f ca="1">VLOOKUP($B41,OFFSET([2]quests!$A$1,0,0,COUNTA([2]quests!$A:$A),MATCH(C$1,[2]quests!$1:$1,0)-MATCH($B$1,[2]quests!$1:$1,0)+1),MATCH(C$1,[2]quests!$1:$1,0)-MATCH($B$1,[2]quests!$1:$1,0)+1,FALSE)</f>
        <v>ヘンペルチャレンジ</v>
      </c>
      <c r="D41" s="84" t="str">
        <f ca="1">VLOOKUP($B41,OFFSET([2]quests!$A$1,0,0,COUNTA([2]quests!$A:$A),MATCH(D$1,[2]quests!$1:$1,0)-MATCH($B$1,[2]quests!$1:$1,0)+1),MATCH(D$1,[2]quests!$1:$1,0)-MATCH($B$1,[2]quests!$1:$1,0)+1,FALSE)</f>
        <v>ランキング7</v>
      </c>
      <c r="E41" s="88" t="s">
        <v>219</v>
      </c>
      <c r="F41" s="84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4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6">
        <v>0</v>
      </c>
      <c r="I41">
        <v>18</v>
      </c>
      <c r="J41" s="85" t="s">
        <v>200</v>
      </c>
      <c r="K41" s="95" t="str">
        <f>VLOOKUP(I41,[7]stage_hints!$A:$C,3,FALSE)</f>
        <v>マルチプレイのメリット（その2）</v>
      </c>
      <c r="L41" s="96" t="str">
        <f>VLOOKUP(I41,[7]stage_hints!$A:$D,4,FALSE)</f>
        <v>マルチプレイならリンクが2倍もらえます_x000D_リンクガチャをたくさん回しましょう</v>
      </c>
      <c r="M41" s="57" t="s">
        <v>215</v>
      </c>
    </row>
    <row r="42" spans="1:13" x14ac:dyDescent="0.15">
      <c r="A42" s="82" t="s">
        <v>203</v>
      </c>
      <c r="B42" s="83">
        <f>floors!$C$2</f>
        <v>60019</v>
      </c>
      <c r="C42" s="84" t="str">
        <f ca="1">VLOOKUP($B42,OFFSET([2]quests!$A$1,0,0,COUNTA([2]quests!$A:$A),MATCH(C$1,[2]quests!$1:$1,0)-MATCH($B$1,[2]quests!$1:$1,0)+1),MATCH(C$1,[2]quests!$1:$1,0)-MATCH($B$1,[2]quests!$1:$1,0)+1,FALSE)</f>
        <v>ヘンペルチャレンジ</v>
      </c>
      <c r="D42" s="84" t="str">
        <f ca="1">VLOOKUP($B42,OFFSET([2]quests!$A$1,0,0,COUNTA([2]quests!$A:$A),MATCH(D$1,[2]quests!$1:$1,0)-MATCH($B$1,[2]quests!$1:$1,0)+1),MATCH(D$1,[2]quests!$1:$1,0)-MATCH($B$1,[2]quests!$1:$1,0)+1,FALSE)</f>
        <v>ランキング7</v>
      </c>
      <c r="E42" s="88" t="s">
        <v>219</v>
      </c>
      <c r="F42" s="84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4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6">
        <v>0</v>
      </c>
      <c r="I42">
        <v>19</v>
      </c>
      <c r="J42" s="85" t="s">
        <v>200</v>
      </c>
      <c r="K42" s="95" t="str">
        <f>VLOOKUP(I42,[7]stage_hints!$A:$C,3,FALSE)</f>
        <v>ソロ専用チャレンジタワー</v>
      </c>
      <c r="L42" s="96" t="str">
        <f>VLOOKUP(I42,[7]stage_hints!$A:$D,4,FALSE)</f>
        <v>ソロ専用の「チャレンジタワー」では_x000D_各フロアごとにクリア報酬がもらえます</v>
      </c>
      <c r="M42" s="57" t="s">
        <v>215</v>
      </c>
    </row>
    <row r="43" spans="1:13" x14ac:dyDescent="0.15">
      <c r="A43" s="82" t="s">
        <v>203</v>
      </c>
      <c r="B43" s="83">
        <f>floors!$C$2</f>
        <v>60019</v>
      </c>
      <c r="C43" s="84" t="str">
        <f ca="1">VLOOKUP($B43,OFFSET([2]quests!$A$1,0,0,COUNTA([2]quests!$A:$A),MATCH(C$1,[2]quests!$1:$1,0)-MATCH($B$1,[2]quests!$1:$1,0)+1),MATCH(C$1,[2]quests!$1:$1,0)-MATCH($B$1,[2]quests!$1:$1,0)+1,FALSE)</f>
        <v>ヘンペルチャレンジ</v>
      </c>
      <c r="D43" s="84" t="str">
        <f ca="1">VLOOKUP($B43,OFFSET([2]quests!$A$1,0,0,COUNTA([2]quests!$A:$A),MATCH(D$1,[2]quests!$1:$1,0)-MATCH($B$1,[2]quests!$1:$1,0)+1),MATCH(D$1,[2]quests!$1:$1,0)-MATCH($B$1,[2]quests!$1:$1,0)+1,FALSE)</f>
        <v>ランキング7</v>
      </c>
      <c r="E43" s="88" t="s">
        <v>219</v>
      </c>
      <c r="F43" s="84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4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6">
        <v>0</v>
      </c>
      <c r="I43">
        <v>20</v>
      </c>
      <c r="J43" s="85" t="s">
        <v>200</v>
      </c>
      <c r="K43" s="95" t="str">
        <f>VLOOKUP(I43,[7]stage_hints!$A:$C,3,FALSE)</f>
        <v>マルチプレイのメリット（その3）</v>
      </c>
      <c r="L43" s="96" t="str">
        <f>VLOOKUP(I43,[7]stage_hints!$A:$D,4,FALSE)</f>
        <v>マルチプレイへの参加はエナジー消費ゼロ_x000D_いつでも好きなだけ遊ぶことができます</v>
      </c>
      <c r="M43" s="57" t="s">
        <v>215</v>
      </c>
    </row>
    <row r="44" spans="1:13" x14ac:dyDescent="0.15">
      <c r="A44" s="82" t="s">
        <v>203</v>
      </c>
      <c r="B44" s="83">
        <f>floors!$C$2</f>
        <v>60019</v>
      </c>
      <c r="C44" s="84" t="str">
        <f ca="1">VLOOKUP($B44,OFFSET([2]quests!$A$1,0,0,COUNTA([2]quests!$A:$A),MATCH(C$1,[2]quests!$1:$1,0)-MATCH($B$1,[2]quests!$1:$1,0)+1),MATCH(C$1,[2]quests!$1:$1,0)-MATCH($B$1,[2]quests!$1:$1,0)+1,FALSE)</f>
        <v>ヘンペルチャレンジ</v>
      </c>
      <c r="D44" s="84" t="str">
        <f ca="1">VLOOKUP($B44,OFFSET([2]quests!$A$1,0,0,COUNTA([2]quests!$A:$A),MATCH(D$1,[2]quests!$1:$1,0)-MATCH($B$1,[2]quests!$1:$1,0)+1),MATCH(D$1,[2]quests!$1:$1,0)-MATCH($B$1,[2]quests!$1:$1,0)+1,FALSE)</f>
        <v>ランキング7</v>
      </c>
      <c r="E44" s="88" t="s">
        <v>219</v>
      </c>
      <c r="F44" s="84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4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6">
        <v>0</v>
      </c>
      <c r="I44">
        <v>21</v>
      </c>
      <c r="J44" s="85" t="s">
        <v>200</v>
      </c>
      <c r="K44" s="95" t="str">
        <f>VLOOKUP(I44,[7]stage_hints!$A:$C,3,FALSE)</f>
        <v>スキルを有効に</v>
      </c>
      <c r="L44" s="96" t="str">
        <f>VLOOKUP(I44,[7]stage_hints!$A:$D,4,FALSE)</f>
        <v>ターン経過でユニットのスキルが使えます_x000D_強力スキルでバトルを有利に進めましょう</v>
      </c>
      <c r="M44" s="57" t="s">
        <v>215</v>
      </c>
    </row>
    <row r="45" spans="1:13" x14ac:dyDescent="0.15">
      <c r="A45" s="82" t="s">
        <v>203</v>
      </c>
      <c r="B45" s="83">
        <f>floors!$C$2</f>
        <v>60019</v>
      </c>
      <c r="C45" s="84" t="str">
        <f ca="1">VLOOKUP($B45,OFFSET([2]quests!$A$1,0,0,COUNTA([2]quests!$A:$A),MATCH(C$1,[2]quests!$1:$1,0)-MATCH($B$1,[2]quests!$1:$1,0)+1),MATCH(C$1,[2]quests!$1:$1,0)-MATCH($B$1,[2]quests!$1:$1,0)+1,FALSE)</f>
        <v>ヘンペルチャレンジ</v>
      </c>
      <c r="D45" s="84" t="str">
        <f ca="1">VLOOKUP($B45,OFFSET([2]quests!$A$1,0,0,COUNTA([2]quests!$A:$A),MATCH(D$1,[2]quests!$1:$1,0)-MATCH($B$1,[2]quests!$1:$1,0)+1),MATCH(D$1,[2]quests!$1:$1,0)-MATCH($B$1,[2]quests!$1:$1,0)+1,FALSE)</f>
        <v>ランキング7</v>
      </c>
      <c r="E45" s="88" t="s">
        <v>219</v>
      </c>
      <c r="F45" s="84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4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6">
        <v>0</v>
      </c>
      <c r="I45">
        <v>22</v>
      </c>
      <c r="J45" s="85" t="s">
        <v>200</v>
      </c>
      <c r="K45" s="95" t="str">
        <f>VLOOKUP(I45,[7]stage_hints!$A:$C,3,FALSE)</f>
        <v>フィーバーで一発逆転（その1）</v>
      </c>
      <c r="L45" s="96" t="str">
        <f>VLOOKUP(I45,[7]stage_hints!$A:$D,4,FALSE)</f>
        <v>フィーバーは攻撃と回復を兼ね備えます_x000D_ピンチからの一発逆転を狙いましょう</v>
      </c>
      <c r="M45" s="57" t="s">
        <v>215</v>
      </c>
    </row>
    <row r="46" spans="1:13" x14ac:dyDescent="0.15">
      <c r="A46" s="82" t="s">
        <v>203</v>
      </c>
      <c r="B46" s="83">
        <f>floors!$C$2</f>
        <v>60019</v>
      </c>
      <c r="C46" s="84" t="str">
        <f ca="1">VLOOKUP($B46,OFFSET([2]quests!$A$1,0,0,COUNTA([2]quests!$A:$A),MATCH(C$1,[2]quests!$1:$1,0)-MATCH($B$1,[2]quests!$1:$1,0)+1),MATCH(C$1,[2]quests!$1:$1,0)-MATCH($B$1,[2]quests!$1:$1,0)+1,FALSE)</f>
        <v>ヘンペルチャレンジ</v>
      </c>
      <c r="D46" s="84" t="str">
        <f ca="1">VLOOKUP($B46,OFFSET([2]quests!$A$1,0,0,COUNTA([2]quests!$A:$A),MATCH(D$1,[2]quests!$1:$1,0)-MATCH($B$1,[2]quests!$1:$1,0)+1),MATCH(D$1,[2]quests!$1:$1,0)-MATCH($B$1,[2]quests!$1:$1,0)+1,FALSE)</f>
        <v>ランキング7</v>
      </c>
      <c r="E46" s="88" t="s">
        <v>219</v>
      </c>
      <c r="F46" s="84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4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6">
        <v>0</v>
      </c>
      <c r="I46">
        <v>23</v>
      </c>
      <c r="J46" s="85" t="s">
        <v>200</v>
      </c>
      <c r="K46" s="95" t="str">
        <f>VLOOKUP(I46,[7]stage_hints!$A:$C,3,FALSE)</f>
        <v>フィーバーで一発逆転（その2）</v>
      </c>
      <c r="L46" s="96" t="str">
        <f>VLOOKUP(I46,[7]stage_hints!$A:$D,4,FALSE)</f>
        <v>フィーバー中は虹色のボムパネルを狙って_x000D_画面上のパネルを一気に破壊しましょう</v>
      </c>
      <c r="M46" s="57" t="s">
        <v>215</v>
      </c>
    </row>
    <row r="47" spans="1:13" x14ac:dyDescent="0.15">
      <c r="A47" s="82" t="s">
        <v>203</v>
      </c>
      <c r="B47" s="83">
        <f>floors!$C$2</f>
        <v>60019</v>
      </c>
      <c r="C47" s="84" t="str">
        <f ca="1">VLOOKUP($B47,OFFSET([2]quests!$A$1,0,0,COUNTA([2]quests!$A:$A),MATCH(C$1,[2]quests!$1:$1,0)-MATCH($B$1,[2]quests!$1:$1,0)+1),MATCH(C$1,[2]quests!$1:$1,0)-MATCH($B$1,[2]quests!$1:$1,0)+1,FALSE)</f>
        <v>ヘンペルチャレンジ</v>
      </c>
      <c r="D47" s="84" t="str">
        <f ca="1">VLOOKUP($B47,OFFSET([2]quests!$A$1,0,0,COUNTA([2]quests!$A:$A),MATCH(D$1,[2]quests!$1:$1,0)-MATCH($B$1,[2]quests!$1:$1,0)+1),MATCH(D$1,[2]quests!$1:$1,0)-MATCH($B$1,[2]quests!$1:$1,0)+1,FALSE)</f>
        <v>ランキング7</v>
      </c>
      <c r="E47" s="88" t="s">
        <v>219</v>
      </c>
      <c r="F47" s="84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4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6">
        <v>0</v>
      </c>
      <c r="I47">
        <v>24</v>
      </c>
      <c r="J47" s="85" t="s">
        <v>200</v>
      </c>
      <c r="K47" s="95" t="str">
        <f>VLOOKUP(I47,[7]stage_hints!$A:$C,3,FALSE)</f>
        <v>りんごを使って限界突破</v>
      </c>
      <c r="L47" s="96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7" t="s">
        <v>215</v>
      </c>
    </row>
    <row r="48" spans="1:13" x14ac:dyDescent="0.15">
      <c r="A48" s="82" t="s">
        <v>203</v>
      </c>
      <c r="B48" s="83">
        <f>floors!$C$2</f>
        <v>60019</v>
      </c>
      <c r="C48" s="84" t="str">
        <f ca="1">VLOOKUP($B48,OFFSET([2]quests!$A$1,0,0,COUNTA([2]quests!$A:$A),MATCH(C$1,[2]quests!$1:$1,0)-MATCH($B$1,[2]quests!$1:$1,0)+1),MATCH(C$1,[2]quests!$1:$1,0)-MATCH($B$1,[2]quests!$1:$1,0)+1,FALSE)</f>
        <v>ヘンペルチャレンジ</v>
      </c>
      <c r="D48" s="84" t="str">
        <f ca="1">VLOOKUP($B48,OFFSET([2]quests!$A$1,0,0,COUNTA([2]quests!$A:$A),MATCH(D$1,[2]quests!$1:$1,0)-MATCH($B$1,[2]quests!$1:$1,0)+1),MATCH(D$1,[2]quests!$1:$1,0)-MATCH($B$1,[2]quests!$1:$1,0)+1,FALSE)</f>
        <v>ランキング7</v>
      </c>
      <c r="E48" s="88" t="s">
        <v>219</v>
      </c>
      <c r="F48" s="84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4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6">
        <v>0</v>
      </c>
      <c r="I48">
        <v>25</v>
      </c>
      <c r="J48" s="85" t="s">
        <v>200</v>
      </c>
      <c r="K48" s="95" t="str">
        <f>VLOOKUP(I48,[7]stage_hints!$A:$C,3,FALSE)</f>
        <v>スキルレベルアップ</v>
      </c>
      <c r="L48" s="96" t="str">
        <f>VLOOKUP(I48,[7]stage_hints!$A:$D,4,FALSE)</f>
        <v>「クリスタルのりんご」を強化に使うと_x000D_スキルレベルを上げることができます</v>
      </c>
      <c r="M48" s="57" t="s">
        <v>215</v>
      </c>
    </row>
    <row r="49" spans="1:13" x14ac:dyDescent="0.15">
      <c r="A49" s="82" t="s">
        <v>203</v>
      </c>
      <c r="B49" s="83">
        <f>floors!$C$2</f>
        <v>60019</v>
      </c>
      <c r="C49" s="84" t="str">
        <f ca="1">VLOOKUP($B49,OFFSET([2]quests!$A$1,0,0,COUNTA([2]quests!$A:$A),MATCH(C$1,[2]quests!$1:$1,0)-MATCH($B$1,[2]quests!$1:$1,0)+1),MATCH(C$1,[2]quests!$1:$1,0)-MATCH($B$1,[2]quests!$1:$1,0)+1,FALSE)</f>
        <v>ヘンペルチャレンジ</v>
      </c>
      <c r="D49" s="84" t="str">
        <f ca="1">VLOOKUP($B49,OFFSET([2]quests!$A$1,0,0,COUNTA([2]quests!$A:$A),MATCH(D$1,[2]quests!$1:$1,0)-MATCH($B$1,[2]quests!$1:$1,0)+1),MATCH(D$1,[2]quests!$1:$1,0)-MATCH($B$1,[2]quests!$1:$1,0)+1,FALSE)</f>
        <v>ランキング7</v>
      </c>
      <c r="E49" s="88" t="s">
        <v>219</v>
      </c>
      <c r="F49" s="84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4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6">
        <v>0</v>
      </c>
      <c r="I49">
        <v>26</v>
      </c>
      <c r="J49" s="85" t="s">
        <v>200</v>
      </c>
      <c r="K49" s="95" t="str">
        <f>VLOOKUP(I49,[7]stage_hints!$A:$C,3,FALSE)</f>
        <v>スキルレベルの効果</v>
      </c>
      <c r="L49" s="96" t="str">
        <f>VLOOKUP(I49,[7]stage_hints!$A:$D,4,FALSE)</f>
        <v>スキルレベルが上がると_x000D_短いターンでスキルを使うことができます</v>
      </c>
      <c r="M49" s="57" t="s">
        <v>215</v>
      </c>
    </row>
    <row r="50" spans="1:13" x14ac:dyDescent="0.15">
      <c r="A50" s="82" t="s">
        <v>203</v>
      </c>
      <c r="B50" s="83">
        <f>floors!$C$2</f>
        <v>60019</v>
      </c>
      <c r="C50" s="84" t="str">
        <f ca="1">VLOOKUP($B50,OFFSET([2]quests!$A$1,0,0,COUNTA([2]quests!$A:$A),MATCH(C$1,[2]quests!$1:$1,0)-MATCH($B$1,[2]quests!$1:$1,0)+1),MATCH(C$1,[2]quests!$1:$1,0)-MATCH($B$1,[2]quests!$1:$1,0)+1,FALSE)</f>
        <v>ヘンペルチャレンジ</v>
      </c>
      <c r="D50" s="84" t="str">
        <f ca="1">VLOOKUP($B50,OFFSET([2]quests!$A$1,0,0,COUNTA([2]quests!$A:$A),MATCH(D$1,[2]quests!$1:$1,0)-MATCH($B$1,[2]quests!$1:$1,0)+1),MATCH(D$1,[2]quests!$1:$1,0)-MATCH($B$1,[2]quests!$1:$1,0)+1,FALSE)</f>
        <v>ランキング7</v>
      </c>
      <c r="E50" s="88" t="s">
        <v>219</v>
      </c>
      <c r="F50" s="84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4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6">
        <v>0</v>
      </c>
      <c r="I50">
        <v>27</v>
      </c>
      <c r="J50" s="85" t="s">
        <v>200</v>
      </c>
      <c r="K50" s="95" t="str">
        <f>VLOOKUP(I50,[7]stage_hints!$A:$C,3,FALSE)</f>
        <v>ホーム画面からデッキを編成</v>
      </c>
      <c r="L50" s="96" t="str">
        <f>VLOOKUP(I50,[7]stage_hints!$A:$D,4,FALSE)</f>
        <v>ホーム画面でユニットを長押しすると_x000D_すぐにパーティ編成に移動できます</v>
      </c>
      <c r="M50" s="57" t="s">
        <v>215</v>
      </c>
    </row>
    <row r="51" spans="1:13" x14ac:dyDescent="0.15">
      <c r="A51" s="82" t="s">
        <v>203</v>
      </c>
      <c r="B51" s="83">
        <f>floors!$C$2</f>
        <v>60019</v>
      </c>
      <c r="C51" s="84" t="str">
        <f ca="1">VLOOKUP($B51,OFFSET([2]quests!$A$1,0,0,COUNTA([2]quests!$A:$A),MATCH(C$1,[2]quests!$1:$1,0)-MATCH($B$1,[2]quests!$1:$1,0)+1),MATCH(C$1,[2]quests!$1:$1,0)-MATCH($B$1,[2]quests!$1:$1,0)+1,FALSE)</f>
        <v>ヘンペルチャレンジ</v>
      </c>
      <c r="D51" s="84" t="str">
        <f ca="1">VLOOKUP($B51,OFFSET([2]quests!$A$1,0,0,COUNTA([2]quests!$A:$A),MATCH(D$1,[2]quests!$1:$1,0)-MATCH($B$1,[2]quests!$1:$1,0)+1),MATCH(D$1,[2]quests!$1:$1,0)-MATCH($B$1,[2]quests!$1:$1,0)+1,FALSE)</f>
        <v>ランキング7</v>
      </c>
      <c r="E51" s="88" t="s">
        <v>219</v>
      </c>
      <c r="F51" s="84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4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6">
        <v>0</v>
      </c>
      <c r="I51">
        <v>28</v>
      </c>
      <c r="J51" s="85" t="s">
        <v>200</v>
      </c>
      <c r="K51" s="95" t="str">
        <f>VLOOKUP(I51,[7]stage_hints!$A:$C,3,FALSE)</f>
        <v>ステータス情報は長押しで</v>
      </c>
      <c r="L51" s="96" t="str">
        <f>VLOOKUP(I51,[7]stage_hints!$A:$D,4,FALSE)</f>
        <v>ユニットのアイコンを長押しすると_x000D_ステータス情報を確認することができます</v>
      </c>
      <c r="M51" s="57" t="s">
        <v>215</v>
      </c>
    </row>
    <row r="52" spans="1:13" x14ac:dyDescent="0.15">
      <c r="A52" s="82" t="s">
        <v>203</v>
      </c>
      <c r="B52" s="83">
        <f>floors!$C$2</f>
        <v>60019</v>
      </c>
      <c r="C52" s="84" t="str">
        <f ca="1">VLOOKUP($B52,OFFSET([2]quests!$A$1,0,0,COUNTA([2]quests!$A:$A),MATCH(C$1,[2]quests!$1:$1,0)-MATCH($B$1,[2]quests!$1:$1,0)+1),MATCH(C$1,[2]quests!$1:$1,0)-MATCH($B$1,[2]quests!$1:$1,0)+1,FALSE)</f>
        <v>ヘンペルチャレンジ</v>
      </c>
      <c r="D52" s="84" t="str">
        <f ca="1">VLOOKUP($B52,OFFSET([2]quests!$A$1,0,0,COUNTA([2]quests!$A:$A),MATCH(D$1,[2]quests!$1:$1,0)-MATCH($B$1,[2]quests!$1:$1,0)+1),MATCH(D$1,[2]quests!$1:$1,0)-MATCH($B$1,[2]quests!$1:$1,0)+1,FALSE)</f>
        <v>ランキング7</v>
      </c>
      <c r="E52" s="88" t="s">
        <v>219</v>
      </c>
      <c r="F52" s="84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4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6">
        <v>0</v>
      </c>
      <c r="I52">
        <v>29</v>
      </c>
      <c r="J52" s="85" t="s">
        <v>200</v>
      </c>
      <c r="K52" s="95" t="str">
        <f>VLOOKUP(I52,[7]stage_hints!$A:$C,3,FALSE)</f>
        <v>「バグ」のメリット</v>
      </c>
      <c r="L52" s="96" t="str">
        <f>VLOOKUP(I52,[7]stage_hints!$A:$D,4,FALSE)</f>
        <v>ユニットの「バグ」を増やすと_x000D_報酬をもらえる確率がアップします</v>
      </c>
      <c r="M52" s="57" t="s">
        <v>215</v>
      </c>
    </row>
    <row r="53" spans="1:13" x14ac:dyDescent="0.15">
      <c r="A53" s="82" t="s">
        <v>203</v>
      </c>
      <c r="B53" s="83">
        <f>floors!$C$2</f>
        <v>60019</v>
      </c>
      <c r="C53" s="84" t="str">
        <f ca="1">VLOOKUP($B53,OFFSET([2]quests!$A$1,0,0,COUNTA([2]quests!$A:$A),MATCH(C$1,[2]quests!$1:$1,0)-MATCH($B$1,[2]quests!$1:$1,0)+1),MATCH(C$1,[2]quests!$1:$1,0)-MATCH($B$1,[2]quests!$1:$1,0)+1,FALSE)</f>
        <v>ヘンペルチャレンジ</v>
      </c>
      <c r="D53" s="84" t="str">
        <f ca="1">VLOOKUP($B53,OFFSET([2]quests!$A$1,0,0,COUNTA([2]quests!$A:$A),MATCH(D$1,[2]quests!$1:$1,0)-MATCH($B$1,[2]quests!$1:$1,0)+1),MATCH(D$1,[2]quests!$1:$1,0)-MATCH($B$1,[2]quests!$1:$1,0)+1,FALSE)</f>
        <v>ランキング7</v>
      </c>
      <c r="E53" s="88" t="s">
        <v>219</v>
      </c>
      <c r="F53" s="84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4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6">
        <v>0</v>
      </c>
      <c r="I53">
        <v>30</v>
      </c>
      <c r="J53" s="85" t="s">
        <v>200</v>
      </c>
      <c r="K53" s="95" t="str">
        <f>VLOOKUP(I53,[7]stage_hints!$A:$C,3,FALSE)</f>
        <v>「バグ」の増やし方</v>
      </c>
      <c r="L53" s="96" t="str">
        <f>VLOOKUP(I53,[7]stage_hints!$A:$D,4,FALSE)</f>
        <v>同じユニット同士を強化で合成すると_x000D_「バグ」を増やすことができます</v>
      </c>
      <c r="M53" s="57" t="s">
        <v>215</v>
      </c>
    </row>
    <row r="54" spans="1:13" x14ac:dyDescent="0.15">
      <c r="A54" s="82" t="s">
        <v>203</v>
      </c>
      <c r="B54" s="83">
        <f>floors!$C$2</f>
        <v>60019</v>
      </c>
      <c r="C54" s="84" t="str">
        <f ca="1">VLOOKUP($B54,OFFSET([2]quests!$A$1,0,0,COUNTA([2]quests!$A:$A),MATCH(C$1,[2]quests!$1:$1,0)-MATCH($B$1,[2]quests!$1:$1,0)+1),MATCH(C$1,[2]quests!$1:$1,0)-MATCH($B$1,[2]quests!$1:$1,0)+1,FALSE)</f>
        <v>ヘンペルチャレンジ</v>
      </c>
      <c r="D54" s="84" t="str">
        <f ca="1">VLOOKUP($B54,OFFSET([2]quests!$A$1,0,0,COUNTA([2]quests!$A:$A),MATCH(D$1,[2]quests!$1:$1,0)-MATCH($B$1,[2]quests!$1:$1,0)+1),MATCH(D$1,[2]quests!$1:$1,0)-MATCH($B$1,[2]quests!$1:$1,0)+1,FALSE)</f>
        <v>ランキング7</v>
      </c>
      <c r="E54" s="88" t="s">
        <v>219</v>
      </c>
      <c r="F54" s="84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4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6">
        <v>0</v>
      </c>
      <c r="I54">
        <v>31</v>
      </c>
      <c r="J54" s="85" t="s">
        <v>200</v>
      </c>
      <c r="K54" s="95" t="str">
        <f>VLOOKUP(I54,[7]stage_hints!$A:$C,3,FALSE)</f>
        <v>イベントはお知らせでチェック</v>
      </c>
      <c r="L54" s="96" t="str">
        <f>VLOOKUP(I54,[7]stage_hints!$A:$D,4,FALSE)</f>
        <v>イベント限定ユニットを取り忘れないように_x000D_お知らせをこまめにチェックしましょう</v>
      </c>
      <c r="M54" s="57" t="s">
        <v>215</v>
      </c>
    </row>
    <row r="55" spans="1:13" x14ac:dyDescent="0.15">
      <c r="A55" s="82" t="s">
        <v>203</v>
      </c>
      <c r="B55" s="83">
        <f>floors!$C$2</f>
        <v>60019</v>
      </c>
      <c r="C55" s="84" t="str">
        <f ca="1">VLOOKUP($B55,OFFSET([2]quests!$A$1,0,0,COUNTA([2]quests!$A:$A),MATCH(C$1,[2]quests!$1:$1,0)-MATCH($B$1,[2]quests!$1:$1,0)+1),MATCH(C$1,[2]quests!$1:$1,0)-MATCH($B$1,[2]quests!$1:$1,0)+1,FALSE)</f>
        <v>ヘンペルチャレンジ</v>
      </c>
      <c r="D55" s="84" t="str">
        <f ca="1">VLOOKUP($B55,OFFSET([2]quests!$A$1,0,0,COUNTA([2]quests!$A:$A),MATCH(D$1,[2]quests!$1:$1,0)-MATCH($B$1,[2]quests!$1:$1,0)+1),MATCH(D$1,[2]quests!$1:$1,0)-MATCH($B$1,[2]quests!$1:$1,0)+1,FALSE)</f>
        <v>ランキング7</v>
      </c>
      <c r="E55" s="88" t="s">
        <v>219</v>
      </c>
      <c r="F55" s="84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4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6">
        <v>0</v>
      </c>
      <c r="I55">
        <v>32</v>
      </c>
      <c r="J55" s="85" t="s">
        <v>200</v>
      </c>
      <c r="K55" s="95" t="str">
        <f>VLOOKUP(I55,[7]stage_hints!$A:$C,3,FALSE)</f>
        <v>敵の連続攻撃には</v>
      </c>
      <c r="L55" s="96" t="str">
        <f>VLOOKUP(I55,[7]stage_hints!$A:$D,4,FALSE)</f>
        <v>カウンタースキルを持つユニットがいれば_x000D_ダメージ回数分の反撃ができます</v>
      </c>
      <c r="M55" s="57" t="s">
        <v>215</v>
      </c>
    </row>
    <row r="56" spans="1:13" x14ac:dyDescent="0.15">
      <c r="A56" s="82" t="s">
        <v>203</v>
      </c>
      <c r="B56" s="83">
        <f>floors!$C$2</f>
        <v>60019</v>
      </c>
      <c r="C56" s="84" t="str">
        <f ca="1">VLOOKUP($B56,OFFSET([2]quests!$A$1,0,0,COUNTA([2]quests!$A:$A),MATCH(C$1,[2]quests!$1:$1,0)-MATCH($B$1,[2]quests!$1:$1,0)+1),MATCH(C$1,[2]quests!$1:$1,0)-MATCH($B$1,[2]quests!$1:$1,0)+1,FALSE)</f>
        <v>ヘンペルチャレンジ</v>
      </c>
      <c r="D56" s="84" t="str">
        <f ca="1">VLOOKUP($B56,OFFSET([2]quests!$A$1,0,0,COUNTA([2]quests!$A:$A),MATCH(D$1,[2]quests!$1:$1,0)-MATCH($B$1,[2]quests!$1:$1,0)+1),MATCH(D$1,[2]quests!$1:$1,0)-MATCH($B$1,[2]quests!$1:$1,0)+1,FALSE)</f>
        <v>ランキング7</v>
      </c>
      <c r="E56" s="88" t="s">
        <v>219</v>
      </c>
      <c r="F56" s="84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4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6">
        <v>0</v>
      </c>
      <c r="I56">
        <v>33</v>
      </c>
      <c r="J56" s="85" t="s">
        <v>200</v>
      </c>
      <c r="K56" s="95" t="str">
        <f>VLOOKUP(I56,[7]stage_hints!$A:$C,3,FALSE)</f>
        <v>敵のカウンター攻撃には</v>
      </c>
      <c r="L56" s="96" t="str">
        <f>VLOOKUP(I56,[7]stage_hints!$A:$D,4,FALSE)</f>
        <v>カウンターブレイクスキルを持っていれば_x000D_敵のカウンターを解除して攻撃ができます</v>
      </c>
      <c r="M56" s="57" t="s">
        <v>215</v>
      </c>
    </row>
    <row r="57" spans="1:13" x14ac:dyDescent="0.15">
      <c r="A57" s="82" t="s">
        <v>203</v>
      </c>
      <c r="B57" s="83">
        <f>floors!$C$2</f>
        <v>60019</v>
      </c>
      <c r="C57" s="84" t="str">
        <f ca="1">VLOOKUP($B57,OFFSET([2]quests!$A$1,0,0,COUNTA([2]quests!$A:$A),MATCH(C$1,[2]quests!$1:$1,0)-MATCH($B$1,[2]quests!$1:$1,0)+1),MATCH(C$1,[2]quests!$1:$1,0)-MATCH($B$1,[2]quests!$1:$1,0)+1,FALSE)</f>
        <v>ヘンペルチャレンジ</v>
      </c>
      <c r="D57" s="84" t="str">
        <f ca="1">VLOOKUP($B57,OFFSET([2]quests!$A$1,0,0,COUNTA([2]quests!$A:$A),MATCH(D$1,[2]quests!$1:$1,0)-MATCH($B$1,[2]quests!$1:$1,0)+1),MATCH(D$1,[2]quests!$1:$1,0)-MATCH($B$1,[2]quests!$1:$1,0)+1,FALSE)</f>
        <v>ランキング7</v>
      </c>
      <c r="E57" s="88" t="s">
        <v>219</v>
      </c>
      <c r="F57" s="84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4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6">
        <v>0</v>
      </c>
      <c r="I57">
        <v>34</v>
      </c>
      <c r="J57" s="85" t="s">
        <v>200</v>
      </c>
      <c r="K57" s="95" t="str">
        <f>VLOOKUP(I57,[7]stage_hints!$A:$C,3,FALSE)</f>
        <v>ステータスをスキルで下げられたら</v>
      </c>
      <c r="L57" s="96" t="str">
        <f>VLOOKUP(I57,[7]stage_hints!$A:$D,4,FALSE)</f>
        <v>ステータスダウンのスキルを受けたら_x000D_ステータスアップスキルで上書きしましょう</v>
      </c>
      <c r="M57" s="57" t="s">
        <v>215</v>
      </c>
    </row>
    <row r="58" spans="1:13" x14ac:dyDescent="0.15">
      <c r="A58" s="82" t="s">
        <v>203</v>
      </c>
      <c r="B58" s="83">
        <f>floors!$C$2</f>
        <v>60019</v>
      </c>
      <c r="C58" s="84" t="str">
        <f ca="1">VLOOKUP($B58,OFFSET([2]quests!$A$1,0,0,COUNTA([2]quests!$A:$A),MATCH(C$1,[2]quests!$1:$1,0)-MATCH($B$1,[2]quests!$1:$1,0)+1),MATCH(C$1,[2]quests!$1:$1,0)-MATCH($B$1,[2]quests!$1:$1,0)+1,FALSE)</f>
        <v>ヘンペルチャレンジ</v>
      </c>
      <c r="D58" s="84" t="str">
        <f ca="1">VLOOKUP($B58,OFFSET([2]quests!$A$1,0,0,COUNTA([2]quests!$A:$A),MATCH(D$1,[2]quests!$1:$1,0)-MATCH($B$1,[2]quests!$1:$1,0)+1),MATCH(D$1,[2]quests!$1:$1,0)-MATCH($B$1,[2]quests!$1:$1,0)+1,FALSE)</f>
        <v>ランキング7</v>
      </c>
      <c r="E58" s="88" t="s">
        <v>219</v>
      </c>
      <c r="F58" s="84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4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6">
        <v>0</v>
      </c>
      <c r="I58">
        <v>35</v>
      </c>
      <c r="J58" s="85" t="s">
        <v>200</v>
      </c>
      <c r="K58" s="95" t="str">
        <f>VLOOKUP(I58,[7]stage_hints!$A:$C,3,FALSE)</f>
        <v>敵のステータスがスキルで上がったら</v>
      </c>
      <c r="L58" s="96" t="str">
        <f>VLOOKUP(I58,[7]stage_hints!$A:$D,4,FALSE)</f>
        <v>敵のステータスがスキルでアップしたときは_x000D_ステータスダウンスキルで上書きしましょう</v>
      </c>
      <c r="M58" s="57" t="s">
        <v>215</v>
      </c>
    </row>
    <row r="59" spans="1:13" x14ac:dyDescent="0.15">
      <c r="A59" s="82" t="s">
        <v>203</v>
      </c>
      <c r="B59" s="83">
        <f>floors!$C$2</f>
        <v>60019</v>
      </c>
      <c r="C59" s="84" t="str">
        <f ca="1">VLOOKUP($B59,OFFSET([2]quests!$A$1,0,0,COUNTA([2]quests!$A:$A),MATCH(C$1,[2]quests!$1:$1,0)-MATCH($B$1,[2]quests!$1:$1,0)+1),MATCH(C$1,[2]quests!$1:$1,0)-MATCH($B$1,[2]quests!$1:$1,0)+1,FALSE)</f>
        <v>ヘンペルチャレンジ</v>
      </c>
      <c r="D59" s="84" t="str">
        <f ca="1">VLOOKUP($B59,OFFSET([2]quests!$A$1,0,0,COUNTA([2]quests!$A:$A),MATCH(D$1,[2]quests!$1:$1,0)-MATCH($B$1,[2]quests!$1:$1,0)+1),MATCH(D$1,[2]quests!$1:$1,0)-MATCH($B$1,[2]quests!$1:$1,0)+1,FALSE)</f>
        <v>ランキング7</v>
      </c>
      <c r="E59" s="88" t="s">
        <v>219</v>
      </c>
      <c r="F59" s="84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4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6">
        <v>0</v>
      </c>
      <c r="I59">
        <v>39</v>
      </c>
      <c r="J59" s="85" t="s">
        <v>200</v>
      </c>
      <c r="K59" s="95" t="str">
        <f>VLOOKUP(I59,[7]stage_hints!$A:$C,3,FALSE)</f>
        <v>システム適合者を確認</v>
      </c>
      <c r="L59" s="96" t="str">
        <f>VLOOKUP(I59,[7]stage_hints!$A:$D,4,FALSE)</f>
        <v>ALICEが 「アナタ」を呼んでいます</v>
      </c>
      <c r="M59" s="57" t="s">
        <v>215</v>
      </c>
    </row>
    <row r="60" spans="1:13" x14ac:dyDescent="0.15">
      <c r="A60" s="82" t="s">
        <v>203</v>
      </c>
      <c r="B60" s="83">
        <f>floors!$C$2</f>
        <v>60019</v>
      </c>
      <c r="C60" s="84" t="str">
        <f ca="1">VLOOKUP($B60,OFFSET([2]quests!$A$1,0,0,COUNTA([2]quests!$A:$A),MATCH(C$1,[2]quests!$1:$1,0)-MATCH($B$1,[2]quests!$1:$1,0)+1),MATCH(C$1,[2]quests!$1:$1,0)-MATCH($B$1,[2]quests!$1:$1,0)+1,FALSE)</f>
        <v>ヘンペルチャレンジ</v>
      </c>
      <c r="D60" s="84" t="str">
        <f ca="1">VLOOKUP($B60,OFFSET([2]quests!$A$1,0,0,COUNTA([2]quests!$A:$A),MATCH(D$1,[2]quests!$1:$1,0)-MATCH($B$1,[2]quests!$1:$1,0)+1),MATCH(D$1,[2]quests!$1:$1,0)-MATCH($B$1,[2]quests!$1:$1,0)+1,FALSE)</f>
        <v>ランキング7</v>
      </c>
      <c r="E60" s="88" t="s">
        <v>220</v>
      </c>
      <c r="F60" s="84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4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6">
        <v>0</v>
      </c>
      <c r="I60" s="99">
        <v>3</v>
      </c>
      <c r="J60" s="85" t="s">
        <v>200</v>
      </c>
      <c r="K60" s="95" t="str">
        <f>VLOOKUP(I60,[7]stage_hints!$A:$C,3,FALSE)</f>
        <v>ターゲット</v>
      </c>
      <c r="L60" s="96" t="str">
        <f>VLOOKUP(I60,[7]stage_hints!$A:$D,4,FALSE)</f>
        <v>敵ユニットをタップすると_x000D_その敵を狙い撃ちできます</v>
      </c>
      <c r="M60" s="57" t="s">
        <v>215</v>
      </c>
    </row>
    <row r="61" spans="1:13" x14ac:dyDescent="0.15">
      <c r="A61" s="82" t="s">
        <v>203</v>
      </c>
      <c r="B61" s="83">
        <f>floors!$C$2</f>
        <v>60019</v>
      </c>
      <c r="C61" s="84" t="str">
        <f ca="1">VLOOKUP($B61,OFFSET([2]quests!$A$1,0,0,COUNTA([2]quests!$A:$A),MATCH(C$1,[2]quests!$1:$1,0)-MATCH($B$1,[2]quests!$1:$1,0)+1),MATCH(C$1,[2]quests!$1:$1,0)-MATCH($B$1,[2]quests!$1:$1,0)+1,FALSE)</f>
        <v>ヘンペルチャレンジ</v>
      </c>
      <c r="D61" s="84" t="str">
        <f ca="1">VLOOKUP($B61,OFFSET([2]quests!$A$1,0,0,COUNTA([2]quests!$A:$A),MATCH(D$1,[2]quests!$1:$1,0)-MATCH($B$1,[2]quests!$1:$1,0)+1),MATCH(D$1,[2]quests!$1:$1,0)-MATCH($B$1,[2]quests!$1:$1,0)+1,FALSE)</f>
        <v>ランキング7</v>
      </c>
      <c r="E61" s="88" t="s">
        <v>220</v>
      </c>
      <c r="F61" s="84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4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6">
        <v>0</v>
      </c>
      <c r="I61" s="99">
        <v>6</v>
      </c>
      <c r="J61" s="85" t="s">
        <v>200</v>
      </c>
      <c r="K61" s="95" t="str">
        <f>VLOOKUP(I61,[7]stage_hints!$A:$C,3,FALSE)</f>
        <v>ユニット強化の属性ボーナス</v>
      </c>
      <c r="L61" s="96" t="str">
        <f>VLOOKUP(I61,[7]stage_hints!$A:$D,4,FALSE)</f>
        <v>同属性ユニットを強化素材にすると_x000D_経験値が多くもらえます</v>
      </c>
      <c r="M61" s="57" t="s">
        <v>215</v>
      </c>
    </row>
    <row r="62" spans="1:13" x14ac:dyDescent="0.15">
      <c r="A62" s="82" t="s">
        <v>203</v>
      </c>
      <c r="B62" s="83">
        <f>floors!$C$2</f>
        <v>60019</v>
      </c>
      <c r="C62" s="84" t="str">
        <f ca="1">VLOOKUP($B62,OFFSET([2]quests!$A$1,0,0,COUNTA([2]quests!$A:$A),MATCH(C$1,[2]quests!$1:$1,0)-MATCH($B$1,[2]quests!$1:$1,0)+1),MATCH(C$1,[2]quests!$1:$1,0)-MATCH($B$1,[2]quests!$1:$1,0)+1,FALSE)</f>
        <v>ヘンペルチャレンジ</v>
      </c>
      <c r="D62" s="84" t="str">
        <f ca="1">VLOOKUP($B62,OFFSET([2]quests!$A$1,0,0,COUNTA([2]quests!$A:$A),MATCH(D$1,[2]quests!$1:$1,0)-MATCH($B$1,[2]quests!$1:$1,0)+1),MATCH(D$1,[2]quests!$1:$1,0)-MATCH($B$1,[2]quests!$1:$1,0)+1,FALSE)</f>
        <v>ランキング7</v>
      </c>
      <c r="E62" s="88" t="s">
        <v>220</v>
      </c>
      <c r="F62" s="84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4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6">
        <v>0</v>
      </c>
      <c r="I62" s="99">
        <v>7</v>
      </c>
      <c r="J62" s="85" t="s">
        <v>200</v>
      </c>
      <c r="K62" s="95" t="str">
        <f>VLOOKUP(I62,[7]stage_hints!$A:$C,3,FALSE)</f>
        <v>メタルダックで経験値を獲得</v>
      </c>
      <c r="L62" s="96" t="str">
        <f>VLOOKUP(I62,[7]stage_hints!$A:$D,4,FALSE)</f>
        <v>「メタルなアヒル」を強化素材にすると_x000D_大量の経験値がもらえます</v>
      </c>
      <c r="M62" s="57" t="s">
        <v>215</v>
      </c>
    </row>
    <row r="63" spans="1:13" x14ac:dyDescent="0.15">
      <c r="A63" s="82" t="s">
        <v>203</v>
      </c>
      <c r="B63" s="83">
        <f>floors!$C$2</f>
        <v>60019</v>
      </c>
      <c r="C63" s="84" t="str">
        <f ca="1">VLOOKUP($B63,OFFSET([2]quests!$A$1,0,0,COUNTA([2]quests!$A:$A),MATCH(C$1,[2]quests!$1:$1,0)-MATCH($B$1,[2]quests!$1:$1,0)+1),MATCH(C$1,[2]quests!$1:$1,0)-MATCH($B$1,[2]quests!$1:$1,0)+1,FALSE)</f>
        <v>ヘンペルチャレンジ</v>
      </c>
      <c r="D63" s="84" t="str">
        <f ca="1">VLOOKUP($B63,OFFSET([2]quests!$A$1,0,0,COUNTA([2]quests!$A:$A),MATCH(D$1,[2]quests!$1:$1,0)-MATCH($B$1,[2]quests!$1:$1,0)+1),MATCH(D$1,[2]quests!$1:$1,0)-MATCH($B$1,[2]quests!$1:$1,0)+1,FALSE)</f>
        <v>ランキング7</v>
      </c>
      <c r="E63" s="88" t="s">
        <v>220</v>
      </c>
      <c r="F63" s="84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4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6">
        <v>0</v>
      </c>
      <c r="I63" s="99">
        <v>8</v>
      </c>
      <c r="J63" s="85" t="s">
        <v>200</v>
      </c>
      <c r="K63" s="95" t="str">
        <f>VLOOKUP(I63,[7]stage_hints!$A:$C,3,FALSE)</f>
        <v>ゲリラクエストは要チェック</v>
      </c>
      <c r="L63" s="96" t="str">
        <f>VLOOKUP(I63,[7]stage_hints!$A:$D,4,FALSE)</f>
        <v>時間限定の「アヒル捕獲作戦」では_x000D_経験値素材ユニットが多く手に入ります</v>
      </c>
      <c r="M63" s="57" t="s">
        <v>215</v>
      </c>
    </row>
    <row r="64" spans="1:13" x14ac:dyDescent="0.15">
      <c r="A64" s="82" t="s">
        <v>203</v>
      </c>
      <c r="B64" s="83">
        <f>floors!$C$2</f>
        <v>60019</v>
      </c>
      <c r="C64" s="84" t="str">
        <f ca="1">VLOOKUP($B64,OFFSET([2]quests!$A$1,0,0,COUNTA([2]quests!$A:$A),MATCH(C$1,[2]quests!$1:$1,0)-MATCH($B$1,[2]quests!$1:$1,0)+1),MATCH(C$1,[2]quests!$1:$1,0)-MATCH($B$1,[2]quests!$1:$1,0)+1,FALSE)</f>
        <v>ヘンペルチャレンジ</v>
      </c>
      <c r="D64" s="84" t="str">
        <f ca="1">VLOOKUP($B64,OFFSET([2]quests!$A$1,0,0,COUNTA([2]quests!$A:$A),MATCH(D$1,[2]quests!$1:$1,0)-MATCH($B$1,[2]quests!$1:$1,0)+1),MATCH(D$1,[2]quests!$1:$1,0)-MATCH($B$1,[2]quests!$1:$1,0)+1,FALSE)</f>
        <v>ランキング7</v>
      </c>
      <c r="E64" s="88" t="s">
        <v>220</v>
      </c>
      <c r="F64" s="84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4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6">
        <v>0</v>
      </c>
      <c r="I64" s="99">
        <v>9</v>
      </c>
      <c r="J64" s="85" t="s">
        <v>200</v>
      </c>
      <c r="K64" s="95" t="str">
        <f>VLOOKUP(I64,[7]stage_hints!$A:$C,3,FALSE)</f>
        <v>ゴールドダックでビットを獲得</v>
      </c>
      <c r="L64" s="96" t="str">
        <f>VLOOKUP(I64,[7]stage_hints!$A:$D,4,FALSE)</f>
        <v>「ゴールドなアヒル」を売却すると_x000D_大量のビットがもらえます</v>
      </c>
      <c r="M64" s="57" t="s">
        <v>215</v>
      </c>
    </row>
    <row r="65" spans="1:13" x14ac:dyDescent="0.15">
      <c r="A65" s="82" t="s">
        <v>203</v>
      </c>
      <c r="B65" s="83">
        <f>floors!$C$2</f>
        <v>60019</v>
      </c>
      <c r="C65" s="84" t="str">
        <f ca="1">VLOOKUP($B65,OFFSET([2]quests!$A$1,0,0,COUNTA([2]quests!$A:$A),MATCH(C$1,[2]quests!$1:$1,0)-MATCH($B$1,[2]quests!$1:$1,0)+1),MATCH(C$1,[2]quests!$1:$1,0)-MATCH($B$1,[2]quests!$1:$1,0)+1,FALSE)</f>
        <v>ヘンペルチャレンジ</v>
      </c>
      <c r="D65" s="84" t="str">
        <f ca="1">VLOOKUP($B65,OFFSET([2]quests!$A$1,0,0,COUNTA([2]quests!$A:$A),MATCH(D$1,[2]quests!$1:$1,0)-MATCH($B$1,[2]quests!$1:$1,0)+1),MATCH(D$1,[2]quests!$1:$1,0)-MATCH($B$1,[2]quests!$1:$1,0)+1,FALSE)</f>
        <v>ランキング7</v>
      </c>
      <c r="E65" s="88" t="s">
        <v>220</v>
      </c>
      <c r="F65" s="84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4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6">
        <v>0</v>
      </c>
      <c r="I65" s="99">
        <v>10</v>
      </c>
      <c r="J65" s="85" t="s">
        <v>200</v>
      </c>
      <c r="K65" s="95" t="str">
        <f>VLOOKUP(I65,[7]stage_hints!$A:$C,3,FALSE)</f>
        <v>土日に大量のビットを獲得</v>
      </c>
      <c r="L65" s="96" t="str">
        <f>VLOOKUP(I65,[7]stage_hints!$A:$D,4,FALSE)</f>
        <v>土日限定の「ゴールドカジノ」では_x000D_売却素材ユニットが多く手に入ります</v>
      </c>
      <c r="M65" s="57" t="s">
        <v>215</v>
      </c>
    </row>
    <row r="66" spans="1:13" x14ac:dyDescent="0.15">
      <c r="A66" s="82" t="s">
        <v>203</v>
      </c>
      <c r="B66" s="83">
        <f>floors!$C$2</f>
        <v>60019</v>
      </c>
      <c r="C66" s="84" t="str">
        <f ca="1">VLOOKUP($B66,OFFSET([2]quests!$A$1,0,0,COUNTA([2]quests!$A:$A),MATCH(C$1,[2]quests!$1:$1,0)-MATCH($B$1,[2]quests!$1:$1,0)+1),MATCH(C$1,[2]quests!$1:$1,0)-MATCH($B$1,[2]quests!$1:$1,0)+1,FALSE)</f>
        <v>ヘンペルチャレンジ</v>
      </c>
      <c r="D66" s="84" t="str">
        <f ca="1">VLOOKUP($B66,OFFSET([2]quests!$A$1,0,0,COUNTA([2]quests!$A:$A),MATCH(D$1,[2]quests!$1:$1,0)-MATCH($B$1,[2]quests!$1:$1,0)+1),MATCH(D$1,[2]quests!$1:$1,0)-MATCH($B$1,[2]quests!$1:$1,0)+1,FALSE)</f>
        <v>ランキング7</v>
      </c>
      <c r="E66" s="88" t="s">
        <v>220</v>
      </c>
      <c r="F66" s="84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4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6">
        <v>0</v>
      </c>
      <c r="I66" s="99">
        <v>11</v>
      </c>
      <c r="J66" s="85" t="s">
        <v>200</v>
      </c>
      <c r="K66" s="95" t="str">
        <f>VLOOKUP(I66,[7]stage_hints!$A:$C,3,FALSE)</f>
        <v>ランク解放クエスト</v>
      </c>
      <c r="L66" s="96" t="str">
        <f>VLOOKUP(I66,[7]stage_hints!$A:$D,4,FALSE)</f>
        <v>一定ランクに到達すると_x000D_報酬付きのランク開放クエストが現れます</v>
      </c>
      <c r="M66" s="57" t="s">
        <v>215</v>
      </c>
    </row>
    <row r="67" spans="1:13" x14ac:dyDescent="0.15">
      <c r="A67" s="82" t="s">
        <v>203</v>
      </c>
      <c r="B67" s="83">
        <f>floors!$C$2</f>
        <v>60019</v>
      </c>
      <c r="C67" s="84" t="str">
        <f ca="1">VLOOKUP($B67,OFFSET([2]quests!$A$1,0,0,COUNTA([2]quests!$A:$A),MATCH(C$1,[2]quests!$1:$1,0)-MATCH($B$1,[2]quests!$1:$1,0)+1),MATCH(C$1,[2]quests!$1:$1,0)-MATCH($B$1,[2]quests!$1:$1,0)+1,FALSE)</f>
        <v>ヘンペルチャレンジ</v>
      </c>
      <c r="D67" s="84" t="str">
        <f ca="1">VLOOKUP($B67,OFFSET([2]quests!$A$1,0,0,COUNTA([2]quests!$A:$A),MATCH(D$1,[2]quests!$1:$1,0)-MATCH($B$1,[2]quests!$1:$1,0)+1),MATCH(D$1,[2]quests!$1:$1,0)-MATCH($B$1,[2]quests!$1:$1,0)+1,FALSE)</f>
        <v>ランキング7</v>
      </c>
      <c r="E67" s="88" t="s">
        <v>220</v>
      </c>
      <c r="F67" s="84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4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6">
        <v>0</v>
      </c>
      <c r="I67" s="99">
        <v>12</v>
      </c>
      <c r="J67" s="85" t="s">
        <v>200</v>
      </c>
      <c r="K67" s="95" t="str">
        <f>VLOOKUP(I67,[7]stage_hints!$A:$C,3,FALSE)</f>
        <v>ユニットのお気に入り登録</v>
      </c>
      <c r="L67" s="96" t="str">
        <f>VLOOKUP(I67,[7]stage_hints!$A:$D,4,FALSE)</f>
        <v>大事なユニットを誤って消さないように_x000D_フォルダから「お気に入り登録」しましょう</v>
      </c>
      <c r="M67" s="57" t="s">
        <v>215</v>
      </c>
    </row>
    <row r="68" spans="1:13" x14ac:dyDescent="0.15">
      <c r="A68" s="82" t="s">
        <v>203</v>
      </c>
      <c r="B68" s="83">
        <f>floors!$C$2</f>
        <v>60019</v>
      </c>
      <c r="C68" s="84" t="str">
        <f ca="1">VLOOKUP($B68,OFFSET([2]quests!$A$1,0,0,COUNTA([2]quests!$A:$A),MATCH(C$1,[2]quests!$1:$1,0)-MATCH($B$1,[2]quests!$1:$1,0)+1),MATCH(C$1,[2]quests!$1:$1,0)-MATCH($B$1,[2]quests!$1:$1,0)+1,FALSE)</f>
        <v>ヘンペルチャレンジ</v>
      </c>
      <c r="D68" s="84" t="str">
        <f ca="1">VLOOKUP($B68,OFFSET([2]quests!$A$1,0,0,COUNTA([2]quests!$A:$A),MATCH(D$1,[2]quests!$1:$1,0)-MATCH($B$1,[2]quests!$1:$1,0)+1),MATCH(D$1,[2]quests!$1:$1,0)-MATCH($B$1,[2]quests!$1:$1,0)+1,FALSE)</f>
        <v>ランキング7</v>
      </c>
      <c r="E68" s="88" t="s">
        <v>220</v>
      </c>
      <c r="F68" s="84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4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6">
        <v>0</v>
      </c>
      <c r="I68" s="99">
        <v>13</v>
      </c>
      <c r="J68" s="85" t="s">
        <v>200</v>
      </c>
      <c r="K68" s="95" t="str">
        <f>VLOOKUP(I68,[7]stage_hints!$A:$C,3,FALSE)</f>
        <v>ユニットの覚醒</v>
      </c>
      <c r="L68" s="96" t="str">
        <f>VLOOKUP(I68,[7]stage_hints!$A:$D,4,FALSE)</f>
        <v>ユニットを覚醒させると_x000D_比べものにならない強さが手に入ります</v>
      </c>
      <c r="M68" s="57" t="s">
        <v>215</v>
      </c>
    </row>
    <row r="69" spans="1:13" x14ac:dyDescent="0.15">
      <c r="A69" s="82" t="s">
        <v>203</v>
      </c>
      <c r="B69" s="83">
        <f>floors!$C$2</f>
        <v>60019</v>
      </c>
      <c r="C69" s="84" t="str">
        <f ca="1">VLOOKUP($B69,OFFSET([2]quests!$A$1,0,0,COUNTA([2]quests!$A:$A),MATCH(C$1,[2]quests!$1:$1,0)-MATCH($B$1,[2]quests!$1:$1,0)+1),MATCH(C$1,[2]quests!$1:$1,0)-MATCH($B$1,[2]quests!$1:$1,0)+1,FALSE)</f>
        <v>ヘンペルチャレンジ</v>
      </c>
      <c r="D69" s="84" t="str">
        <f ca="1">VLOOKUP($B69,OFFSET([2]quests!$A$1,0,0,COUNTA([2]quests!$A:$A),MATCH(D$1,[2]quests!$1:$1,0)-MATCH($B$1,[2]quests!$1:$1,0)+1),MATCH(D$1,[2]quests!$1:$1,0)-MATCH($B$1,[2]quests!$1:$1,0)+1,FALSE)</f>
        <v>ランキング7</v>
      </c>
      <c r="E69" s="88" t="s">
        <v>220</v>
      </c>
      <c r="F69" s="84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4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6">
        <v>0</v>
      </c>
      <c r="I69" s="99">
        <v>14</v>
      </c>
      <c r="J69" s="85" t="s">
        <v>200</v>
      </c>
      <c r="K69" s="95" t="str">
        <f>VLOOKUP(I69,[7]stage_hints!$A:$C,3,FALSE)</f>
        <v>覚醒するにはレベルを最大に</v>
      </c>
      <c r="L69" s="96" t="str">
        <f>VLOOKUP(I69,[7]stage_hints!$A:$D,4,FALSE)</f>
        <v>覚醒するにはユニットのレベルを_x000D_最大まで上げる必要があります</v>
      </c>
      <c r="M69" s="57" t="s">
        <v>215</v>
      </c>
    </row>
    <row r="70" spans="1:13" x14ac:dyDescent="0.15">
      <c r="A70" s="82" t="s">
        <v>203</v>
      </c>
      <c r="B70" s="83">
        <f>floors!$C$2</f>
        <v>60019</v>
      </c>
      <c r="C70" s="84" t="str">
        <f ca="1">VLOOKUP($B70,OFFSET([2]quests!$A$1,0,0,COUNTA([2]quests!$A:$A),MATCH(C$1,[2]quests!$1:$1,0)-MATCH($B$1,[2]quests!$1:$1,0)+1),MATCH(C$1,[2]quests!$1:$1,0)-MATCH($B$1,[2]quests!$1:$1,0)+1,FALSE)</f>
        <v>ヘンペルチャレンジ</v>
      </c>
      <c r="D70" s="84" t="str">
        <f ca="1">VLOOKUP($B70,OFFSET([2]quests!$A$1,0,0,COUNTA([2]quests!$A:$A),MATCH(D$1,[2]quests!$1:$1,0)-MATCH($B$1,[2]quests!$1:$1,0)+1),MATCH(D$1,[2]quests!$1:$1,0)-MATCH($B$1,[2]quests!$1:$1,0)+1,FALSE)</f>
        <v>ランキング7</v>
      </c>
      <c r="E70" s="88" t="s">
        <v>220</v>
      </c>
      <c r="F70" s="84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4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6">
        <v>0</v>
      </c>
      <c r="I70" s="99">
        <v>15</v>
      </c>
      <c r="J70" s="85" t="s">
        <v>200</v>
      </c>
      <c r="K70" s="95" t="str">
        <f>VLOOKUP(I70,[7]stage_hints!$A:$C,3,FALSE)</f>
        <v>覚醒素材を獲得</v>
      </c>
      <c r="L70" s="96" t="str">
        <f>VLOOKUP(I70,[7]stage_hints!$A:$D,4,FALSE)</f>
        <v>「曜日クエスト」では_x000D_ユニットの覚醒に必要な素材が手に入ります</v>
      </c>
      <c r="M70" s="57" t="s">
        <v>215</v>
      </c>
    </row>
    <row r="71" spans="1:13" x14ac:dyDescent="0.15">
      <c r="A71" s="82" t="s">
        <v>203</v>
      </c>
      <c r="B71" s="83">
        <f>floors!$C$2</f>
        <v>60019</v>
      </c>
      <c r="C71" s="84" t="str">
        <f ca="1">VLOOKUP($B71,OFFSET([2]quests!$A$1,0,0,COUNTA([2]quests!$A:$A),MATCH(C$1,[2]quests!$1:$1,0)-MATCH($B$1,[2]quests!$1:$1,0)+1),MATCH(C$1,[2]quests!$1:$1,0)-MATCH($B$1,[2]quests!$1:$1,0)+1,FALSE)</f>
        <v>ヘンペルチャレンジ</v>
      </c>
      <c r="D71" s="84" t="str">
        <f ca="1">VLOOKUP($B71,OFFSET([2]quests!$A$1,0,0,COUNTA([2]quests!$A:$A),MATCH(D$1,[2]quests!$1:$1,0)-MATCH($B$1,[2]quests!$1:$1,0)+1),MATCH(D$1,[2]quests!$1:$1,0)-MATCH($B$1,[2]quests!$1:$1,0)+1,FALSE)</f>
        <v>ランキング7</v>
      </c>
      <c r="E71" s="88" t="s">
        <v>220</v>
      </c>
      <c r="F71" s="84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4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6">
        <v>0</v>
      </c>
      <c r="I71" s="99">
        <v>16</v>
      </c>
      <c r="J71" s="85" t="s">
        <v>200</v>
      </c>
      <c r="K71" s="95" t="str">
        <f>VLOOKUP(I71,[7]stage_hints!$A:$C,3,FALSE)</f>
        <v>マルチプレイのメリット（その1）</v>
      </c>
      <c r="L71" s="96" t="str">
        <f>VLOOKUP(I71,[7]stage_hints!$A:$D,4,FALSE)</f>
        <v>他のプレイヤーとマルチプレイで遊ぶと_x000D_ポリゴンがもらえます（100人まで）</v>
      </c>
      <c r="M71" s="57" t="s">
        <v>215</v>
      </c>
    </row>
    <row r="72" spans="1:13" x14ac:dyDescent="0.15">
      <c r="A72" s="82" t="s">
        <v>203</v>
      </c>
      <c r="B72" s="83">
        <f>floors!$C$2</f>
        <v>60019</v>
      </c>
      <c r="C72" s="84" t="str">
        <f ca="1">VLOOKUP($B72,OFFSET([2]quests!$A$1,0,0,COUNTA([2]quests!$A:$A),MATCH(C$1,[2]quests!$1:$1,0)-MATCH($B$1,[2]quests!$1:$1,0)+1),MATCH(C$1,[2]quests!$1:$1,0)-MATCH($B$1,[2]quests!$1:$1,0)+1,FALSE)</f>
        <v>ヘンペルチャレンジ</v>
      </c>
      <c r="D72" s="84" t="str">
        <f ca="1">VLOOKUP($B72,OFFSET([2]quests!$A$1,0,0,COUNTA([2]quests!$A:$A),MATCH(D$1,[2]quests!$1:$1,0)-MATCH($B$1,[2]quests!$1:$1,0)+1),MATCH(D$1,[2]quests!$1:$1,0)-MATCH($B$1,[2]quests!$1:$1,0)+1,FALSE)</f>
        <v>ランキング7</v>
      </c>
      <c r="E72" s="88" t="s">
        <v>220</v>
      </c>
      <c r="F72" s="84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4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6">
        <v>0</v>
      </c>
      <c r="I72" s="99">
        <v>17</v>
      </c>
      <c r="J72" s="85" t="s">
        <v>200</v>
      </c>
      <c r="K72" s="95" t="str">
        <f>VLOOKUP(I72,[7]stage_hints!$A:$C,3,FALSE)</f>
        <v>リンクガチャ</v>
      </c>
      <c r="L72" s="96" t="str">
        <f>VLOOKUP(I72,[7]stage_hints!$A:$D,4,FALSE)</f>
        <v>無料のリンクガチャを回して_x000D_経験値素材や売却素材を獲得しましょう</v>
      </c>
      <c r="M72" s="57" t="s">
        <v>215</v>
      </c>
    </row>
    <row r="73" spans="1:13" x14ac:dyDescent="0.15">
      <c r="A73" s="82" t="s">
        <v>203</v>
      </c>
      <c r="B73" s="83">
        <f>floors!$C$2</f>
        <v>60019</v>
      </c>
      <c r="C73" s="84" t="str">
        <f ca="1">VLOOKUP($B73,OFFSET([2]quests!$A$1,0,0,COUNTA([2]quests!$A:$A),MATCH(C$1,[2]quests!$1:$1,0)-MATCH($B$1,[2]quests!$1:$1,0)+1),MATCH(C$1,[2]quests!$1:$1,0)-MATCH($B$1,[2]quests!$1:$1,0)+1,FALSE)</f>
        <v>ヘンペルチャレンジ</v>
      </c>
      <c r="D73" s="84" t="str">
        <f ca="1">VLOOKUP($B73,OFFSET([2]quests!$A$1,0,0,COUNTA([2]quests!$A:$A),MATCH(D$1,[2]quests!$1:$1,0)-MATCH($B$1,[2]quests!$1:$1,0)+1),MATCH(D$1,[2]quests!$1:$1,0)-MATCH($B$1,[2]quests!$1:$1,0)+1,FALSE)</f>
        <v>ランキング7</v>
      </c>
      <c r="E73" s="88" t="s">
        <v>220</v>
      </c>
      <c r="F73" s="84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4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6">
        <v>0</v>
      </c>
      <c r="I73" s="99">
        <v>18</v>
      </c>
      <c r="J73" s="85" t="s">
        <v>200</v>
      </c>
      <c r="K73" s="95" t="str">
        <f>VLOOKUP(I73,[7]stage_hints!$A:$C,3,FALSE)</f>
        <v>マルチプレイのメリット（その2）</v>
      </c>
      <c r="L73" s="96" t="str">
        <f>VLOOKUP(I73,[7]stage_hints!$A:$D,4,FALSE)</f>
        <v>マルチプレイならリンクが2倍もらえます_x000D_リンクガチャをたくさん回しましょう</v>
      </c>
      <c r="M73" s="57" t="s">
        <v>215</v>
      </c>
    </row>
    <row r="74" spans="1:13" x14ac:dyDescent="0.15">
      <c r="A74" s="82" t="s">
        <v>203</v>
      </c>
      <c r="B74" s="83">
        <f>floors!$C$2</f>
        <v>60019</v>
      </c>
      <c r="C74" s="84" t="str">
        <f ca="1">VLOOKUP($B74,OFFSET([2]quests!$A$1,0,0,COUNTA([2]quests!$A:$A),MATCH(C$1,[2]quests!$1:$1,0)-MATCH($B$1,[2]quests!$1:$1,0)+1),MATCH(C$1,[2]quests!$1:$1,0)-MATCH($B$1,[2]quests!$1:$1,0)+1,FALSE)</f>
        <v>ヘンペルチャレンジ</v>
      </c>
      <c r="D74" s="84" t="str">
        <f ca="1">VLOOKUP($B74,OFFSET([2]quests!$A$1,0,0,COUNTA([2]quests!$A:$A),MATCH(D$1,[2]quests!$1:$1,0)-MATCH($B$1,[2]quests!$1:$1,0)+1),MATCH(D$1,[2]quests!$1:$1,0)-MATCH($B$1,[2]quests!$1:$1,0)+1,FALSE)</f>
        <v>ランキング7</v>
      </c>
      <c r="E74" s="88" t="s">
        <v>220</v>
      </c>
      <c r="F74" s="84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4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6">
        <v>0</v>
      </c>
      <c r="I74" s="99">
        <v>19</v>
      </c>
      <c r="J74" s="85" t="s">
        <v>200</v>
      </c>
      <c r="K74" s="95" t="str">
        <f>VLOOKUP(I74,[7]stage_hints!$A:$C,3,FALSE)</f>
        <v>ソロ専用チャレンジタワー</v>
      </c>
      <c r="L74" s="96" t="str">
        <f>VLOOKUP(I74,[7]stage_hints!$A:$D,4,FALSE)</f>
        <v>ソロ専用の「チャレンジタワー」では_x000D_各フロアごとにクリア報酬がもらえます</v>
      </c>
      <c r="M74" s="57" t="s">
        <v>215</v>
      </c>
    </row>
    <row r="75" spans="1:13" x14ac:dyDescent="0.15">
      <c r="A75" s="82" t="s">
        <v>203</v>
      </c>
      <c r="B75" s="83">
        <f>floors!$C$2</f>
        <v>60019</v>
      </c>
      <c r="C75" s="84" t="str">
        <f ca="1">VLOOKUP($B75,OFFSET([2]quests!$A$1,0,0,COUNTA([2]quests!$A:$A),MATCH(C$1,[2]quests!$1:$1,0)-MATCH($B$1,[2]quests!$1:$1,0)+1),MATCH(C$1,[2]quests!$1:$1,0)-MATCH($B$1,[2]quests!$1:$1,0)+1,FALSE)</f>
        <v>ヘンペルチャレンジ</v>
      </c>
      <c r="D75" s="84" t="str">
        <f ca="1">VLOOKUP($B75,OFFSET([2]quests!$A$1,0,0,COUNTA([2]quests!$A:$A),MATCH(D$1,[2]quests!$1:$1,0)-MATCH($B$1,[2]quests!$1:$1,0)+1),MATCH(D$1,[2]quests!$1:$1,0)-MATCH($B$1,[2]quests!$1:$1,0)+1,FALSE)</f>
        <v>ランキング7</v>
      </c>
      <c r="E75" s="88" t="s">
        <v>220</v>
      </c>
      <c r="F75" s="84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4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6">
        <v>0</v>
      </c>
      <c r="I75" s="99">
        <v>20</v>
      </c>
      <c r="J75" s="85" t="s">
        <v>200</v>
      </c>
      <c r="K75" s="95" t="str">
        <f>VLOOKUP(I75,[7]stage_hints!$A:$C,3,FALSE)</f>
        <v>マルチプレイのメリット（その3）</v>
      </c>
      <c r="L75" s="96" t="str">
        <f>VLOOKUP(I75,[7]stage_hints!$A:$D,4,FALSE)</f>
        <v>マルチプレイへの参加はエナジー消費ゼロ_x000D_いつでも好きなだけ遊ぶことができます</v>
      </c>
      <c r="M75" s="57" t="s">
        <v>215</v>
      </c>
    </row>
    <row r="76" spans="1:13" x14ac:dyDescent="0.15">
      <c r="A76" s="82" t="s">
        <v>203</v>
      </c>
      <c r="B76" s="83">
        <f>floors!$C$2</f>
        <v>60019</v>
      </c>
      <c r="C76" s="84" t="str">
        <f ca="1">VLOOKUP($B76,OFFSET([2]quests!$A$1,0,0,COUNTA([2]quests!$A:$A),MATCH(C$1,[2]quests!$1:$1,0)-MATCH($B$1,[2]quests!$1:$1,0)+1),MATCH(C$1,[2]quests!$1:$1,0)-MATCH($B$1,[2]quests!$1:$1,0)+1,FALSE)</f>
        <v>ヘンペルチャレンジ</v>
      </c>
      <c r="D76" s="84" t="str">
        <f ca="1">VLOOKUP($B76,OFFSET([2]quests!$A$1,0,0,COUNTA([2]quests!$A:$A),MATCH(D$1,[2]quests!$1:$1,0)-MATCH($B$1,[2]quests!$1:$1,0)+1),MATCH(D$1,[2]quests!$1:$1,0)-MATCH($B$1,[2]quests!$1:$1,0)+1,FALSE)</f>
        <v>ランキング7</v>
      </c>
      <c r="E76" s="88" t="s">
        <v>220</v>
      </c>
      <c r="F76" s="84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4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6">
        <v>0</v>
      </c>
      <c r="I76" s="99">
        <v>21</v>
      </c>
      <c r="J76" s="85" t="s">
        <v>200</v>
      </c>
      <c r="K76" s="95" t="str">
        <f>VLOOKUP(I76,[7]stage_hints!$A:$C,3,FALSE)</f>
        <v>スキルを有効に</v>
      </c>
      <c r="L76" s="96" t="str">
        <f>VLOOKUP(I76,[7]stage_hints!$A:$D,4,FALSE)</f>
        <v>ターン経過でユニットのスキルが使えます_x000D_強力スキルでバトルを有利に進めましょう</v>
      </c>
      <c r="M76" s="57" t="s">
        <v>215</v>
      </c>
    </row>
    <row r="77" spans="1:13" x14ac:dyDescent="0.15">
      <c r="A77" s="82" t="s">
        <v>203</v>
      </c>
      <c r="B77" s="83">
        <f>floors!$C$2</f>
        <v>60019</v>
      </c>
      <c r="C77" s="84" t="str">
        <f ca="1">VLOOKUP($B77,OFFSET([2]quests!$A$1,0,0,COUNTA([2]quests!$A:$A),MATCH(C$1,[2]quests!$1:$1,0)-MATCH($B$1,[2]quests!$1:$1,0)+1),MATCH(C$1,[2]quests!$1:$1,0)-MATCH($B$1,[2]quests!$1:$1,0)+1,FALSE)</f>
        <v>ヘンペルチャレンジ</v>
      </c>
      <c r="D77" s="84" t="str">
        <f ca="1">VLOOKUP($B77,OFFSET([2]quests!$A$1,0,0,COUNTA([2]quests!$A:$A),MATCH(D$1,[2]quests!$1:$1,0)-MATCH($B$1,[2]quests!$1:$1,0)+1),MATCH(D$1,[2]quests!$1:$1,0)-MATCH($B$1,[2]quests!$1:$1,0)+1,FALSE)</f>
        <v>ランキング7</v>
      </c>
      <c r="E77" s="88" t="s">
        <v>220</v>
      </c>
      <c r="F77" s="84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4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6">
        <v>0</v>
      </c>
      <c r="I77" s="99">
        <v>22</v>
      </c>
      <c r="J77" s="85" t="s">
        <v>200</v>
      </c>
      <c r="K77" s="95" t="str">
        <f>VLOOKUP(I77,[7]stage_hints!$A:$C,3,FALSE)</f>
        <v>フィーバーで一発逆転（その1）</v>
      </c>
      <c r="L77" s="96" t="str">
        <f>VLOOKUP(I77,[7]stage_hints!$A:$D,4,FALSE)</f>
        <v>フィーバーは攻撃と回復を兼ね備えます_x000D_ピンチからの一発逆転を狙いましょう</v>
      </c>
      <c r="M77" s="57" t="s">
        <v>215</v>
      </c>
    </row>
    <row r="78" spans="1:13" x14ac:dyDescent="0.15">
      <c r="A78" s="82" t="s">
        <v>203</v>
      </c>
      <c r="B78" s="83">
        <f>floors!$C$2</f>
        <v>60019</v>
      </c>
      <c r="C78" s="84" t="str">
        <f ca="1">VLOOKUP($B78,OFFSET([2]quests!$A$1,0,0,COUNTA([2]quests!$A:$A),MATCH(C$1,[2]quests!$1:$1,0)-MATCH($B$1,[2]quests!$1:$1,0)+1),MATCH(C$1,[2]quests!$1:$1,0)-MATCH($B$1,[2]quests!$1:$1,0)+1,FALSE)</f>
        <v>ヘンペルチャレンジ</v>
      </c>
      <c r="D78" s="84" t="str">
        <f ca="1">VLOOKUP($B78,OFFSET([2]quests!$A$1,0,0,COUNTA([2]quests!$A:$A),MATCH(D$1,[2]quests!$1:$1,0)-MATCH($B$1,[2]quests!$1:$1,0)+1),MATCH(D$1,[2]quests!$1:$1,0)-MATCH($B$1,[2]quests!$1:$1,0)+1,FALSE)</f>
        <v>ランキング7</v>
      </c>
      <c r="E78" s="88" t="s">
        <v>220</v>
      </c>
      <c r="F78" s="84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4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6">
        <v>0</v>
      </c>
      <c r="I78" s="99">
        <v>23</v>
      </c>
      <c r="J78" s="85" t="s">
        <v>200</v>
      </c>
      <c r="K78" s="95" t="str">
        <f>VLOOKUP(I78,[7]stage_hints!$A:$C,3,FALSE)</f>
        <v>フィーバーで一発逆転（その2）</v>
      </c>
      <c r="L78" s="96" t="str">
        <f>VLOOKUP(I78,[7]stage_hints!$A:$D,4,FALSE)</f>
        <v>フィーバー中は虹色のボムパネルを狙って_x000D_画面上のパネルを一気に破壊しましょう</v>
      </c>
      <c r="M78" s="57" t="s">
        <v>215</v>
      </c>
    </row>
    <row r="79" spans="1:13" x14ac:dyDescent="0.15">
      <c r="A79" s="82" t="s">
        <v>203</v>
      </c>
      <c r="B79" s="83">
        <f>floors!$C$2</f>
        <v>60019</v>
      </c>
      <c r="C79" s="84" t="str">
        <f ca="1">VLOOKUP($B79,OFFSET([2]quests!$A$1,0,0,COUNTA([2]quests!$A:$A),MATCH(C$1,[2]quests!$1:$1,0)-MATCH($B$1,[2]quests!$1:$1,0)+1),MATCH(C$1,[2]quests!$1:$1,0)-MATCH($B$1,[2]quests!$1:$1,0)+1,FALSE)</f>
        <v>ヘンペルチャレンジ</v>
      </c>
      <c r="D79" s="84" t="str">
        <f ca="1">VLOOKUP($B79,OFFSET([2]quests!$A$1,0,0,COUNTA([2]quests!$A:$A),MATCH(D$1,[2]quests!$1:$1,0)-MATCH($B$1,[2]quests!$1:$1,0)+1),MATCH(D$1,[2]quests!$1:$1,0)-MATCH($B$1,[2]quests!$1:$1,0)+1,FALSE)</f>
        <v>ランキング7</v>
      </c>
      <c r="E79" s="88" t="s">
        <v>220</v>
      </c>
      <c r="F79" s="84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4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6">
        <v>0</v>
      </c>
      <c r="I79" s="99">
        <v>24</v>
      </c>
      <c r="J79" s="85" t="s">
        <v>200</v>
      </c>
      <c r="K79" s="95" t="str">
        <f>VLOOKUP(I79,[7]stage_hints!$A:$C,3,FALSE)</f>
        <v>りんごを使って限界突破</v>
      </c>
      <c r="L79" s="96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7" t="s">
        <v>215</v>
      </c>
    </row>
    <row r="80" spans="1:13" x14ac:dyDescent="0.15">
      <c r="A80" s="82" t="s">
        <v>203</v>
      </c>
      <c r="B80" s="83">
        <f>floors!$C$2</f>
        <v>60019</v>
      </c>
      <c r="C80" s="84" t="str">
        <f ca="1">VLOOKUP($B80,OFFSET([2]quests!$A$1,0,0,COUNTA([2]quests!$A:$A),MATCH(C$1,[2]quests!$1:$1,0)-MATCH($B$1,[2]quests!$1:$1,0)+1),MATCH(C$1,[2]quests!$1:$1,0)-MATCH($B$1,[2]quests!$1:$1,0)+1,FALSE)</f>
        <v>ヘンペルチャレンジ</v>
      </c>
      <c r="D80" s="84" t="str">
        <f ca="1">VLOOKUP($B80,OFFSET([2]quests!$A$1,0,0,COUNTA([2]quests!$A:$A),MATCH(D$1,[2]quests!$1:$1,0)-MATCH($B$1,[2]quests!$1:$1,0)+1),MATCH(D$1,[2]quests!$1:$1,0)-MATCH($B$1,[2]quests!$1:$1,0)+1,FALSE)</f>
        <v>ランキング7</v>
      </c>
      <c r="E80" s="88" t="s">
        <v>220</v>
      </c>
      <c r="F80" s="84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4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6">
        <v>0</v>
      </c>
      <c r="I80" s="99">
        <v>25</v>
      </c>
      <c r="J80" s="85" t="s">
        <v>200</v>
      </c>
      <c r="K80" s="95" t="str">
        <f>VLOOKUP(I80,[7]stage_hints!$A:$C,3,FALSE)</f>
        <v>スキルレベルアップ</v>
      </c>
      <c r="L80" s="96" t="str">
        <f>VLOOKUP(I80,[7]stage_hints!$A:$D,4,FALSE)</f>
        <v>「クリスタルのりんご」を強化に使うと_x000D_スキルレベルを上げることができます</v>
      </c>
      <c r="M80" s="57" t="s">
        <v>215</v>
      </c>
    </row>
    <row r="81" spans="1:13" x14ac:dyDescent="0.15">
      <c r="A81" s="82" t="s">
        <v>203</v>
      </c>
      <c r="B81" s="83">
        <f>floors!$C$2</f>
        <v>60019</v>
      </c>
      <c r="C81" s="84" t="str">
        <f ca="1">VLOOKUP($B81,OFFSET([2]quests!$A$1,0,0,COUNTA([2]quests!$A:$A),MATCH(C$1,[2]quests!$1:$1,0)-MATCH($B$1,[2]quests!$1:$1,0)+1),MATCH(C$1,[2]quests!$1:$1,0)-MATCH($B$1,[2]quests!$1:$1,0)+1,FALSE)</f>
        <v>ヘンペルチャレンジ</v>
      </c>
      <c r="D81" s="84" t="str">
        <f ca="1">VLOOKUP($B81,OFFSET([2]quests!$A$1,0,0,COUNTA([2]quests!$A:$A),MATCH(D$1,[2]quests!$1:$1,0)-MATCH($B$1,[2]quests!$1:$1,0)+1),MATCH(D$1,[2]quests!$1:$1,0)-MATCH($B$1,[2]quests!$1:$1,0)+1,FALSE)</f>
        <v>ランキング7</v>
      </c>
      <c r="E81" s="88" t="s">
        <v>220</v>
      </c>
      <c r="F81" s="84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4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6">
        <v>0</v>
      </c>
      <c r="I81" s="99">
        <v>26</v>
      </c>
      <c r="J81" s="85" t="s">
        <v>200</v>
      </c>
      <c r="K81" s="95" t="str">
        <f>VLOOKUP(I81,[7]stage_hints!$A:$C,3,FALSE)</f>
        <v>スキルレベルの効果</v>
      </c>
      <c r="L81" s="96" t="str">
        <f>VLOOKUP(I81,[7]stage_hints!$A:$D,4,FALSE)</f>
        <v>スキルレベルが上がると_x000D_短いターンでスキルを使うことができます</v>
      </c>
      <c r="M81" s="57" t="s">
        <v>215</v>
      </c>
    </row>
    <row r="82" spans="1:13" x14ac:dyDescent="0.15">
      <c r="A82" s="82" t="s">
        <v>203</v>
      </c>
      <c r="B82" s="83">
        <f>floors!$C$2</f>
        <v>60019</v>
      </c>
      <c r="C82" s="84" t="str">
        <f ca="1">VLOOKUP($B82,OFFSET([2]quests!$A$1,0,0,COUNTA([2]quests!$A:$A),MATCH(C$1,[2]quests!$1:$1,0)-MATCH($B$1,[2]quests!$1:$1,0)+1),MATCH(C$1,[2]quests!$1:$1,0)-MATCH($B$1,[2]quests!$1:$1,0)+1,FALSE)</f>
        <v>ヘンペルチャレンジ</v>
      </c>
      <c r="D82" s="84" t="str">
        <f ca="1">VLOOKUP($B82,OFFSET([2]quests!$A$1,0,0,COUNTA([2]quests!$A:$A),MATCH(D$1,[2]quests!$1:$1,0)-MATCH($B$1,[2]quests!$1:$1,0)+1),MATCH(D$1,[2]quests!$1:$1,0)-MATCH($B$1,[2]quests!$1:$1,0)+1,FALSE)</f>
        <v>ランキング7</v>
      </c>
      <c r="E82" s="88" t="s">
        <v>220</v>
      </c>
      <c r="F82" s="84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4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6">
        <v>0</v>
      </c>
      <c r="I82" s="99">
        <v>27</v>
      </c>
      <c r="J82" s="85" t="s">
        <v>200</v>
      </c>
      <c r="K82" s="95" t="str">
        <f>VLOOKUP(I82,[7]stage_hints!$A:$C,3,FALSE)</f>
        <v>ホーム画面からデッキを編成</v>
      </c>
      <c r="L82" s="96" t="str">
        <f>VLOOKUP(I82,[7]stage_hints!$A:$D,4,FALSE)</f>
        <v>ホーム画面でユニットを長押しすると_x000D_すぐにパーティ編成に移動できます</v>
      </c>
      <c r="M82" s="57" t="s">
        <v>215</v>
      </c>
    </row>
    <row r="83" spans="1:13" x14ac:dyDescent="0.15">
      <c r="A83" s="82" t="s">
        <v>203</v>
      </c>
      <c r="B83" s="83">
        <f>floors!$C$2</f>
        <v>60019</v>
      </c>
      <c r="C83" s="84" t="str">
        <f ca="1">VLOOKUP($B83,OFFSET([2]quests!$A$1,0,0,COUNTA([2]quests!$A:$A),MATCH(C$1,[2]quests!$1:$1,0)-MATCH($B$1,[2]quests!$1:$1,0)+1),MATCH(C$1,[2]quests!$1:$1,0)-MATCH($B$1,[2]quests!$1:$1,0)+1,FALSE)</f>
        <v>ヘンペルチャレンジ</v>
      </c>
      <c r="D83" s="84" t="str">
        <f ca="1">VLOOKUP($B83,OFFSET([2]quests!$A$1,0,0,COUNTA([2]quests!$A:$A),MATCH(D$1,[2]quests!$1:$1,0)-MATCH($B$1,[2]quests!$1:$1,0)+1),MATCH(D$1,[2]quests!$1:$1,0)-MATCH($B$1,[2]quests!$1:$1,0)+1,FALSE)</f>
        <v>ランキング7</v>
      </c>
      <c r="E83" s="88" t="s">
        <v>220</v>
      </c>
      <c r="F83" s="84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4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6">
        <v>0</v>
      </c>
      <c r="I83" s="99">
        <v>28</v>
      </c>
      <c r="J83" s="85" t="s">
        <v>200</v>
      </c>
      <c r="K83" s="95" t="str">
        <f>VLOOKUP(I83,[7]stage_hints!$A:$C,3,FALSE)</f>
        <v>ステータス情報は長押しで</v>
      </c>
      <c r="L83" s="96" t="str">
        <f>VLOOKUP(I83,[7]stage_hints!$A:$D,4,FALSE)</f>
        <v>ユニットのアイコンを長押しすると_x000D_ステータス情報を確認することができます</v>
      </c>
      <c r="M83" s="57" t="s">
        <v>215</v>
      </c>
    </row>
    <row r="84" spans="1:13" x14ac:dyDescent="0.15">
      <c r="A84" s="82" t="s">
        <v>203</v>
      </c>
      <c r="B84" s="83">
        <f>floors!$C$2</f>
        <v>60019</v>
      </c>
      <c r="C84" s="84" t="str">
        <f ca="1">VLOOKUP($B84,OFFSET([2]quests!$A$1,0,0,COUNTA([2]quests!$A:$A),MATCH(C$1,[2]quests!$1:$1,0)-MATCH($B$1,[2]quests!$1:$1,0)+1),MATCH(C$1,[2]quests!$1:$1,0)-MATCH($B$1,[2]quests!$1:$1,0)+1,FALSE)</f>
        <v>ヘンペルチャレンジ</v>
      </c>
      <c r="D84" s="84" t="str">
        <f ca="1">VLOOKUP($B84,OFFSET([2]quests!$A$1,0,0,COUNTA([2]quests!$A:$A),MATCH(D$1,[2]quests!$1:$1,0)-MATCH($B$1,[2]quests!$1:$1,0)+1),MATCH(D$1,[2]quests!$1:$1,0)-MATCH($B$1,[2]quests!$1:$1,0)+1,FALSE)</f>
        <v>ランキング7</v>
      </c>
      <c r="E84" s="88" t="s">
        <v>220</v>
      </c>
      <c r="F84" s="84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4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6">
        <v>0</v>
      </c>
      <c r="I84" s="99">
        <v>29</v>
      </c>
      <c r="J84" s="85" t="s">
        <v>200</v>
      </c>
      <c r="K84" s="95" t="str">
        <f>VLOOKUP(I84,[7]stage_hints!$A:$C,3,FALSE)</f>
        <v>「バグ」のメリット</v>
      </c>
      <c r="L84" s="96" t="str">
        <f>VLOOKUP(I84,[7]stage_hints!$A:$D,4,FALSE)</f>
        <v>ユニットの「バグ」を増やすと_x000D_報酬をもらえる確率がアップします</v>
      </c>
      <c r="M84" s="57" t="s">
        <v>215</v>
      </c>
    </row>
    <row r="85" spans="1:13" x14ac:dyDescent="0.15">
      <c r="A85" s="82" t="s">
        <v>203</v>
      </c>
      <c r="B85" s="83">
        <f>floors!$C$2</f>
        <v>60019</v>
      </c>
      <c r="C85" s="84" t="str">
        <f ca="1">VLOOKUP($B85,OFFSET([2]quests!$A$1,0,0,COUNTA([2]quests!$A:$A),MATCH(C$1,[2]quests!$1:$1,0)-MATCH($B$1,[2]quests!$1:$1,0)+1),MATCH(C$1,[2]quests!$1:$1,0)-MATCH($B$1,[2]quests!$1:$1,0)+1,FALSE)</f>
        <v>ヘンペルチャレンジ</v>
      </c>
      <c r="D85" s="84" t="str">
        <f ca="1">VLOOKUP($B85,OFFSET([2]quests!$A$1,0,0,COUNTA([2]quests!$A:$A),MATCH(D$1,[2]quests!$1:$1,0)-MATCH($B$1,[2]quests!$1:$1,0)+1),MATCH(D$1,[2]quests!$1:$1,0)-MATCH($B$1,[2]quests!$1:$1,0)+1,FALSE)</f>
        <v>ランキング7</v>
      </c>
      <c r="E85" s="88" t="s">
        <v>220</v>
      </c>
      <c r="F85" s="84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4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6">
        <v>0</v>
      </c>
      <c r="I85" s="99">
        <v>30</v>
      </c>
      <c r="J85" s="85" t="s">
        <v>200</v>
      </c>
      <c r="K85" s="95" t="str">
        <f>VLOOKUP(I85,[7]stage_hints!$A:$C,3,FALSE)</f>
        <v>「バグ」の増やし方</v>
      </c>
      <c r="L85" s="96" t="str">
        <f>VLOOKUP(I85,[7]stage_hints!$A:$D,4,FALSE)</f>
        <v>同じユニット同士を強化で合成すると_x000D_「バグ」を増やすことができます</v>
      </c>
      <c r="M85" s="57" t="s">
        <v>215</v>
      </c>
    </row>
    <row r="86" spans="1:13" x14ac:dyDescent="0.15">
      <c r="A86" s="82" t="s">
        <v>203</v>
      </c>
      <c r="B86" s="83">
        <f>floors!$C$2</f>
        <v>60019</v>
      </c>
      <c r="C86" s="84" t="str">
        <f ca="1">VLOOKUP($B86,OFFSET([2]quests!$A$1,0,0,COUNTA([2]quests!$A:$A),MATCH(C$1,[2]quests!$1:$1,0)-MATCH($B$1,[2]quests!$1:$1,0)+1),MATCH(C$1,[2]quests!$1:$1,0)-MATCH($B$1,[2]quests!$1:$1,0)+1,FALSE)</f>
        <v>ヘンペルチャレンジ</v>
      </c>
      <c r="D86" s="84" t="str">
        <f ca="1">VLOOKUP($B86,OFFSET([2]quests!$A$1,0,0,COUNTA([2]quests!$A:$A),MATCH(D$1,[2]quests!$1:$1,0)-MATCH($B$1,[2]quests!$1:$1,0)+1),MATCH(D$1,[2]quests!$1:$1,0)-MATCH($B$1,[2]quests!$1:$1,0)+1,FALSE)</f>
        <v>ランキング7</v>
      </c>
      <c r="E86" s="88" t="s">
        <v>220</v>
      </c>
      <c r="F86" s="84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4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6">
        <v>0</v>
      </c>
      <c r="I86" s="99">
        <v>31</v>
      </c>
      <c r="J86" s="85" t="s">
        <v>200</v>
      </c>
      <c r="K86" s="95" t="str">
        <f>VLOOKUP(I86,[7]stage_hints!$A:$C,3,FALSE)</f>
        <v>イベントはお知らせでチェック</v>
      </c>
      <c r="L86" s="96" t="str">
        <f>VLOOKUP(I86,[7]stage_hints!$A:$D,4,FALSE)</f>
        <v>イベント限定ユニットを取り忘れないように_x000D_お知らせをこまめにチェックしましょう</v>
      </c>
      <c r="M86" s="57" t="s">
        <v>215</v>
      </c>
    </row>
    <row r="87" spans="1:13" x14ac:dyDescent="0.15">
      <c r="A87" s="82" t="s">
        <v>203</v>
      </c>
      <c r="B87" s="83">
        <f>floors!$C$2</f>
        <v>60019</v>
      </c>
      <c r="C87" s="84" t="str">
        <f ca="1">VLOOKUP($B87,OFFSET([2]quests!$A$1,0,0,COUNTA([2]quests!$A:$A),MATCH(C$1,[2]quests!$1:$1,0)-MATCH($B$1,[2]quests!$1:$1,0)+1),MATCH(C$1,[2]quests!$1:$1,0)-MATCH($B$1,[2]quests!$1:$1,0)+1,FALSE)</f>
        <v>ヘンペルチャレンジ</v>
      </c>
      <c r="D87" s="84" t="str">
        <f ca="1">VLOOKUP($B87,OFFSET([2]quests!$A$1,0,0,COUNTA([2]quests!$A:$A),MATCH(D$1,[2]quests!$1:$1,0)-MATCH($B$1,[2]quests!$1:$1,0)+1),MATCH(D$1,[2]quests!$1:$1,0)-MATCH($B$1,[2]quests!$1:$1,0)+1,FALSE)</f>
        <v>ランキング7</v>
      </c>
      <c r="E87" s="88" t="s">
        <v>220</v>
      </c>
      <c r="F87" s="84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4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6">
        <v>0</v>
      </c>
      <c r="I87" s="99">
        <v>32</v>
      </c>
      <c r="J87" s="85" t="s">
        <v>200</v>
      </c>
      <c r="K87" s="95" t="str">
        <f>VLOOKUP(I87,[7]stage_hints!$A:$C,3,FALSE)</f>
        <v>敵の連続攻撃には</v>
      </c>
      <c r="L87" s="96" t="str">
        <f>VLOOKUP(I87,[7]stage_hints!$A:$D,4,FALSE)</f>
        <v>カウンタースキルを持つユニットがいれば_x000D_ダメージ回数分の反撃ができます</v>
      </c>
      <c r="M87" s="57" t="s">
        <v>215</v>
      </c>
    </row>
    <row r="88" spans="1:13" x14ac:dyDescent="0.15">
      <c r="A88" s="82" t="s">
        <v>203</v>
      </c>
      <c r="B88" s="83">
        <f>floors!$C$2</f>
        <v>60019</v>
      </c>
      <c r="C88" s="84" t="str">
        <f ca="1">VLOOKUP($B88,OFFSET([2]quests!$A$1,0,0,COUNTA([2]quests!$A:$A),MATCH(C$1,[2]quests!$1:$1,0)-MATCH($B$1,[2]quests!$1:$1,0)+1),MATCH(C$1,[2]quests!$1:$1,0)-MATCH($B$1,[2]quests!$1:$1,0)+1,FALSE)</f>
        <v>ヘンペルチャレンジ</v>
      </c>
      <c r="D88" s="84" t="str">
        <f ca="1">VLOOKUP($B88,OFFSET([2]quests!$A$1,0,0,COUNTA([2]quests!$A:$A),MATCH(D$1,[2]quests!$1:$1,0)-MATCH($B$1,[2]quests!$1:$1,0)+1),MATCH(D$1,[2]quests!$1:$1,0)-MATCH($B$1,[2]quests!$1:$1,0)+1,FALSE)</f>
        <v>ランキング7</v>
      </c>
      <c r="E88" s="88" t="s">
        <v>220</v>
      </c>
      <c r="F88" s="84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4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6">
        <v>0</v>
      </c>
      <c r="I88" s="99">
        <v>33</v>
      </c>
      <c r="J88" s="85" t="s">
        <v>200</v>
      </c>
      <c r="K88" s="95" t="str">
        <f>VLOOKUP(I88,[7]stage_hints!$A:$C,3,FALSE)</f>
        <v>敵のカウンター攻撃には</v>
      </c>
      <c r="L88" s="96" t="str">
        <f>VLOOKUP(I88,[7]stage_hints!$A:$D,4,FALSE)</f>
        <v>カウンターブレイクスキルを持っていれば_x000D_敵のカウンターを解除して攻撃ができます</v>
      </c>
      <c r="M88" s="57" t="s">
        <v>215</v>
      </c>
    </row>
    <row r="89" spans="1:13" x14ac:dyDescent="0.15">
      <c r="A89" s="82" t="s">
        <v>203</v>
      </c>
      <c r="B89" s="83">
        <f>floors!$C$2</f>
        <v>60019</v>
      </c>
      <c r="C89" s="84" t="str">
        <f ca="1">VLOOKUP($B89,OFFSET([2]quests!$A$1,0,0,COUNTA([2]quests!$A:$A),MATCH(C$1,[2]quests!$1:$1,0)-MATCH($B$1,[2]quests!$1:$1,0)+1),MATCH(C$1,[2]quests!$1:$1,0)-MATCH($B$1,[2]quests!$1:$1,0)+1,FALSE)</f>
        <v>ヘンペルチャレンジ</v>
      </c>
      <c r="D89" s="84" t="str">
        <f ca="1">VLOOKUP($B89,OFFSET([2]quests!$A$1,0,0,COUNTA([2]quests!$A:$A),MATCH(D$1,[2]quests!$1:$1,0)-MATCH($B$1,[2]quests!$1:$1,0)+1),MATCH(D$1,[2]quests!$1:$1,0)-MATCH($B$1,[2]quests!$1:$1,0)+1,FALSE)</f>
        <v>ランキング7</v>
      </c>
      <c r="E89" s="88" t="s">
        <v>220</v>
      </c>
      <c r="F89" s="84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4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6">
        <v>0</v>
      </c>
      <c r="I89" s="99">
        <v>34</v>
      </c>
      <c r="J89" s="85" t="s">
        <v>200</v>
      </c>
      <c r="K89" s="95" t="str">
        <f>VLOOKUP(I89,[7]stage_hints!$A:$C,3,FALSE)</f>
        <v>ステータスをスキルで下げられたら</v>
      </c>
      <c r="L89" s="96" t="str">
        <f>VLOOKUP(I89,[7]stage_hints!$A:$D,4,FALSE)</f>
        <v>ステータスダウンのスキルを受けたら_x000D_ステータスアップスキルで上書きしましょう</v>
      </c>
      <c r="M89" s="57" t="s">
        <v>215</v>
      </c>
    </row>
    <row r="90" spans="1:13" x14ac:dyDescent="0.15">
      <c r="A90" s="82" t="s">
        <v>203</v>
      </c>
      <c r="B90" s="83">
        <f>floors!$C$2</f>
        <v>60019</v>
      </c>
      <c r="C90" s="84" t="str">
        <f ca="1">VLOOKUP($B90,OFFSET([2]quests!$A$1,0,0,COUNTA([2]quests!$A:$A),MATCH(C$1,[2]quests!$1:$1,0)-MATCH($B$1,[2]quests!$1:$1,0)+1),MATCH(C$1,[2]quests!$1:$1,0)-MATCH($B$1,[2]quests!$1:$1,0)+1,FALSE)</f>
        <v>ヘンペルチャレンジ</v>
      </c>
      <c r="D90" s="84" t="str">
        <f ca="1">VLOOKUP($B90,OFFSET([2]quests!$A$1,0,0,COUNTA([2]quests!$A:$A),MATCH(D$1,[2]quests!$1:$1,0)-MATCH($B$1,[2]quests!$1:$1,0)+1),MATCH(D$1,[2]quests!$1:$1,0)-MATCH($B$1,[2]quests!$1:$1,0)+1,FALSE)</f>
        <v>ランキング7</v>
      </c>
      <c r="E90" s="88" t="s">
        <v>220</v>
      </c>
      <c r="F90" s="84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4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6">
        <v>0</v>
      </c>
      <c r="I90" s="99">
        <v>35</v>
      </c>
      <c r="J90" s="85" t="s">
        <v>200</v>
      </c>
      <c r="K90" s="95" t="str">
        <f>VLOOKUP(I90,[7]stage_hints!$A:$C,3,FALSE)</f>
        <v>敵のステータスがスキルで上がったら</v>
      </c>
      <c r="L90" s="96" t="str">
        <f>VLOOKUP(I90,[7]stage_hints!$A:$D,4,FALSE)</f>
        <v>敵のステータスがスキルでアップしたときは_x000D_ステータスダウンスキルで上書きしましょう</v>
      </c>
      <c r="M90" s="57" t="s">
        <v>215</v>
      </c>
    </row>
    <row r="91" spans="1:13" x14ac:dyDescent="0.15">
      <c r="A91" s="82" t="s">
        <v>203</v>
      </c>
      <c r="B91" s="83">
        <f>floors!$C$2</f>
        <v>60019</v>
      </c>
      <c r="C91" s="84" t="str">
        <f ca="1">VLOOKUP($B91,OFFSET([2]quests!$A$1,0,0,COUNTA([2]quests!$A:$A),MATCH(C$1,[2]quests!$1:$1,0)-MATCH($B$1,[2]quests!$1:$1,0)+1),MATCH(C$1,[2]quests!$1:$1,0)-MATCH($B$1,[2]quests!$1:$1,0)+1,FALSE)</f>
        <v>ヘンペルチャレンジ</v>
      </c>
      <c r="D91" s="84" t="str">
        <f ca="1">VLOOKUP($B91,OFFSET([2]quests!$A$1,0,0,COUNTA([2]quests!$A:$A),MATCH(D$1,[2]quests!$1:$1,0)-MATCH($B$1,[2]quests!$1:$1,0)+1),MATCH(D$1,[2]quests!$1:$1,0)-MATCH($B$1,[2]quests!$1:$1,0)+1,FALSE)</f>
        <v>ランキング7</v>
      </c>
      <c r="E91" s="88" t="s">
        <v>220</v>
      </c>
      <c r="F91" s="84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4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6">
        <v>0</v>
      </c>
      <c r="I91" s="99">
        <v>36</v>
      </c>
      <c r="J91" s="85" t="s">
        <v>200</v>
      </c>
      <c r="K91" s="95" t="str">
        <f>VLOOKUP(I91,[7]stage_hints!$A:$C,3,FALSE)</f>
        <v>チャレンジタワーのボス</v>
      </c>
      <c r="L91" s="96" t="str">
        <f>VLOOKUP(I91,[7]stage_hints!$A:$D,4,FALSE)</f>
        <v>チャレンジタワーでのみ登場するボスは_x000D_一定確率で獲得することができます</v>
      </c>
      <c r="M91" s="57" t="s">
        <v>215</v>
      </c>
    </row>
    <row r="92" spans="1:13" x14ac:dyDescent="0.15">
      <c r="A92" s="82" t="s">
        <v>203</v>
      </c>
      <c r="B92" s="83">
        <f>floors!$C$2</f>
        <v>60019</v>
      </c>
      <c r="C92" s="84" t="str">
        <f ca="1">VLOOKUP($B92,OFFSET([2]quests!$A$1,0,0,COUNTA([2]quests!$A:$A),MATCH(C$1,[2]quests!$1:$1,0)-MATCH($B$1,[2]quests!$1:$1,0)+1),MATCH(C$1,[2]quests!$1:$1,0)-MATCH($B$1,[2]quests!$1:$1,0)+1,FALSE)</f>
        <v>ヘンペルチャレンジ</v>
      </c>
      <c r="D92" s="84" t="str">
        <f ca="1">VLOOKUP($B92,OFFSET([2]quests!$A$1,0,0,COUNTA([2]quests!$A:$A),MATCH(D$1,[2]quests!$1:$1,0)-MATCH($B$1,[2]quests!$1:$1,0)+1),MATCH(D$1,[2]quests!$1:$1,0)-MATCH($B$1,[2]quests!$1:$1,0)+1,FALSE)</f>
        <v>ランキング7</v>
      </c>
      <c r="E92" s="88" t="s">
        <v>220</v>
      </c>
      <c r="F92" s="84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4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6">
        <v>0</v>
      </c>
      <c r="I92" s="99">
        <v>37</v>
      </c>
      <c r="J92" s="85" t="s">
        <v>200</v>
      </c>
      <c r="K92" s="95" t="str">
        <f>VLOOKUP(I92,[7]stage_hints!$A:$C,3,FALSE)</f>
        <v>限界突破値の引き継ぎ</v>
      </c>
      <c r="L92" s="96" t="str">
        <f>VLOOKUP(I92,[7]stage_hints!$A:$D,4,FALSE)</f>
        <v>同じユニットを強化で合成すると_x000D_限界突破値を引き継げます（覚醒前後も可）</v>
      </c>
      <c r="M92" s="57" t="s">
        <v>215</v>
      </c>
    </row>
    <row r="93" spans="1:13" x14ac:dyDescent="0.15">
      <c r="A93" s="82" t="s">
        <v>203</v>
      </c>
      <c r="B93" s="83">
        <f>floors!$C$2</f>
        <v>60019</v>
      </c>
      <c r="C93" s="84" t="str">
        <f ca="1">VLOOKUP($B93,OFFSET([2]quests!$A$1,0,0,COUNTA([2]quests!$A:$A),MATCH(C$1,[2]quests!$1:$1,0)-MATCH($B$1,[2]quests!$1:$1,0)+1),MATCH(C$1,[2]quests!$1:$1,0)-MATCH($B$1,[2]quests!$1:$1,0)+1,FALSE)</f>
        <v>ヘンペルチャレンジ</v>
      </c>
      <c r="D93" s="84" t="str">
        <f ca="1">VLOOKUP($B93,OFFSET([2]quests!$A$1,0,0,COUNTA([2]quests!$A:$A),MATCH(D$1,[2]quests!$1:$1,0)-MATCH($B$1,[2]quests!$1:$1,0)+1),MATCH(D$1,[2]quests!$1:$1,0)-MATCH($B$1,[2]quests!$1:$1,0)+1,FALSE)</f>
        <v>ランキング7</v>
      </c>
      <c r="E93" s="88" t="s">
        <v>220</v>
      </c>
      <c r="F93" s="84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4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6">
        <v>0</v>
      </c>
      <c r="I93" s="99">
        <v>39</v>
      </c>
      <c r="J93" s="85" t="s">
        <v>200</v>
      </c>
      <c r="K93" s="95" t="str">
        <f>VLOOKUP(I93,[7]stage_hints!$A:$C,3,FALSE)</f>
        <v>システム適合者を確認</v>
      </c>
      <c r="L93" s="96" t="str">
        <f>VLOOKUP(I93,[7]stage_hints!$A:$D,4,FALSE)</f>
        <v>ALICEが 「アナタ」を呼んでいます</v>
      </c>
      <c r="M93" s="57" t="s">
        <v>215</v>
      </c>
    </row>
    <row r="94" spans="1:13" x14ac:dyDescent="0.15">
      <c r="A94" s="82" t="s">
        <v>203</v>
      </c>
      <c r="B94" s="83">
        <f>floors!$C$2</f>
        <v>60019</v>
      </c>
      <c r="C94" s="84" t="str">
        <f ca="1">VLOOKUP($B94,OFFSET([2]quests!$A$1,0,0,COUNTA([2]quests!$A:$A),MATCH(C$1,[2]quests!$1:$1,0)-MATCH($B$1,[2]quests!$1:$1,0)+1),MATCH(C$1,[2]quests!$1:$1,0)-MATCH($B$1,[2]quests!$1:$1,0)+1,FALSE)</f>
        <v>ヘンペルチャレンジ</v>
      </c>
      <c r="D94" s="84" t="str">
        <f ca="1">VLOOKUP($B94,OFFSET([2]quests!$A$1,0,0,COUNTA([2]quests!$A:$A),MATCH(D$1,[2]quests!$1:$1,0)-MATCH($B$1,[2]quests!$1:$1,0)+1),MATCH(D$1,[2]quests!$1:$1,0)-MATCH($B$1,[2]quests!$1:$1,0)+1,FALSE)</f>
        <v>ランキング7</v>
      </c>
      <c r="E94" s="88" t="s">
        <v>221</v>
      </c>
      <c r="F94" s="84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4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6">
        <v>0</v>
      </c>
      <c r="I94">
        <v>12</v>
      </c>
      <c r="J94" s="85" t="s">
        <v>200</v>
      </c>
      <c r="K94" s="95" t="str">
        <f>VLOOKUP(I94,[7]stage_hints!$A:$C,3,FALSE)</f>
        <v>ユニットのお気に入り登録</v>
      </c>
      <c r="L94" s="96" t="str">
        <f>VLOOKUP(I94,[7]stage_hints!$A:$D,4,FALSE)</f>
        <v>大事なユニットを誤って消さないように_x000D_フォルダから「お気に入り登録」しましょう</v>
      </c>
      <c r="M94" s="57" t="s">
        <v>215</v>
      </c>
    </row>
    <row r="95" spans="1:13" x14ac:dyDescent="0.15">
      <c r="A95" s="82" t="s">
        <v>203</v>
      </c>
      <c r="B95" s="83">
        <f>floors!$C$2</f>
        <v>60019</v>
      </c>
      <c r="C95" s="84" t="str">
        <f ca="1">VLOOKUP($B95,OFFSET([2]quests!$A$1,0,0,COUNTA([2]quests!$A:$A),MATCH(C$1,[2]quests!$1:$1,0)-MATCH($B$1,[2]quests!$1:$1,0)+1),MATCH(C$1,[2]quests!$1:$1,0)-MATCH($B$1,[2]quests!$1:$1,0)+1,FALSE)</f>
        <v>ヘンペルチャレンジ</v>
      </c>
      <c r="D95" s="84" t="str">
        <f ca="1">VLOOKUP($B95,OFFSET([2]quests!$A$1,0,0,COUNTA([2]quests!$A:$A),MATCH(D$1,[2]quests!$1:$1,0)-MATCH($B$1,[2]quests!$1:$1,0)+1),MATCH(D$1,[2]quests!$1:$1,0)-MATCH($B$1,[2]quests!$1:$1,0)+1,FALSE)</f>
        <v>ランキング7</v>
      </c>
      <c r="E95" s="88" t="s">
        <v>221</v>
      </c>
      <c r="F95" s="84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4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6">
        <v>0</v>
      </c>
      <c r="I95">
        <v>17</v>
      </c>
      <c r="J95" s="85" t="s">
        <v>200</v>
      </c>
      <c r="K95" s="95" t="str">
        <f>VLOOKUP(I95,[7]stage_hints!$A:$C,3,FALSE)</f>
        <v>リンクガチャ</v>
      </c>
      <c r="L95" s="96" t="str">
        <f>VLOOKUP(I95,[7]stage_hints!$A:$D,4,FALSE)</f>
        <v>無料のリンクガチャを回して_x000D_経験値素材や売却素材を獲得しましょう</v>
      </c>
      <c r="M95" s="57" t="s">
        <v>215</v>
      </c>
    </row>
    <row r="96" spans="1:13" x14ac:dyDescent="0.15">
      <c r="A96" s="82" t="s">
        <v>203</v>
      </c>
      <c r="B96" s="83">
        <f>floors!$C$2</f>
        <v>60019</v>
      </c>
      <c r="C96" s="84" t="str">
        <f ca="1">VLOOKUP($B96,OFFSET([2]quests!$A$1,0,0,COUNTA([2]quests!$A:$A),MATCH(C$1,[2]quests!$1:$1,0)-MATCH($B$1,[2]quests!$1:$1,0)+1),MATCH(C$1,[2]quests!$1:$1,0)-MATCH($B$1,[2]quests!$1:$1,0)+1,FALSE)</f>
        <v>ヘンペルチャレンジ</v>
      </c>
      <c r="D96" s="84" t="str">
        <f ca="1">VLOOKUP($B96,OFFSET([2]quests!$A$1,0,0,COUNTA([2]quests!$A:$A),MATCH(D$1,[2]quests!$1:$1,0)-MATCH($B$1,[2]quests!$1:$1,0)+1),MATCH(D$1,[2]quests!$1:$1,0)-MATCH($B$1,[2]quests!$1:$1,0)+1,FALSE)</f>
        <v>ランキング7</v>
      </c>
      <c r="E96" s="88" t="s">
        <v>221</v>
      </c>
      <c r="F96" s="84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4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6">
        <v>0</v>
      </c>
      <c r="I96">
        <v>19</v>
      </c>
      <c r="J96" s="85" t="s">
        <v>200</v>
      </c>
      <c r="K96" s="95" t="str">
        <f>VLOOKUP(I96,[7]stage_hints!$A:$C,3,FALSE)</f>
        <v>ソロ専用チャレンジタワー</v>
      </c>
      <c r="L96" s="96" t="str">
        <f>VLOOKUP(I96,[7]stage_hints!$A:$D,4,FALSE)</f>
        <v>ソロ専用の「チャレンジタワー」では_x000D_各フロアごとにクリア報酬がもらえます</v>
      </c>
      <c r="M96" s="57" t="s">
        <v>215</v>
      </c>
    </row>
    <row r="97" spans="1:13" x14ac:dyDescent="0.15">
      <c r="A97" s="82" t="s">
        <v>203</v>
      </c>
      <c r="B97" s="83">
        <f>floors!$C$2</f>
        <v>60019</v>
      </c>
      <c r="C97" s="84" t="str">
        <f ca="1">VLOOKUP($B97,OFFSET([2]quests!$A$1,0,0,COUNTA([2]quests!$A:$A),MATCH(C$1,[2]quests!$1:$1,0)-MATCH($B$1,[2]quests!$1:$1,0)+1),MATCH(C$1,[2]quests!$1:$1,0)-MATCH($B$1,[2]quests!$1:$1,0)+1,FALSE)</f>
        <v>ヘンペルチャレンジ</v>
      </c>
      <c r="D97" s="84" t="str">
        <f ca="1">VLOOKUP($B97,OFFSET([2]quests!$A$1,0,0,COUNTA([2]quests!$A:$A),MATCH(D$1,[2]quests!$1:$1,0)-MATCH($B$1,[2]quests!$1:$1,0)+1),MATCH(D$1,[2]quests!$1:$1,0)-MATCH($B$1,[2]quests!$1:$1,0)+1,FALSE)</f>
        <v>ランキング7</v>
      </c>
      <c r="E97" s="88" t="s">
        <v>221</v>
      </c>
      <c r="F97" s="84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4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6">
        <v>0</v>
      </c>
      <c r="I97">
        <v>21</v>
      </c>
      <c r="J97" s="85" t="s">
        <v>200</v>
      </c>
      <c r="K97" s="95" t="str">
        <f>VLOOKUP(I97,[7]stage_hints!$A:$C,3,FALSE)</f>
        <v>スキルを有効に</v>
      </c>
      <c r="L97" s="96" t="str">
        <f>VLOOKUP(I97,[7]stage_hints!$A:$D,4,FALSE)</f>
        <v>ターン経過でユニットのスキルが使えます_x000D_強力スキルでバトルを有利に進めましょう</v>
      </c>
      <c r="M97" s="57" t="s">
        <v>215</v>
      </c>
    </row>
    <row r="98" spans="1:13" x14ac:dyDescent="0.15">
      <c r="A98" s="82" t="s">
        <v>203</v>
      </c>
      <c r="B98" s="83">
        <f>floors!$C$2</f>
        <v>60019</v>
      </c>
      <c r="C98" s="84" t="str">
        <f ca="1">VLOOKUP($B98,OFFSET([2]quests!$A$1,0,0,COUNTA([2]quests!$A:$A),MATCH(C$1,[2]quests!$1:$1,0)-MATCH($B$1,[2]quests!$1:$1,0)+1),MATCH(C$1,[2]quests!$1:$1,0)-MATCH($B$1,[2]quests!$1:$1,0)+1,FALSE)</f>
        <v>ヘンペルチャレンジ</v>
      </c>
      <c r="D98" s="84" t="str">
        <f ca="1">VLOOKUP($B98,OFFSET([2]quests!$A$1,0,0,COUNTA([2]quests!$A:$A),MATCH(D$1,[2]quests!$1:$1,0)-MATCH($B$1,[2]quests!$1:$1,0)+1),MATCH(D$1,[2]quests!$1:$1,0)-MATCH($B$1,[2]quests!$1:$1,0)+1,FALSE)</f>
        <v>ランキング7</v>
      </c>
      <c r="E98" s="88" t="s">
        <v>221</v>
      </c>
      <c r="F98" s="84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4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6">
        <v>0</v>
      </c>
      <c r="I98">
        <v>27</v>
      </c>
      <c r="J98" s="85" t="s">
        <v>200</v>
      </c>
      <c r="K98" s="95" t="str">
        <f>VLOOKUP(I98,[7]stage_hints!$A:$C,3,FALSE)</f>
        <v>ホーム画面からデッキを編成</v>
      </c>
      <c r="L98" s="96" t="str">
        <f>VLOOKUP(I98,[7]stage_hints!$A:$D,4,FALSE)</f>
        <v>ホーム画面でユニットを長押しすると_x000D_すぐにパーティ編成に移動できます</v>
      </c>
      <c r="M98" s="57" t="s">
        <v>215</v>
      </c>
    </row>
    <row r="99" spans="1:13" x14ac:dyDescent="0.15">
      <c r="A99" s="82" t="s">
        <v>203</v>
      </c>
      <c r="B99" s="83">
        <f>floors!$C$2</f>
        <v>60019</v>
      </c>
      <c r="C99" s="84" t="str">
        <f ca="1">VLOOKUP($B99,OFFSET([2]quests!$A$1,0,0,COUNTA([2]quests!$A:$A),MATCH(C$1,[2]quests!$1:$1,0)-MATCH($B$1,[2]quests!$1:$1,0)+1),MATCH(C$1,[2]quests!$1:$1,0)-MATCH($B$1,[2]quests!$1:$1,0)+1,FALSE)</f>
        <v>ヘンペルチャレンジ</v>
      </c>
      <c r="D99" s="84" t="str">
        <f ca="1">VLOOKUP($B99,OFFSET([2]quests!$A$1,0,0,COUNTA([2]quests!$A:$A),MATCH(D$1,[2]quests!$1:$1,0)-MATCH($B$1,[2]quests!$1:$1,0)+1),MATCH(D$1,[2]quests!$1:$1,0)-MATCH($B$1,[2]quests!$1:$1,0)+1,FALSE)</f>
        <v>ランキング7</v>
      </c>
      <c r="E99" s="88" t="s">
        <v>221</v>
      </c>
      <c r="F99" s="84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4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6">
        <v>0</v>
      </c>
      <c r="I99">
        <v>28</v>
      </c>
      <c r="J99" s="85" t="s">
        <v>200</v>
      </c>
      <c r="K99" s="95" t="str">
        <f>VLOOKUP(I99,[7]stage_hints!$A:$C,3,FALSE)</f>
        <v>ステータス情報は長押しで</v>
      </c>
      <c r="L99" s="96" t="str">
        <f>VLOOKUP(I99,[7]stage_hints!$A:$D,4,FALSE)</f>
        <v>ユニットのアイコンを長押しすると_x000D_ステータス情報を確認することができます</v>
      </c>
      <c r="M99" s="57" t="s">
        <v>215</v>
      </c>
    </row>
    <row r="100" spans="1:13" x14ac:dyDescent="0.15">
      <c r="A100" s="82" t="s">
        <v>203</v>
      </c>
      <c r="B100" s="83">
        <f>floors!$C$2</f>
        <v>60019</v>
      </c>
      <c r="C100" s="84" t="str">
        <f ca="1">VLOOKUP($B100,OFFSET([2]quests!$A$1,0,0,COUNTA([2]quests!$A:$A),MATCH(C$1,[2]quests!$1:$1,0)-MATCH($B$1,[2]quests!$1:$1,0)+1),MATCH(C$1,[2]quests!$1:$1,0)-MATCH($B$1,[2]quests!$1:$1,0)+1,FALSE)</f>
        <v>ヘンペルチャレンジ</v>
      </c>
      <c r="D100" s="84" t="str">
        <f ca="1">VLOOKUP($B100,OFFSET([2]quests!$A$1,0,0,COUNTA([2]quests!$A:$A),MATCH(D$1,[2]quests!$1:$1,0)-MATCH($B$1,[2]quests!$1:$1,0)+1),MATCH(D$1,[2]quests!$1:$1,0)-MATCH($B$1,[2]quests!$1:$1,0)+1,FALSE)</f>
        <v>ランキング7</v>
      </c>
      <c r="E100" s="88" t="s">
        <v>221</v>
      </c>
      <c r="F100" s="84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4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6">
        <v>0</v>
      </c>
      <c r="I100">
        <v>29</v>
      </c>
      <c r="J100" s="85" t="s">
        <v>200</v>
      </c>
      <c r="K100" s="95" t="str">
        <f>VLOOKUP(I100,[7]stage_hints!$A:$C,3,FALSE)</f>
        <v>「バグ」のメリット</v>
      </c>
      <c r="L100" s="96" t="str">
        <f>VLOOKUP(I100,[7]stage_hints!$A:$D,4,FALSE)</f>
        <v>ユニットの「バグ」を増やすと_x000D_報酬をもらえる確率がアップします</v>
      </c>
      <c r="M100" s="57" t="s">
        <v>215</v>
      </c>
    </row>
    <row r="101" spans="1:13" x14ac:dyDescent="0.15">
      <c r="A101" s="82" t="s">
        <v>203</v>
      </c>
      <c r="B101" s="83">
        <f>floors!$C$2</f>
        <v>60019</v>
      </c>
      <c r="C101" s="84" t="str">
        <f ca="1">VLOOKUP($B101,OFFSET([2]quests!$A$1,0,0,COUNTA([2]quests!$A:$A),MATCH(C$1,[2]quests!$1:$1,0)-MATCH($B$1,[2]quests!$1:$1,0)+1),MATCH(C$1,[2]quests!$1:$1,0)-MATCH($B$1,[2]quests!$1:$1,0)+1,FALSE)</f>
        <v>ヘンペルチャレンジ</v>
      </c>
      <c r="D101" s="84" t="str">
        <f ca="1">VLOOKUP($B101,OFFSET([2]quests!$A$1,0,0,COUNTA([2]quests!$A:$A),MATCH(D$1,[2]quests!$1:$1,0)-MATCH($B$1,[2]quests!$1:$1,0)+1),MATCH(D$1,[2]quests!$1:$1,0)-MATCH($B$1,[2]quests!$1:$1,0)+1,FALSE)</f>
        <v>ランキング7</v>
      </c>
      <c r="E101" s="88" t="s">
        <v>221</v>
      </c>
      <c r="F101" s="84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4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6">
        <v>0</v>
      </c>
      <c r="I101">
        <v>30</v>
      </c>
      <c r="J101" s="85" t="s">
        <v>200</v>
      </c>
      <c r="K101" s="95" t="str">
        <f>VLOOKUP(I101,[7]stage_hints!$A:$C,3,FALSE)</f>
        <v>「バグ」の増やし方</v>
      </c>
      <c r="L101" s="96" t="str">
        <f>VLOOKUP(I101,[7]stage_hints!$A:$D,4,FALSE)</f>
        <v>同じユニット同士を強化で合成すると_x000D_「バグ」を増やすことができます</v>
      </c>
      <c r="M101" s="57" t="s">
        <v>215</v>
      </c>
    </row>
    <row r="102" spans="1:13" x14ac:dyDescent="0.15">
      <c r="A102" s="82" t="s">
        <v>203</v>
      </c>
      <c r="B102" s="83">
        <f>floors!$C$2</f>
        <v>60019</v>
      </c>
      <c r="C102" s="84" t="str">
        <f ca="1">VLOOKUP($B102,OFFSET([2]quests!$A$1,0,0,COUNTA([2]quests!$A:$A),MATCH(C$1,[2]quests!$1:$1,0)-MATCH($B$1,[2]quests!$1:$1,0)+1),MATCH(C$1,[2]quests!$1:$1,0)-MATCH($B$1,[2]quests!$1:$1,0)+1,FALSE)</f>
        <v>ヘンペルチャレンジ</v>
      </c>
      <c r="D102" s="84" t="str">
        <f ca="1">VLOOKUP($B102,OFFSET([2]quests!$A$1,0,0,COUNTA([2]quests!$A:$A),MATCH(D$1,[2]quests!$1:$1,0)-MATCH($B$1,[2]quests!$1:$1,0)+1),MATCH(D$1,[2]quests!$1:$1,0)-MATCH($B$1,[2]quests!$1:$1,0)+1,FALSE)</f>
        <v>ランキング7</v>
      </c>
      <c r="E102" s="88" t="s">
        <v>221</v>
      </c>
      <c r="F102" s="84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4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6">
        <v>0</v>
      </c>
      <c r="I102">
        <v>32</v>
      </c>
      <c r="J102" s="85" t="s">
        <v>200</v>
      </c>
      <c r="K102" s="95" t="str">
        <f>VLOOKUP(I102,[7]stage_hints!$A:$C,3,FALSE)</f>
        <v>敵の連続攻撃には</v>
      </c>
      <c r="L102" s="96" t="str">
        <f>VLOOKUP(I102,[7]stage_hints!$A:$D,4,FALSE)</f>
        <v>カウンタースキルを持つユニットがいれば_x000D_ダメージ回数分の反撃ができます</v>
      </c>
      <c r="M102" s="57" t="s">
        <v>215</v>
      </c>
    </row>
    <row r="103" spans="1:13" x14ac:dyDescent="0.15">
      <c r="A103" s="82" t="s">
        <v>203</v>
      </c>
      <c r="B103" s="83">
        <f>floors!$C$2</f>
        <v>60019</v>
      </c>
      <c r="C103" s="84" t="str">
        <f ca="1">VLOOKUP($B103,OFFSET([2]quests!$A$1,0,0,COUNTA([2]quests!$A:$A),MATCH(C$1,[2]quests!$1:$1,0)-MATCH($B$1,[2]quests!$1:$1,0)+1),MATCH(C$1,[2]quests!$1:$1,0)-MATCH($B$1,[2]quests!$1:$1,0)+1,FALSE)</f>
        <v>ヘンペルチャレンジ</v>
      </c>
      <c r="D103" s="84" t="str">
        <f ca="1">VLOOKUP($B103,OFFSET([2]quests!$A$1,0,0,COUNTA([2]quests!$A:$A),MATCH(D$1,[2]quests!$1:$1,0)-MATCH($B$1,[2]quests!$1:$1,0)+1),MATCH(D$1,[2]quests!$1:$1,0)-MATCH($B$1,[2]quests!$1:$1,0)+1,FALSE)</f>
        <v>ランキング7</v>
      </c>
      <c r="E103" s="88" t="s">
        <v>221</v>
      </c>
      <c r="F103" s="84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4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6">
        <v>0</v>
      </c>
      <c r="I103">
        <v>33</v>
      </c>
      <c r="J103" s="85" t="s">
        <v>200</v>
      </c>
      <c r="K103" s="95" t="str">
        <f>VLOOKUP(I103,[7]stage_hints!$A:$C,3,FALSE)</f>
        <v>敵のカウンター攻撃には</v>
      </c>
      <c r="L103" s="96" t="str">
        <f>VLOOKUP(I103,[7]stage_hints!$A:$D,4,FALSE)</f>
        <v>カウンターブレイクスキルを持っていれば_x000D_敵のカウンターを解除して攻撃ができます</v>
      </c>
      <c r="M103" s="57" t="s">
        <v>215</v>
      </c>
    </row>
    <row r="104" spans="1:13" x14ac:dyDescent="0.15">
      <c r="A104" s="82" t="s">
        <v>203</v>
      </c>
      <c r="B104" s="83">
        <f>floors!$C$2</f>
        <v>60019</v>
      </c>
      <c r="C104" s="84" t="str">
        <f ca="1">VLOOKUP($B104,OFFSET([2]quests!$A$1,0,0,COUNTA([2]quests!$A:$A),MATCH(C$1,[2]quests!$1:$1,0)-MATCH($B$1,[2]quests!$1:$1,0)+1),MATCH(C$1,[2]quests!$1:$1,0)-MATCH($B$1,[2]quests!$1:$1,0)+1,FALSE)</f>
        <v>ヘンペルチャレンジ</v>
      </c>
      <c r="D104" s="84" t="str">
        <f ca="1">VLOOKUP($B104,OFFSET([2]quests!$A$1,0,0,COUNTA([2]quests!$A:$A),MATCH(D$1,[2]quests!$1:$1,0)-MATCH($B$1,[2]quests!$1:$1,0)+1),MATCH(D$1,[2]quests!$1:$1,0)-MATCH($B$1,[2]quests!$1:$1,0)+1,FALSE)</f>
        <v>ランキング7</v>
      </c>
      <c r="E104" s="88" t="s">
        <v>221</v>
      </c>
      <c r="F104" s="84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4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6">
        <v>0</v>
      </c>
      <c r="I104">
        <v>34</v>
      </c>
      <c r="J104" s="85" t="s">
        <v>200</v>
      </c>
      <c r="K104" s="95" t="str">
        <f>VLOOKUP(I104,[7]stage_hints!$A:$C,3,FALSE)</f>
        <v>ステータスをスキルで下げられたら</v>
      </c>
      <c r="L104" s="96" t="str">
        <f>VLOOKUP(I104,[7]stage_hints!$A:$D,4,FALSE)</f>
        <v>ステータスダウンのスキルを受けたら_x000D_ステータスアップスキルで上書きしましょう</v>
      </c>
      <c r="M104" s="57" t="s">
        <v>215</v>
      </c>
    </row>
    <row r="105" spans="1:13" x14ac:dyDescent="0.15">
      <c r="A105" s="82" t="s">
        <v>203</v>
      </c>
      <c r="B105" s="83">
        <f>floors!$C$2</f>
        <v>60019</v>
      </c>
      <c r="C105" s="84" t="str">
        <f ca="1">VLOOKUP($B105,OFFSET([2]quests!$A$1,0,0,COUNTA([2]quests!$A:$A),MATCH(C$1,[2]quests!$1:$1,0)-MATCH($B$1,[2]quests!$1:$1,0)+1),MATCH(C$1,[2]quests!$1:$1,0)-MATCH($B$1,[2]quests!$1:$1,0)+1,FALSE)</f>
        <v>ヘンペルチャレンジ</v>
      </c>
      <c r="D105" s="84" t="str">
        <f ca="1">VLOOKUP($B105,OFFSET([2]quests!$A$1,0,0,COUNTA([2]quests!$A:$A),MATCH(D$1,[2]quests!$1:$1,0)-MATCH($B$1,[2]quests!$1:$1,0)+1),MATCH(D$1,[2]quests!$1:$1,0)-MATCH($B$1,[2]quests!$1:$1,0)+1,FALSE)</f>
        <v>ランキング7</v>
      </c>
      <c r="E105" s="88" t="s">
        <v>221</v>
      </c>
      <c r="F105" s="84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4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6">
        <v>0</v>
      </c>
      <c r="I105">
        <v>35</v>
      </c>
      <c r="J105" s="85" t="s">
        <v>200</v>
      </c>
      <c r="K105" s="95" t="str">
        <f>VLOOKUP(I105,[7]stage_hints!$A:$C,3,FALSE)</f>
        <v>敵のステータスがスキルで上がったら</v>
      </c>
      <c r="L105" s="96" t="str">
        <f>VLOOKUP(I105,[7]stage_hints!$A:$D,4,FALSE)</f>
        <v>敵のステータスがスキルでアップしたときは_x000D_ステータスダウンスキルで上書きしましょう</v>
      </c>
      <c r="M105" s="57" t="s">
        <v>215</v>
      </c>
    </row>
    <row r="106" spans="1:13" x14ac:dyDescent="0.15">
      <c r="A106" s="82" t="s">
        <v>203</v>
      </c>
      <c r="B106" s="83">
        <f>floors!$C$2</f>
        <v>60019</v>
      </c>
      <c r="C106" s="84" t="str">
        <f ca="1">VLOOKUP($B106,OFFSET([2]quests!$A$1,0,0,COUNTA([2]quests!$A:$A),MATCH(C$1,[2]quests!$1:$1,0)-MATCH($B$1,[2]quests!$1:$1,0)+1),MATCH(C$1,[2]quests!$1:$1,0)-MATCH($B$1,[2]quests!$1:$1,0)+1,FALSE)</f>
        <v>ヘンペルチャレンジ</v>
      </c>
      <c r="D106" s="84" t="str">
        <f ca="1">VLOOKUP($B106,OFFSET([2]quests!$A$1,0,0,COUNTA([2]quests!$A:$A),MATCH(D$1,[2]quests!$1:$1,0)-MATCH($B$1,[2]quests!$1:$1,0)+1),MATCH(D$1,[2]quests!$1:$1,0)-MATCH($B$1,[2]quests!$1:$1,0)+1,FALSE)</f>
        <v>ランキング7</v>
      </c>
      <c r="E106" s="88" t="s">
        <v>221</v>
      </c>
      <c r="F106" s="84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4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6">
        <v>0</v>
      </c>
      <c r="I106">
        <v>36</v>
      </c>
      <c r="J106" s="85" t="s">
        <v>200</v>
      </c>
      <c r="K106" s="95" t="str">
        <f>VLOOKUP(I106,[7]stage_hints!$A:$C,3,FALSE)</f>
        <v>チャレンジタワーのボス</v>
      </c>
      <c r="L106" s="96" t="str">
        <f>VLOOKUP(I106,[7]stage_hints!$A:$D,4,FALSE)</f>
        <v>チャレンジタワーでのみ登場するボスは_x000D_一定確率で獲得することができます</v>
      </c>
      <c r="M106" s="57" t="s">
        <v>215</v>
      </c>
    </row>
    <row r="107" spans="1:13" x14ac:dyDescent="0.15">
      <c r="A107" s="82" t="s">
        <v>203</v>
      </c>
      <c r="B107" s="83">
        <f>floors!$C$2</f>
        <v>60019</v>
      </c>
      <c r="C107" s="84" t="str">
        <f ca="1">VLOOKUP($B107,OFFSET([2]quests!$A$1,0,0,COUNTA([2]quests!$A:$A),MATCH(C$1,[2]quests!$1:$1,0)-MATCH($B$1,[2]quests!$1:$1,0)+1),MATCH(C$1,[2]quests!$1:$1,0)-MATCH($B$1,[2]quests!$1:$1,0)+1,FALSE)</f>
        <v>ヘンペルチャレンジ</v>
      </c>
      <c r="D107" s="84" t="str">
        <f ca="1">VLOOKUP($B107,OFFSET([2]quests!$A$1,0,0,COUNTA([2]quests!$A:$A),MATCH(D$1,[2]quests!$1:$1,0)-MATCH($B$1,[2]quests!$1:$1,0)+1),MATCH(D$1,[2]quests!$1:$1,0)-MATCH($B$1,[2]quests!$1:$1,0)+1,FALSE)</f>
        <v>ランキング7</v>
      </c>
      <c r="E107" s="88" t="s">
        <v>221</v>
      </c>
      <c r="F107" s="84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4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6">
        <v>0</v>
      </c>
      <c r="I107">
        <v>37</v>
      </c>
      <c r="J107" s="85" t="s">
        <v>200</v>
      </c>
      <c r="K107" s="95" t="str">
        <f>VLOOKUP(I107,[7]stage_hints!$A:$C,3,FALSE)</f>
        <v>限界突破値の引き継ぎ</v>
      </c>
      <c r="L107" s="96" t="str">
        <f>VLOOKUP(I107,[7]stage_hints!$A:$D,4,FALSE)</f>
        <v>同じユニットを強化で合成すると_x000D_限界突破値を引き継げます（覚醒前後も可）</v>
      </c>
      <c r="M107" s="57" t="s">
        <v>215</v>
      </c>
    </row>
    <row r="108" spans="1:13" x14ac:dyDescent="0.15">
      <c r="A108" s="82" t="s">
        <v>203</v>
      </c>
      <c r="B108" s="83">
        <f>floors!$C$2</f>
        <v>60019</v>
      </c>
      <c r="C108" s="84" t="str">
        <f ca="1">VLOOKUP($B108,OFFSET([2]quests!$A$1,0,0,COUNTA([2]quests!$A:$A),MATCH(C$1,[2]quests!$1:$1,0)-MATCH($B$1,[2]quests!$1:$1,0)+1),MATCH(C$1,[2]quests!$1:$1,0)-MATCH($B$1,[2]quests!$1:$1,0)+1,FALSE)</f>
        <v>ヘンペルチャレンジ</v>
      </c>
      <c r="D108" s="84" t="str">
        <f ca="1">VLOOKUP($B108,OFFSET([2]quests!$A$1,0,0,COUNTA([2]quests!$A:$A),MATCH(D$1,[2]quests!$1:$1,0)-MATCH($B$1,[2]quests!$1:$1,0)+1),MATCH(D$1,[2]quests!$1:$1,0)-MATCH($B$1,[2]quests!$1:$1,0)+1,FALSE)</f>
        <v>ランキング7</v>
      </c>
      <c r="E108" s="88" t="s">
        <v>221</v>
      </c>
      <c r="F108" s="84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4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6">
        <v>0</v>
      </c>
      <c r="I108">
        <v>39</v>
      </c>
      <c r="J108" s="85" t="s">
        <v>200</v>
      </c>
      <c r="K108" s="95" t="str">
        <f>VLOOKUP(I108,[7]stage_hints!$A:$C,3,FALSE)</f>
        <v>システム適合者を確認</v>
      </c>
      <c r="L108" s="96" t="str">
        <f>VLOOKUP(I108,[7]stage_hints!$A:$D,4,FALSE)</f>
        <v>ALICEが 「アナタ」を呼んでいます</v>
      </c>
      <c r="M108" s="57" t="s">
        <v>215</v>
      </c>
    </row>
    <row r="109" spans="1:13" x14ac:dyDescent="0.15">
      <c r="A109" s="82" t="s">
        <v>203</v>
      </c>
      <c r="B109" s="83">
        <f>floors!$C$2</f>
        <v>60019</v>
      </c>
      <c r="C109" s="84" t="str">
        <f ca="1">VLOOKUP($B109,OFFSET([2]quests!$A$1,0,0,COUNTA([2]quests!$A:$A),MATCH(C$1,[2]quests!$1:$1,0)-MATCH($B$1,[2]quests!$1:$1,0)+1),MATCH(C$1,[2]quests!$1:$1,0)-MATCH($B$1,[2]quests!$1:$1,0)+1,FALSE)</f>
        <v>ヘンペルチャレンジ</v>
      </c>
      <c r="D109" s="84" t="str">
        <f ca="1">VLOOKUP($B109,OFFSET([2]quests!$A$1,0,0,COUNTA([2]quests!$A:$A),MATCH(D$1,[2]quests!$1:$1,0)-MATCH($B$1,[2]quests!$1:$1,0)+1),MATCH(D$1,[2]quests!$1:$1,0)-MATCH($B$1,[2]quests!$1:$1,0)+1,FALSE)</f>
        <v>ランキング7</v>
      </c>
      <c r="E109" s="88" t="s">
        <v>222</v>
      </c>
      <c r="F109" s="84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4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6">
        <v>0</v>
      </c>
      <c r="I109">
        <v>12</v>
      </c>
      <c r="J109" s="85" t="s">
        <v>200</v>
      </c>
      <c r="K109" s="95" t="str">
        <f>VLOOKUP(I109,[7]stage_hints!$A:$C,3,FALSE)</f>
        <v>ユニットのお気に入り登録</v>
      </c>
      <c r="L109" s="96" t="str">
        <f>VLOOKUP(I109,[7]stage_hints!$A:$D,4,FALSE)</f>
        <v>大事なユニットを誤って消さないように_x000D_フォルダから「お気に入り登録」しましょう</v>
      </c>
      <c r="M109" s="57" t="s">
        <v>215</v>
      </c>
    </row>
    <row r="110" spans="1:13" x14ac:dyDescent="0.15">
      <c r="A110" s="82" t="s">
        <v>203</v>
      </c>
      <c r="B110" s="83">
        <f>floors!$C$2</f>
        <v>60019</v>
      </c>
      <c r="C110" s="84" t="str">
        <f ca="1">VLOOKUP($B110,OFFSET([2]quests!$A$1,0,0,COUNTA([2]quests!$A:$A),MATCH(C$1,[2]quests!$1:$1,0)-MATCH($B$1,[2]quests!$1:$1,0)+1),MATCH(C$1,[2]quests!$1:$1,0)-MATCH($B$1,[2]quests!$1:$1,0)+1,FALSE)</f>
        <v>ヘンペルチャレンジ</v>
      </c>
      <c r="D110" s="84" t="str">
        <f ca="1">VLOOKUP($B110,OFFSET([2]quests!$A$1,0,0,COUNTA([2]quests!$A:$A),MATCH(D$1,[2]quests!$1:$1,0)-MATCH($B$1,[2]quests!$1:$1,0)+1),MATCH(D$1,[2]quests!$1:$1,0)-MATCH($B$1,[2]quests!$1:$1,0)+1,FALSE)</f>
        <v>ランキング7</v>
      </c>
      <c r="E110" s="88" t="s">
        <v>222</v>
      </c>
      <c r="F110" s="84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4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6">
        <v>0</v>
      </c>
      <c r="I110">
        <v>17</v>
      </c>
      <c r="J110" s="85" t="s">
        <v>200</v>
      </c>
      <c r="K110" s="95" t="str">
        <f>VLOOKUP(I110,[7]stage_hints!$A:$C,3,FALSE)</f>
        <v>リンクガチャ</v>
      </c>
      <c r="L110" s="96" t="str">
        <f>VLOOKUP(I110,[7]stage_hints!$A:$D,4,FALSE)</f>
        <v>無料のリンクガチャを回して_x000D_経験値素材や売却素材を獲得しましょう</v>
      </c>
      <c r="M110" s="57" t="s">
        <v>215</v>
      </c>
    </row>
    <row r="111" spans="1:13" x14ac:dyDescent="0.15">
      <c r="A111" s="82" t="s">
        <v>203</v>
      </c>
      <c r="B111" s="83">
        <f>floors!$C$2</f>
        <v>60019</v>
      </c>
      <c r="C111" s="84" t="str">
        <f ca="1">VLOOKUP($B111,OFFSET([2]quests!$A$1,0,0,COUNTA([2]quests!$A:$A),MATCH(C$1,[2]quests!$1:$1,0)-MATCH($B$1,[2]quests!$1:$1,0)+1),MATCH(C$1,[2]quests!$1:$1,0)-MATCH($B$1,[2]quests!$1:$1,0)+1,FALSE)</f>
        <v>ヘンペルチャレンジ</v>
      </c>
      <c r="D111" s="84" t="str">
        <f ca="1">VLOOKUP($B111,OFFSET([2]quests!$A$1,0,0,COUNTA([2]quests!$A:$A),MATCH(D$1,[2]quests!$1:$1,0)-MATCH($B$1,[2]quests!$1:$1,0)+1),MATCH(D$1,[2]quests!$1:$1,0)-MATCH($B$1,[2]quests!$1:$1,0)+1,FALSE)</f>
        <v>ランキング7</v>
      </c>
      <c r="E111" s="88" t="s">
        <v>222</v>
      </c>
      <c r="F111" s="84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4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6">
        <v>0</v>
      </c>
      <c r="I111">
        <v>19</v>
      </c>
      <c r="J111" s="85" t="s">
        <v>200</v>
      </c>
      <c r="K111" s="95" t="str">
        <f>VLOOKUP(I111,[7]stage_hints!$A:$C,3,FALSE)</f>
        <v>ソロ専用チャレンジタワー</v>
      </c>
      <c r="L111" s="96" t="str">
        <f>VLOOKUP(I111,[7]stage_hints!$A:$D,4,FALSE)</f>
        <v>ソロ専用の「チャレンジタワー」では_x000D_各フロアごとにクリア報酬がもらえます</v>
      </c>
      <c r="M111" s="57" t="s">
        <v>215</v>
      </c>
    </row>
    <row r="112" spans="1:13" x14ac:dyDescent="0.15">
      <c r="A112" s="82" t="s">
        <v>203</v>
      </c>
      <c r="B112" s="83">
        <f>floors!$C$2</f>
        <v>60019</v>
      </c>
      <c r="C112" s="84" t="str">
        <f ca="1">VLOOKUP($B112,OFFSET([2]quests!$A$1,0,0,COUNTA([2]quests!$A:$A),MATCH(C$1,[2]quests!$1:$1,0)-MATCH($B$1,[2]quests!$1:$1,0)+1),MATCH(C$1,[2]quests!$1:$1,0)-MATCH($B$1,[2]quests!$1:$1,0)+1,FALSE)</f>
        <v>ヘンペルチャレンジ</v>
      </c>
      <c r="D112" s="84" t="str">
        <f ca="1">VLOOKUP($B112,OFFSET([2]quests!$A$1,0,0,COUNTA([2]quests!$A:$A),MATCH(D$1,[2]quests!$1:$1,0)-MATCH($B$1,[2]quests!$1:$1,0)+1),MATCH(D$1,[2]quests!$1:$1,0)-MATCH($B$1,[2]quests!$1:$1,0)+1,FALSE)</f>
        <v>ランキング7</v>
      </c>
      <c r="E112" s="88" t="s">
        <v>222</v>
      </c>
      <c r="F112" s="84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4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6">
        <v>0</v>
      </c>
      <c r="I112">
        <v>21</v>
      </c>
      <c r="J112" s="85" t="s">
        <v>200</v>
      </c>
      <c r="K112" s="95" t="str">
        <f>VLOOKUP(I112,[7]stage_hints!$A:$C,3,FALSE)</f>
        <v>スキルを有効に</v>
      </c>
      <c r="L112" s="96" t="str">
        <f>VLOOKUP(I112,[7]stage_hints!$A:$D,4,FALSE)</f>
        <v>ターン経過でユニットのスキルが使えます_x000D_強力スキルでバトルを有利に進めましょう</v>
      </c>
      <c r="M112" s="57" t="s">
        <v>215</v>
      </c>
    </row>
    <row r="113" spans="1:13" x14ac:dyDescent="0.15">
      <c r="A113" s="82" t="s">
        <v>203</v>
      </c>
      <c r="B113" s="83">
        <f>floors!$C$2</f>
        <v>60019</v>
      </c>
      <c r="C113" s="84" t="str">
        <f ca="1">VLOOKUP($B113,OFFSET([2]quests!$A$1,0,0,COUNTA([2]quests!$A:$A),MATCH(C$1,[2]quests!$1:$1,0)-MATCH($B$1,[2]quests!$1:$1,0)+1),MATCH(C$1,[2]quests!$1:$1,0)-MATCH($B$1,[2]quests!$1:$1,0)+1,FALSE)</f>
        <v>ヘンペルチャレンジ</v>
      </c>
      <c r="D113" s="84" t="str">
        <f ca="1">VLOOKUP($B113,OFFSET([2]quests!$A$1,0,0,COUNTA([2]quests!$A:$A),MATCH(D$1,[2]quests!$1:$1,0)-MATCH($B$1,[2]quests!$1:$1,0)+1),MATCH(D$1,[2]quests!$1:$1,0)-MATCH($B$1,[2]quests!$1:$1,0)+1,FALSE)</f>
        <v>ランキング7</v>
      </c>
      <c r="E113" s="88" t="s">
        <v>222</v>
      </c>
      <c r="F113" s="84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4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6">
        <v>0</v>
      </c>
      <c r="I113">
        <v>29</v>
      </c>
      <c r="J113" s="85" t="s">
        <v>200</v>
      </c>
      <c r="K113" s="95" t="str">
        <f>VLOOKUP(I113,[7]stage_hints!$A:$C,3,FALSE)</f>
        <v>「バグ」のメリット</v>
      </c>
      <c r="L113" s="96" t="str">
        <f>VLOOKUP(I113,[7]stage_hints!$A:$D,4,FALSE)</f>
        <v>ユニットの「バグ」を増やすと_x000D_報酬をもらえる確率がアップします</v>
      </c>
      <c r="M113" s="57" t="s">
        <v>215</v>
      </c>
    </row>
    <row r="114" spans="1:13" x14ac:dyDescent="0.15">
      <c r="A114" s="82" t="s">
        <v>203</v>
      </c>
      <c r="B114" s="83">
        <f>floors!$C$2</f>
        <v>60019</v>
      </c>
      <c r="C114" s="84" t="str">
        <f ca="1">VLOOKUP($B114,OFFSET([2]quests!$A$1,0,0,COUNTA([2]quests!$A:$A),MATCH(C$1,[2]quests!$1:$1,0)-MATCH($B$1,[2]quests!$1:$1,0)+1),MATCH(C$1,[2]quests!$1:$1,0)-MATCH($B$1,[2]quests!$1:$1,0)+1,FALSE)</f>
        <v>ヘンペルチャレンジ</v>
      </c>
      <c r="D114" s="84" t="str">
        <f ca="1">VLOOKUP($B114,OFFSET([2]quests!$A$1,0,0,COUNTA([2]quests!$A:$A),MATCH(D$1,[2]quests!$1:$1,0)-MATCH($B$1,[2]quests!$1:$1,0)+1),MATCH(D$1,[2]quests!$1:$1,0)-MATCH($B$1,[2]quests!$1:$1,0)+1,FALSE)</f>
        <v>ランキング7</v>
      </c>
      <c r="E114" s="88" t="s">
        <v>222</v>
      </c>
      <c r="F114" s="84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4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6">
        <v>0</v>
      </c>
      <c r="I114">
        <v>30</v>
      </c>
      <c r="J114" s="85" t="s">
        <v>200</v>
      </c>
      <c r="K114" s="95" t="str">
        <f>VLOOKUP(I114,[7]stage_hints!$A:$C,3,FALSE)</f>
        <v>「バグ」の増やし方</v>
      </c>
      <c r="L114" s="96" t="str">
        <f>VLOOKUP(I114,[7]stage_hints!$A:$D,4,FALSE)</f>
        <v>同じユニット同士を強化で合成すると_x000D_「バグ」を増やすことができます</v>
      </c>
      <c r="M114" s="57" t="s">
        <v>215</v>
      </c>
    </row>
    <row r="115" spans="1:13" x14ac:dyDescent="0.15">
      <c r="A115" s="82" t="s">
        <v>203</v>
      </c>
      <c r="B115" s="83">
        <f>floors!$C$2</f>
        <v>60019</v>
      </c>
      <c r="C115" s="84" t="str">
        <f ca="1">VLOOKUP($B115,OFFSET([2]quests!$A$1,0,0,COUNTA([2]quests!$A:$A),MATCH(C$1,[2]quests!$1:$1,0)-MATCH($B$1,[2]quests!$1:$1,0)+1),MATCH(C$1,[2]quests!$1:$1,0)-MATCH($B$1,[2]quests!$1:$1,0)+1,FALSE)</f>
        <v>ヘンペルチャレンジ</v>
      </c>
      <c r="D115" s="84" t="str">
        <f ca="1">VLOOKUP($B115,OFFSET([2]quests!$A$1,0,0,COUNTA([2]quests!$A:$A),MATCH(D$1,[2]quests!$1:$1,0)-MATCH($B$1,[2]quests!$1:$1,0)+1),MATCH(D$1,[2]quests!$1:$1,0)-MATCH($B$1,[2]quests!$1:$1,0)+1,FALSE)</f>
        <v>ランキング7</v>
      </c>
      <c r="E115" s="88" t="s">
        <v>222</v>
      </c>
      <c r="F115" s="84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4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6">
        <v>0</v>
      </c>
      <c r="I115">
        <v>32</v>
      </c>
      <c r="J115" s="85" t="s">
        <v>200</v>
      </c>
      <c r="K115" s="95" t="str">
        <f>VLOOKUP(I115,[7]stage_hints!$A:$C,3,FALSE)</f>
        <v>敵の連続攻撃には</v>
      </c>
      <c r="L115" s="96" t="str">
        <f>VLOOKUP(I115,[7]stage_hints!$A:$D,4,FALSE)</f>
        <v>カウンタースキルを持つユニットがいれば_x000D_ダメージ回数分の反撃ができます</v>
      </c>
      <c r="M115" s="57" t="s">
        <v>215</v>
      </c>
    </row>
    <row r="116" spans="1:13" x14ac:dyDescent="0.15">
      <c r="A116" s="82" t="s">
        <v>203</v>
      </c>
      <c r="B116" s="83">
        <f>floors!$C$2</f>
        <v>60019</v>
      </c>
      <c r="C116" s="84" t="str">
        <f ca="1">VLOOKUP($B116,OFFSET([2]quests!$A$1,0,0,COUNTA([2]quests!$A:$A),MATCH(C$1,[2]quests!$1:$1,0)-MATCH($B$1,[2]quests!$1:$1,0)+1),MATCH(C$1,[2]quests!$1:$1,0)-MATCH($B$1,[2]quests!$1:$1,0)+1,FALSE)</f>
        <v>ヘンペルチャレンジ</v>
      </c>
      <c r="D116" s="84" t="str">
        <f ca="1">VLOOKUP($B116,OFFSET([2]quests!$A$1,0,0,COUNTA([2]quests!$A:$A),MATCH(D$1,[2]quests!$1:$1,0)-MATCH($B$1,[2]quests!$1:$1,0)+1),MATCH(D$1,[2]quests!$1:$1,0)-MATCH($B$1,[2]quests!$1:$1,0)+1,FALSE)</f>
        <v>ランキング7</v>
      </c>
      <c r="E116" s="88" t="s">
        <v>222</v>
      </c>
      <c r="F116" s="84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4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6">
        <v>0</v>
      </c>
      <c r="I116">
        <v>33</v>
      </c>
      <c r="J116" s="85" t="s">
        <v>200</v>
      </c>
      <c r="K116" s="95" t="str">
        <f>VLOOKUP(I116,[7]stage_hints!$A:$C,3,FALSE)</f>
        <v>敵のカウンター攻撃には</v>
      </c>
      <c r="L116" s="96" t="str">
        <f>VLOOKUP(I116,[7]stage_hints!$A:$D,4,FALSE)</f>
        <v>カウンターブレイクスキルを持っていれば_x000D_敵のカウンターを解除して攻撃ができます</v>
      </c>
      <c r="M116" s="57" t="s">
        <v>215</v>
      </c>
    </row>
    <row r="117" spans="1:13" x14ac:dyDescent="0.15">
      <c r="A117" s="82" t="s">
        <v>203</v>
      </c>
      <c r="B117" s="83">
        <f>floors!$C$2</f>
        <v>60019</v>
      </c>
      <c r="C117" s="84" t="str">
        <f ca="1">VLOOKUP($B117,OFFSET([2]quests!$A$1,0,0,COUNTA([2]quests!$A:$A),MATCH(C$1,[2]quests!$1:$1,0)-MATCH($B$1,[2]quests!$1:$1,0)+1),MATCH(C$1,[2]quests!$1:$1,0)-MATCH($B$1,[2]quests!$1:$1,0)+1,FALSE)</f>
        <v>ヘンペルチャレンジ</v>
      </c>
      <c r="D117" s="84" t="str">
        <f ca="1">VLOOKUP($B117,OFFSET([2]quests!$A$1,0,0,COUNTA([2]quests!$A:$A),MATCH(D$1,[2]quests!$1:$1,0)-MATCH($B$1,[2]quests!$1:$1,0)+1),MATCH(D$1,[2]quests!$1:$1,0)-MATCH($B$1,[2]quests!$1:$1,0)+1,FALSE)</f>
        <v>ランキング7</v>
      </c>
      <c r="E117" s="88" t="s">
        <v>222</v>
      </c>
      <c r="F117" s="84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4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6">
        <v>0</v>
      </c>
      <c r="I117">
        <v>34</v>
      </c>
      <c r="J117" s="85" t="s">
        <v>200</v>
      </c>
      <c r="K117" s="95" t="str">
        <f>VLOOKUP(I117,[7]stage_hints!$A:$C,3,FALSE)</f>
        <v>ステータスをスキルで下げられたら</v>
      </c>
      <c r="L117" s="96" t="str">
        <f>VLOOKUP(I117,[7]stage_hints!$A:$D,4,FALSE)</f>
        <v>ステータスダウンのスキルを受けたら_x000D_ステータスアップスキルで上書きしましょう</v>
      </c>
      <c r="M117" s="57" t="s">
        <v>215</v>
      </c>
    </row>
    <row r="118" spans="1:13" x14ac:dyDescent="0.15">
      <c r="A118" s="82" t="s">
        <v>203</v>
      </c>
      <c r="B118" s="83">
        <f>floors!$C$2</f>
        <v>60019</v>
      </c>
      <c r="C118" s="84" t="str">
        <f ca="1">VLOOKUP($B118,OFFSET([2]quests!$A$1,0,0,COUNTA([2]quests!$A:$A),MATCH(C$1,[2]quests!$1:$1,0)-MATCH($B$1,[2]quests!$1:$1,0)+1),MATCH(C$1,[2]quests!$1:$1,0)-MATCH($B$1,[2]quests!$1:$1,0)+1,FALSE)</f>
        <v>ヘンペルチャレンジ</v>
      </c>
      <c r="D118" s="84" t="str">
        <f ca="1">VLOOKUP($B118,OFFSET([2]quests!$A$1,0,0,COUNTA([2]quests!$A:$A),MATCH(D$1,[2]quests!$1:$1,0)-MATCH($B$1,[2]quests!$1:$1,0)+1),MATCH(D$1,[2]quests!$1:$1,0)-MATCH($B$1,[2]quests!$1:$1,0)+1,FALSE)</f>
        <v>ランキング7</v>
      </c>
      <c r="E118" s="88" t="s">
        <v>222</v>
      </c>
      <c r="F118" s="84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4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6">
        <v>0</v>
      </c>
      <c r="I118">
        <v>35</v>
      </c>
      <c r="J118" s="85" t="s">
        <v>200</v>
      </c>
      <c r="K118" s="95" t="str">
        <f>VLOOKUP(I118,[7]stage_hints!$A:$C,3,FALSE)</f>
        <v>敵のステータスがスキルで上がったら</v>
      </c>
      <c r="L118" s="96" t="str">
        <f>VLOOKUP(I118,[7]stage_hints!$A:$D,4,FALSE)</f>
        <v>敵のステータスがスキルでアップしたときは_x000D_ステータスダウンスキルで上書きしましょう</v>
      </c>
      <c r="M118" s="57" t="s">
        <v>215</v>
      </c>
    </row>
    <row r="119" spans="1:13" x14ac:dyDescent="0.15">
      <c r="A119" s="82" t="s">
        <v>203</v>
      </c>
      <c r="B119" s="83">
        <f>floors!$C$2</f>
        <v>60019</v>
      </c>
      <c r="C119" s="84" t="str">
        <f ca="1">VLOOKUP($B119,OFFSET([2]quests!$A$1,0,0,COUNTA([2]quests!$A:$A),MATCH(C$1,[2]quests!$1:$1,0)-MATCH($B$1,[2]quests!$1:$1,0)+1),MATCH(C$1,[2]quests!$1:$1,0)-MATCH($B$1,[2]quests!$1:$1,0)+1,FALSE)</f>
        <v>ヘンペルチャレンジ</v>
      </c>
      <c r="D119" s="84" t="str">
        <f ca="1">VLOOKUP($B119,OFFSET([2]quests!$A$1,0,0,COUNTA([2]quests!$A:$A),MATCH(D$1,[2]quests!$1:$1,0)-MATCH($B$1,[2]quests!$1:$1,0)+1),MATCH(D$1,[2]quests!$1:$1,0)-MATCH($B$1,[2]quests!$1:$1,0)+1,FALSE)</f>
        <v>ランキング7</v>
      </c>
      <c r="E119" s="88" t="s">
        <v>222</v>
      </c>
      <c r="F119" s="84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4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6">
        <v>0</v>
      </c>
      <c r="I119">
        <v>36</v>
      </c>
      <c r="J119" s="85" t="s">
        <v>200</v>
      </c>
      <c r="K119" s="95" t="str">
        <f>VLOOKUP(I119,[7]stage_hints!$A:$C,3,FALSE)</f>
        <v>チャレンジタワーのボス</v>
      </c>
      <c r="L119" s="96" t="str">
        <f>VLOOKUP(I119,[7]stage_hints!$A:$D,4,FALSE)</f>
        <v>チャレンジタワーでのみ登場するボスは_x000D_一定確率で獲得することができます</v>
      </c>
      <c r="M119" s="57" t="s">
        <v>215</v>
      </c>
    </row>
    <row r="120" spans="1:13" x14ac:dyDescent="0.15">
      <c r="A120" s="82" t="s">
        <v>203</v>
      </c>
      <c r="B120" s="83">
        <f>floors!$C$2</f>
        <v>60019</v>
      </c>
      <c r="C120" s="84" t="str">
        <f ca="1">VLOOKUP($B120,OFFSET([2]quests!$A$1,0,0,COUNTA([2]quests!$A:$A),MATCH(C$1,[2]quests!$1:$1,0)-MATCH($B$1,[2]quests!$1:$1,0)+1),MATCH(C$1,[2]quests!$1:$1,0)-MATCH($B$1,[2]quests!$1:$1,0)+1,FALSE)</f>
        <v>ヘンペルチャレンジ</v>
      </c>
      <c r="D120" s="84" t="str">
        <f ca="1">VLOOKUP($B120,OFFSET([2]quests!$A$1,0,0,COUNTA([2]quests!$A:$A),MATCH(D$1,[2]quests!$1:$1,0)-MATCH($B$1,[2]quests!$1:$1,0)+1),MATCH(D$1,[2]quests!$1:$1,0)-MATCH($B$1,[2]quests!$1:$1,0)+1,FALSE)</f>
        <v>ランキング7</v>
      </c>
      <c r="E120" s="88" t="s">
        <v>222</v>
      </c>
      <c r="F120" s="84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4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6">
        <v>0</v>
      </c>
      <c r="I120">
        <v>37</v>
      </c>
      <c r="J120" s="85" t="s">
        <v>200</v>
      </c>
      <c r="K120" s="95" t="str">
        <f>VLOOKUP(I120,[7]stage_hints!$A:$C,3,FALSE)</f>
        <v>限界突破値の引き継ぎ</v>
      </c>
      <c r="L120" s="96" t="str">
        <f>VLOOKUP(I120,[7]stage_hints!$A:$D,4,FALSE)</f>
        <v>同じユニットを強化で合成すると_x000D_限界突破値を引き継げます（覚醒前後も可）</v>
      </c>
      <c r="M120" s="57" t="s">
        <v>215</v>
      </c>
    </row>
    <row r="121" spans="1:13" x14ac:dyDescent="0.15">
      <c r="A121" s="82" t="s">
        <v>203</v>
      </c>
      <c r="B121" s="83">
        <f>floors!$C$2</f>
        <v>60019</v>
      </c>
      <c r="C121" s="84" t="str">
        <f ca="1">VLOOKUP($B121,OFFSET([2]quests!$A$1,0,0,COUNTA([2]quests!$A:$A),MATCH(C$1,[2]quests!$1:$1,0)-MATCH($B$1,[2]quests!$1:$1,0)+1),MATCH(C$1,[2]quests!$1:$1,0)-MATCH($B$1,[2]quests!$1:$1,0)+1,FALSE)</f>
        <v>ヘンペルチャレンジ</v>
      </c>
      <c r="D121" s="84" t="str">
        <f ca="1">VLOOKUP($B121,OFFSET([2]quests!$A$1,0,0,COUNTA([2]quests!$A:$A),MATCH(D$1,[2]quests!$1:$1,0)-MATCH($B$1,[2]quests!$1:$1,0)+1),MATCH(D$1,[2]quests!$1:$1,0)-MATCH($B$1,[2]quests!$1:$1,0)+1,FALSE)</f>
        <v>ランキング7</v>
      </c>
      <c r="E121" s="88" t="s">
        <v>222</v>
      </c>
      <c r="F121" s="84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4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6">
        <v>0</v>
      </c>
      <c r="I121">
        <v>39</v>
      </c>
      <c r="J121" s="85" t="s">
        <v>200</v>
      </c>
      <c r="K121" s="95" t="str">
        <f>VLOOKUP(I121,[7]stage_hints!$A:$C,3,FALSE)</f>
        <v>システム適合者を確認</v>
      </c>
      <c r="L121" s="96" t="str">
        <f>VLOOKUP(I121,[7]stage_hints!$A:$D,4,FALSE)</f>
        <v>ALICEが 「アナタ」を呼んでいます</v>
      </c>
      <c r="M121" s="57" t="s">
        <v>215</v>
      </c>
    </row>
    <row r="122" spans="1:13" x14ac:dyDescent="0.15">
      <c r="A122" s="82" t="s">
        <v>203</v>
      </c>
      <c r="B122" s="83">
        <f>floors!$C$2</f>
        <v>60019</v>
      </c>
      <c r="C122" s="84" t="str">
        <f ca="1">VLOOKUP($B122,OFFSET([2]quests!$A$1,0,0,COUNTA([2]quests!$A:$A),MATCH(C$1,[2]quests!$1:$1,0)-MATCH($B$1,[2]quests!$1:$1,0)+1),MATCH(C$1,[2]quests!$1:$1,0)-MATCH($B$1,[2]quests!$1:$1,0)+1,FALSE)</f>
        <v>ヘンペルチャレンジ</v>
      </c>
      <c r="D122" s="84" t="str">
        <f ca="1">VLOOKUP($B122,OFFSET([2]quests!$A$1,0,0,COUNTA([2]quests!$A:$A),MATCH(D$1,[2]quests!$1:$1,0)-MATCH($B$1,[2]quests!$1:$1,0)+1),MATCH(D$1,[2]quests!$1:$1,0)-MATCH($B$1,[2]quests!$1:$1,0)+1,FALSE)</f>
        <v>ランキング7</v>
      </c>
      <c r="E122" s="88" t="s">
        <v>223</v>
      </c>
      <c r="F122" s="84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4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6">
        <v>0</v>
      </c>
      <c r="I122">
        <v>12</v>
      </c>
      <c r="J122" s="85" t="s">
        <v>200</v>
      </c>
      <c r="K122" s="95" t="str">
        <f>VLOOKUP(I122,[7]stage_hints!$A:$C,3,FALSE)</f>
        <v>ユニットのお気に入り登録</v>
      </c>
      <c r="L122" s="96" t="str">
        <f>VLOOKUP(I122,[7]stage_hints!$A:$D,4,FALSE)</f>
        <v>大事なユニットを誤って消さないように_x000D_フォルダから「お気に入り登録」しましょう</v>
      </c>
      <c r="M122" s="57" t="s">
        <v>215</v>
      </c>
    </row>
    <row r="123" spans="1:13" x14ac:dyDescent="0.15">
      <c r="A123" s="82" t="s">
        <v>203</v>
      </c>
      <c r="B123" s="83">
        <f>floors!$C$2</f>
        <v>60019</v>
      </c>
      <c r="C123" s="84" t="str">
        <f ca="1">VLOOKUP($B123,OFFSET([2]quests!$A$1,0,0,COUNTA([2]quests!$A:$A),MATCH(C$1,[2]quests!$1:$1,0)-MATCH($B$1,[2]quests!$1:$1,0)+1),MATCH(C$1,[2]quests!$1:$1,0)-MATCH($B$1,[2]quests!$1:$1,0)+1,FALSE)</f>
        <v>ヘンペルチャレンジ</v>
      </c>
      <c r="D123" s="84" t="str">
        <f ca="1">VLOOKUP($B123,OFFSET([2]quests!$A$1,0,0,COUNTA([2]quests!$A:$A),MATCH(D$1,[2]quests!$1:$1,0)-MATCH($B$1,[2]quests!$1:$1,0)+1),MATCH(D$1,[2]quests!$1:$1,0)-MATCH($B$1,[2]quests!$1:$1,0)+1,FALSE)</f>
        <v>ランキング7</v>
      </c>
      <c r="E123" s="88" t="s">
        <v>223</v>
      </c>
      <c r="F123" s="84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4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6">
        <v>0</v>
      </c>
      <c r="I123">
        <v>17</v>
      </c>
      <c r="J123" s="85" t="s">
        <v>200</v>
      </c>
      <c r="K123" s="95" t="str">
        <f>VLOOKUP(I123,[7]stage_hints!$A:$C,3,FALSE)</f>
        <v>リンクガチャ</v>
      </c>
      <c r="L123" s="96" t="str">
        <f>VLOOKUP(I123,[7]stage_hints!$A:$D,4,FALSE)</f>
        <v>無料のリンクガチャを回して_x000D_経験値素材や売却素材を獲得しましょう</v>
      </c>
      <c r="M123" s="57" t="s">
        <v>215</v>
      </c>
    </row>
    <row r="124" spans="1:13" x14ac:dyDescent="0.15">
      <c r="A124" s="82" t="s">
        <v>203</v>
      </c>
      <c r="B124" s="83">
        <f>floors!$C$2</f>
        <v>60019</v>
      </c>
      <c r="C124" s="84" t="str">
        <f ca="1">VLOOKUP($B124,OFFSET([2]quests!$A$1,0,0,COUNTA([2]quests!$A:$A),MATCH(C$1,[2]quests!$1:$1,0)-MATCH($B$1,[2]quests!$1:$1,0)+1),MATCH(C$1,[2]quests!$1:$1,0)-MATCH($B$1,[2]quests!$1:$1,0)+1,FALSE)</f>
        <v>ヘンペルチャレンジ</v>
      </c>
      <c r="D124" s="84" t="str">
        <f ca="1">VLOOKUP($B124,OFFSET([2]quests!$A$1,0,0,COUNTA([2]quests!$A:$A),MATCH(D$1,[2]quests!$1:$1,0)-MATCH($B$1,[2]quests!$1:$1,0)+1),MATCH(D$1,[2]quests!$1:$1,0)-MATCH($B$1,[2]quests!$1:$1,0)+1,FALSE)</f>
        <v>ランキング7</v>
      </c>
      <c r="E124" s="88" t="s">
        <v>223</v>
      </c>
      <c r="F124" s="84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4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6">
        <v>0</v>
      </c>
      <c r="I124">
        <v>19</v>
      </c>
      <c r="J124" s="85" t="s">
        <v>200</v>
      </c>
      <c r="K124" s="95" t="str">
        <f>VLOOKUP(I124,[7]stage_hints!$A:$C,3,FALSE)</f>
        <v>ソロ専用チャレンジタワー</v>
      </c>
      <c r="L124" s="96" t="str">
        <f>VLOOKUP(I124,[7]stage_hints!$A:$D,4,FALSE)</f>
        <v>ソロ専用の「チャレンジタワー」では_x000D_各フロアごとにクリア報酬がもらえます</v>
      </c>
      <c r="M124" s="57" t="s">
        <v>215</v>
      </c>
    </row>
    <row r="125" spans="1:13" x14ac:dyDescent="0.15">
      <c r="A125" s="82" t="s">
        <v>203</v>
      </c>
      <c r="B125" s="83">
        <f>floors!$C$2</f>
        <v>60019</v>
      </c>
      <c r="C125" s="84" t="str">
        <f ca="1">VLOOKUP($B125,OFFSET([2]quests!$A$1,0,0,COUNTA([2]quests!$A:$A),MATCH(C$1,[2]quests!$1:$1,0)-MATCH($B$1,[2]quests!$1:$1,0)+1),MATCH(C$1,[2]quests!$1:$1,0)-MATCH($B$1,[2]quests!$1:$1,0)+1,FALSE)</f>
        <v>ヘンペルチャレンジ</v>
      </c>
      <c r="D125" s="84" t="str">
        <f ca="1">VLOOKUP($B125,OFFSET([2]quests!$A$1,0,0,COUNTA([2]quests!$A:$A),MATCH(D$1,[2]quests!$1:$1,0)-MATCH($B$1,[2]quests!$1:$1,0)+1),MATCH(D$1,[2]quests!$1:$1,0)-MATCH($B$1,[2]quests!$1:$1,0)+1,FALSE)</f>
        <v>ランキング7</v>
      </c>
      <c r="E125" s="88" t="s">
        <v>223</v>
      </c>
      <c r="F125" s="84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4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6">
        <v>0</v>
      </c>
      <c r="I125">
        <v>21</v>
      </c>
      <c r="J125" s="85" t="s">
        <v>200</v>
      </c>
      <c r="K125" s="95" t="str">
        <f>VLOOKUP(I125,[7]stage_hints!$A:$C,3,FALSE)</f>
        <v>スキルを有効に</v>
      </c>
      <c r="L125" s="96" t="str">
        <f>VLOOKUP(I125,[7]stage_hints!$A:$D,4,FALSE)</f>
        <v>ターン経過でユニットのスキルが使えます_x000D_強力スキルでバトルを有利に進めましょう</v>
      </c>
      <c r="M125" s="57" t="s">
        <v>215</v>
      </c>
    </row>
    <row r="126" spans="1:13" x14ac:dyDescent="0.15">
      <c r="A126" s="82" t="s">
        <v>203</v>
      </c>
      <c r="B126" s="83">
        <f>floors!$C$2</f>
        <v>60019</v>
      </c>
      <c r="C126" s="84" t="str">
        <f ca="1">VLOOKUP($B126,OFFSET([2]quests!$A$1,0,0,COUNTA([2]quests!$A:$A),MATCH(C$1,[2]quests!$1:$1,0)-MATCH($B$1,[2]quests!$1:$1,0)+1),MATCH(C$1,[2]quests!$1:$1,0)-MATCH($B$1,[2]quests!$1:$1,0)+1,FALSE)</f>
        <v>ヘンペルチャレンジ</v>
      </c>
      <c r="D126" s="84" t="str">
        <f ca="1">VLOOKUP($B126,OFFSET([2]quests!$A$1,0,0,COUNTA([2]quests!$A:$A),MATCH(D$1,[2]quests!$1:$1,0)-MATCH($B$1,[2]quests!$1:$1,0)+1),MATCH(D$1,[2]quests!$1:$1,0)-MATCH($B$1,[2]quests!$1:$1,0)+1,FALSE)</f>
        <v>ランキング7</v>
      </c>
      <c r="E126" s="88" t="s">
        <v>223</v>
      </c>
      <c r="F126" s="84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4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6">
        <v>0</v>
      </c>
      <c r="I126">
        <v>29</v>
      </c>
      <c r="J126" s="85" t="s">
        <v>200</v>
      </c>
      <c r="K126" s="95" t="str">
        <f>VLOOKUP(I126,[7]stage_hints!$A:$C,3,FALSE)</f>
        <v>「バグ」のメリット</v>
      </c>
      <c r="L126" s="96" t="str">
        <f>VLOOKUP(I126,[7]stage_hints!$A:$D,4,FALSE)</f>
        <v>ユニットの「バグ」を増やすと_x000D_報酬をもらえる確率がアップします</v>
      </c>
      <c r="M126" s="57" t="s">
        <v>215</v>
      </c>
    </row>
    <row r="127" spans="1:13" x14ac:dyDescent="0.15">
      <c r="A127" s="82" t="s">
        <v>203</v>
      </c>
      <c r="B127" s="83">
        <f>floors!$C$2</f>
        <v>60019</v>
      </c>
      <c r="C127" s="84" t="str">
        <f ca="1">VLOOKUP($B127,OFFSET([2]quests!$A$1,0,0,COUNTA([2]quests!$A:$A),MATCH(C$1,[2]quests!$1:$1,0)-MATCH($B$1,[2]quests!$1:$1,0)+1),MATCH(C$1,[2]quests!$1:$1,0)-MATCH($B$1,[2]quests!$1:$1,0)+1,FALSE)</f>
        <v>ヘンペルチャレンジ</v>
      </c>
      <c r="D127" s="84" t="str">
        <f ca="1">VLOOKUP($B127,OFFSET([2]quests!$A$1,0,0,COUNTA([2]quests!$A:$A),MATCH(D$1,[2]quests!$1:$1,0)-MATCH($B$1,[2]quests!$1:$1,0)+1),MATCH(D$1,[2]quests!$1:$1,0)-MATCH($B$1,[2]quests!$1:$1,0)+1,FALSE)</f>
        <v>ランキング7</v>
      </c>
      <c r="E127" s="88" t="s">
        <v>223</v>
      </c>
      <c r="F127" s="84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4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6">
        <v>0</v>
      </c>
      <c r="I127">
        <v>30</v>
      </c>
      <c r="J127" s="85" t="s">
        <v>200</v>
      </c>
      <c r="K127" s="95" t="str">
        <f>VLOOKUP(I127,[7]stage_hints!$A:$C,3,FALSE)</f>
        <v>「バグ」の増やし方</v>
      </c>
      <c r="L127" s="96" t="str">
        <f>VLOOKUP(I127,[7]stage_hints!$A:$D,4,FALSE)</f>
        <v>同じユニット同士を強化で合成すると_x000D_「バグ」を増やすことができます</v>
      </c>
      <c r="M127" s="57" t="s">
        <v>215</v>
      </c>
    </row>
    <row r="128" spans="1:13" x14ac:dyDescent="0.15">
      <c r="A128" s="82" t="s">
        <v>203</v>
      </c>
      <c r="B128" s="83">
        <f>floors!$C$2</f>
        <v>60019</v>
      </c>
      <c r="C128" s="84" t="str">
        <f ca="1">VLOOKUP($B128,OFFSET([2]quests!$A$1,0,0,COUNTA([2]quests!$A:$A),MATCH(C$1,[2]quests!$1:$1,0)-MATCH($B$1,[2]quests!$1:$1,0)+1),MATCH(C$1,[2]quests!$1:$1,0)-MATCH($B$1,[2]quests!$1:$1,0)+1,FALSE)</f>
        <v>ヘンペルチャレンジ</v>
      </c>
      <c r="D128" s="84" t="str">
        <f ca="1">VLOOKUP($B128,OFFSET([2]quests!$A$1,0,0,COUNTA([2]quests!$A:$A),MATCH(D$1,[2]quests!$1:$1,0)-MATCH($B$1,[2]quests!$1:$1,0)+1),MATCH(D$1,[2]quests!$1:$1,0)-MATCH($B$1,[2]quests!$1:$1,0)+1,FALSE)</f>
        <v>ランキング7</v>
      </c>
      <c r="E128" s="88" t="s">
        <v>223</v>
      </c>
      <c r="F128" s="84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4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6">
        <v>0</v>
      </c>
      <c r="I128">
        <v>32</v>
      </c>
      <c r="J128" s="85" t="s">
        <v>200</v>
      </c>
      <c r="K128" s="95" t="str">
        <f>VLOOKUP(I128,[7]stage_hints!$A:$C,3,FALSE)</f>
        <v>敵の連続攻撃には</v>
      </c>
      <c r="L128" s="96" t="str">
        <f>VLOOKUP(I128,[7]stage_hints!$A:$D,4,FALSE)</f>
        <v>カウンタースキルを持つユニットがいれば_x000D_ダメージ回数分の反撃ができます</v>
      </c>
      <c r="M128" s="57" t="s">
        <v>215</v>
      </c>
    </row>
    <row r="129" spans="1:13" x14ac:dyDescent="0.15">
      <c r="A129" s="82" t="s">
        <v>203</v>
      </c>
      <c r="B129" s="83">
        <f>floors!$C$2</f>
        <v>60019</v>
      </c>
      <c r="C129" s="84" t="str">
        <f ca="1">VLOOKUP($B129,OFFSET([2]quests!$A$1,0,0,COUNTA([2]quests!$A:$A),MATCH(C$1,[2]quests!$1:$1,0)-MATCH($B$1,[2]quests!$1:$1,0)+1),MATCH(C$1,[2]quests!$1:$1,0)-MATCH($B$1,[2]quests!$1:$1,0)+1,FALSE)</f>
        <v>ヘンペルチャレンジ</v>
      </c>
      <c r="D129" s="84" t="str">
        <f ca="1">VLOOKUP($B129,OFFSET([2]quests!$A$1,0,0,COUNTA([2]quests!$A:$A),MATCH(D$1,[2]quests!$1:$1,0)-MATCH($B$1,[2]quests!$1:$1,0)+1),MATCH(D$1,[2]quests!$1:$1,0)-MATCH($B$1,[2]quests!$1:$1,0)+1,FALSE)</f>
        <v>ランキング7</v>
      </c>
      <c r="E129" s="88" t="s">
        <v>223</v>
      </c>
      <c r="F129" s="84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4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6">
        <v>0</v>
      </c>
      <c r="I129">
        <v>33</v>
      </c>
      <c r="J129" s="85" t="s">
        <v>200</v>
      </c>
      <c r="K129" s="95" t="str">
        <f>VLOOKUP(I129,[7]stage_hints!$A:$C,3,FALSE)</f>
        <v>敵のカウンター攻撃には</v>
      </c>
      <c r="L129" s="96" t="str">
        <f>VLOOKUP(I129,[7]stage_hints!$A:$D,4,FALSE)</f>
        <v>カウンターブレイクスキルを持っていれば_x000D_敵のカウンターを解除して攻撃ができます</v>
      </c>
      <c r="M129" s="57" t="s">
        <v>215</v>
      </c>
    </row>
    <row r="130" spans="1:13" x14ac:dyDescent="0.15">
      <c r="A130" s="82" t="s">
        <v>203</v>
      </c>
      <c r="B130" s="83">
        <f>floors!$C$2</f>
        <v>60019</v>
      </c>
      <c r="C130" s="84" t="str">
        <f ca="1">VLOOKUP($B130,OFFSET([2]quests!$A$1,0,0,COUNTA([2]quests!$A:$A),MATCH(C$1,[2]quests!$1:$1,0)-MATCH($B$1,[2]quests!$1:$1,0)+1),MATCH(C$1,[2]quests!$1:$1,0)-MATCH($B$1,[2]quests!$1:$1,0)+1,FALSE)</f>
        <v>ヘンペルチャレンジ</v>
      </c>
      <c r="D130" s="84" t="str">
        <f ca="1">VLOOKUP($B130,OFFSET([2]quests!$A$1,0,0,COUNTA([2]quests!$A:$A),MATCH(D$1,[2]quests!$1:$1,0)-MATCH($B$1,[2]quests!$1:$1,0)+1),MATCH(D$1,[2]quests!$1:$1,0)-MATCH($B$1,[2]quests!$1:$1,0)+1,FALSE)</f>
        <v>ランキング7</v>
      </c>
      <c r="E130" s="88" t="s">
        <v>223</v>
      </c>
      <c r="F130" s="84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4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6">
        <v>0</v>
      </c>
      <c r="I130">
        <v>34</v>
      </c>
      <c r="J130" s="85" t="s">
        <v>200</v>
      </c>
      <c r="K130" s="95" t="str">
        <f>VLOOKUP(I130,[7]stage_hints!$A:$C,3,FALSE)</f>
        <v>ステータスをスキルで下げられたら</v>
      </c>
      <c r="L130" s="96" t="str">
        <f>VLOOKUP(I130,[7]stage_hints!$A:$D,4,FALSE)</f>
        <v>ステータスダウンのスキルを受けたら_x000D_ステータスアップスキルで上書きしましょう</v>
      </c>
      <c r="M130" s="57" t="s">
        <v>215</v>
      </c>
    </row>
    <row r="131" spans="1:13" x14ac:dyDescent="0.15">
      <c r="A131" s="82" t="s">
        <v>203</v>
      </c>
      <c r="B131" s="83">
        <f>floors!$C$2</f>
        <v>60019</v>
      </c>
      <c r="C131" s="84" t="str">
        <f ca="1">VLOOKUP($B131,OFFSET([2]quests!$A$1,0,0,COUNTA([2]quests!$A:$A),MATCH(C$1,[2]quests!$1:$1,0)-MATCH($B$1,[2]quests!$1:$1,0)+1),MATCH(C$1,[2]quests!$1:$1,0)-MATCH($B$1,[2]quests!$1:$1,0)+1,FALSE)</f>
        <v>ヘンペルチャレンジ</v>
      </c>
      <c r="D131" s="84" t="str">
        <f ca="1">VLOOKUP($B131,OFFSET([2]quests!$A$1,0,0,COUNTA([2]quests!$A:$A),MATCH(D$1,[2]quests!$1:$1,0)-MATCH($B$1,[2]quests!$1:$1,0)+1),MATCH(D$1,[2]quests!$1:$1,0)-MATCH($B$1,[2]quests!$1:$1,0)+1,FALSE)</f>
        <v>ランキング7</v>
      </c>
      <c r="E131" s="88" t="s">
        <v>223</v>
      </c>
      <c r="F131" s="84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4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6">
        <v>0</v>
      </c>
      <c r="I131">
        <v>35</v>
      </c>
      <c r="J131" s="85" t="s">
        <v>200</v>
      </c>
      <c r="K131" s="95" t="str">
        <f>VLOOKUP(I131,[7]stage_hints!$A:$C,3,FALSE)</f>
        <v>敵のステータスがスキルで上がったら</v>
      </c>
      <c r="L131" s="96" t="str">
        <f>VLOOKUP(I131,[7]stage_hints!$A:$D,4,FALSE)</f>
        <v>敵のステータスがスキルでアップしたときは_x000D_ステータスダウンスキルで上書きしましょう</v>
      </c>
      <c r="M131" s="57" t="s">
        <v>215</v>
      </c>
    </row>
    <row r="132" spans="1:13" x14ac:dyDescent="0.15">
      <c r="A132" s="82" t="s">
        <v>203</v>
      </c>
      <c r="B132" s="83">
        <f>floors!$C$2</f>
        <v>60019</v>
      </c>
      <c r="C132" s="84" t="str">
        <f ca="1">VLOOKUP($B132,OFFSET([2]quests!$A$1,0,0,COUNTA([2]quests!$A:$A),MATCH(C$1,[2]quests!$1:$1,0)-MATCH($B$1,[2]quests!$1:$1,0)+1),MATCH(C$1,[2]quests!$1:$1,0)-MATCH($B$1,[2]quests!$1:$1,0)+1,FALSE)</f>
        <v>ヘンペルチャレンジ</v>
      </c>
      <c r="D132" s="84" t="str">
        <f ca="1">VLOOKUP($B132,OFFSET([2]quests!$A$1,0,0,COUNTA([2]quests!$A:$A),MATCH(D$1,[2]quests!$1:$1,0)-MATCH($B$1,[2]quests!$1:$1,0)+1),MATCH(D$1,[2]quests!$1:$1,0)-MATCH($B$1,[2]quests!$1:$1,0)+1,FALSE)</f>
        <v>ランキング7</v>
      </c>
      <c r="E132" s="88" t="s">
        <v>223</v>
      </c>
      <c r="F132" s="84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4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6">
        <v>0</v>
      </c>
      <c r="I132">
        <v>36</v>
      </c>
      <c r="J132" s="85" t="s">
        <v>200</v>
      </c>
      <c r="K132" s="95" t="str">
        <f>VLOOKUP(I132,[7]stage_hints!$A:$C,3,FALSE)</f>
        <v>チャレンジタワーのボス</v>
      </c>
      <c r="L132" s="96" t="str">
        <f>VLOOKUP(I132,[7]stage_hints!$A:$D,4,FALSE)</f>
        <v>チャレンジタワーでのみ登場するボスは_x000D_一定確率で獲得することができます</v>
      </c>
      <c r="M132" s="57" t="s">
        <v>215</v>
      </c>
    </row>
    <row r="133" spans="1:13" x14ac:dyDescent="0.15">
      <c r="A133" s="82" t="s">
        <v>203</v>
      </c>
      <c r="B133" s="83">
        <f>floors!$C$2</f>
        <v>60019</v>
      </c>
      <c r="C133" s="84" t="str">
        <f ca="1">VLOOKUP($B133,OFFSET([2]quests!$A$1,0,0,COUNTA([2]quests!$A:$A),MATCH(C$1,[2]quests!$1:$1,0)-MATCH($B$1,[2]quests!$1:$1,0)+1),MATCH(C$1,[2]quests!$1:$1,0)-MATCH($B$1,[2]quests!$1:$1,0)+1,FALSE)</f>
        <v>ヘンペルチャレンジ</v>
      </c>
      <c r="D133" s="84" t="str">
        <f ca="1">VLOOKUP($B133,OFFSET([2]quests!$A$1,0,0,COUNTA([2]quests!$A:$A),MATCH(D$1,[2]quests!$1:$1,0)-MATCH($B$1,[2]quests!$1:$1,0)+1),MATCH(D$1,[2]quests!$1:$1,0)-MATCH($B$1,[2]quests!$1:$1,0)+1,FALSE)</f>
        <v>ランキング7</v>
      </c>
      <c r="E133" s="88" t="s">
        <v>223</v>
      </c>
      <c r="F133" s="84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4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6">
        <v>0</v>
      </c>
      <c r="I133">
        <v>37</v>
      </c>
      <c r="J133" s="85" t="s">
        <v>200</v>
      </c>
      <c r="K133" s="95" t="str">
        <f>VLOOKUP(I133,[7]stage_hints!$A:$C,3,FALSE)</f>
        <v>限界突破値の引き継ぎ</v>
      </c>
      <c r="L133" s="96" t="str">
        <f>VLOOKUP(I133,[7]stage_hints!$A:$D,4,FALSE)</f>
        <v>同じユニットを強化で合成すると_x000D_限界突破値を引き継げます（覚醒前後も可）</v>
      </c>
      <c r="M133" s="57" t="s">
        <v>215</v>
      </c>
    </row>
    <row r="134" spans="1:13" x14ac:dyDescent="0.15">
      <c r="A134" s="82" t="s">
        <v>203</v>
      </c>
      <c r="B134" s="83">
        <f>floors!$C$2</f>
        <v>60019</v>
      </c>
      <c r="C134" s="84" t="str">
        <f ca="1">VLOOKUP($B134,OFFSET([2]quests!$A$1,0,0,COUNTA([2]quests!$A:$A),MATCH(C$1,[2]quests!$1:$1,0)-MATCH($B$1,[2]quests!$1:$1,0)+1),MATCH(C$1,[2]quests!$1:$1,0)-MATCH($B$1,[2]quests!$1:$1,0)+1,FALSE)</f>
        <v>ヘンペルチャレンジ</v>
      </c>
      <c r="D134" s="84" t="str">
        <f ca="1">VLOOKUP($B134,OFFSET([2]quests!$A$1,0,0,COUNTA([2]quests!$A:$A),MATCH(D$1,[2]quests!$1:$1,0)-MATCH($B$1,[2]quests!$1:$1,0)+1),MATCH(D$1,[2]quests!$1:$1,0)-MATCH($B$1,[2]quests!$1:$1,0)+1,FALSE)</f>
        <v>ランキング7</v>
      </c>
      <c r="E134" s="88" t="s">
        <v>223</v>
      </c>
      <c r="F134" s="84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4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6">
        <v>0</v>
      </c>
      <c r="I134">
        <v>39</v>
      </c>
      <c r="J134" s="85" t="s">
        <v>200</v>
      </c>
      <c r="K134" s="95" t="str">
        <f>VLOOKUP(I134,[7]stage_hints!$A:$C,3,FALSE)</f>
        <v>システム適合者を確認</v>
      </c>
      <c r="L134" s="96" t="str">
        <f>VLOOKUP(I134,[7]stage_hints!$A:$D,4,FALSE)</f>
        <v>ALICEが 「アナタ」を呼んでいます</v>
      </c>
      <c r="M134" s="57" t="s">
        <v>215</v>
      </c>
    </row>
  </sheetData>
  <phoneticPr fontId="8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N2" sqref="A1:N2"/>
    </sheetView>
  </sheetViews>
  <sheetFormatPr baseColWidth="12" defaultColWidth="13" defaultRowHeight="15" outlineLevelCol="1" x14ac:dyDescent="0.15"/>
  <cols>
    <col min="1" max="1" width="13" style="90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190</v>
      </c>
      <c r="B1" s="73" t="s">
        <v>151</v>
      </c>
      <c r="C1" s="78" t="s">
        <v>192</v>
      </c>
      <c r="D1" s="78" t="s">
        <v>33</v>
      </c>
      <c r="E1" s="73" t="s">
        <v>193</v>
      </c>
      <c r="F1" s="78" t="s">
        <v>18</v>
      </c>
      <c r="G1" s="78" t="s">
        <v>33</v>
      </c>
      <c r="H1" s="73" t="s">
        <v>195</v>
      </c>
      <c r="I1" s="91" t="s">
        <v>196</v>
      </c>
      <c r="J1" s="93" t="s">
        <v>197</v>
      </c>
      <c r="K1" s="80" t="s">
        <v>127</v>
      </c>
      <c r="L1" s="79" t="s">
        <v>188</v>
      </c>
      <c r="M1" s="94" t="s">
        <v>187</v>
      </c>
      <c r="N1" s="81" t="s">
        <v>198</v>
      </c>
    </row>
    <row r="2" spans="1:14" x14ac:dyDescent="0.15">
      <c r="A2" s="82" t="s">
        <v>199</v>
      </c>
      <c r="B2" s="83">
        <f>floors!$C$2</f>
        <v>60019</v>
      </c>
      <c r="C2" s="84" t="str">
        <f ca="1">VLOOKUP($B2,OFFSET([2]quests!$A$1,0,0,COUNTA([2]quests!$A:$A),MATCH(C$1,[2]quests!$1:$1,0)-MATCH($B$1,[2]quests!$1:$1,0)+1),MATCH(C$1,[2]quests!$1:$1,0)-MATCH($B$1,[2]quests!$1:$1,0)+1,FALSE)</f>
        <v>ヘンペルチャレンジ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ランキング7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ヘンペルチャレンジ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ランキング7</v>
      </c>
      <c r="H2" s="86">
        <v>0</v>
      </c>
      <c r="I2" s="92">
        <f>ROW()-1</f>
        <v>1</v>
      </c>
      <c r="J2" s="87" t="str">
        <f>B2&amp;TEXT(I2,"00")</f>
        <v>6001901</v>
      </c>
      <c r="K2" s="85" t="s">
        <v>200</v>
      </c>
      <c r="L2" s="88" t="s">
        <v>201</v>
      </c>
      <c r="M2" s="89" t="s">
        <v>204</v>
      </c>
      <c r="N2" s="57" t="s">
        <v>202</v>
      </c>
    </row>
  </sheetData>
  <phoneticPr fontId="8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ranking_eval_gift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2016-12-02T08:55:08Z</dcterms:modified>
</cp:coreProperties>
</file>