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2540" yWindow="1660" windowWidth="25660" windowHeight="167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bonuses" sheetId="22" r:id="rId9"/>
    <sheet name="stage_hints_complete" sheetId="19" r:id="rId10"/>
    <sheet name="stage_hints_failure" sheetId="21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stage_bonuses!$B$1:$I$1</definedName>
    <definedName name="_xlnm._FilterDatabase" localSheetId="9" hidden="1">stage_hints_complete!$B$1:$L$1</definedName>
    <definedName name="_xlnm._FilterDatabase" localSheetId="10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5" i="10" l="1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J83" i="11"/>
  <c r="O41" i="9"/>
  <c r="N41" i="9"/>
  <c r="M41" i="9"/>
  <c r="L41" i="9"/>
  <c r="K41" i="9"/>
  <c r="J41" i="9"/>
  <c r="I41" i="9"/>
  <c r="H41" i="9"/>
  <c r="G41" i="9"/>
  <c r="E41" i="9"/>
  <c r="D41" i="9"/>
  <c r="A41" i="9"/>
  <c r="O82" i="9"/>
  <c r="N82" i="9"/>
  <c r="M82" i="9"/>
  <c r="L82" i="9"/>
  <c r="K82" i="9"/>
  <c r="J82" i="9"/>
  <c r="I82" i="9"/>
  <c r="H82" i="9"/>
  <c r="G82" i="9"/>
  <c r="E82" i="9"/>
  <c r="D82" i="9"/>
  <c r="A82" i="9"/>
  <c r="N10" i="22"/>
  <c r="G10" i="22"/>
  <c r="F10" i="22"/>
  <c r="D10" i="22"/>
  <c r="C10" i="22"/>
  <c r="A10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A8" i="18"/>
  <c r="C8" i="18"/>
  <c r="D8" i="18"/>
  <c r="A7" i="18"/>
  <c r="C7" i="18"/>
  <c r="D7" i="18"/>
  <c r="A6" i="18"/>
  <c r="C6" i="18"/>
  <c r="D6" i="18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A5" i="18"/>
  <c r="C5" i="18"/>
  <c r="D5" i="18"/>
  <c r="A4" i="18"/>
  <c r="C4" i="18"/>
  <c r="D4" i="18"/>
  <c r="A3" i="18"/>
  <c r="C3" i="18"/>
  <c r="D3" i="18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J82" i="11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A178" i="9"/>
  <c r="D178" i="9"/>
  <c r="E178" i="9"/>
  <c r="G178" i="9"/>
  <c r="H178" i="9"/>
  <c r="I178" i="9"/>
  <c r="J178" i="9"/>
  <c r="K178" i="9"/>
  <c r="L178" i="9"/>
  <c r="M178" i="9"/>
  <c r="N178" i="9"/>
  <c r="J80" i="11"/>
  <c r="O178" i="9"/>
  <c r="A179" i="9"/>
  <c r="D179" i="9"/>
  <c r="E179" i="9"/>
  <c r="G179" i="9"/>
  <c r="H179" i="9"/>
  <c r="I179" i="9"/>
  <c r="J179" i="9"/>
  <c r="K179" i="9"/>
  <c r="L179" i="9"/>
  <c r="M179" i="9"/>
  <c r="N179" i="9"/>
  <c r="O179" i="9"/>
  <c r="J81" i="11"/>
  <c r="O177" i="9"/>
  <c r="N177" i="9"/>
  <c r="M177" i="9"/>
  <c r="L177" i="9"/>
  <c r="K177" i="9"/>
  <c r="J177" i="9"/>
  <c r="I177" i="9"/>
  <c r="H177" i="9"/>
  <c r="G177" i="9"/>
  <c r="E177" i="9"/>
  <c r="D177" i="9"/>
  <c r="A177" i="9"/>
  <c r="D150" i="9"/>
  <c r="A161" i="9"/>
  <c r="D161" i="9"/>
  <c r="E161" i="9"/>
  <c r="G161" i="9"/>
  <c r="H161" i="9"/>
  <c r="I161" i="9"/>
  <c r="J161" i="9"/>
  <c r="K161" i="9"/>
  <c r="L161" i="9"/>
  <c r="M161" i="9"/>
  <c r="N161" i="9"/>
  <c r="O161" i="9"/>
  <c r="D110" i="9"/>
  <c r="E108" i="9"/>
  <c r="A108" i="9"/>
  <c r="A109" i="9"/>
  <c r="A110" i="9"/>
  <c r="A111" i="9"/>
  <c r="A112" i="9"/>
  <c r="A113" i="9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O144" i="9"/>
  <c r="N144" i="9"/>
  <c r="M144" i="9"/>
  <c r="L144" i="9"/>
  <c r="K144" i="9"/>
  <c r="J144" i="9"/>
  <c r="I144" i="9"/>
  <c r="H144" i="9"/>
  <c r="G144" i="9"/>
  <c r="E144" i="9"/>
  <c r="D144" i="9"/>
  <c r="A144" i="9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A145" i="9"/>
  <c r="A160" i="9"/>
  <c r="D160" i="9"/>
  <c r="E160" i="9"/>
  <c r="G160" i="9"/>
  <c r="H160" i="9"/>
  <c r="I160" i="9"/>
  <c r="J160" i="9"/>
  <c r="K160" i="9"/>
  <c r="L160" i="9"/>
  <c r="M160" i="9"/>
  <c r="N160" i="9"/>
  <c r="O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J49" i="11"/>
  <c r="J7" i="11"/>
  <c r="O113" i="9"/>
  <c r="N113" i="9"/>
  <c r="M113" i="9"/>
  <c r="L113" i="9"/>
  <c r="K113" i="9"/>
  <c r="J113" i="9"/>
  <c r="I113" i="9"/>
  <c r="H113" i="9"/>
  <c r="G113" i="9"/>
  <c r="E113" i="9"/>
  <c r="D113" i="9"/>
  <c r="O112" i="9"/>
  <c r="N112" i="9"/>
  <c r="M112" i="9"/>
  <c r="L112" i="9"/>
  <c r="K112" i="9"/>
  <c r="J112" i="9"/>
  <c r="I112" i="9"/>
  <c r="H112" i="9"/>
  <c r="G112" i="9"/>
  <c r="E112" i="9"/>
  <c r="D112" i="9"/>
  <c r="O111" i="9"/>
  <c r="N111" i="9"/>
  <c r="M111" i="9"/>
  <c r="L111" i="9"/>
  <c r="K111" i="9"/>
  <c r="J111" i="9"/>
  <c r="I111" i="9"/>
  <c r="H111" i="9"/>
  <c r="G111" i="9"/>
  <c r="E111" i="9"/>
  <c r="D111" i="9"/>
  <c r="O110" i="9"/>
  <c r="N110" i="9"/>
  <c r="M110" i="9"/>
  <c r="L110" i="9"/>
  <c r="K110" i="9"/>
  <c r="J110" i="9"/>
  <c r="I110" i="9"/>
  <c r="H110" i="9"/>
  <c r="G110" i="9"/>
  <c r="E110" i="9"/>
  <c r="O109" i="9"/>
  <c r="N109" i="9"/>
  <c r="M109" i="9"/>
  <c r="L109" i="9"/>
  <c r="K109" i="9"/>
  <c r="J109" i="9"/>
  <c r="I109" i="9"/>
  <c r="H109" i="9"/>
  <c r="G109" i="9"/>
  <c r="E109" i="9"/>
  <c r="D109" i="9"/>
  <c r="O108" i="9"/>
  <c r="N108" i="9"/>
  <c r="M108" i="9"/>
  <c r="L108" i="9"/>
  <c r="K108" i="9"/>
  <c r="J108" i="9"/>
  <c r="I108" i="9"/>
  <c r="H108" i="9"/>
  <c r="G108" i="9"/>
  <c r="D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O119" i="9"/>
  <c r="N119" i="9"/>
  <c r="M119" i="9"/>
  <c r="L119" i="9"/>
  <c r="K119" i="9"/>
  <c r="J119" i="9"/>
  <c r="I119" i="9"/>
  <c r="H119" i="9"/>
  <c r="G119" i="9"/>
  <c r="E119" i="9"/>
  <c r="D119" i="9"/>
  <c r="A119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E44" i="9"/>
  <c r="X14" i="1"/>
  <c r="E62" i="9"/>
  <c r="X23" i="1"/>
  <c r="E60" i="9"/>
  <c r="X22" i="1"/>
  <c r="E55" i="9"/>
  <c r="X21" i="1"/>
  <c r="E54" i="9"/>
  <c r="X20" i="1"/>
  <c r="E52" i="9"/>
  <c r="X19" i="1"/>
  <c r="E48" i="9"/>
  <c r="X18" i="1"/>
  <c r="E47" i="9"/>
  <c r="X17" i="1"/>
  <c r="X16" i="1"/>
  <c r="E45" i="9"/>
  <c r="X15" i="1"/>
  <c r="E43" i="9"/>
  <c r="X13" i="1"/>
  <c r="J79" i="11"/>
  <c r="O83" i="9"/>
  <c r="N83" i="9"/>
  <c r="M83" i="9"/>
  <c r="L83" i="9"/>
  <c r="K83" i="9"/>
  <c r="J83" i="9"/>
  <c r="I83" i="9"/>
  <c r="H83" i="9"/>
  <c r="G83" i="9"/>
  <c r="E83" i="9"/>
  <c r="D83" i="9"/>
  <c r="A83" i="9"/>
  <c r="J78" i="11"/>
  <c r="O81" i="9"/>
  <c r="N81" i="9"/>
  <c r="M81" i="9"/>
  <c r="L81" i="9"/>
  <c r="K81" i="9"/>
  <c r="J81" i="9"/>
  <c r="I81" i="9"/>
  <c r="H81" i="9"/>
  <c r="G81" i="9"/>
  <c r="E81" i="9"/>
  <c r="D81" i="9"/>
  <c r="A81" i="9"/>
  <c r="J77" i="11"/>
  <c r="O80" i="9"/>
  <c r="N80" i="9"/>
  <c r="M80" i="9"/>
  <c r="L80" i="9"/>
  <c r="K80" i="9"/>
  <c r="J80" i="9"/>
  <c r="I80" i="9"/>
  <c r="H80" i="9"/>
  <c r="G80" i="9"/>
  <c r="E80" i="9"/>
  <c r="D80" i="9"/>
  <c r="A80" i="9"/>
  <c r="J76" i="11"/>
  <c r="O79" i="9"/>
  <c r="N79" i="9"/>
  <c r="M79" i="9"/>
  <c r="L79" i="9"/>
  <c r="K79" i="9"/>
  <c r="J79" i="9"/>
  <c r="I79" i="9"/>
  <c r="H79" i="9"/>
  <c r="G79" i="9"/>
  <c r="E79" i="9"/>
  <c r="D79" i="9"/>
  <c r="A79" i="9"/>
  <c r="J75" i="11"/>
  <c r="O78" i="9"/>
  <c r="N78" i="9"/>
  <c r="M78" i="9"/>
  <c r="L78" i="9"/>
  <c r="K78" i="9"/>
  <c r="J78" i="9"/>
  <c r="I78" i="9"/>
  <c r="H78" i="9"/>
  <c r="G78" i="9"/>
  <c r="E78" i="9"/>
  <c r="D78" i="9"/>
  <c r="A78" i="9"/>
  <c r="J74" i="11"/>
  <c r="O77" i="9"/>
  <c r="N77" i="9"/>
  <c r="M77" i="9"/>
  <c r="L77" i="9"/>
  <c r="K77" i="9"/>
  <c r="J77" i="9"/>
  <c r="I77" i="9"/>
  <c r="H77" i="9"/>
  <c r="G77" i="9"/>
  <c r="E77" i="9"/>
  <c r="D77" i="9"/>
  <c r="A77" i="9"/>
  <c r="J73" i="11"/>
  <c r="O76" i="9"/>
  <c r="N76" i="9"/>
  <c r="M76" i="9"/>
  <c r="L76" i="9"/>
  <c r="K76" i="9"/>
  <c r="J76" i="9"/>
  <c r="I76" i="9"/>
  <c r="H76" i="9"/>
  <c r="G76" i="9"/>
  <c r="E76" i="9"/>
  <c r="D76" i="9"/>
  <c r="A76" i="9"/>
  <c r="J72" i="11"/>
  <c r="O75" i="9"/>
  <c r="N75" i="9"/>
  <c r="M75" i="9"/>
  <c r="L75" i="9"/>
  <c r="K75" i="9"/>
  <c r="J75" i="9"/>
  <c r="I75" i="9"/>
  <c r="H75" i="9"/>
  <c r="G75" i="9"/>
  <c r="E75" i="9"/>
  <c r="D75" i="9"/>
  <c r="A75" i="9"/>
  <c r="J71" i="11"/>
  <c r="O74" i="9"/>
  <c r="N74" i="9"/>
  <c r="M74" i="9"/>
  <c r="L74" i="9"/>
  <c r="K74" i="9"/>
  <c r="J74" i="9"/>
  <c r="I74" i="9"/>
  <c r="H74" i="9"/>
  <c r="G74" i="9"/>
  <c r="E74" i="9"/>
  <c r="D74" i="9"/>
  <c r="A74" i="9"/>
  <c r="J70" i="11"/>
  <c r="O73" i="9"/>
  <c r="N73" i="9"/>
  <c r="M73" i="9"/>
  <c r="L73" i="9"/>
  <c r="K73" i="9"/>
  <c r="J73" i="9"/>
  <c r="I73" i="9"/>
  <c r="H73" i="9"/>
  <c r="G73" i="9"/>
  <c r="E73" i="9"/>
  <c r="D73" i="9"/>
  <c r="A73" i="9"/>
  <c r="J69" i="11"/>
  <c r="O72" i="9"/>
  <c r="N72" i="9"/>
  <c r="M72" i="9"/>
  <c r="L72" i="9"/>
  <c r="K72" i="9"/>
  <c r="J72" i="9"/>
  <c r="I72" i="9"/>
  <c r="H72" i="9"/>
  <c r="G72" i="9"/>
  <c r="E72" i="9"/>
  <c r="D72" i="9"/>
  <c r="A72" i="9"/>
  <c r="J68" i="11"/>
  <c r="O71" i="9"/>
  <c r="N71" i="9"/>
  <c r="M71" i="9"/>
  <c r="L71" i="9"/>
  <c r="K71" i="9"/>
  <c r="J71" i="9"/>
  <c r="I71" i="9"/>
  <c r="H71" i="9"/>
  <c r="G71" i="9"/>
  <c r="E71" i="9"/>
  <c r="D71" i="9"/>
  <c r="A71" i="9"/>
  <c r="J67" i="11"/>
  <c r="O70" i="9"/>
  <c r="N70" i="9"/>
  <c r="M70" i="9"/>
  <c r="L70" i="9"/>
  <c r="K70" i="9"/>
  <c r="J70" i="9"/>
  <c r="I70" i="9"/>
  <c r="H70" i="9"/>
  <c r="G70" i="9"/>
  <c r="E70" i="9"/>
  <c r="D70" i="9"/>
  <c r="A70" i="9"/>
  <c r="J66" i="11"/>
  <c r="O69" i="9"/>
  <c r="N69" i="9"/>
  <c r="M69" i="9"/>
  <c r="L69" i="9"/>
  <c r="K69" i="9"/>
  <c r="J69" i="9"/>
  <c r="I69" i="9"/>
  <c r="H69" i="9"/>
  <c r="G69" i="9"/>
  <c r="E69" i="9"/>
  <c r="D69" i="9"/>
  <c r="A69" i="9"/>
  <c r="J65" i="11"/>
  <c r="O68" i="9"/>
  <c r="N68" i="9"/>
  <c r="M68" i="9"/>
  <c r="L68" i="9"/>
  <c r="K68" i="9"/>
  <c r="J68" i="9"/>
  <c r="I68" i="9"/>
  <c r="H68" i="9"/>
  <c r="G68" i="9"/>
  <c r="E68" i="9"/>
  <c r="D68" i="9"/>
  <c r="A68" i="9"/>
  <c r="J64" i="11"/>
  <c r="O67" i="9"/>
  <c r="N67" i="9"/>
  <c r="M67" i="9"/>
  <c r="L67" i="9"/>
  <c r="K67" i="9"/>
  <c r="J67" i="9"/>
  <c r="I67" i="9"/>
  <c r="H67" i="9"/>
  <c r="G67" i="9"/>
  <c r="E67" i="9"/>
  <c r="D67" i="9"/>
  <c r="A67" i="9"/>
  <c r="J63" i="11"/>
  <c r="O66" i="9"/>
  <c r="N66" i="9"/>
  <c r="M66" i="9"/>
  <c r="L66" i="9"/>
  <c r="K66" i="9"/>
  <c r="J66" i="9"/>
  <c r="I66" i="9"/>
  <c r="H66" i="9"/>
  <c r="G66" i="9"/>
  <c r="E66" i="9"/>
  <c r="D66" i="9"/>
  <c r="A66" i="9"/>
  <c r="J62" i="11"/>
  <c r="O65" i="9"/>
  <c r="N65" i="9"/>
  <c r="M65" i="9"/>
  <c r="L65" i="9"/>
  <c r="K65" i="9"/>
  <c r="J65" i="9"/>
  <c r="I65" i="9"/>
  <c r="H65" i="9"/>
  <c r="G65" i="9"/>
  <c r="E65" i="9"/>
  <c r="D65" i="9"/>
  <c r="A65" i="9"/>
  <c r="J61" i="11"/>
  <c r="O64" i="9"/>
  <c r="N64" i="9"/>
  <c r="M64" i="9"/>
  <c r="L64" i="9"/>
  <c r="K64" i="9"/>
  <c r="J64" i="9"/>
  <c r="I64" i="9"/>
  <c r="H64" i="9"/>
  <c r="G64" i="9"/>
  <c r="E64" i="9"/>
  <c r="D64" i="9"/>
  <c r="A64" i="9"/>
  <c r="J60" i="11"/>
  <c r="O63" i="9"/>
  <c r="N63" i="9"/>
  <c r="M63" i="9"/>
  <c r="L63" i="9"/>
  <c r="K63" i="9"/>
  <c r="J63" i="9"/>
  <c r="I63" i="9"/>
  <c r="H63" i="9"/>
  <c r="G63" i="9"/>
  <c r="E63" i="9"/>
  <c r="D63" i="9"/>
  <c r="A63" i="9"/>
  <c r="J59" i="11"/>
  <c r="O62" i="9"/>
  <c r="N62" i="9"/>
  <c r="M62" i="9"/>
  <c r="L62" i="9"/>
  <c r="K62" i="9"/>
  <c r="J62" i="9"/>
  <c r="I62" i="9"/>
  <c r="H62" i="9"/>
  <c r="G62" i="9"/>
  <c r="D62" i="9"/>
  <c r="A62" i="9"/>
  <c r="J58" i="11"/>
  <c r="O61" i="9"/>
  <c r="N61" i="9"/>
  <c r="M61" i="9"/>
  <c r="L61" i="9"/>
  <c r="K61" i="9"/>
  <c r="J61" i="9"/>
  <c r="I61" i="9"/>
  <c r="H61" i="9"/>
  <c r="G61" i="9"/>
  <c r="E61" i="9"/>
  <c r="D61" i="9"/>
  <c r="A61" i="9"/>
  <c r="J57" i="11"/>
  <c r="O60" i="9"/>
  <c r="N60" i="9"/>
  <c r="M60" i="9"/>
  <c r="L60" i="9"/>
  <c r="K60" i="9"/>
  <c r="J60" i="9"/>
  <c r="I60" i="9"/>
  <c r="H60" i="9"/>
  <c r="G60" i="9"/>
  <c r="D60" i="9"/>
  <c r="A60" i="9"/>
  <c r="J56" i="11"/>
  <c r="O59" i="9"/>
  <c r="N59" i="9"/>
  <c r="M59" i="9"/>
  <c r="L59" i="9"/>
  <c r="K59" i="9"/>
  <c r="J59" i="9"/>
  <c r="I59" i="9"/>
  <c r="H59" i="9"/>
  <c r="G59" i="9"/>
  <c r="E59" i="9"/>
  <c r="D59" i="9"/>
  <c r="A59" i="9"/>
  <c r="J55" i="11"/>
  <c r="O58" i="9"/>
  <c r="N58" i="9"/>
  <c r="M58" i="9"/>
  <c r="L58" i="9"/>
  <c r="K58" i="9"/>
  <c r="J58" i="9"/>
  <c r="I58" i="9"/>
  <c r="H58" i="9"/>
  <c r="G58" i="9"/>
  <c r="E58" i="9"/>
  <c r="D58" i="9"/>
  <c r="A58" i="9"/>
  <c r="J54" i="11"/>
  <c r="O57" i="9"/>
  <c r="N57" i="9"/>
  <c r="M57" i="9"/>
  <c r="L57" i="9"/>
  <c r="K57" i="9"/>
  <c r="J57" i="9"/>
  <c r="I57" i="9"/>
  <c r="H57" i="9"/>
  <c r="G57" i="9"/>
  <c r="E57" i="9"/>
  <c r="D57" i="9"/>
  <c r="A57" i="9"/>
  <c r="J53" i="11"/>
  <c r="O56" i="9"/>
  <c r="N56" i="9"/>
  <c r="M56" i="9"/>
  <c r="L56" i="9"/>
  <c r="K56" i="9"/>
  <c r="J56" i="9"/>
  <c r="I56" i="9"/>
  <c r="H56" i="9"/>
  <c r="G56" i="9"/>
  <c r="E56" i="9"/>
  <c r="D56" i="9"/>
  <c r="A56" i="9"/>
  <c r="J52" i="11"/>
  <c r="O55" i="9"/>
  <c r="N55" i="9"/>
  <c r="M55" i="9"/>
  <c r="L55" i="9"/>
  <c r="K55" i="9"/>
  <c r="J55" i="9"/>
  <c r="I55" i="9"/>
  <c r="H55" i="9"/>
  <c r="G55" i="9"/>
  <c r="D55" i="9"/>
  <c r="A55" i="9"/>
  <c r="J51" i="11"/>
  <c r="O54" i="9"/>
  <c r="N54" i="9"/>
  <c r="M54" i="9"/>
  <c r="L54" i="9"/>
  <c r="K54" i="9"/>
  <c r="J54" i="9"/>
  <c r="I54" i="9"/>
  <c r="H54" i="9"/>
  <c r="G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J50" i="11"/>
  <c r="O52" i="9"/>
  <c r="N52" i="9"/>
  <c r="M52" i="9"/>
  <c r="L52" i="9"/>
  <c r="K52" i="9"/>
  <c r="J52" i="9"/>
  <c r="I52" i="9"/>
  <c r="H52" i="9"/>
  <c r="G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J48" i="11"/>
  <c r="O50" i="9"/>
  <c r="N50" i="9"/>
  <c r="M50" i="9"/>
  <c r="L50" i="9"/>
  <c r="K50" i="9"/>
  <c r="J50" i="9"/>
  <c r="I50" i="9"/>
  <c r="H50" i="9"/>
  <c r="G50" i="9"/>
  <c r="E50" i="9"/>
  <c r="D50" i="9"/>
  <c r="A50" i="9"/>
  <c r="J47" i="11"/>
  <c r="O49" i="9"/>
  <c r="N49" i="9"/>
  <c r="M49" i="9"/>
  <c r="L49" i="9"/>
  <c r="K49" i="9"/>
  <c r="J49" i="9"/>
  <c r="I49" i="9"/>
  <c r="H49" i="9"/>
  <c r="G49" i="9"/>
  <c r="E49" i="9"/>
  <c r="D49" i="9"/>
  <c r="A49" i="9"/>
  <c r="J46" i="11"/>
  <c r="O48" i="9"/>
  <c r="N48" i="9"/>
  <c r="M48" i="9"/>
  <c r="L48" i="9"/>
  <c r="K48" i="9"/>
  <c r="J48" i="9"/>
  <c r="I48" i="9"/>
  <c r="H48" i="9"/>
  <c r="G48" i="9"/>
  <c r="D48" i="9"/>
  <c r="A48" i="9"/>
  <c r="J45" i="11"/>
  <c r="O47" i="9"/>
  <c r="N47" i="9"/>
  <c r="M47" i="9"/>
  <c r="L47" i="9"/>
  <c r="K47" i="9"/>
  <c r="J47" i="9"/>
  <c r="I47" i="9"/>
  <c r="H47" i="9"/>
  <c r="G47" i="9"/>
  <c r="D47" i="9"/>
  <c r="A47" i="9"/>
  <c r="J44" i="11"/>
  <c r="O46" i="9"/>
  <c r="N46" i="9"/>
  <c r="M46" i="9"/>
  <c r="L46" i="9"/>
  <c r="K46" i="9"/>
  <c r="J46" i="9"/>
  <c r="I46" i="9"/>
  <c r="H46" i="9"/>
  <c r="G46" i="9"/>
  <c r="E46" i="9"/>
  <c r="D46" i="9"/>
  <c r="A46" i="9"/>
  <c r="J43" i="11"/>
  <c r="O45" i="9"/>
  <c r="N45" i="9"/>
  <c r="M45" i="9"/>
  <c r="L45" i="9"/>
  <c r="K45" i="9"/>
  <c r="J45" i="9"/>
  <c r="I45" i="9"/>
  <c r="H45" i="9"/>
  <c r="G45" i="9"/>
  <c r="D45" i="9"/>
  <c r="A45" i="9"/>
  <c r="J42" i="11"/>
  <c r="O44" i="9"/>
  <c r="N44" i="9"/>
  <c r="M44" i="9"/>
  <c r="L44" i="9"/>
  <c r="K44" i="9"/>
  <c r="J44" i="9"/>
  <c r="I44" i="9"/>
  <c r="H44" i="9"/>
  <c r="G44" i="9"/>
  <c r="D44" i="9"/>
  <c r="A44" i="9"/>
  <c r="J41" i="11"/>
  <c r="O43" i="9"/>
  <c r="N43" i="9"/>
  <c r="M43" i="9"/>
  <c r="L43" i="9"/>
  <c r="K43" i="9"/>
  <c r="J43" i="9"/>
  <c r="I43" i="9"/>
  <c r="H43" i="9"/>
  <c r="G43" i="9"/>
  <c r="D43" i="9"/>
  <c r="A43" i="9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23" i="1"/>
  <c r="AF23" i="1"/>
  <c r="AI23" i="1"/>
  <c r="AG23" i="1"/>
  <c r="AE23" i="1"/>
  <c r="E21" i="9"/>
  <c r="V23" i="1"/>
  <c r="T23" i="1"/>
  <c r="Q23" i="1"/>
  <c r="P23" i="1"/>
  <c r="O23" i="1"/>
  <c r="N23" i="1"/>
  <c r="M23" i="1"/>
  <c r="H23" i="1"/>
  <c r="J23" i="1"/>
  <c r="I23" i="1"/>
  <c r="D23" i="1"/>
  <c r="F23" i="1"/>
  <c r="E23" i="1"/>
  <c r="A23" i="1"/>
  <c r="AD22" i="1"/>
  <c r="AF22" i="1"/>
  <c r="AI22" i="1"/>
  <c r="AG22" i="1"/>
  <c r="AE22" i="1"/>
  <c r="E19" i="9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F21" i="1"/>
  <c r="AI21" i="1"/>
  <c r="AG21" i="1"/>
  <c r="AE21" i="1"/>
  <c r="E14" i="9"/>
  <c r="V21" i="1"/>
  <c r="T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F20" i="1"/>
  <c r="AI20" i="1"/>
  <c r="AG20" i="1"/>
  <c r="AE20" i="1"/>
  <c r="E13" i="9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F19" i="1"/>
  <c r="AI19" i="1"/>
  <c r="AG19" i="1"/>
  <c r="AE19" i="1"/>
  <c r="E11" i="9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E7" i="9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E6" i="9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E4" i="9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E3" i="9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E2" i="9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H15" i="2"/>
  <c r="E15" i="2"/>
  <c r="D15" i="2"/>
  <c r="H2" i="1"/>
  <c r="H3" i="1"/>
  <c r="H4" i="1"/>
  <c r="H5" i="1"/>
  <c r="H6" i="1"/>
  <c r="H7" i="1"/>
  <c r="H8" i="1"/>
  <c r="H9" i="1"/>
  <c r="H10" i="1"/>
  <c r="H11" i="1"/>
  <c r="H12" i="1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J19" i="11"/>
  <c r="J18" i="11"/>
  <c r="D12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D19" i="9"/>
  <c r="A19" i="9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H8" i="2"/>
  <c r="E8" i="2"/>
  <c r="D8" i="2"/>
  <c r="B8" i="2"/>
  <c r="M18" i="10"/>
  <c r="T18" i="10"/>
  <c r="W18" i="10"/>
  <c r="V18" i="10"/>
  <c r="X18" i="10"/>
  <c r="U18" i="10"/>
  <c r="Y18" i="10"/>
  <c r="M29" i="10"/>
  <c r="N29" i="10"/>
  <c r="Q29" i="10"/>
  <c r="P29" i="10"/>
  <c r="R29" i="10"/>
  <c r="O29" i="10"/>
  <c r="S29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9" i="10"/>
  <c r="T19" i="10"/>
  <c r="W19" i="10"/>
  <c r="V19" i="10"/>
  <c r="X19" i="10"/>
  <c r="U19" i="10"/>
  <c r="Y19" i="10"/>
  <c r="M30" i="10"/>
  <c r="N30" i="10"/>
  <c r="Q30" i="10"/>
  <c r="P30" i="10"/>
  <c r="R30" i="10"/>
  <c r="O30" i="10"/>
  <c r="S30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39" i="11"/>
  <c r="O40" i="9"/>
  <c r="N40" i="9"/>
  <c r="M40" i="9"/>
  <c r="L40" i="9"/>
  <c r="K40" i="9"/>
  <c r="J40" i="9"/>
  <c r="I40" i="9"/>
  <c r="H40" i="9"/>
  <c r="G40" i="9"/>
  <c r="E40" i="9"/>
  <c r="D40" i="9"/>
  <c r="A40" i="9"/>
  <c r="J38" i="11"/>
  <c r="O39" i="9"/>
  <c r="N39" i="9"/>
  <c r="M39" i="9"/>
  <c r="L39" i="9"/>
  <c r="K39" i="9"/>
  <c r="J39" i="9"/>
  <c r="I39" i="9"/>
  <c r="H39" i="9"/>
  <c r="G39" i="9"/>
  <c r="E39" i="9"/>
  <c r="D39" i="9"/>
  <c r="A39" i="9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J40" i="11"/>
  <c r="O42" i="9"/>
  <c r="N42" i="9"/>
  <c r="M42" i="9"/>
  <c r="L42" i="9"/>
  <c r="K42" i="9"/>
  <c r="J42" i="9"/>
  <c r="I42" i="9"/>
  <c r="H42" i="9"/>
  <c r="G42" i="9"/>
  <c r="E42" i="9"/>
  <c r="D42" i="9"/>
  <c r="A42" i="9"/>
  <c r="J37" i="11"/>
  <c r="O38" i="9"/>
  <c r="N38" i="9"/>
  <c r="M38" i="9"/>
  <c r="L38" i="9"/>
  <c r="K38" i="9"/>
  <c r="J38" i="9"/>
  <c r="I38" i="9"/>
  <c r="H38" i="9"/>
  <c r="G38" i="9"/>
  <c r="E38" i="9"/>
  <c r="D38" i="9"/>
  <c r="A38" i="9"/>
  <c r="J36" i="11"/>
  <c r="J35" i="11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U2" i="7"/>
  <c r="J12" i="11"/>
  <c r="O13" i="9"/>
  <c r="N13" i="9"/>
  <c r="M13" i="9"/>
  <c r="L13" i="9"/>
  <c r="K13" i="9"/>
  <c r="J13" i="9"/>
  <c r="I13" i="9"/>
  <c r="H13" i="9"/>
  <c r="G13" i="9"/>
  <c r="D13" i="9"/>
  <c r="A13" i="9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J34" i="11"/>
  <c r="O35" i="9"/>
  <c r="N35" i="9"/>
  <c r="M35" i="9"/>
  <c r="L35" i="9"/>
  <c r="K35" i="9"/>
  <c r="J35" i="9"/>
  <c r="I35" i="9"/>
  <c r="H35" i="9"/>
  <c r="G35" i="9"/>
  <c r="E35" i="9"/>
  <c r="D35" i="9"/>
  <c r="A35" i="9"/>
  <c r="J33" i="11"/>
  <c r="O34" i="9"/>
  <c r="N34" i="9"/>
  <c r="M34" i="9"/>
  <c r="L34" i="9"/>
  <c r="K34" i="9"/>
  <c r="J34" i="9"/>
  <c r="I34" i="9"/>
  <c r="H34" i="9"/>
  <c r="G34" i="9"/>
  <c r="E34" i="9"/>
  <c r="D34" i="9"/>
  <c r="A34" i="9"/>
  <c r="J32" i="11"/>
  <c r="O33" i="9"/>
  <c r="N33" i="9"/>
  <c r="M33" i="9"/>
  <c r="L33" i="9"/>
  <c r="K33" i="9"/>
  <c r="J33" i="9"/>
  <c r="I33" i="9"/>
  <c r="H33" i="9"/>
  <c r="G33" i="9"/>
  <c r="E33" i="9"/>
  <c r="D33" i="9"/>
  <c r="A33" i="9"/>
  <c r="J31" i="11"/>
  <c r="O32" i="9"/>
  <c r="N32" i="9"/>
  <c r="M32" i="9"/>
  <c r="L32" i="9"/>
  <c r="K32" i="9"/>
  <c r="J32" i="9"/>
  <c r="I32" i="9"/>
  <c r="H32" i="9"/>
  <c r="G32" i="9"/>
  <c r="E32" i="9"/>
  <c r="D32" i="9"/>
  <c r="A32" i="9"/>
  <c r="J30" i="11"/>
  <c r="O31" i="9"/>
  <c r="N31" i="9"/>
  <c r="M31" i="9"/>
  <c r="L31" i="9"/>
  <c r="K31" i="9"/>
  <c r="J31" i="9"/>
  <c r="I31" i="9"/>
  <c r="H31" i="9"/>
  <c r="G31" i="9"/>
  <c r="E31" i="9"/>
  <c r="D31" i="9"/>
  <c r="A31" i="9"/>
  <c r="J29" i="11"/>
  <c r="O30" i="9"/>
  <c r="N30" i="9"/>
  <c r="M30" i="9"/>
  <c r="L30" i="9"/>
  <c r="K30" i="9"/>
  <c r="J30" i="9"/>
  <c r="I30" i="9"/>
  <c r="H30" i="9"/>
  <c r="G30" i="9"/>
  <c r="E30" i="9"/>
  <c r="D30" i="9"/>
  <c r="A30" i="9"/>
  <c r="J28" i="11"/>
  <c r="O29" i="9"/>
  <c r="N29" i="9"/>
  <c r="M29" i="9"/>
  <c r="L29" i="9"/>
  <c r="K29" i="9"/>
  <c r="J29" i="9"/>
  <c r="I29" i="9"/>
  <c r="H29" i="9"/>
  <c r="G29" i="9"/>
  <c r="E29" i="9"/>
  <c r="D29" i="9"/>
  <c r="A29" i="9"/>
  <c r="J27" i="11"/>
  <c r="O28" i="9"/>
  <c r="N28" i="9"/>
  <c r="M28" i="9"/>
  <c r="L28" i="9"/>
  <c r="K28" i="9"/>
  <c r="J28" i="9"/>
  <c r="I28" i="9"/>
  <c r="H28" i="9"/>
  <c r="G28" i="9"/>
  <c r="E28" i="9"/>
  <c r="D28" i="9"/>
  <c r="A28" i="9"/>
  <c r="J26" i="11"/>
  <c r="O27" i="9"/>
  <c r="N27" i="9"/>
  <c r="M27" i="9"/>
  <c r="L27" i="9"/>
  <c r="K27" i="9"/>
  <c r="J27" i="9"/>
  <c r="I27" i="9"/>
  <c r="H27" i="9"/>
  <c r="G27" i="9"/>
  <c r="E27" i="9"/>
  <c r="D27" i="9"/>
  <c r="A27" i="9"/>
  <c r="J25" i="11"/>
  <c r="O26" i="9"/>
  <c r="N26" i="9"/>
  <c r="M26" i="9"/>
  <c r="L26" i="9"/>
  <c r="K26" i="9"/>
  <c r="J26" i="9"/>
  <c r="I26" i="9"/>
  <c r="H26" i="9"/>
  <c r="G26" i="9"/>
  <c r="E26" i="9"/>
  <c r="D26" i="9"/>
  <c r="A26" i="9"/>
  <c r="J24" i="11"/>
  <c r="O25" i="9"/>
  <c r="N25" i="9"/>
  <c r="M25" i="9"/>
  <c r="L25" i="9"/>
  <c r="K25" i="9"/>
  <c r="J25" i="9"/>
  <c r="I25" i="9"/>
  <c r="H25" i="9"/>
  <c r="G25" i="9"/>
  <c r="E25" i="9"/>
  <c r="D25" i="9"/>
  <c r="A25" i="9"/>
  <c r="J23" i="11"/>
  <c r="O24" i="9"/>
  <c r="N24" i="9"/>
  <c r="M24" i="9"/>
  <c r="L24" i="9"/>
  <c r="K24" i="9"/>
  <c r="J24" i="9"/>
  <c r="I24" i="9"/>
  <c r="H24" i="9"/>
  <c r="G24" i="9"/>
  <c r="E24" i="9"/>
  <c r="D24" i="9"/>
  <c r="A24" i="9"/>
  <c r="J22" i="11"/>
  <c r="O23" i="9"/>
  <c r="N23" i="9"/>
  <c r="M23" i="9"/>
  <c r="L23" i="9"/>
  <c r="K23" i="9"/>
  <c r="J23" i="9"/>
  <c r="I23" i="9"/>
  <c r="H23" i="9"/>
  <c r="G23" i="9"/>
  <c r="E23" i="9"/>
  <c r="D23" i="9"/>
  <c r="A23" i="9"/>
  <c r="J21" i="11"/>
  <c r="O22" i="9"/>
  <c r="N22" i="9"/>
  <c r="M22" i="9"/>
  <c r="L22" i="9"/>
  <c r="K22" i="9"/>
  <c r="J22" i="9"/>
  <c r="I22" i="9"/>
  <c r="H22" i="9"/>
  <c r="G22" i="9"/>
  <c r="E22" i="9"/>
  <c r="D22" i="9"/>
  <c r="A22" i="9"/>
  <c r="J20" i="11"/>
  <c r="O21" i="9"/>
  <c r="N21" i="9"/>
  <c r="M21" i="9"/>
  <c r="L21" i="9"/>
  <c r="K21" i="9"/>
  <c r="J21" i="9"/>
  <c r="I21" i="9"/>
  <c r="H21" i="9"/>
  <c r="G21" i="9"/>
  <c r="D21" i="9"/>
  <c r="A21" i="9"/>
  <c r="J17" i="11"/>
  <c r="O18" i="9"/>
  <c r="N18" i="9"/>
  <c r="M18" i="9"/>
  <c r="L18" i="9"/>
  <c r="K18" i="9"/>
  <c r="J18" i="9"/>
  <c r="I18" i="9"/>
  <c r="H18" i="9"/>
  <c r="G18" i="9"/>
  <c r="E18" i="9"/>
  <c r="D18" i="9"/>
  <c r="A18" i="9"/>
  <c r="J16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6" i="9"/>
  <c r="N16" i="9"/>
  <c r="M16" i="9"/>
  <c r="L16" i="9"/>
  <c r="K16" i="9"/>
  <c r="J16" i="9"/>
  <c r="I16" i="9"/>
  <c r="H16" i="9"/>
  <c r="G16" i="9"/>
  <c r="E16" i="9"/>
  <c r="D16" i="9"/>
  <c r="A16" i="9"/>
  <c r="J14" i="11"/>
  <c r="O15" i="9"/>
  <c r="N15" i="9"/>
  <c r="M15" i="9"/>
  <c r="L15" i="9"/>
  <c r="K15" i="9"/>
  <c r="J15" i="9"/>
  <c r="I15" i="9"/>
  <c r="H15" i="9"/>
  <c r="G15" i="9"/>
  <c r="E15" i="9"/>
  <c r="D15" i="9"/>
  <c r="A15" i="9"/>
  <c r="J13" i="11"/>
  <c r="O14" i="9"/>
  <c r="N14" i="9"/>
  <c r="M14" i="9"/>
  <c r="L14" i="9"/>
  <c r="K14" i="9"/>
  <c r="J14" i="9"/>
  <c r="I14" i="9"/>
  <c r="H14" i="9"/>
  <c r="G14" i="9"/>
  <c r="D14" i="9"/>
  <c r="A14" i="9"/>
  <c r="O12" i="9"/>
  <c r="N12" i="9"/>
  <c r="M12" i="9"/>
  <c r="L12" i="9"/>
  <c r="K12" i="9"/>
  <c r="J12" i="9"/>
  <c r="I12" i="9"/>
  <c r="H12" i="9"/>
  <c r="G12" i="9"/>
  <c r="E12" i="9"/>
  <c r="A12" i="9"/>
  <c r="J11" i="11"/>
  <c r="O11" i="9"/>
  <c r="N11" i="9"/>
  <c r="M11" i="9"/>
  <c r="L11" i="9"/>
  <c r="K11" i="9"/>
  <c r="J11" i="9"/>
  <c r="I11" i="9"/>
  <c r="H11" i="9"/>
  <c r="G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D7" i="9"/>
  <c r="A7" i="9"/>
  <c r="J6" i="11"/>
  <c r="O6" i="9"/>
  <c r="N6" i="9"/>
  <c r="M6" i="9"/>
  <c r="L6" i="9"/>
  <c r="K6" i="9"/>
  <c r="J6" i="9"/>
  <c r="I6" i="9"/>
  <c r="H6" i="9"/>
  <c r="G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3" i="11"/>
  <c r="O3" i="9"/>
  <c r="N3" i="9"/>
  <c r="M3" i="9"/>
  <c r="L3" i="9"/>
  <c r="K3" i="9"/>
  <c r="J3" i="9"/>
  <c r="I3" i="9"/>
  <c r="H3" i="9"/>
  <c r="G3" i="9"/>
  <c r="D3" i="9"/>
  <c r="A3" i="9"/>
  <c r="J2" i="11"/>
  <c r="O2" i="9"/>
  <c r="N2" i="9"/>
  <c r="M2" i="9"/>
  <c r="L2" i="9"/>
  <c r="K2" i="9"/>
  <c r="J2" i="9"/>
  <c r="I2" i="9"/>
  <c r="H2" i="9"/>
  <c r="G2" i="9"/>
  <c r="D2" i="9"/>
  <c r="A2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A2" i="18"/>
  <c r="C2" i="18"/>
  <c r="D2" i="18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2" i="1"/>
  <c r="AI2" i="1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<sst xmlns="http://schemas.openxmlformats.org/spreadsheetml/2006/main" count="1380" uniqueCount="435">
  <si>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</si>
  <si>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</si>
  <si>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</si>
  <si>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</si>
  <si>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</si>
  <si>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</si>
  <si>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</si>
  <si>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</si>
  <si>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</si>
  <si>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</si>
  <si>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</si>
  <si>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</si>
  <si>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</si>
  <si>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</si>
  <si>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</si>
  <si>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</si>
  <si>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</si>
  <si>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</si>
  <si>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</si>
  <si>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</si>
  <si>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</si>
  <si>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</si>
  <si>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</si>
  <si>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</si>
  <si>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</si>
  <si>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</si>
  <si>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</si>
  <si>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</si>
  <si>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</si>
  <si>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</si>
  <si>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</si>
  <si>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</si>
  <si>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</si>
  <si>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</si>
  <si>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</si>
  <si>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</si>
  <si>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</si>
  <si>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</si>
  <si>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</si>
  <si>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</si>
  <si>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</si>
  <si>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</si>
  <si>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</si>
  <si>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</si>
  <si>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</si>
  <si>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</si>
  <si>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</si>
  <si>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</si>
  <si>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</si>
  <si>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</si>
  <si>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</si>
  <si>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</si>
  <si>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</si>
  <si>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</si>
  <si>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</si>
  <si>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</si>
  <si>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</si>
  <si>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</si>
  <si>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</si>
  <si>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</si>
  <si>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</si>
  <si>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</si>
  <si>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</si>
  <si>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</si>
  <si>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</si>
  <si>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</si>
  <si>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</si>
  <si>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</si>
  <si>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</si>
  <si>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</si>
  <si>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</si>
  <si>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</si>
  <si>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</si>
  <si>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</si>
  <si>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</si>
  <si>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</si>
  <si>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</si>
  <si>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</si>
  <si>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</si>
  <si>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</si>
  <si>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</si>
  <si>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</si>
  <si>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</si>
  <si>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</si>
  <si>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</si>
  <si>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</si>
  <si>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</si>
  <si>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</si>
  <si>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</si>
  <si>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</si>
  <si>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</si>
  <si>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</si>
  <si>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</si>
  <si>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</si>
  <si>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</si>
  <si>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</si>
  <si>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</si>
  <si>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</si>
  <si>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</si>
  <si>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</si>
  <si>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</si>
  <si>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</si>
  <si>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</si>
  <si>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</si>
  <si>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</si>
  <si>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</si>
  <si>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</si>
  <si>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</si>
  <si>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</si>
  <si>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</si>
  <si>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</si>
  <si>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</si>
  <si>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</si>
  <si>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</si>
  <si>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</si>
  <si>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</si>
  <si>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</si>
  <si>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</si>
  <si>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</si>
  <si>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</si>
  <si>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</si>
  <si>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</si>
  <si>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</si>
  <si>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</si>
  <si>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</si>
  <si>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</si>
  <si>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</si>
  <si>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</si>
  <si>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</si>
  <si>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</si>
  <si>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</si>
  <si>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</si>
  <si>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</si>
  <si>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</si>
  <si>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</si>
  <si>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</si>
  <si>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</si>
  <si>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</si>
  <si>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</si>
  <si>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</si>
  <si>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</si>
  <si>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</si>
  <si>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</si>
  <si>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</si>
  <si>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</si>
  <si>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</si>
  <si>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</si>
  <si>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</si>
  <si>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</si>
  <si>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</si>
  <si>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</si>
  <si>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</si>
  <si>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</si>
  <si>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</si>
  <si>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</si>
  <si>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</si>
  <si>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</si>
  <si>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</si>
  <si>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</si>
  <si>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</si>
  <si>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</si>
  <si>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</si>
  <si>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</si>
  <si>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</si>
  <si>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</si>
  <si>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</si>
  <si>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</si>
  <si>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</si>
  <si>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</si>
  <si>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</si>
  <si>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</si>
  <si>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</si>
  <si>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</si>
  <si>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</si>
  <si>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</si>
  <si>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</si>
  <si>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</si>
  <si>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</si>
  <si>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</si>
  <si>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</si>
  <si>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</si>
  <si>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</si>
  <si>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</si>
  <si>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</si>
  <si>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</si>
  <si>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</si>
  <si>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</si>
  <si>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</si>
  <si>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</si>
  <si>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</si>
  <si>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</si>
  <si>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</si>
  <si>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</si>
  <si>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</si>
  <si>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</si>
  <si>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</si>
  <si>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</si>
  <si>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</si>
  <si>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</si>
  <si>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</si>
  <si>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</si>
  <si>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</si>
  <si>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</si>
  <si>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</si>
  <si>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</si>
  <si>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</si>
  <si>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</si>
  <si>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</si>
  <si>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</si>
  <si>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</si>
  <si>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</si>
  <si>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</si>
  <si>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</si>
  <si>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</si>
  <si>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</si>
  <si>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</si>
  <si>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</si>
  <si>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</si>
  <si>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</si>
  <si>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</si>
  <si>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</si>
  <si>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</si>
  <si>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</si>
  <si>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</si>
  <si>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</si>
  <si>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</si>
  <si>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</si>
  <si>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</si>
  <si>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</si>
  <si>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</si>
  <si>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</si>
  <si>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</si>
  <si>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</si>
  <si>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</si>
  <si>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</si>
  <si>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</si>
  <si>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</si>
  <si>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</si>
  <si>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</si>
  <si>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</si>
  <si>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</si>
  <si>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</si>
  <si>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</si>
  <si>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</si>
  <si>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</si>
  <si>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</si>
  <si>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</si>
  <si>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</si>
  <si>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</si>
  <si>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</si>
  <si>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</si>
  <si>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</si>
  <si>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クリティカル！</t>
    <phoneticPr fontId="5"/>
  </si>
  <si>
    <t xml:space="preserve">[effect:enemy_message, val1:1.2, val2:1.2],[effect:critical, val:1.5, animation:enemy_critical]    </t>
    <phoneticPr fontId="5"/>
  </si>
  <si>
    <t>[effect:enemy_message, val1:1.2, val2:1.2],[effect:dis_panel, target:block_red, turn:2, animation:enemy_dis_red]</t>
    <phoneticPr fontId="5"/>
  </si>
  <si>
    <t>2ターン赤パネル無効</t>
    <rPh sb="4" eb="5">
      <t>アカパネル</t>
    </rPh>
    <rPh sb="8" eb="10">
      <t>mukou</t>
    </rPh>
    <phoneticPr fontId="5"/>
  </si>
  <si>
    <t>[effect:enemy_message, val1:1.2, val2:1.2],[effect:enhance_enemy, target:myself, turn:1, status:defense, val:500, calc:add, animation:enemy_enhance_defense]</t>
    <phoneticPr fontId="5"/>
  </si>
  <si>
    <t>1ターン自身の防御力UP</t>
    <rPh sb="4" eb="6">
      <t>ジシn</t>
    </rPh>
    <rPh sb="7" eb="10">
      <t>ボウギョリョク</t>
    </rPh>
    <phoneticPr fontId="5"/>
  </si>
  <si>
    <t>全体攻撃</t>
    <rPh sb="0" eb="4">
      <t>ゼンタイコウゲキ</t>
    </rPh>
    <phoneticPr fontId="5"/>
  </si>
  <si>
    <t>[effect:enemy_message, val1:1.2, val2:1.2],[effect:spread, val:0.5]</t>
    <phoneticPr fontId="5"/>
  </si>
  <si>
    <t>種族Unknownのユニットに大ダメージ</t>
    <rPh sb="0" eb="2">
      <t>シュゾク</t>
    </rPh>
    <rPh sb="15" eb="16">
      <t>ダイダメージ</t>
    </rPh>
    <phoneticPr fontId="5"/>
  </si>
  <si>
    <t>[effect:enemy_message, val1:1.2, val2:2],[effect:damage_anti_tribe, target:unit_one, tribe:unknown, val1:2, val2:0.7]</t>
    <phoneticPr fontId="5"/>
  </si>
  <si>
    <t>単体攻撃+赤パネルプロテクト(最大3個)</t>
    <rPh sb="0" eb="4">
      <t>タンタイコウゲキ</t>
    </rPh>
    <rPh sb="5" eb="6">
      <t>アカパネル</t>
    </rPh>
    <phoneticPr fontId="5"/>
  </si>
  <si>
    <t>[effect:enemy_message, val1:1.2, val2:2],[effect:rush, count:1, val:1],[effect:panel_freeze, target:normal, color:block_red, count:3]</t>
    <phoneticPr fontId="5"/>
  </si>
  <si>
    <t>[effect:enemy_message, val1:1.2, val2:2],[effect:rush, count:1, val:1],[effect:panel_freeze, target:normal, color:block_blue, count:3]</t>
    <phoneticPr fontId="5"/>
  </si>
  <si>
    <t>単体攻撃+青パネルプロテクト(最大3個)</t>
    <rPh sb="0" eb="4">
      <t>タンタイコウゲキ</t>
    </rPh>
    <rPh sb="5" eb="6">
      <t>アオ</t>
    </rPh>
    <phoneticPr fontId="5"/>
  </si>
  <si>
    <t>ランダムでお邪魔パネルに最大5個変換</t>
    <rPh sb="12" eb="14">
      <t>サイダイ</t>
    </rPh>
    <rPh sb="15" eb="16">
      <t>コ</t>
    </rPh>
    <rPh sb="16" eb="18">
      <t>ヘンカn</t>
    </rPh>
    <phoneticPr fontId="5"/>
  </si>
  <si>
    <t>[effect:enemy_message, val1:1.2, val2:1.8],[effect:force_change_block, new_block:jammer, target:block_all, ignore01:crash, ignore02:crack_bomb, ignore03:jammer, ignore04:color_break, ignore05:magnet, count:5, val:0, animation:change_block]</t>
    <phoneticPr fontId="5"/>
  </si>
  <si>
    <t>状態異常耐性</t>
    <rPh sb="0" eb="6">
      <t>ジョウタイイジョウタイセイ</t>
    </rPh>
    <phoneticPr fontId="5"/>
  </si>
  <si>
    <t>真の姿を現した！
【状態異常耐性】</t>
    <rPh sb="0" eb="1">
      <t>シンノスガタヲ</t>
    </rPh>
    <rPh sb="4" eb="5">
      <t>アラワシタ</t>
    </rPh>
    <rPh sb="10" eb="16">
      <t>ジョウタイイジョウタイセイ</t>
    </rPh>
    <phoneticPr fontId="5"/>
  </si>
  <si>
    <t>全体攻撃+残りHPの10%消費</t>
    <rPh sb="5" eb="6">
      <t>ノコリ</t>
    </rPh>
    <rPh sb="13" eb="15">
      <t>ショウヒ</t>
    </rPh>
    <phoneticPr fontId="5"/>
  </si>
  <si>
    <t>全体攻撃+
緑パネルと黄パネルを青のダメージパネルに変換する</t>
    <rPh sb="0" eb="4">
      <t>ゼンタイコウゲキ</t>
    </rPh>
    <rPh sb="6" eb="7">
      <t>ミドリ</t>
    </rPh>
    <rPh sb="11" eb="12">
      <t>キ</t>
    </rPh>
    <rPh sb="16" eb="17">
      <t>アオノダメージパネル</t>
    </rPh>
    <phoneticPr fontId="5"/>
  </si>
  <si>
    <t>全体攻撃+
黄パネルを青のダメージパネルに5個変換する</t>
    <rPh sb="0" eb="4">
      <t>ゼンタイコウゲキ</t>
    </rPh>
    <rPh sb="6" eb="7">
      <t>キ</t>
    </rPh>
    <rPh sb="11" eb="12">
      <t>アオノダメージパネル</t>
    </rPh>
    <phoneticPr fontId="5"/>
  </si>
  <si>
    <t>ダメージパネルを吸収して全体攻撃</t>
    <rPh sb="8" eb="10">
      <t>キュウシュウシテ</t>
    </rPh>
    <rPh sb="12" eb="16">
      <t>ゼンタイコウゲキ</t>
    </rPh>
    <phoneticPr fontId="5"/>
  </si>
  <si>
    <t>両手に力が溜まっているようだ</t>
    <rPh sb="0" eb="2">
      <t>ryouteni</t>
    </rPh>
    <rPh sb="3" eb="4">
      <t>チカラガ</t>
    </rPh>
    <rPh sb="5" eb="6">
      <t>タマッテイルヨウダ</t>
    </rPh>
    <phoneticPr fontId="5"/>
  </si>
  <si>
    <t>[effect:enemy_message, val1:1.2, val2:1.2],[effect:damage_fix_absolute, target:unit_all, val:99999]</t>
    <phoneticPr fontId="5"/>
  </si>
  <si>
    <t>[effect:enemy_message, val1:1.2, val2:1.4]</t>
    <phoneticPr fontId="5"/>
  </si>
  <si>
    <t>old</t>
  </si>
  <si>
    <t>3ターン全ユニットの攻撃力30%DOWN</t>
    <rPh sb="4" eb="5">
      <t>ゼンユ</t>
    </rPh>
    <rPh sb="10" eb="13">
      <t>コウゲキリョク</t>
    </rPh>
    <phoneticPr fontId="5"/>
  </si>
  <si>
    <t>種族ゴッドのユニットに大ダメージ+
ランダムで青のダメージパネルに最大4個変換</t>
    <rPh sb="0" eb="2">
      <t>シュゾク</t>
    </rPh>
    <rPh sb="11" eb="12">
      <t>dai</t>
    </rPh>
    <rPh sb="23" eb="24">
      <t>アオノ</t>
    </rPh>
    <phoneticPr fontId="5"/>
  </si>
  <si>
    <t>[effect:enemy_message, val1:1.6, val2:1.2],[effect:fix_speed, target:myself, turn:3],[effect:tolerance, target:myself, turn:-1, count:-1, tolerance_effect:all, animation:enemy_tolerance]</t>
    <phoneticPr fontId="5"/>
  </si>
  <si>
    <t>[effect:enemy_message, val1:1.2, val2:1.2]</t>
    <phoneticPr fontId="5"/>
  </si>
  <si>
    <t>全体攻撃+
ランダムで青のダメージパネルに最大8個変換</t>
    <rPh sb="0" eb="4">
      <t>ゼンタイコウゲキ</t>
    </rPh>
    <rPh sb="11" eb="12">
      <t>アオ</t>
    </rPh>
    <rPh sb="21" eb="23">
      <t>サイダイ</t>
    </rPh>
    <rPh sb="24" eb="25">
      <t>コ</t>
    </rPh>
    <rPh sb="25" eb="27">
      <t>ヘンカn</t>
    </rPh>
    <phoneticPr fontId="5"/>
  </si>
  <si>
    <t>全体攻撃+
ランダムで青のダメージパネルに最大15個変換</t>
    <rPh sb="0" eb="4">
      <t>ゼンタイコウゲキ</t>
    </rPh>
    <rPh sb="11" eb="12">
      <t>アオノ</t>
    </rPh>
    <rPh sb="21" eb="23">
      <t>サイダイ</t>
    </rPh>
    <rPh sb="25" eb="26">
      <t>コ</t>
    </rPh>
    <rPh sb="26" eb="28">
      <t>ヘンカn</t>
    </rPh>
    <phoneticPr fontId="5"/>
  </si>
  <si>
    <t>ダメージパネルを吸収して全体攻撃</t>
    <rPh sb="8" eb="10">
      <t>キュウシュウ</t>
    </rPh>
    <rPh sb="12" eb="14">
      <t>ゼンタイ</t>
    </rPh>
    <rPh sb="14" eb="16">
      <t>コウゲキ</t>
    </rPh>
    <phoneticPr fontId="5"/>
  </si>
  <si>
    <t>[effect:enemy_message, val1:1.2, val2:1.6],[effect:break_attack, target:unit_all, val:0.04, lowest_val:2500, count:-1, color:blue, block01:damage]</t>
    <phoneticPr fontId="5"/>
  </si>
  <si>
    <t>攻撃力UP+4回連続攻撃</t>
    <rPh sb="0" eb="3">
      <t>コウゲキリョク</t>
    </rPh>
    <rPh sb="7" eb="12">
      <t>カイレンゾクコウゲキ</t>
    </rPh>
    <phoneticPr fontId="5"/>
  </si>
  <si>
    <t>防御力UP</t>
    <rPh sb="0" eb="3">
      <t>ボウギョリョク</t>
    </rPh>
    <phoneticPr fontId="5"/>
  </si>
  <si>
    <t>『呼んだ？ボク、神さまだけど。』</t>
    <phoneticPr fontId="5"/>
  </si>
  <si>
    <t>神のチカラ</t>
    <rPh sb="0" eb="1">
      <t>kamino</t>
    </rPh>
    <phoneticPr fontId="5"/>
  </si>
  <si>
    <t xml:space="preserve">[effect:enemy_message, val1:1.2, val2:1.2],[effect:critical, val:1.5, animation:enemy_critical]    </t>
    <phoneticPr fontId="5"/>
  </si>
  <si>
    <t>[effect:enemy_message, val1:1.2, val2:1.6],[effect:break_attack, target:unit_all, val:0.04, lowest_val:2000, count:-1, color:blue, block01:damage]</t>
    <phoneticPr fontId="5"/>
  </si>
  <si>
    <t>開幕</t>
    <rPh sb="0" eb="2">
      <t>カイマク</t>
    </rPh>
    <phoneticPr fontId="5"/>
  </si>
  <si>
    <t>3ターン全ユニットの攻撃をカウンター</t>
    <rPh sb="4" eb="5">
      <t>ゼンユニ</t>
    </rPh>
    <rPh sb="10" eb="12">
      <t>コウゲキヲ</t>
    </rPh>
    <phoneticPr fontId="5"/>
  </si>
  <si>
    <t>[effect:enemy_message, val1:1.2, val2:1.8],[effect:enemy_counter, target:myself, invoke_condition:unit_all, counter_target:attacker, turn:3, val:0.3, animation:enemy_counter]</t>
    <phoneticPr fontId="5"/>
  </si>
  <si>
    <t>2ターンお邪魔パネルを吸収して防御力UP</t>
    <rPh sb="11" eb="13">
      <t>キュウシュウシテ</t>
    </rPh>
    <rPh sb="15" eb="18">
      <t>ボウギョリョク</t>
    </rPh>
    <phoneticPr fontId="5"/>
  </si>
  <si>
    <t>[effect:enemy_message, val1:1.2, val2:1.2],[effect:fix_speed, target:myself, turn:2],[effect:enhance_enemy, target:myself, turn:-1, status:defense, val:3000, calc:add, animation:enemy_enhance_defense]</t>
    <phoneticPr fontId="5"/>
  </si>
  <si>
    <t>[effect:enemy_message, val1:1.2, val2:1.2],[effect:fix_speed, target:myself, turn:2],[effect:enhance_enemy, target:myself, turn:-1, status:defense, val:2000, calc:add, animation:enemy_enhance_defense]</t>
    <phoneticPr fontId="5"/>
  </si>
  <si>
    <t>[effect:enemy_message, val1:1.2, val2:1.5],[effect:spread, val:0.4],[effect:suicide, target:myself, val:0.1]</t>
    <phoneticPr fontId="5"/>
  </si>
  <si>
    <t>撃破</t>
    <rPh sb="0" eb="2">
      <t>ゲキハ</t>
    </rPh>
    <phoneticPr fontId="5"/>
  </si>
  <si>
    <t>我に抗うだけの力…見せてもらおう…！</t>
    <phoneticPr fontId="5"/>
  </si>
  <si>
    <t>噂に聞いていたぞ…貴様が現代の特殊兵器か</t>
    <rPh sb="0" eb="1">
      <t>ウワｓ</t>
    </rPh>
    <rPh sb="2" eb="3">
      <t>キ</t>
    </rPh>
    <rPh sb="9" eb="11">
      <t>キｓ</t>
    </rPh>
    <rPh sb="12" eb="14">
      <t>ゲｎ</t>
    </rPh>
    <rPh sb="15" eb="19">
      <t>トクｓ</t>
    </rPh>
    <phoneticPr fontId="5"/>
  </si>
  <si>
    <t>所詮は美の女神…我の敵には物足りぬな</t>
    <rPh sb="0" eb="2">
      <t>ショセｎ</t>
    </rPh>
    <rPh sb="3" eb="4">
      <t>ビｎ</t>
    </rPh>
    <rPh sb="5" eb="7">
      <t>メガｍ</t>
    </rPh>
    <rPh sb="8" eb="9">
      <t>ワｒ</t>
    </rPh>
    <rPh sb="10" eb="11">
      <t>テ</t>
    </rPh>
    <rPh sb="13" eb="15">
      <t>モノタリｎ</t>
    </rPh>
    <phoneticPr fontId="5"/>
  </si>
  <si>
    <t>雷ごとき、我の前には無力よ…</t>
    <rPh sb="5" eb="6">
      <t>ワｒ</t>
    </rPh>
    <rPh sb="10" eb="12">
      <t>ムリョｋ</t>
    </rPh>
    <phoneticPr fontId="5"/>
  </si>
  <si>
    <t>自らに投資し続けた結果がそれか…</t>
    <rPh sb="0" eb="1">
      <t>ミｚ</t>
    </rPh>
    <rPh sb="3" eb="5">
      <t>ト</t>
    </rPh>
    <rPh sb="9" eb="11">
      <t>ケｋｋ</t>
    </rPh>
    <phoneticPr fontId="5"/>
  </si>
  <si>
    <t>神槍ニャングリルの使い手か…楽しませてもらうぞ</t>
    <rPh sb="0" eb="1">
      <t>カｍ</t>
    </rPh>
    <rPh sb="1" eb="2">
      <t>ヤｒ</t>
    </rPh>
    <rPh sb="9" eb="10">
      <t>ツカ</t>
    </rPh>
    <rPh sb="14" eb="15">
      <t>タノシマｓ</t>
    </rPh>
    <phoneticPr fontId="5"/>
  </si>
  <si>
    <t>我と同じ見た目だが…実力はどうだろうな</t>
    <rPh sb="0" eb="1">
      <t>ワｒ</t>
    </rPh>
    <rPh sb="2" eb="3">
      <t>オｎ</t>
    </rPh>
    <rPh sb="4" eb="5">
      <t>ミタｍ</t>
    </rPh>
    <rPh sb="10" eb="12">
      <t>ジ</t>
    </rPh>
    <phoneticPr fontId="5"/>
  </si>
  <si>
    <t>ううっ…こやつ…</t>
    <phoneticPr fontId="5"/>
  </si>
  <si>
    <t>その力、覚えておこう…</t>
    <rPh sb="4" eb="5">
      <t>オボ</t>
    </rPh>
    <phoneticPr fontId="5"/>
  </si>
  <si>
    <t>どうやら実力は本物のようだな…油断したぞ</t>
    <rPh sb="4" eb="6">
      <t>ジｔ</t>
    </rPh>
    <rPh sb="7" eb="9">
      <t>ホｎ</t>
    </rPh>
    <rPh sb="15" eb="17">
      <t>ユダｎ</t>
    </rPh>
    <phoneticPr fontId="5"/>
  </si>
  <si>
    <t>私を倒してもネコムートは止められない…</t>
    <rPh sb="0" eb="1">
      <t>ワタｓ</t>
    </rPh>
    <rPh sb="2" eb="3">
      <t>タオｓ</t>
    </rPh>
    <rPh sb="12" eb="13">
      <t>トｍ</t>
    </rPh>
    <phoneticPr fontId="5"/>
  </si>
  <si>
    <t>ネコムートの邪魔はさせない…！</t>
    <rPh sb="6" eb="8">
      <t>ジャｍ</t>
    </rPh>
    <phoneticPr fontId="5"/>
  </si>
  <si>
    <t>かみつく</t>
    <phoneticPr fontId="5"/>
  </si>
  <si>
    <t>硬くなる</t>
    <phoneticPr fontId="5"/>
  </si>
  <si>
    <t>高速頭突き</t>
    <phoneticPr fontId="5"/>
  </si>
  <si>
    <t>しなる触腕</t>
    <phoneticPr fontId="5"/>
  </si>
  <si>
    <t>レッド・チャーム</t>
    <phoneticPr fontId="5"/>
  </si>
  <si>
    <t>ブルー・チャーム</t>
    <phoneticPr fontId="5"/>
  </si>
  <si>
    <t>ニャングリル・アイズ</t>
    <phoneticPr fontId="5"/>
  </si>
  <si>
    <t>魅惑のダンス</t>
    <phoneticPr fontId="5"/>
  </si>
  <si>
    <t>防御の構え</t>
    <rPh sb="0" eb="2">
      <t>ボウギョ</t>
    </rPh>
    <rPh sb="3" eb="4">
      <t>カマエ</t>
    </rPh>
    <phoneticPr fontId="5"/>
  </si>
  <si>
    <t>反撃の構え</t>
    <rPh sb="0" eb="2">
      <t>ハンゲキ</t>
    </rPh>
    <rPh sb="3" eb="4">
      <t>カマエ</t>
    </rPh>
    <phoneticPr fontId="5"/>
  </si>
  <si>
    <t>豪腕の鉄槌</t>
    <phoneticPr fontId="5"/>
  </si>
  <si>
    <t>荒ぶる咆哮</t>
    <phoneticPr fontId="5"/>
  </si>
  <si>
    <t>強靭な巨体</t>
    <phoneticPr fontId="5"/>
  </si>
  <si>
    <t>ゴッドパニッシャー</t>
    <phoneticPr fontId="5"/>
  </si>
  <si>
    <t>ブルーメテオ</t>
    <phoneticPr fontId="5"/>
  </si>
  <si>
    <t>フォースブラスター</t>
    <phoneticPr fontId="5"/>
  </si>
  <si>
    <t>パワーラッシュ</t>
    <phoneticPr fontId="5"/>
  </si>
  <si>
    <t>バーンナップ</t>
    <phoneticPr fontId="5"/>
  </si>
  <si>
    <t>ストームブリング</t>
    <phoneticPr fontId="5"/>
  </si>
  <si>
    <t>力がみなぎる…！</t>
    <phoneticPr fontId="5"/>
  </si>
  <si>
    <t>次で終わりにする…</t>
    <phoneticPr fontId="5"/>
  </si>
  <si>
    <t>オールレンジデストロイ</t>
    <phoneticPr fontId="5"/>
  </si>
  <si>
    <t>これで終わりにする…！</t>
    <phoneticPr fontId="5"/>
  </si>
  <si>
    <t>我が目覚めるにはまだ早かったようだな…</t>
    <phoneticPr fontId="5"/>
  </si>
  <si>
    <t>その力、覚えておこう…</t>
    <phoneticPr fontId="5"/>
  </si>
  <si>
    <t>(表示しない)</t>
    <rPh sb="1" eb="3">
      <t>ヒョウジシナイ</t>
    </rPh>
    <phoneticPr fontId="5"/>
  </si>
  <si>
    <t>全部滅ぼしてやる！</t>
    <rPh sb="0" eb="2">
      <t>ゼンブ</t>
    </rPh>
    <rPh sb="2" eb="3">
      <t>ホロボシテヤルニャ</t>
    </rPh>
    <phoneticPr fontId="5"/>
  </si>
  <si>
    <t>我の本気を見せてやろう！</t>
    <rPh sb="0" eb="1">
      <t>ワレノホンキヲ</t>
    </rPh>
    <rPh sb="5" eb="6">
      <t>ミセテヤロウ</t>
    </rPh>
    <phoneticPr fontId="5"/>
  </si>
  <si>
    <t>ニャングリルの使い手…
ここを通すわけにはいきません</t>
    <rPh sb="7" eb="8">
      <t>ツカ</t>
    </rPh>
    <rPh sb="15" eb="16">
      <t>トオｓ</t>
    </rPh>
    <phoneticPr fontId="5"/>
  </si>
  <si>
    <t>あなたの美への信念…
危険な予感がします</t>
    <rPh sb="4" eb="5">
      <t>ビｈ</t>
    </rPh>
    <rPh sb="7" eb="9">
      <t>シｎ</t>
    </rPh>
    <rPh sb="11" eb="13">
      <t>キｋ</t>
    </rPh>
    <rPh sb="14" eb="16">
      <t>ヨカｎ</t>
    </rPh>
    <phoneticPr fontId="5"/>
  </si>
  <si>
    <t>雷神の力はネコムートを止める力…
ここを通すわけにはいきません</t>
    <rPh sb="0" eb="2">
      <t>ライジｎ</t>
    </rPh>
    <rPh sb="3" eb="4">
      <t>チカｒ</t>
    </rPh>
    <rPh sb="11" eb="12">
      <t>トｍ</t>
    </rPh>
    <rPh sb="14" eb="15">
      <t>チカｒ</t>
    </rPh>
    <rPh sb="20" eb="21">
      <t>トオｓ</t>
    </rPh>
    <phoneticPr fontId="5"/>
  </si>
  <si>
    <t>黄金の弓矢はネコムートを止める力…
ここを通すわけにはいきません</t>
    <rPh sb="0" eb="2">
      <t>オウゴｎ</t>
    </rPh>
    <rPh sb="3" eb="5">
      <t>ユ</t>
    </rPh>
    <rPh sb="12" eb="13">
      <t>トｍ</t>
    </rPh>
    <rPh sb="15" eb="16">
      <t>チカｒ</t>
    </rPh>
    <rPh sb="21" eb="22">
      <t>トオｓ</t>
    </rPh>
    <phoneticPr fontId="5"/>
  </si>
  <si>
    <t>超古代兵器はネコムートを止める力…
ここを通すわけにはいきません</t>
    <rPh sb="0" eb="3">
      <t>チョ</t>
    </rPh>
    <rPh sb="3" eb="5">
      <t>ヘイｋ</t>
    </rPh>
    <rPh sb="12" eb="13">
      <t>トｍ</t>
    </rPh>
    <rPh sb="15" eb="16">
      <t>チカｒ</t>
    </rPh>
    <rPh sb="21" eb="22">
      <t>トオｓ</t>
    </rPh>
    <phoneticPr fontId="5"/>
  </si>
  <si>
    <t>きっとネコムートは癒しのオーラに弱い…
ここを通すわけには！</t>
    <rPh sb="9" eb="10">
      <t>イｙ</t>
    </rPh>
    <rPh sb="16" eb="17">
      <t>ヨｗ</t>
    </rPh>
    <rPh sb="23" eb="24">
      <t>トオｓ</t>
    </rPh>
    <phoneticPr fontId="5"/>
  </si>
  <si>
    <t>さすがは雷の化身だ…
我に勝利したことを誇りに思うがいい</t>
    <rPh sb="6" eb="8">
      <t>ケシｎ</t>
    </rPh>
    <rPh sb="11" eb="12">
      <t>ワｒ</t>
    </rPh>
    <rPh sb="13" eb="15">
      <t>ショウｒ</t>
    </rPh>
    <rPh sb="20" eb="21">
      <t>ホコｒ</t>
    </rPh>
    <rPh sb="23" eb="24">
      <t>オモ</t>
    </rPh>
    <phoneticPr fontId="5"/>
  </si>
  <si>
    <t>全体攻撃+
2ターンボムの爆風を30%DOWN</t>
    <rPh sb="0" eb="4">
      <t>ゼンタイコウゲキ</t>
    </rPh>
    <rPh sb="13" eb="15">
      <t>バクフウヲ</t>
    </rPh>
    <phoneticPr fontId="5"/>
  </si>
  <si>
    <t>[effect:enemy_message, val1:2.0, val2:1.2],[effect:fix_speed, target:myself, turn:3],[effect:tolerance, target:myself, turn:-1, count:-1, tolerance_effect:all, animation:enemy_tolerance]</t>
    <phoneticPr fontId="5"/>
  </si>
  <si>
    <t>[effect:enemy_message, val1:1.8, val2:1.2],[effect:fix_speed, target:myself, turn:3],[effect:tolerance, target:myself, turn:-1, count:-1, tolerance_effect:all, animation:enemy_tolerance]</t>
    <phoneticPr fontId="5"/>
  </si>
  <si>
    <t>[effect:enemy_message, val1:1.4, val2:1.2],[effect:fix_speed, target:myself, turn:3],[effect:tolerance, target:myself, turn:-1, count:-1, tolerance_effect:all, animation:enemy_tolerance]</t>
    <phoneticPr fontId="5"/>
  </si>
  <si>
    <t>[effect:enemy_message, val1:2.3, val2:1.2],[effect:fix_speed, target:myself, turn:3],[effect:tolerance, target:myself, turn:-1, count:-1, tolerance_effect:all, animation:enemy_tolerance]</t>
    <phoneticPr fontId="5"/>
  </si>
  <si>
    <t>[effect:enemy_message, val1:1.2, val2:1.2],[effect:fix_speed, target:myself, turn:3],[effect:tolerance, target:myself, turn:-1, count:-1, tolerance_effect:all, animation:enemy_tolerance]</t>
    <phoneticPr fontId="5"/>
  </si>
  <si>
    <t>[effect:enemy_message, val1:1.9, val2:1.2],[effect:fix_speed, target:myself, turn:3],[effect:tolerance, target:myself, turn:-1, count:-1, tolerance_effect:all, animation:enemy_tolerance]</t>
    <phoneticPr fontId="5"/>
  </si>
  <si>
    <t>[effect:enemy_message, val1:1.9, val2:0.0, dead_type:suicide]</t>
    <phoneticPr fontId="5"/>
  </si>
  <si>
    <t>[effect:enemy_message, val1:2.7, val2:1.7, dead_type:suicide]</t>
    <phoneticPr fontId="5"/>
  </si>
  <si>
    <t>[effect:enemy_message, val1:2.4, val2:1.7, dead_type:suicide]</t>
    <phoneticPr fontId="5"/>
  </si>
  <si>
    <t>[effect:enemy_message, val1:2.8, val2:1.7, dead_type:suicide]</t>
    <phoneticPr fontId="5"/>
  </si>
  <si>
    <t>[effect:enemy_message, val1:3.2, val2:1.7, dead_type:suicide]</t>
    <phoneticPr fontId="5"/>
  </si>
  <si>
    <t>[effect:enemy_message, val1:2.5, val2:1.7, dead_type:suicide]</t>
    <phoneticPr fontId="5"/>
  </si>
  <si>
    <t>[effect:enemy_message, val1:2.9, val2:1.7, dead_type:suicide]</t>
    <phoneticPr fontId="5"/>
  </si>
  <si>
    <t>[effect:enemy_message, val1:1.5, val2:0],[effect:fix_speed, target:myself, turn:2]</t>
    <phoneticPr fontId="5"/>
  </si>
  <si>
    <t>[effect:enemy_message, val1:2.5, val2:0],[effect:fix_speed, target:myself, turn:2]</t>
    <phoneticPr fontId="5"/>
  </si>
  <si>
    <t>[effect:enemy_message, val1:3.1, val2:0],[effect:fix_speed, target:myself, turn:2]</t>
    <phoneticPr fontId="5"/>
  </si>
  <si>
    <t>[effect:enemy_message, val1:3.0, val2:0],[effect:fix_speed, target:myself, turn:2]</t>
    <phoneticPr fontId="5"/>
  </si>
  <si>
    <t>[effect:enemy_message, val1:1.9, val2:0],[effect:fix_speed, target:myself, turn:2]</t>
    <phoneticPr fontId="5"/>
  </si>
  <si>
    <t>[effect:enemy_message, val1:2.9, val2:0],[effect:fix_speed, target:myself, turn:2]</t>
    <phoneticPr fontId="5"/>
  </si>
  <si>
    <t>全体攻撃+
2ターン全ユニットの回復力30%DOWN</t>
    <rPh sb="0" eb="4">
      <t>ゼンタイコウゲキ</t>
    </rPh>
    <rPh sb="10" eb="11">
      <t>ゼンユニット</t>
    </rPh>
    <rPh sb="16" eb="19">
      <t>カイフクリョク</t>
    </rPh>
    <phoneticPr fontId="5"/>
  </si>
  <si>
    <t>闇のヒーローとはいえ、
ここを通すわけにはいきません</t>
    <rPh sb="0" eb="1">
      <t>ヤｍ</t>
    </rPh>
    <rPh sb="15" eb="16">
      <t>トオｓ</t>
    </rPh>
    <phoneticPr fontId="5"/>
  </si>
  <si>
    <t>油断した…完全に油断したぞ…
かわいい見た目をしおって…</t>
    <rPh sb="0" eb="2">
      <t>ユダｎ</t>
    </rPh>
    <rPh sb="5" eb="7">
      <t>カンゼｎ</t>
    </rPh>
    <rPh sb="8" eb="10">
      <t>ユダｎ</t>
    </rPh>
    <rPh sb="19" eb="20">
      <t>mitame</t>
    </rPh>
    <phoneticPr fontId="5"/>
  </si>
  <si>
    <t>貴様も超古代兵器か…
我よりも一枚上手だったようだ</t>
    <rPh sb="0" eb="2">
      <t>キｓ</t>
    </rPh>
    <rPh sb="3" eb="4">
      <t>チョ</t>
    </rPh>
    <rPh sb="4" eb="8">
      <t>コダ</t>
    </rPh>
    <rPh sb="11" eb="12">
      <t>ワｒ</t>
    </rPh>
    <rPh sb="15" eb="17">
      <t>1マ</t>
    </rPh>
    <rPh sb="17" eb="19">
      <t>ウワｔ</t>
    </rPh>
    <phoneticPr fontId="5"/>
  </si>
  <si>
    <t>さすが神槍の使い手に選ばれた者だ…
我の負けだ</t>
    <rPh sb="3" eb="5">
      <t>カｍ</t>
    </rPh>
    <rPh sb="6" eb="7">
      <t>ツカ</t>
    </rPh>
    <rPh sb="10" eb="11">
      <t>エラｂ</t>
    </rPh>
    <rPh sb="14" eb="15">
      <t>モノ</t>
    </rPh>
    <rPh sb="18" eb="19">
      <t>ワｒ</t>
    </rPh>
    <rPh sb="20" eb="21">
      <t>マｋ</t>
    </rPh>
    <phoneticPr fontId="5"/>
  </si>
  <si>
    <t>さすがは闇の怪人…
敬意を表するとしよう</t>
    <rPh sb="4" eb="5">
      <t>ヤｍ</t>
    </rPh>
    <rPh sb="6" eb="8">
      <t>カ</t>
    </rPh>
    <rPh sb="10" eb="12">
      <t>ケ</t>
    </rPh>
    <rPh sb="13" eb="14">
      <t>ヒョ</t>
    </rPh>
    <phoneticPr fontId="5"/>
  </si>
  <si>
    <t>侮っていたようだな…
ここは無礼を詫びるとしよう</t>
    <rPh sb="0" eb="1">
      <t>アナｄ</t>
    </rPh>
    <rPh sb="14" eb="16">
      <t>ブレイｗ</t>
    </rPh>
    <rPh sb="17" eb="18">
      <t>ワビル</t>
    </rPh>
    <phoneticPr fontId="5"/>
  </si>
  <si>
    <t xml:space="preserve">[effect:enemy_message, val1:1.2, val2:1.2],[effect:critical, val:1.1, animation:enemy_critical]    </t>
    <phoneticPr fontId="5"/>
  </si>
  <si>
    <t>バトルアクス</t>
    <phoneticPr fontId="5"/>
  </si>
  <si>
    <t>全体攻撃+2ターン全ユニットにスキルバインド</t>
    <rPh sb="0" eb="4">
      <t>ゼンタイコウゲキ</t>
    </rPh>
    <rPh sb="9" eb="10">
      <t>ゼンユニットニ</t>
    </rPh>
    <phoneticPr fontId="5"/>
  </si>
  <si>
    <t>バトルネコは赤パネル無効を使用するにゃ
バトルネコから倒すといいにゃ</t>
    <phoneticPr fontId="5"/>
  </si>
  <si>
    <t>Unknownキラーを使用するから
種族が異なるユニットを連れて行くにゃ</t>
    <phoneticPr fontId="5"/>
  </si>
  <si>
    <t>ネコヴァルキリーは
青・赤パネルをプロテクトするにゃ
青・赤パネルを残さないようにするにゃ</t>
    <phoneticPr fontId="5"/>
  </si>
  <si>
    <t>開幕で攻撃力DOWNを行なって来るにゃ
攻撃力UPを使用して解除するにゃ</t>
    <rPh sb="30" eb="32">
      <t>カイｊｙ</t>
    </rPh>
    <phoneticPr fontId="5"/>
  </si>
  <si>
    <t>防御力UPのスキルを多用するにゃ
防御力無視の攻撃で対応するにゃ</t>
    <rPh sb="26" eb="28">
      <t>タイオ</t>
    </rPh>
    <phoneticPr fontId="5"/>
  </si>
  <si>
    <t>ゴッドキラー攻撃が非常に強力にゃ
種族ゴッドのユニットを連れて行くと
きっと苦労するにゃ</t>
    <rPh sb="17" eb="19">
      <t>ｓｙ</t>
    </rPh>
    <rPh sb="28" eb="29">
      <t>ツｒ</t>
    </rPh>
    <rPh sb="38" eb="40">
      <t>クｒ</t>
    </rPh>
    <phoneticPr fontId="5"/>
  </si>
  <si>
    <t>2ゲージ目は攻撃力UP後の攻撃が
非常に強力になるにゃ
早めに3ゲージ目までもっていくにゃ</t>
    <phoneticPr fontId="5"/>
  </si>
  <si>
    <t>ダメージパネル吸収攻撃が非常に強力にゃ
ダメージパネルをできるだけ少なくして
強力な攻撃に備えるにゃ</t>
    <rPh sb="39" eb="41">
      <t>キョウリョｋ</t>
    </rPh>
    <phoneticPr fontId="5"/>
  </si>
  <si>
    <t>ネコムートは圧倒的な力を誇り
かつて世界を滅ぼしたと伝えられてたにゃ
ネコムートはやっぱり怖いにゃ…</t>
    <rPh sb="45" eb="46">
      <t>コワ</t>
    </rPh>
    <phoneticPr fontId="5"/>
  </si>
  <si>
    <t>ネコムートの目的は
バビロニア・タワーを制圧し
ALICE内を支配することだったにゃ！</t>
    <rPh sb="6" eb="8">
      <t>モクテｋ</t>
    </rPh>
    <rPh sb="31" eb="33">
      <t>シハ</t>
    </rPh>
    <phoneticPr fontId="5"/>
  </si>
  <si>
    <t>complete</t>
  </si>
  <si>
    <t>突風のダンス</t>
    <rPh sb="0" eb="2">
      <t>トップウノダンス</t>
    </rPh>
    <phoneticPr fontId="5"/>
  </si>
  <si>
    <t>不思議なダンス</t>
    <phoneticPr fontId="5"/>
  </si>
  <si>
    <t>ネコムートはドラゴンと言われてたけど
正体は超古代兵器の着ぐるみだったにゃ
見掛け倒しにゃ！</t>
    <rPh sb="11" eb="12">
      <t>イｗ</t>
    </rPh>
    <rPh sb="38" eb="40">
      <t>ミカｋ</t>
    </rPh>
    <phoneticPr fontId="5"/>
  </si>
  <si>
    <t>超古代兵器の力</t>
    <rPh sb="0" eb="5">
      <t>チョウ</t>
    </rPh>
    <phoneticPr fontId="5"/>
  </si>
  <si>
    <t>ネコムートの正体</t>
    <rPh sb="6" eb="8">
      <t>ショウタイ</t>
    </rPh>
    <phoneticPr fontId="5"/>
  </si>
  <si>
    <t>目的</t>
    <rPh sb="0" eb="2">
      <t>モクテキ</t>
    </rPh>
    <phoneticPr fontId="5"/>
  </si>
  <si>
    <t>[effect:enemy_message, val1:1.2, val2:2],[effect:rush, count:1, val:1.1],[effect:panel_freeze, target:normal, color:block_red, count:3]</t>
    <phoneticPr fontId="5"/>
  </si>
  <si>
    <t>[effect:enemy_message, val1:1.2, val2:2],[effect:rush, count:1, val:1.1],[effect:panel_freeze, target:normal, color:block_blue, count:3]</t>
    <phoneticPr fontId="5"/>
  </si>
  <si>
    <t>[effect:enemy_message, val1:1.2, val2:1.2],[effect:spread, val:0.5]</t>
    <phoneticPr fontId="5"/>
  </si>
  <si>
    <t>ディスレッド</t>
    <phoneticPr fontId="5"/>
  </si>
  <si>
    <t>item</t>
    <phoneticPr fontId="5"/>
  </si>
  <si>
    <t>unit</t>
    <phoneticPr fontId="5"/>
  </si>
  <si>
    <t>full_member</t>
    <phoneticPr fontId="5"/>
  </si>
  <si>
    <t>ランダムで先頭ユニットのSCパネルに最大5個変換</t>
    <rPh sb="18" eb="20">
      <t>サイダイ</t>
    </rPh>
    <rPh sb="21" eb="22">
      <t>コ</t>
    </rPh>
    <phoneticPr fontId="5"/>
  </si>
  <si>
    <t>[effect:enemy_message, val1:1.2, val2:2.4],[effect:force_change_block, new_block:crash, target:block_all, ignore01:crash, ignore02:crack_bomb, ignore03:color_break, ignore04:magnet, count:5, val:12],[effect:suicide, target:myself, val:1, dead_type:escape]</t>
    <phoneticPr fontId="5"/>
  </si>
  <si>
    <t>Cパネルプロテクト(最大5個)</t>
    <phoneticPr fontId="5"/>
  </si>
  <si>
    <t>[effect:enemy_message, val1:1.2, val2:1.5],[effect:panel_freeze, target:crash, count:5]</t>
    <phoneticPr fontId="5"/>
  </si>
  <si>
    <t>クラッシュ・チャーム</t>
    <phoneticPr fontId="5"/>
  </si>
  <si>
    <t>[effect:enemy_message, val1:1.2, val2:2.2],[effect:spread, val:0.4],[effect:hungup, target:unit_all, turn:2, rate:1, animation:hungup01]</t>
    <phoneticPr fontId="5"/>
  </si>
  <si>
    <t>[effect:enemy_message, val1:1.2, val2:2.2],[effect:spread, val:0.4],[effect:change_bomb_range, target:unit_all, val:0.7, rate:1, turn:2, animation:bomb_small]</t>
    <phoneticPr fontId="5"/>
  </si>
  <si>
    <t>[effect:enemy_message, val1:1.2, val2:2],[effect:break_enchance_enemy, target:myself, val:2000, lowest_val:500, count:-1, status:defense, turn:2, block01:jammer, calc:add, animation:enemy_enhance_defense]</t>
    <phoneticPr fontId="5"/>
  </si>
  <si>
    <t>[effect:enemy_message, val1:1.2, val2:3.8],[effect:damage_anti_tribe, target:unit_all, tribe:god, val1:0.7, val2:0.2],[effect:force_change_block, new_block:damage, target:block_all, ignore01:crash, ignore02:crack_bomb, ignore03:damage, ignore04:color_break, ignore05:magnet, color:block_blue, count:4, val:0.1, animation:change_block]</t>
    <phoneticPr fontId="5"/>
  </si>
  <si>
    <t>[effect:enemy_message, val1:1.2, val2:2.6],[effect:spread, val:0.35],[effect:force_change_block, new_block:damage, target:block_all, ignore01:crash, ignore02:crack_bomb, ignore03:color_break, ignore04:damage, ignore05:magnet, color:block_blue, count:8, val:0.1, animation:change_block]</t>
    <phoneticPr fontId="5"/>
  </si>
  <si>
    <t>[effect:enemy_message, val1:1.4, val2:1.6],[effect:fix_speed, target:myself, turn:2],[effect:tolerance, target:myself, turn:-1, count:-1, tolerance_effect:all, animation:enemy_tolerance]</t>
    <phoneticPr fontId="5"/>
  </si>
  <si>
    <t>[effect:enemy_message, val1:1.2, val2:1.2],[effect:enhance_enemy, target:myself, turn:-1, status:attack, val:0.2, calc:mul, animation:enemy_enhance_attack],[effect:rush, count:4, val:0.35]</t>
    <phoneticPr fontId="5"/>
  </si>
  <si>
    <t>[effect:enemy_message, val1:1.2, val2:2.6],[effect:spread, val:0.3],[effect:force_change_block, new_block:damage, target:block_yellow, color:block_blue, count:5, val:0.1, animation:change_block]</t>
    <phoneticPr fontId="5"/>
  </si>
  <si>
    <t>[effect:enemy_message, val1:1.2, val2:2.7],[effect:spread, val:0.3],[effect:force_change_block, new_block:damage, target:block_all, ignore01:crash, ignore02:crack_bomb, ignore03:color_break, ignore04:damage, ignore05:magnet, color:block_blue, count:15, val:0.1, animation:change_block]</t>
    <phoneticPr fontId="5"/>
  </si>
  <si>
    <t>[effect:enemy_message, val1:1.2, val2:2.9],[effect:spread, val:0.4],[effect:force_change_block, new_block:damage, target:block_green, count:0, val:0.1, animation:change_block],[effect:force_change_block, new_block:damage, target:block_yellow, count:0, val:0.1, animation:change_block]</t>
    <phoneticPr fontId="5"/>
  </si>
  <si>
    <t>[effect:enemy_message, val1:1.2, val2:2.2],[effect:spread, val:0.25],[effect:change_bomb_range, target:unit_all, val:0.7, rate:1, turn:2, animation:bomb_small]</t>
    <phoneticPr fontId="5"/>
  </si>
  <si>
    <t>[effect:enemy_message, val1:1.2, val2:2.0],[effect:break_enchance_enemy, target:myself, val:1500, lowest_val:500, count:-1, status:defense, turn:2, block01:jammer, calc:add, animation:enemy_enhance_defense]</t>
    <phoneticPr fontId="5"/>
  </si>
  <si>
    <t>[effect:enemy_message, val1:1.2, val2:3.8],[effect:damage_anti_tribe, target:unit_all, tribe:god, val1:0.7, val2:0.2],[effect:force_change_block, new_block:damage, target:block_all, ignore01:crash, ignore02:crack_bomb, ignore03:damage, ignore04:color_break, ignore05:magnet, color:block_blue, count:4, val:0.06, animation:change_block]</t>
    <phoneticPr fontId="5"/>
  </si>
  <si>
    <t>[effect:enemy_message, val1:1.2, val2:2.6],[effect:spread, val:0.35],[effect:force_change_block, new_block:damage, target:block_all, ignore01:crash, ignore02:crack_bomb, ignore03:color_break, ignore04:damage, ignore05:magnet, color:block_blue, count:8, val:0.06, animation:change_block]</t>
    <phoneticPr fontId="5"/>
  </si>
  <si>
    <t>[effect:enemy_message, val1:1.2, val2:1.6],[effect:break_attack, target:unit_all, val:0.04, lowest_val:2000, count:-1, color:blue, block01:damage]</t>
    <phoneticPr fontId="5"/>
  </si>
  <si>
    <t>[effect:enemy_message, val1:1.2, val2:1.6],[effect:fix_speed, target:myself, turn:2],[effect:tolerance, target:myself, turn:-1, count:-1, tolerance_effect:all, animation:enemy_tolerance]</t>
    <phoneticPr fontId="5"/>
  </si>
  <si>
    <t>[effect:enemy_message, val1:1.2, val2:1.2],[effect:enhance_enemy, target:myself, turn:-1, status:attack, val:0.1, calc:mul, animation:enemy_enhance_attack],[effect:rush, count:4, val:0.35]</t>
    <phoneticPr fontId="5"/>
  </si>
  <si>
    <t>[effect:enemy_message, val1:1.2, val2:2.6],[effect:spread, val:0.3],[effect:force_change_block, new_block:damage, target:block_yellow, color:block_blue, count:5, val:0.06, animation:change_block]</t>
    <phoneticPr fontId="5"/>
  </si>
  <si>
    <t>[effect:enemy_message, val1:1.2, val2:2.7],[effect:spread, val:0.3],[effect:force_change_block, new_block:damage, target:block_all, ignore01:crash, ignore02:crack_bomb, ignore03:color_break, ignore04:damage, ignore05:magnet, color:block_blue, count:15, val:0.06, animation:change_block]</t>
    <phoneticPr fontId="5"/>
  </si>
  <si>
    <t>[effect:enemy_message, val1:1.2, val2:2.9],[effect:spread, val:0.3],[effect:force_change_block, new_block:damage, target:block_green, count:0, val:0.06, animation:change_block],[effect:force_change_block, new_block:damage, target:block_yellow, count:0, val:0.06, animation:change_block]</t>
    <phoneticPr fontId="5"/>
  </si>
  <si>
    <t>[effect:enemy_message, val1:1.2, val2:2.5],[effect:spread, val:0.25],[effect:degrade_unit, target:unit_all, turn:2, status:heal, val:0.3, calc:mul, animation:degrade_unit_all_heal]</t>
    <phoneticPr fontId="5"/>
  </si>
  <si>
    <t>[effect:enemy_message, val1:1.2, val2:2],[effect:fix_speed, target:myself, turn:2],[effect:attack_break, target:unit_all, turn:3, val:0.3, calc:mul, animation:attack_break01]</t>
    <phoneticPr fontId="5"/>
  </si>
  <si>
    <t>別に呼んでないけど神さまがあらわれた！</t>
    <rPh sb="0" eb="1">
      <t>ベツニ</t>
    </rPh>
    <phoneticPr fontId="5"/>
  </si>
  <si>
    <t>[effect:enemy_message, val1:1.6, val2:1.9],[effect:ability_lock, target:unit_all, turn:1],[effect:sleep, target:unit_all, turn:1, rate:1, calc_type:target_all],[effect:fix_speed, target:myself, turn:1]</t>
    <phoneticPr fontId="5"/>
  </si>
  <si>
    <t>状態異常耐性+
10ターン後超強力な攻撃</t>
    <rPh sb="0" eb="6">
      <t>ジョウタイイジョウタイセイ</t>
    </rPh>
    <phoneticPr fontId="5"/>
  </si>
  <si>
    <t>究極ダメージ</t>
    <phoneticPr fontId="5"/>
  </si>
  <si>
    <t>次のターンに超強力な攻撃</t>
    <phoneticPr fontId="5"/>
  </si>
  <si>
    <t>次のターンに超強力な攻撃</t>
    <phoneticPr fontId="5"/>
  </si>
  <si>
    <t>[effect:enemy_message, val1:1.2, val2:1.9],[effect:fix_speed, target:myself, turn:1],[effect:tolerance, target:myself, turn:-1, count:-1, tolerance_effect:all, animation:enemy_tolerance]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</si>
</sst>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4B084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7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2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32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16" fillId="32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14" fontId="16" fillId="0" borderId="24" xfId="0" applyNumberFormat="1" applyFont="1" applyFill="1" applyBorder="1" applyAlignment="1">
      <alignment horizontal="left" vertical="center"/>
    </xf>
    <xf numFmtId="0" fontId="16" fillId="34" borderId="12" xfId="0" applyFont="1" applyFill="1" applyBorder="1" applyAlignment="1">
      <alignment vertical="center"/>
    </xf>
    <xf numFmtId="0" fontId="16" fillId="33" borderId="24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16" fillId="35" borderId="12" xfId="0" applyFont="1" applyFill="1" applyBorder="1" applyAlignment="1">
      <alignment vertical="center"/>
    </xf>
    <xf numFmtId="0" fontId="16" fillId="6" borderId="23" xfId="0" applyFont="1" applyFill="1" applyBorder="1" applyAlignment="1">
      <alignment vertical="center"/>
    </xf>
    <xf numFmtId="0" fontId="16" fillId="36" borderId="12" xfId="0" applyFont="1" applyFill="1" applyBorder="1" applyAlignment="1">
      <alignment vertical="center"/>
    </xf>
    <xf numFmtId="0" fontId="16" fillId="35" borderId="23" xfId="0" applyFont="1" applyFill="1" applyBorder="1" applyAlignment="1">
      <alignment vertical="center"/>
    </xf>
    <xf numFmtId="0" fontId="16" fillId="36" borderId="23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32" borderId="27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16" fillId="3" borderId="27" xfId="0" applyFont="1" applyFill="1" applyBorder="1" applyAlignment="1">
      <alignment vertical="center"/>
    </xf>
    <xf numFmtId="0" fontId="14" fillId="7" borderId="28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horizontal="left" vertical="center"/>
    </xf>
    <xf numFmtId="0" fontId="16" fillId="0" borderId="29" xfId="0" applyFont="1" applyFill="1" applyBorder="1" applyAlignment="1">
      <alignment vertical="center"/>
    </xf>
    <xf numFmtId="0" fontId="16" fillId="32" borderId="29" xfId="0" applyFont="1" applyFill="1" applyBorder="1" applyAlignment="1">
      <alignment vertical="center"/>
    </xf>
    <xf numFmtId="0" fontId="16" fillId="37" borderId="23" xfId="0" applyFont="1" applyFill="1" applyBorder="1" applyAlignment="1">
      <alignment vertical="center"/>
    </xf>
    <xf numFmtId="0" fontId="16" fillId="37" borderId="29" xfId="0" applyFont="1" applyFill="1" applyBorder="1" applyAlignment="1">
      <alignment vertical="center"/>
    </xf>
    <xf numFmtId="0" fontId="16" fillId="0" borderId="29" xfId="0" applyFont="1" applyFill="1" applyBorder="1" applyAlignment="1">
      <alignment horizontal="left" vertical="center"/>
    </xf>
    <xf numFmtId="0" fontId="16" fillId="0" borderId="29" xfId="0" applyFont="1" applyFill="1" applyBorder="1" applyAlignment="1">
      <alignment horizontal="left" vertical="center" wrapText="1"/>
    </xf>
    <xf numFmtId="0" fontId="16" fillId="3" borderId="29" xfId="0" applyFont="1" applyFill="1" applyBorder="1" applyAlignment="1">
      <alignment horizontal="left" vertical="center" wrapText="1"/>
    </xf>
    <xf numFmtId="0" fontId="16" fillId="3" borderId="29" xfId="0" applyFont="1" applyFill="1" applyBorder="1" applyAlignment="1">
      <alignment vertical="center"/>
    </xf>
    <xf numFmtId="14" fontId="16" fillId="0" borderId="29" xfId="0" applyNumberFormat="1" applyFont="1" applyFill="1" applyBorder="1" applyAlignment="1">
      <alignment horizontal="left" vertical="center"/>
    </xf>
    <xf numFmtId="0" fontId="16" fillId="37" borderId="27" xfId="0" applyFont="1" applyFill="1" applyBorder="1" applyAlignment="1">
      <alignment vertical="center"/>
    </xf>
    <xf numFmtId="0" fontId="16" fillId="0" borderId="27" xfId="0" applyFont="1" applyFill="1" applyBorder="1" applyAlignment="1">
      <alignment horizontal="left" vertical="center"/>
    </xf>
    <xf numFmtId="0" fontId="16" fillId="0" borderId="27" xfId="0" applyFont="1" applyFill="1" applyBorder="1" applyAlignment="1">
      <alignment horizontal="left" vertical="center" wrapText="1"/>
    </xf>
    <xf numFmtId="0" fontId="16" fillId="3" borderId="27" xfId="0" applyFont="1" applyFill="1" applyBorder="1" applyAlignment="1">
      <alignment horizontal="left" vertical="center" wrapText="1"/>
    </xf>
    <xf numFmtId="14" fontId="16" fillId="0" borderId="27" xfId="0" applyNumberFormat="1" applyFont="1" applyFill="1" applyBorder="1" applyAlignment="1">
      <alignment horizontal="left" vertical="center"/>
    </xf>
    <xf numFmtId="0" fontId="16" fillId="37" borderId="12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8" fillId="0" borderId="32" xfId="0" applyFont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6" fillId="3" borderId="23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6" fillId="5" borderId="36" xfId="0" applyFont="1" applyFill="1" applyBorder="1" applyAlignment="1">
      <alignment vertical="center"/>
    </xf>
    <xf numFmtId="0" fontId="6" fillId="5" borderId="37" xfId="0" applyFont="1" applyFill="1" applyBorder="1" applyAlignment="1">
      <alignment vertical="center"/>
    </xf>
    <xf numFmtId="0" fontId="16" fillId="6" borderId="29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0" fontId="0" fillId="0" borderId="23" xfId="0" applyBorder="1"/>
    <xf numFmtId="0" fontId="16" fillId="35" borderId="7" xfId="0" applyFont="1" applyFill="1" applyBorder="1" applyAlignment="1">
      <alignment vertical="center"/>
    </xf>
    <xf numFmtId="0" fontId="16" fillId="38" borderId="12" xfId="0" applyFont="1" applyFill="1" applyBorder="1" applyAlignment="1">
      <alignment vertical="center"/>
    </xf>
    <xf numFmtId="0" fontId="16" fillId="38" borderId="29" xfId="0" applyFont="1" applyFill="1" applyBorder="1" applyAlignment="1">
      <alignment vertical="center"/>
    </xf>
    <xf numFmtId="0" fontId="16" fillId="38" borderId="23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16" fillId="39" borderId="23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" borderId="29" xfId="0" applyFont="1" applyFill="1" applyBorder="1" applyAlignment="1">
      <alignment horizontal="left" vertical="center"/>
    </xf>
    <xf numFmtId="0" fontId="16" fillId="34" borderId="38" xfId="0" applyFont="1" applyFill="1" applyBorder="1" applyAlignment="1">
      <alignment vertical="center"/>
    </xf>
    <xf numFmtId="0" fontId="16" fillId="34" borderId="24" xfId="0" applyFont="1" applyFill="1" applyBorder="1" applyAlignment="1">
      <alignment vertical="center"/>
    </xf>
    <xf numFmtId="0" fontId="16" fillId="38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 wrapText="1"/>
    </xf>
    <xf numFmtId="14" fontId="16" fillId="0" borderId="2" xfId="0" applyNumberFormat="1" applyFont="1" applyFill="1" applyBorder="1" applyAlignment="1">
      <alignment horizontal="left" vertical="center"/>
    </xf>
    <xf numFmtId="0" fontId="16" fillId="0" borderId="7" xfId="0" applyFont="1" applyFill="1" applyBorder="1"/>
    <xf numFmtId="0" fontId="16" fillId="0" borderId="7" xfId="0" applyFont="1" applyFill="1" applyBorder="1" applyAlignment="1">
      <alignment wrapText="1"/>
    </xf>
    <xf numFmtId="0" fontId="16" fillId="0" borderId="23" xfId="0" applyFont="1" applyFill="1" applyBorder="1"/>
    <xf numFmtId="0" fontId="16" fillId="0" borderId="12" xfId="0" applyFont="1" applyFill="1" applyBorder="1"/>
    <xf numFmtId="0" fontId="16" fillId="39" borderId="2" xfId="0" applyFont="1" applyFill="1" applyBorder="1" applyAlignment="1">
      <alignment vertical="center"/>
    </xf>
    <xf numFmtId="0" fontId="16" fillId="3" borderId="38" xfId="0" applyFont="1" applyFill="1" applyBorder="1" applyAlignment="1">
      <alignment horizontal="left" vertical="center"/>
    </xf>
    <xf numFmtId="0" fontId="16" fillId="0" borderId="38" xfId="0" applyFont="1" applyFill="1" applyBorder="1" applyAlignment="1">
      <alignment vertical="center"/>
    </xf>
    <xf numFmtId="0" fontId="16" fillId="3" borderId="38" xfId="0" applyFont="1" applyFill="1" applyBorder="1" applyAlignment="1">
      <alignment vertical="center"/>
    </xf>
    <xf numFmtId="0" fontId="16" fillId="0" borderId="29" xfId="0" applyFont="1" applyFill="1" applyBorder="1"/>
    <xf numFmtId="0" fontId="16" fillId="34" borderId="2" xfId="0" applyFont="1" applyFill="1" applyBorder="1" applyAlignment="1">
      <alignment vertical="center"/>
    </xf>
    <xf numFmtId="0" fontId="16" fillId="34" borderId="29" xfId="0" applyFont="1" applyFill="1" applyBorder="1" applyAlignment="1">
      <alignment vertical="center"/>
    </xf>
    <xf numFmtId="0" fontId="16" fillId="0" borderId="24" xfId="0" applyFont="1" applyFill="1" applyBorder="1"/>
    <xf numFmtId="0" fontId="16" fillId="39" borderId="12" xfId="0" applyFont="1" applyFill="1" applyBorder="1" applyAlignment="1">
      <alignment vertical="center"/>
    </xf>
    <xf numFmtId="0" fontId="16" fillId="0" borderId="2" xfId="0" applyFont="1" applyFill="1" applyBorder="1"/>
    <xf numFmtId="0" fontId="16" fillId="34" borderId="39" xfId="0" applyFont="1" applyFill="1" applyBorder="1" applyAlignment="1">
      <alignment vertical="center"/>
    </xf>
    <xf numFmtId="0" fontId="16" fillId="3" borderId="39" xfId="0" applyFont="1" applyFill="1" applyBorder="1" applyAlignment="1">
      <alignment horizontal="left" vertical="center"/>
    </xf>
    <xf numFmtId="0" fontId="16" fillId="3" borderId="39" xfId="0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0" borderId="39" xfId="0" applyFont="1" applyFill="1" applyBorder="1" applyAlignment="1">
      <alignment horizontal="left" vertical="center" wrapText="1"/>
    </xf>
    <xf numFmtId="0" fontId="16" fillId="6" borderId="24" xfId="0" applyFont="1" applyFill="1" applyBorder="1" applyAlignment="1">
      <alignment vertical="center"/>
    </xf>
    <xf numFmtId="0" fontId="16" fillId="35" borderId="39" xfId="0" applyFont="1" applyFill="1" applyBorder="1" applyAlignment="1">
      <alignment vertical="center"/>
    </xf>
    <xf numFmtId="0" fontId="16" fillId="0" borderId="2" xfId="0" applyFont="1" applyFill="1" applyBorder="1" applyAlignment="1">
      <alignment wrapText="1"/>
    </xf>
    <xf numFmtId="0" fontId="16" fillId="0" borderId="23" xfId="0" applyFont="1" applyFill="1" applyBorder="1" applyAlignment="1">
      <alignment wrapText="1"/>
    </xf>
    <xf numFmtId="0" fontId="16" fillId="0" borderId="12" xfId="0" applyFont="1" applyFill="1" applyBorder="1" applyAlignment="1">
      <alignment wrapText="1"/>
    </xf>
    <xf numFmtId="0" fontId="27" fillId="0" borderId="7" xfId="0" applyFont="1" applyBorder="1" applyAlignment="1">
      <alignment vertical="center" wrapText="1"/>
    </xf>
    <xf numFmtId="0" fontId="52" fillId="13" borderId="7" xfId="0" applyFont="1" applyFill="1" applyBorder="1" applyAlignment="1">
      <alignment vertical="center" wrapText="1"/>
    </xf>
    <xf numFmtId="0" fontId="27" fillId="0" borderId="7" xfId="0" applyFont="1" applyFill="1" applyBorder="1" applyAlignment="1">
      <alignment vertical="center"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12" xfId="0" applyBorder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27" fillId="0" borderId="23" xfId="0" applyFont="1" applyFill="1" applyBorder="1" applyAlignment="1">
      <alignment vertical="center" wrapText="1"/>
    </xf>
    <xf numFmtId="0" fontId="0" fillId="3" borderId="12" xfId="0" applyFill="1" applyBorder="1"/>
    <xf numFmtId="0" fontId="0" fillId="3" borderId="23" xfId="0" applyFill="1" applyBorder="1"/>
    <xf numFmtId="0" fontId="30" fillId="3" borderId="12" xfId="0" applyFont="1" applyFill="1" applyBorder="1"/>
    <xf numFmtId="22" fontId="30" fillId="0" borderId="12" xfId="0" quotePrefix="1" applyNumberFormat="1" applyFont="1" applyFill="1" applyBorder="1"/>
    <xf numFmtId="0" fontId="30" fillId="0" borderId="12" xfId="0" quotePrefix="1" applyFont="1" applyFill="1" applyBorder="1"/>
    <xf numFmtId="0" fontId="30" fillId="3" borderId="23" xfId="0" applyFont="1" applyFill="1" applyBorder="1"/>
    <xf numFmtId="22" fontId="30" fillId="0" borderId="23" xfId="0" quotePrefix="1" applyNumberFormat="1" applyFont="1" applyFill="1" applyBorder="1"/>
    <xf numFmtId="0" fontId="30" fillId="0" borderId="23" xfId="0" quotePrefix="1" applyFont="1" applyFill="1" applyBorder="1"/>
    <xf numFmtId="0" fontId="16" fillId="36" borderId="24" xfId="0" applyFont="1" applyFill="1" applyBorder="1" applyAlignment="1">
      <alignment vertical="center"/>
    </xf>
    <xf numFmtId="0" fontId="16" fillId="36" borderId="29" xfId="0" applyFont="1" applyFill="1" applyBorder="1" applyAlignment="1">
      <alignment vertical="center"/>
    </xf>
  </cellXfs>
  <cellStyles count="74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赤字強調" xfId="431"/>
    <cellStyle name="青字強調" xfId="430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4B084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  <row r="1612">
          <cell r="A1612">
            <v>10011</v>
          </cell>
        </row>
        <row r="1613">
          <cell r="A1613">
            <v>10012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2" sqref="A12: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277</v>
      </c>
      <c r="B2" s="57" t="s">
        <v>105</v>
      </c>
      <c r="C2" s="63">
        <v>49014</v>
      </c>
      <c r="D2" s="57" t="s">
        <v>106</v>
      </c>
      <c r="E2" s="56" t="str">
        <f>B2&amp;C2&amp;D2</f>
        <v>floors_49014.tmp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277</v>
      </c>
      <c r="B3" s="57" t="s">
        <v>108</v>
      </c>
      <c r="C3" s="63">
        <v>49014</v>
      </c>
      <c r="D3" s="57" t="s">
        <v>106</v>
      </c>
      <c r="E3" s="56" t="str">
        <f>B3&amp;C3&amp;D3</f>
        <v>enemy_habitats_49014.tmp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176</v>
      </c>
    </row>
    <row r="4" spans="1:30" x14ac:dyDescent="0.15">
      <c r="A4" s="61" t="s">
        <v>277</v>
      </c>
      <c r="B4" s="57" t="s">
        <v>110</v>
      </c>
      <c r="C4" s="63">
        <v>49014</v>
      </c>
      <c r="D4" s="57" t="s">
        <v>106</v>
      </c>
      <c r="E4" s="56" t="str">
        <f>B4&amp;C4&amp;D4</f>
        <v>enemy_habitat_S_49014.tmp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277</v>
      </c>
      <c r="B5" s="57" t="s">
        <v>112</v>
      </c>
      <c r="C5" s="63">
        <v>49014</v>
      </c>
      <c r="D5" s="57" t="s">
        <v>106</v>
      </c>
      <c r="E5" s="56" t="str">
        <f>B5&amp;C5&amp;D5</f>
        <v>enemy_skill_sets_49014.tmp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277</v>
      </c>
      <c r="B6" s="57" t="s">
        <v>114</v>
      </c>
      <c r="C6" s="63">
        <v>49014</v>
      </c>
      <c r="D6" s="57" t="s">
        <v>115</v>
      </c>
      <c r="E6" s="56" t="str">
        <f t="shared" ref="E6:E10" si="0">B6&amp;C6&amp;D6</f>
        <v>enemy_skills_tmp_49014.tmp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277</v>
      </c>
      <c r="B7" s="57" t="s">
        <v>116</v>
      </c>
      <c r="C7" s="63">
        <v>49014</v>
      </c>
      <c r="D7" s="57" t="s">
        <v>106</v>
      </c>
      <c r="E7" s="56" t="str">
        <f>B7&amp;C7&amp;D7</f>
        <v>enemy_skills_i18n_49014.tmp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277</v>
      </c>
      <c r="B8" s="57" t="s">
        <v>118</v>
      </c>
      <c r="C8" s="63">
        <v>49014</v>
      </c>
      <c r="D8" s="57" t="s">
        <v>119</v>
      </c>
      <c r="E8" s="56" t="str">
        <f t="shared" si="0"/>
        <v>enemy_skill_triggers_49014.tmp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277</v>
      </c>
      <c r="B9" s="68" t="s">
        <v>175</v>
      </c>
      <c r="C9" s="63">
        <v>49014</v>
      </c>
      <c r="D9" s="68" t="s">
        <v>169</v>
      </c>
      <c r="E9" s="69" t="str">
        <f t="shared" si="0"/>
        <v>stage_bug_bonuses_49014.tmp</v>
      </c>
      <c r="F9" s="68" t="s">
        <v>170</v>
      </c>
      <c r="G9" s="65" t="s">
        <v>149</v>
      </c>
      <c r="H9" s="65" t="s">
        <v>171</v>
      </c>
      <c r="I9" s="65" t="s">
        <v>172</v>
      </c>
      <c r="J9" s="67" t="s">
        <v>173</v>
      </c>
      <c r="K9" s="65" t="s">
        <v>174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277</v>
      </c>
      <c r="B10" s="68" t="s">
        <v>197</v>
      </c>
      <c r="C10" s="63">
        <v>49014</v>
      </c>
      <c r="D10" s="68" t="s">
        <v>178</v>
      </c>
      <c r="E10" s="69" t="str">
        <f t="shared" si="0"/>
        <v>stage_hints_data_c_49014.tmp</v>
      </c>
      <c r="F10" s="68" t="s">
        <v>205</v>
      </c>
      <c r="G10" s="74" t="s">
        <v>179</v>
      </c>
      <c r="H10" s="74" t="s">
        <v>171</v>
      </c>
      <c r="I10" s="75" t="s">
        <v>180</v>
      </c>
      <c r="J10" s="67" t="s">
        <v>181</v>
      </c>
      <c r="K10" s="67" t="s">
        <v>182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277</v>
      </c>
      <c r="B11" s="68" t="s">
        <v>198</v>
      </c>
      <c r="C11" s="63">
        <v>49014</v>
      </c>
      <c r="D11" s="68" t="s">
        <v>169</v>
      </c>
      <c r="E11" s="69" t="str">
        <f t="shared" ref="E11:E13" si="1">B11&amp;C11&amp;D11</f>
        <v>stage_hints_data_f_49014.tmp</v>
      </c>
      <c r="F11" s="68" t="s">
        <v>206</v>
      </c>
      <c r="G11" s="74" t="s">
        <v>179</v>
      </c>
      <c r="H11" s="74" t="s">
        <v>171</v>
      </c>
      <c r="I11" s="75" t="s">
        <v>180</v>
      </c>
      <c r="J11" s="67" t="s">
        <v>181</v>
      </c>
      <c r="K11" s="67" t="s">
        <v>182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277</v>
      </c>
      <c r="B12" s="68" t="s">
        <v>199</v>
      </c>
      <c r="C12" s="63">
        <v>49014</v>
      </c>
      <c r="D12" s="68" t="s">
        <v>169</v>
      </c>
      <c r="E12" s="69" t="str">
        <f t="shared" si="1"/>
        <v>stage_hints_i18n_49014.tmp</v>
      </c>
      <c r="F12" s="68" t="s">
        <v>207</v>
      </c>
      <c r="G12" s="75" t="s">
        <v>200</v>
      </c>
      <c r="H12" s="94" t="s">
        <v>201</v>
      </c>
      <c r="I12" s="74" t="s">
        <v>202</v>
      </c>
      <c r="J12" s="102" t="s">
        <v>203</v>
      </c>
      <c r="K12" s="67" t="s">
        <v>204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277</v>
      </c>
      <c r="B13" s="68" t="s">
        <v>248</v>
      </c>
      <c r="C13" s="63">
        <v>49014</v>
      </c>
      <c r="D13" s="68" t="s">
        <v>229</v>
      </c>
      <c r="E13" s="69" t="str">
        <f t="shared" si="1"/>
        <v>stage_bonuses_49014.tmp</v>
      </c>
      <c r="F13" s="68" t="s">
        <v>228</v>
      </c>
      <c r="G13" s="74" t="s">
        <v>230</v>
      </c>
      <c r="H13" s="74" t="s">
        <v>231</v>
      </c>
      <c r="I13" s="74" t="s">
        <v>232</v>
      </c>
      <c r="J13" s="74" t="s">
        <v>233</v>
      </c>
      <c r="K13" s="74" t="s">
        <v>234</v>
      </c>
      <c r="L13" s="74" t="s">
        <v>235</v>
      </c>
      <c r="M13" s="74" t="s">
        <v>236</v>
      </c>
      <c r="N13" s="74" t="s">
        <v>237</v>
      </c>
      <c r="O13" s="74" t="s">
        <v>238</v>
      </c>
      <c r="P13" s="74" t="s">
        <v>239</v>
      </c>
      <c r="Q13" s="74" t="s">
        <v>240</v>
      </c>
      <c r="R13" s="74" t="s">
        <v>241</v>
      </c>
      <c r="S13" s="74" t="s">
        <v>242</v>
      </c>
      <c r="T13" s="74" t="s">
        <v>243</v>
      </c>
      <c r="U13" s="74" t="s">
        <v>244</v>
      </c>
      <c r="V13" s="74" t="s">
        <v>245</v>
      </c>
      <c r="W13" s="74" t="s">
        <v>246</v>
      </c>
      <c r="X13" s="74" t="s">
        <v>247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5"/>
  <sheetViews>
    <sheetView showGridLines="0" workbookViewId="0">
      <pane ySplit="1" topLeftCell="A2" activePane="bottomLeft" state="frozen"/>
      <selection activeCell="V2" sqref="V2:X34"/>
      <selection pane="bottomLeft" activeCell="K10" sqref="K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49014_2-1</v>
      </c>
      <c r="B2" s="16" t="str">
        <f>IF(COUNTIF(enemy_habitats!$H:$H,A2),"OK","NG")</f>
        <v>OK</v>
      </c>
      <c r="C2" s="7">
        <v>49014</v>
      </c>
      <c r="D2" s="11" t="str">
        <f ca="1">VLOOKUP($C2,OFFSET([2]quests!$A$1,0,0,COUNTA([2]quests!$A:$A),MATCH(D$1,[2]quests!$1:$1,0)-MATCH($C$1,[2]quests!$1:$1,0)+1),MATCH(D$1,[2]quests!$1:$1,0)-MATCH($C$1,[2]quests!$1:$1,0)+1,FALSE)</f>
        <v>ネコムート襲来！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コラボ降臨10</v>
      </c>
      <c r="F2" s="21">
        <v>2</v>
      </c>
      <c r="G2" s="23" t="str">
        <f t="shared" ref="G2:G7" si="1">C2&amp;"_"&amp;F2</f>
        <v>49014_2</v>
      </c>
      <c r="H2" s="15" t="str">
        <f ca="1">VLOOKUP($G2,OFFSET([2]stages!$A$1,0,0,COUNTA([2]stages!$A:$A),MATCH(H$1,[2]stages!$2:$2,0)-MATCH($G$1,[2]stages!$2:$2,0)+1),MATCH(H$1,[2]stages!$2:$2,0)-MATCH($G$1,[2]stages!$2:$2,0)+1,FALSE)</f>
        <v>【超激ムズ】ネコムート襲来！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49014_2-2</v>
      </c>
      <c r="B3" s="16" t="str">
        <f>IF(COUNTIF(enemy_habitats!$H:$H,A3),"OK","NG")</f>
        <v>OK</v>
      </c>
      <c r="C3" s="7">
        <v>49014</v>
      </c>
      <c r="D3" s="11" t="str">
        <f ca="1">VLOOKUP($C3,OFFSET([2]quests!$A$1,0,0,COUNTA([2]quests!$A:$A),MATCH(D$1,[2]quests!$1:$1,0)-MATCH($C$1,[2]quests!$1:$1,0)+1),MATCH(D$1,[2]quests!$1:$1,0)-MATCH($C$1,[2]quests!$1:$1,0)+1,FALSE)</f>
        <v>ネコムート襲来！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コラボ降臨10</v>
      </c>
      <c r="F3" s="21">
        <v>2</v>
      </c>
      <c r="G3" s="23" t="str">
        <f t="shared" si="1"/>
        <v>49014_2</v>
      </c>
      <c r="H3" s="15" t="str">
        <f ca="1">VLOOKUP($G3,OFFSET([2]stages!$A$1,0,0,COUNTA([2]stages!$A:$A),MATCH(H$1,[2]stages!$2:$2,0)-MATCH($G$1,[2]stages!$2:$2,0)+1),MATCH(H$1,[2]stages!$2:$2,0)-MATCH($G$1,[2]stages!$2:$2,0)+1,FALSE)</f>
        <v>【超激ムズ】ネコムート襲来！</v>
      </c>
      <c r="I3" s="21">
        <v>2</v>
      </c>
      <c r="J3" s="12">
        <v>50</v>
      </c>
      <c r="K3" s="12">
        <v>50</v>
      </c>
    </row>
    <row r="4" spans="1:11" ht="21" customHeight="1" x14ac:dyDescent="0.15">
      <c r="A4" s="16" t="str">
        <f t="shared" si="0"/>
        <v>49014_2-3</v>
      </c>
      <c r="B4" s="16" t="str">
        <f>IF(COUNTIF(enemy_habitats!$H:$H,A4),"OK","NG")</f>
        <v>OK</v>
      </c>
      <c r="C4" s="7">
        <v>49014</v>
      </c>
      <c r="D4" s="11" t="str">
        <f ca="1">VLOOKUP($C4,OFFSET([2]quests!$A$1,0,0,COUNTA([2]quests!$A:$A),MATCH(D$1,[2]quests!$1:$1,0)-MATCH($C$1,[2]quests!$1:$1,0)+1),MATCH(D$1,[2]quests!$1:$1,0)-MATCH($C$1,[2]quests!$1:$1,0)+1,FALSE)</f>
        <v>ネコムート襲来！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コラボ降臨10</v>
      </c>
      <c r="F4" s="21">
        <v>2</v>
      </c>
      <c r="G4" s="23" t="str">
        <f t="shared" si="1"/>
        <v>49014_2</v>
      </c>
      <c r="H4" s="15" t="str">
        <f ca="1">VLOOKUP($G4,OFFSET([2]stages!$A$1,0,0,COUNTA([2]stages!$A:$A),MATCH(H$1,[2]stages!$2:$2,0)-MATCH($G$1,[2]stages!$2:$2,0)+1),MATCH(H$1,[2]stages!$2:$2,0)-MATCH($G$1,[2]stages!$2:$2,0)+1,FALSE)</f>
        <v>【超激ムズ】ネコムート襲来！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49014_2-4</v>
      </c>
      <c r="B5" s="16" t="str">
        <f>IF(COUNTIF(enemy_habitats!$H:$H,A5),"OK","NG")</f>
        <v>OK</v>
      </c>
      <c r="C5" s="7">
        <v>49014</v>
      </c>
      <c r="D5" s="11" t="str">
        <f ca="1">VLOOKUP($C5,OFFSET([2]quests!$A$1,0,0,COUNTA([2]quests!$A:$A),MATCH(D$1,[2]quests!$1:$1,0)-MATCH($C$1,[2]quests!$1:$1,0)+1),MATCH(D$1,[2]quests!$1:$1,0)-MATCH($C$1,[2]quests!$1:$1,0)+1,FALSE)</f>
        <v>ネコムート襲来！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コラボ降臨10</v>
      </c>
      <c r="F5" s="21">
        <v>2</v>
      </c>
      <c r="G5" s="23" t="str">
        <f t="shared" si="1"/>
        <v>49014_2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【超激ムズ】ネコムート襲来！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49014_2-5</v>
      </c>
      <c r="B6" s="16" t="str">
        <f>IF(COUNTIF(enemy_habitats!$H:$H,A6),"OK","NG")</f>
        <v>OK</v>
      </c>
      <c r="C6" s="7">
        <v>49014</v>
      </c>
      <c r="D6" s="11" t="str">
        <f ca="1">VLOOKUP($C6,OFFSET([2]quests!$A$1,0,0,COUNTA([2]quests!$A:$A),MATCH(D$1,[2]quests!$1:$1,0)-MATCH($C$1,[2]quests!$1:$1,0)+1),MATCH(D$1,[2]quests!$1:$1,0)-MATCH($C$1,[2]quests!$1:$1,0)+1,FALSE)</f>
        <v>ネコムート襲来！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コラボ降臨10</v>
      </c>
      <c r="F6" s="21">
        <v>2</v>
      </c>
      <c r="G6" s="23" t="str">
        <f t="shared" si="1"/>
        <v>49014_2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【超激ムズ】ネコムート襲来！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85" t="str">
        <f t="shared" si="0"/>
        <v>49014_2-6</v>
      </c>
      <c r="B7" s="185" t="str">
        <f>IF(COUNTIF(enemy_habitats!$H:$H,A7),"OK","NG")</f>
        <v>OK</v>
      </c>
      <c r="C7" s="186">
        <v>49014</v>
      </c>
      <c r="D7" s="18" t="str">
        <f ca="1">VLOOKUP($C7,OFFSET([2]quests!$A$1,0,0,COUNTA([2]quests!$A:$A),MATCH(D$1,[2]quests!$1:$1,0)-MATCH($C$1,[2]quests!$1:$1,0)+1),MATCH(D$1,[2]quests!$1:$1,0)-MATCH($C$1,[2]quests!$1:$1,0)+1,FALSE)</f>
        <v>ネコムート襲来！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コラボ降臨10</v>
      </c>
      <c r="F7" s="187">
        <v>2</v>
      </c>
      <c r="G7" s="23" t="str">
        <f t="shared" si="1"/>
        <v>49014_2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【超激ムズ】ネコムート襲来！</v>
      </c>
      <c r="I7" s="187">
        <v>6</v>
      </c>
      <c r="J7" s="38">
        <v>60</v>
      </c>
      <c r="K7" s="38">
        <v>60</v>
      </c>
    </row>
    <row r="8" spans="1:11" ht="21" customHeight="1" thickBot="1" x14ac:dyDescent="0.2">
      <c r="A8" s="162" t="str">
        <f t="shared" ref="A8:A14" si="2">G8&amp;"-"&amp;I8</f>
        <v>49014_2-7</v>
      </c>
      <c r="B8" s="162" t="str">
        <f>IF(COUNTIF(enemy_habitats!$H:$H,A8),"OK","NG")</f>
        <v>OK</v>
      </c>
      <c r="C8" s="176">
        <v>49014</v>
      </c>
      <c r="D8" s="188" t="str">
        <f ca="1">VLOOKUP($C8,OFFSET([2]quests!$A$1,0,0,COUNTA([2]quests!$A:$A),MATCH(D$1,[2]quests!$1:$1,0)-MATCH($C$1,[2]quests!$1:$1,0)+1),MATCH(D$1,[2]quests!$1:$1,0)-MATCH($C$1,[2]quests!$1:$1,0)+1,FALSE)</f>
        <v>ネコムート襲来！</v>
      </c>
      <c r="E8" s="188" t="str">
        <f ca="1">VLOOKUP($C8,OFFSET([2]quests!$A$1,0,0,COUNTA([2]quests!$A:$A),MATCH(E$1,[2]quests!$1:$1,0)-MATCH($C$1,[2]quests!$1:$1,0)+1),MATCH(E$1,[2]quests!$1:$1,0)-MATCH($C$1,[2]quests!$1:$1,0)+1,FALSE)</f>
        <v>コラボ降臨10</v>
      </c>
      <c r="F8" s="164">
        <v>2</v>
      </c>
      <c r="G8" s="189" t="str">
        <f t="shared" ref="G8:G14" si="3">C8&amp;"_"&amp;F8</f>
        <v>49014_2</v>
      </c>
      <c r="H8" s="165" t="str">
        <f ca="1">VLOOKUP($G8,OFFSET([2]stages!$A$1,0,0,COUNTA([2]stages!$A:$A),MATCH(H$1,[2]stages!$2:$2,0)-MATCH($G$1,[2]stages!$2:$2,0)+1),MATCH(H$1,[2]stages!$2:$2,0)-MATCH($G$1,[2]stages!$2:$2,0)+1,FALSE)</f>
        <v>【超激ムズ】ネコムート襲来！</v>
      </c>
      <c r="I8" s="164">
        <v>7</v>
      </c>
      <c r="J8" s="167">
        <v>60</v>
      </c>
      <c r="K8" s="167">
        <v>60</v>
      </c>
    </row>
    <row r="9" spans="1:11" ht="21" customHeight="1" x14ac:dyDescent="0.15">
      <c r="A9" s="16" t="str">
        <f t="shared" si="2"/>
        <v>49014_1-1</v>
      </c>
      <c r="B9" s="16" t="str">
        <f>IF(COUNTIF(enemy_habitats!$H:$H,A9),"OK","NG")</f>
        <v>OK</v>
      </c>
      <c r="C9" s="179">
        <v>49014</v>
      </c>
      <c r="D9" s="180" t="str">
        <f ca="1">VLOOKUP($C9,OFFSET([2]quests!$A$1,0,0,COUNTA([2]quests!$A:$A),MATCH(D$1,[2]quests!$1:$1,0)-MATCH($C$1,[2]quests!$1:$1,0)+1),MATCH(D$1,[2]quests!$1:$1,0)-MATCH($C$1,[2]quests!$1:$1,0)+1,FALSE)</f>
        <v>ネコムート襲来！</v>
      </c>
      <c r="E9" s="180" t="str">
        <f ca="1">VLOOKUP($C9,OFFSET([2]quests!$A$1,0,0,COUNTA([2]quests!$A:$A),MATCH(E$1,[2]quests!$1:$1,0)-MATCH($C$1,[2]quests!$1:$1,0)+1),MATCH(E$1,[2]quests!$1:$1,0)-MATCH($C$1,[2]quests!$1:$1,0)+1,FALSE)</f>
        <v>コラボ降臨10</v>
      </c>
      <c r="F9" s="181">
        <v>1</v>
      </c>
      <c r="G9" s="182" t="str">
        <f t="shared" si="3"/>
        <v>49014_1</v>
      </c>
      <c r="H9" s="183" t="str">
        <f ca="1">VLOOKUP($G9,OFFSET([2]stages!$A$1,0,0,COUNTA([2]stages!$A:$A),MATCH(H$1,[2]stages!$2:$2,0)-MATCH($G$1,[2]stages!$2:$2,0)+1),MATCH(H$1,[2]stages!$2:$2,0)-MATCH($G$1,[2]stages!$2:$2,0)+1,FALSE)</f>
        <v>【激ムズ】ネコムート襲来！</v>
      </c>
      <c r="I9" s="181">
        <v>1</v>
      </c>
      <c r="J9" s="184">
        <v>45</v>
      </c>
      <c r="K9" s="184">
        <v>45</v>
      </c>
    </row>
    <row r="10" spans="1:11" ht="21" customHeight="1" x14ac:dyDescent="0.15">
      <c r="A10" s="16" t="str">
        <f t="shared" si="2"/>
        <v>49014_1-2</v>
      </c>
      <c r="B10" s="16" t="str">
        <f>IF(COUNTIF(enemy_habitats!$H:$H,A10),"OK","NG")</f>
        <v>OK</v>
      </c>
      <c r="C10" s="7">
        <v>49014</v>
      </c>
      <c r="D10" s="11" t="str">
        <f ca="1">VLOOKUP($C10,OFFSET([2]quests!$A$1,0,0,COUNTA([2]quests!$A:$A),MATCH(D$1,[2]quests!$1:$1,0)-MATCH($C$1,[2]quests!$1:$1,0)+1),MATCH(D$1,[2]quests!$1:$1,0)-MATCH($C$1,[2]quests!$1:$1,0)+1,FALSE)</f>
        <v>ネコムート襲来！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コラボ降臨10</v>
      </c>
      <c r="F10" s="21">
        <v>1</v>
      </c>
      <c r="G10" s="23" t="str">
        <f t="shared" si="3"/>
        <v>49014_1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【激ムズ】ネコムート襲来！</v>
      </c>
      <c r="I10" s="21">
        <v>2</v>
      </c>
      <c r="J10" s="12">
        <v>50</v>
      </c>
      <c r="K10" s="12">
        <v>50</v>
      </c>
    </row>
    <row r="11" spans="1:11" ht="21" customHeight="1" x14ac:dyDescent="0.15">
      <c r="A11" s="16" t="str">
        <f t="shared" si="2"/>
        <v>49014_1-3</v>
      </c>
      <c r="B11" s="16" t="str">
        <f>IF(COUNTIF(enemy_habitats!$H:$H,A11),"OK","NG")</f>
        <v>OK</v>
      </c>
      <c r="C11" s="7">
        <v>49014</v>
      </c>
      <c r="D11" s="11" t="str">
        <f ca="1">VLOOKUP($C11,OFFSET([2]quests!$A$1,0,0,COUNTA([2]quests!$A:$A),MATCH(D$1,[2]quests!$1:$1,0)-MATCH($C$1,[2]quests!$1:$1,0)+1),MATCH(D$1,[2]quests!$1:$1,0)-MATCH($C$1,[2]quests!$1:$1,0)+1,FALSE)</f>
        <v>ネコムート襲来！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コラボ降臨10</v>
      </c>
      <c r="F11" s="21">
        <v>1</v>
      </c>
      <c r="G11" s="23" t="str">
        <f t="shared" si="3"/>
        <v>49014_1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【激ムズ】ネコムート襲来！</v>
      </c>
      <c r="I11" s="21">
        <v>3</v>
      </c>
      <c r="J11" s="12">
        <v>60</v>
      </c>
      <c r="K11" s="12">
        <v>60</v>
      </c>
    </row>
    <row r="12" spans="1:11" ht="21" customHeight="1" x14ac:dyDescent="0.15">
      <c r="A12" s="16" t="str">
        <f t="shared" si="2"/>
        <v>49014_1-4</v>
      </c>
      <c r="B12" s="16" t="str">
        <f>IF(COUNTIF(enemy_habitats!$H:$H,A12),"OK","NG")</f>
        <v>OK</v>
      </c>
      <c r="C12" s="7">
        <v>49014</v>
      </c>
      <c r="D12" s="11" t="str">
        <f ca="1">VLOOKUP($C12,OFFSET([2]quests!$A$1,0,0,COUNTA([2]quests!$A:$A),MATCH(D$1,[2]quests!$1:$1,0)-MATCH($C$1,[2]quests!$1:$1,0)+1),MATCH(D$1,[2]quests!$1:$1,0)-MATCH($C$1,[2]quests!$1:$1,0)+1,FALSE)</f>
        <v>ネコムート襲来！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コラボ降臨10</v>
      </c>
      <c r="F12" s="21">
        <v>1</v>
      </c>
      <c r="G12" s="23" t="str">
        <f t="shared" si="3"/>
        <v>49014_1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【激ムズ】ネコムート襲来！</v>
      </c>
      <c r="I12" s="21">
        <v>4</v>
      </c>
      <c r="J12" s="12">
        <v>60</v>
      </c>
      <c r="K12" s="12">
        <v>60</v>
      </c>
    </row>
    <row r="13" spans="1:11" ht="21" customHeight="1" x14ac:dyDescent="0.15">
      <c r="A13" s="16" t="str">
        <f t="shared" si="2"/>
        <v>49014_1-5</v>
      </c>
      <c r="B13" s="16" t="str">
        <f>IF(COUNTIF(enemy_habitats!$H:$H,A13),"OK","NG")</f>
        <v>OK</v>
      </c>
      <c r="C13" s="7">
        <v>49014</v>
      </c>
      <c r="D13" s="11" t="str">
        <f ca="1">VLOOKUP($C13,OFFSET([2]quests!$A$1,0,0,COUNTA([2]quests!$A:$A),MATCH(D$1,[2]quests!$1:$1,0)-MATCH($C$1,[2]quests!$1:$1,0)+1),MATCH(D$1,[2]quests!$1:$1,0)-MATCH($C$1,[2]quests!$1:$1,0)+1,FALSE)</f>
        <v>ネコムート襲来！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コラボ降臨10</v>
      </c>
      <c r="F13" s="21">
        <v>1</v>
      </c>
      <c r="G13" s="23" t="str">
        <f t="shared" si="3"/>
        <v>49014_1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【激ムズ】ネコムート襲来！</v>
      </c>
      <c r="I13" s="21">
        <v>5</v>
      </c>
      <c r="J13" s="12">
        <v>60</v>
      </c>
      <c r="K13" s="12">
        <v>60</v>
      </c>
    </row>
    <row r="14" spans="1:11" ht="21" customHeight="1" x14ac:dyDescent="0.15">
      <c r="A14" s="16" t="str">
        <f t="shared" si="2"/>
        <v>49014_1-6</v>
      </c>
      <c r="B14" s="16" t="str">
        <f>IF(COUNTIF(enemy_habitats!$H:$H,A14),"OK","NG")</f>
        <v>OK</v>
      </c>
      <c r="C14" s="7">
        <v>49014</v>
      </c>
      <c r="D14" s="11" t="str">
        <f ca="1">VLOOKUP($C14,OFFSET([2]quests!$A$1,0,0,COUNTA([2]quests!$A:$A),MATCH(D$1,[2]quests!$1:$1,0)-MATCH($C$1,[2]quests!$1:$1,0)+1),MATCH(D$1,[2]quests!$1:$1,0)-MATCH($C$1,[2]quests!$1:$1,0)+1,FALSE)</f>
        <v>ネコムート襲来！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コラボ降臨10</v>
      </c>
      <c r="F14" s="21">
        <v>1</v>
      </c>
      <c r="G14" s="23" t="str">
        <f t="shared" si="3"/>
        <v>49014_1</v>
      </c>
      <c r="H14" s="15" t="str">
        <f ca="1">VLOOKUP($G14,OFFSET([2]stages!$A$1,0,0,COUNTA([2]stages!$A:$A),MATCH(H$1,[2]stages!$2:$2,0)-MATCH($G$1,[2]stages!$2:$2,0)+1),MATCH(H$1,[2]stages!$2:$2,0)-MATCH($G$1,[2]stages!$2:$2,0)+1,FALSE)</f>
        <v>【激ムズ】ネコムート襲来！</v>
      </c>
      <c r="I14" s="21">
        <v>6</v>
      </c>
      <c r="J14" s="12">
        <v>60</v>
      </c>
      <c r="K14" s="12">
        <v>60</v>
      </c>
    </row>
    <row r="15" spans="1:11" ht="21" customHeight="1" thickBot="1" x14ac:dyDescent="0.2">
      <c r="A15" s="162" t="str">
        <f t="shared" ref="A15" si="4">G15&amp;"-"&amp;I15</f>
        <v>49014_1-7</v>
      </c>
      <c r="B15" s="162" t="str">
        <f>IF(COUNTIF(enemy_habitats!$H:$H,A15),"OK","NG")</f>
        <v>OK</v>
      </c>
      <c r="C15" s="176">
        <v>49014</v>
      </c>
      <c r="D15" s="188" t="str">
        <f ca="1">VLOOKUP($C15,OFFSET([2]quests!$A$1,0,0,COUNTA([2]quests!$A:$A),MATCH(D$1,[2]quests!$1:$1,0)-MATCH($C$1,[2]quests!$1:$1,0)+1),MATCH(D$1,[2]quests!$1:$1,0)-MATCH($C$1,[2]quests!$1:$1,0)+1,FALSE)</f>
        <v>ネコムート襲来！</v>
      </c>
      <c r="E15" s="188" t="str">
        <f ca="1">VLOOKUP($C15,OFFSET([2]quests!$A$1,0,0,COUNTA([2]quests!$A:$A),MATCH(E$1,[2]quests!$1:$1,0)-MATCH($C$1,[2]quests!$1:$1,0)+1),MATCH(E$1,[2]quests!$1:$1,0)-MATCH($C$1,[2]quests!$1:$1,0)+1,FALSE)</f>
        <v>コラボ降臨10</v>
      </c>
      <c r="F15" s="164">
        <v>1</v>
      </c>
      <c r="G15" s="189" t="str">
        <f t="shared" ref="G15" si="5">C15&amp;"_"&amp;F15</f>
        <v>49014_1</v>
      </c>
      <c r="H15" s="165" t="str">
        <f ca="1">VLOOKUP($G15,OFFSET([2]stages!$A$1,0,0,COUNTA([2]stages!$A:$A),MATCH(H$1,[2]stages!$2:$2,0)-MATCH($G$1,[2]stages!$2:$2,0)+1),MATCH(H$1,[2]stages!$2:$2,0)-MATCH($G$1,[2]stages!$2:$2,0)+1,FALSE)</f>
        <v>【激ムズ】ネコムート襲来！</v>
      </c>
      <c r="I15" s="164">
        <v>7</v>
      </c>
      <c r="J15" s="167">
        <v>60</v>
      </c>
      <c r="K15" s="16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3"/>
  <sheetViews>
    <sheetView showGridLines="0" workbookViewId="0">
      <pane xSplit="17" ySplit="1" topLeftCell="AH2" activePane="bottomRight" state="frozen"/>
      <selection pane="topRight" activeCell="N1" sqref="N1"/>
      <selection pane="bottomLeft" activeCell="A2" sqref="A2"/>
      <selection pane="bottomRight" activeCell="AO23" sqref="AO2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249</v>
      </c>
      <c r="U1" s="26" t="s">
        <v>50</v>
      </c>
      <c r="V1" s="103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 t="shared" ref="A2:A11" si="0">B2&amp;"_"&amp;C2&amp;"-"&amp;G2&amp;"/"&amp;L2&amp;"&lt;lv"&amp;R2&amp;"&gt;s"&amp;AC2</f>
        <v>49014_2-1/1504&lt;lv80&gt;s2</v>
      </c>
      <c r="B2" s="22">
        <v>49014</v>
      </c>
      <c r="C2" s="21">
        <v>2</v>
      </c>
      <c r="D2" s="2" t="str">
        <f t="shared" ref="D2:D11" si="1">B2&amp;"_"&amp;C2</f>
        <v>49014_2</v>
      </c>
      <c r="E2" s="4" t="str">
        <f ca="1">VLOOKUP($B2,OFFSET([2]quests!$A$1,0,0,COUNTA([2]quests!$A:$A),MATCH(E$1,[2]quests!$1:$1,0)-MATCH($B$1,[2]quests!$1:$1,0)+1),MATCH(E$1,[2]quests!$1:$1,0)-MATCH($B$1,[2]quests!$1:$1,0)+1,FALSE)</f>
        <v>ネコムート襲来！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【超激ムズ】ネコムート襲来！</v>
      </c>
      <c r="G2" s="21">
        <v>1</v>
      </c>
      <c r="H2" s="15" t="str">
        <f t="shared" ref="H2:H11" si="2">B2&amp;"_"&amp;C2&amp;"-"&amp;G2</f>
        <v>49014_2-1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88</v>
      </c>
      <c r="L2" s="20">
        <v>1504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ネコ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0.2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25">
        <v>0.3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62">
        <v>49014001</v>
      </c>
      <c r="Z2" s="6">
        <v>1</v>
      </c>
      <c r="AA2" s="6">
        <v>100</v>
      </c>
      <c r="AB2" s="6">
        <v>0</v>
      </c>
      <c r="AC2" s="17">
        <v>2</v>
      </c>
      <c r="AD2" s="24">
        <f t="shared" ref="AD2:AD11" si="3">L2</f>
        <v>1504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11" ca="1" si="4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49014_2-1/1506&lt;lv80&gt;s2</v>
      </c>
      <c r="B3" s="22">
        <v>49014</v>
      </c>
      <c r="C3" s="21">
        <v>2</v>
      </c>
      <c r="D3" s="2" t="str">
        <f t="shared" si="1"/>
        <v>49014_2</v>
      </c>
      <c r="E3" s="4" t="str">
        <f ca="1">VLOOKUP($B3,OFFSET([2]quests!$A$1,0,0,COUNTA([2]quests!$A:$A),MATCH(E$1,[2]quests!$1:$1,0)-MATCH($B$1,[2]quests!$1:$1,0)+1),MATCH(E$1,[2]quests!$1:$1,0)-MATCH($B$1,[2]quests!$1:$1,0)+1,FALSE)</f>
        <v>ネコムート襲来！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【超激ムズ】ネコムート襲来！</v>
      </c>
      <c r="G3" s="21">
        <v>1</v>
      </c>
      <c r="H3" s="15" t="str">
        <f t="shared" si="2"/>
        <v>49014_2-1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88</v>
      </c>
      <c r="L3" s="20">
        <v>1506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バトルネコ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0.3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25">
        <v>0.3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2ターン赤パネル無効</v>
      </c>
      <c r="Y3" s="62">
        <v>49014002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1506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49014_2-1/1505&lt;lv80&gt;s2</v>
      </c>
      <c r="B4" s="22">
        <v>49014</v>
      </c>
      <c r="C4" s="21">
        <v>2</v>
      </c>
      <c r="D4" s="2" t="str">
        <f t="shared" si="1"/>
        <v>49014_2</v>
      </c>
      <c r="E4" s="4" t="str">
        <f ca="1">VLOOKUP($B4,OFFSET([2]quests!$A$1,0,0,COUNTA([2]quests!$A:$A),MATCH(E$1,[2]quests!$1:$1,0)-MATCH($B$1,[2]quests!$1:$1,0)+1),MATCH(E$1,[2]quests!$1:$1,0)-MATCH($B$1,[2]quests!$1:$1,0)+1,FALSE)</f>
        <v>ネコムート襲来！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【超激ムズ】ネコムート襲来！</v>
      </c>
      <c r="G4" s="21">
        <v>1</v>
      </c>
      <c r="H4" s="15" t="str">
        <f t="shared" si="2"/>
        <v>49014_2-1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88</v>
      </c>
      <c r="L4" s="20">
        <v>1505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タンクネコ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0.2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25">
        <v>0.2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1ターン自身の防御力UP</v>
      </c>
      <c r="Y4" s="62">
        <v>49014003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1505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4">
        <f t="shared" ca="1" si="4"/>
        <v>1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49014_2-2/1507&lt;lv80&gt;s3</v>
      </c>
      <c r="B5" s="22">
        <v>49014</v>
      </c>
      <c r="C5" s="21">
        <v>2</v>
      </c>
      <c r="D5" s="2" t="str">
        <f t="shared" si="1"/>
        <v>49014_2</v>
      </c>
      <c r="E5" s="4" t="str">
        <f ca="1">VLOOKUP($B5,OFFSET([2]quests!$A$1,0,0,COUNTA([2]quests!$A:$A),MATCH(E$1,[2]quests!$1:$1,0)-MATCH($B$1,[2]quests!$1:$1,0)+1),MATCH(E$1,[2]quests!$1:$1,0)-MATCH($B$1,[2]quests!$1:$1,0)+1,FALSE)</f>
        <v>ネコムート襲来！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【超激ムズ】ネコムート襲来！</v>
      </c>
      <c r="G5" s="21">
        <v>2</v>
      </c>
      <c r="H5" s="15" t="str">
        <f t="shared" si="2"/>
        <v>49014_2-2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 t="s">
        <v>88</v>
      </c>
      <c r="L5" s="20">
        <v>1507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キモネコ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25</v>
      </c>
      <c r="R5" s="5">
        <v>80</v>
      </c>
      <c r="S5" s="25">
        <v>0.2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25">
        <v>0.7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種族Unknownのユニットに大ダメージ</v>
      </c>
      <c r="Y5" s="62">
        <v>49014004</v>
      </c>
      <c r="Z5" s="6">
        <v>1</v>
      </c>
      <c r="AA5" s="6">
        <v>100</v>
      </c>
      <c r="AB5" s="6">
        <v>0</v>
      </c>
      <c r="AC5" s="17">
        <v>3</v>
      </c>
      <c r="AD5" s="24">
        <f t="shared" si="3"/>
        <v>1507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ref="A6" si="5">B6&amp;"_"&amp;C6&amp;"-"&amp;G6&amp;"/"&amp;L6&amp;"&lt;lv"&amp;R6&amp;"&gt;s"&amp;AC6</f>
        <v>49014_2-2/1507&lt;lv79&gt;s3</v>
      </c>
      <c r="B6" s="22">
        <v>49014</v>
      </c>
      <c r="C6" s="21">
        <v>2</v>
      </c>
      <c r="D6" s="2" t="str">
        <f t="shared" ref="D6" si="6">B6&amp;"_"&amp;C6</f>
        <v>49014_2</v>
      </c>
      <c r="E6" s="4" t="str">
        <f ca="1">VLOOKUP($B6,OFFSET([2]quests!$A$1,0,0,COUNTA([2]quests!$A:$A),MATCH(E$1,[2]quests!$1:$1,0)-MATCH($B$1,[2]quests!$1:$1,0)+1),MATCH(E$1,[2]quests!$1:$1,0)-MATCH($B$1,[2]quests!$1:$1,0)+1,FALSE)</f>
        <v>ネコムート襲来！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【超激ムズ】ネコムート襲来！</v>
      </c>
      <c r="G6" s="21">
        <v>2</v>
      </c>
      <c r="H6" s="15" t="str">
        <f t="shared" ref="H6" si="7">B6&amp;"_"&amp;C6&amp;"-"&amp;G6</f>
        <v>49014_2-2</v>
      </c>
      <c r="I6" s="4">
        <f ca="1">VLOOKUP($H6,OFFSET(floors!$A$1,0,0,COUNTA(floors!$A:$A),MATCH(I$1,floors!$1:$1,0)-MATCH($H$1,floors!$1:$1,0)+1),MATCH(I$1,floors!$1:$1,0)-MATCH($H$1,floors!$1:$1,0)+1,FALSE)</f>
        <v>50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8" t="s">
        <v>88</v>
      </c>
      <c r="L6" s="20">
        <v>1507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キモネコ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25</v>
      </c>
      <c r="R6" s="5">
        <v>79</v>
      </c>
      <c r="S6" s="25">
        <v>0.2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25">
        <v>0.7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種族Unknownのユニットに大ダメージ</v>
      </c>
      <c r="Y6" s="62">
        <v>49014004</v>
      </c>
      <c r="Z6" s="6">
        <v>1</v>
      </c>
      <c r="AA6" s="6">
        <v>100</v>
      </c>
      <c r="AB6" s="6">
        <v>0</v>
      </c>
      <c r="AC6" s="17">
        <v>3</v>
      </c>
      <c r="AD6" s="24">
        <f t="shared" ref="AD6" si="8">L6</f>
        <v>1507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4">
        <f t="shared" ref="AI6" ca="1" si="9">AF6</f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49014_2-3/1511&lt;lv80&gt;s2</v>
      </c>
      <c r="B7" s="22">
        <v>49014</v>
      </c>
      <c r="C7" s="21">
        <v>2</v>
      </c>
      <c r="D7" s="2" t="str">
        <f t="shared" si="1"/>
        <v>49014_2</v>
      </c>
      <c r="E7" s="4" t="str">
        <f ca="1">VLOOKUP($B7,OFFSET([2]quests!$A$1,0,0,COUNTA([2]quests!$A:$A),MATCH(E$1,[2]quests!$1:$1,0)-MATCH($B$1,[2]quests!$1:$1,0)+1),MATCH(E$1,[2]quests!$1:$1,0)-MATCH($B$1,[2]quests!$1:$1,0)+1,FALSE)</f>
        <v>ネコムート襲来！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【超激ムズ】ネコムート襲来！</v>
      </c>
      <c r="G7" s="21">
        <v>3</v>
      </c>
      <c r="H7" s="15" t="str">
        <f t="shared" si="2"/>
        <v>49014_2-3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88</v>
      </c>
      <c r="L7" s="20">
        <v>1511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ネコヴァルキリー･真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1.8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5">
        <v>0.6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Cパネルプロテクト(最大5個)</v>
      </c>
      <c r="Y7" s="62">
        <v>49014005</v>
      </c>
      <c r="Z7" s="6">
        <v>1</v>
      </c>
      <c r="AA7" s="6">
        <v>100</v>
      </c>
      <c r="AB7" s="6">
        <v>0</v>
      </c>
      <c r="AC7" s="17">
        <v>2</v>
      </c>
      <c r="AD7" s="24">
        <f t="shared" si="3"/>
        <v>1511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ネコヴァルキリー･真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49014_2-4/1508&lt;lv80&gt;s2</v>
      </c>
      <c r="B8" s="22">
        <v>49014</v>
      </c>
      <c r="C8" s="21">
        <v>2</v>
      </c>
      <c r="D8" s="2" t="str">
        <f t="shared" si="1"/>
        <v>49014_2</v>
      </c>
      <c r="E8" s="4" t="str">
        <f ca="1">VLOOKUP($B8,OFFSET([2]quests!$A$1,0,0,COUNTA([2]quests!$A:$A),MATCH(E$1,[2]quests!$1:$1,0)-MATCH($B$1,[2]quests!$1:$1,0)+1),MATCH(E$1,[2]quests!$1:$1,0)-MATCH($B$1,[2]quests!$1:$1,0)+1,FALSE)</f>
        <v>ネコムート襲来！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【超激ムズ】ネコムート襲来！</v>
      </c>
      <c r="G8" s="21">
        <v>4</v>
      </c>
      <c r="H8" s="15" t="str">
        <f t="shared" si="2"/>
        <v>49014_2-4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88</v>
      </c>
      <c r="L8" s="20">
        <v>1508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ネコノトリ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5">
        <v>0.2</v>
      </c>
      <c r="T8" s="104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5">
        <v>0.4</v>
      </c>
      <c r="V8" s="104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3ターン全ユニットの攻撃力30%DOWN</v>
      </c>
      <c r="Y8" s="62">
        <v>49014006</v>
      </c>
      <c r="Z8" s="6">
        <v>1</v>
      </c>
      <c r="AA8" s="6">
        <v>100</v>
      </c>
      <c r="AB8" s="6">
        <v>0</v>
      </c>
      <c r="AC8" s="17">
        <v>2</v>
      </c>
      <c r="AD8" s="24">
        <f t="shared" si="3"/>
        <v>1508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ref="A9" si="10">B9&amp;"_"&amp;C9&amp;"-"&amp;G9&amp;"/"&amp;L9&amp;"&lt;lv"&amp;R9&amp;"&gt;s"&amp;AC9</f>
        <v>49014_2-4/1508&lt;lv79&gt;s2</v>
      </c>
      <c r="B9" s="22">
        <v>49014</v>
      </c>
      <c r="C9" s="21">
        <v>2</v>
      </c>
      <c r="D9" s="2" t="str">
        <f t="shared" ref="D9" si="11">B9&amp;"_"&amp;C9</f>
        <v>49014_2</v>
      </c>
      <c r="E9" s="4" t="str">
        <f ca="1">VLOOKUP($B9,OFFSET([2]quests!$A$1,0,0,COUNTA([2]quests!$A:$A),MATCH(E$1,[2]quests!$1:$1,0)-MATCH($B$1,[2]quests!$1:$1,0)+1),MATCH(E$1,[2]quests!$1:$1,0)-MATCH($B$1,[2]quests!$1:$1,0)+1,FALSE)</f>
        <v>ネコムート襲来！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【超激ムズ】ネコムート襲来！</v>
      </c>
      <c r="G9" s="21">
        <v>4</v>
      </c>
      <c r="H9" s="15" t="str">
        <f t="shared" ref="H9" si="12">B9&amp;"_"&amp;C9&amp;"-"&amp;G9</f>
        <v>49014_2-4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88</v>
      </c>
      <c r="L9" s="20">
        <v>1508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ネコノトリ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79</v>
      </c>
      <c r="S9" s="25">
        <v>0.2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25">
        <v>0.4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全体攻撃+_x000D_2ターン全ユニットの回復力30%DOWN</v>
      </c>
      <c r="Y9" s="62">
        <v>49014007</v>
      </c>
      <c r="Z9" s="6">
        <v>1</v>
      </c>
      <c r="AA9" s="6">
        <v>100</v>
      </c>
      <c r="AB9" s="6">
        <v>0</v>
      </c>
      <c r="AC9" s="17">
        <v>2</v>
      </c>
      <c r="AD9" s="24">
        <f t="shared" ref="AD9" si="13">L9</f>
        <v>1508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t="shared" ref="AI9" ca="1" si="14">AF9</f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49014_2-5/1509&lt;lv80&gt;s2</v>
      </c>
      <c r="B10" s="22">
        <v>49014</v>
      </c>
      <c r="C10" s="21">
        <v>2</v>
      </c>
      <c r="D10" s="2" t="str">
        <f t="shared" si="1"/>
        <v>49014_2</v>
      </c>
      <c r="E10" s="4" t="str">
        <f ca="1">VLOOKUP($B10,OFFSET([2]quests!$A$1,0,0,COUNTA([2]quests!$A:$A),MATCH(E$1,[2]quests!$1:$1,0)-MATCH($B$1,[2]quests!$1:$1,0)+1),MATCH(E$1,[2]quests!$1:$1,0)-MATCH($B$1,[2]quests!$1:$1,0)+1,FALSE)</f>
        <v>ネコムート襲来！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【超激ムズ】ネコムート襲来！</v>
      </c>
      <c r="G10" s="21">
        <v>5</v>
      </c>
      <c r="H10" s="15" t="str">
        <f t="shared" si="2"/>
        <v>49014_2-5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88</v>
      </c>
      <c r="L10" s="20">
        <v>1509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巨神ネコ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80</v>
      </c>
      <c r="S10" s="25">
        <v>0.7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0</v>
      </c>
      <c r="U10" s="25">
        <v>0.5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0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防御力UP</v>
      </c>
      <c r="Y10" s="62">
        <v>49014008</v>
      </c>
      <c r="Z10" s="6">
        <v>1</v>
      </c>
      <c r="AA10" s="6">
        <v>100</v>
      </c>
      <c r="AB10" s="6">
        <v>0</v>
      </c>
      <c r="AC10" s="17">
        <v>2</v>
      </c>
      <c r="AD10" s="24">
        <f t="shared" si="3"/>
        <v>1509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巨神ネコ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4"/>
        <v>5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49014_2-6/638&lt;lv80&gt;s1</v>
      </c>
      <c r="B11" s="22">
        <v>49014</v>
      </c>
      <c r="C11" s="21">
        <v>2</v>
      </c>
      <c r="D11" s="2" t="str">
        <f t="shared" si="1"/>
        <v>49014_2</v>
      </c>
      <c r="E11" s="4" t="str">
        <f ca="1">VLOOKUP($B11,OFFSET([2]quests!$A$1,0,0,COUNTA([2]quests!$A:$A),MATCH(E$1,[2]quests!$1:$1,0)-MATCH($B$1,[2]quests!$1:$1,0)+1),MATCH(E$1,[2]quests!$1:$1,0)-MATCH($B$1,[2]quests!$1:$1,0)+1,FALSE)</f>
        <v>ネコムート襲来！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【超激ムズ】ネコムート襲来！</v>
      </c>
      <c r="G11" s="21">
        <v>6</v>
      </c>
      <c r="H11" s="15" t="str">
        <f t="shared" si="2"/>
        <v>49014_2-6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88</v>
      </c>
      <c r="L11" s="20">
        <v>638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神さま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80</v>
      </c>
      <c r="S11" s="25">
        <v>2.2999999999999998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299800.39999999997</v>
      </c>
      <c r="U11" s="25">
        <v>0.9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8252.1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別に呼んでないけど神さまがあらわれた！</v>
      </c>
      <c r="Y11" s="62">
        <v>49014009</v>
      </c>
      <c r="Z11" s="6">
        <v>1</v>
      </c>
      <c r="AA11" s="6">
        <v>100</v>
      </c>
      <c r="AB11" s="6">
        <v>0</v>
      </c>
      <c r="AC11" s="17">
        <v>1</v>
      </c>
      <c r="AD11" s="24">
        <f t="shared" si="3"/>
        <v>638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神さま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4"/>
        <v>6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thickBot="1" x14ac:dyDescent="0.2">
      <c r="A12" s="162" t="str">
        <f t="shared" ref="A12:A22" si="15">B12&amp;"_"&amp;C12&amp;"-"&amp;G12&amp;"/"&amp;L12&amp;"&lt;lv"&amp;R12&amp;"&gt;s"&amp;AC12</f>
        <v>49014_2-7/1523&lt;lv80&gt;s3</v>
      </c>
      <c r="B12" s="163">
        <v>49014</v>
      </c>
      <c r="C12" s="164">
        <v>2</v>
      </c>
      <c r="D12" s="165" t="str">
        <f t="shared" ref="D12:D22" si="16">B12&amp;"_"&amp;C12</f>
        <v>49014_2</v>
      </c>
      <c r="E12" s="166" t="str">
        <f ca="1">VLOOKUP($B12,OFFSET([2]quests!$A$1,0,0,COUNTA([2]quests!$A:$A),MATCH(E$1,[2]quests!$1:$1,0)-MATCH($B$1,[2]quests!$1:$1,0)+1),MATCH(E$1,[2]quests!$1:$1,0)-MATCH($B$1,[2]quests!$1:$1,0)+1,FALSE)</f>
        <v>ネコムート襲来！</v>
      </c>
      <c r="F12" s="166" t="str">
        <f ca="1">VLOOKUP($D12,OFFSET([2]stages!$A$1,0,0,COUNTA([2]stages!$A:$A),MATCH(F$1,[2]stages!$2:$2,0)-MATCH($D$1,[2]stages!$2:$2,0)+1),MATCH(F$1,[2]stages!$2:$2,0)-MATCH($D$1,[2]stages!$2:$2,0)+1,FALSE)</f>
        <v>【超激ムズ】ネコムート襲来！</v>
      </c>
      <c r="G12" s="164">
        <v>7</v>
      </c>
      <c r="H12" s="165" t="str">
        <f t="shared" ref="H12:H22" si="17">B12&amp;"_"&amp;C12&amp;"-"&amp;G12</f>
        <v>49014_2-7</v>
      </c>
      <c r="I12" s="166">
        <f ca="1">VLOOKUP($H12,OFFSET(floors!$A$1,0,0,COUNTA(floors!$A:$A),MATCH(I$1,floors!$1:$1,0)-MATCH($H$1,floors!$1:$1,0)+1),MATCH(I$1,floors!$1:$1,0)-MATCH($H$1,floors!$1:$1,0)+1,FALSE)</f>
        <v>60</v>
      </c>
      <c r="J12" s="166">
        <f ca="1">VLOOKUP($H12,OFFSET(floors!$A$1,0,0,COUNTA(floors!$A:$A),MATCH(J$1,floors!$1:$1,0)-MATCH($H$1,floors!$1:$1,0)+1),MATCH(J$1,floors!$1:$1,0)-MATCH($H$1,floors!$1:$1,0)+1,FALSE)</f>
        <v>60</v>
      </c>
      <c r="K12" s="167">
        <v>1</v>
      </c>
      <c r="L12" s="168">
        <v>1523</v>
      </c>
      <c r="M12" s="169" t="str">
        <f ca="1">VLOOKUP($L12,OFFSET([3]enemies!$A$1,0,0,COUNTA([3]enemies!$A:$A),MATCH(M$1,[3]enemies!$1:$1,0)-MATCH($L$1,[3]enemies!$1:$1,0)+1),MATCH(M$1,[3]enemies!$1:$1,0)-MATCH($L$1,[3]enemies!$1:$1,0)+1,FALSE)</f>
        <v>ネコムート</v>
      </c>
      <c r="N12" s="169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69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69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69">
        <f ca="1">VLOOKUP($L12,OFFSET([3]enemies!$A$1,0,0,COUNTA([3]enemies!$A:$A),MATCH(Q$1,[3]enemies!$1:$1,0)-MATCH($L$1,[3]enemies!$1:$1,0)+1),MATCH(Q$1,[3]enemies!$1:$1,0)-MATCH($L$1,[3]enemies!$1:$1,0)+1,FALSE)</f>
        <v>60</v>
      </c>
      <c r="R12" s="170">
        <v>80</v>
      </c>
      <c r="S12" s="171">
        <v>2.5</v>
      </c>
      <c r="T12" s="17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0</v>
      </c>
      <c r="U12" s="171">
        <v>0.9</v>
      </c>
      <c r="V12" s="17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0</v>
      </c>
      <c r="W12" s="170">
        <v>0</v>
      </c>
      <c r="X12" s="166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2" s="173">
        <v>49014010</v>
      </c>
      <c r="Z12" s="174">
        <v>1</v>
      </c>
      <c r="AA12" s="174">
        <v>100</v>
      </c>
      <c r="AB12" s="174">
        <v>0</v>
      </c>
      <c r="AC12" s="169">
        <v>3</v>
      </c>
      <c r="AD12" s="175">
        <f t="shared" ref="AD12:AD22" si="18">L12</f>
        <v>1523</v>
      </c>
      <c r="AE12" s="166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ネコムート</v>
      </c>
      <c r="AF12" s="166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166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2" s="176">
        <v>1</v>
      </c>
      <c r="AI12" s="175">
        <f t="shared" ref="AI12:AI22" ca="1" si="19">AF12</f>
        <v>5</v>
      </c>
      <c r="AJ12" s="177">
        <v>100</v>
      </c>
      <c r="AK12" s="176">
        <v>0</v>
      </c>
      <c r="AL12" s="176">
        <v>0</v>
      </c>
      <c r="AM12" s="176">
        <v>0</v>
      </c>
      <c r="AN12" s="176">
        <v>0</v>
      </c>
      <c r="AO12" s="176">
        <v>2</v>
      </c>
      <c r="AP12" s="178">
        <v>1</v>
      </c>
    </row>
    <row r="13" spans="1:42" ht="21" customHeight="1" x14ac:dyDescent="0.15">
      <c r="A13" s="16" t="str">
        <f t="shared" si="15"/>
        <v>49014_1-1/1504&lt;lv60&gt;s2</v>
      </c>
      <c r="B13" s="22">
        <v>49014</v>
      </c>
      <c r="C13" s="21">
        <v>1</v>
      </c>
      <c r="D13" s="2" t="str">
        <f t="shared" si="16"/>
        <v>49014_1</v>
      </c>
      <c r="E13" s="4" t="str">
        <f ca="1">VLOOKUP($B13,OFFSET([2]quests!$A$1,0,0,COUNTA([2]quests!$A:$A),MATCH(E$1,[2]quests!$1:$1,0)-MATCH($B$1,[2]quests!$1:$1,0)+1),MATCH(E$1,[2]quests!$1:$1,0)-MATCH($B$1,[2]quests!$1:$1,0)+1,FALSE)</f>
        <v>ネコムート襲来！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【激ムズ】ネコムート襲来！</v>
      </c>
      <c r="G13" s="21">
        <v>1</v>
      </c>
      <c r="H13" s="15" t="str">
        <f t="shared" si="17"/>
        <v>49014_1-1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88</v>
      </c>
      <c r="L13" s="20">
        <v>1504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ネコ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5">
        <v>0.2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5">
        <v>0.3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3" s="62">
        <v>49014013</v>
      </c>
      <c r="Z13" s="6">
        <v>1</v>
      </c>
      <c r="AA13" s="6">
        <v>100</v>
      </c>
      <c r="AB13" s="6">
        <v>0</v>
      </c>
      <c r="AC13" s="17">
        <v>2</v>
      </c>
      <c r="AD13" s="24">
        <f t="shared" si="18"/>
        <v>1504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ネコ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Drop1T</v>
      </c>
      <c r="AH13" s="7">
        <v>1</v>
      </c>
      <c r="AI13" s="24">
        <f t="shared" ca="1" si="19"/>
        <v>1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15"/>
        <v>49014_1-1/1506&lt;lv60&gt;s2</v>
      </c>
      <c r="B14" s="22">
        <v>49014</v>
      </c>
      <c r="C14" s="21">
        <v>1</v>
      </c>
      <c r="D14" s="2" t="str">
        <f t="shared" si="16"/>
        <v>49014_1</v>
      </c>
      <c r="E14" s="4" t="str">
        <f ca="1">VLOOKUP($B14,OFFSET([2]quests!$A$1,0,0,COUNTA([2]quests!$A:$A),MATCH(E$1,[2]quests!$1:$1,0)-MATCH($B$1,[2]quests!$1:$1,0)+1),MATCH(E$1,[2]quests!$1:$1,0)-MATCH($B$1,[2]quests!$1:$1,0)+1,FALSE)</f>
        <v>ネコムート襲来！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【激ムズ】ネコムート襲来！</v>
      </c>
      <c r="G14" s="21">
        <v>1</v>
      </c>
      <c r="H14" s="15" t="str">
        <f t="shared" si="17"/>
        <v>49014_1-1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88</v>
      </c>
      <c r="L14" s="20">
        <v>1506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バトルネコ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60</v>
      </c>
      <c r="S14" s="25">
        <v>0.3</v>
      </c>
      <c r="T14" s="104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0</v>
      </c>
      <c r="U14" s="25">
        <v>0.3</v>
      </c>
      <c r="V14" s="104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0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2ターン赤パネル無効</v>
      </c>
      <c r="Y14" s="62">
        <v>49014014</v>
      </c>
      <c r="Z14" s="6">
        <v>1</v>
      </c>
      <c r="AA14" s="6">
        <v>100</v>
      </c>
      <c r="AB14" s="6">
        <v>1</v>
      </c>
      <c r="AC14" s="17">
        <v>2</v>
      </c>
      <c r="AD14" s="24">
        <f t="shared" si="18"/>
        <v>1506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19"/>
        <v>2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15"/>
        <v>49014_1-1/1505&lt;lv60&gt;s2</v>
      </c>
      <c r="B15" s="22">
        <v>49014</v>
      </c>
      <c r="C15" s="21">
        <v>1</v>
      </c>
      <c r="D15" s="2" t="str">
        <f t="shared" si="16"/>
        <v>49014_1</v>
      </c>
      <c r="E15" s="4" t="str">
        <f ca="1">VLOOKUP($B15,OFFSET([2]quests!$A$1,0,0,COUNTA([2]quests!$A:$A),MATCH(E$1,[2]quests!$1:$1,0)-MATCH($B$1,[2]quests!$1:$1,0)+1),MATCH(E$1,[2]quests!$1:$1,0)-MATCH($B$1,[2]quests!$1:$1,0)+1,FALSE)</f>
        <v>ネコムート襲来！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【激ムズ】ネコムート襲来！</v>
      </c>
      <c r="G15" s="21">
        <v>1</v>
      </c>
      <c r="H15" s="15" t="str">
        <f t="shared" si="17"/>
        <v>49014_1-1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88</v>
      </c>
      <c r="L15" s="20">
        <v>1505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タンクネコ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25">
        <v>0.2</v>
      </c>
      <c r="T15" s="104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0</v>
      </c>
      <c r="U15" s="25">
        <v>0.2</v>
      </c>
      <c r="V15" s="104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0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1ターン自身の防御力UP</v>
      </c>
      <c r="Y15" s="62">
        <v>49014015</v>
      </c>
      <c r="Z15" s="6">
        <v>1</v>
      </c>
      <c r="AA15" s="6">
        <v>100</v>
      </c>
      <c r="AB15" s="6">
        <v>0</v>
      </c>
      <c r="AC15" s="17">
        <v>2</v>
      </c>
      <c r="AD15" s="24">
        <f t="shared" si="18"/>
        <v>1505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Drop1T</v>
      </c>
      <c r="AH15" s="7">
        <v>1</v>
      </c>
      <c r="AI15" s="24">
        <f t="shared" ca="1" si="19"/>
        <v>1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15"/>
        <v>49014_1-2/1507&lt;lv60&gt;s3</v>
      </c>
      <c r="B16" s="22">
        <v>49014</v>
      </c>
      <c r="C16" s="21">
        <v>1</v>
      </c>
      <c r="D16" s="2" t="str">
        <f t="shared" si="16"/>
        <v>49014_1</v>
      </c>
      <c r="E16" s="4" t="str">
        <f ca="1">VLOOKUP($B16,OFFSET([2]quests!$A$1,0,0,COUNTA([2]quests!$A:$A),MATCH(E$1,[2]quests!$1:$1,0)-MATCH($B$1,[2]quests!$1:$1,0)+1),MATCH(E$1,[2]quests!$1:$1,0)-MATCH($B$1,[2]quests!$1:$1,0)+1,FALSE)</f>
        <v>ネコムート襲来！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【激ムズ】ネコムート襲来！</v>
      </c>
      <c r="G16" s="21">
        <v>2</v>
      </c>
      <c r="H16" s="15" t="str">
        <f t="shared" si="17"/>
        <v>49014_1-2</v>
      </c>
      <c r="I16" s="4">
        <f ca="1">VLOOKUP($H16,OFFSET(floors!$A$1,0,0,COUNTA(floors!$A:$A),MATCH(I$1,floors!$1:$1,0)-MATCH($H$1,floors!$1:$1,0)+1),MATCH(I$1,floors!$1:$1,0)-MATCH($H$1,floors!$1:$1,0)+1,FALSE)</f>
        <v>50</v>
      </c>
      <c r="J16" s="4">
        <f ca="1">VLOOKUP($H16,OFFSET(floors!$A$1,0,0,COUNTA(floors!$A:$A),MATCH(J$1,floors!$1:$1,0)-MATCH($H$1,floors!$1:$1,0)+1),MATCH(J$1,floors!$1:$1,0)-MATCH($H$1,floors!$1:$1,0)+1,FALSE)</f>
        <v>50</v>
      </c>
      <c r="K16" s="38" t="s">
        <v>88</v>
      </c>
      <c r="L16" s="20">
        <v>1507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キモネコ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25</v>
      </c>
      <c r="R16" s="5">
        <v>60</v>
      </c>
      <c r="S16" s="25">
        <v>0.2</v>
      </c>
      <c r="T16" s="104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0</v>
      </c>
      <c r="U16" s="25">
        <v>0.7</v>
      </c>
      <c r="V16" s="104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0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種族Unknownのユニットに大ダメージ</v>
      </c>
      <c r="Y16" s="62">
        <v>49014016</v>
      </c>
      <c r="Z16" s="6">
        <v>1</v>
      </c>
      <c r="AA16" s="6">
        <v>100</v>
      </c>
      <c r="AB16" s="6">
        <v>0</v>
      </c>
      <c r="AC16" s="17">
        <v>3</v>
      </c>
      <c r="AD16" s="24">
        <f t="shared" si="18"/>
        <v>1507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4">
        <f t="shared" ca="1" si="19"/>
        <v>3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15"/>
        <v>49014_1-2/1507&lt;lv59&gt;s3</v>
      </c>
      <c r="B17" s="22">
        <v>49014</v>
      </c>
      <c r="C17" s="21">
        <v>1</v>
      </c>
      <c r="D17" s="2" t="str">
        <f t="shared" si="16"/>
        <v>49014_1</v>
      </c>
      <c r="E17" s="4" t="str">
        <f ca="1">VLOOKUP($B17,OFFSET([2]quests!$A$1,0,0,COUNTA([2]quests!$A:$A),MATCH(E$1,[2]quests!$1:$1,0)-MATCH($B$1,[2]quests!$1:$1,0)+1),MATCH(E$1,[2]quests!$1:$1,0)-MATCH($B$1,[2]quests!$1:$1,0)+1,FALSE)</f>
        <v>ネコムート襲来！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【激ムズ】ネコムート襲来！</v>
      </c>
      <c r="G17" s="21">
        <v>2</v>
      </c>
      <c r="H17" s="15" t="str">
        <f t="shared" si="17"/>
        <v>49014_1-2</v>
      </c>
      <c r="I17" s="4">
        <f ca="1">VLOOKUP($H17,OFFSET(floors!$A$1,0,0,COUNTA(floors!$A:$A),MATCH(I$1,floors!$1:$1,0)-MATCH($H$1,floors!$1:$1,0)+1),MATCH(I$1,floors!$1:$1,0)-MATCH($H$1,floors!$1:$1,0)+1,FALSE)</f>
        <v>50</v>
      </c>
      <c r="J17" s="4">
        <f ca="1">VLOOKUP($H17,OFFSET(floors!$A$1,0,0,COUNTA(floors!$A:$A),MATCH(J$1,floors!$1:$1,0)-MATCH($H$1,floors!$1:$1,0)+1),MATCH(J$1,floors!$1:$1,0)-MATCH($H$1,floors!$1:$1,0)+1,FALSE)</f>
        <v>50</v>
      </c>
      <c r="K17" s="38" t="s">
        <v>88</v>
      </c>
      <c r="L17" s="20">
        <v>1507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キモネコ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25</v>
      </c>
      <c r="R17" s="5">
        <v>59</v>
      </c>
      <c r="S17" s="25">
        <v>0.2</v>
      </c>
      <c r="T17" s="104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0</v>
      </c>
      <c r="U17" s="25">
        <v>0.7</v>
      </c>
      <c r="V17" s="104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0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種族Unknownのユニットに大ダメージ</v>
      </c>
      <c r="Y17" s="62">
        <v>49014016</v>
      </c>
      <c r="Z17" s="6">
        <v>1</v>
      </c>
      <c r="AA17" s="6">
        <v>100</v>
      </c>
      <c r="AB17" s="6">
        <v>0</v>
      </c>
      <c r="AC17" s="17">
        <v>3</v>
      </c>
      <c r="AD17" s="24">
        <f t="shared" si="18"/>
        <v>1507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3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Drop2N</v>
      </c>
      <c r="AH17" s="7">
        <v>1</v>
      </c>
      <c r="AI17" s="24">
        <f t="shared" ca="1" si="19"/>
        <v>3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15"/>
        <v>49014_1-3/1511&lt;lv60&gt;s2</v>
      </c>
      <c r="B18" s="22">
        <v>49014</v>
      </c>
      <c r="C18" s="21">
        <v>1</v>
      </c>
      <c r="D18" s="2" t="str">
        <f t="shared" si="16"/>
        <v>49014_1</v>
      </c>
      <c r="E18" s="4" t="str">
        <f ca="1">VLOOKUP($B18,OFFSET([2]quests!$A$1,0,0,COUNTA([2]quests!$A:$A),MATCH(E$1,[2]quests!$1:$1,0)-MATCH($B$1,[2]quests!$1:$1,0)+1),MATCH(E$1,[2]quests!$1:$1,0)-MATCH($B$1,[2]quests!$1:$1,0)+1,FALSE)</f>
        <v>ネコムート襲来！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【激ムズ】ネコムート襲来！</v>
      </c>
      <c r="G18" s="21">
        <v>3</v>
      </c>
      <c r="H18" s="15" t="str">
        <f t="shared" si="17"/>
        <v>49014_1-3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88</v>
      </c>
      <c r="L18" s="20">
        <v>1511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ネコヴァルキリー･真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DropWizS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60</v>
      </c>
      <c r="S18" s="25">
        <v>1.8</v>
      </c>
      <c r="T18" s="104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0</v>
      </c>
      <c r="U18" s="25">
        <v>0.6</v>
      </c>
      <c r="V18" s="104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0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Cパネルプロテクト(最大5個)</v>
      </c>
      <c r="Y18" s="62">
        <v>49014017</v>
      </c>
      <c r="Z18" s="6">
        <v>1</v>
      </c>
      <c r="AA18" s="6">
        <v>100</v>
      </c>
      <c r="AB18" s="6">
        <v>0</v>
      </c>
      <c r="AC18" s="17">
        <v>2</v>
      </c>
      <c r="AD18" s="24">
        <f t="shared" si="18"/>
        <v>1511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ネコヴァルキリー･真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5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8" s="7">
        <v>1</v>
      </c>
      <c r="AI18" s="24">
        <f t="shared" ca="1" si="19"/>
        <v>5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15"/>
        <v>49014_1-4/1508&lt;lv60&gt;s2</v>
      </c>
      <c r="B19" s="22">
        <v>49014</v>
      </c>
      <c r="C19" s="21">
        <v>1</v>
      </c>
      <c r="D19" s="2" t="str">
        <f t="shared" si="16"/>
        <v>49014_1</v>
      </c>
      <c r="E19" s="4" t="str">
        <f ca="1">VLOOKUP($B19,OFFSET([2]quests!$A$1,0,0,COUNTA([2]quests!$A:$A),MATCH(E$1,[2]quests!$1:$1,0)-MATCH($B$1,[2]quests!$1:$1,0)+1),MATCH(E$1,[2]quests!$1:$1,0)-MATCH($B$1,[2]quests!$1:$1,0)+1,FALSE)</f>
        <v>ネコムート襲来！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【激ムズ】ネコムート襲来！</v>
      </c>
      <c r="G19" s="21">
        <v>4</v>
      </c>
      <c r="H19" s="15" t="str">
        <f t="shared" si="17"/>
        <v>49014_1-4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88</v>
      </c>
      <c r="L19" s="20">
        <v>1508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ネコノトリ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60</v>
      </c>
      <c r="S19" s="25">
        <v>0.2</v>
      </c>
      <c r="T19" s="104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0</v>
      </c>
      <c r="U19" s="25">
        <v>0.4</v>
      </c>
      <c r="V19" s="104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0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3ターン全ユニットの攻撃力30%DOWN</v>
      </c>
      <c r="Y19" s="62">
        <v>49014018</v>
      </c>
      <c r="Z19" s="6">
        <v>1</v>
      </c>
      <c r="AA19" s="6">
        <v>100</v>
      </c>
      <c r="AB19" s="6">
        <v>0</v>
      </c>
      <c r="AC19" s="17">
        <v>2</v>
      </c>
      <c r="AD19" s="24">
        <f t="shared" si="18"/>
        <v>1508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19"/>
        <v>4</v>
      </c>
      <c r="AJ19" s="8">
        <v>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  <row r="20" spans="1:42" ht="21" customHeight="1" x14ac:dyDescent="0.15">
      <c r="A20" s="16" t="str">
        <f t="shared" si="15"/>
        <v>49014_1-4/1508&lt;lv59&gt;s2</v>
      </c>
      <c r="B20" s="22">
        <v>49014</v>
      </c>
      <c r="C20" s="21">
        <v>1</v>
      </c>
      <c r="D20" s="2" t="str">
        <f t="shared" si="16"/>
        <v>49014_1</v>
      </c>
      <c r="E20" s="4" t="str">
        <f ca="1">VLOOKUP($B20,OFFSET([2]quests!$A$1,0,0,COUNTA([2]quests!$A:$A),MATCH(E$1,[2]quests!$1:$1,0)-MATCH($B$1,[2]quests!$1:$1,0)+1),MATCH(E$1,[2]quests!$1:$1,0)-MATCH($B$1,[2]quests!$1:$1,0)+1,FALSE)</f>
        <v>ネコムート襲来！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【激ムズ】ネコムート襲来！</v>
      </c>
      <c r="G20" s="21">
        <v>4</v>
      </c>
      <c r="H20" s="15" t="str">
        <f t="shared" si="17"/>
        <v>49014_1-4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88</v>
      </c>
      <c r="L20" s="20">
        <v>1508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ネコノトリ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59</v>
      </c>
      <c r="S20" s="25">
        <v>0.2</v>
      </c>
      <c r="T20" s="104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0</v>
      </c>
      <c r="U20" s="25">
        <v>0.4</v>
      </c>
      <c r="V20" s="104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0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全体攻撃+_x000D_2ターン全ユニットの回復力30%DOWN</v>
      </c>
      <c r="Y20" s="62">
        <v>49014019</v>
      </c>
      <c r="Z20" s="6">
        <v>1</v>
      </c>
      <c r="AA20" s="6">
        <v>100</v>
      </c>
      <c r="AB20" s="6">
        <v>0</v>
      </c>
      <c r="AC20" s="17">
        <v>2</v>
      </c>
      <c r="AD20" s="24">
        <f t="shared" si="18"/>
        <v>1508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4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Drop2N</v>
      </c>
      <c r="AH20" s="7">
        <v>1</v>
      </c>
      <c r="AI20" s="24">
        <f t="shared" ca="1" si="19"/>
        <v>4</v>
      </c>
      <c r="AJ20" s="8">
        <v>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70">
        <v>1</v>
      </c>
    </row>
    <row r="21" spans="1:42" ht="21" customHeight="1" x14ac:dyDescent="0.15">
      <c r="A21" s="16" t="str">
        <f t="shared" si="15"/>
        <v>49014_1-5/1509&lt;lv60&gt;s2</v>
      </c>
      <c r="B21" s="22">
        <v>49014</v>
      </c>
      <c r="C21" s="21">
        <v>1</v>
      </c>
      <c r="D21" s="2" t="str">
        <f t="shared" si="16"/>
        <v>49014_1</v>
      </c>
      <c r="E21" s="4" t="str">
        <f ca="1">VLOOKUP($B21,OFFSET([2]quests!$A$1,0,0,COUNTA([2]quests!$A:$A),MATCH(E$1,[2]quests!$1:$1,0)-MATCH($B$1,[2]quests!$1:$1,0)+1),MATCH(E$1,[2]quests!$1:$1,0)-MATCH($B$1,[2]quests!$1:$1,0)+1,FALSE)</f>
        <v>ネコムート襲来！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【激ムズ】ネコムート襲来！</v>
      </c>
      <c r="G21" s="21">
        <v>5</v>
      </c>
      <c r="H21" s="15" t="str">
        <f t="shared" si="17"/>
        <v>49014_1-5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88</v>
      </c>
      <c r="L21" s="20">
        <v>1509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巨神ネコ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Drop2N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god</v>
      </c>
      <c r="Q21" s="17">
        <f ca="1">VLOOKUP($L21,OFFSET([3]enemies!$A$1,0,0,COUNTA([3]enemies!$A:$A),MATCH(Q$1,[3]enemies!$1:$1,0)-MATCH($L$1,[3]enemies!$1:$1,0)+1),MATCH(Q$1,[3]enemies!$1:$1,0)-MATCH($L$1,[3]enemies!$1:$1,0)+1,FALSE)</f>
        <v>60</v>
      </c>
      <c r="R21" s="5">
        <v>60</v>
      </c>
      <c r="S21" s="25">
        <v>0.7</v>
      </c>
      <c r="T21" s="104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0</v>
      </c>
      <c r="U21" s="25">
        <v>0.5</v>
      </c>
      <c r="V21" s="104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0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防御力UP</v>
      </c>
      <c r="Y21" s="62">
        <v>49014020</v>
      </c>
      <c r="Z21" s="6">
        <v>1</v>
      </c>
      <c r="AA21" s="6">
        <v>100</v>
      </c>
      <c r="AB21" s="6">
        <v>0</v>
      </c>
      <c r="AC21" s="17">
        <v>2</v>
      </c>
      <c r="AD21" s="24">
        <f t="shared" si="18"/>
        <v>1509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巨神ネコ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5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Drop2N</v>
      </c>
      <c r="AH21" s="7">
        <v>1</v>
      </c>
      <c r="AI21" s="24">
        <f t="shared" ca="1" si="19"/>
        <v>5</v>
      </c>
      <c r="AJ21" s="8">
        <v>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70">
        <v>1</v>
      </c>
    </row>
    <row r="22" spans="1:42" ht="21" customHeight="1" x14ac:dyDescent="0.15">
      <c r="A22" s="16" t="str">
        <f t="shared" si="15"/>
        <v>49014_1-6/638&lt;lv60&gt;s1</v>
      </c>
      <c r="B22" s="22">
        <v>49014</v>
      </c>
      <c r="C22" s="21">
        <v>1</v>
      </c>
      <c r="D22" s="2" t="str">
        <f t="shared" si="16"/>
        <v>49014_1</v>
      </c>
      <c r="E22" s="4" t="str">
        <f ca="1">VLOOKUP($B22,OFFSET([2]quests!$A$1,0,0,COUNTA([2]quests!$A:$A),MATCH(E$1,[2]quests!$1:$1,0)-MATCH($B$1,[2]quests!$1:$1,0)+1),MATCH(E$1,[2]quests!$1:$1,0)-MATCH($B$1,[2]quests!$1:$1,0)+1,FALSE)</f>
        <v>ネコムート襲来！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【激ムズ】ネコムート襲来！</v>
      </c>
      <c r="G22" s="21">
        <v>6</v>
      </c>
      <c r="H22" s="15" t="str">
        <f t="shared" si="17"/>
        <v>49014_1-6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88</v>
      </c>
      <c r="L22" s="20">
        <v>638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神さま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DropWizS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god</v>
      </c>
      <c r="Q22" s="17">
        <f ca="1">VLOOKUP($L22,OFFSET([3]enemies!$A$1,0,0,COUNTA([3]enemies!$A:$A),MATCH(Q$1,[3]enemies!$1:$1,0)-MATCH($L$1,[3]enemies!$1:$1,0)+1),MATCH(Q$1,[3]enemies!$1:$1,0)-MATCH($L$1,[3]enemies!$1:$1,0)+1,FALSE)</f>
        <v>60</v>
      </c>
      <c r="R22" s="5">
        <v>60</v>
      </c>
      <c r="S22" s="25">
        <v>2.2999999999999998</v>
      </c>
      <c r="T22" s="104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226230.3</v>
      </c>
      <c r="U22" s="25">
        <v>0.9</v>
      </c>
      <c r="V22" s="104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6227.1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別に呼んでないけど神さまがあらわれた！</v>
      </c>
      <c r="Y22" s="62">
        <v>49014021</v>
      </c>
      <c r="Z22" s="6">
        <v>1</v>
      </c>
      <c r="AA22" s="6">
        <v>100</v>
      </c>
      <c r="AB22" s="6">
        <v>0</v>
      </c>
      <c r="AC22" s="17">
        <v>1</v>
      </c>
      <c r="AD22" s="24">
        <f t="shared" si="18"/>
        <v>638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神さま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6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2" s="7">
        <v>1</v>
      </c>
      <c r="AI22" s="24">
        <f t="shared" ca="1" si="19"/>
        <v>6</v>
      </c>
      <c r="AJ22" s="8">
        <v>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70">
        <v>1</v>
      </c>
    </row>
    <row r="23" spans="1:42" ht="21" customHeight="1" thickBot="1" x14ac:dyDescent="0.2">
      <c r="A23" s="162" t="str">
        <f t="shared" ref="A23" si="20">B23&amp;"_"&amp;C23&amp;"-"&amp;G23&amp;"/"&amp;L23&amp;"&lt;lv"&amp;R23&amp;"&gt;s"&amp;AC23</f>
        <v>49014_1-7/1523&lt;lv60&gt;s3</v>
      </c>
      <c r="B23" s="163">
        <v>49014</v>
      </c>
      <c r="C23" s="164">
        <v>1</v>
      </c>
      <c r="D23" s="165" t="str">
        <f t="shared" ref="D23" si="21">B23&amp;"_"&amp;C23</f>
        <v>49014_1</v>
      </c>
      <c r="E23" s="166" t="str">
        <f ca="1">VLOOKUP($B23,OFFSET([2]quests!$A$1,0,0,COUNTA([2]quests!$A:$A),MATCH(E$1,[2]quests!$1:$1,0)-MATCH($B$1,[2]quests!$1:$1,0)+1),MATCH(E$1,[2]quests!$1:$1,0)-MATCH($B$1,[2]quests!$1:$1,0)+1,FALSE)</f>
        <v>ネコムート襲来！</v>
      </c>
      <c r="F23" s="166" t="str">
        <f ca="1">VLOOKUP($D23,OFFSET([2]stages!$A$1,0,0,COUNTA([2]stages!$A:$A),MATCH(F$1,[2]stages!$2:$2,0)-MATCH($D$1,[2]stages!$2:$2,0)+1),MATCH(F$1,[2]stages!$2:$2,0)-MATCH($D$1,[2]stages!$2:$2,0)+1,FALSE)</f>
        <v>【激ムズ】ネコムート襲来！</v>
      </c>
      <c r="G23" s="164">
        <v>7</v>
      </c>
      <c r="H23" s="165" t="str">
        <f t="shared" ref="H23" si="22">B23&amp;"_"&amp;C23&amp;"-"&amp;G23</f>
        <v>49014_1-7</v>
      </c>
      <c r="I23" s="166">
        <f ca="1">VLOOKUP($H23,OFFSET(floors!$A$1,0,0,COUNTA(floors!$A:$A),MATCH(I$1,floors!$1:$1,0)-MATCH($H$1,floors!$1:$1,0)+1),MATCH(I$1,floors!$1:$1,0)-MATCH($H$1,floors!$1:$1,0)+1,FALSE)</f>
        <v>60</v>
      </c>
      <c r="J23" s="166">
        <f ca="1">VLOOKUP($H23,OFFSET(floors!$A$1,0,0,COUNTA(floors!$A:$A),MATCH(J$1,floors!$1:$1,0)-MATCH($H$1,floors!$1:$1,0)+1),MATCH(J$1,floors!$1:$1,0)-MATCH($H$1,floors!$1:$1,0)+1,FALSE)</f>
        <v>60</v>
      </c>
      <c r="K23" s="167">
        <v>1</v>
      </c>
      <c r="L23" s="168">
        <v>1523</v>
      </c>
      <c r="M23" s="169" t="str">
        <f ca="1">VLOOKUP($L23,OFFSET([3]enemies!$A$1,0,0,COUNTA([3]enemies!$A:$A),MATCH(M$1,[3]enemies!$1:$1,0)-MATCH($L$1,[3]enemies!$1:$1,0)+1),MATCH(M$1,[3]enemies!$1:$1,0)-MATCH($L$1,[3]enemies!$1:$1,0)+1,FALSE)</f>
        <v>ネコムート</v>
      </c>
      <c r="N23" s="169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69" t="str">
        <f ca="1">VLOOKUP($L23,OFFSET([4]characters!$A$1,0,0,COUNTA([4]characters!$A:$A),MATCH(O$1,[4]characters!$1:$1,0)-MATCH($L$1,[4]characters!$1:$1,0)+1),MATCH(O$1,[4]characters!$1:$1,0)-MATCH($L$1,[4]characters!$1:$1,0)+1,FALSE)</f>
        <v>DropWizS</v>
      </c>
      <c r="P23" s="169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69">
        <f ca="1">VLOOKUP($L23,OFFSET([3]enemies!$A$1,0,0,COUNTA([3]enemies!$A:$A),MATCH(Q$1,[3]enemies!$1:$1,0)-MATCH($L$1,[3]enemies!$1:$1,0)+1),MATCH(Q$1,[3]enemies!$1:$1,0)-MATCH($L$1,[3]enemies!$1:$1,0)+1,FALSE)</f>
        <v>60</v>
      </c>
      <c r="R23" s="170">
        <v>60</v>
      </c>
      <c r="S23" s="171">
        <v>2.5</v>
      </c>
      <c r="T23" s="172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0</v>
      </c>
      <c r="U23" s="171">
        <v>0.9</v>
      </c>
      <c r="V23" s="172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0</v>
      </c>
      <c r="W23" s="170">
        <v>0</v>
      </c>
      <c r="X23" s="166" t="str">
        <f ca="1">VLOOKUP($Y23,OFFSET(enemy_skill_sets!$B$1,0,0,COUNTA(enemy_skill_sets!$B:$B),MATCH(M$1,enemy_skill_sets!$1:$1,0)-MATCH($Y$1,enemy_skill_sets!$1:$1,0)+2),MATCH(M$1,enemy_skill_sets!$1:$1,0)-MATCH($Y$1,enemy_skill_sets!$1:$1,0)+2,FALSE)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3" s="197">
        <v>49014022</v>
      </c>
      <c r="Z23" s="174">
        <v>1</v>
      </c>
      <c r="AA23" s="174">
        <v>100</v>
      </c>
      <c r="AB23" s="174">
        <v>0</v>
      </c>
      <c r="AC23" s="169">
        <v>3</v>
      </c>
      <c r="AD23" s="175">
        <f t="shared" ref="AD23" si="23">L23</f>
        <v>1523</v>
      </c>
      <c r="AE23" s="166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ネコムート</v>
      </c>
      <c r="AF23" s="166">
        <f ca="1">VLOOKUP($AD23,OFFSET([4]characters!$A$1,0,0,COUNTA([4]characters!$A:$A),MATCH(AF$1,[4]characters!$1:$1,0)-MATCH("character_id",[4]characters!$1:$1,0)+1),MATCH(AF$1,[4]characters!$1:$1,0)-MATCH("character_id",[4]characters!$1:$1,0)+1,FALSE)</f>
        <v>5</v>
      </c>
      <c r="AG23" s="166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3" s="176">
        <v>1</v>
      </c>
      <c r="AI23" s="175">
        <f t="shared" ref="AI23" ca="1" si="24">AF23</f>
        <v>5</v>
      </c>
      <c r="AJ23" s="177">
        <v>100</v>
      </c>
      <c r="AK23" s="176">
        <v>0</v>
      </c>
      <c r="AL23" s="176">
        <v>0</v>
      </c>
      <c r="AM23" s="176">
        <v>0</v>
      </c>
      <c r="AN23" s="176">
        <v>0</v>
      </c>
      <c r="AO23" s="176">
        <v>2</v>
      </c>
      <c r="AP23" s="17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6" sqref="V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249</v>
      </c>
      <c r="V1" s="26" t="s">
        <v>50</v>
      </c>
      <c r="W1" s="103" t="s">
        <v>250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49014_2-7/1524&lt;lv80&gt;sq1st2</v>
      </c>
      <c r="B2" s="22">
        <v>49014</v>
      </c>
      <c r="C2" s="21">
        <v>2</v>
      </c>
      <c r="D2" s="2" t="str">
        <f>B2&amp;"_"&amp;C2</f>
        <v>49014_2</v>
      </c>
      <c r="E2" s="4" t="str">
        <f ca="1">VLOOKUP($B2,OFFSET([2]quests!$A$1,0,0,COUNTA([2]quests!$A:$A),MATCH(E$1,[2]quests!$1:$1,0)-MATCH($B$1,[2]quests!$1:$1,0)+1),MATCH(E$1,[2]quests!$1:$1,0)-MATCH($B$1,[2]quests!$1:$1,0)+1,FALSE)</f>
        <v>ネコムート襲来！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【超激ムズ】ネコムート襲来！</v>
      </c>
      <c r="G2" s="21">
        <v>7</v>
      </c>
      <c r="H2" s="15" t="str">
        <f>B2&amp;"_"&amp;C2&amp;"-"&amp;G2</f>
        <v>49014_2-7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1524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狂乱のネコムート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2.9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5">
        <v>1.3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49014011</v>
      </c>
      <c r="AA2" s="71">
        <v>2</v>
      </c>
    </row>
    <row r="3" spans="1:27" ht="21" customHeight="1" thickBot="1" x14ac:dyDescent="0.2">
      <c r="A3" s="162" t="str">
        <f>B3&amp;"_"&amp;C3&amp;"-"&amp;G3&amp;"/"&amp;M3&amp;"&lt;lv"&amp;S3&amp;"&gt;sq"&amp;K3&amp;"st"&amp;L3</f>
        <v>49014_2-7/1524&lt;lv80&gt;sq1st3</v>
      </c>
      <c r="B3" s="163">
        <v>49014</v>
      </c>
      <c r="C3" s="164">
        <v>2</v>
      </c>
      <c r="D3" s="165" t="str">
        <f>B3&amp;"_"&amp;C3</f>
        <v>49014_2</v>
      </c>
      <c r="E3" s="166" t="str">
        <f ca="1">VLOOKUP($B3,OFFSET([2]quests!$A$1,0,0,COUNTA([2]quests!$A:$A),MATCH(E$1,[2]quests!$1:$1,0)-MATCH($B$1,[2]quests!$1:$1,0)+1),MATCH(E$1,[2]quests!$1:$1,0)-MATCH($B$1,[2]quests!$1:$1,0)+1,FALSE)</f>
        <v>ネコムート襲来！</v>
      </c>
      <c r="F3" s="166" t="str">
        <f ca="1">VLOOKUP($D3,OFFSET([2]stages!$A$1,0,0,COUNTA([2]stages!$A:$A),MATCH(F$1,[2]stages!$2:$2,0)-MATCH($D$1,[2]stages!$2:$2,0)+1),MATCH(F$1,[2]stages!$2:$2,0)-MATCH($D$1,[2]stages!$2:$2,0)+1,FALSE)</f>
        <v>【超激ムズ】ネコムート襲来！</v>
      </c>
      <c r="G3" s="164">
        <v>7</v>
      </c>
      <c r="H3" s="165" t="str">
        <f>B3&amp;"_"&amp;C3&amp;"-"&amp;G3</f>
        <v>49014_2-7</v>
      </c>
      <c r="I3" s="166">
        <f ca="1">VLOOKUP($H3,OFFSET(floors!$A$1,0,0,COUNTA(floors!$A:$A),MATCH(I$1,floors!$1:$1,0)-MATCH($H$1,floors!$1:$1,0)+1),MATCH(I$1,floors!$1:$1,0)-MATCH($H$1,floors!$1:$1,0)+1,FALSE)</f>
        <v>60</v>
      </c>
      <c r="J3" s="166">
        <f ca="1">VLOOKUP($H3,OFFSET(floors!$A$1,0,0,COUNTA(floors!$A:$A),MATCH(J$1,floors!$1:$1,0)-MATCH($H$1,floors!$1:$1,0)+1),MATCH(J$1,floors!$1:$1,0)-MATCH($H$1,floors!$1:$1,0)+1,FALSE)</f>
        <v>60</v>
      </c>
      <c r="K3" s="167">
        <v>1</v>
      </c>
      <c r="L3" s="167">
        <v>3</v>
      </c>
      <c r="M3" s="168">
        <v>1524</v>
      </c>
      <c r="N3" s="169" t="str">
        <f ca="1">VLOOKUP($M3,OFFSET([3]enemies!$A$1,0,0,COUNTA([3]enemies!$A:$A),MATCH(N$1,[3]enemies!$1:$1,0)-MATCH($M$1,[3]enemies!$1:$1,0)+1),MATCH(N$1,[3]enemies!$1:$1,0)-MATCH($M$1,[3]enemies!$1:$1,0)+1,FALSE)</f>
        <v>狂乱のネコムート</v>
      </c>
      <c r="O3" s="169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69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9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9">
        <f ca="1">VLOOKUP($M3,OFFSET([3]enemies!$A$1,0,0,COUNTA([3]enemies!$A:$A),MATCH(R$1,[3]enemies!$1:$1,0)-MATCH($M$1,[3]enemies!$1:$1,0)+1),MATCH(R$1,[3]enemies!$1:$1,0)-MATCH($M$1,[3]enemies!$1:$1,0)+1,FALSE)</f>
        <v>60</v>
      </c>
      <c r="S3" s="170">
        <v>80</v>
      </c>
      <c r="T3" s="171">
        <v>2.8</v>
      </c>
      <c r="U3" s="17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71">
        <v>1.2</v>
      </c>
      <c r="W3" s="17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170">
        <v>0</v>
      </c>
      <c r="Y3" s="166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66">
        <v>49014012</v>
      </c>
      <c r="AA3" s="195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49014_1-7/1524&lt;lv60&gt;sq1st2</v>
      </c>
      <c r="B4" s="22">
        <v>49014</v>
      </c>
      <c r="C4" s="181">
        <v>1</v>
      </c>
      <c r="D4" s="183" t="str">
        <f>B4&amp;"_"&amp;C4</f>
        <v>49014_1</v>
      </c>
      <c r="E4" s="4" t="str">
        <f ca="1">VLOOKUP($B4,OFFSET([2]quests!$A$1,0,0,COUNTA([2]quests!$A:$A),MATCH(E$1,[2]quests!$1:$1,0)-MATCH($B$1,[2]quests!$1:$1,0)+1),MATCH(E$1,[2]quests!$1:$1,0)-MATCH($B$1,[2]quests!$1:$1,0)+1,FALSE)</f>
        <v>ネコムート襲来！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【激ムズ】ネコムート襲来！</v>
      </c>
      <c r="G4" s="181">
        <v>7</v>
      </c>
      <c r="H4" s="183" t="str">
        <f>B4&amp;"_"&amp;C4&amp;"-"&amp;G4</f>
        <v>49014_1-7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84">
        <v>1</v>
      </c>
      <c r="L4" s="184">
        <v>2</v>
      </c>
      <c r="M4" s="190">
        <v>1524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狂乱のネコムート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91">
        <v>60</v>
      </c>
      <c r="T4" s="192">
        <v>2.9</v>
      </c>
      <c r="U4" s="19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192">
        <v>1.1000000000000001</v>
      </c>
      <c r="W4" s="19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191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49014023</v>
      </c>
      <c r="AA4" s="194">
        <v>2</v>
      </c>
    </row>
    <row r="5" spans="1:27" ht="21" customHeight="1" thickBot="1" x14ac:dyDescent="0.2">
      <c r="A5" s="162" t="str">
        <f>B5&amp;"_"&amp;C5&amp;"-"&amp;G5&amp;"/"&amp;M5&amp;"&lt;lv"&amp;S5&amp;"&gt;sq"&amp;K5&amp;"st"&amp;L5</f>
        <v>49014_1-7/1524&lt;lv60&gt;sq1st3</v>
      </c>
      <c r="B5" s="163">
        <v>49014</v>
      </c>
      <c r="C5" s="164">
        <v>1</v>
      </c>
      <c r="D5" s="165" t="str">
        <f>B5&amp;"_"&amp;C5</f>
        <v>49014_1</v>
      </c>
      <c r="E5" s="166" t="str">
        <f ca="1">VLOOKUP($B5,OFFSET([2]quests!$A$1,0,0,COUNTA([2]quests!$A:$A),MATCH(E$1,[2]quests!$1:$1,0)-MATCH($B$1,[2]quests!$1:$1,0)+1),MATCH(E$1,[2]quests!$1:$1,0)-MATCH($B$1,[2]quests!$1:$1,0)+1,FALSE)</f>
        <v>ネコムート襲来！</v>
      </c>
      <c r="F5" s="166" t="str">
        <f ca="1">VLOOKUP($D5,OFFSET([2]stages!$A$1,0,0,COUNTA([2]stages!$A:$A),MATCH(F$1,[2]stages!$2:$2,0)-MATCH($D$1,[2]stages!$2:$2,0)+1),MATCH(F$1,[2]stages!$2:$2,0)-MATCH($D$1,[2]stages!$2:$2,0)+1,FALSE)</f>
        <v>【激ムズ】ネコムート襲来！</v>
      </c>
      <c r="G5" s="164">
        <v>7</v>
      </c>
      <c r="H5" s="165" t="str">
        <f>B5&amp;"_"&amp;C5&amp;"-"&amp;G5</f>
        <v>49014_1-7</v>
      </c>
      <c r="I5" s="166">
        <f ca="1">VLOOKUP($H5,OFFSET(floors!$A$1,0,0,COUNTA(floors!$A:$A),MATCH(I$1,floors!$1:$1,0)-MATCH($H$1,floors!$1:$1,0)+1),MATCH(I$1,floors!$1:$1,0)-MATCH($H$1,floors!$1:$1,0)+1,FALSE)</f>
        <v>60</v>
      </c>
      <c r="J5" s="166">
        <f ca="1">VLOOKUP($H5,OFFSET(floors!$A$1,0,0,COUNTA(floors!$A:$A),MATCH(J$1,floors!$1:$1,0)-MATCH($H$1,floors!$1:$1,0)+1),MATCH(J$1,floors!$1:$1,0)-MATCH($H$1,floors!$1:$1,0)+1,FALSE)</f>
        <v>60</v>
      </c>
      <c r="K5" s="167">
        <v>1</v>
      </c>
      <c r="L5" s="167">
        <v>3</v>
      </c>
      <c r="M5" s="168">
        <v>1524</v>
      </c>
      <c r="N5" s="169" t="str">
        <f ca="1">VLOOKUP($M5,OFFSET([3]enemies!$A$1,0,0,COUNTA([3]enemies!$A:$A),MATCH(N$1,[3]enemies!$1:$1,0)-MATCH($M$1,[3]enemies!$1:$1,0)+1),MATCH(N$1,[3]enemies!$1:$1,0)-MATCH($M$1,[3]enemies!$1:$1,0)+1,FALSE)</f>
        <v>狂乱のネコムート</v>
      </c>
      <c r="O5" s="169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69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9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69">
        <f ca="1">VLOOKUP($M5,OFFSET([3]enemies!$A$1,0,0,COUNTA([3]enemies!$A:$A),MATCH(R$1,[3]enemies!$1:$1,0)-MATCH($M$1,[3]enemies!$1:$1,0)+1),MATCH(R$1,[3]enemies!$1:$1,0)-MATCH($M$1,[3]enemies!$1:$1,0)+1,FALSE)</f>
        <v>60</v>
      </c>
      <c r="S5" s="170">
        <v>60</v>
      </c>
      <c r="T5" s="171">
        <v>2.8</v>
      </c>
      <c r="U5" s="17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171">
        <v>1.2</v>
      </c>
      <c r="W5" s="17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170">
        <v>0</v>
      </c>
      <c r="Y5" s="166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66">
        <v>49014024</v>
      </c>
      <c r="AA5" s="19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105"/>
  <sheetViews>
    <sheetView showGridLines="0" tabSelected="1" zoomScale="120" zoomScaleNormal="120" zoomScalePageLayoutView="120" workbookViewId="0">
      <pane ySplit="1" topLeftCell="A78" activePane="bottomLeft" state="frozenSplit"/>
      <selection pane="bottomLeft" activeCell="F38" sqref="F3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thickBot="1" x14ac:dyDescent="0.2">
      <c r="A2" s="114">
        <v>49014001</v>
      </c>
      <c r="B2" s="115" t="s">
        <v>253</v>
      </c>
      <c r="C2" s="116">
        <v>3</v>
      </c>
      <c r="D2" s="116" t="s">
        <v>126</v>
      </c>
      <c r="E2" s="117" t="s">
        <v>312</v>
      </c>
      <c r="F2" s="117" t="s">
        <v>252</v>
      </c>
      <c r="G2" s="118" t="str">
        <f t="shared" ref="G2:G33" si="0">IFERROR(LEFT(B2,FIND("],",B2)),B2)</f>
        <v>[effect:enemy_message, val1:1.2, val2:1.2]</v>
      </c>
      <c r="H2" s="118">
        <f t="shared" ref="H2:H33" si="1">FIND("effect:",G2)+7</f>
        <v>9</v>
      </c>
      <c r="I2" s="118">
        <f t="shared" ref="I2:I33" si="2">IFERROR(FIND(",",G2),LEN(G2))</f>
        <v>22</v>
      </c>
      <c r="J2" s="118" t="e">
        <f t="shared" ref="J2:J33" si="3">FIND("target:",G2)+7</f>
        <v>#VALUE!</v>
      </c>
      <c r="K2" s="118">
        <f t="shared" ref="K2:K33" si="4">FIND(",",G2,I2+1)</f>
        <v>32</v>
      </c>
      <c r="L2" s="118" t="str">
        <f>IFERROR(VLOOKUP(MID(G2,J2,K2-J2),[6]skilldef!$C:$D,2,FALSE),"-") &amp; " / " &amp; IFERROR(VLOOKUP(MID(G2,H2,I2-H2),[6]skilldef!$A:$B,2,FALSE),"-")</f>
        <v>- / -</v>
      </c>
      <c r="M2" s="118" t="str">
        <f t="shared" ref="M2:M33" si="5">IFERROR(RIGHT(B2,LEN(B2)-FIND("],",B2)-1),"none")</f>
        <v xml:space="preserve">[effect:critical, val:1.5, animation:enemy_critical]    </v>
      </c>
      <c r="N2" s="119" t="str">
        <f>IFERROR(LEFT(M2,FIND("],",M2)+S11),M2)</f>
        <v xml:space="preserve">[effect:critical, val:1.5, animation:enemy_critical]    </v>
      </c>
      <c r="O2" s="118">
        <f t="shared" ref="O2:O33" si="6">FIND("effect:",N2)+7</f>
        <v>9</v>
      </c>
      <c r="P2" s="118">
        <f t="shared" ref="P2:P33" si="7">IFERROR(FIND(",",N2),LEN(N2))</f>
        <v>17</v>
      </c>
      <c r="Q2" s="118" t="e">
        <f t="shared" ref="Q2:Q33" si="8">FIND("target:",N2)+7</f>
        <v>#VALUE!</v>
      </c>
      <c r="R2" s="118">
        <f t="shared" ref="R2:R33" si="9">FIND(",",N2,P2+1)</f>
        <v>26</v>
      </c>
      <c r="S2" s="118" t="str">
        <f>IFERROR(VLOOKUP(MID(N2,Q2,R2-Q2),[6]skilldef!$C:$D,2,FALSE),"-") &amp; " / " &amp; IFERROR(VLOOKUP(MID(N2,O2,P2-O2),[6]skilldef!$A:$B,2,FALSE),"-")</f>
        <v>- / 大攻撃</v>
      </c>
      <c r="T2" s="119" t="str">
        <f t="shared" ref="T2:T33" si="10">IFERROR(RIGHT(M2,LEN(M2)-FIND("],",M2)-1),"none")</f>
        <v>none</v>
      </c>
      <c r="U2" s="118" t="e">
        <f t="shared" ref="U2:U33" si="11">FIND("effect:",T2)+7</f>
        <v>#VALUE!</v>
      </c>
      <c r="V2" s="118">
        <f t="shared" ref="V2:V33" si="12">IFERROR(FIND(",",T2),LEN(T2))</f>
        <v>4</v>
      </c>
      <c r="W2" s="118" t="e">
        <f t="shared" ref="W2:W33" si="13">FIND("target:",T2)+7</f>
        <v>#VALUE!</v>
      </c>
      <c r="X2" s="118" t="e">
        <f t="shared" ref="X2:X33" si="14">FIND(",",T2,V2+1)</f>
        <v>#VALUE!</v>
      </c>
      <c r="Y2" s="118" t="str">
        <f>IFERROR(VLOOKUP(MID(T2,W2,X2-W2),[6]skilldef!$C:$D,2,FALSE),"-") &amp; " / " &amp; IFERROR(VLOOKUP(MID(T2,U2,V2-U2),[6]skilldef!$A:$B,2,FALSE),"-")</f>
        <v>- / -</v>
      </c>
      <c r="Z2" s="116"/>
      <c r="AA2" s="120"/>
      <c r="AB2" s="116"/>
    </row>
    <row r="3" spans="1:28" ht="21" customHeight="1" thickBot="1" x14ac:dyDescent="0.2">
      <c r="A3" s="114">
        <v>49014002</v>
      </c>
      <c r="B3" s="122" t="s">
        <v>254</v>
      </c>
      <c r="C3" s="123">
        <v>3</v>
      </c>
      <c r="D3" s="123" t="s">
        <v>126</v>
      </c>
      <c r="E3" s="124" t="s">
        <v>397</v>
      </c>
      <c r="F3" s="124" t="s">
        <v>255</v>
      </c>
      <c r="G3" s="125" t="str">
        <f t="shared" si="0"/>
        <v>[effect:enemy_message, val1:1.2, val2:1.2]</v>
      </c>
      <c r="H3" s="125">
        <f t="shared" si="1"/>
        <v>9</v>
      </c>
      <c r="I3" s="125">
        <f t="shared" si="2"/>
        <v>22</v>
      </c>
      <c r="J3" s="125" t="e">
        <f t="shared" si="3"/>
        <v>#VALUE!</v>
      </c>
      <c r="K3" s="125">
        <f t="shared" si="4"/>
        <v>32</v>
      </c>
      <c r="L3" s="125" t="str">
        <f>IFERROR(VLOOKUP(MID(G3,J3,K3-J3),[6]skilldef!$C:$D,2,FALSE),"-") &amp; " / " &amp; IFERROR(VLOOKUP(MID(G3,H3,I3-H3),[6]skilldef!$A:$B,2,FALSE),"-")</f>
        <v>- / -</v>
      </c>
      <c r="M3" s="125" t="str">
        <f t="shared" si="5"/>
        <v>[effect:dis_panel, target:block_red, turn:2, animation:enemy_dis_red]</v>
      </c>
      <c r="N3" s="126" t="str">
        <f>IFERROR(LEFT(M3,FIND("],",M3)+S12),M3)</f>
        <v>[effect:dis_panel, target:block_red, turn:2, animation:enemy_dis_red]</v>
      </c>
      <c r="O3" s="125">
        <f t="shared" si="6"/>
        <v>9</v>
      </c>
      <c r="P3" s="125">
        <f t="shared" si="7"/>
        <v>18</v>
      </c>
      <c r="Q3" s="125">
        <f t="shared" si="8"/>
        <v>27</v>
      </c>
      <c r="R3" s="125">
        <f t="shared" si="9"/>
        <v>36</v>
      </c>
      <c r="S3" s="125" t="str">
        <f>IFERROR(VLOOKUP(MID(N3,Q3,R3-Q3),[6]skilldef!$C:$D,2,FALSE),"-") &amp; " / " &amp; IFERROR(VLOOKUP(MID(N3,O3,P3-O3),[6]skilldef!$A:$B,2,FALSE),"-")</f>
        <v>赤パネルを / ディスパネル</v>
      </c>
      <c r="T3" s="126" t="str">
        <f t="shared" si="10"/>
        <v>none</v>
      </c>
      <c r="U3" s="125" t="e">
        <f t="shared" si="11"/>
        <v>#VALUE!</v>
      </c>
      <c r="V3" s="125">
        <f t="shared" si="12"/>
        <v>4</v>
      </c>
      <c r="W3" s="125" t="e">
        <f t="shared" si="13"/>
        <v>#VALUE!</v>
      </c>
      <c r="X3" s="125" t="e">
        <f t="shared" si="14"/>
        <v>#VALUE!</v>
      </c>
      <c r="Y3" s="125" t="str">
        <f>IFERROR(VLOOKUP(MID(T3,W3,X3-W3),[6]skilldef!$C:$D,2,FALSE),"-") &amp; " / " &amp; IFERROR(VLOOKUP(MID(T3,U3,V3-U3),[6]skilldef!$A:$B,2,FALSE),"-")</f>
        <v>- / -</v>
      </c>
      <c r="Z3" s="123"/>
      <c r="AA3" s="127"/>
      <c r="AB3" s="123"/>
    </row>
    <row r="4" spans="1:28" ht="21" customHeight="1" x14ac:dyDescent="0.15">
      <c r="A4" s="139">
        <v>49014003</v>
      </c>
      <c r="B4" s="108" t="s">
        <v>256</v>
      </c>
      <c r="C4" s="109">
        <v>3</v>
      </c>
      <c r="D4" s="109" t="s">
        <v>126</v>
      </c>
      <c r="E4" s="110" t="s">
        <v>313</v>
      </c>
      <c r="F4" s="110" t="s">
        <v>257</v>
      </c>
      <c r="G4" s="111" t="str">
        <f t="shared" si="0"/>
        <v>[effect:enemy_message, val1:1.2, val2:1.2]</v>
      </c>
      <c r="H4" s="111">
        <f t="shared" si="1"/>
        <v>9</v>
      </c>
      <c r="I4" s="111">
        <f t="shared" si="2"/>
        <v>22</v>
      </c>
      <c r="J4" s="111" t="e">
        <f t="shared" si="3"/>
        <v>#VALUE!</v>
      </c>
      <c r="K4" s="111">
        <f t="shared" si="4"/>
        <v>32</v>
      </c>
      <c r="L4" s="111" t="str">
        <f>IFERROR(VLOOKUP(MID(G4,J4,K4-J4),[6]skilldef!$C:$D,2,FALSE),"-") &amp; " / " &amp; IFERROR(VLOOKUP(MID(G4,H4,I4-H4),[6]skilldef!$A:$B,2,FALSE),"-")</f>
        <v>- / -</v>
      </c>
      <c r="M4" s="111" t="str">
        <f t="shared" si="5"/>
        <v>[effect:enhance_enemy, target:myself, turn:1, status:defense, val:500, calc:add, animation:enemy_enhance_defense]</v>
      </c>
      <c r="N4" s="112" t="str">
        <f>IFERROR(LEFT(M4,FIND("],",M4)+S13),M4)</f>
        <v>[effect:enhance_enemy, target:myself, turn:1, status:defense, val:500, calc:add, animation:enemy_enhance_defense]</v>
      </c>
      <c r="O4" s="111">
        <f t="shared" si="6"/>
        <v>9</v>
      </c>
      <c r="P4" s="111">
        <f t="shared" si="7"/>
        <v>22</v>
      </c>
      <c r="Q4" s="111">
        <f t="shared" si="8"/>
        <v>31</v>
      </c>
      <c r="R4" s="111">
        <f t="shared" si="9"/>
        <v>37</v>
      </c>
      <c r="S4" s="111" t="str">
        <f>IFERROR(VLOOKUP(MID(N4,Q4,R4-Q4),[6]skilldef!$C:$D,2,FALSE),"-") &amp; " / " &amp; IFERROR(VLOOKUP(MID(N4,O4,P4-O4),[6]skilldef!$A:$B,2,FALSE),"-")</f>
        <v>自分自身に / ステータス強化</v>
      </c>
      <c r="T4" s="112" t="str">
        <f t="shared" si="10"/>
        <v>none</v>
      </c>
      <c r="U4" s="111" t="e">
        <f t="shared" si="11"/>
        <v>#VALUE!</v>
      </c>
      <c r="V4" s="111">
        <f t="shared" si="12"/>
        <v>4</v>
      </c>
      <c r="W4" s="111" t="e">
        <f t="shared" si="13"/>
        <v>#VALUE!</v>
      </c>
      <c r="X4" s="111" t="e">
        <f t="shared" si="14"/>
        <v>#VALUE!</v>
      </c>
      <c r="Y4" s="111" t="str">
        <f>IFERROR(VLOOKUP(MID(T4,W4,X4-W4),[6]skilldef!$C:$D,2,FALSE),"-") &amp; " / " &amp; IFERROR(VLOOKUP(MID(T4,U4,V4-U4),[6]skilldef!$A:$B,2,FALSE),"-")</f>
        <v>- / -</v>
      </c>
      <c r="Z4" s="109"/>
      <c r="AA4" s="113"/>
      <c r="AB4" s="109"/>
    </row>
    <row r="5" spans="1:28" ht="21" customHeight="1" thickBot="1" x14ac:dyDescent="0.2">
      <c r="A5" s="148">
        <v>49014004</v>
      </c>
      <c r="B5" s="115" t="s">
        <v>259</v>
      </c>
      <c r="C5" s="116">
        <v>3</v>
      </c>
      <c r="D5" s="116" t="s">
        <v>126</v>
      </c>
      <c r="E5" s="117" t="s">
        <v>314</v>
      </c>
      <c r="F5" s="117" t="s">
        <v>258</v>
      </c>
      <c r="G5" s="118" t="str">
        <f t="shared" si="0"/>
        <v>[effect:enemy_message, val1:1.2, val2:1.2]</v>
      </c>
      <c r="H5" s="118">
        <f t="shared" si="1"/>
        <v>9</v>
      </c>
      <c r="I5" s="118">
        <f t="shared" si="2"/>
        <v>22</v>
      </c>
      <c r="J5" s="118" t="e">
        <f t="shared" si="3"/>
        <v>#VALUE!</v>
      </c>
      <c r="K5" s="118">
        <f t="shared" si="4"/>
        <v>32</v>
      </c>
      <c r="L5" s="118" t="str">
        <f>IFERROR(VLOOKUP(MID(G5,J5,K5-J5),[6]skilldef!$C:$D,2,FALSE),"-") &amp; " / " &amp; IFERROR(VLOOKUP(MID(G5,H5,I5-H5),[6]skilldef!$A:$B,2,FALSE),"-")</f>
        <v>- / -</v>
      </c>
      <c r="M5" s="118" t="str">
        <f t="shared" si="5"/>
        <v>[effect:spread, val:0.5]</v>
      </c>
      <c r="N5" s="119" t="str">
        <f>IFERROR(LEFT(M5,FIND("],",M5)+S14),M5)</f>
        <v>[effect:spread, val:0.5]</v>
      </c>
      <c r="O5" s="118">
        <f t="shared" si="6"/>
        <v>9</v>
      </c>
      <c r="P5" s="118">
        <f t="shared" si="7"/>
        <v>15</v>
      </c>
      <c r="Q5" s="118" t="e">
        <f t="shared" si="8"/>
        <v>#VALUE!</v>
      </c>
      <c r="R5" s="118" t="e">
        <f t="shared" si="9"/>
        <v>#VALUE!</v>
      </c>
      <c r="S5" s="118" t="str">
        <f>IFERROR(VLOOKUP(MID(N5,Q5,R5-Q5),[6]skilldef!$C:$D,2,FALSE),"-") &amp; " / " &amp; IFERROR(VLOOKUP(MID(N5,O5,P5-O5),[6]skilldef!$A:$B,2,FALSE),"-")</f>
        <v>- / 全体攻撃</v>
      </c>
      <c r="T5" s="119" t="str">
        <f t="shared" si="10"/>
        <v>none</v>
      </c>
      <c r="U5" s="118" t="e">
        <f t="shared" si="11"/>
        <v>#VALUE!</v>
      </c>
      <c r="V5" s="118">
        <f t="shared" si="12"/>
        <v>4</v>
      </c>
      <c r="W5" s="118" t="e">
        <f t="shared" si="13"/>
        <v>#VALUE!</v>
      </c>
      <c r="X5" s="118" t="e">
        <f t="shared" si="14"/>
        <v>#VALUE!</v>
      </c>
      <c r="Y5" s="118" t="str">
        <f>IFERROR(VLOOKUP(MID(T5,W5,X5-W5),[6]skilldef!$C:$D,2,FALSE),"-") &amp; " / " &amp; IFERROR(VLOOKUP(MID(T5,U5,V5-U5),[6]skilldef!$A:$B,2,FALSE),"-")</f>
        <v>- / -</v>
      </c>
      <c r="Z5" s="116"/>
      <c r="AA5" s="120"/>
      <c r="AB5" s="116"/>
    </row>
    <row r="6" spans="1:28" ht="21" customHeight="1" thickBot="1" x14ac:dyDescent="0.2">
      <c r="A6" s="129">
        <v>49014005</v>
      </c>
      <c r="B6" s="122" t="s">
        <v>261</v>
      </c>
      <c r="C6" s="123">
        <v>3</v>
      </c>
      <c r="D6" s="123" t="s">
        <v>126</v>
      </c>
      <c r="E6" s="124" t="s">
        <v>315</v>
      </c>
      <c r="F6" s="124" t="s">
        <v>260</v>
      </c>
      <c r="G6" s="125" t="str">
        <f t="shared" si="0"/>
        <v>[effect:enemy_message, val1:1.2, val2:2]</v>
      </c>
      <c r="H6" s="125">
        <f t="shared" si="1"/>
        <v>9</v>
      </c>
      <c r="I6" s="125">
        <f t="shared" si="2"/>
        <v>22</v>
      </c>
      <c r="J6" s="125" t="e">
        <f t="shared" si="3"/>
        <v>#VALUE!</v>
      </c>
      <c r="K6" s="125">
        <f t="shared" si="4"/>
        <v>32</v>
      </c>
      <c r="L6" s="125" t="str">
        <f>IFERROR(VLOOKUP(MID(G6,J6,K6-J6),[6]skilldef!$C:$D,2,FALSE),"-") &amp; " / " &amp; IFERROR(VLOOKUP(MID(G6,H6,I6-H6),[6]skilldef!$A:$B,2,FALSE),"-")</f>
        <v>- / -</v>
      </c>
      <c r="M6" s="125" t="str">
        <f t="shared" si="5"/>
        <v>[effect:damage_anti_tribe, target:unit_one, tribe:unknown, val1:2, val2:0.7]</v>
      </c>
      <c r="N6" s="126" t="str">
        <f>IFERROR(LEFT(M6,FIND("],",M6)+S15),M6)</f>
        <v>[effect:damage_anti_tribe, target:unit_one, tribe:unknown, val1:2, val2:0.7]</v>
      </c>
      <c r="O6" s="125">
        <f t="shared" si="6"/>
        <v>9</v>
      </c>
      <c r="P6" s="125">
        <f t="shared" si="7"/>
        <v>26</v>
      </c>
      <c r="Q6" s="125">
        <f t="shared" si="8"/>
        <v>35</v>
      </c>
      <c r="R6" s="125">
        <f t="shared" si="9"/>
        <v>43</v>
      </c>
      <c r="S6" s="125" t="str">
        <f>IFERROR(VLOOKUP(MID(N6,Q6,R6-Q6),[6]skilldef!$C:$D,2,FALSE),"-") &amp; " / " &amp; IFERROR(VLOOKUP(MID(N6,O6,P6-O6),[6]skilldef!$A:$B,2,FALSE),"-")</f>
        <v>味方単体に / 種族キラー</v>
      </c>
      <c r="T6" s="126" t="str">
        <f t="shared" si="10"/>
        <v>none</v>
      </c>
      <c r="U6" s="125" t="e">
        <f t="shared" si="11"/>
        <v>#VALUE!</v>
      </c>
      <c r="V6" s="125">
        <f t="shared" si="12"/>
        <v>4</v>
      </c>
      <c r="W6" s="125" t="e">
        <f t="shared" si="13"/>
        <v>#VALUE!</v>
      </c>
      <c r="X6" s="125" t="e">
        <f t="shared" si="14"/>
        <v>#VALUE!</v>
      </c>
      <c r="Y6" s="125" t="str">
        <f>IFERROR(VLOOKUP(MID(T6,W6,X6-W6),[6]skilldef!$C:$D,2,FALSE),"-") &amp; " / " &amp; IFERROR(VLOOKUP(MID(T6,U6,V6-U6),[6]skilldef!$A:$B,2,FALSE),"-")</f>
        <v>- / -</v>
      </c>
      <c r="Z6" s="123"/>
      <c r="AA6" s="127"/>
      <c r="AB6" s="123"/>
    </row>
    <row r="7" spans="1:28" ht="21" customHeight="1" x14ac:dyDescent="0.15">
      <c r="A7" s="106">
        <v>49014006</v>
      </c>
      <c r="B7" s="47" t="s">
        <v>404</v>
      </c>
      <c r="C7" s="50">
        <v>3</v>
      </c>
      <c r="D7" s="50" t="s">
        <v>126</v>
      </c>
      <c r="E7" s="51" t="s">
        <v>405</v>
      </c>
      <c r="F7" s="51" t="s">
        <v>403</v>
      </c>
      <c r="G7" s="64" t="str">
        <f t="shared" si="0"/>
        <v>[effect:enemy_message, val1:1.2, val2:1.5]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[effect:panel_freeze, target:crash, count:5]</v>
      </c>
      <c r="N7" s="48" t="str">
        <f t="shared" ref="N7:N24" si="15">IFERROR(LEFT(M7,FIND("],",M7)+S17),M7)</f>
        <v>[effect:panel_freeze, target:crash, count:5]</v>
      </c>
      <c r="O7" s="64">
        <f t="shared" si="6"/>
        <v>9</v>
      </c>
      <c r="P7" s="64">
        <f t="shared" si="7"/>
        <v>21</v>
      </c>
      <c r="Q7" s="64">
        <f t="shared" si="8"/>
        <v>30</v>
      </c>
      <c r="R7" s="64">
        <f t="shared" si="9"/>
        <v>35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06">
        <v>49014007</v>
      </c>
      <c r="B8" s="47" t="s">
        <v>263</v>
      </c>
      <c r="C8" s="50">
        <v>3</v>
      </c>
      <c r="D8" s="50" t="s">
        <v>126</v>
      </c>
      <c r="E8" s="51" t="s">
        <v>316</v>
      </c>
      <c r="F8" s="51" t="s">
        <v>262</v>
      </c>
      <c r="G8" s="64" t="str">
        <f t="shared" si="0"/>
        <v>[effect:enemy_message, val1:1.2, val2:2]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[effect:rush, count:1, val:1],[effect:panel_freeze, target:normal, color:block_red, count:3]</v>
      </c>
      <c r="N8" s="48" t="str">
        <f t="shared" ref="N8:N17" si="16">IFERROR(LEFT(M8,FIND("],",M8)+S20),M8)</f>
        <v>[effect:rush, count:1, val:1],[effect:panel_freeze, target:normal, color:block_red, count:3]</v>
      </c>
      <c r="O8" s="64">
        <f t="shared" si="6"/>
        <v>9</v>
      </c>
      <c r="P8" s="64">
        <f t="shared" si="7"/>
        <v>13</v>
      </c>
      <c r="Q8" s="64">
        <f t="shared" si="8"/>
        <v>60</v>
      </c>
      <c r="R8" s="64">
        <f t="shared" si="9"/>
        <v>22</v>
      </c>
      <c r="S8" s="64" t="str">
        <f>IFERROR(VLOOKUP(MID(N8,Q8,R8-Q8),[6]skilldef!$C:$D,2,FALSE),"-") &amp; " / " &amp; IFERROR(VLOOKUP(MID(N8,O8,P8-O8),[6]skilldef!$A:$B,2,FALSE),"-")</f>
        <v>- / 連続攻撃</v>
      </c>
      <c r="T8" s="48" t="str">
        <f t="shared" si="10"/>
        <v>[effect:panel_freeze, target:normal, color:block_red, count:3]</v>
      </c>
      <c r="U8" s="64">
        <f t="shared" si="11"/>
        <v>9</v>
      </c>
      <c r="V8" s="64">
        <f t="shared" si="12"/>
        <v>21</v>
      </c>
      <c r="W8" s="64">
        <f t="shared" si="13"/>
        <v>30</v>
      </c>
      <c r="X8" s="64">
        <f t="shared" si="14"/>
        <v>36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06">
        <v>49014008</v>
      </c>
      <c r="B9" s="47" t="s">
        <v>264</v>
      </c>
      <c r="C9" s="50">
        <v>3</v>
      </c>
      <c r="D9" s="50" t="s">
        <v>126</v>
      </c>
      <c r="E9" s="51" t="s">
        <v>317</v>
      </c>
      <c r="F9" s="51" t="s">
        <v>265</v>
      </c>
      <c r="G9" s="64" t="str">
        <f t="shared" si="0"/>
        <v>[effect:enemy_message, val1:1.2, val2:2]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5"/>
        <v>[effect:rush, count:1, val:1],[effect:panel_freeze, target:normal, color:block_blue, count:3]</v>
      </c>
      <c r="N9" s="48" t="str">
        <f t="shared" si="16"/>
        <v>[effect:rush, count:1, val:1],[effect:panel_freeze, target:normal, color:block_blue, count:3]</v>
      </c>
      <c r="O9" s="64">
        <f t="shared" si="6"/>
        <v>9</v>
      </c>
      <c r="P9" s="64">
        <f t="shared" si="7"/>
        <v>13</v>
      </c>
      <c r="Q9" s="64">
        <f t="shared" si="8"/>
        <v>60</v>
      </c>
      <c r="R9" s="64">
        <f t="shared" si="9"/>
        <v>22</v>
      </c>
      <c r="S9" s="64" t="str">
        <f>IFERROR(VLOOKUP(MID(N9,Q9,R9-Q9),[6]skilldef!$C:$D,2,FALSE),"-") &amp; " / " &amp; IFERROR(VLOOKUP(MID(N9,O9,P9-O9),[6]skilldef!$A:$B,2,FALSE),"-")</f>
        <v>- / 連続攻撃</v>
      </c>
      <c r="T9" s="48" t="str">
        <f t="shared" si="10"/>
        <v>[effect:panel_freeze, target:normal, color:block_blue, count:3]</v>
      </c>
      <c r="U9" s="64">
        <f t="shared" si="11"/>
        <v>9</v>
      </c>
      <c r="V9" s="64">
        <f t="shared" si="12"/>
        <v>21</v>
      </c>
      <c r="W9" s="64">
        <f t="shared" si="13"/>
        <v>30</v>
      </c>
      <c r="X9" s="64">
        <f t="shared" si="14"/>
        <v>36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thickBot="1" x14ac:dyDescent="0.2">
      <c r="A10" s="131">
        <v>49014009</v>
      </c>
      <c r="B10" s="115" t="s">
        <v>406</v>
      </c>
      <c r="C10" s="116">
        <v>3</v>
      </c>
      <c r="D10" s="116" t="s">
        <v>126</v>
      </c>
      <c r="E10" s="117" t="s">
        <v>318</v>
      </c>
      <c r="F10" s="117" t="s">
        <v>376</v>
      </c>
      <c r="G10" s="118" t="str">
        <f t="shared" si="0"/>
        <v>[effect:enemy_message, val1:1.2, val2:2.2]</v>
      </c>
      <c r="H10" s="118">
        <f t="shared" si="1"/>
        <v>9</v>
      </c>
      <c r="I10" s="118">
        <f t="shared" si="2"/>
        <v>22</v>
      </c>
      <c r="J10" s="118" t="e">
        <f t="shared" si="3"/>
        <v>#VALUE!</v>
      </c>
      <c r="K10" s="118">
        <f t="shared" si="4"/>
        <v>32</v>
      </c>
      <c r="L10" s="118" t="str">
        <f>IFERROR(VLOOKUP(MID(G10,J10,K10-J10),[6]skilldef!$C:$D,2,FALSE),"-") &amp; " / " &amp; IFERROR(VLOOKUP(MID(G10,H10,I10-H10),[6]skilldef!$A:$B,2,FALSE),"-")</f>
        <v>- / -</v>
      </c>
      <c r="M10" s="118" t="str">
        <f t="shared" si="5"/>
        <v>[effect:spread, val:0.4],[effect:hungup, target:unit_all, turn:2, rate:1, animation:hungup01]</v>
      </c>
      <c r="N10" s="119" t="str">
        <f t="shared" si="16"/>
        <v>[effect:spread, val:0.4],[effect:hungup, target:unit_all, turn:2, rate:1, animation:hungup01]</v>
      </c>
      <c r="O10" s="118">
        <f t="shared" si="6"/>
        <v>9</v>
      </c>
      <c r="P10" s="118">
        <f t="shared" si="7"/>
        <v>15</v>
      </c>
      <c r="Q10" s="118">
        <f t="shared" si="8"/>
        <v>49</v>
      </c>
      <c r="R10" s="118">
        <f t="shared" si="9"/>
        <v>25</v>
      </c>
      <c r="S10" s="118" t="str">
        <f>IFERROR(VLOOKUP(MID(N10,Q10,R10-Q10),[6]skilldef!$C:$D,2,FALSE),"-") &amp; " / " &amp; IFERROR(VLOOKUP(MID(N10,O10,P10-O10),[6]skilldef!$A:$B,2,FALSE),"-")</f>
        <v>- / 全体攻撃</v>
      </c>
      <c r="T10" s="119" t="str">
        <f t="shared" si="10"/>
        <v>[effect:hungup, target:unit_all, turn:2, rate:1, animation:hungup01]</v>
      </c>
      <c r="U10" s="118">
        <f t="shared" si="11"/>
        <v>9</v>
      </c>
      <c r="V10" s="118">
        <f t="shared" si="12"/>
        <v>15</v>
      </c>
      <c r="W10" s="118">
        <f t="shared" si="13"/>
        <v>24</v>
      </c>
      <c r="X10" s="118">
        <f t="shared" si="14"/>
        <v>32</v>
      </c>
      <c r="Y10" s="118" t="str">
        <f>IFERROR(VLOOKUP(MID(T10,W10,X10-W10),[6]skilldef!$C:$D,2,FALSE),"-") &amp; " / " &amp; IFERROR(VLOOKUP(MID(T10,U10,V10-U10),[6]skilldef!$A:$B,2,FALSE),"-")</f>
        <v>味方全体に / ハングアップ</v>
      </c>
      <c r="Z10" s="116"/>
      <c r="AA10" s="120"/>
      <c r="AB10" s="116"/>
    </row>
    <row r="11" spans="1:28" ht="21" customHeight="1" x14ac:dyDescent="0.15">
      <c r="A11" s="130">
        <v>49014010</v>
      </c>
      <c r="B11" s="108" t="s">
        <v>427</v>
      </c>
      <c r="C11" s="109">
        <v>3</v>
      </c>
      <c r="D11" s="109" t="s">
        <v>126</v>
      </c>
      <c r="E11" s="110" t="s">
        <v>319</v>
      </c>
      <c r="F11" s="110" t="s">
        <v>278</v>
      </c>
      <c r="G11" s="111" t="str">
        <f t="shared" si="0"/>
        <v>[effect:enemy_message, val1:1.2, val2:2]</v>
      </c>
      <c r="H11" s="111">
        <f t="shared" si="1"/>
        <v>9</v>
      </c>
      <c r="I11" s="111">
        <f t="shared" si="2"/>
        <v>22</v>
      </c>
      <c r="J11" s="111" t="e">
        <f t="shared" si="3"/>
        <v>#VALUE!</v>
      </c>
      <c r="K11" s="111">
        <f t="shared" si="4"/>
        <v>32</v>
      </c>
      <c r="L11" s="111" t="str">
        <f>IFERROR(VLOOKUP(MID(G11,J11,K11-J11),[6]skilldef!$C:$D,2,FALSE),"-") &amp; " / " &amp; IFERROR(VLOOKUP(MID(G11,H11,I11-H11),[6]skilldef!$A:$B,2,FALSE),"-")</f>
        <v>- / -</v>
      </c>
      <c r="M11" s="111" t="str">
        <f t="shared" si="5"/>
        <v>[effect:fix_speed, target:myself, turn:2],[effect:attack_break, target:unit_all, turn:3, val:0.3, calc:mul, animation:attack_break01]</v>
      </c>
      <c r="N11" s="112" t="str">
        <f t="shared" si="16"/>
        <v>[effect:fix_speed, target:myself, turn:2],[effect:attack_break, target:unit_all, turn:3, val:0.3, calc:mul, animation:attack_break01]</v>
      </c>
      <c r="O11" s="111">
        <f t="shared" si="6"/>
        <v>9</v>
      </c>
      <c r="P11" s="111">
        <f t="shared" si="7"/>
        <v>18</v>
      </c>
      <c r="Q11" s="111">
        <f t="shared" si="8"/>
        <v>27</v>
      </c>
      <c r="R11" s="111">
        <f t="shared" si="9"/>
        <v>33</v>
      </c>
      <c r="S11" s="111" t="str">
        <f>IFERROR(VLOOKUP(MID(N11,Q11,R11-Q11),[6]skilldef!$C:$D,2,FALSE),"-") &amp; " / " &amp; IFERROR(VLOOKUP(MID(N11,O11,P11-O11),[6]skilldef!$A:$B,2,FALSE),"-")</f>
        <v>自分自身に / 行動値設定</v>
      </c>
      <c r="T11" s="112" t="str">
        <f t="shared" si="10"/>
        <v>[effect:attack_break, target:unit_all, turn:3, val:0.3, calc:mul, animation:attack_break01]</v>
      </c>
      <c r="U11" s="111">
        <f t="shared" si="11"/>
        <v>9</v>
      </c>
      <c r="V11" s="111">
        <f t="shared" si="12"/>
        <v>21</v>
      </c>
      <c r="W11" s="111">
        <f t="shared" si="13"/>
        <v>30</v>
      </c>
      <c r="X11" s="111">
        <f t="shared" si="14"/>
        <v>38</v>
      </c>
      <c r="Y11" s="111" t="str">
        <f>IFERROR(VLOOKUP(MID(T11,W11,X11-W11),[6]skilldef!$C:$D,2,FALSE),"-") &amp; " / " &amp; IFERROR(VLOOKUP(MID(T11,U11,V11-U11),[6]skilldef!$A:$B,2,FALSE),"-")</f>
        <v>味方全体に / -</v>
      </c>
      <c r="Z11" s="109"/>
      <c r="AA11" s="113"/>
      <c r="AB11" s="109"/>
    </row>
    <row r="12" spans="1:28" ht="24" customHeight="1" thickBot="1" x14ac:dyDescent="0.2">
      <c r="A12" s="133">
        <v>49014011</v>
      </c>
      <c r="B12" s="115" t="s">
        <v>407</v>
      </c>
      <c r="C12" s="116">
        <v>3</v>
      </c>
      <c r="D12" s="116" t="s">
        <v>126</v>
      </c>
      <c r="E12" s="117" t="s">
        <v>388</v>
      </c>
      <c r="F12" s="117" t="s">
        <v>347</v>
      </c>
      <c r="G12" s="118" t="str">
        <f t="shared" si="0"/>
        <v>[effect:enemy_message, val1:1.2, val2:2.2]</v>
      </c>
      <c r="H12" s="118">
        <f t="shared" si="1"/>
        <v>9</v>
      </c>
      <c r="I12" s="118">
        <f t="shared" si="2"/>
        <v>22</v>
      </c>
      <c r="J12" s="118" t="e">
        <f t="shared" si="3"/>
        <v>#VALUE!</v>
      </c>
      <c r="K12" s="118">
        <f t="shared" si="4"/>
        <v>32</v>
      </c>
      <c r="L12" s="118" t="str">
        <f>IFERROR(VLOOKUP(MID(G12,J12,K12-J12),[6]skilldef!$C:$D,2,FALSE),"-") &amp; " / " &amp; IFERROR(VLOOKUP(MID(G12,H12,I12-H12),[6]skilldef!$A:$B,2,FALSE),"-")</f>
        <v>- / -</v>
      </c>
      <c r="M12" s="118" t="str">
        <f t="shared" si="5"/>
        <v>[effect:spread, val:0.4],[effect:change_bomb_range, target:unit_all, val:0.7, rate:1, turn:2, animation:bomb_small]</v>
      </c>
      <c r="N12" s="119" t="str">
        <f t="shared" si="16"/>
        <v>[effect:spread, val:0.4],[effect:change_bomb_range, target:unit_all, val:0.7, rate:1, turn:2, animation:bomb_small]</v>
      </c>
      <c r="O12" s="118">
        <f t="shared" si="6"/>
        <v>9</v>
      </c>
      <c r="P12" s="118">
        <f t="shared" si="7"/>
        <v>15</v>
      </c>
      <c r="Q12" s="118">
        <f t="shared" si="8"/>
        <v>60</v>
      </c>
      <c r="R12" s="118">
        <f t="shared" si="9"/>
        <v>25</v>
      </c>
      <c r="S12" s="118" t="str">
        <f>IFERROR(VLOOKUP(MID(N12,Q12,R12-Q12),[6]skilldef!$C:$D,2,FALSE),"-") &amp; " / " &amp; IFERROR(VLOOKUP(MID(N12,O12,P12-O12),[6]skilldef!$A:$B,2,FALSE),"-")</f>
        <v>- / 全体攻撃</v>
      </c>
      <c r="T12" s="119" t="str">
        <f t="shared" si="10"/>
        <v>[effect:change_bomb_range, target:unit_all, val:0.7, rate:1, turn:2, animation:bomb_small]</v>
      </c>
      <c r="U12" s="118">
        <f t="shared" si="11"/>
        <v>9</v>
      </c>
      <c r="V12" s="118">
        <f t="shared" si="12"/>
        <v>26</v>
      </c>
      <c r="W12" s="118">
        <f t="shared" si="13"/>
        <v>35</v>
      </c>
      <c r="X12" s="118">
        <f t="shared" si="14"/>
        <v>43</v>
      </c>
      <c r="Y12" s="118" t="str">
        <f>IFERROR(VLOOKUP(MID(T12,W12,X12-W12),[6]skilldef!$C:$D,2,FALSE),"-") &amp; " / " &amp; IFERROR(VLOOKUP(MID(T12,U12,V12-U12),[6]skilldef!$A:$B,2,FALSE),"-")</f>
        <v>味方全体に / -</v>
      </c>
      <c r="Z12" s="116"/>
      <c r="AA12" s="120"/>
      <c r="AB12" s="116"/>
    </row>
    <row r="13" spans="1:28" ht="21" customHeight="1" x14ac:dyDescent="0.15">
      <c r="A13" s="132">
        <v>49014012</v>
      </c>
      <c r="B13" s="108" t="s">
        <v>296</v>
      </c>
      <c r="C13" s="109">
        <v>3</v>
      </c>
      <c r="D13" s="109" t="s">
        <v>126</v>
      </c>
      <c r="E13" s="110" t="s">
        <v>320</v>
      </c>
      <c r="F13" s="110" t="s">
        <v>287</v>
      </c>
      <c r="G13" s="111" t="str">
        <f t="shared" si="0"/>
        <v>[effect:enemy_message, val1:1.2, val2:1.2]</v>
      </c>
      <c r="H13" s="111">
        <f t="shared" si="1"/>
        <v>9</v>
      </c>
      <c r="I13" s="111">
        <f t="shared" si="2"/>
        <v>22</v>
      </c>
      <c r="J13" s="111" t="e">
        <f t="shared" si="3"/>
        <v>#VALUE!</v>
      </c>
      <c r="K13" s="111">
        <f t="shared" si="4"/>
        <v>32</v>
      </c>
      <c r="L13" s="111" t="str">
        <f>IFERROR(VLOOKUP(MID(G13,J13,K13-J13),[6]skilldef!$C:$D,2,FALSE),"-") &amp; " / " &amp; IFERROR(VLOOKUP(MID(G13,H13,I13-H13),[6]skilldef!$A:$B,2,FALSE),"-")</f>
        <v>- / -</v>
      </c>
      <c r="M13" s="111" t="str">
        <f t="shared" si="5"/>
        <v>[effect:fix_speed, target:myself, turn:2],[effect:enhance_enemy, target:myself, turn:-1, status:defense, val:3000, calc:add, animation:enemy_enhance_defense]</v>
      </c>
      <c r="N13" s="112" t="str">
        <f t="shared" si="16"/>
        <v>[effect:fix_speed, target:myself, turn:2],[effect:enhance_enemy, target:myself, turn:-1, status:defense, val:3000, calc:add, animation:enemy_enhance_defense]</v>
      </c>
      <c r="O13" s="111">
        <f t="shared" si="6"/>
        <v>9</v>
      </c>
      <c r="P13" s="111">
        <f t="shared" si="7"/>
        <v>18</v>
      </c>
      <c r="Q13" s="111">
        <f t="shared" si="8"/>
        <v>27</v>
      </c>
      <c r="R13" s="111">
        <f t="shared" si="9"/>
        <v>33</v>
      </c>
      <c r="S13" s="111" t="str">
        <f>IFERROR(VLOOKUP(MID(N13,Q13,R13-Q13),[6]skilldef!$C:$D,2,FALSE),"-") &amp; " / " &amp; IFERROR(VLOOKUP(MID(N13,O13,P13-O13),[6]skilldef!$A:$B,2,FALSE),"-")</f>
        <v>自分自身に / 行動値設定</v>
      </c>
      <c r="T13" s="112" t="str">
        <f t="shared" si="10"/>
        <v>[effect:enhance_enemy, target:myself, turn:-1, status:defense, val:3000, calc:add, animation:enemy_enhance_defense]</v>
      </c>
      <c r="U13" s="111">
        <f t="shared" si="11"/>
        <v>9</v>
      </c>
      <c r="V13" s="111">
        <f t="shared" si="12"/>
        <v>22</v>
      </c>
      <c r="W13" s="111">
        <f t="shared" si="13"/>
        <v>31</v>
      </c>
      <c r="X13" s="111">
        <f t="shared" si="14"/>
        <v>37</v>
      </c>
      <c r="Y13" s="111" t="str">
        <f>IFERROR(VLOOKUP(MID(T13,W13,X13-W13),[6]skilldef!$C:$D,2,FALSE),"-") &amp; " / " &amp; IFERROR(VLOOKUP(MID(T13,U13,V13-U13),[6]skilldef!$A:$B,2,FALSE),"-")</f>
        <v>自分自身に / ステータス強化</v>
      </c>
      <c r="Z13" s="109"/>
      <c r="AA13" s="113"/>
      <c r="AB13" s="109"/>
    </row>
    <row r="14" spans="1:28" ht="21" customHeight="1" x14ac:dyDescent="0.15">
      <c r="A14" s="132">
        <v>49014013</v>
      </c>
      <c r="B14" s="47" t="s">
        <v>294</v>
      </c>
      <c r="C14" s="50">
        <v>3</v>
      </c>
      <c r="D14" s="50" t="s">
        <v>126</v>
      </c>
      <c r="E14" s="51" t="s">
        <v>321</v>
      </c>
      <c r="F14" s="51" t="s">
        <v>293</v>
      </c>
      <c r="G14" s="64" t="str">
        <f t="shared" si="0"/>
        <v>[effect:enemy_message, val1:1.2, val2:1.8]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[effect:enemy_counter, target:myself, invoke_condition:unit_all, counter_target:attacker, turn:3, val:0.3, animation:enemy_counter]</v>
      </c>
      <c r="N14" s="48" t="str">
        <f t="shared" si="16"/>
        <v>[effect:enemy_counter, target:myself, invoke_condition:unit_all, counter_target:attacker, turn:3, val:0.3, animation:enemy_counter]</v>
      </c>
      <c r="O14" s="64">
        <f t="shared" si="6"/>
        <v>9</v>
      </c>
      <c r="P14" s="64">
        <f t="shared" si="7"/>
        <v>22</v>
      </c>
      <c r="Q14" s="64">
        <f t="shared" si="8"/>
        <v>31</v>
      </c>
      <c r="R14" s="64">
        <f t="shared" si="9"/>
        <v>37</v>
      </c>
      <c r="S14" s="64" t="str">
        <f>IFERROR(VLOOKUP(MID(N14,Q14,R14-Q14),[6]skilldef!$C:$D,2,FALSE),"-") &amp; " / " &amp; IFERROR(VLOOKUP(MID(N14,O14,P14-O14),[6]skilldef!$A:$B,2,FALSE),"-")</f>
        <v>自分自身に / カウンター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132">
        <v>49014014</v>
      </c>
      <c r="B15" s="47" t="s">
        <v>259</v>
      </c>
      <c r="C15" s="50">
        <v>3</v>
      </c>
      <c r="D15" s="50" t="s">
        <v>126</v>
      </c>
      <c r="E15" s="51" t="s">
        <v>322</v>
      </c>
      <c r="F15" s="51" t="s">
        <v>258</v>
      </c>
      <c r="G15" s="64" t="str">
        <f>IFERROR(LEFT(B15,FIND("],",B15)),B15)</f>
        <v>[effect:enemy_message, val1:1.2, val2:1.2]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>IFERROR(RIGHT(B15,LEN(B15)-FIND("],",B15)-1),"none")</f>
        <v>[effect:spread, val:0.5]</v>
      </c>
      <c r="N15" s="48" t="str">
        <f t="shared" si="16"/>
        <v>[effect:spread, val:0.5]</v>
      </c>
      <c r="O15" s="64">
        <f t="shared" si="6"/>
        <v>9</v>
      </c>
      <c r="P15" s="64">
        <f t="shared" si="7"/>
        <v>15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IFERROR(VLOOKUP(MID(N15,Q15,R15-Q15),[6]skilldef!$C:$D,2,FALSE),"-") &amp; " / " &amp; IFERROR(VLOOKUP(MID(N15,O15,P15-O15),[6]skilldef!$A:$B,2,FALSE),"-")</f>
        <v>- / 全体攻撃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32">
        <v>49014015</v>
      </c>
      <c r="B16" s="47" t="s">
        <v>267</v>
      </c>
      <c r="C16" s="50">
        <v>3</v>
      </c>
      <c r="D16" s="50" t="s">
        <v>126</v>
      </c>
      <c r="E16" s="51" t="s">
        <v>323</v>
      </c>
      <c r="F16" s="51" t="s">
        <v>266</v>
      </c>
      <c r="G16" s="64" t="str">
        <f>IFERROR(LEFT(B16,FIND("],",B16)),B16)</f>
        <v>[effect:enemy_message, val1:1.2, val2:1.8]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>IFERROR(RIGHT(B16,LEN(B16)-FIND("],",B16)-1),"none")</f>
        <v>[effect:force_change_block, new_block:jammer, target:block_all, ignore01:crash, ignore02:crack_bomb, ignore03:jammer, ignore04:color_break, ignore05:magnet, count:5, val:0, animation:change_block]</v>
      </c>
      <c r="N16" s="48" t="str">
        <f t="shared" si="16"/>
        <v>[effect:force_change_block, new_block:jammer, target:block_all, ignore01:crash, ignore02:crack_bomb, ignore03:jammer, ignore04:color_break, ignore05:magnet, count:5, val:0, animation:change_block]</v>
      </c>
      <c r="O16" s="64">
        <f t="shared" si="6"/>
        <v>9</v>
      </c>
      <c r="P16" s="64">
        <f t="shared" si="7"/>
        <v>27</v>
      </c>
      <c r="Q16" s="64">
        <f t="shared" si="8"/>
        <v>54</v>
      </c>
      <c r="R16" s="64">
        <f t="shared" si="9"/>
        <v>45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thickBot="1" x14ac:dyDescent="0.2">
      <c r="A17" s="135">
        <v>49014016</v>
      </c>
      <c r="B17" s="115" t="s">
        <v>408</v>
      </c>
      <c r="C17" s="116">
        <v>3</v>
      </c>
      <c r="D17" s="116" t="s">
        <v>126</v>
      </c>
      <c r="E17" s="117" t="s">
        <v>324</v>
      </c>
      <c r="F17" s="117" t="s">
        <v>295</v>
      </c>
      <c r="G17" s="118" t="str">
        <f t="shared" si="0"/>
        <v>[effect:enemy_message, val1:1.2, val2:2]</v>
      </c>
      <c r="H17" s="118">
        <f t="shared" si="1"/>
        <v>9</v>
      </c>
      <c r="I17" s="118">
        <f t="shared" si="2"/>
        <v>22</v>
      </c>
      <c r="J17" s="118" t="e">
        <f t="shared" si="3"/>
        <v>#VALUE!</v>
      </c>
      <c r="K17" s="118">
        <f t="shared" si="4"/>
        <v>32</v>
      </c>
      <c r="L17" s="118" t="str">
        <f>IFERROR(VLOOKUP(MID(G17,J17,K17-J17),[6]skilldef!$C:$D,2,FALSE),"-") &amp; " / " &amp; IFERROR(VLOOKUP(MID(G17,H17,I17-H17),[6]skilldef!$A:$B,2,FALSE),"-")</f>
        <v>- / -</v>
      </c>
      <c r="M17" s="118" t="str">
        <f t="shared" si="5"/>
        <v>[effect:break_enchance_enemy, target:myself, val:2000, lowest_val:500, count:-1, status:defense, turn:2, block01:jammer, calc:add, animation:enemy_enhance_defense]</v>
      </c>
      <c r="N17" s="119" t="str">
        <f t="shared" si="16"/>
        <v>[effect:break_enchance_enemy, target:myself, val:2000, lowest_val:500, count:-1, status:defense, turn:2, block01:jammer, calc:add, animation:enemy_enhance_defense]</v>
      </c>
      <c r="O17" s="118">
        <f t="shared" si="6"/>
        <v>9</v>
      </c>
      <c r="P17" s="118">
        <f t="shared" si="7"/>
        <v>29</v>
      </c>
      <c r="Q17" s="118">
        <f t="shared" si="8"/>
        <v>38</v>
      </c>
      <c r="R17" s="118">
        <f t="shared" si="9"/>
        <v>44</v>
      </c>
      <c r="S17" s="118" t="str">
        <f>IFERROR(VLOOKUP(MID(N17,Q17,R17-Q17),[6]skilldef!$C:$D,2,FALSE),"-") &amp; " / " &amp; IFERROR(VLOOKUP(MID(N17,O17,P17-O17),[6]skilldef!$A:$B,2,FALSE),"-")</f>
        <v>自分自身に / -</v>
      </c>
      <c r="T17" s="119" t="str">
        <f t="shared" si="10"/>
        <v>none</v>
      </c>
      <c r="U17" s="118" t="e">
        <f t="shared" si="11"/>
        <v>#VALUE!</v>
      </c>
      <c r="V17" s="118">
        <f t="shared" si="12"/>
        <v>4</v>
      </c>
      <c r="W17" s="118" t="e">
        <f t="shared" si="13"/>
        <v>#VALUE!</v>
      </c>
      <c r="X17" s="118" t="e">
        <f t="shared" si="14"/>
        <v>#VALUE!</v>
      </c>
      <c r="Y17" s="118" t="str">
        <f>IFERROR(VLOOKUP(MID(T17,W17,X17-W17),[6]skilldef!$C:$D,2,FALSE),"-") &amp; " / " &amp; IFERROR(VLOOKUP(MID(T17,U17,V17-U17),[6]skilldef!$A:$B,2,FALSE),"-")</f>
        <v>- / -</v>
      </c>
      <c r="Z17" s="116"/>
      <c r="AA17" s="120"/>
      <c r="AB17" s="116"/>
    </row>
    <row r="18" spans="1:28" ht="21" customHeight="1" x14ac:dyDescent="0.15">
      <c r="A18" s="156">
        <v>49014017</v>
      </c>
      <c r="B18" s="140" t="s">
        <v>429</v>
      </c>
      <c r="C18" s="157">
        <v>3</v>
      </c>
      <c r="D18" s="157" t="s">
        <v>126</v>
      </c>
      <c r="E18" s="158" t="s">
        <v>288</v>
      </c>
      <c r="F18" s="158" t="s">
        <v>428</v>
      </c>
      <c r="G18" s="159" t="str">
        <f t="shared" si="0"/>
        <v>[effect:enemy_message, val1:1.6, val2:1.9]</v>
      </c>
      <c r="H18" s="159">
        <f t="shared" si="1"/>
        <v>9</v>
      </c>
      <c r="I18" s="159">
        <f t="shared" si="2"/>
        <v>22</v>
      </c>
      <c r="J18" s="159" t="e">
        <f t="shared" si="3"/>
        <v>#VALUE!</v>
      </c>
      <c r="K18" s="159">
        <f t="shared" si="4"/>
        <v>32</v>
      </c>
      <c r="L18" s="159" t="str">
        <f>IFERROR(VLOOKUP(MID(G18,J18,K18-J18),[6]skilldef!$C:$D,2,FALSE),"-") &amp; " / " &amp; IFERROR(VLOOKUP(MID(G18,H18,I18-H18),[6]skilldef!$A:$B,2,FALSE),"-")</f>
        <v>- / -</v>
      </c>
      <c r="M18" s="159" t="str">
        <f t="shared" si="5"/>
        <v>[effect:ability_lock, target:unit_all, turn:1],[effect:sleep, target:unit_all, turn:1, rate:1, calc_type:target_all],[effect:fix_speed, target:myself, turn:1]</v>
      </c>
      <c r="N18" s="141" t="str">
        <f>IFERROR(LEFT(M18,FIND("],",M18)+S29),M18)</f>
        <v>[effect:ability_lock, target:unit_all, turn:1],[effect:sleep, target:unit_all, turn:1, rate:1, calc_type:target_all],[effect:fix_speed, target:myself, turn:1]</v>
      </c>
      <c r="O18" s="159">
        <f t="shared" si="6"/>
        <v>9</v>
      </c>
      <c r="P18" s="159">
        <f t="shared" si="7"/>
        <v>21</v>
      </c>
      <c r="Q18" s="159">
        <f t="shared" si="8"/>
        <v>30</v>
      </c>
      <c r="R18" s="159">
        <f t="shared" si="9"/>
        <v>38</v>
      </c>
      <c r="S18" s="159" t="str">
        <f>IFERROR(VLOOKUP(MID(N18,Q18,R18-Q18),[6]skilldef!$C:$D,2,FALSE),"-") &amp; " / " &amp; IFERROR(VLOOKUP(MID(N18,O18,P18-O18),[6]skilldef!$A:$B,2,FALSE),"-")</f>
        <v>味方全体に / -</v>
      </c>
      <c r="T18" s="141" t="str">
        <f t="shared" si="10"/>
        <v>[effect:sleep, target:unit_all, turn:1, rate:1, calc_type:target_all],[effect:fix_speed, target:myself, turn:1]</v>
      </c>
      <c r="U18" s="159">
        <f t="shared" si="11"/>
        <v>9</v>
      </c>
      <c r="V18" s="159">
        <f t="shared" si="12"/>
        <v>14</v>
      </c>
      <c r="W18" s="159">
        <f t="shared" si="13"/>
        <v>23</v>
      </c>
      <c r="X18" s="159">
        <f t="shared" si="14"/>
        <v>31</v>
      </c>
      <c r="Y18" s="159" t="str">
        <f>IFERROR(VLOOKUP(MID(T18,W18,X18-W18),[6]skilldef!$C:$D,2,FALSE),"-") &amp; " / " &amp; IFERROR(VLOOKUP(MID(T18,U18,V18-U18),[6]skilldef!$A:$B,2,FALSE),"-")</f>
        <v>味方全体に / スリープ</v>
      </c>
      <c r="Z18" s="157"/>
      <c r="AA18" s="160"/>
      <c r="AB18" s="157"/>
    </row>
    <row r="19" spans="1:28" ht="21" customHeight="1" thickBot="1" x14ac:dyDescent="0.2">
      <c r="A19" s="150">
        <v>49014018</v>
      </c>
      <c r="B19" s="147" t="s">
        <v>402</v>
      </c>
      <c r="C19" s="151">
        <v>3</v>
      </c>
      <c r="D19" s="151" t="s">
        <v>126</v>
      </c>
      <c r="E19" s="152" t="s">
        <v>289</v>
      </c>
      <c r="F19" s="152" t="s">
        <v>401</v>
      </c>
      <c r="G19" s="153" t="str">
        <f t="shared" ref="G19" si="17">IFERROR(LEFT(B19,FIND("],",B19)),B19)</f>
        <v>[effect:enemy_message, val1:1.2, val2:2.4]</v>
      </c>
      <c r="H19" s="153">
        <f t="shared" ref="H19" si="18">FIND("effect:",G19)+7</f>
        <v>9</v>
      </c>
      <c r="I19" s="153">
        <f t="shared" ref="I19" si="19">IFERROR(FIND(",",G19),LEN(G19))</f>
        <v>22</v>
      </c>
      <c r="J19" s="153" t="e">
        <f t="shared" ref="J19" si="20">FIND("target:",G19)+7</f>
        <v>#VALUE!</v>
      </c>
      <c r="K19" s="153">
        <f t="shared" ref="K19" si="21">FIND(",",G19,I19+1)</f>
        <v>32</v>
      </c>
      <c r="L19" s="153" t="str">
        <f>IFERROR(VLOOKUP(MID(G19,J19,K19-J19),[6]skilldef!$C:$D,2,FALSE),"-") &amp; " / " &amp; IFERROR(VLOOKUP(MID(G19,H19,I19-H19),[6]skilldef!$A:$B,2,FALSE),"-")</f>
        <v>- / -</v>
      </c>
      <c r="M19" s="153" t="str">
        <f t="shared" ref="M19" si="22">IFERROR(RIGHT(B19,LEN(B19)-FIND("],",B19)-1),"none")</f>
        <v>[effect:force_change_block, new_block:crash, target:block_all, ignore01:crash, ignore02:crack_bomb, ignore03:color_break, ignore04:magnet, count:5, val:12],[effect:suicide, target:myself, val:1, dead_type:escape]</v>
      </c>
      <c r="N19" s="154" t="str">
        <f>IFERROR(LEFT(M19,FIND("],",M19)+S30),M19)</f>
        <v>[effect:force_change_block, new_block:crash, target:block_all, ignore01:crash, ignore02:crack_bomb, ignore03:color_break, ignore04:magnet, count:5, val:12],[effect:suicide, target:myself, val:1, dead_type:escape]</v>
      </c>
      <c r="O19" s="153">
        <f t="shared" ref="O19" si="23">FIND("effect:",N19)+7</f>
        <v>9</v>
      </c>
      <c r="P19" s="153">
        <f t="shared" ref="P19" si="24">IFERROR(FIND(",",N19),LEN(N19))</f>
        <v>27</v>
      </c>
      <c r="Q19" s="153">
        <f t="shared" ref="Q19" si="25">FIND("target:",N19)+7</f>
        <v>53</v>
      </c>
      <c r="R19" s="153">
        <f t="shared" ref="R19" si="26">FIND(",",N19,P19+1)</f>
        <v>44</v>
      </c>
      <c r="S19" s="153" t="str">
        <f>IFERROR(VLOOKUP(MID(N19,Q19,R19-Q19),[6]skilldef!$C:$D,2,FALSE),"-") &amp; " / " &amp; IFERROR(VLOOKUP(MID(N19,O19,P19-O19),[6]skilldef!$A:$B,2,FALSE),"-")</f>
        <v>- / -</v>
      </c>
      <c r="T19" s="154" t="str">
        <f t="shared" ref="T19" si="27">IFERROR(RIGHT(M19,LEN(M19)-FIND("],",M19)-1),"none")</f>
        <v>[effect:suicide, target:myself, val:1, dead_type:escape]</v>
      </c>
      <c r="U19" s="153">
        <f t="shared" ref="U19" si="28">FIND("effect:",T19)+7</f>
        <v>9</v>
      </c>
      <c r="V19" s="153">
        <f t="shared" ref="V19" si="29">IFERROR(FIND(",",T19),LEN(T19))</f>
        <v>16</v>
      </c>
      <c r="W19" s="153">
        <f t="shared" ref="W19" si="30">FIND("target:",T19)+7</f>
        <v>25</v>
      </c>
      <c r="X19" s="153">
        <f t="shared" ref="X19" si="31">FIND(",",T19,V19+1)</f>
        <v>31</v>
      </c>
      <c r="Y19" s="153" t="str">
        <f>IFERROR(VLOOKUP(MID(T19,W19,X19-W19),[6]skilldef!$C:$D,2,FALSE),"-") &amp; " / " &amp; IFERROR(VLOOKUP(MID(T19,U19,V19-U19),[6]skilldef!$A:$B,2,FALSE),"-")</f>
        <v>自分自身に / -</v>
      </c>
      <c r="Z19" s="151"/>
      <c r="AA19" s="155"/>
      <c r="AB19" s="151"/>
    </row>
    <row r="20" spans="1:28" ht="21" customHeight="1" x14ac:dyDescent="0.15">
      <c r="A20" s="134">
        <v>49014019</v>
      </c>
      <c r="B20" s="108" t="s">
        <v>349</v>
      </c>
      <c r="C20" s="109">
        <v>3</v>
      </c>
      <c r="D20" s="109" t="s">
        <v>126</v>
      </c>
      <c r="E20" s="110" t="s">
        <v>300</v>
      </c>
      <c r="F20" s="110" t="s">
        <v>268</v>
      </c>
      <c r="G20" s="111" t="str">
        <f t="shared" si="0"/>
        <v>[effect:enemy_message, val1:1.8, val2:1.2]</v>
      </c>
      <c r="H20" s="111">
        <f t="shared" si="1"/>
        <v>9</v>
      </c>
      <c r="I20" s="111">
        <f t="shared" si="2"/>
        <v>22</v>
      </c>
      <c r="J20" s="111" t="e">
        <f t="shared" si="3"/>
        <v>#VALUE!</v>
      </c>
      <c r="K20" s="111">
        <f t="shared" si="4"/>
        <v>32</v>
      </c>
      <c r="L20" s="111" t="str">
        <f>IFERROR(VLOOKUP(MID(G20,J20,K20-J20),[6]skilldef!$C:$D,2,FALSE),"-") &amp; " / " &amp; IFERROR(VLOOKUP(MID(G20,H20,I20-H20),[6]skilldef!$A:$B,2,FALSE),"-")</f>
        <v>- / -</v>
      </c>
      <c r="M20" s="111" t="str">
        <f t="shared" si="5"/>
        <v>[effect:fix_speed, target:myself, turn:3],[effect:tolerance, target:myself, turn:-1, count:-1, tolerance_effect:all, animation:enemy_tolerance]</v>
      </c>
      <c r="N20" s="112" t="str">
        <f t="shared" si="15"/>
        <v>[effect:fix_speed, target:myself, turn:3],[effect:tolerance, target:myself, turn:-1, count:-1, tolerance_effect:all, animation:enemy_tolerance]</v>
      </c>
      <c r="O20" s="111">
        <f t="shared" si="6"/>
        <v>9</v>
      </c>
      <c r="P20" s="111">
        <f t="shared" si="7"/>
        <v>18</v>
      </c>
      <c r="Q20" s="111">
        <f t="shared" si="8"/>
        <v>27</v>
      </c>
      <c r="R20" s="111">
        <f t="shared" si="9"/>
        <v>33</v>
      </c>
      <c r="S20" s="111" t="str">
        <f>IFERROR(VLOOKUP(MID(N20,Q20,R20-Q20),[6]skilldef!$C:$D,2,FALSE),"-") &amp; " / " &amp; IFERROR(VLOOKUP(MID(N20,O20,P20-O20),[6]skilldef!$A:$B,2,FALSE),"-")</f>
        <v>自分自身に / 行動値設定</v>
      </c>
      <c r="T20" s="112" t="str">
        <f t="shared" si="10"/>
        <v>[effect:tolerance, target:myself, turn:-1, count:-1, tolerance_effect:all, animation:enemy_tolerance]</v>
      </c>
      <c r="U20" s="111">
        <f t="shared" si="11"/>
        <v>9</v>
      </c>
      <c r="V20" s="111">
        <f t="shared" si="12"/>
        <v>18</v>
      </c>
      <c r="W20" s="111">
        <f t="shared" si="13"/>
        <v>27</v>
      </c>
      <c r="X20" s="111">
        <f t="shared" si="14"/>
        <v>33</v>
      </c>
      <c r="Y20" s="111" t="str">
        <f>IFERROR(VLOOKUP(MID(T20,W20,X20-W20),[6]skilldef!$C:$D,2,FALSE),"-") &amp; " / " &amp; IFERROR(VLOOKUP(MID(T20,U20,V20-U20),[6]skilldef!$A:$B,2,FALSE),"-")</f>
        <v>自分自身に / 状態異常耐性</v>
      </c>
      <c r="Z20" s="109"/>
      <c r="AA20" s="113"/>
      <c r="AB20" s="109"/>
    </row>
    <row r="21" spans="1:28" ht="21" customHeight="1" x14ac:dyDescent="0.15">
      <c r="A21" s="134">
        <v>49014020</v>
      </c>
      <c r="B21" s="47" t="s">
        <v>409</v>
      </c>
      <c r="C21" s="50">
        <v>3</v>
      </c>
      <c r="D21" s="50" t="s">
        <v>126</v>
      </c>
      <c r="E21" s="51" t="s">
        <v>325</v>
      </c>
      <c r="F21" s="51" t="s">
        <v>279</v>
      </c>
      <c r="G21" s="64" t="str">
        <f t="shared" si="0"/>
        <v>[effect:enemy_message, val1:1.2, val2:3.8]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>[effect:damage_anti_tribe, target:unit_all, tribe:god, val1:0.7, val2:0.2],[effect:force_change_block, new_block:damage, target:block_all, ignore01:crash, ignore02:crack_bomb, ignore03:damage, ignore04:color_break, ignore05:magnet, color:block_blue, count:4, val:0.1, animation:change_block]</v>
      </c>
      <c r="N21" s="48" t="str">
        <f t="shared" si="15"/>
        <v>[effect:damage_anti_tribe, target:unit_all, tribe:god, val1:0.7, val2:0.2],[effect:force_change_block, new_block:damage, target:block_all, ignore01:crash, ignore02:crack_bomb, ignore03:damage, ignore04:color_break, ignore05:magnet, color:block_blue, count:4, val:0.1, animation:change_block]</v>
      </c>
      <c r="O21" s="64">
        <f t="shared" si="6"/>
        <v>9</v>
      </c>
      <c r="P21" s="64">
        <f t="shared" si="7"/>
        <v>26</v>
      </c>
      <c r="Q21" s="64">
        <f t="shared" si="8"/>
        <v>35</v>
      </c>
      <c r="R21" s="64">
        <f t="shared" si="9"/>
        <v>43</v>
      </c>
      <c r="S21" s="64" t="str">
        <f>IFERROR(VLOOKUP(MID(N21,Q21,R21-Q21),[6]skilldef!$C:$D,2,FALSE),"-") &amp; " / " &amp; IFERROR(VLOOKUP(MID(N21,O21,P21-O21),[6]skilldef!$A:$B,2,FALSE),"-")</f>
        <v>味方全体に / 種族キラー</v>
      </c>
      <c r="T21" s="48" t="str">
        <f t="shared" si="10"/>
        <v>[effect:force_change_block, new_block:damage, target:block_all, ignore01:crash, ignore02:crack_bomb, ignore03:damage, ignore04:color_break, ignore05:magnet, color:block_blue, count:4, val:0.1, animation:change_block]</v>
      </c>
      <c r="U21" s="64">
        <f t="shared" si="11"/>
        <v>9</v>
      </c>
      <c r="V21" s="64">
        <f t="shared" si="12"/>
        <v>27</v>
      </c>
      <c r="W21" s="64">
        <f t="shared" si="13"/>
        <v>54</v>
      </c>
      <c r="X21" s="64">
        <f t="shared" si="14"/>
        <v>45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34">
        <v>49014021</v>
      </c>
      <c r="B22" s="47" t="s">
        <v>410</v>
      </c>
      <c r="C22" s="50">
        <v>3</v>
      </c>
      <c r="D22" s="50" t="s">
        <v>126</v>
      </c>
      <c r="E22" s="51" t="s">
        <v>326</v>
      </c>
      <c r="F22" s="51" t="s">
        <v>282</v>
      </c>
      <c r="G22" s="64" t="str">
        <f t="shared" si="0"/>
        <v>[effect:enemy_message, val1:1.2, val2:2.6]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[effect:spread, val:0.35],[effect:force_change_block, new_block:damage, target:block_all, ignore01:crash, ignore02:crack_bomb, ignore03:color_break, ignore04:damage, ignore05:magnet, color:block_blue, count:8, val:0.1, animation:change_block]</v>
      </c>
      <c r="N22" s="48" t="str">
        <f t="shared" si="15"/>
        <v>[effect:spread, val:0.35],[effect:force_change_block, new_block:damage, target:block_all, ignore01:crash, ignore02:crack_bomb, ignore03:color_break, ignore04:damage, ignore05:magnet, color:block_blue, count:8, val:0.1, animation:change_block]</v>
      </c>
      <c r="O22" s="64">
        <f t="shared" si="6"/>
        <v>9</v>
      </c>
      <c r="P22" s="64">
        <f t="shared" si="7"/>
        <v>15</v>
      </c>
      <c r="Q22" s="64">
        <f t="shared" si="8"/>
        <v>80</v>
      </c>
      <c r="R22" s="64">
        <f t="shared" si="9"/>
        <v>26</v>
      </c>
      <c r="S22" s="64" t="str">
        <f>IFERROR(VLOOKUP(MID(N22,Q22,R22-Q22),[6]skilldef!$C:$D,2,FALSE),"-") &amp; " / " &amp; IFERROR(VLOOKUP(MID(N22,O22,P22-O22),[6]skilldef!$A:$B,2,FALSE),"-")</f>
        <v>- / 全体攻撃</v>
      </c>
      <c r="T22" s="48" t="str">
        <f t="shared" si="10"/>
        <v>[effect:force_change_block, new_block:damage, target:block_all, ignore01:crash, ignore02:crack_bomb, ignore03:color_break, ignore04:damage, ignore05:magnet, color:block_blue, count:8, val:0.1, animation:change_block]</v>
      </c>
      <c r="U22" s="64">
        <f t="shared" si="11"/>
        <v>9</v>
      </c>
      <c r="V22" s="64">
        <f t="shared" si="12"/>
        <v>27</v>
      </c>
      <c r="W22" s="64">
        <f t="shared" si="13"/>
        <v>54</v>
      </c>
      <c r="X22" s="64">
        <f t="shared" si="14"/>
        <v>45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thickBot="1" x14ac:dyDescent="0.2">
      <c r="A23" s="136">
        <v>49014022</v>
      </c>
      <c r="B23" s="115" t="s">
        <v>285</v>
      </c>
      <c r="C23" s="116">
        <v>3</v>
      </c>
      <c r="D23" s="116" t="s">
        <v>126</v>
      </c>
      <c r="E23" s="117" t="s">
        <v>327</v>
      </c>
      <c r="F23" s="117" t="s">
        <v>284</v>
      </c>
      <c r="G23" s="118" t="str">
        <f t="shared" si="0"/>
        <v>[effect:enemy_message, val1:1.2, val2:1.6]</v>
      </c>
      <c r="H23" s="118">
        <f t="shared" si="1"/>
        <v>9</v>
      </c>
      <c r="I23" s="118">
        <f t="shared" si="2"/>
        <v>22</v>
      </c>
      <c r="J23" s="118" t="e">
        <f t="shared" si="3"/>
        <v>#VALUE!</v>
      </c>
      <c r="K23" s="118">
        <f t="shared" si="4"/>
        <v>32</v>
      </c>
      <c r="L23" s="118" t="str">
        <f>IFERROR(VLOOKUP(MID(G23,J23,K23-J23),[6]skilldef!$C:$D,2,FALSE),"-") &amp; " / " &amp; IFERROR(VLOOKUP(MID(G23,H23,I23-H23),[6]skilldef!$A:$B,2,FALSE),"-")</f>
        <v>- / -</v>
      </c>
      <c r="M23" s="118" t="str">
        <f t="shared" si="5"/>
        <v>[effect:break_attack, target:unit_all, val:0.04, lowest_val:2500, count:-1, color:blue, block01:damage]</v>
      </c>
      <c r="N23" s="119" t="str">
        <f t="shared" si="15"/>
        <v>[effect:break_attack, target:unit_all, val:0.04, lowest_val:2500, count:-1, color:blue, block01:damage]</v>
      </c>
      <c r="O23" s="118">
        <f t="shared" si="6"/>
        <v>9</v>
      </c>
      <c r="P23" s="118">
        <f t="shared" si="7"/>
        <v>21</v>
      </c>
      <c r="Q23" s="118">
        <f t="shared" si="8"/>
        <v>30</v>
      </c>
      <c r="R23" s="118">
        <f t="shared" si="9"/>
        <v>38</v>
      </c>
      <c r="S23" s="118" t="str">
        <f>IFERROR(VLOOKUP(MID(N23,Q23,R23-Q23),[6]skilldef!$C:$D,2,FALSE),"-") &amp; " / " &amp; IFERROR(VLOOKUP(MID(N23,O23,P23-O23),[6]skilldef!$A:$B,2,FALSE),"-")</f>
        <v>味方全体に / -</v>
      </c>
      <c r="T23" s="119" t="str">
        <f t="shared" si="10"/>
        <v>none</v>
      </c>
      <c r="U23" s="118" t="e">
        <f t="shared" si="11"/>
        <v>#VALUE!</v>
      </c>
      <c r="V23" s="118">
        <f t="shared" si="12"/>
        <v>4</v>
      </c>
      <c r="W23" s="118" t="e">
        <f t="shared" si="13"/>
        <v>#VALUE!</v>
      </c>
      <c r="X23" s="118" t="e">
        <f t="shared" si="14"/>
        <v>#VALUE!</v>
      </c>
      <c r="Y23" s="118" t="str">
        <f>IFERROR(VLOOKUP(MID(T23,W23,X23-W23),[6]skilldef!$C:$D,2,FALSE),"-") &amp; " / " &amp; IFERROR(VLOOKUP(MID(T23,U23,V23-U23),[6]skilldef!$A:$B,2,FALSE),"-")</f>
        <v>- / -</v>
      </c>
      <c r="Z23" s="116"/>
      <c r="AA23" s="120"/>
      <c r="AB23" s="116"/>
    </row>
    <row r="24" spans="1:28" ht="21" customHeight="1" x14ac:dyDescent="0.15">
      <c r="A24" s="134">
        <v>49014023</v>
      </c>
      <c r="B24" s="108" t="s">
        <v>411</v>
      </c>
      <c r="C24" s="109">
        <v>3</v>
      </c>
      <c r="D24" s="109" t="s">
        <v>126</v>
      </c>
      <c r="E24" s="110" t="s">
        <v>339</v>
      </c>
      <c r="F24" s="110" t="s">
        <v>269</v>
      </c>
      <c r="G24" s="111" t="str">
        <f t="shared" si="0"/>
        <v>[effect:enemy_message, val1:1.4, val2:1.6]</v>
      </c>
      <c r="H24" s="111">
        <f t="shared" si="1"/>
        <v>9</v>
      </c>
      <c r="I24" s="111">
        <f t="shared" si="2"/>
        <v>22</v>
      </c>
      <c r="J24" s="111" t="e">
        <f t="shared" si="3"/>
        <v>#VALUE!</v>
      </c>
      <c r="K24" s="111">
        <f t="shared" si="4"/>
        <v>32</v>
      </c>
      <c r="L24" s="111" t="str">
        <f>IFERROR(VLOOKUP(MID(G24,J24,K24-J24),[6]skilldef!$C:$D,2,FALSE),"-") &amp; " / " &amp; IFERROR(VLOOKUP(MID(G24,H24,I24-H24),[6]skilldef!$A:$B,2,FALSE),"-")</f>
        <v>- / -</v>
      </c>
      <c r="M24" s="111" t="str">
        <f t="shared" si="5"/>
        <v>[effect:fix_speed, target:myself, turn:2],[effect:tolerance, target:myself, turn:-1, count:-1, tolerance_effect:all, animation:enemy_tolerance]</v>
      </c>
      <c r="N24" s="112" t="str">
        <f t="shared" si="15"/>
        <v>[effect:fix_speed, target:myself, turn:2],[effect:tolerance, target:myself, turn:-1, count:-1, tolerance_effect:all, animation:enemy_tolerance]</v>
      </c>
      <c r="O24" s="111">
        <f t="shared" si="6"/>
        <v>9</v>
      </c>
      <c r="P24" s="111">
        <f t="shared" si="7"/>
        <v>18</v>
      </c>
      <c r="Q24" s="111">
        <f t="shared" si="8"/>
        <v>27</v>
      </c>
      <c r="R24" s="111">
        <f t="shared" si="9"/>
        <v>33</v>
      </c>
      <c r="S24" s="111" t="str">
        <f>IFERROR(VLOOKUP(MID(N24,Q24,R24-Q24),[6]skilldef!$C:$D,2,FALSE),"-") &amp; " / " &amp; IFERROR(VLOOKUP(MID(N24,O24,P24-O24),[6]skilldef!$A:$B,2,FALSE),"-")</f>
        <v>自分自身に / 行動値設定</v>
      </c>
      <c r="T24" s="112" t="str">
        <f t="shared" si="10"/>
        <v>[effect:tolerance, target:myself, turn:-1, count:-1, tolerance_effect:all, animation:enemy_tolerance]</v>
      </c>
      <c r="U24" s="111">
        <f t="shared" si="11"/>
        <v>9</v>
      </c>
      <c r="V24" s="111">
        <f t="shared" si="12"/>
        <v>18</v>
      </c>
      <c r="W24" s="111">
        <f t="shared" si="13"/>
        <v>27</v>
      </c>
      <c r="X24" s="111">
        <f t="shared" si="14"/>
        <v>33</v>
      </c>
      <c r="Y24" s="111" t="str">
        <f>IFERROR(VLOOKUP(MID(T24,W24,X24-W24),[6]skilldef!$C:$D,2,FALSE),"-") &amp; " / " &amp; IFERROR(VLOOKUP(MID(T24,U24,V24-U24),[6]skilldef!$A:$B,2,FALSE),"-")</f>
        <v>自分自身に / 状態異常耐性</v>
      </c>
      <c r="Z24" s="109"/>
      <c r="AA24" s="113"/>
      <c r="AB24" s="109"/>
    </row>
    <row r="25" spans="1:28" ht="21" customHeight="1" x14ac:dyDescent="0.15">
      <c r="A25" s="134">
        <v>49014024</v>
      </c>
      <c r="B25" s="47" t="s">
        <v>412</v>
      </c>
      <c r="C25" s="50">
        <v>3</v>
      </c>
      <c r="D25" s="50" t="s">
        <v>126</v>
      </c>
      <c r="E25" s="51" t="s">
        <v>328</v>
      </c>
      <c r="F25" s="51" t="s">
        <v>286</v>
      </c>
      <c r="G25" s="64" t="str">
        <f t="shared" si="0"/>
        <v>[effect:enemy_message, val1:1.2, val2:1.2]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>[effect:enhance_enemy, target:myself, turn:-1, status:attack, val:0.2, calc:mul, animation:enemy_enhance_attack],[effect:rush, count:4, val:0.35]</v>
      </c>
      <c r="N25" s="48" t="str">
        <f t="shared" ref="N25" si="32">IFERROR(LEFT(M25,FIND("],",M25)+S37),M25)</f>
        <v>[effect:enhance_enemy, target:myself, turn:-1, status:attack, val:0.2, calc:mul, animation:enemy_enhance_attack],[effect:rush, count:4, val:0.35]</v>
      </c>
      <c r="O25" s="64">
        <f t="shared" si="6"/>
        <v>9</v>
      </c>
      <c r="P25" s="64">
        <f t="shared" si="7"/>
        <v>22</v>
      </c>
      <c r="Q25" s="64">
        <f t="shared" si="8"/>
        <v>31</v>
      </c>
      <c r="R25" s="64">
        <f t="shared" si="9"/>
        <v>37</v>
      </c>
      <c r="S25" s="64" t="str">
        <f>IFERROR(VLOOKUP(MID(N25,Q25,R25-Q25),[6]skilldef!$C:$D,2,FALSE),"-") &amp; " / " &amp; IFERROR(VLOOKUP(MID(N25,O25,P25-O25),[6]skilldef!$A:$B,2,FALSE),"-")</f>
        <v>自分自身に / ステータス強化</v>
      </c>
      <c r="T25" s="48" t="str">
        <f t="shared" si="10"/>
        <v>[effect:rush, count:4, val:0.35]</v>
      </c>
      <c r="U25" s="64">
        <f t="shared" si="11"/>
        <v>9</v>
      </c>
      <c r="V25" s="64">
        <f t="shared" si="12"/>
        <v>13</v>
      </c>
      <c r="W25" s="64" t="e">
        <f t="shared" si="13"/>
        <v>#VALUE!</v>
      </c>
      <c r="X25" s="64">
        <f t="shared" si="14"/>
        <v>22</v>
      </c>
      <c r="Y25" s="64" t="str">
        <f>IFERROR(VLOOKUP(MID(T25,W25,X25-W25),[6]skilldef!$C:$D,2,FALSE),"-") &amp; " / " &amp; IFERROR(VLOOKUP(MID(T25,U25,V25-U25),[6]skilldef!$A:$B,2,FALSE),"-")</f>
        <v>- / 連続攻撃</v>
      </c>
      <c r="Z25" s="50"/>
      <c r="AA25" s="52"/>
      <c r="AB25" s="50"/>
    </row>
    <row r="26" spans="1:28" ht="21" customHeight="1" x14ac:dyDescent="0.15">
      <c r="A26" s="134">
        <v>49014025</v>
      </c>
      <c r="B26" s="47" t="s">
        <v>413</v>
      </c>
      <c r="C26" s="50">
        <v>3</v>
      </c>
      <c r="D26" s="50" t="s">
        <v>126</v>
      </c>
      <c r="E26" s="51" t="s">
        <v>326</v>
      </c>
      <c r="F26" s="51" t="s">
        <v>272</v>
      </c>
      <c r="G26" s="64" t="str">
        <f t="shared" si="0"/>
        <v>[effect:enemy_message, val1:1.2, val2:2.6]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"/>
        <v>[effect:spread, val:0.3],[effect:force_change_block, new_block:damage, target:block_yellow, color:block_blue, count:5, val:0.1, animation:change_block]</v>
      </c>
      <c r="N26" s="48" t="str">
        <f t="shared" ref="N26:N36" si="33">IFERROR(LEFT(M26,FIND("],",M26)+S40),M26)</f>
        <v>[effect:spread, val:0.3],[effect:force_change_block, new_block:damage, target:block_yellow, color:block_blue, count:5, val:0.1, animation:change_block]</v>
      </c>
      <c r="O26" s="64">
        <f t="shared" si="6"/>
        <v>9</v>
      </c>
      <c r="P26" s="64">
        <f t="shared" si="7"/>
        <v>15</v>
      </c>
      <c r="Q26" s="64">
        <f t="shared" si="8"/>
        <v>79</v>
      </c>
      <c r="R26" s="64">
        <f t="shared" si="9"/>
        <v>25</v>
      </c>
      <c r="S26" s="64" t="str">
        <f>IFERROR(VLOOKUP(MID(N26,Q26,R26-Q26),[6]skilldef!$C:$D,2,FALSE),"-") &amp; " / " &amp; IFERROR(VLOOKUP(MID(N26,O26,P26-O26),[6]skilldef!$A:$B,2,FALSE),"-")</f>
        <v>- / 全体攻撃</v>
      </c>
      <c r="T26" s="48" t="str">
        <f t="shared" si="10"/>
        <v>[effect:force_change_block, new_block:damage, target:block_yellow, color:block_blue, count:5, val:0.1, animation:change_block]</v>
      </c>
      <c r="U26" s="64">
        <f t="shared" si="11"/>
        <v>9</v>
      </c>
      <c r="V26" s="64">
        <f t="shared" si="12"/>
        <v>27</v>
      </c>
      <c r="W26" s="64">
        <f t="shared" si="13"/>
        <v>54</v>
      </c>
      <c r="X26" s="64">
        <f t="shared" si="14"/>
        <v>45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34">
        <v>49014026</v>
      </c>
      <c r="B27" s="47" t="s">
        <v>298</v>
      </c>
      <c r="C27" s="50">
        <v>3</v>
      </c>
      <c r="D27" s="50" t="s">
        <v>126</v>
      </c>
      <c r="E27" s="51" t="s">
        <v>329</v>
      </c>
      <c r="F27" s="51" t="s">
        <v>270</v>
      </c>
      <c r="G27" s="64" t="str">
        <f t="shared" si="0"/>
        <v>[effect:enemy_message, val1:1.2, val2:1.5]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[effect:spread, val:0.4],[effect:suicide, target:myself, val:0.1]</v>
      </c>
      <c r="N27" s="48" t="str">
        <f t="shared" si="33"/>
        <v>[effect:spread, val:0.4],[effect:suicide, target:myself, val:0.1]</v>
      </c>
      <c r="O27" s="64">
        <f t="shared" si="6"/>
        <v>9</v>
      </c>
      <c r="P27" s="64">
        <f t="shared" si="7"/>
        <v>15</v>
      </c>
      <c r="Q27" s="64">
        <f t="shared" si="8"/>
        <v>50</v>
      </c>
      <c r="R27" s="64">
        <f t="shared" si="9"/>
        <v>25</v>
      </c>
      <c r="S27" s="64" t="str">
        <f>IFERROR(VLOOKUP(MID(N27,Q27,R27-Q27),[6]skilldef!$C:$D,2,FALSE),"-") &amp; " / " &amp; IFERROR(VLOOKUP(MID(N27,O27,P27-O27),[6]skilldef!$A:$B,2,FALSE),"-")</f>
        <v>- / 全体攻撃</v>
      </c>
      <c r="T27" s="48" t="str">
        <f t="shared" si="10"/>
        <v>[effect:suicide, target:myself, val:0.1]</v>
      </c>
      <c r="U27" s="64">
        <f t="shared" si="11"/>
        <v>9</v>
      </c>
      <c r="V27" s="64">
        <f t="shared" si="12"/>
        <v>16</v>
      </c>
      <c r="W27" s="64">
        <f t="shared" si="13"/>
        <v>25</v>
      </c>
      <c r="X27" s="64">
        <f t="shared" si="14"/>
        <v>31</v>
      </c>
      <c r="Y27" s="64" t="str">
        <f>IFERROR(VLOOKUP(MID(T27,W27,X27-W27),[6]skilldef!$C:$D,2,FALSE),"-") &amp; " / " &amp; IFERROR(VLOOKUP(MID(T27,U27,V27-U27),[6]skilldef!$A:$B,2,FALSE),"-")</f>
        <v>自分自身に / -</v>
      </c>
      <c r="Z27" s="50"/>
      <c r="AA27" s="52"/>
      <c r="AB27" s="50"/>
    </row>
    <row r="28" spans="1:28" ht="21" customHeight="1" x14ac:dyDescent="0.15">
      <c r="A28" s="134">
        <v>49014027</v>
      </c>
      <c r="B28" s="47" t="s">
        <v>416</v>
      </c>
      <c r="C28" s="50">
        <v>3</v>
      </c>
      <c r="D28" s="50" t="s">
        <v>126</v>
      </c>
      <c r="E28" s="51" t="s">
        <v>330</v>
      </c>
      <c r="F28" s="51" t="s">
        <v>347</v>
      </c>
      <c r="G28" s="64" t="str">
        <f t="shared" si="0"/>
        <v>[effect:enemy_message, val1:1.2, val2:2.2]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>[effect:spread, val:0.25],[effect:change_bomb_range, target:unit_all, val:0.7, rate:1, turn:2, animation:bomb_small]</v>
      </c>
      <c r="N28" s="48" t="str">
        <f t="shared" si="33"/>
        <v>[effect:spread, val:0.25],[effect:change_bomb_range, target:unit_all, val:0.7, rate:1, turn:2, animation:bomb_small]</v>
      </c>
      <c r="O28" s="64">
        <f t="shared" si="6"/>
        <v>9</v>
      </c>
      <c r="P28" s="64">
        <f t="shared" si="7"/>
        <v>15</v>
      </c>
      <c r="Q28" s="64">
        <f t="shared" si="8"/>
        <v>61</v>
      </c>
      <c r="R28" s="64">
        <f t="shared" si="9"/>
        <v>26</v>
      </c>
      <c r="S28" s="64" t="str">
        <f>IFERROR(VLOOKUP(MID(N28,Q28,R28-Q28),[6]skilldef!$C:$D,2,FALSE),"-") &amp; " / " &amp; IFERROR(VLOOKUP(MID(N28,O28,P28-O28),[6]skilldef!$A:$B,2,FALSE),"-")</f>
        <v>- / 全体攻撃</v>
      </c>
      <c r="T28" s="48" t="str">
        <f t="shared" si="10"/>
        <v>[effect:change_bomb_range, target:unit_all, val:0.7, rate:1, turn:2, animation:bomb_small]</v>
      </c>
      <c r="U28" s="64">
        <f t="shared" si="11"/>
        <v>9</v>
      </c>
      <c r="V28" s="64">
        <f t="shared" si="12"/>
        <v>26</v>
      </c>
      <c r="W28" s="64">
        <f t="shared" si="13"/>
        <v>35</v>
      </c>
      <c r="X28" s="64">
        <f t="shared" si="14"/>
        <v>43</v>
      </c>
      <c r="Y28" s="64" t="str">
        <f>IFERROR(VLOOKUP(MID(T28,W28,X28-W28),[6]skilldef!$C:$D,2,FALSE),"-") &amp; " / " &amp; IFERROR(VLOOKUP(MID(T28,U28,V28-U28),[6]skilldef!$A:$B,2,FALSE),"-")</f>
        <v>味方全体に / -</v>
      </c>
      <c r="Z28" s="50"/>
      <c r="AA28" s="52"/>
      <c r="AB28" s="50"/>
    </row>
    <row r="29" spans="1:28" ht="21" customHeight="1" thickBot="1" x14ac:dyDescent="0.2">
      <c r="A29" s="136">
        <v>49014028</v>
      </c>
      <c r="B29" s="115" t="s">
        <v>414</v>
      </c>
      <c r="C29" s="116">
        <v>3</v>
      </c>
      <c r="D29" s="116" t="s">
        <v>126</v>
      </c>
      <c r="E29" s="117" t="s">
        <v>326</v>
      </c>
      <c r="F29" s="117" t="s">
        <v>283</v>
      </c>
      <c r="G29" s="118" t="str">
        <f t="shared" si="0"/>
        <v>[effect:enemy_message, val1:1.2, val2:2.7]</v>
      </c>
      <c r="H29" s="118">
        <f t="shared" si="1"/>
        <v>9</v>
      </c>
      <c r="I29" s="118">
        <f t="shared" si="2"/>
        <v>22</v>
      </c>
      <c r="J29" s="118" t="e">
        <f t="shared" si="3"/>
        <v>#VALUE!</v>
      </c>
      <c r="K29" s="118">
        <f t="shared" si="4"/>
        <v>32</v>
      </c>
      <c r="L29" s="118" t="str">
        <f>IFERROR(VLOOKUP(MID(G29,J29,K29-J29),[6]skilldef!$C:$D,2,FALSE),"-") &amp; " / " &amp; IFERROR(VLOOKUP(MID(G29,H29,I29-H29),[6]skilldef!$A:$B,2,FALSE),"-")</f>
        <v>- / -</v>
      </c>
      <c r="M29" s="118" t="str">
        <f t="shared" si="5"/>
        <v>[effect:spread, val:0.3],[effect:force_change_block, new_block:damage, target:block_all, ignore01:crash, ignore02:crack_bomb, ignore03:color_break, ignore04:damage, ignore05:magnet, color:block_blue, count:15, val:0.1, animation:change_block]</v>
      </c>
      <c r="N29" s="119" t="str">
        <f t="shared" si="33"/>
        <v>[effect:spread, val:0.3],[effect:force_change_block, new_block:damage, target:block_all, ignore01:crash, ignore02:crack_bomb, ignore03:color_break, ignore04:damage, ignore05:magnet, color:block_blue, count:15, val:0.1, animation:change_block]</v>
      </c>
      <c r="O29" s="118">
        <f t="shared" si="6"/>
        <v>9</v>
      </c>
      <c r="P29" s="118">
        <f t="shared" si="7"/>
        <v>15</v>
      </c>
      <c r="Q29" s="118">
        <f t="shared" si="8"/>
        <v>79</v>
      </c>
      <c r="R29" s="118">
        <f t="shared" si="9"/>
        <v>25</v>
      </c>
      <c r="S29" s="118" t="str">
        <f>IFERROR(VLOOKUP(MID(N29,Q29,R29-Q29),[6]skilldef!$C:$D,2,FALSE),"-") &amp; " / " &amp; IFERROR(VLOOKUP(MID(N29,O29,P29-O29),[6]skilldef!$A:$B,2,FALSE),"-")</f>
        <v>- / 全体攻撃</v>
      </c>
      <c r="T29" s="119" t="str">
        <f t="shared" si="10"/>
        <v>[effect:force_change_block, new_block:damage, target:block_all, ignore01:crash, ignore02:crack_bomb, ignore03:color_break, ignore04:damage, ignore05:magnet, color:block_blue, count:15, val:0.1, animation:change_block]</v>
      </c>
      <c r="U29" s="118">
        <f t="shared" si="11"/>
        <v>9</v>
      </c>
      <c r="V29" s="118">
        <f t="shared" si="12"/>
        <v>27</v>
      </c>
      <c r="W29" s="118">
        <f t="shared" si="13"/>
        <v>54</v>
      </c>
      <c r="X29" s="118">
        <f t="shared" si="14"/>
        <v>45</v>
      </c>
      <c r="Y29" s="118" t="str">
        <f>IFERROR(VLOOKUP(MID(T29,W29,X29-W29),[6]skilldef!$C:$D,2,FALSE),"-") &amp; " / " &amp; IFERROR(VLOOKUP(MID(T29,U29,V29-U29),[6]skilldef!$A:$B,2,FALSE),"-")</f>
        <v>- / -</v>
      </c>
      <c r="Z29" s="116"/>
      <c r="AA29" s="120"/>
      <c r="AB29" s="116"/>
    </row>
    <row r="30" spans="1:28" ht="21" customHeight="1" x14ac:dyDescent="0.15">
      <c r="A30" s="134">
        <v>49014029</v>
      </c>
      <c r="B30" s="108" t="s">
        <v>434</v>
      </c>
      <c r="C30" s="109">
        <v>3</v>
      </c>
      <c r="D30" s="109" t="s">
        <v>126</v>
      </c>
      <c r="E30" s="110" t="s">
        <v>338</v>
      </c>
      <c r="F30" s="110" t="s">
        <v>430</v>
      </c>
      <c r="G30" s="111" t="str">
        <f t="shared" si="0"/>
        <v>[effect:enemy_message, val1:1.2, val2:1.9]</v>
      </c>
      <c r="H30" s="111">
        <f t="shared" si="1"/>
        <v>9</v>
      </c>
      <c r="I30" s="111">
        <f t="shared" si="2"/>
        <v>22</v>
      </c>
      <c r="J30" s="111" t="e">
        <f t="shared" si="3"/>
        <v>#VALUE!</v>
      </c>
      <c r="K30" s="111">
        <f t="shared" si="4"/>
        <v>32</v>
      </c>
      <c r="L30" s="111" t="str">
        <f>IFERROR(VLOOKUP(MID(G30,J30,K30-J30),[6]skilldef!$C:$D,2,FALSE),"-") &amp; " / " &amp; IFERROR(VLOOKUP(MID(G30,H30,I30-H30),[6]skilldef!$A:$B,2,FALSE),"-")</f>
        <v>- / -</v>
      </c>
      <c r="M30" s="111" t="str">
        <f t="shared" si="5"/>
        <v>[effect:fix_speed, target:myself, turn:1],[effect:tolerance, target:myself, turn:-1, count:-1, tolerance_effect:all, animation:enemy_tolerance]</v>
      </c>
      <c r="N30" s="112" t="str">
        <f t="shared" si="33"/>
        <v>[effect:fix_speed, target:myself, turn:1],[effect:tolerance, target:myself, turn:-1, count:-1, tolerance_effect:all, animation:enemy_tolerance]</v>
      </c>
      <c r="O30" s="111">
        <f t="shared" si="6"/>
        <v>9</v>
      </c>
      <c r="P30" s="111">
        <f t="shared" si="7"/>
        <v>18</v>
      </c>
      <c r="Q30" s="111">
        <f t="shared" si="8"/>
        <v>27</v>
      </c>
      <c r="R30" s="111">
        <f t="shared" si="9"/>
        <v>33</v>
      </c>
      <c r="S30" s="111" t="str">
        <f>IFERROR(VLOOKUP(MID(N30,Q30,R30-Q30),[6]skilldef!$C:$D,2,FALSE),"-") &amp; " / " &amp; IFERROR(VLOOKUP(MID(N30,O30,P30-O30),[6]skilldef!$A:$B,2,FALSE),"-")</f>
        <v>自分自身に / 行動値設定</v>
      </c>
      <c r="T30" s="112" t="str">
        <f t="shared" si="10"/>
        <v>[effect:tolerance, target:myself, turn:-1, count:-1, tolerance_effect:all, animation:enemy_tolerance]</v>
      </c>
      <c r="U30" s="111">
        <f t="shared" si="11"/>
        <v>9</v>
      </c>
      <c r="V30" s="111">
        <f t="shared" si="12"/>
        <v>18</v>
      </c>
      <c r="W30" s="111">
        <f t="shared" si="13"/>
        <v>27</v>
      </c>
      <c r="X30" s="111">
        <f t="shared" si="14"/>
        <v>33</v>
      </c>
      <c r="Y30" s="111" t="str">
        <f>IFERROR(VLOOKUP(MID(T30,W30,X30-W30),[6]skilldef!$C:$D,2,FALSE),"-") &amp; " / " &amp; IFERROR(VLOOKUP(MID(T30,U30,V30-U30),[6]skilldef!$A:$B,2,FALSE),"-")</f>
        <v>自分自身に / 状態異常耐性</v>
      </c>
      <c r="Z30" s="109"/>
      <c r="AA30" s="113"/>
      <c r="AB30" s="109"/>
    </row>
    <row r="31" spans="1:28" ht="21" customHeight="1" x14ac:dyDescent="0.15">
      <c r="A31" s="134">
        <v>49014030</v>
      </c>
      <c r="B31" s="47" t="s">
        <v>415</v>
      </c>
      <c r="C31" s="50">
        <v>3</v>
      </c>
      <c r="D31" s="50" t="s">
        <v>126</v>
      </c>
      <c r="E31" s="51" t="s">
        <v>326</v>
      </c>
      <c r="F31" s="51" t="s">
        <v>271</v>
      </c>
      <c r="G31" s="64" t="str">
        <f t="shared" si="0"/>
        <v>[effect:enemy_message, val1:1.2, val2:2.9]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5"/>
        <v>[effect:spread, val:0.4],[effect:force_change_block, new_block:damage, target:block_green, count:0, val:0.1, animation:change_block],[effect:force_change_block, new_block:damage, target:block_yellow, count:0, val:0.1, animation:change_block]</v>
      </c>
      <c r="N31" s="48" t="str">
        <f t="shared" si="33"/>
        <v>[effect:spread, val:0.4],[effect:force_change_block, new_block:damage, target:block_green, count:0, val:0.1, animation:change_block],[effect:force_change_block, new_block:damage, target:block_yellow, count:0, val:0.1, animation:change_block]</v>
      </c>
      <c r="O31" s="64">
        <f t="shared" si="6"/>
        <v>9</v>
      </c>
      <c r="P31" s="64">
        <f t="shared" si="7"/>
        <v>15</v>
      </c>
      <c r="Q31" s="64">
        <f t="shared" si="8"/>
        <v>79</v>
      </c>
      <c r="R31" s="64">
        <f t="shared" si="9"/>
        <v>25</v>
      </c>
      <c r="S31" s="64" t="str">
        <f>IFERROR(VLOOKUP(MID(N31,Q31,R31-Q31),[6]skilldef!$C:$D,2,FALSE),"-") &amp; " / " &amp; IFERROR(VLOOKUP(MID(N31,O31,P31-O31),[6]skilldef!$A:$B,2,FALSE),"-")</f>
        <v>- / 全体攻撃</v>
      </c>
      <c r="T31" s="48" t="str">
        <f t="shared" si="10"/>
        <v>[effect:force_change_block, new_block:damage, target:block_green, count:0, val:0.1, animation:change_block],[effect:force_change_block, new_block:damage, target:block_yellow, count:0, val:0.1, animation:change_block]</v>
      </c>
      <c r="U31" s="64">
        <f t="shared" si="11"/>
        <v>9</v>
      </c>
      <c r="V31" s="64">
        <f t="shared" si="12"/>
        <v>27</v>
      </c>
      <c r="W31" s="64">
        <f t="shared" si="13"/>
        <v>54</v>
      </c>
      <c r="X31" s="64">
        <f t="shared" si="14"/>
        <v>45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34">
        <v>49014031</v>
      </c>
      <c r="B32" s="47" t="s">
        <v>285</v>
      </c>
      <c r="C32" s="50">
        <v>3</v>
      </c>
      <c r="D32" s="50" t="s">
        <v>126</v>
      </c>
      <c r="E32" s="51" t="s">
        <v>327</v>
      </c>
      <c r="F32" s="51" t="s">
        <v>273</v>
      </c>
      <c r="G32" s="64" t="str">
        <f t="shared" si="0"/>
        <v>[effect:enemy_message, val1:1.2, val2:1.6]</v>
      </c>
      <c r="H32" s="64">
        <f t="shared" si="1"/>
        <v>9</v>
      </c>
      <c r="I32" s="64">
        <f t="shared" si="2"/>
        <v>22</v>
      </c>
      <c r="J32" s="64" t="e">
        <f t="shared" si="3"/>
        <v>#VALUE!</v>
      </c>
      <c r="K32" s="64">
        <f t="shared" si="4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5"/>
        <v>[effect:break_attack, target:unit_all, val:0.04, lowest_val:2500, count:-1, color:blue, block01:damage]</v>
      </c>
      <c r="N32" s="48" t="str">
        <f t="shared" si="33"/>
        <v>[effect:break_attack, target:unit_all, val:0.04, lowest_val:2500, count:-1, color:blue, block01:damage]</v>
      </c>
      <c r="O32" s="64">
        <f t="shared" si="6"/>
        <v>9</v>
      </c>
      <c r="P32" s="64">
        <f t="shared" si="7"/>
        <v>21</v>
      </c>
      <c r="Q32" s="64">
        <f t="shared" si="8"/>
        <v>30</v>
      </c>
      <c r="R32" s="64">
        <f t="shared" si="9"/>
        <v>38</v>
      </c>
      <c r="S32" s="64" t="str">
        <f>IFERROR(VLOOKUP(MID(N32,Q32,R32-Q32),[6]skilldef!$C:$D,2,FALSE),"-") &amp; " / " &amp; IFERROR(VLOOKUP(MID(N32,O32,P32-O32),[6]skilldef!$A:$B,2,FALSE),"-")</f>
        <v>味方全体に / -</v>
      </c>
      <c r="T32" s="48" t="str">
        <f t="shared" si="10"/>
        <v>none</v>
      </c>
      <c r="U32" s="64" t="e">
        <f t="shared" si="11"/>
        <v>#VALUE!</v>
      </c>
      <c r="V32" s="64">
        <f t="shared" si="12"/>
        <v>4</v>
      </c>
      <c r="W32" s="64" t="e">
        <f t="shared" si="13"/>
        <v>#VALUE!</v>
      </c>
      <c r="X32" s="64" t="e">
        <f t="shared" si="14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34">
        <v>49014032</v>
      </c>
      <c r="B33" s="47" t="s">
        <v>276</v>
      </c>
      <c r="C33" s="50">
        <v>3</v>
      </c>
      <c r="D33" s="50" t="s">
        <v>126</v>
      </c>
      <c r="E33" s="110" t="s">
        <v>331</v>
      </c>
      <c r="F33" s="51" t="s">
        <v>274</v>
      </c>
      <c r="G33" s="64" t="str">
        <f t="shared" si="0"/>
        <v>[effect:enemy_message, val1:1.2, val2:1.4]</v>
      </c>
      <c r="H33" s="64">
        <f t="shared" si="1"/>
        <v>9</v>
      </c>
      <c r="I33" s="64">
        <f t="shared" si="2"/>
        <v>22</v>
      </c>
      <c r="J33" s="64" t="e">
        <f t="shared" si="3"/>
        <v>#VALUE!</v>
      </c>
      <c r="K33" s="64">
        <f t="shared" si="4"/>
        <v>32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si="5"/>
        <v>none</v>
      </c>
      <c r="N33" s="48" t="str">
        <f t="shared" si="33"/>
        <v>none</v>
      </c>
      <c r="O33" s="64" t="e">
        <f t="shared" si="6"/>
        <v>#VALUE!</v>
      </c>
      <c r="P33" s="64">
        <f t="shared" si="7"/>
        <v>4</v>
      </c>
      <c r="Q33" s="64" t="e">
        <f t="shared" si="8"/>
        <v>#VALUE!</v>
      </c>
      <c r="R33" s="64" t="e">
        <f t="shared" si="9"/>
        <v>#VALUE!</v>
      </c>
      <c r="S33" s="64" t="str">
        <f>IFERROR(VLOOKUP(MID(N33,Q33,R33-Q33),[6]skilldef!$C:$D,2,FALSE),"-") &amp; " / " &amp; IFERROR(VLOOKUP(MID(N33,O33,P33-O33),[6]skilldef!$A:$B,2,FALSE),"-")</f>
        <v>- / -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34">
        <v>49014033</v>
      </c>
      <c r="B34" s="47" t="s">
        <v>259</v>
      </c>
      <c r="C34" s="50">
        <v>3</v>
      </c>
      <c r="D34" s="50" t="s">
        <v>126</v>
      </c>
      <c r="E34" s="51" t="s">
        <v>332</v>
      </c>
      <c r="F34" s="51" t="s">
        <v>258</v>
      </c>
      <c r="G34" s="64" t="str">
        <f t="shared" ref="G34:G38" si="34">IFERROR(LEFT(B34,FIND("],",B34)),B34)</f>
        <v>[effect:enemy_message, val1:1.2, val2:1.2]</v>
      </c>
      <c r="H34" s="64">
        <f t="shared" ref="H34:H38" si="35">FIND("effect:",G34)+7</f>
        <v>9</v>
      </c>
      <c r="I34" s="64">
        <f t="shared" ref="I34:I38" si="36">IFERROR(FIND(",",G34),LEN(G34))</f>
        <v>22</v>
      </c>
      <c r="J34" s="64" t="e">
        <f t="shared" ref="J34:J38" si="37">FIND("target:",G34)+7</f>
        <v>#VALUE!</v>
      </c>
      <c r="K34" s="64">
        <f t="shared" ref="K34:K38" si="38">FIND(",",G34,I34+1)</f>
        <v>32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ref="M34:M38" si="39">IFERROR(RIGHT(B34,LEN(B34)-FIND("],",B34)-1),"none")</f>
        <v>[effect:spread, val:0.5]</v>
      </c>
      <c r="N34" s="48" t="str">
        <f t="shared" si="33"/>
        <v>[effect:spread, val:0.5]</v>
      </c>
      <c r="O34" s="64">
        <f t="shared" ref="O34:O38" si="40">FIND("effect:",N34)+7</f>
        <v>9</v>
      </c>
      <c r="P34" s="64">
        <f t="shared" ref="P34:P38" si="41">IFERROR(FIND(",",N34),LEN(N34))</f>
        <v>15</v>
      </c>
      <c r="Q34" s="64" t="e">
        <f t="shared" ref="Q34:Q38" si="42">FIND("target:",N34)+7</f>
        <v>#VALUE!</v>
      </c>
      <c r="R34" s="64" t="e">
        <f t="shared" ref="R34:R38" si="43">FIND(",",N34,P34+1)</f>
        <v>#VALUE!</v>
      </c>
      <c r="S34" s="64" t="str">
        <f>IFERROR(VLOOKUP(MID(N34,Q34,R34-Q34),[6]skilldef!$C:$D,2,FALSE),"-") &amp; " / " &amp; IFERROR(VLOOKUP(MID(N34,O34,P34-O34),[6]skilldef!$A:$B,2,FALSE),"-")</f>
        <v>- / 全体攻撃</v>
      </c>
      <c r="T34" s="48" t="str">
        <f t="shared" ref="T34:T38" si="44">IFERROR(RIGHT(M34,LEN(M34)-FIND("],",M34)-1),"none")</f>
        <v>none</v>
      </c>
      <c r="U34" s="64" t="e">
        <f t="shared" ref="U34:U38" si="45">FIND("effect:",T34)+7</f>
        <v>#VALUE!</v>
      </c>
      <c r="V34" s="64">
        <f t="shared" ref="V34:V38" si="46">IFERROR(FIND(",",T34),LEN(T34))</f>
        <v>4</v>
      </c>
      <c r="W34" s="64" t="e">
        <f t="shared" ref="W34:W38" si="47">FIND("target:",T34)+7</f>
        <v>#VALUE!</v>
      </c>
      <c r="X34" s="64" t="e">
        <f t="shared" ref="X34:X38" si="48">FIND(",",T34,V34+1)</f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34">
        <v>49014034</v>
      </c>
      <c r="B35" s="47" t="s">
        <v>276</v>
      </c>
      <c r="C35" s="50">
        <v>3</v>
      </c>
      <c r="D35" s="50" t="s">
        <v>126</v>
      </c>
      <c r="E35" s="110" t="s">
        <v>331</v>
      </c>
      <c r="F35" s="51" t="s">
        <v>274</v>
      </c>
      <c r="G35" s="64" t="str">
        <f t="shared" si="34"/>
        <v>[effect:enemy_message, val1:1.2, val2:1.4]</v>
      </c>
      <c r="H35" s="64">
        <f t="shared" si="35"/>
        <v>9</v>
      </c>
      <c r="I35" s="64">
        <f t="shared" si="36"/>
        <v>22</v>
      </c>
      <c r="J35" s="64" t="e">
        <f t="shared" si="37"/>
        <v>#VALUE!</v>
      </c>
      <c r="K35" s="64">
        <f t="shared" si="38"/>
        <v>32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 t="shared" si="39"/>
        <v>none</v>
      </c>
      <c r="N35" s="48" t="str">
        <f t="shared" si="33"/>
        <v>none</v>
      </c>
      <c r="O35" s="64" t="e">
        <f t="shared" si="40"/>
        <v>#VALUE!</v>
      </c>
      <c r="P35" s="64">
        <f t="shared" si="41"/>
        <v>4</v>
      </c>
      <c r="Q35" s="64" t="e">
        <f t="shared" si="42"/>
        <v>#VALUE!</v>
      </c>
      <c r="R35" s="64" t="e">
        <f t="shared" si="43"/>
        <v>#VALUE!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si="44"/>
        <v>none</v>
      </c>
      <c r="U35" s="64" t="e">
        <f t="shared" si="45"/>
        <v>#VALUE!</v>
      </c>
      <c r="V35" s="64">
        <f t="shared" si="46"/>
        <v>4</v>
      </c>
      <c r="W35" s="64" t="e">
        <f t="shared" si="47"/>
        <v>#VALUE!</v>
      </c>
      <c r="X35" s="64" t="e">
        <f t="shared" si="48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34">
        <v>49014035</v>
      </c>
      <c r="B36" s="47" t="s">
        <v>259</v>
      </c>
      <c r="C36" s="50">
        <v>3</v>
      </c>
      <c r="D36" s="50" t="s">
        <v>126</v>
      </c>
      <c r="E36" s="51" t="s">
        <v>332</v>
      </c>
      <c r="F36" s="51" t="s">
        <v>258</v>
      </c>
      <c r="G36" s="64" t="str">
        <f t="shared" ref="G36" si="49">IFERROR(LEFT(B36,FIND("],",B36)),B36)</f>
        <v>[effect:enemy_message, val1:1.2, val2:1.2]</v>
      </c>
      <c r="H36" s="64">
        <f t="shared" ref="H36" si="50">FIND("effect:",G36)+7</f>
        <v>9</v>
      </c>
      <c r="I36" s="64">
        <f t="shared" ref="I36" si="51">IFERROR(FIND(",",G36),LEN(G36))</f>
        <v>22</v>
      </c>
      <c r="J36" s="64" t="e">
        <f t="shared" ref="J36" si="52">FIND("target:",G36)+7</f>
        <v>#VALUE!</v>
      </c>
      <c r="K36" s="64">
        <f t="shared" ref="K36" si="53">FIND(",",G36,I36+1)</f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ref="M36" si="54">IFERROR(RIGHT(B36,LEN(B36)-FIND("],",B36)-1),"none")</f>
        <v>[effect:spread, val:0.5]</v>
      </c>
      <c r="N36" s="48" t="str">
        <f t="shared" si="33"/>
        <v>[effect:spread, val:0.5]</v>
      </c>
      <c r="O36" s="64">
        <f t="shared" ref="O36" si="55">FIND("effect:",N36)+7</f>
        <v>9</v>
      </c>
      <c r="P36" s="64">
        <f t="shared" ref="P36" si="56">IFERROR(FIND(",",N36),LEN(N36))</f>
        <v>15</v>
      </c>
      <c r="Q36" s="64" t="e">
        <f t="shared" ref="Q36" si="57">FIND("target:",N36)+7</f>
        <v>#VALUE!</v>
      </c>
      <c r="R36" s="64" t="e">
        <f t="shared" ref="R36" si="58">FIND(",",N36,P36+1)</f>
        <v>#VALUE!</v>
      </c>
      <c r="S36" s="64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ref="T36" si="59">IFERROR(RIGHT(M36,LEN(M36)-FIND("],",M36)-1),"none")</f>
        <v>none</v>
      </c>
      <c r="U36" s="64" t="e">
        <f t="shared" ref="U36" si="60">FIND("effect:",T36)+7</f>
        <v>#VALUE!</v>
      </c>
      <c r="V36" s="64">
        <f t="shared" ref="V36" si="61">IFERROR(FIND(",",T36),LEN(T36))</f>
        <v>4</v>
      </c>
      <c r="W36" s="64" t="e">
        <f t="shared" ref="W36" si="62">FIND("target:",T36)+7</f>
        <v>#VALUE!</v>
      </c>
      <c r="X36" s="64" t="e">
        <f t="shared" ref="X36" si="63">FIND(",",T36,V36+1)</f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134">
        <v>49014036</v>
      </c>
      <c r="B37" s="47" t="s">
        <v>275</v>
      </c>
      <c r="C37" s="50">
        <v>3</v>
      </c>
      <c r="D37" s="50" t="s">
        <v>126</v>
      </c>
      <c r="E37" s="51" t="s">
        <v>333</v>
      </c>
      <c r="F37" s="51" t="s">
        <v>431</v>
      </c>
      <c r="G37" s="64" t="str">
        <f t="shared" si="34"/>
        <v>[effect:enemy_message, val1:1.2, val2:1.2]</v>
      </c>
      <c r="H37" s="64">
        <f t="shared" si="35"/>
        <v>9</v>
      </c>
      <c r="I37" s="64">
        <f t="shared" si="36"/>
        <v>22</v>
      </c>
      <c r="J37" s="64" t="e">
        <f t="shared" si="37"/>
        <v>#VALUE!</v>
      </c>
      <c r="K37" s="64">
        <f t="shared" si="38"/>
        <v>32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si="39"/>
        <v>[effect:damage_fix_absolute, target:unit_all, val:99999]</v>
      </c>
      <c r="N37" s="48" t="str">
        <f t="shared" ref="N37" si="64">IFERROR(LEFT(M37,FIND("],",M37)+S49),M37)</f>
        <v>[effect:damage_fix_absolute, target:unit_all, val:99999]</v>
      </c>
      <c r="O37" s="64">
        <f t="shared" si="40"/>
        <v>9</v>
      </c>
      <c r="P37" s="64">
        <f t="shared" si="41"/>
        <v>28</v>
      </c>
      <c r="Q37" s="64">
        <f t="shared" si="42"/>
        <v>37</v>
      </c>
      <c r="R37" s="64">
        <f t="shared" si="43"/>
        <v>45</v>
      </c>
      <c r="S37" s="64" t="str">
        <f>IFERROR(VLOOKUP(MID(N37,Q37,R37-Q37),[6]skilldef!$C:$D,2,FALSE),"-") &amp; " / " &amp; IFERROR(VLOOKUP(MID(N37,O37,P37-O37),[6]skilldef!$A:$B,2,FALSE),"-")</f>
        <v>味方全体に / -</v>
      </c>
      <c r="T37" s="48" t="str">
        <f t="shared" si="44"/>
        <v>none</v>
      </c>
      <c r="U37" s="64" t="e">
        <f t="shared" si="45"/>
        <v>#VALUE!</v>
      </c>
      <c r="V37" s="64">
        <f t="shared" si="46"/>
        <v>4</v>
      </c>
      <c r="W37" s="64" t="e">
        <f t="shared" si="47"/>
        <v>#VALUE!</v>
      </c>
      <c r="X37" s="64" t="e">
        <f t="shared" si="48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34">
        <v>49014037</v>
      </c>
      <c r="B38" s="47" t="s">
        <v>281</v>
      </c>
      <c r="C38" s="50">
        <v>3</v>
      </c>
      <c r="D38" s="50" t="s">
        <v>126</v>
      </c>
      <c r="E38" s="51" t="s">
        <v>334</v>
      </c>
      <c r="F38" s="51" t="s">
        <v>432</v>
      </c>
      <c r="G38" s="64" t="str">
        <f t="shared" si="34"/>
        <v>[effect:enemy_message, val1:1.2, val2:1.2]</v>
      </c>
      <c r="H38" s="64">
        <f t="shared" si="35"/>
        <v>9</v>
      </c>
      <c r="I38" s="64">
        <f t="shared" si="36"/>
        <v>22</v>
      </c>
      <c r="J38" s="64" t="e">
        <f t="shared" si="37"/>
        <v>#VALUE!</v>
      </c>
      <c r="K38" s="64">
        <f t="shared" si="38"/>
        <v>32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si="39"/>
        <v>none</v>
      </c>
      <c r="N38" s="48" t="str">
        <f>IFERROR(LEFT(M38,FIND("],",M38)+S52),M38)</f>
        <v>none</v>
      </c>
      <c r="O38" s="64" t="e">
        <f t="shared" si="40"/>
        <v>#VALUE!</v>
      </c>
      <c r="P38" s="64">
        <f t="shared" si="41"/>
        <v>4</v>
      </c>
      <c r="Q38" s="64" t="e">
        <f t="shared" si="42"/>
        <v>#VALUE!</v>
      </c>
      <c r="R38" s="64" t="e">
        <f t="shared" si="43"/>
        <v>#VALUE!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44"/>
        <v>none</v>
      </c>
      <c r="U38" s="64" t="e">
        <f t="shared" si="45"/>
        <v>#VALUE!</v>
      </c>
      <c r="V38" s="64">
        <f t="shared" si="46"/>
        <v>4</v>
      </c>
      <c r="W38" s="64" t="e">
        <f t="shared" si="47"/>
        <v>#VALUE!</v>
      </c>
      <c r="X38" s="64" t="e">
        <f t="shared" si="48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34">
        <v>49014038</v>
      </c>
      <c r="B39" s="47" t="s">
        <v>275</v>
      </c>
      <c r="C39" s="50">
        <v>3</v>
      </c>
      <c r="D39" s="50" t="s">
        <v>126</v>
      </c>
      <c r="E39" s="51" t="s">
        <v>333</v>
      </c>
      <c r="F39" s="51" t="s">
        <v>431</v>
      </c>
      <c r="G39" s="64" t="str">
        <f t="shared" ref="G39" si="65">IFERROR(LEFT(B39,FIND("],",B39)),B39)</f>
        <v>[effect:enemy_message, val1:1.2, val2:1.2]</v>
      </c>
      <c r="H39" s="64">
        <f t="shared" ref="H39" si="66">FIND("effect:",G39)+7</f>
        <v>9</v>
      </c>
      <c r="I39" s="64">
        <f t="shared" ref="I39" si="67">IFERROR(FIND(",",G39),LEN(G39))</f>
        <v>22</v>
      </c>
      <c r="J39" s="64" t="e">
        <f t="shared" ref="J39" si="68">FIND("target:",G39)+7</f>
        <v>#VALUE!</v>
      </c>
      <c r="K39" s="64">
        <f t="shared" ref="K39" si="69">FIND(",",G39,I39+1)</f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ref="M39" si="70">IFERROR(RIGHT(B39,LEN(B39)-FIND("],",B39)-1),"none")</f>
        <v>[effect:damage_fix_absolute, target:unit_all, val:99999]</v>
      </c>
      <c r="N39" s="48" t="str">
        <f t="shared" ref="N39" si="71">IFERROR(LEFT(M39,FIND("],",M39)+S51),M39)</f>
        <v>[effect:damage_fix_absolute, target:unit_all, val:99999]</v>
      </c>
      <c r="O39" s="64">
        <f t="shared" ref="O39" si="72">FIND("effect:",N39)+7</f>
        <v>9</v>
      </c>
      <c r="P39" s="64">
        <f t="shared" ref="P39" si="73">IFERROR(FIND(",",N39),LEN(N39))</f>
        <v>28</v>
      </c>
      <c r="Q39" s="64">
        <f t="shared" ref="Q39" si="74">FIND("target:",N39)+7</f>
        <v>37</v>
      </c>
      <c r="R39" s="64">
        <f t="shared" ref="R39" si="75">FIND(",",N39,P39+1)</f>
        <v>45</v>
      </c>
      <c r="S39" s="64" t="str">
        <f>IFERROR(VLOOKUP(MID(N39,Q39,R39-Q39),[6]skilldef!$C:$D,2,FALSE),"-") &amp; " / " &amp; IFERROR(VLOOKUP(MID(N39,O39,P39-O39),[6]skilldef!$A:$B,2,FALSE),"-")</f>
        <v>味方全体に / -</v>
      </c>
      <c r="T39" s="48" t="str">
        <f t="shared" ref="T39" si="76">IFERROR(RIGHT(M39,LEN(M39)-FIND("],",M39)-1),"none")</f>
        <v>none</v>
      </c>
      <c r="U39" s="64" t="e">
        <f t="shared" ref="U39" si="77">FIND("effect:",T39)+7</f>
        <v>#VALUE!</v>
      </c>
      <c r="V39" s="64">
        <f t="shared" ref="V39" si="78">IFERROR(FIND(",",T39),LEN(T39))</f>
        <v>4</v>
      </c>
      <c r="W39" s="64" t="e">
        <f t="shared" ref="W39" si="79">FIND("target:",T39)+7</f>
        <v>#VALUE!</v>
      </c>
      <c r="X39" s="64" t="e">
        <f t="shared" ref="X39" si="80">FIND(",",T39,V39+1)</f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thickBot="1" x14ac:dyDescent="0.2">
      <c r="A40" s="136">
        <v>49014039</v>
      </c>
      <c r="B40" s="115" t="s">
        <v>356</v>
      </c>
      <c r="C40" s="116">
        <v>3</v>
      </c>
      <c r="D40" s="116" t="s">
        <v>126</v>
      </c>
      <c r="E40" s="117" t="s">
        <v>335</v>
      </c>
      <c r="F40" s="117" t="s">
        <v>336</v>
      </c>
      <c r="G40" s="118" t="str">
        <f t="shared" ref="G40:G53" si="81">IFERROR(LEFT(B40,FIND("],",B40)),B40)</f>
        <v>[effect:enemy_message, val1:2.4, val2:1.7, dead_type:suicide]</v>
      </c>
      <c r="H40" s="118">
        <f t="shared" ref="H40:H78" si="82">FIND("effect:",G40)+7</f>
        <v>9</v>
      </c>
      <c r="I40" s="118">
        <f t="shared" ref="I40:I78" si="83">IFERROR(FIND(",",G40),LEN(G40))</f>
        <v>22</v>
      </c>
      <c r="J40" s="118" t="e">
        <f t="shared" ref="J40:J78" si="84">FIND("target:",G40)+7</f>
        <v>#VALUE!</v>
      </c>
      <c r="K40" s="118">
        <f t="shared" ref="K40:K78" si="85">FIND(",",G40,I40+1)</f>
        <v>32</v>
      </c>
      <c r="L40" s="118" t="str">
        <f>IFERROR(VLOOKUP(MID(G40,J40,K40-J40),[6]skilldef!$C:$D,2,FALSE),"-") &amp; " / " &amp; IFERROR(VLOOKUP(MID(G40,H40,I40-H40),[6]skilldef!$A:$B,2,FALSE),"-")</f>
        <v>- / -</v>
      </c>
      <c r="M40" s="118" t="str">
        <f t="shared" ref="M40:M53" si="86">IFERROR(RIGHT(B40,LEN(B40)-FIND("],",B40)-1),"none")</f>
        <v>none</v>
      </c>
      <c r="N40" s="119" t="str">
        <f t="shared" ref="N40" si="87">IFERROR(LEFT(M40,FIND("],",M40)+S50),M40)</f>
        <v>none</v>
      </c>
      <c r="O40" s="118" t="e">
        <f t="shared" ref="O40:O78" si="88">FIND("effect:",N40)+7</f>
        <v>#VALUE!</v>
      </c>
      <c r="P40" s="118">
        <f t="shared" ref="P40:P78" si="89">IFERROR(FIND(",",N40),LEN(N40))</f>
        <v>4</v>
      </c>
      <c r="Q40" s="118" t="e">
        <f t="shared" ref="Q40:Q78" si="90">FIND("target:",N40)+7</f>
        <v>#VALUE!</v>
      </c>
      <c r="R40" s="118" t="e">
        <f t="shared" ref="R40:R78" si="91">FIND(",",N40,P40+1)</f>
        <v>#VALUE!</v>
      </c>
      <c r="S40" s="118" t="str">
        <f>IFERROR(VLOOKUP(MID(N40,Q40,R40-Q40),[6]skilldef!$C:$D,2,FALSE),"-") &amp; " / " &amp; IFERROR(VLOOKUP(MID(N40,O40,P40-O40),[6]skilldef!$A:$B,2,FALSE),"-")</f>
        <v>- / -</v>
      </c>
      <c r="T40" s="119" t="str">
        <f t="shared" ref="T40:T78" si="92">IFERROR(RIGHT(M40,LEN(M40)-FIND("],",M40)-1),"none")</f>
        <v>none</v>
      </c>
      <c r="U40" s="118" t="e">
        <f t="shared" ref="U40:U78" si="93">FIND("effect:",T40)+7</f>
        <v>#VALUE!</v>
      </c>
      <c r="V40" s="118">
        <f t="shared" ref="V40:V78" si="94">IFERROR(FIND(",",T40),LEN(T40))</f>
        <v>4</v>
      </c>
      <c r="W40" s="118" t="e">
        <f t="shared" ref="W40:W78" si="95">FIND("target:",T40)+7</f>
        <v>#VALUE!</v>
      </c>
      <c r="X40" s="118" t="e">
        <f t="shared" ref="X40:X78" si="96">FIND(",",T40,V40+1)</f>
        <v>#VALUE!</v>
      </c>
      <c r="Y40" s="118" t="str">
        <f>IFERROR(VLOOKUP(MID(T40,W40,X40-W40),[6]skilldef!$C:$D,2,FALSE),"-") &amp; " / " &amp; IFERROR(VLOOKUP(MID(T40,U40,V40-U40),[6]skilldef!$A:$B,2,FALSE),"-")</f>
        <v>- / -</v>
      </c>
      <c r="Z40" s="116"/>
      <c r="AA40" s="120"/>
      <c r="AB40" s="116"/>
    </row>
    <row r="41" spans="1:28" ht="21" customHeight="1" thickBot="1" x14ac:dyDescent="0.2">
      <c r="A41" s="114">
        <v>49014040</v>
      </c>
      <c r="B41" s="115" t="s">
        <v>290</v>
      </c>
      <c r="C41" s="116">
        <v>3</v>
      </c>
      <c r="D41" s="116" t="s">
        <v>126</v>
      </c>
      <c r="E41" s="117" t="s">
        <v>312</v>
      </c>
      <c r="F41" s="117" t="s">
        <v>252</v>
      </c>
      <c r="G41" s="118" t="str">
        <f t="shared" si="81"/>
        <v>[effect:enemy_message, val1:1.2, val2:1.2]</v>
      </c>
      <c r="H41" s="118">
        <f t="shared" si="82"/>
        <v>9</v>
      </c>
      <c r="I41" s="118">
        <f t="shared" si="83"/>
        <v>22</v>
      </c>
      <c r="J41" s="118" t="e">
        <f t="shared" si="84"/>
        <v>#VALUE!</v>
      </c>
      <c r="K41" s="118">
        <f t="shared" si="85"/>
        <v>32</v>
      </c>
      <c r="L41" s="118" t="str">
        <f>IFERROR(VLOOKUP(MID(G41,J41,K41-J41),[6]skilldef!$C:$D,2,FALSE),"-") &amp; " / " &amp; IFERROR(VLOOKUP(MID(G41,H41,I41-H41),[6]skilldef!$A:$B,2,FALSE),"-")</f>
        <v>- / -</v>
      </c>
      <c r="M41" s="118" t="str">
        <f t="shared" si="86"/>
        <v xml:space="preserve">[effect:critical, val:1.5, animation:enemy_critical]    </v>
      </c>
      <c r="N41" s="119" t="str">
        <f>IFERROR(LEFT(M41,FIND("],",M41)+S50),M41)</f>
        <v xml:space="preserve">[effect:critical, val:1.5, animation:enemy_critical]    </v>
      </c>
      <c r="O41" s="118">
        <f t="shared" si="88"/>
        <v>9</v>
      </c>
      <c r="P41" s="118">
        <f t="shared" si="89"/>
        <v>17</v>
      </c>
      <c r="Q41" s="118" t="e">
        <f t="shared" si="90"/>
        <v>#VALUE!</v>
      </c>
      <c r="R41" s="118">
        <f t="shared" si="91"/>
        <v>26</v>
      </c>
      <c r="S41" s="118" t="str">
        <f>IFERROR(VLOOKUP(MID(N41,Q41,R41-Q41),[6]skilldef!$C:$D,2,FALSE),"-") &amp; " / " &amp; IFERROR(VLOOKUP(MID(N41,O41,P41-O41),[6]skilldef!$A:$B,2,FALSE),"-")</f>
        <v>- / 大攻撃</v>
      </c>
      <c r="T41" s="119" t="str">
        <f t="shared" si="92"/>
        <v>none</v>
      </c>
      <c r="U41" s="118" t="e">
        <f t="shared" si="93"/>
        <v>#VALUE!</v>
      </c>
      <c r="V41" s="118">
        <f t="shared" si="94"/>
        <v>4</v>
      </c>
      <c r="W41" s="118" t="e">
        <f t="shared" si="95"/>
        <v>#VALUE!</v>
      </c>
      <c r="X41" s="118" t="e">
        <f t="shared" si="96"/>
        <v>#VALUE!</v>
      </c>
      <c r="Y41" s="118" t="str">
        <f>IFERROR(VLOOKUP(MID(T41,W41,X41-W41),[6]skilldef!$C:$D,2,FALSE),"-") &amp; " / " &amp; IFERROR(VLOOKUP(MID(T41,U41,V41-U41),[6]skilldef!$A:$B,2,FALSE),"-")</f>
        <v>- / -</v>
      </c>
      <c r="Z41" s="116"/>
      <c r="AA41" s="120"/>
      <c r="AB41" s="116"/>
    </row>
    <row r="42" spans="1:28" ht="21" customHeight="1" thickBot="1" x14ac:dyDescent="0.2">
      <c r="A42" s="121">
        <v>49014041</v>
      </c>
      <c r="B42" s="122" t="s">
        <v>254</v>
      </c>
      <c r="C42" s="123">
        <v>3</v>
      </c>
      <c r="D42" s="123" t="s">
        <v>126</v>
      </c>
      <c r="E42" s="124" t="s">
        <v>397</v>
      </c>
      <c r="F42" s="124" t="s">
        <v>255</v>
      </c>
      <c r="G42" s="125" t="str">
        <f t="shared" si="81"/>
        <v>[effect:enemy_message, val1:1.2, val2:1.2]</v>
      </c>
      <c r="H42" s="125">
        <f t="shared" si="82"/>
        <v>9</v>
      </c>
      <c r="I42" s="125">
        <f t="shared" si="83"/>
        <v>22</v>
      </c>
      <c r="J42" s="125" t="e">
        <f t="shared" si="84"/>
        <v>#VALUE!</v>
      </c>
      <c r="K42" s="125">
        <f t="shared" si="85"/>
        <v>32</v>
      </c>
      <c r="L42" s="125" t="str">
        <f>IFERROR(VLOOKUP(MID(G42,J42,K42-J42),[6]skilldef!$C:$D,2,FALSE),"-") &amp; " / " &amp; IFERROR(VLOOKUP(MID(G42,H42,I42-H42),[6]skilldef!$A:$B,2,FALSE),"-")</f>
        <v>- / -</v>
      </c>
      <c r="M42" s="125" t="str">
        <f t="shared" si="86"/>
        <v>[effect:dis_panel, target:block_red, turn:2, animation:enemy_dis_red]</v>
      </c>
      <c r="N42" s="126" t="str">
        <f>IFERROR(LEFT(M42,FIND("],",M42)+S51),M42)</f>
        <v>[effect:dis_panel, target:block_red, turn:2, animation:enemy_dis_red]</v>
      </c>
      <c r="O42" s="125">
        <f t="shared" si="88"/>
        <v>9</v>
      </c>
      <c r="P42" s="125">
        <f t="shared" si="89"/>
        <v>18</v>
      </c>
      <c r="Q42" s="125">
        <f t="shared" si="90"/>
        <v>27</v>
      </c>
      <c r="R42" s="125">
        <f t="shared" si="91"/>
        <v>36</v>
      </c>
      <c r="S42" s="125" t="str">
        <f>IFERROR(VLOOKUP(MID(N42,Q42,R42-Q42),[6]skilldef!$C:$D,2,FALSE),"-") &amp; " / " &amp; IFERROR(VLOOKUP(MID(N42,O42,P42-O42),[6]skilldef!$A:$B,2,FALSE),"-")</f>
        <v>赤パネルを / ディスパネル</v>
      </c>
      <c r="T42" s="126" t="str">
        <f t="shared" si="92"/>
        <v>none</v>
      </c>
      <c r="U42" s="125" t="e">
        <f t="shared" si="93"/>
        <v>#VALUE!</v>
      </c>
      <c r="V42" s="125">
        <f t="shared" si="94"/>
        <v>4</v>
      </c>
      <c r="W42" s="125" t="e">
        <f t="shared" si="95"/>
        <v>#VALUE!</v>
      </c>
      <c r="X42" s="125" t="e">
        <f t="shared" si="96"/>
        <v>#VALUE!</v>
      </c>
      <c r="Y42" s="125" t="str">
        <f>IFERROR(VLOOKUP(MID(T42,W42,X42-W42),[6]skilldef!$C:$D,2,FALSE),"-") &amp; " / " &amp; IFERROR(VLOOKUP(MID(T42,U42,V42-U42),[6]skilldef!$A:$B,2,FALSE),"-")</f>
        <v>- / -</v>
      </c>
      <c r="Z42" s="123"/>
      <c r="AA42" s="127"/>
      <c r="AB42" s="123"/>
    </row>
    <row r="43" spans="1:28" ht="21" customHeight="1" x14ac:dyDescent="0.15">
      <c r="A43" s="107">
        <v>49014042</v>
      </c>
      <c r="B43" s="108" t="s">
        <v>256</v>
      </c>
      <c r="C43" s="109">
        <v>3</v>
      </c>
      <c r="D43" s="109" t="s">
        <v>126</v>
      </c>
      <c r="E43" s="110" t="s">
        <v>313</v>
      </c>
      <c r="F43" s="110" t="s">
        <v>257</v>
      </c>
      <c r="G43" s="111" t="str">
        <f t="shared" si="81"/>
        <v>[effect:enemy_message, val1:1.2, val2:1.2]</v>
      </c>
      <c r="H43" s="111">
        <f t="shared" si="82"/>
        <v>9</v>
      </c>
      <c r="I43" s="111">
        <f t="shared" si="83"/>
        <v>22</v>
      </c>
      <c r="J43" s="111" t="e">
        <f t="shared" si="84"/>
        <v>#VALUE!</v>
      </c>
      <c r="K43" s="111">
        <f t="shared" si="85"/>
        <v>32</v>
      </c>
      <c r="L43" s="111" t="str">
        <f>IFERROR(VLOOKUP(MID(G43,J43,K43-J43),[6]skilldef!$C:$D,2,FALSE),"-") &amp; " / " &amp; IFERROR(VLOOKUP(MID(G43,H43,I43-H43),[6]skilldef!$A:$B,2,FALSE),"-")</f>
        <v>- / -</v>
      </c>
      <c r="M43" s="111" t="str">
        <f t="shared" si="86"/>
        <v>[effect:enhance_enemy, target:myself, turn:1, status:defense, val:500, calc:add, animation:enemy_enhance_defense]</v>
      </c>
      <c r="N43" s="112" t="str">
        <f>IFERROR(LEFT(M43,FIND("],",M43)+S52),M43)</f>
        <v>[effect:enhance_enemy, target:myself, turn:1, status:defense, val:500, calc:add, animation:enemy_enhance_defense]</v>
      </c>
      <c r="O43" s="111">
        <f t="shared" si="88"/>
        <v>9</v>
      </c>
      <c r="P43" s="111">
        <f t="shared" si="89"/>
        <v>22</v>
      </c>
      <c r="Q43" s="111">
        <f t="shared" si="90"/>
        <v>31</v>
      </c>
      <c r="R43" s="111">
        <f t="shared" si="91"/>
        <v>37</v>
      </c>
      <c r="S43" s="111" t="str">
        <f>IFERROR(VLOOKUP(MID(N43,Q43,R43-Q43),[6]skilldef!$C:$D,2,FALSE),"-") &amp; " / " &amp; IFERROR(VLOOKUP(MID(N43,O43,P43-O43),[6]skilldef!$A:$B,2,FALSE),"-")</f>
        <v>自分自身に / ステータス強化</v>
      </c>
      <c r="T43" s="112" t="str">
        <f t="shared" si="92"/>
        <v>none</v>
      </c>
      <c r="U43" s="111" t="e">
        <f t="shared" si="93"/>
        <v>#VALUE!</v>
      </c>
      <c r="V43" s="111">
        <f t="shared" si="94"/>
        <v>4</v>
      </c>
      <c r="W43" s="111" t="e">
        <f t="shared" si="95"/>
        <v>#VALUE!</v>
      </c>
      <c r="X43" s="111" t="e">
        <f t="shared" si="96"/>
        <v>#VALUE!</v>
      </c>
      <c r="Y43" s="111" t="str">
        <f>IFERROR(VLOOKUP(MID(T43,W43,X43-W43),[6]skilldef!$C:$D,2,FALSE),"-") &amp; " / " &amp; IFERROR(VLOOKUP(MID(T43,U43,V43-U43),[6]skilldef!$A:$B,2,FALSE),"-")</f>
        <v>- / -</v>
      </c>
      <c r="Z43" s="109"/>
      <c r="AA43" s="113"/>
      <c r="AB43" s="109"/>
    </row>
    <row r="44" spans="1:28" ht="21" customHeight="1" thickBot="1" x14ac:dyDescent="0.2">
      <c r="A44" s="148">
        <v>49014043</v>
      </c>
      <c r="B44" s="115" t="s">
        <v>259</v>
      </c>
      <c r="C44" s="116">
        <v>3</v>
      </c>
      <c r="D44" s="116" t="s">
        <v>126</v>
      </c>
      <c r="E44" s="117" t="s">
        <v>314</v>
      </c>
      <c r="F44" s="117" t="s">
        <v>258</v>
      </c>
      <c r="G44" s="118" t="str">
        <f t="shared" si="81"/>
        <v>[effect:enemy_message, val1:1.2, val2:1.2]</v>
      </c>
      <c r="H44" s="118">
        <f t="shared" si="82"/>
        <v>9</v>
      </c>
      <c r="I44" s="118">
        <f t="shared" si="83"/>
        <v>22</v>
      </c>
      <c r="J44" s="118" t="e">
        <f t="shared" si="84"/>
        <v>#VALUE!</v>
      </c>
      <c r="K44" s="118">
        <f t="shared" si="85"/>
        <v>32</v>
      </c>
      <c r="L44" s="118" t="str">
        <f>IFERROR(VLOOKUP(MID(G44,J44,K44-J44),[6]skilldef!$C:$D,2,FALSE),"-") &amp; " / " &amp; IFERROR(VLOOKUP(MID(G44,H44,I44-H44),[6]skilldef!$A:$B,2,FALSE),"-")</f>
        <v>- / -</v>
      </c>
      <c r="M44" s="118" t="str">
        <f t="shared" si="86"/>
        <v>[effect:spread, val:0.5]</v>
      </c>
      <c r="N44" s="119" t="str">
        <f>IFERROR(LEFT(M44,FIND("],",M44)+S53),M44)</f>
        <v>[effect:spread, val:0.5]</v>
      </c>
      <c r="O44" s="118">
        <f t="shared" si="88"/>
        <v>9</v>
      </c>
      <c r="P44" s="118">
        <f t="shared" si="89"/>
        <v>15</v>
      </c>
      <c r="Q44" s="118" t="e">
        <f t="shared" si="90"/>
        <v>#VALUE!</v>
      </c>
      <c r="R44" s="118" t="e">
        <f t="shared" si="91"/>
        <v>#VALUE!</v>
      </c>
      <c r="S44" s="118" t="str">
        <f>IFERROR(VLOOKUP(MID(N44,Q44,R44-Q44),[6]skilldef!$C:$D,2,FALSE),"-") &amp; " / " &amp; IFERROR(VLOOKUP(MID(N44,O44,P44-O44),[6]skilldef!$A:$B,2,FALSE),"-")</f>
        <v>- / 全体攻撃</v>
      </c>
      <c r="T44" s="119" t="str">
        <f t="shared" si="92"/>
        <v>none</v>
      </c>
      <c r="U44" s="118" t="e">
        <f t="shared" si="93"/>
        <v>#VALUE!</v>
      </c>
      <c r="V44" s="118">
        <f t="shared" si="94"/>
        <v>4</v>
      </c>
      <c r="W44" s="118" t="e">
        <f t="shared" si="95"/>
        <v>#VALUE!</v>
      </c>
      <c r="X44" s="118" t="e">
        <f t="shared" si="96"/>
        <v>#VALUE!</v>
      </c>
      <c r="Y44" s="118" t="str">
        <f>IFERROR(VLOOKUP(MID(T44,W44,X44-W44),[6]skilldef!$C:$D,2,FALSE),"-") &amp; " / " &amp; IFERROR(VLOOKUP(MID(T44,U44,V44-U44),[6]skilldef!$A:$B,2,FALSE),"-")</f>
        <v>- / -</v>
      </c>
      <c r="Z44" s="116"/>
      <c r="AA44" s="120"/>
      <c r="AB44" s="116"/>
    </row>
    <row r="45" spans="1:28" ht="21" customHeight="1" thickBot="1" x14ac:dyDescent="0.2">
      <c r="A45" s="129">
        <v>49014044</v>
      </c>
      <c r="B45" s="122" t="s">
        <v>261</v>
      </c>
      <c r="C45" s="123">
        <v>3</v>
      </c>
      <c r="D45" s="123" t="s">
        <v>126</v>
      </c>
      <c r="E45" s="124" t="s">
        <v>315</v>
      </c>
      <c r="F45" s="124" t="s">
        <v>260</v>
      </c>
      <c r="G45" s="125" t="str">
        <f t="shared" si="81"/>
        <v>[effect:enemy_message, val1:1.2, val2:2]</v>
      </c>
      <c r="H45" s="125">
        <f t="shared" si="82"/>
        <v>9</v>
      </c>
      <c r="I45" s="125">
        <f t="shared" si="83"/>
        <v>22</v>
      </c>
      <c r="J45" s="125" t="e">
        <f t="shared" si="84"/>
        <v>#VALUE!</v>
      </c>
      <c r="K45" s="125">
        <f t="shared" si="85"/>
        <v>32</v>
      </c>
      <c r="L45" s="125" t="str">
        <f>IFERROR(VLOOKUP(MID(G45,J45,K45-J45),[6]skilldef!$C:$D,2,FALSE),"-") &amp; " / " &amp; IFERROR(VLOOKUP(MID(G45,H45,I45-H45),[6]skilldef!$A:$B,2,FALSE),"-")</f>
        <v>- / -</v>
      </c>
      <c r="M45" s="125" t="str">
        <f t="shared" si="86"/>
        <v>[effect:damage_anti_tribe, target:unit_one, tribe:unknown, val1:2, val2:0.7]</v>
      </c>
      <c r="N45" s="126" t="str">
        <f>IFERROR(LEFT(M45,FIND("],",M45)+S54),M45)</f>
        <v>[effect:damage_anti_tribe, target:unit_one, tribe:unknown, val1:2, val2:0.7]</v>
      </c>
      <c r="O45" s="125">
        <f t="shared" si="88"/>
        <v>9</v>
      </c>
      <c r="P45" s="125">
        <f t="shared" si="89"/>
        <v>26</v>
      </c>
      <c r="Q45" s="125">
        <f t="shared" si="90"/>
        <v>35</v>
      </c>
      <c r="R45" s="125">
        <f t="shared" si="91"/>
        <v>43</v>
      </c>
      <c r="S45" s="125" t="str">
        <f>IFERROR(VLOOKUP(MID(N45,Q45,R45-Q45),[6]skilldef!$C:$D,2,FALSE),"-") &amp; " / " &amp; IFERROR(VLOOKUP(MID(N45,O45,P45-O45),[6]skilldef!$A:$B,2,FALSE),"-")</f>
        <v>味方単体に / 種族キラー</v>
      </c>
      <c r="T45" s="126" t="str">
        <f t="shared" si="92"/>
        <v>none</v>
      </c>
      <c r="U45" s="125" t="e">
        <f t="shared" si="93"/>
        <v>#VALUE!</v>
      </c>
      <c r="V45" s="125">
        <f t="shared" si="94"/>
        <v>4</v>
      </c>
      <c r="W45" s="125" t="e">
        <f t="shared" si="95"/>
        <v>#VALUE!</v>
      </c>
      <c r="X45" s="125" t="e">
        <f t="shared" si="96"/>
        <v>#VALUE!</v>
      </c>
      <c r="Y45" s="125" t="str">
        <f>IFERROR(VLOOKUP(MID(T45,W45,X45-W45),[6]skilldef!$C:$D,2,FALSE),"-") &amp; " / " &amp; IFERROR(VLOOKUP(MID(T45,U45,V45-U45),[6]skilldef!$A:$B,2,FALSE),"-")</f>
        <v>- / -</v>
      </c>
      <c r="Z45" s="123"/>
      <c r="AA45" s="127"/>
      <c r="AB45" s="123"/>
    </row>
    <row r="46" spans="1:28" ht="21" customHeight="1" x14ac:dyDescent="0.15">
      <c r="A46" s="106">
        <v>49014045</v>
      </c>
      <c r="B46" s="47" t="s">
        <v>404</v>
      </c>
      <c r="C46" s="50">
        <v>3</v>
      </c>
      <c r="D46" s="50" t="s">
        <v>126</v>
      </c>
      <c r="E46" s="51" t="s">
        <v>405</v>
      </c>
      <c r="F46" s="51" t="s">
        <v>403</v>
      </c>
      <c r="G46" s="64" t="str">
        <f t="shared" si="81"/>
        <v>[effect:enemy_message, val1:1.2, val2:1.5]</v>
      </c>
      <c r="H46" s="64">
        <f t="shared" si="82"/>
        <v>9</v>
      </c>
      <c r="I46" s="64">
        <f t="shared" si="83"/>
        <v>22</v>
      </c>
      <c r="J46" s="64" t="e">
        <f t="shared" si="84"/>
        <v>#VALUE!</v>
      </c>
      <c r="K46" s="64">
        <f t="shared" si="85"/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86"/>
        <v>[effect:panel_freeze, target:crash, count:5]</v>
      </c>
      <c r="N46" s="48" t="str">
        <f t="shared" ref="N46" si="97">IFERROR(LEFT(M46,FIND("],",M46)+S56),M46)</f>
        <v>[effect:panel_freeze, target:crash, count:5]</v>
      </c>
      <c r="O46" s="64">
        <f t="shared" si="88"/>
        <v>9</v>
      </c>
      <c r="P46" s="64">
        <f t="shared" si="89"/>
        <v>21</v>
      </c>
      <c r="Q46" s="64">
        <f t="shared" si="90"/>
        <v>30</v>
      </c>
      <c r="R46" s="64">
        <f t="shared" si="91"/>
        <v>35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92"/>
        <v>none</v>
      </c>
      <c r="U46" s="64" t="e">
        <f t="shared" si="93"/>
        <v>#VALUE!</v>
      </c>
      <c r="V46" s="64">
        <f t="shared" si="94"/>
        <v>4</v>
      </c>
      <c r="W46" s="64" t="e">
        <f t="shared" si="95"/>
        <v>#VALUE!</v>
      </c>
      <c r="X46" s="64" t="e">
        <f t="shared" si="96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06">
        <v>49014046</v>
      </c>
      <c r="B47" s="47" t="s">
        <v>394</v>
      </c>
      <c r="C47" s="50">
        <v>3</v>
      </c>
      <c r="D47" s="50" t="s">
        <v>126</v>
      </c>
      <c r="E47" s="51" t="s">
        <v>316</v>
      </c>
      <c r="F47" s="51" t="s">
        <v>262</v>
      </c>
      <c r="G47" s="64" t="str">
        <f t="shared" si="81"/>
        <v>[effect:enemy_message, val1:1.2, val2:2]</v>
      </c>
      <c r="H47" s="64">
        <f t="shared" si="82"/>
        <v>9</v>
      </c>
      <c r="I47" s="64">
        <f t="shared" si="83"/>
        <v>22</v>
      </c>
      <c r="J47" s="64" t="e">
        <f t="shared" si="84"/>
        <v>#VALUE!</v>
      </c>
      <c r="K47" s="64">
        <f t="shared" si="85"/>
        <v>32</v>
      </c>
      <c r="L47" s="64" t="str">
        <f>IFERROR(VLOOKUP(MID(G47,J47,K47-J47),[6]skilldef!$C:$D,2,FALSE),"-") &amp; " / " &amp; IFERROR(VLOOKUP(MID(G47,H47,I47-H47),[6]skilldef!$A:$B,2,FALSE),"-")</f>
        <v>- / -</v>
      </c>
      <c r="M47" s="64" t="str">
        <f t="shared" si="86"/>
        <v>[effect:rush, count:1, val:1.1],[effect:panel_freeze, target:normal, color:block_red, count:3]</v>
      </c>
      <c r="N47" s="48" t="str">
        <f t="shared" ref="N47:N56" si="98">IFERROR(LEFT(M47,FIND("],",M47)+S59),M47)</f>
        <v>[effect:rush, count:1, val:1.1],[effect:panel_freeze, target:normal, color:block_red, count:3]</v>
      </c>
      <c r="O47" s="64">
        <f t="shared" si="88"/>
        <v>9</v>
      </c>
      <c r="P47" s="64">
        <f t="shared" si="89"/>
        <v>13</v>
      </c>
      <c r="Q47" s="64">
        <f t="shared" si="90"/>
        <v>62</v>
      </c>
      <c r="R47" s="64">
        <f t="shared" si="91"/>
        <v>22</v>
      </c>
      <c r="S47" s="64" t="str">
        <f>IFERROR(VLOOKUP(MID(N47,Q47,R47-Q47),[6]skilldef!$C:$D,2,FALSE),"-") &amp; " / " &amp; IFERROR(VLOOKUP(MID(N47,O47,P47-O47),[6]skilldef!$A:$B,2,FALSE),"-")</f>
        <v>- / 連続攻撃</v>
      </c>
      <c r="T47" s="48" t="str">
        <f t="shared" si="92"/>
        <v>[effect:panel_freeze, target:normal, color:block_red, count:3]</v>
      </c>
      <c r="U47" s="64">
        <f t="shared" si="93"/>
        <v>9</v>
      </c>
      <c r="V47" s="64">
        <f t="shared" si="94"/>
        <v>21</v>
      </c>
      <c r="W47" s="64">
        <f t="shared" si="95"/>
        <v>30</v>
      </c>
      <c r="X47" s="64">
        <f t="shared" si="96"/>
        <v>36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06">
        <v>49014047</v>
      </c>
      <c r="B48" s="47" t="s">
        <v>395</v>
      </c>
      <c r="C48" s="50">
        <v>3</v>
      </c>
      <c r="D48" s="50" t="s">
        <v>126</v>
      </c>
      <c r="E48" s="51" t="s">
        <v>317</v>
      </c>
      <c r="F48" s="51" t="s">
        <v>265</v>
      </c>
      <c r="G48" s="64" t="str">
        <f t="shared" si="81"/>
        <v>[effect:enemy_message, val1:1.2, val2:2]</v>
      </c>
      <c r="H48" s="64">
        <f t="shared" si="82"/>
        <v>9</v>
      </c>
      <c r="I48" s="64">
        <f t="shared" si="83"/>
        <v>22</v>
      </c>
      <c r="J48" s="64" t="e">
        <f t="shared" si="84"/>
        <v>#VALUE!</v>
      </c>
      <c r="K48" s="64">
        <f t="shared" si="85"/>
        <v>32</v>
      </c>
      <c r="L48" s="64" t="str">
        <f>IFERROR(VLOOKUP(MID(G48,J48,K48-J48),[6]skilldef!$C:$D,2,FALSE),"-") &amp; " / " &amp; IFERROR(VLOOKUP(MID(G48,H48,I48-H48),[6]skilldef!$A:$B,2,FALSE),"-")</f>
        <v>- / -</v>
      </c>
      <c r="M48" s="64" t="str">
        <f t="shared" si="86"/>
        <v>[effect:rush, count:1, val:1.1],[effect:panel_freeze, target:normal, color:block_blue, count:3]</v>
      </c>
      <c r="N48" s="48" t="str">
        <f t="shared" si="98"/>
        <v>[effect:rush, count:1, val:1.1],[effect:panel_freeze, target:normal, color:block_blue, count:3]</v>
      </c>
      <c r="O48" s="64">
        <f t="shared" si="88"/>
        <v>9</v>
      </c>
      <c r="P48" s="64">
        <f t="shared" si="89"/>
        <v>13</v>
      </c>
      <c r="Q48" s="64">
        <f t="shared" si="90"/>
        <v>62</v>
      </c>
      <c r="R48" s="64">
        <f t="shared" si="91"/>
        <v>22</v>
      </c>
      <c r="S48" s="64" t="str">
        <f>IFERROR(VLOOKUP(MID(N48,Q48,R48-Q48),[6]skilldef!$C:$D,2,FALSE),"-") &amp; " / " &amp; IFERROR(VLOOKUP(MID(N48,O48,P48-O48),[6]skilldef!$A:$B,2,FALSE),"-")</f>
        <v>- / 連続攻撃</v>
      </c>
      <c r="T48" s="48" t="str">
        <f t="shared" si="92"/>
        <v>[effect:panel_freeze, target:normal, color:block_blue, count:3]</v>
      </c>
      <c r="U48" s="64">
        <f t="shared" si="93"/>
        <v>9</v>
      </c>
      <c r="V48" s="64">
        <f t="shared" si="94"/>
        <v>21</v>
      </c>
      <c r="W48" s="64">
        <f t="shared" si="95"/>
        <v>30</v>
      </c>
      <c r="X48" s="64">
        <f t="shared" si="96"/>
        <v>36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thickBot="1" x14ac:dyDescent="0.2">
      <c r="A49" s="131">
        <v>49014048</v>
      </c>
      <c r="B49" s="115" t="s">
        <v>406</v>
      </c>
      <c r="C49" s="116">
        <v>3</v>
      </c>
      <c r="D49" s="116" t="s">
        <v>126</v>
      </c>
      <c r="E49" s="117" t="s">
        <v>318</v>
      </c>
      <c r="F49" s="117" t="s">
        <v>376</v>
      </c>
      <c r="G49" s="118" t="str">
        <f t="shared" si="81"/>
        <v>[effect:enemy_message, val1:1.2, val2:2.2]</v>
      </c>
      <c r="H49" s="118">
        <f t="shared" si="82"/>
        <v>9</v>
      </c>
      <c r="I49" s="118">
        <f t="shared" si="83"/>
        <v>22</v>
      </c>
      <c r="J49" s="118" t="e">
        <f t="shared" si="84"/>
        <v>#VALUE!</v>
      </c>
      <c r="K49" s="118">
        <f t="shared" si="85"/>
        <v>32</v>
      </c>
      <c r="L49" s="118" t="str">
        <f>IFERROR(VLOOKUP(MID(G49,J49,K49-J49),[6]skilldef!$C:$D,2,FALSE),"-") &amp; " / " &amp; IFERROR(VLOOKUP(MID(G49,H49,I49-H49),[6]skilldef!$A:$B,2,FALSE),"-")</f>
        <v>- / -</v>
      </c>
      <c r="M49" s="118" t="str">
        <f t="shared" si="86"/>
        <v>[effect:spread, val:0.4],[effect:hungup, target:unit_all, turn:2, rate:1, animation:hungup01]</v>
      </c>
      <c r="N49" s="119" t="str">
        <f t="shared" si="98"/>
        <v>[effect:spread, val:0.4],[effect:hungup, target:unit_all, turn:2, rate:1, animation:hungup01]</v>
      </c>
      <c r="O49" s="118">
        <f t="shared" si="88"/>
        <v>9</v>
      </c>
      <c r="P49" s="118">
        <f t="shared" si="89"/>
        <v>15</v>
      </c>
      <c r="Q49" s="118">
        <f t="shared" si="90"/>
        <v>49</v>
      </c>
      <c r="R49" s="118">
        <f t="shared" si="91"/>
        <v>25</v>
      </c>
      <c r="S49" s="118" t="str">
        <f>IFERROR(VLOOKUP(MID(N49,Q49,R49-Q49),[6]skilldef!$C:$D,2,FALSE),"-") &amp; " / " &amp; IFERROR(VLOOKUP(MID(N49,O49,P49-O49),[6]skilldef!$A:$B,2,FALSE),"-")</f>
        <v>- / 全体攻撃</v>
      </c>
      <c r="T49" s="119" t="str">
        <f t="shared" si="92"/>
        <v>[effect:hungup, target:unit_all, turn:2, rate:1, animation:hungup01]</v>
      </c>
      <c r="U49" s="118">
        <f t="shared" si="93"/>
        <v>9</v>
      </c>
      <c r="V49" s="118">
        <f t="shared" si="94"/>
        <v>15</v>
      </c>
      <c r="W49" s="118">
        <f t="shared" si="95"/>
        <v>24</v>
      </c>
      <c r="X49" s="118">
        <f t="shared" si="96"/>
        <v>32</v>
      </c>
      <c r="Y49" s="118" t="str">
        <f>IFERROR(VLOOKUP(MID(T49,W49,X49-W49),[6]skilldef!$C:$D,2,FALSE),"-") &amp; " / " &amp; IFERROR(VLOOKUP(MID(T49,U49,V49-U49),[6]skilldef!$A:$B,2,FALSE),"-")</f>
        <v>味方全体に / ハングアップ</v>
      </c>
      <c r="Z49" s="116"/>
      <c r="AA49" s="120"/>
      <c r="AB49" s="116"/>
    </row>
    <row r="50" spans="1:28" ht="21" customHeight="1" x14ac:dyDescent="0.15">
      <c r="A50" s="130">
        <v>49014049</v>
      </c>
      <c r="B50" s="108" t="s">
        <v>427</v>
      </c>
      <c r="C50" s="109">
        <v>3</v>
      </c>
      <c r="D50" s="109" t="s">
        <v>126</v>
      </c>
      <c r="E50" s="110" t="s">
        <v>319</v>
      </c>
      <c r="F50" s="110" t="s">
        <v>278</v>
      </c>
      <c r="G50" s="111" t="str">
        <f t="shared" si="81"/>
        <v>[effect:enemy_message, val1:1.2, val2:2]</v>
      </c>
      <c r="H50" s="111">
        <f t="shared" si="82"/>
        <v>9</v>
      </c>
      <c r="I50" s="111">
        <f t="shared" si="83"/>
        <v>22</v>
      </c>
      <c r="J50" s="111" t="e">
        <f t="shared" si="84"/>
        <v>#VALUE!</v>
      </c>
      <c r="K50" s="111">
        <f t="shared" si="85"/>
        <v>32</v>
      </c>
      <c r="L50" s="111" t="str">
        <f>IFERROR(VLOOKUP(MID(G50,J50,K50-J50),[6]skilldef!$C:$D,2,FALSE),"-") &amp; " / " &amp; IFERROR(VLOOKUP(MID(G50,H50,I50-H50),[6]skilldef!$A:$B,2,FALSE),"-")</f>
        <v>- / -</v>
      </c>
      <c r="M50" s="111" t="str">
        <f t="shared" si="86"/>
        <v>[effect:fix_speed, target:myself, turn:2],[effect:attack_break, target:unit_all, turn:3, val:0.3, calc:mul, animation:attack_break01]</v>
      </c>
      <c r="N50" s="112" t="str">
        <f t="shared" si="98"/>
        <v>[effect:fix_speed, target:myself, turn:2],[effect:attack_break, target:unit_all, turn:3, val:0.3, calc:mul, animation:attack_break01]</v>
      </c>
      <c r="O50" s="111">
        <f t="shared" si="88"/>
        <v>9</v>
      </c>
      <c r="P50" s="111">
        <f t="shared" si="89"/>
        <v>18</v>
      </c>
      <c r="Q50" s="111">
        <f t="shared" si="90"/>
        <v>27</v>
      </c>
      <c r="R50" s="111">
        <f t="shared" si="91"/>
        <v>33</v>
      </c>
      <c r="S50" s="111" t="str">
        <f>IFERROR(VLOOKUP(MID(N50,Q50,R50-Q50),[6]skilldef!$C:$D,2,FALSE),"-") &amp; " / " &amp; IFERROR(VLOOKUP(MID(N50,O50,P50-O50),[6]skilldef!$A:$B,2,FALSE),"-")</f>
        <v>自分自身に / 行動値設定</v>
      </c>
      <c r="T50" s="112" t="str">
        <f t="shared" si="92"/>
        <v>[effect:attack_break, target:unit_all, turn:3, val:0.3, calc:mul, animation:attack_break01]</v>
      </c>
      <c r="U50" s="111">
        <f t="shared" si="93"/>
        <v>9</v>
      </c>
      <c r="V50" s="111">
        <f t="shared" si="94"/>
        <v>21</v>
      </c>
      <c r="W50" s="111">
        <f t="shared" si="95"/>
        <v>30</v>
      </c>
      <c r="X50" s="111">
        <f t="shared" si="96"/>
        <v>38</v>
      </c>
      <c r="Y50" s="111" t="str">
        <f>IFERROR(VLOOKUP(MID(T50,W50,X50-W50),[6]skilldef!$C:$D,2,FALSE),"-") &amp; " / " &amp; IFERROR(VLOOKUP(MID(T50,U50,V50-U50),[6]skilldef!$A:$B,2,FALSE),"-")</f>
        <v>味方全体に / -</v>
      </c>
      <c r="Z50" s="109"/>
      <c r="AA50" s="113"/>
      <c r="AB50" s="109"/>
    </row>
    <row r="51" spans="1:28" ht="21" customHeight="1" thickBot="1" x14ac:dyDescent="0.2">
      <c r="A51" s="133">
        <v>49014050</v>
      </c>
      <c r="B51" s="115" t="s">
        <v>407</v>
      </c>
      <c r="C51" s="116">
        <v>3</v>
      </c>
      <c r="D51" s="116" t="s">
        <v>126</v>
      </c>
      <c r="E51" s="117" t="s">
        <v>388</v>
      </c>
      <c r="F51" s="117" t="s">
        <v>347</v>
      </c>
      <c r="G51" s="118" t="str">
        <f t="shared" si="81"/>
        <v>[effect:enemy_message, val1:1.2, val2:2.2]</v>
      </c>
      <c r="H51" s="118">
        <f t="shared" si="82"/>
        <v>9</v>
      </c>
      <c r="I51" s="118">
        <f t="shared" si="83"/>
        <v>22</v>
      </c>
      <c r="J51" s="118" t="e">
        <f t="shared" si="84"/>
        <v>#VALUE!</v>
      </c>
      <c r="K51" s="118">
        <f t="shared" si="85"/>
        <v>32</v>
      </c>
      <c r="L51" s="118" t="str">
        <f>IFERROR(VLOOKUP(MID(G51,J51,K51-J51),[6]skilldef!$C:$D,2,FALSE),"-") &amp; " / " &amp; IFERROR(VLOOKUP(MID(G51,H51,I51-H51),[6]skilldef!$A:$B,2,FALSE),"-")</f>
        <v>- / -</v>
      </c>
      <c r="M51" s="118" t="str">
        <f t="shared" si="86"/>
        <v>[effect:spread, val:0.4],[effect:change_bomb_range, target:unit_all, val:0.7, rate:1, turn:2, animation:bomb_small]</v>
      </c>
      <c r="N51" s="119" t="str">
        <f t="shared" si="98"/>
        <v>[effect:spread, val:0.4],[effect:change_bomb_range, target:unit_all, val:0.7, rate:1, turn:2, animation:bomb_small]</v>
      </c>
      <c r="O51" s="118">
        <f t="shared" si="88"/>
        <v>9</v>
      </c>
      <c r="P51" s="118">
        <f t="shared" si="89"/>
        <v>15</v>
      </c>
      <c r="Q51" s="118">
        <f t="shared" si="90"/>
        <v>60</v>
      </c>
      <c r="R51" s="118">
        <f t="shared" si="91"/>
        <v>25</v>
      </c>
      <c r="S51" s="118" t="str">
        <f>IFERROR(VLOOKUP(MID(N51,Q51,R51-Q51),[6]skilldef!$C:$D,2,FALSE),"-") &amp; " / " &amp; IFERROR(VLOOKUP(MID(N51,O51,P51-O51),[6]skilldef!$A:$B,2,FALSE),"-")</f>
        <v>- / 全体攻撃</v>
      </c>
      <c r="T51" s="119" t="str">
        <f t="shared" si="92"/>
        <v>[effect:change_bomb_range, target:unit_all, val:0.7, rate:1, turn:2, animation:bomb_small]</v>
      </c>
      <c r="U51" s="118">
        <f t="shared" si="93"/>
        <v>9</v>
      </c>
      <c r="V51" s="118">
        <f t="shared" si="94"/>
        <v>26</v>
      </c>
      <c r="W51" s="118">
        <f t="shared" si="95"/>
        <v>35</v>
      </c>
      <c r="X51" s="118">
        <f t="shared" si="96"/>
        <v>43</v>
      </c>
      <c r="Y51" s="118" t="str">
        <f>IFERROR(VLOOKUP(MID(T51,W51,X51-W51),[6]skilldef!$C:$D,2,FALSE),"-") &amp; " / " &amp; IFERROR(VLOOKUP(MID(T51,U51,V51-U51),[6]skilldef!$A:$B,2,FALSE),"-")</f>
        <v>味方全体に / -</v>
      </c>
      <c r="Z51" s="116"/>
      <c r="AA51" s="120"/>
      <c r="AB51" s="116"/>
    </row>
    <row r="52" spans="1:28" ht="21" customHeight="1" x14ac:dyDescent="0.15">
      <c r="A52" s="132">
        <v>49014051</v>
      </c>
      <c r="B52" s="108" t="s">
        <v>297</v>
      </c>
      <c r="C52" s="109">
        <v>3</v>
      </c>
      <c r="D52" s="109" t="s">
        <v>126</v>
      </c>
      <c r="E52" s="110" t="s">
        <v>320</v>
      </c>
      <c r="F52" s="110" t="s">
        <v>287</v>
      </c>
      <c r="G52" s="111" t="str">
        <f t="shared" si="81"/>
        <v>[effect:enemy_message, val1:1.2, val2:1.2]</v>
      </c>
      <c r="H52" s="111">
        <f t="shared" si="82"/>
        <v>9</v>
      </c>
      <c r="I52" s="111">
        <f t="shared" si="83"/>
        <v>22</v>
      </c>
      <c r="J52" s="111" t="e">
        <f t="shared" si="84"/>
        <v>#VALUE!</v>
      </c>
      <c r="K52" s="111">
        <f t="shared" si="85"/>
        <v>32</v>
      </c>
      <c r="L52" s="111" t="str">
        <f>IFERROR(VLOOKUP(MID(G52,J52,K52-J52),[6]skilldef!$C:$D,2,FALSE),"-") &amp; " / " &amp; IFERROR(VLOOKUP(MID(G52,H52,I52-H52),[6]skilldef!$A:$B,2,FALSE),"-")</f>
        <v>- / -</v>
      </c>
      <c r="M52" s="111" t="str">
        <f t="shared" si="86"/>
        <v>[effect:fix_speed, target:myself, turn:2],[effect:enhance_enemy, target:myself, turn:-1, status:defense, val:2000, calc:add, animation:enemy_enhance_defense]</v>
      </c>
      <c r="N52" s="112" t="str">
        <f t="shared" si="98"/>
        <v>[effect:fix_speed, target:myself, turn:2],[effect:enhance_enemy, target:myself, turn:-1, status:defense, val:2000, calc:add, animation:enemy_enhance_defense]</v>
      </c>
      <c r="O52" s="111">
        <f t="shared" si="88"/>
        <v>9</v>
      </c>
      <c r="P52" s="111">
        <f t="shared" si="89"/>
        <v>18</v>
      </c>
      <c r="Q52" s="111">
        <f t="shared" si="90"/>
        <v>27</v>
      </c>
      <c r="R52" s="111">
        <f t="shared" si="91"/>
        <v>33</v>
      </c>
      <c r="S52" s="111" t="str">
        <f>IFERROR(VLOOKUP(MID(N52,Q52,R52-Q52),[6]skilldef!$C:$D,2,FALSE),"-") &amp; " / " &amp; IFERROR(VLOOKUP(MID(N52,O52,P52-O52),[6]skilldef!$A:$B,2,FALSE),"-")</f>
        <v>自分自身に / 行動値設定</v>
      </c>
      <c r="T52" s="112" t="str">
        <f t="shared" si="92"/>
        <v>[effect:enhance_enemy, target:myself, turn:-1, status:defense, val:2000, calc:add, animation:enemy_enhance_defense]</v>
      </c>
      <c r="U52" s="111">
        <f t="shared" si="93"/>
        <v>9</v>
      </c>
      <c r="V52" s="111">
        <f t="shared" si="94"/>
        <v>22</v>
      </c>
      <c r="W52" s="111">
        <f t="shared" si="95"/>
        <v>31</v>
      </c>
      <c r="X52" s="111">
        <f t="shared" si="96"/>
        <v>37</v>
      </c>
      <c r="Y52" s="111" t="str">
        <f>IFERROR(VLOOKUP(MID(T52,W52,X52-W52),[6]skilldef!$C:$D,2,FALSE),"-") &amp; " / " &amp; IFERROR(VLOOKUP(MID(T52,U52,V52-U52),[6]skilldef!$A:$B,2,FALSE),"-")</f>
        <v>自分自身に / ステータス強化</v>
      </c>
      <c r="Z52" s="109"/>
      <c r="AA52" s="113"/>
      <c r="AB52" s="109"/>
    </row>
    <row r="53" spans="1:28" ht="21" customHeight="1" x14ac:dyDescent="0.15">
      <c r="A53" s="132">
        <v>49014052</v>
      </c>
      <c r="B53" s="47" t="s">
        <v>294</v>
      </c>
      <c r="C53" s="50">
        <v>3</v>
      </c>
      <c r="D53" s="50" t="s">
        <v>126</v>
      </c>
      <c r="E53" s="51" t="s">
        <v>321</v>
      </c>
      <c r="F53" s="51" t="s">
        <v>293</v>
      </c>
      <c r="G53" s="64" t="str">
        <f t="shared" si="81"/>
        <v>[effect:enemy_message, val1:1.2, val2:1.8]</v>
      </c>
      <c r="H53" s="64">
        <f t="shared" si="82"/>
        <v>9</v>
      </c>
      <c r="I53" s="64">
        <f t="shared" si="83"/>
        <v>22</v>
      </c>
      <c r="J53" s="64" t="e">
        <f t="shared" si="84"/>
        <v>#VALUE!</v>
      </c>
      <c r="K53" s="64">
        <f t="shared" si="85"/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si="86"/>
        <v>[effect:enemy_counter, target:myself, invoke_condition:unit_all, counter_target:attacker, turn:3, val:0.3, animation:enemy_counter]</v>
      </c>
      <c r="N53" s="48" t="str">
        <f t="shared" si="98"/>
        <v>[effect:enemy_counter, target:myself, invoke_condition:unit_all, counter_target:attacker, turn:3, val:0.3, animation:enemy_counter]</v>
      </c>
      <c r="O53" s="64">
        <f t="shared" si="88"/>
        <v>9</v>
      </c>
      <c r="P53" s="64">
        <f t="shared" si="89"/>
        <v>22</v>
      </c>
      <c r="Q53" s="64">
        <f t="shared" si="90"/>
        <v>31</v>
      </c>
      <c r="R53" s="64">
        <f t="shared" si="91"/>
        <v>37</v>
      </c>
      <c r="S53" s="64" t="str">
        <f>IFERROR(VLOOKUP(MID(N53,Q53,R53-Q53),[6]skilldef!$C:$D,2,FALSE),"-") &amp; " / " &amp; IFERROR(VLOOKUP(MID(N53,O53,P53-O53),[6]skilldef!$A:$B,2,FALSE),"-")</f>
        <v>自分自身に / カウンター</v>
      </c>
      <c r="T53" s="48" t="str">
        <f t="shared" si="92"/>
        <v>none</v>
      </c>
      <c r="U53" s="64" t="e">
        <f t="shared" si="93"/>
        <v>#VALUE!</v>
      </c>
      <c r="V53" s="64">
        <f t="shared" si="94"/>
        <v>4</v>
      </c>
      <c r="W53" s="64" t="e">
        <f t="shared" si="95"/>
        <v>#VALUE!</v>
      </c>
      <c r="X53" s="64" t="e">
        <f t="shared" si="96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32">
        <v>49014053</v>
      </c>
      <c r="B54" s="47" t="s">
        <v>259</v>
      </c>
      <c r="C54" s="50">
        <v>3</v>
      </c>
      <c r="D54" s="50" t="s">
        <v>126</v>
      </c>
      <c r="E54" s="51" t="s">
        <v>322</v>
      </c>
      <c r="F54" s="51" t="s">
        <v>258</v>
      </c>
      <c r="G54" s="64" t="str">
        <f>IFERROR(LEFT(B54,FIND("],",B54)),B54)</f>
        <v>[effect:enemy_message, val1:1.2, val2:1.2]</v>
      </c>
      <c r="H54" s="64">
        <f t="shared" si="82"/>
        <v>9</v>
      </c>
      <c r="I54" s="64">
        <f t="shared" si="83"/>
        <v>22</v>
      </c>
      <c r="J54" s="64" t="e">
        <f t="shared" si="84"/>
        <v>#VALUE!</v>
      </c>
      <c r="K54" s="64">
        <f t="shared" si="85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>IFERROR(RIGHT(B54,LEN(B54)-FIND("],",B54)-1),"none")</f>
        <v>[effect:spread, val:0.5]</v>
      </c>
      <c r="N54" s="48" t="str">
        <f t="shared" si="98"/>
        <v>[effect:spread, val:0.5]</v>
      </c>
      <c r="O54" s="64">
        <f t="shared" si="88"/>
        <v>9</v>
      </c>
      <c r="P54" s="64">
        <f t="shared" si="89"/>
        <v>15</v>
      </c>
      <c r="Q54" s="64" t="e">
        <f t="shared" si="90"/>
        <v>#VALUE!</v>
      </c>
      <c r="R54" s="64" t="e">
        <f t="shared" si="91"/>
        <v>#VALUE!</v>
      </c>
      <c r="S54" s="64" t="str">
        <f>IFERROR(VLOOKUP(MID(N54,Q54,R54-Q54),[6]skilldef!$C:$D,2,FALSE),"-") &amp; " / " &amp; IFERROR(VLOOKUP(MID(N54,O54,P54-O54),[6]skilldef!$A:$B,2,FALSE),"-")</f>
        <v>- / 全体攻撃</v>
      </c>
      <c r="T54" s="48" t="str">
        <f t="shared" si="92"/>
        <v>none</v>
      </c>
      <c r="U54" s="64" t="e">
        <f t="shared" si="93"/>
        <v>#VALUE!</v>
      </c>
      <c r="V54" s="64">
        <f t="shared" si="94"/>
        <v>4</v>
      </c>
      <c r="W54" s="64" t="e">
        <f t="shared" si="95"/>
        <v>#VALUE!</v>
      </c>
      <c r="X54" s="64" t="e">
        <f t="shared" si="96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32">
        <v>49014054</v>
      </c>
      <c r="B55" s="47" t="s">
        <v>267</v>
      </c>
      <c r="C55" s="50">
        <v>3</v>
      </c>
      <c r="D55" s="50" t="s">
        <v>126</v>
      </c>
      <c r="E55" s="51" t="s">
        <v>323</v>
      </c>
      <c r="F55" s="51" t="s">
        <v>266</v>
      </c>
      <c r="G55" s="64" t="str">
        <f>IFERROR(LEFT(B55,FIND("],",B55)),B55)</f>
        <v>[effect:enemy_message, val1:1.2, val2:1.8]</v>
      </c>
      <c r="H55" s="64">
        <f t="shared" si="82"/>
        <v>9</v>
      </c>
      <c r="I55" s="64">
        <f t="shared" si="83"/>
        <v>22</v>
      </c>
      <c r="J55" s="64" t="e">
        <f t="shared" si="84"/>
        <v>#VALUE!</v>
      </c>
      <c r="K55" s="64">
        <f t="shared" si="85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>IFERROR(RIGHT(B55,LEN(B55)-FIND("],",B55)-1),"none")</f>
        <v>[effect:force_change_block, new_block:jammer, target:block_all, ignore01:crash, ignore02:crack_bomb, ignore03:jammer, ignore04:color_break, ignore05:magnet, count:5, val:0, animation:change_block]</v>
      </c>
      <c r="N55" s="48" t="str">
        <f t="shared" si="98"/>
        <v>[effect:force_change_block, new_block:jammer, target:block_all, ignore01:crash, ignore02:crack_bomb, ignore03:jammer, ignore04:color_break, ignore05:magnet, count:5, val:0, animation:change_block]</v>
      </c>
      <c r="O55" s="64">
        <f t="shared" si="88"/>
        <v>9</v>
      </c>
      <c r="P55" s="64">
        <f t="shared" si="89"/>
        <v>27</v>
      </c>
      <c r="Q55" s="64">
        <f t="shared" si="90"/>
        <v>54</v>
      </c>
      <c r="R55" s="64">
        <f t="shared" si="91"/>
        <v>45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92"/>
        <v>none</v>
      </c>
      <c r="U55" s="64" t="e">
        <f t="shared" si="93"/>
        <v>#VALUE!</v>
      </c>
      <c r="V55" s="64">
        <f t="shared" si="94"/>
        <v>4</v>
      </c>
      <c r="W55" s="64" t="e">
        <f t="shared" si="95"/>
        <v>#VALUE!</v>
      </c>
      <c r="X55" s="64" t="e">
        <f t="shared" si="96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thickBot="1" x14ac:dyDescent="0.2">
      <c r="A56" s="132">
        <v>49014055</v>
      </c>
      <c r="B56" s="115" t="s">
        <v>417</v>
      </c>
      <c r="C56" s="116">
        <v>3</v>
      </c>
      <c r="D56" s="116" t="s">
        <v>126</v>
      </c>
      <c r="E56" s="117" t="s">
        <v>324</v>
      </c>
      <c r="F56" s="117" t="s">
        <v>295</v>
      </c>
      <c r="G56" s="118" t="str">
        <f t="shared" ref="G56:G79" si="99">IFERROR(LEFT(B56,FIND("],",B56)),B56)</f>
        <v>[effect:enemy_message, val1:1.2, val2:2.0]</v>
      </c>
      <c r="H56" s="118">
        <f t="shared" si="82"/>
        <v>9</v>
      </c>
      <c r="I56" s="118">
        <f t="shared" si="83"/>
        <v>22</v>
      </c>
      <c r="J56" s="118" t="e">
        <f t="shared" si="84"/>
        <v>#VALUE!</v>
      </c>
      <c r="K56" s="118">
        <f t="shared" si="85"/>
        <v>32</v>
      </c>
      <c r="L56" s="118" t="str">
        <f>IFERROR(VLOOKUP(MID(G56,J56,K56-J56),[6]skilldef!$C:$D,2,FALSE),"-") &amp; " / " &amp; IFERROR(VLOOKUP(MID(G56,H56,I56-H56),[6]skilldef!$A:$B,2,FALSE),"-")</f>
        <v>- / -</v>
      </c>
      <c r="M56" s="118" t="str">
        <f t="shared" ref="M56:M79" si="100">IFERROR(RIGHT(B56,LEN(B56)-FIND("],",B56)-1),"none")</f>
        <v>[effect:break_enchance_enemy, target:myself, val:1500, lowest_val:500, count:-1, status:defense, turn:2, block01:jammer, calc:add, animation:enemy_enhance_defense]</v>
      </c>
      <c r="N56" s="119" t="str">
        <f t="shared" si="98"/>
        <v>[effect:break_enchance_enemy, target:myself, val:1500, lowest_val:500, count:-1, status:defense, turn:2, block01:jammer, calc:add, animation:enemy_enhance_defense]</v>
      </c>
      <c r="O56" s="118">
        <f t="shared" si="88"/>
        <v>9</v>
      </c>
      <c r="P56" s="118">
        <f t="shared" si="89"/>
        <v>29</v>
      </c>
      <c r="Q56" s="118">
        <f t="shared" si="90"/>
        <v>38</v>
      </c>
      <c r="R56" s="118">
        <f t="shared" si="91"/>
        <v>44</v>
      </c>
      <c r="S56" s="118" t="str">
        <f>IFERROR(VLOOKUP(MID(N56,Q56,R56-Q56),[6]skilldef!$C:$D,2,FALSE),"-") &amp; " / " &amp; IFERROR(VLOOKUP(MID(N56,O56,P56-O56),[6]skilldef!$A:$B,2,FALSE),"-")</f>
        <v>自分自身に / -</v>
      </c>
      <c r="T56" s="119" t="str">
        <f t="shared" si="92"/>
        <v>none</v>
      </c>
      <c r="U56" s="118" t="e">
        <f t="shared" si="93"/>
        <v>#VALUE!</v>
      </c>
      <c r="V56" s="118">
        <f t="shared" si="94"/>
        <v>4</v>
      </c>
      <c r="W56" s="118" t="e">
        <f t="shared" si="95"/>
        <v>#VALUE!</v>
      </c>
      <c r="X56" s="118" t="e">
        <f t="shared" si="96"/>
        <v>#VALUE!</v>
      </c>
      <c r="Y56" s="118" t="str">
        <f>IFERROR(VLOOKUP(MID(T56,W56,X56-W56),[6]skilldef!$C:$D,2,FALSE),"-") &amp; " / " &amp; IFERROR(VLOOKUP(MID(T56,U56,V56-U56),[6]skilldef!$A:$B,2,FALSE),"-")</f>
        <v>- / -</v>
      </c>
      <c r="Z56" s="116"/>
      <c r="AA56" s="120"/>
      <c r="AB56" s="116"/>
    </row>
    <row r="57" spans="1:28" ht="21" customHeight="1" x14ac:dyDescent="0.15">
      <c r="A57" s="156">
        <v>49014056</v>
      </c>
      <c r="B57" s="140" t="s">
        <v>429</v>
      </c>
      <c r="C57" s="157">
        <v>3</v>
      </c>
      <c r="D57" s="157" t="s">
        <v>126</v>
      </c>
      <c r="E57" s="158" t="s">
        <v>288</v>
      </c>
      <c r="F57" s="158" t="s">
        <v>428</v>
      </c>
      <c r="G57" s="159" t="str">
        <f t="shared" si="99"/>
        <v>[effect:enemy_message, val1:1.6, val2:1.9]</v>
      </c>
      <c r="H57" s="159">
        <f t="shared" si="82"/>
        <v>9</v>
      </c>
      <c r="I57" s="159">
        <f t="shared" si="83"/>
        <v>22</v>
      </c>
      <c r="J57" s="159" t="e">
        <f t="shared" si="84"/>
        <v>#VALUE!</v>
      </c>
      <c r="K57" s="159">
        <f t="shared" si="85"/>
        <v>32</v>
      </c>
      <c r="L57" s="159" t="str">
        <f>IFERROR(VLOOKUP(MID(G57,J57,K57-J57),[6]skilldef!$C:$D,2,FALSE),"-") &amp; " / " &amp; IFERROR(VLOOKUP(MID(G57,H57,I57-H57),[6]skilldef!$A:$B,2,FALSE),"-")</f>
        <v>- / -</v>
      </c>
      <c r="M57" s="159" t="str">
        <f t="shared" si="100"/>
        <v>[effect:ability_lock, target:unit_all, turn:1],[effect:sleep, target:unit_all, turn:1, rate:1, calc_type:target_all],[effect:fix_speed, target:myself, turn:1]</v>
      </c>
      <c r="N57" s="141" t="str">
        <f>IFERROR(LEFT(M57,FIND("],",M57)+S68),M57)</f>
        <v>[effect:ability_lock, target:unit_all, turn:1],[effect:sleep, target:unit_all, turn:1, rate:1, calc_type:target_all],[effect:fix_speed, target:myself, turn:1]</v>
      </c>
      <c r="O57" s="159">
        <f t="shared" si="88"/>
        <v>9</v>
      </c>
      <c r="P57" s="159">
        <f t="shared" si="89"/>
        <v>21</v>
      </c>
      <c r="Q57" s="159">
        <f t="shared" si="90"/>
        <v>30</v>
      </c>
      <c r="R57" s="159">
        <f t="shared" si="91"/>
        <v>38</v>
      </c>
      <c r="S57" s="159" t="str">
        <f>IFERROR(VLOOKUP(MID(N57,Q57,R57-Q57),[6]skilldef!$C:$D,2,FALSE),"-") &amp; " / " &amp; IFERROR(VLOOKUP(MID(N57,O57,P57-O57),[6]skilldef!$A:$B,2,FALSE),"-")</f>
        <v>味方全体に / -</v>
      </c>
      <c r="T57" s="141" t="str">
        <f t="shared" si="92"/>
        <v>[effect:sleep, target:unit_all, turn:1, rate:1, calc_type:target_all],[effect:fix_speed, target:myself, turn:1]</v>
      </c>
      <c r="U57" s="159">
        <f t="shared" si="93"/>
        <v>9</v>
      </c>
      <c r="V57" s="159">
        <f t="shared" si="94"/>
        <v>14</v>
      </c>
      <c r="W57" s="159">
        <f t="shared" si="95"/>
        <v>23</v>
      </c>
      <c r="X57" s="159">
        <f t="shared" si="96"/>
        <v>31</v>
      </c>
      <c r="Y57" s="159" t="str">
        <f>IFERROR(VLOOKUP(MID(T57,W57,X57-W57),[6]skilldef!$C:$D,2,FALSE),"-") &amp; " / " &amp; IFERROR(VLOOKUP(MID(T57,U57,V57-U57),[6]skilldef!$A:$B,2,FALSE),"-")</f>
        <v>味方全体に / スリープ</v>
      </c>
      <c r="Z57" s="157"/>
      <c r="AA57" s="160"/>
      <c r="AB57" s="157"/>
    </row>
    <row r="58" spans="1:28" ht="21" customHeight="1" thickBot="1" x14ac:dyDescent="0.2">
      <c r="A58" s="150">
        <v>49014057</v>
      </c>
      <c r="B58" s="147" t="s">
        <v>402</v>
      </c>
      <c r="C58" s="151">
        <v>3</v>
      </c>
      <c r="D58" s="151" t="s">
        <v>126</v>
      </c>
      <c r="E58" s="152" t="s">
        <v>289</v>
      </c>
      <c r="F58" s="152" t="s">
        <v>401</v>
      </c>
      <c r="G58" s="153" t="str">
        <f t="shared" si="99"/>
        <v>[effect:enemy_message, val1:1.2, val2:2.4]</v>
      </c>
      <c r="H58" s="153">
        <f t="shared" si="82"/>
        <v>9</v>
      </c>
      <c r="I58" s="153">
        <f t="shared" si="83"/>
        <v>22</v>
      </c>
      <c r="J58" s="153" t="e">
        <f t="shared" si="84"/>
        <v>#VALUE!</v>
      </c>
      <c r="K58" s="153">
        <f t="shared" si="85"/>
        <v>32</v>
      </c>
      <c r="L58" s="153" t="str">
        <f>IFERROR(VLOOKUP(MID(G58,J58,K58-J58),[6]skilldef!$C:$D,2,FALSE),"-") &amp; " / " &amp; IFERROR(VLOOKUP(MID(G58,H58,I58-H58),[6]skilldef!$A:$B,2,FALSE),"-")</f>
        <v>- / -</v>
      </c>
      <c r="M58" s="153" t="str">
        <f t="shared" si="100"/>
        <v>[effect:force_change_block, new_block:crash, target:block_all, ignore01:crash, ignore02:crack_bomb, ignore03:color_break, ignore04:magnet, count:5, val:12],[effect:suicide, target:myself, val:1, dead_type:escape]</v>
      </c>
      <c r="N58" s="154" t="str">
        <f>IFERROR(LEFT(M58,FIND("],",M58)+S69),M58)</f>
        <v>[effect:force_change_block, new_block:crash, target:block_all, ignore01:crash, ignore02:crack_bomb, ignore03:color_break, ignore04:magnet, count:5, val:12],[effect:suicide, target:myself, val:1, dead_type:escape]</v>
      </c>
      <c r="O58" s="153">
        <f t="shared" si="88"/>
        <v>9</v>
      </c>
      <c r="P58" s="153">
        <f t="shared" si="89"/>
        <v>27</v>
      </c>
      <c r="Q58" s="153">
        <f t="shared" si="90"/>
        <v>53</v>
      </c>
      <c r="R58" s="153">
        <f t="shared" si="91"/>
        <v>44</v>
      </c>
      <c r="S58" s="153" t="str">
        <f>IFERROR(VLOOKUP(MID(N58,Q58,R58-Q58),[6]skilldef!$C:$D,2,FALSE),"-") &amp; " / " &amp; IFERROR(VLOOKUP(MID(N58,O58,P58-O58),[6]skilldef!$A:$B,2,FALSE),"-")</f>
        <v>- / -</v>
      </c>
      <c r="T58" s="154" t="str">
        <f t="shared" si="92"/>
        <v>[effect:suicide, target:myself, val:1, dead_type:escape]</v>
      </c>
      <c r="U58" s="153">
        <f t="shared" si="93"/>
        <v>9</v>
      </c>
      <c r="V58" s="153">
        <f t="shared" si="94"/>
        <v>16</v>
      </c>
      <c r="W58" s="153">
        <f t="shared" si="95"/>
        <v>25</v>
      </c>
      <c r="X58" s="153">
        <f t="shared" si="96"/>
        <v>31</v>
      </c>
      <c r="Y58" s="153" t="str">
        <f>IFERROR(VLOOKUP(MID(T58,W58,X58-W58),[6]skilldef!$C:$D,2,FALSE),"-") &amp; " / " &amp; IFERROR(VLOOKUP(MID(T58,U58,V58-U58),[6]skilldef!$A:$B,2,FALSE),"-")</f>
        <v>自分自身に / -</v>
      </c>
      <c r="Z58" s="151"/>
      <c r="AA58" s="155"/>
      <c r="AB58" s="151"/>
    </row>
    <row r="59" spans="1:28" ht="21" customHeight="1" x14ac:dyDescent="0.15">
      <c r="A59" s="134">
        <v>49014058</v>
      </c>
      <c r="B59" s="108" t="s">
        <v>349</v>
      </c>
      <c r="C59" s="109">
        <v>3</v>
      </c>
      <c r="D59" s="109" t="s">
        <v>126</v>
      </c>
      <c r="E59" s="110" t="s">
        <v>300</v>
      </c>
      <c r="F59" s="110" t="s">
        <v>268</v>
      </c>
      <c r="G59" s="111" t="str">
        <f t="shared" si="99"/>
        <v>[effect:enemy_message, val1:1.8, val2:1.2]</v>
      </c>
      <c r="H59" s="111">
        <f t="shared" si="82"/>
        <v>9</v>
      </c>
      <c r="I59" s="111">
        <f t="shared" si="83"/>
        <v>22</v>
      </c>
      <c r="J59" s="111" t="e">
        <f t="shared" si="84"/>
        <v>#VALUE!</v>
      </c>
      <c r="K59" s="111">
        <f t="shared" si="85"/>
        <v>32</v>
      </c>
      <c r="L59" s="111" t="str">
        <f>IFERROR(VLOOKUP(MID(G59,J59,K59-J59),[6]skilldef!$C:$D,2,FALSE),"-") &amp; " / " &amp; IFERROR(VLOOKUP(MID(G59,H59,I59-H59),[6]skilldef!$A:$B,2,FALSE),"-")</f>
        <v>- / -</v>
      </c>
      <c r="M59" s="111" t="str">
        <f t="shared" si="100"/>
        <v>[effect:fix_speed, target:myself, turn:3],[effect:tolerance, target:myself, turn:-1, count:-1, tolerance_effect:all, animation:enemy_tolerance]</v>
      </c>
      <c r="N59" s="112" t="str">
        <f t="shared" ref="N59:N63" si="101">IFERROR(LEFT(M59,FIND("],",M59)+S69),M59)</f>
        <v>[effect:fix_speed, target:myself, turn:3],[effect:tolerance, target:myself, turn:-1, count:-1, tolerance_effect:all, animation:enemy_tolerance]</v>
      </c>
      <c r="O59" s="111">
        <f t="shared" si="88"/>
        <v>9</v>
      </c>
      <c r="P59" s="111">
        <f t="shared" si="89"/>
        <v>18</v>
      </c>
      <c r="Q59" s="111">
        <f t="shared" si="90"/>
        <v>27</v>
      </c>
      <c r="R59" s="111">
        <f t="shared" si="91"/>
        <v>33</v>
      </c>
      <c r="S59" s="111" t="str">
        <f>IFERROR(VLOOKUP(MID(N59,Q59,R59-Q59),[6]skilldef!$C:$D,2,FALSE),"-") &amp; " / " &amp; IFERROR(VLOOKUP(MID(N59,O59,P59-O59),[6]skilldef!$A:$B,2,FALSE),"-")</f>
        <v>自分自身に / 行動値設定</v>
      </c>
      <c r="T59" s="112" t="str">
        <f t="shared" si="92"/>
        <v>[effect:tolerance, target:myself, turn:-1, count:-1, tolerance_effect:all, animation:enemy_tolerance]</v>
      </c>
      <c r="U59" s="111">
        <f t="shared" si="93"/>
        <v>9</v>
      </c>
      <c r="V59" s="111">
        <f t="shared" si="94"/>
        <v>18</v>
      </c>
      <c r="W59" s="111">
        <f t="shared" si="95"/>
        <v>27</v>
      </c>
      <c r="X59" s="111">
        <f t="shared" si="96"/>
        <v>33</v>
      </c>
      <c r="Y59" s="111" t="str">
        <f>IFERROR(VLOOKUP(MID(T59,W59,X59-W59),[6]skilldef!$C:$D,2,FALSE),"-") &amp; " / " &amp; IFERROR(VLOOKUP(MID(T59,U59,V59-U59),[6]skilldef!$A:$B,2,FALSE),"-")</f>
        <v>自分自身に / 状態異常耐性</v>
      </c>
      <c r="Z59" s="109"/>
      <c r="AA59" s="113"/>
      <c r="AB59" s="109"/>
    </row>
    <row r="60" spans="1:28" ht="21" customHeight="1" x14ac:dyDescent="0.15">
      <c r="A60" s="134">
        <v>49014059</v>
      </c>
      <c r="B60" s="47" t="s">
        <v>418</v>
      </c>
      <c r="C60" s="50">
        <v>3</v>
      </c>
      <c r="D60" s="50" t="s">
        <v>126</v>
      </c>
      <c r="E60" s="51" t="s">
        <v>325</v>
      </c>
      <c r="F60" s="51" t="s">
        <v>279</v>
      </c>
      <c r="G60" s="64" t="str">
        <f t="shared" si="99"/>
        <v>[effect:enemy_message, val1:1.2, val2:3.8]</v>
      </c>
      <c r="H60" s="64">
        <f t="shared" si="82"/>
        <v>9</v>
      </c>
      <c r="I60" s="64">
        <f t="shared" si="83"/>
        <v>22</v>
      </c>
      <c r="J60" s="64" t="e">
        <f t="shared" si="84"/>
        <v>#VALUE!</v>
      </c>
      <c r="K60" s="64">
        <f t="shared" si="85"/>
        <v>32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100"/>
        <v>[effect:damage_anti_tribe, target:unit_all, tribe:god, val1:0.7, val2:0.2],[effect:force_change_block, new_block:damage, target:block_all, ignore01:crash, ignore02:crack_bomb, ignore03:damage, ignore04:color_break, ignore05:magnet, color:block_blue, count:4, val:0.06, animation:change_block]</v>
      </c>
      <c r="N60" s="48" t="str">
        <f t="shared" si="101"/>
        <v>[effect:damage_anti_tribe, target:unit_all, tribe:god, val1:0.7, val2:0.2],[effect:force_change_block, new_block:damage, target:block_all, ignore01:crash, ignore02:crack_bomb, ignore03:damage, ignore04:color_break, ignore05:magnet, color:block_blue, count:4, val:0.06, animation:change_block]</v>
      </c>
      <c r="O60" s="64">
        <f t="shared" si="88"/>
        <v>9</v>
      </c>
      <c r="P60" s="64">
        <f t="shared" si="89"/>
        <v>26</v>
      </c>
      <c r="Q60" s="64">
        <f t="shared" si="90"/>
        <v>35</v>
      </c>
      <c r="R60" s="64">
        <f t="shared" si="91"/>
        <v>43</v>
      </c>
      <c r="S60" s="64" t="str">
        <f>IFERROR(VLOOKUP(MID(N60,Q60,R60-Q60),[6]skilldef!$C:$D,2,FALSE),"-") &amp; " / " &amp; IFERROR(VLOOKUP(MID(N60,O60,P60-O60),[6]skilldef!$A:$B,2,FALSE),"-")</f>
        <v>味方全体に / 種族キラー</v>
      </c>
      <c r="T60" s="48" t="str">
        <f t="shared" si="92"/>
        <v>[effect:force_change_block, new_block:damage, target:block_all, ignore01:crash, ignore02:crack_bomb, ignore03:damage, ignore04:color_break, ignore05:magnet, color:block_blue, count:4, val:0.06, animation:change_block]</v>
      </c>
      <c r="U60" s="64">
        <f t="shared" si="93"/>
        <v>9</v>
      </c>
      <c r="V60" s="64">
        <f t="shared" si="94"/>
        <v>27</v>
      </c>
      <c r="W60" s="64">
        <f t="shared" si="95"/>
        <v>54</v>
      </c>
      <c r="X60" s="64">
        <f t="shared" si="96"/>
        <v>45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134">
        <v>49014060</v>
      </c>
      <c r="B61" s="47" t="s">
        <v>419</v>
      </c>
      <c r="C61" s="50">
        <v>3</v>
      </c>
      <c r="D61" s="50" t="s">
        <v>126</v>
      </c>
      <c r="E61" s="51" t="s">
        <v>326</v>
      </c>
      <c r="F61" s="51" t="s">
        <v>282</v>
      </c>
      <c r="G61" s="64" t="str">
        <f t="shared" si="99"/>
        <v>[effect:enemy_message, val1:1.2, val2:2.6]</v>
      </c>
      <c r="H61" s="64">
        <f t="shared" si="82"/>
        <v>9</v>
      </c>
      <c r="I61" s="64">
        <f t="shared" si="83"/>
        <v>22</v>
      </c>
      <c r="J61" s="64" t="e">
        <f t="shared" si="84"/>
        <v>#VALUE!</v>
      </c>
      <c r="K61" s="64">
        <f t="shared" si="85"/>
        <v>32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si="100"/>
        <v>[effect:spread, val:0.35],[effect:force_change_block, new_block:damage, target:block_all, ignore01:crash, ignore02:crack_bomb, ignore03:color_break, ignore04:damage, ignore05:magnet, color:block_blue, count:8, val:0.06, animation:change_block]</v>
      </c>
      <c r="N61" s="48" t="str">
        <f t="shared" si="101"/>
        <v>[effect:spread, val:0.35],[effect:force_change_block, new_block:damage, target:block_all, ignore01:crash, ignore02:crack_bomb, ignore03:color_break, ignore04:damage, ignore05:magnet, color:block_blue, count:8, val:0.06, animation:change_block]</v>
      </c>
      <c r="O61" s="64">
        <f t="shared" si="88"/>
        <v>9</v>
      </c>
      <c r="P61" s="64">
        <f t="shared" si="89"/>
        <v>15</v>
      </c>
      <c r="Q61" s="64">
        <f t="shared" si="90"/>
        <v>80</v>
      </c>
      <c r="R61" s="64">
        <f t="shared" si="91"/>
        <v>26</v>
      </c>
      <c r="S61" s="64" t="str">
        <f>IFERROR(VLOOKUP(MID(N61,Q61,R61-Q61),[6]skilldef!$C:$D,2,FALSE),"-") &amp; " / " &amp; IFERROR(VLOOKUP(MID(N61,O61,P61-O61),[6]skilldef!$A:$B,2,FALSE),"-")</f>
        <v>- / 全体攻撃</v>
      </c>
      <c r="T61" s="48" t="str">
        <f t="shared" si="92"/>
        <v>[effect:force_change_block, new_block:damage, target:block_all, ignore01:crash, ignore02:crack_bomb, ignore03:color_break, ignore04:damage, ignore05:magnet, color:block_blue, count:8, val:0.06, animation:change_block]</v>
      </c>
      <c r="U61" s="64">
        <f t="shared" si="93"/>
        <v>9</v>
      </c>
      <c r="V61" s="64">
        <f t="shared" si="94"/>
        <v>27</v>
      </c>
      <c r="W61" s="64">
        <f t="shared" si="95"/>
        <v>54</v>
      </c>
      <c r="X61" s="64">
        <f t="shared" si="96"/>
        <v>45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thickBot="1" x14ac:dyDescent="0.2">
      <c r="A62" s="136">
        <v>49014061</v>
      </c>
      <c r="B62" s="115" t="s">
        <v>420</v>
      </c>
      <c r="C62" s="116">
        <v>3</v>
      </c>
      <c r="D62" s="116" t="s">
        <v>126</v>
      </c>
      <c r="E62" s="117" t="s">
        <v>327</v>
      </c>
      <c r="F62" s="117" t="s">
        <v>284</v>
      </c>
      <c r="G62" s="118" t="str">
        <f t="shared" si="99"/>
        <v>[effect:enemy_message, val1:1.2, val2:1.6]</v>
      </c>
      <c r="H62" s="118">
        <f t="shared" si="82"/>
        <v>9</v>
      </c>
      <c r="I62" s="118">
        <f t="shared" si="83"/>
        <v>22</v>
      </c>
      <c r="J62" s="118" t="e">
        <f t="shared" si="84"/>
        <v>#VALUE!</v>
      </c>
      <c r="K62" s="118">
        <f t="shared" si="85"/>
        <v>32</v>
      </c>
      <c r="L62" s="118" t="str">
        <f>IFERROR(VLOOKUP(MID(G62,J62,K62-J62),[6]skilldef!$C:$D,2,FALSE),"-") &amp; " / " &amp; IFERROR(VLOOKUP(MID(G62,H62,I62-H62),[6]skilldef!$A:$B,2,FALSE),"-")</f>
        <v>- / -</v>
      </c>
      <c r="M62" s="118" t="str">
        <f t="shared" si="100"/>
        <v>[effect:break_attack, target:unit_all, val:0.04, lowest_val:2000, count:-1, color:blue, block01:damage]</v>
      </c>
      <c r="N62" s="119" t="str">
        <f t="shared" si="101"/>
        <v>[effect:break_attack, target:unit_all, val:0.04, lowest_val:2000, count:-1, color:blue, block01:damage]</v>
      </c>
      <c r="O62" s="118">
        <f t="shared" si="88"/>
        <v>9</v>
      </c>
      <c r="P62" s="118">
        <f t="shared" si="89"/>
        <v>21</v>
      </c>
      <c r="Q62" s="118">
        <f t="shared" si="90"/>
        <v>30</v>
      </c>
      <c r="R62" s="118">
        <f t="shared" si="91"/>
        <v>38</v>
      </c>
      <c r="S62" s="118" t="str">
        <f>IFERROR(VLOOKUP(MID(N62,Q62,R62-Q62),[6]skilldef!$C:$D,2,FALSE),"-") &amp; " / " &amp; IFERROR(VLOOKUP(MID(N62,O62,P62-O62),[6]skilldef!$A:$B,2,FALSE),"-")</f>
        <v>味方全体に / -</v>
      </c>
      <c r="T62" s="119" t="str">
        <f t="shared" si="92"/>
        <v>none</v>
      </c>
      <c r="U62" s="118" t="e">
        <f t="shared" si="93"/>
        <v>#VALUE!</v>
      </c>
      <c r="V62" s="118">
        <f t="shared" si="94"/>
        <v>4</v>
      </c>
      <c r="W62" s="118" t="e">
        <f t="shared" si="95"/>
        <v>#VALUE!</v>
      </c>
      <c r="X62" s="118" t="e">
        <f t="shared" si="96"/>
        <v>#VALUE!</v>
      </c>
      <c r="Y62" s="118" t="str">
        <f>IFERROR(VLOOKUP(MID(T62,W62,X62-W62),[6]skilldef!$C:$D,2,FALSE),"-") &amp; " / " &amp; IFERROR(VLOOKUP(MID(T62,U62,V62-U62),[6]skilldef!$A:$B,2,FALSE),"-")</f>
        <v>- / -</v>
      </c>
      <c r="Z62" s="116"/>
      <c r="AA62" s="120"/>
      <c r="AB62" s="116"/>
    </row>
    <row r="63" spans="1:28" ht="21" customHeight="1" x14ac:dyDescent="0.15">
      <c r="A63" s="134">
        <v>49014062</v>
      </c>
      <c r="B63" s="108" t="s">
        <v>421</v>
      </c>
      <c r="C63" s="109">
        <v>3</v>
      </c>
      <c r="D63" s="109" t="s">
        <v>126</v>
      </c>
      <c r="E63" s="110" t="s">
        <v>339</v>
      </c>
      <c r="F63" s="110" t="s">
        <v>269</v>
      </c>
      <c r="G63" s="111" t="str">
        <f t="shared" si="99"/>
        <v>[effect:enemy_message, val1:1.2, val2:1.6]</v>
      </c>
      <c r="H63" s="111">
        <f t="shared" si="82"/>
        <v>9</v>
      </c>
      <c r="I63" s="111">
        <f t="shared" si="83"/>
        <v>22</v>
      </c>
      <c r="J63" s="111" t="e">
        <f t="shared" si="84"/>
        <v>#VALUE!</v>
      </c>
      <c r="K63" s="111">
        <f t="shared" si="85"/>
        <v>32</v>
      </c>
      <c r="L63" s="111" t="str">
        <f>IFERROR(VLOOKUP(MID(G63,J63,K63-J63),[6]skilldef!$C:$D,2,FALSE),"-") &amp; " / " &amp; IFERROR(VLOOKUP(MID(G63,H63,I63-H63),[6]skilldef!$A:$B,2,FALSE),"-")</f>
        <v>- / -</v>
      </c>
      <c r="M63" s="111" t="str">
        <f t="shared" si="100"/>
        <v>[effect:fix_speed, target:myself, turn:2],[effect:tolerance, target:myself, turn:-1, count:-1, tolerance_effect:all, animation:enemy_tolerance]</v>
      </c>
      <c r="N63" s="112" t="str">
        <f t="shared" si="101"/>
        <v>[effect:fix_speed, target:myself, turn:2],[effect:tolerance, target:myself, turn:-1, count:-1, tolerance_effect:all, animation:enemy_tolerance]</v>
      </c>
      <c r="O63" s="111">
        <f t="shared" si="88"/>
        <v>9</v>
      </c>
      <c r="P63" s="111">
        <f t="shared" si="89"/>
        <v>18</v>
      </c>
      <c r="Q63" s="111">
        <f t="shared" si="90"/>
        <v>27</v>
      </c>
      <c r="R63" s="111">
        <f t="shared" si="91"/>
        <v>33</v>
      </c>
      <c r="S63" s="111" t="str">
        <f>IFERROR(VLOOKUP(MID(N63,Q63,R63-Q63),[6]skilldef!$C:$D,2,FALSE),"-") &amp; " / " &amp; IFERROR(VLOOKUP(MID(N63,O63,P63-O63),[6]skilldef!$A:$B,2,FALSE),"-")</f>
        <v>自分自身に / 行動値設定</v>
      </c>
      <c r="T63" s="112" t="str">
        <f t="shared" si="92"/>
        <v>[effect:tolerance, target:myself, turn:-1, count:-1, tolerance_effect:all, animation:enemy_tolerance]</v>
      </c>
      <c r="U63" s="111">
        <f t="shared" si="93"/>
        <v>9</v>
      </c>
      <c r="V63" s="111">
        <f t="shared" si="94"/>
        <v>18</v>
      </c>
      <c r="W63" s="111">
        <f t="shared" si="95"/>
        <v>27</v>
      </c>
      <c r="X63" s="111">
        <f t="shared" si="96"/>
        <v>33</v>
      </c>
      <c r="Y63" s="111" t="str">
        <f>IFERROR(VLOOKUP(MID(T63,W63,X63-W63),[6]skilldef!$C:$D,2,FALSE),"-") &amp; " / " &amp; IFERROR(VLOOKUP(MID(T63,U63,V63-U63),[6]skilldef!$A:$B,2,FALSE),"-")</f>
        <v>自分自身に / 状態異常耐性</v>
      </c>
      <c r="Z63" s="109"/>
      <c r="AA63" s="113"/>
      <c r="AB63" s="109"/>
    </row>
    <row r="64" spans="1:28" ht="21" customHeight="1" x14ac:dyDescent="0.15">
      <c r="A64" s="134">
        <v>49014063</v>
      </c>
      <c r="B64" s="47" t="s">
        <v>422</v>
      </c>
      <c r="C64" s="50">
        <v>3</v>
      </c>
      <c r="D64" s="50" t="s">
        <v>126</v>
      </c>
      <c r="E64" s="51" t="s">
        <v>328</v>
      </c>
      <c r="F64" s="51" t="s">
        <v>286</v>
      </c>
      <c r="G64" s="64" t="str">
        <f t="shared" si="99"/>
        <v>[effect:enemy_message, val1:1.2, val2:1.2]</v>
      </c>
      <c r="H64" s="64">
        <f t="shared" si="82"/>
        <v>9</v>
      </c>
      <c r="I64" s="64">
        <f t="shared" si="83"/>
        <v>22</v>
      </c>
      <c r="J64" s="64" t="e">
        <f t="shared" si="84"/>
        <v>#VALUE!</v>
      </c>
      <c r="K64" s="64">
        <f t="shared" si="85"/>
        <v>32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100"/>
        <v>[effect:enhance_enemy, target:myself, turn:-1, status:attack, val:0.1, calc:mul, animation:enemy_enhance_attack],[effect:rush, count:4, val:0.35]</v>
      </c>
      <c r="N64" s="48" t="str">
        <f t="shared" ref="N64" si="102">IFERROR(LEFT(M64,FIND("],",M64)+S76),M64)</f>
        <v>[effect:enhance_enemy, target:myself, turn:-1, status:attack, val:0.1, calc:mul, animation:enemy_enhance_attack],[effect:rush, count:4, val:0.35]</v>
      </c>
      <c r="O64" s="64">
        <f t="shared" si="88"/>
        <v>9</v>
      </c>
      <c r="P64" s="64">
        <f t="shared" si="89"/>
        <v>22</v>
      </c>
      <c r="Q64" s="64">
        <f t="shared" si="90"/>
        <v>31</v>
      </c>
      <c r="R64" s="64">
        <f t="shared" si="91"/>
        <v>37</v>
      </c>
      <c r="S64" s="64" t="str">
        <f>IFERROR(VLOOKUP(MID(N64,Q64,R64-Q64),[6]skilldef!$C:$D,2,FALSE),"-") &amp; " / " &amp; IFERROR(VLOOKUP(MID(N64,O64,P64-O64),[6]skilldef!$A:$B,2,FALSE),"-")</f>
        <v>自分自身に / ステータス強化</v>
      </c>
      <c r="T64" s="48" t="str">
        <f t="shared" si="92"/>
        <v>[effect:rush, count:4, val:0.35]</v>
      </c>
      <c r="U64" s="64">
        <f t="shared" si="93"/>
        <v>9</v>
      </c>
      <c r="V64" s="64">
        <f t="shared" si="94"/>
        <v>13</v>
      </c>
      <c r="W64" s="64" t="e">
        <f t="shared" si="95"/>
        <v>#VALUE!</v>
      </c>
      <c r="X64" s="64">
        <f t="shared" si="96"/>
        <v>22</v>
      </c>
      <c r="Y64" s="64" t="str">
        <f>IFERROR(VLOOKUP(MID(T64,W64,X64-W64),[6]skilldef!$C:$D,2,FALSE),"-") &amp; " / " &amp; IFERROR(VLOOKUP(MID(T64,U64,V64-U64),[6]skilldef!$A:$B,2,FALSE),"-")</f>
        <v>- / 連続攻撃</v>
      </c>
      <c r="Z64" s="50"/>
      <c r="AA64" s="52"/>
      <c r="AB64" s="50"/>
    </row>
    <row r="65" spans="1:29" ht="21" customHeight="1" x14ac:dyDescent="0.15">
      <c r="A65" s="134">
        <v>49014064</v>
      </c>
      <c r="B65" s="47" t="s">
        <v>423</v>
      </c>
      <c r="C65" s="50">
        <v>3</v>
      </c>
      <c r="D65" s="50" t="s">
        <v>126</v>
      </c>
      <c r="E65" s="51" t="s">
        <v>326</v>
      </c>
      <c r="F65" s="51" t="s">
        <v>272</v>
      </c>
      <c r="G65" s="64" t="str">
        <f t="shared" si="99"/>
        <v>[effect:enemy_message, val1:1.2, val2:2.6]</v>
      </c>
      <c r="H65" s="64">
        <f t="shared" si="82"/>
        <v>9</v>
      </c>
      <c r="I65" s="64">
        <f t="shared" si="83"/>
        <v>22</v>
      </c>
      <c r="J65" s="64" t="e">
        <f t="shared" si="84"/>
        <v>#VALUE!</v>
      </c>
      <c r="K65" s="64">
        <f t="shared" si="85"/>
        <v>32</v>
      </c>
      <c r="L65" s="64" t="str">
        <f>IFERROR(VLOOKUP(MID(G65,J65,K65-J65),[6]skilldef!$C:$D,2,FALSE),"-") &amp; " / " &amp; IFERROR(VLOOKUP(MID(G65,H65,I65-H65),[6]skilldef!$A:$B,2,FALSE),"-")</f>
        <v>- / -</v>
      </c>
      <c r="M65" s="64" t="str">
        <f t="shared" si="100"/>
        <v>[effect:spread, val:0.3],[effect:force_change_block, new_block:damage, target:block_yellow, color:block_blue, count:5, val:0.06, animation:change_block]</v>
      </c>
      <c r="N65" s="48" t="str">
        <f t="shared" ref="N65" si="103">IFERROR(LEFT(M65,FIND("],",M65)+S79),M65)</f>
        <v>[effect:spread, val:0.3],[effect:force_change_block, new_block:damage, target:block_yellow, color:block_blue, count:5, val:0.06, animation:change_block]</v>
      </c>
      <c r="O65" s="64">
        <f t="shared" si="88"/>
        <v>9</v>
      </c>
      <c r="P65" s="64">
        <f t="shared" si="89"/>
        <v>15</v>
      </c>
      <c r="Q65" s="64">
        <f t="shared" si="90"/>
        <v>79</v>
      </c>
      <c r="R65" s="64">
        <f t="shared" si="91"/>
        <v>25</v>
      </c>
      <c r="S65" s="64" t="str">
        <f>IFERROR(VLOOKUP(MID(N65,Q65,R65-Q65),[6]skilldef!$C:$D,2,FALSE),"-") &amp; " / " &amp; IFERROR(VLOOKUP(MID(N65,O65,P65-O65),[6]skilldef!$A:$B,2,FALSE),"-")</f>
        <v>- / 全体攻撃</v>
      </c>
      <c r="T65" s="48" t="str">
        <f t="shared" si="92"/>
        <v>[effect:force_change_block, new_block:damage, target:block_yellow, color:block_blue, count:5, val:0.06, animation:change_block]</v>
      </c>
      <c r="U65" s="64">
        <f t="shared" si="93"/>
        <v>9</v>
      </c>
      <c r="V65" s="64">
        <f t="shared" si="94"/>
        <v>27</v>
      </c>
      <c r="W65" s="64">
        <f t="shared" si="95"/>
        <v>54</v>
      </c>
      <c r="X65" s="64">
        <f t="shared" si="96"/>
        <v>45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9" ht="21" customHeight="1" x14ac:dyDescent="0.15">
      <c r="A66" s="134">
        <v>49014065</v>
      </c>
      <c r="B66" s="47" t="s">
        <v>298</v>
      </c>
      <c r="C66" s="50">
        <v>3</v>
      </c>
      <c r="D66" s="50" t="s">
        <v>126</v>
      </c>
      <c r="E66" s="51" t="s">
        <v>329</v>
      </c>
      <c r="F66" s="51" t="s">
        <v>270</v>
      </c>
      <c r="G66" s="64" t="str">
        <f t="shared" si="99"/>
        <v>[effect:enemy_message, val1:1.2, val2:1.5]</v>
      </c>
      <c r="H66" s="64">
        <f t="shared" si="82"/>
        <v>9</v>
      </c>
      <c r="I66" s="64">
        <f t="shared" si="83"/>
        <v>22</v>
      </c>
      <c r="J66" s="64" t="e">
        <f t="shared" si="84"/>
        <v>#VALUE!</v>
      </c>
      <c r="K66" s="64">
        <f t="shared" si="85"/>
        <v>32</v>
      </c>
      <c r="L66" s="64" t="str">
        <f>IFERROR(VLOOKUP(MID(G66,J66,K66-J66),[6]skilldef!$C:$D,2,FALSE),"-") &amp; " / " &amp; IFERROR(VLOOKUP(MID(G66,H66,I66-H66),[6]skilldef!$A:$B,2,FALSE),"-")</f>
        <v>- / -</v>
      </c>
      <c r="M66" s="64" t="str">
        <f t="shared" si="100"/>
        <v>[effect:spread, val:0.4],[effect:suicide, target:myself, val:0.1]</v>
      </c>
      <c r="N66" s="48" t="str">
        <f>IFERROR(LEFT(M66,FIND("],",M66)+#REF!),M66)</f>
        <v>[effect:spread, val:0.4],[effect:suicide, target:myself, val:0.1]</v>
      </c>
      <c r="O66" s="64">
        <f t="shared" si="88"/>
        <v>9</v>
      </c>
      <c r="P66" s="64">
        <f t="shared" si="89"/>
        <v>15</v>
      </c>
      <c r="Q66" s="64">
        <f t="shared" si="90"/>
        <v>50</v>
      </c>
      <c r="R66" s="64">
        <f t="shared" si="91"/>
        <v>25</v>
      </c>
      <c r="S66" s="64" t="str">
        <f>IFERROR(VLOOKUP(MID(N66,Q66,R66-Q66),[6]skilldef!$C:$D,2,FALSE),"-") &amp; " / " &amp; IFERROR(VLOOKUP(MID(N66,O66,P66-O66),[6]skilldef!$A:$B,2,FALSE),"-")</f>
        <v>- / 全体攻撃</v>
      </c>
      <c r="T66" s="48" t="str">
        <f t="shared" si="92"/>
        <v>[effect:suicide, target:myself, val:0.1]</v>
      </c>
      <c r="U66" s="64">
        <f t="shared" si="93"/>
        <v>9</v>
      </c>
      <c r="V66" s="64">
        <f t="shared" si="94"/>
        <v>16</v>
      </c>
      <c r="W66" s="64">
        <f t="shared" si="95"/>
        <v>25</v>
      </c>
      <c r="X66" s="64">
        <f t="shared" si="96"/>
        <v>31</v>
      </c>
      <c r="Y66" s="64" t="str">
        <f>IFERROR(VLOOKUP(MID(T66,W66,X66-W66),[6]skilldef!$C:$D,2,FALSE),"-") &amp; " / " &amp; IFERROR(VLOOKUP(MID(T66,U66,V66-U66),[6]skilldef!$A:$B,2,FALSE),"-")</f>
        <v>自分自身に / -</v>
      </c>
      <c r="Z66" s="50"/>
      <c r="AA66" s="52"/>
      <c r="AB66" s="50"/>
    </row>
    <row r="67" spans="1:29" ht="21" customHeight="1" x14ac:dyDescent="0.15">
      <c r="A67" s="134">
        <v>49014066</v>
      </c>
      <c r="B67" s="47" t="s">
        <v>416</v>
      </c>
      <c r="C67" s="50">
        <v>3</v>
      </c>
      <c r="D67" s="50" t="s">
        <v>126</v>
      </c>
      <c r="E67" s="51" t="s">
        <v>330</v>
      </c>
      <c r="F67" s="51" t="s">
        <v>347</v>
      </c>
      <c r="G67" s="64" t="str">
        <f t="shared" si="99"/>
        <v>[effect:enemy_message, val1:1.2, val2:2.2]</v>
      </c>
      <c r="H67" s="64">
        <f t="shared" si="82"/>
        <v>9</v>
      </c>
      <c r="I67" s="64">
        <f t="shared" si="83"/>
        <v>22</v>
      </c>
      <c r="J67" s="64" t="e">
        <f t="shared" si="84"/>
        <v>#VALUE!</v>
      </c>
      <c r="K67" s="64">
        <f t="shared" si="85"/>
        <v>32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si="100"/>
        <v>[effect:spread, val:0.25],[effect:change_bomb_range, target:unit_all, val:0.7, rate:1, turn:2, animation:bomb_small]</v>
      </c>
      <c r="N67" s="48" t="str">
        <f>IFERROR(LEFT(M67,FIND("],",M67)+#REF!),M67)</f>
        <v>[effect:spread, val:0.25],[effect:change_bomb_range, target:unit_all, val:0.7, rate:1, turn:2, animation:bomb_small]</v>
      </c>
      <c r="O67" s="64">
        <f t="shared" si="88"/>
        <v>9</v>
      </c>
      <c r="P67" s="64">
        <f t="shared" si="89"/>
        <v>15</v>
      </c>
      <c r="Q67" s="64">
        <f t="shared" si="90"/>
        <v>61</v>
      </c>
      <c r="R67" s="64">
        <f t="shared" si="91"/>
        <v>26</v>
      </c>
      <c r="S67" s="64" t="str">
        <f>IFERROR(VLOOKUP(MID(N67,Q67,R67-Q67),[6]skilldef!$C:$D,2,FALSE),"-") &amp; " / " &amp; IFERROR(VLOOKUP(MID(N67,O67,P67-O67),[6]skilldef!$A:$B,2,FALSE),"-")</f>
        <v>- / 全体攻撃</v>
      </c>
      <c r="T67" s="48" t="str">
        <f t="shared" si="92"/>
        <v>[effect:change_bomb_range, target:unit_all, val:0.7, rate:1, turn:2, animation:bomb_small]</v>
      </c>
      <c r="U67" s="64">
        <f t="shared" si="93"/>
        <v>9</v>
      </c>
      <c r="V67" s="64">
        <f t="shared" si="94"/>
        <v>26</v>
      </c>
      <c r="W67" s="64">
        <f t="shared" si="95"/>
        <v>35</v>
      </c>
      <c r="X67" s="64">
        <f t="shared" si="96"/>
        <v>43</v>
      </c>
      <c r="Y67" s="64" t="str">
        <f>IFERROR(VLOOKUP(MID(T67,W67,X67-W67),[6]skilldef!$C:$D,2,FALSE),"-") &amp; " / " &amp; IFERROR(VLOOKUP(MID(T67,U67,V67-U67),[6]skilldef!$A:$B,2,FALSE),"-")</f>
        <v>味方全体に / -</v>
      </c>
      <c r="Z67" s="50"/>
      <c r="AA67" s="52"/>
      <c r="AB67" s="50"/>
    </row>
    <row r="68" spans="1:29" ht="21" customHeight="1" thickBot="1" x14ac:dyDescent="0.2">
      <c r="A68" s="136">
        <v>49014067</v>
      </c>
      <c r="B68" s="115" t="s">
        <v>424</v>
      </c>
      <c r="C68" s="116">
        <v>3</v>
      </c>
      <c r="D68" s="116" t="s">
        <v>126</v>
      </c>
      <c r="E68" s="117" t="s">
        <v>326</v>
      </c>
      <c r="F68" s="117" t="s">
        <v>283</v>
      </c>
      <c r="G68" s="118" t="str">
        <f t="shared" si="99"/>
        <v>[effect:enemy_message, val1:1.2, val2:2.7]</v>
      </c>
      <c r="H68" s="118">
        <f t="shared" si="82"/>
        <v>9</v>
      </c>
      <c r="I68" s="118">
        <f t="shared" si="83"/>
        <v>22</v>
      </c>
      <c r="J68" s="118" t="e">
        <f t="shared" si="84"/>
        <v>#VALUE!</v>
      </c>
      <c r="K68" s="118">
        <f t="shared" si="85"/>
        <v>32</v>
      </c>
      <c r="L68" s="118" t="str">
        <f>IFERROR(VLOOKUP(MID(G68,J68,K68-J68),[6]skilldef!$C:$D,2,FALSE),"-") &amp; " / " &amp; IFERROR(VLOOKUP(MID(G68,H68,I68-H68),[6]skilldef!$A:$B,2,FALSE),"-")</f>
        <v>- / -</v>
      </c>
      <c r="M68" s="118" t="str">
        <f t="shared" si="100"/>
        <v>[effect:spread, val:0.3],[effect:force_change_block, new_block:damage, target:block_all, ignore01:crash, ignore02:crack_bomb, ignore03:color_break, ignore04:damage, ignore05:magnet, color:block_blue, count:15, val:0.06, animation:change_block]</v>
      </c>
      <c r="N68" s="119" t="str">
        <f>IFERROR(LEFT(M68,FIND("],",M68)+#REF!),M68)</f>
        <v>[effect:spread, val:0.3],[effect:force_change_block, new_block:damage, target:block_all, ignore01:crash, ignore02:crack_bomb, ignore03:color_break, ignore04:damage, ignore05:magnet, color:block_blue, count:15, val:0.06, animation:change_block]</v>
      </c>
      <c r="O68" s="118">
        <f t="shared" si="88"/>
        <v>9</v>
      </c>
      <c r="P68" s="118">
        <f t="shared" si="89"/>
        <v>15</v>
      </c>
      <c r="Q68" s="118">
        <f t="shared" si="90"/>
        <v>79</v>
      </c>
      <c r="R68" s="118">
        <f t="shared" si="91"/>
        <v>25</v>
      </c>
      <c r="S68" s="118" t="str">
        <f>IFERROR(VLOOKUP(MID(N68,Q68,R68-Q68),[6]skilldef!$C:$D,2,FALSE),"-") &amp; " / " &amp; IFERROR(VLOOKUP(MID(N68,O68,P68-O68),[6]skilldef!$A:$B,2,FALSE),"-")</f>
        <v>- / 全体攻撃</v>
      </c>
      <c r="T68" s="119" t="str">
        <f t="shared" si="92"/>
        <v>[effect:force_change_block, new_block:damage, target:block_all, ignore01:crash, ignore02:crack_bomb, ignore03:color_break, ignore04:damage, ignore05:magnet, color:block_blue, count:15, val:0.06, animation:change_block]</v>
      </c>
      <c r="U68" s="118">
        <f t="shared" si="93"/>
        <v>9</v>
      </c>
      <c r="V68" s="118">
        <f t="shared" si="94"/>
        <v>27</v>
      </c>
      <c r="W68" s="118">
        <f t="shared" si="95"/>
        <v>54</v>
      </c>
      <c r="X68" s="118">
        <f t="shared" si="96"/>
        <v>45</v>
      </c>
      <c r="Y68" s="118" t="str">
        <f>IFERROR(VLOOKUP(MID(T68,W68,X68-W68),[6]skilldef!$C:$D,2,FALSE),"-") &amp; " / " &amp; IFERROR(VLOOKUP(MID(T68,U68,V68-U68),[6]skilldef!$A:$B,2,FALSE),"-")</f>
        <v>- / -</v>
      </c>
      <c r="Z68" s="116"/>
      <c r="AA68" s="120"/>
      <c r="AB68" s="116"/>
    </row>
    <row r="69" spans="1:29" ht="21" customHeight="1" x14ac:dyDescent="0.15">
      <c r="A69" s="134">
        <v>49014068</v>
      </c>
      <c r="B69" s="108" t="s">
        <v>434</v>
      </c>
      <c r="C69" s="109">
        <v>3</v>
      </c>
      <c r="D69" s="109" t="s">
        <v>126</v>
      </c>
      <c r="E69" s="110" t="s">
        <v>338</v>
      </c>
      <c r="F69" s="110" t="s">
        <v>430</v>
      </c>
      <c r="G69" s="111" t="str">
        <f t="shared" si="99"/>
        <v>[effect:enemy_message, val1:1.2, val2:1.9]</v>
      </c>
      <c r="H69" s="111">
        <f t="shared" si="82"/>
        <v>9</v>
      </c>
      <c r="I69" s="111">
        <f t="shared" si="83"/>
        <v>22</v>
      </c>
      <c r="J69" s="111" t="e">
        <f t="shared" si="84"/>
        <v>#VALUE!</v>
      </c>
      <c r="K69" s="111">
        <f t="shared" si="85"/>
        <v>32</v>
      </c>
      <c r="L69" s="111" t="str">
        <f>IFERROR(VLOOKUP(MID(G69,J69,K69-J69),[6]skilldef!$C:$D,2,FALSE),"-") &amp; " / " &amp; IFERROR(VLOOKUP(MID(G69,H69,I69-H69),[6]skilldef!$A:$B,2,FALSE),"-")</f>
        <v>- / -</v>
      </c>
      <c r="M69" s="111" t="str">
        <f t="shared" si="100"/>
        <v>[effect:fix_speed, target:myself, turn:1],[effect:tolerance, target:myself, turn:-1, count:-1, tolerance_effect:all, animation:enemy_tolerance]</v>
      </c>
      <c r="N69" s="112" t="str">
        <f>IFERROR(LEFT(M69,FIND("],",M69)+#REF!),M69)</f>
        <v>[effect:fix_speed, target:myself, turn:1],[effect:tolerance, target:myself, turn:-1, count:-1, tolerance_effect:all, animation:enemy_tolerance]</v>
      </c>
      <c r="O69" s="111">
        <f t="shared" si="88"/>
        <v>9</v>
      </c>
      <c r="P69" s="111">
        <f t="shared" si="89"/>
        <v>18</v>
      </c>
      <c r="Q69" s="111">
        <f t="shared" si="90"/>
        <v>27</v>
      </c>
      <c r="R69" s="111">
        <f t="shared" si="91"/>
        <v>33</v>
      </c>
      <c r="S69" s="111" t="str">
        <f>IFERROR(VLOOKUP(MID(N69,Q69,R69-Q69),[6]skilldef!$C:$D,2,FALSE),"-") &amp; " / " &amp; IFERROR(VLOOKUP(MID(N69,O69,P69-O69),[6]skilldef!$A:$B,2,FALSE),"-")</f>
        <v>自分自身に / 行動値設定</v>
      </c>
      <c r="T69" s="112" t="str">
        <f t="shared" si="92"/>
        <v>[effect:tolerance, target:myself, turn:-1, count:-1, tolerance_effect:all, animation:enemy_tolerance]</v>
      </c>
      <c r="U69" s="111">
        <f t="shared" si="93"/>
        <v>9</v>
      </c>
      <c r="V69" s="111">
        <f t="shared" si="94"/>
        <v>18</v>
      </c>
      <c r="W69" s="111">
        <f t="shared" si="95"/>
        <v>27</v>
      </c>
      <c r="X69" s="111">
        <f t="shared" si="96"/>
        <v>33</v>
      </c>
      <c r="Y69" s="111" t="str">
        <f>IFERROR(VLOOKUP(MID(T69,W69,X69-W69),[6]skilldef!$C:$D,2,FALSE),"-") &amp; " / " &amp; IFERROR(VLOOKUP(MID(T69,U69,V69-U69),[6]skilldef!$A:$B,2,FALSE),"-")</f>
        <v>自分自身に / 状態異常耐性</v>
      </c>
      <c r="Z69" s="109"/>
      <c r="AA69" s="113"/>
      <c r="AB69" s="109"/>
    </row>
    <row r="70" spans="1:29" ht="21" customHeight="1" x14ac:dyDescent="0.15">
      <c r="A70" s="134">
        <v>49014069</v>
      </c>
      <c r="B70" s="47" t="s">
        <v>425</v>
      </c>
      <c r="C70" s="50">
        <v>3</v>
      </c>
      <c r="D70" s="50" t="s">
        <v>126</v>
      </c>
      <c r="E70" s="51" t="s">
        <v>326</v>
      </c>
      <c r="F70" s="51" t="s">
        <v>271</v>
      </c>
      <c r="G70" s="64" t="str">
        <f t="shared" si="99"/>
        <v>[effect:enemy_message, val1:1.2, val2:2.9]</v>
      </c>
      <c r="H70" s="64">
        <f t="shared" si="82"/>
        <v>9</v>
      </c>
      <c r="I70" s="64">
        <f t="shared" si="83"/>
        <v>22</v>
      </c>
      <c r="J70" s="64" t="e">
        <f t="shared" si="84"/>
        <v>#VALUE!</v>
      </c>
      <c r="K70" s="64">
        <f t="shared" si="85"/>
        <v>32</v>
      </c>
      <c r="L70" s="64" t="str">
        <f>IFERROR(VLOOKUP(MID(G70,J70,K70-J70),[6]skilldef!$C:$D,2,FALSE),"-") &amp; " / " &amp; IFERROR(VLOOKUP(MID(G70,H70,I70-H70),[6]skilldef!$A:$B,2,FALSE),"-")</f>
        <v>- / -</v>
      </c>
      <c r="M70" s="64" t="str">
        <f t="shared" si="100"/>
        <v>[effect:spread, val:0.3],[effect:force_change_block, new_block:damage, target:block_green, count:0, val:0.06, animation:change_block],[effect:force_change_block, new_block:damage, target:block_yellow, count:0, val:0.06, animation:change_block]</v>
      </c>
      <c r="N70" s="48" t="str">
        <f>IFERROR(LEFT(M70,FIND("],",M70)+S80),M70)</f>
        <v>[effect:spread, val:0.3],[effect:force_change_block, new_block:damage, target:block_green, count:0, val:0.06, animation:change_block],[effect:force_change_block, new_block:damage, target:block_yellow, count:0, val:0.06, animation:change_block]</v>
      </c>
      <c r="O70" s="64">
        <f t="shared" si="88"/>
        <v>9</v>
      </c>
      <c r="P70" s="64">
        <f t="shared" si="89"/>
        <v>15</v>
      </c>
      <c r="Q70" s="64">
        <f t="shared" si="90"/>
        <v>79</v>
      </c>
      <c r="R70" s="64">
        <f t="shared" si="91"/>
        <v>25</v>
      </c>
      <c r="S70" s="64" t="str">
        <f>IFERROR(VLOOKUP(MID(N70,Q70,R70-Q70),[6]skilldef!$C:$D,2,FALSE),"-") &amp; " / " &amp; IFERROR(VLOOKUP(MID(N70,O70,P70-O70),[6]skilldef!$A:$B,2,FALSE),"-")</f>
        <v>- / 全体攻撃</v>
      </c>
      <c r="T70" s="48" t="str">
        <f t="shared" si="92"/>
        <v>[effect:force_change_block, new_block:damage, target:block_green, count:0, val:0.06, animation:change_block],[effect:force_change_block, new_block:damage, target:block_yellow, count:0, val:0.06, animation:change_block]</v>
      </c>
      <c r="U70" s="64">
        <f t="shared" si="93"/>
        <v>9</v>
      </c>
      <c r="V70" s="64">
        <f t="shared" si="94"/>
        <v>27</v>
      </c>
      <c r="W70" s="64">
        <f t="shared" si="95"/>
        <v>54</v>
      </c>
      <c r="X70" s="64">
        <f t="shared" si="96"/>
        <v>45</v>
      </c>
      <c r="Y70" s="64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9" ht="21" customHeight="1" x14ac:dyDescent="0.15">
      <c r="A71" s="134">
        <v>49014070</v>
      </c>
      <c r="B71" s="47" t="s">
        <v>291</v>
      </c>
      <c r="C71" s="50">
        <v>3</v>
      </c>
      <c r="D71" s="50" t="s">
        <v>126</v>
      </c>
      <c r="E71" s="51" t="s">
        <v>327</v>
      </c>
      <c r="F71" s="51" t="s">
        <v>273</v>
      </c>
      <c r="G71" s="64" t="str">
        <f t="shared" si="99"/>
        <v>[effect:enemy_message, val1:1.2, val2:1.6]</v>
      </c>
      <c r="H71" s="64">
        <f t="shared" si="82"/>
        <v>9</v>
      </c>
      <c r="I71" s="64">
        <f t="shared" si="83"/>
        <v>22</v>
      </c>
      <c r="J71" s="64" t="e">
        <f t="shared" si="84"/>
        <v>#VALUE!</v>
      </c>
      <c r="K71" s="64">
        <f t="shared" si="85"/>
        <v>32</v>
      </c>
      <c r="L71" s="64" t="str">
        <f>IFERROR(VLOOKUP(MID(G71,J71,K71-J71),[6]skilldef!$C:$D,2,FALSE),"-") &amp; " / " &amp; IFERROR(VLOOKUP(MID(G71,H71,I71-H71),[6]skilldef!$A:$B,2,FALSE),"-")</f>
        <v>- / -</v>
      </c>
      <c r="M71" s="64" t="str">
        <f t="shared" si="100"/>
        <v>[effect:break_attack, target:unit_all, val:0.04, lowest_val:2000, count:-1, color:blue, block01:damage]</v>
      </c>
      <c r="N71" s="48" t="str">
        <f>IFERROR(LEFT(M71,FIND("],",M71)+S81),M71)</f>
        <v>[effect:break_attack, target:unit_all, val:0.04, lowest_val:2000, count:-1, color:blue, block01:damage]</v>
      </c>
      <c r="O71" s="64">
        <f t="shared" si="88"/>
        <v>9</v>
      </c>
      <c r="P71" s="64">
        <f t="shared" si="89"/>
        <v>21</v>
      </c>
      <c r="Q71" s="64">
        <f t="shared" si="90"/>
        <v>30</v>
      </c>
      <c r="R71" s="64">
        <f t="shared" si="91"/>
        <v>38</v>
      </c>
      <c r="S71" s="64" t="str">
        <f>IFERROR(VLOOKUP(MID(N71,Q71,R71-Q71),[6]skilldef!$C:$D,2,FALSE),"-") &amp; " / " &amp; IFERROR(VLOOKUP(MID(N71,O71,P71-O71),[6]skilldef!$A:$B,2,FALSE),"-")</f>
        <v>味方全体に / -</v>
      </c>
      <c r="T71" s="48" t="str">
        <f t="shared" si="92"/>
        <v>none</v>
      </c>
      <c r="U71" s="64" t="e">
        <f t="shared" si="93"/>
        <v>#VALUE!</v>
      </c>
      <c r="V71" s="64">
        <f t="shared" si="94"/>
        <v>4</v>
      </c>
      <c r="W71" s="64" t="e">
        <f t="shared" si="95"/>
        <v>#VALUE!</v>
      </c>
      <c r="X71" s="64" t="e">
        <f t="shared" si="96"/>
        <v>#VALUE!</v>
      </c>
      <c r="Y71" s="64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  <row r="72" spans="1:29" ht="21" customHeight="1" x14ac:dyDescent="0.15">
      <c r="A72" s="134">
        <v>49014071</v>
      </c>
      <c r="B72" s="47" t="s">
        <v>276</v>
      </c>
      <c r="C72" s="50">
        <v>3</v>
      </c>
      <c r="D72" s="50" t="s">
        <v>126</v>
      </c>
      <c r="E72" s="110" t="s">
        <v>331</v>
      </c>
      <c r="F72" s="51" t="s">
        <v>274</v>
      </c>
      <c r="G72" s="64" t="str">
        <f t="shared" si="99"/>
        <v>[effect:enemy_message, val1:1.2, val2:1.4]</v>
      </c>
      <c r="H72" s="64">
        <f t="shared" si="82"/>
        <v>9</v>
      </c>
      <c r="I72" s="64">
        <f t="shared" si="83"/>
        <v>22</v>
      </c>
      <c r="J72" s="64" t="e">
        <f t="shared" si="84"/>
        <v>#VALUE!</v>
      </c>
      <c r="K72" s="64">
        <f t="shared" si="85"/>
        <v>32</v>
      </c>
      <c r="L72" s="64" t="str">
        <f>IFERROR(VLOOKUP(MID(G72,J72,K72-J72),[6]skilldef!$C:$D,2,FALSE),"-") &amp; " / " &amp; IFERROR(VLOOKUP(MID(G72,H72,I72-H72),[6]skilldef!$A:$B,2,FALSE),"-")</f>
        <v>- / -</v>
      </c>
      <c r="M72" s="64" t="str">
        <f t="shared" si="100"/>
        <v>none</v>
      </c>
      <c r="N72" s="48" t="str">
        <f>IFERROR(LEFT(M72,FIND("],",M72)+S82),M72)</f>
        <v>none</v>
      </c>
      <c r="O72" s="64" t="e">
        <f t="shared" si="88"/>
        <v>#VALUE!</v>
      </c>
      <c r="P72" s="64">
        <f t="shared" si="89"/>
        <v>4</v>
      </c>
      <c r="Q72" s="64" t="e">
        <f t="shared" si="90"/>
        <v>#VALUE!</v>
      </c>
      <c r="R72" s="64" t="e">
        <f t="shared" si="91"/>
        <v>#VALUE!</v>
      </c>
      <c r="S72" s="64" t="str">
        <f>IFERROR(VLOOKUP(MID(N72,Q72,R72-Q72),[6]skilldef!$C:$D,2,FALSE),"-") &amp; " / " &amp; IFERROR(VLOOKUP(MID(N72,O72,P72-O72),[6]skilldef!$A:$B,2,FALSE),"-")</f>
        <v>- / -</v>
      </c>
      <c r="T72" s="48" t="str">
        <f t="shared" si="92"/>
        <v>none</v>
      </c>
      <c r="U72" s="64" t="e">
        <f t="shared" si="93"/>
        <v>#VALUE!</v>
      </c>
      <c r="V72" s="64">
        <f t="shared" si="94"/>
        <v>4</v>
      </c>
      <c r="W72" s="64" t="e">
        <f t="shared" si="95"/>
        <v>#VALUE!</v>
      </c>
      <c r="X72" s="64" t="e">
        <f t="shared" si="96"/>
        <v>#VALUE!</v>
      </c>
      <c r="Y72" s="64" t="str">
        <f>IFERROR(VLOOKUP(MID(T72,W72,X72-W72),[6]skilldef!$C:$D,2,FALSE),"-") &amp; " / " &amp; IFERROR(VLOOKUP(MID(T72,U72,V72-U72),[6]skilldef!$A:$B,2,FALSE),"-")</f>
        <v>- / -</v>
      </c>
      <c r="Z72" s="50"/>
      <c r="AA72" s="52"/>
      <c r="AB72" s="50"/>
    </row>
    <row r="73" spans="1:29" ht="21" customHeight="1" x14ac:dyDescent="0.15">
      <c r="A73" s="134">
        <v>49014072</v>
      </c>
      <c r="B73" s="47" t="s">
        <v>396</v>
      </c>
      <c r="C73" s="50">
        <v>3</v>
      </c>
      <c r="D73" s="50" t="s">
        <v>126</v>
      </c>
      <c r="E73" s="51" t="s">
        <v>332</v>
      </c>
      <c r="F73" s="51" t="s">
        <v>258</v>
      </c>
      <c r="G73" s="64" t="str">
        <f t="shared" si="99"/>
        <v>[effect:enemy_message, val1:1.2, val2:1.2]</v>
      </c>
      <c r="H73" s="64">
        <f t="shared" si="82"/>
        <v>9</v>
      </c>
      <c r="I73" s="64">
        <f t="shared" si="83"/>
        <v>22</v>
      </c>
      <c r="J73" s="64" t="e">
        <f t="shared" si="84"/>
        <v>#VALUE!</v>
      </c>
      <c r="K73" s="64">
        <f t="shared" si="85"/>
        <v>32</v>
      </c>
      <c r="L73" s="64" t="str">
        <f>IFERROR(VLOOKUP(MID(G73,J73,K73-J73),[6]skilldef!$C:$D,2,FALSE),"-") &amp; " / " &amp; IFERROR(VLOOKUP(MID(G73,H73,I73-H73),[6]skilldef!$A:$B,2,FALSE),"-")</f>
        <v>- / -</v>
      </c>
      <c r="M73" s="64" t="str">
        <f t="shared" si="100"/>
        <v>[effect:spread, val:0.5]</v>
      </c>
      <c r="N73" s="48" t="str">
        <f>IFERROR(LEFT(M73,FIND("],",M73)+S83),M73)</f>
        <v>[effect:spread, val:0.5]</v>
      </c>
      <c r="O73" s="64">
        <f t="shared" si="88"/>
        <v>9</v>
      </c>
      <c r="P73" s="64">
        <f t="shared" si="89"/>
        <v>15</v>
      </c>
      <c r="Q73" s="64" t="e">
        <f t="shared" si="90"/>
        <v>#VALUE!</v>
      </c>
      <c r="R73" s="64" t="e">
        <f t="shared" si="91"/>
        <v>#VALUE!</v>
      </c>
      <c r="S73" s="64" t="str">
        <f>IFERROR(VLOOKUP(MID(N73,Q73,R73-Q73),[6]skilldef!$C:$D,2,FALSE),"-") &amp; " / " &amp; IFERROR(VLOOKUP(MID(N73,O73,P73-O73),[6]skilldef!$A:$B,2,FALSE),"-")</f>
        <v>- / 全体攻撃</v>
      </c>
      <c r="T73" s="48" t="str">
        <f t="shared" si="92"/>
        <v>none</v>
      </c>
      <c r="U73" s="64" t="e">
        <f t="shared" si="93"/>
        <v>#VALUE!</v>
      </c>
      <c r="V73" s="64">
        <f t="shared" si="94"/>
        <v>4</v>
      </c>
      <c r="W73" s="64" t="e">
        <f t="shared" si="95"/>
        <v>#VALUE!</v>
      </c>
      <c r="X73" s="64" t="e">
        <f t="shared" si="96"/>
        <v>#VALUE!</v>
      </c>
      <c r="Y73" s="64" t="str">
        <f>IFERROR(VLOOKUP(MID(T73,W73,X73-W73),[6]skilldef!$C:$D,2,FALSE),"-") &amp; " / " &amp; IFERROR(VLOOKUP(MID(T73,U73,V73-U73),[6]skilldef!$A:$B,2,FALSE),"-")</f>
        <v>- / -</v>
      </c>
      <c r="Z73" s="50"/>
      <c r="AA73" s="52"/>
      <c r="AB73" s="50"/>
    </row>
    <row r="74" spans="1:29" ht="21" customHeight="1" x14ac:dyDescent="0.15">
      <c r="A74" s="134">
        <v>49014073</v>
      </c>
      <c r="B74" s="47" t="s">
        <v>276</v>
      </c>
      <c r="C74" s="50">
        <v>3</v>
      </c>
      <c r="D74" s="50" t="s">
        <v>126</v>
      </c>
      <c r="E74" s="110" t="s">
        <v>331</v>
      </c>
      <c r="F74" s="51" t="s">
        <v>274</v>
      </c>
      <c r="G74" s="64" t="str">
        <f t="shared" si="99"/>
        <v>[effect:enemy_message, val1:1.2, val2:1.4]</v>
      </c>
      <c r="H74" s="64">
        <f t="shared" si="82"/>
        <v>9</v>
      </c>
      <c r="I74" s="64">
        <f t="shared" si="83"/>
        <v>22</v>
      </c>
      <c r="J74" s="64" t="e">
        <f t="shared" si="84"/>
        <v>#VALUE!</v>
      </c>
      <c r="K74" s="64">
        <f t="shared" si="85"/>
        <v>32</v>
      </c>
      <c r="L74" s="64" t="str">
        <f>IFERROR(VLOOKUP(MID(G74,J74,K74-J74),[6]skilldef!$C:$D,2,FALSE),"-") &amp; " / " &amp; IFERROR(VLOOKUP(MID(G74,H74,I74-H74),[6]skilldef!$A:$B,2,FALSE),"-")</f>
        <v>- / -</v>
      </c>
      <c r="M74" s="64" t="str">
        <f t="shared" si="100"/>
        <v>none</v>
      </c>
      <c r="N74" s="48" t="str">
        <f>IFERROR(LEFT(M74,FIND("],",M74)+S84),M74)</f>
        <v>none</v>
      </c>
      <c r="O74" s="64" t="e">
        <f t="shared" si="88"/>
        <v>#VALUE!</v>
      </c>
      <c r="P74" s="64">
        <f t="shared" si="89"/>
        <v>4</v>
      </c>
      <c r="Q74" s="64" t="e">
        <f t="shared" si="90"/>
        <v>#VALUE!</v>
      </c>
      <c r="R74" s="64" t="e">
        <f t="shared" si="91"/>
        <v>#VALUE!</v>
      </c>
      <c r="S74" s="64" t="str">
        <f>IFERROR(VLOOKUP(MID(N74,Q74,R74-Q74),[6]skilldef!$C:$D,2,FALSE),"-") &amp; " / " &amp; IFERROR(VLOOKUP(MID(N74,O74,P74-O74),[6]skilldef!$A:$B,2,FALSE),"-")</f>
        <v>- / -</v>
      </c>
      <c r="T74" s="48" t="str">
        <f t="shared" si="92"/>
        <v>none</v>
      </c>
      <c r="U74" s="64" t="e">
        <f t="shared" si="93"/>
        <v>#VALUE!</v>
      </c>
      <c r="V74" s="64">
        <f t="shared" si="94"/>
        <v>4</v>
      </c>
      <c r="W74" s="64" t="e">
        <f t="shared" si="95"/>
        <v>#VALUE!</v>
      </c>
      <c r="X74" s="64" t="e">
        <f t="shared" si="96"/>
        <v>#VALUE!</v>
      </c>
      <c r="Y74" s="64" t="str">
        <f>IFERROR(VLOOKUP(MID(T74,W74,X74-W74),[6]skilldef!$C:$D,2,FALSE),"-") &amp; " / " &amp; IFERROR(VLOOKUP(MID(T74,U74,V74-U74),[6]skilldef!$A:$B,2,FALSE),"-")</f>
        <v>- / -</v>
      </c>
      <c r="Z74" s="50"/>
      <c r="AA74" s="52"/>
      <c r="AB74" s="50"/>
    </row>
    <row r="75" spans="1:29" ht="21" customHeight="1" x14ac:dyDescent="0.15">
      <c r="A75" s="134">
        <v>49014074</v>
      </c>
      <c r="B75" s="47" t="s">
        <v>396</v>
      </c>
      <c r="C75" s="50">
        <v>3</v>
      </c>
      <c r="D75" s="50" t="s">
        <v>126</v>
      </c>
      <c r="E75" s="51" t="s">
        <v>332</v>
      </c>
      <c r="F75" s="51" t="s">
        <v>258</v>
      </c>
      <c r="G75" s="64" t="str">
        <f t="shared" si="99"/>
        <v>[effect:enemy_message, val1:1.2, val2:1.2]</v>
      </c>
      <c r="H75" s="64">
        <f t="shared" si="82"/>
        <v>9</v>
      </c>
      <c r="I75" s="64">
        <f t="shared" si="83"/>
        <v>22</v>
      </c>
      <c r="J75" s="64" t="e">
        <f t="shared" si="84"/>
        <v>#VALUE!</v>
      </c>
      <c r="K75" s="64">
        <f t="shared" si="85"/>
        <v>32</v>
      </c>
      <c r="L75" s="64" t="str">
        <f>IFERROR(VLOOKUP(MID(G75,J75,K75-J75),[6]skilldef!$C:$D,2,FALSE),"-") &amp; " / " &amp; IFERROR(VLOOKUP(MID(G75,H75,I75-H75),[6]skilldef!$A:$B,2,FALSE),"-")</f>
        <v>- / -</v>
      </c>
      <c r="M75" s="64" t="str">
        <f t="shared" si="100"/>
        <v>[effect:spread, val:0.5]</v>
      </c>
      <c r="N75" s="48" t="str">
        <f>IFERROR(LEFT(M75,FIND("],",M75)+#REF!),M75)</f>
        <v>[effect:spread, val:0.5]</v>
      </c>
      <c r="O75" s="64">
        <f t="shared" si="88"/>
        <v>9</v>
      </c>
      <c r="P75" s="64">
        <f t="shared" si="89"/>
        <v>15</v>
      </c>
      <c r="Q75" s="64" t="e">
        <f t="shared" si="90"/>
        <v>#VALUE!</v>
      </c>
      <c r="R75" s="64" t="e">
        <f t="shared" si="91"/>
        <v>#VALUE!</v>
      </c>
      <c r="S75" s="64" t="str">
        <f>IFERROR(VLOOKUP(MID(N75,Q75,R75-Q75),[6]skilldef!$C:$D,2,FALSE),"-") &amp; " / " &amp; IFERROR(VLOOKUP(MID(N75,O75,P75-O75),[6]skilldef!$A:$B,2,FALSE),"-")</f>
        <v>- / 全体攻撃</v>
      </c>
      <c r="T75" s="48" t="str">
        <f t="shared" si="92"/>
        <v>none</v>
      </c>
      <c r="U75" s="64" t="e">
        <f t="shared" si="93"/>
        <v>#VALUE!</v>
      </c>
      <c r="V75" s="64">
        <f t="shared" si="94"/>
        <v>4</v>
      </c>
      <c r="W75" s="64" t="e">
        <f t="shared" si="95"/>
        <v>#VALUE!</v>
      </c>
      <c r="X75" s="64" t="e">
        <f t="shared" si="96"/>
        <v>#VALUE!</v>
      </c>
      <c r="Y75" s="64" t="str">
        <f>IFERROR(VLOOKUP(MID(T75,W75,X75-W75),[6]skilldef!$C:$D,2,FALSE),"-") &amp; " / " &amp; IFERROR(VLOOKUP(MID(T75,U75,V75-U75),[6]skilldef!$A:$B,2,FALSE),"-")</f>
        <v>- / -</v>
      </c>
      <c r="Z75" s="50"/>
      <c r="AA75" s="52"/>
      <c r="AB75" s="50"/>
    </row>
    <row r="76" spans="1:29" ht="21" customHeight="1" x14ac:dyDescent="0.15">
      <c r="A76" s="134">
        <v>49014075</v>
      </c>
      <c r="B76" s="47" t="s">
        <v>275</v>
      </c>
      <c r="C76" s="50">
        <v>3</v>
      </c>
      <c r="D76" s="50" t="s">
        <v>126</v>
      </c>
      <c r="E76" s="51" t="s">
        <v>333</v>
      </c>
      <c r="F76" s="51" t="s">
        <v>431</v>
      </c>
      <c r="G76" s="64" t="str">
        <f t="shared" si="99"/>
        <v>[effect:enemy_message, val1:1.2, val2:1.2]</v>
      </c>
      <c r="H76" s="64">
        <f t="shared" si="82"/>
        <v>9</v>
      </c>
      <c r="I76" s="64">
        <f t="shared" si="83"/>
        <v>22</v>
      </c>
      <c r="J76" s="64" t="e">
        <f t="shared" si="84"/>
        <v>#VALUE!</v>
      </c>
      <c r="K76" s="64">
        <f t="shared" si="85"/>
        <v>32</v>
      </c>
      <c r="L76" s="64" t="str">
        <f>IFERROR(VLOOKUP(MID(G76,J76,K76-J76),[6]skilldef!$C:$D,2,FALSE),"-") &amp; " / " &amp; IFERROR(VLOOKUP(MID(G76,H76,I76-H76),[6]skilldef!$A:$B,2,FALSE),"-")</f>
        <v>- / -</v>
      </c>
      <c r="M76" s="64" t="str">
        <f t="shared" si="100"/>
        <v>[effect:damage_fix_absolute, target:unit_all, val:99999]</v>
      </c>
      <c r="N76" s="48" t="str">
        <f>IFERROR(LEFT(M76,FIND("],",M76)+S84),M76)</f>
        <v>[effect:damage_fix_absolute, target:unit_all, val:99999]</v>
      </c>
      <c r="O76" s="64">
        <f t="shared" si="88"/>
        <v>9</v>
      </c>
      <c r="P76" s="64">
        <f t="shared" si="89"/>
        <v>28</v>
      </c>
      <c r="Q76" s="64">
        <f t="shared" si="90"/>
        <v>37</v>
      </c>
      <c r="R76" s="64">
        <f t="shared" si="91"/>
        <v>45</v>
      </c>
      <c r="S76" s="64" t="str">
        <f>IFERROR(VLOOKUP(MID(N76,Q76,R76-Q76),[6]skilldef!$C:$D,2,FALSE),"-") &amp; " / " &amp; IFERROR(VLOOKUP(MID(N76,O76,P76-O76),[6]skilldef!$A:$B,2,FALSE),"-")</f>
        <v>味方全体に / -</v>
      </c>
      <c r="T76" s="48" t="str">
        <f t="shared" si="92"/>
        <v>none</v>
      </c>
      <c r="U76" s="64" t="e">
        <f t="shared" si="93"/>
        <v>#VALUE!</v>
      </c>
      <c r="V76" s="64">
        <f t="shared" si="94"/>
        <v>4</v>
      </c>
      <c r="W76" s="64" t="e">
        <f t="shared" si="95"/>
        <v>#VALUE!</v>
      </c>
      <c r="X76" s="64" t="e">
        <f t="shared" si="96"/>
        <v>#VALUE!</v>
      </c>
      <c r="Y76" s="64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9" ht="21" customHeight="1" x14ac:dyDescent="0.15">
      <c r="A77" s="134">
        <v>49014076</v>
      </c>
      <c r="B77" s="47" t="s">
        <v>281</v>
      </c>
      <c r="C77" s="50">
        <v>3</v>
      </c>
      <c r="D77" s="50" t="s">
        <v>126</v>
      </c>
      <c r="E77" s="51" t="s">
        <v>334</v>
      </c>
      <c r="F77" s="51" t="s">
        <v>433</v>
      </c>
      <c r="G77" s="64" t="str">
        <f t="shared" si="99"/>
        <v>[effect:enemy_message, val1:1.2, val2:1.2]</v>
      </c>
      <c r="H77" s="64">
        <f t="shared" si="82"/>
        <v>9</v>
      </c>
      <c r="I77" s="64">
        <f t="shared" si="83"/>
        <v>22</v>
      </c>
      <c r="J77" s="64" t="e">
        <f t="shared" si="84"/>
        <v>#VALUE!</v>
      </c>
      <c r="K77" s="64">
        <f t="shared" si="85"/>
        <v>32</v>
      </c>
      <c r="L77" s="64" t="str">
        <f>IFERROR(VLOOKUP(MID(G77,J77,K77-J77),[6]skilldef!$C:$D,2,FALSE),"-") &amp; " / " &amp; IFERROR(VLOOKUP(MID(G77,H77,I77-H77),[6]skilldef!$A:$B,2,FALSE),"-")</f>
        <v>- / -</v>
      </c>
      <c r="M77" s="64" t="str">
        <f t="shared" si="100"/>
        <v>none</v>
      </c>
      <c r="N77" s="48" t="str">
        <f>IFERROR(LEFT(M77,FIND("],",M77)+#REF!),M77)</f>
        <v>none</v>
      </c>
      <c r="O77" s="64" t="e">
        <f t="shared" si="88"/>
        <v>#VALUE!</v>
      </c>
      <c r="P77" s="64">
        <f t="shared" si="89"/>
        <v>4</v>
      </c>
      <c r="Q77" s="64" t="e">
        <f t="shared" si="90"/>
        <v>#VALUE!</v>
      </c>
      <c r="R77" s="64" t="e">
        <f t="shared" si="91"/>
        <v>#VALUE!</v>
      </c>
      <c r="S77" s="64" t="str">
        <f>IFERROR(VLOOKUP(MID(N77,Q77,R77-Q77),[6]skilldef!$C:$D,2,FALSE),"-") &amp; " / " &amp; IFERROR(VLOOKUP(MID(N77,O77,P77-O77),[6]skilldef!$A:$B,2,FALSE),"-")</f>
        <v>- / -</v>
      </c>
      <c r="T77" s="48" t="str">
        <f t="shared" si="92"/>
        <v>none</v>
      </c>
      <c r="U77" s="64" t="e">
        <f t="shared" si="93"/>
        <v>#VALUE!</v>
      </c>
      <c r="V77" s="64">
        <f t="shared" si="94"/>
        <v>4</v>
      </c>
      <c r="W77" s="64" t="e">
        <f t="shared" si="95"/>
        <v>#VALUE!</v>
      </c>
      <c r="X77" s="64" t="e">
        <f t="shared" si="96"/>
        <v>#VALUE!</v>
      </c>
      <c r="Y77" s="64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9" ht="21" customHeight="1" x14ac:dyDescent="0.15">
      <c r="A78" s="134">
        <v>49014077</v>
      </c>
      <c r="B78" s="47" t="s">
        <v>275</v>
      </c>
      <c r="C78" s="50">
        <v>3</v>
      </c>
      <c r="D78" s="50" t="s">
        <v>126</v>
      </c>
      <c r="E78" s="51" t="s">
        <v>333</v>
      </c>
      <c r="F78" s="51" t="s">
        <v>431</v>
      </c>
      <c r="G78" s="64" t="str">
        <f t="shared" si="99"/>
        <v>[effect:enemy_message, val1:1.2, val2:1.2]</v>
      </c>
      <c r="H78" s="64">
        <f t="shared" si="82"/>
        <v>9</v>
      </c>
      <c r="I78" s="64">
        <f t="shared" si="83"/>
        <v>22</v>
      </c>
      <c r="J78" s="64" t="e">
        <f t="shared" si="84"/>
        <v>#VALUE!</v>
      </c>
      <c r="K78" s="64">
        <f t="shared" si="85"/>
        <v>32</v>
      </c>
      <c r="L78" s="64" t="str">
        <f>IFERROR(VLOOKUP(MID(G78,J78,K78-J78),[6]skilldef!$C:$D,2,FALSE),"-") &amp; " / " &amp; IFERROR(VLOOKUP(MID(G78,H78,I78-H78),[6]skilldef!$A:$B,2,FALSE),"-")</f>
        <v>- / -</v>
      </c>
      <c r="M78" s="64" t="str">
        <f t="shared" si="100"/>
        <v>[effect:damage_fix_absolute, target:unit_all, val:99999]</v>
      </c>
      <c r="N78" s="48" t="str">
        <f>IFERROR(LEFT(M78,FIND("],",M78)+#REF!),M78)</f>
        <v>[effect:damage_fix_absolute, target:unit_all, val:99999]</v>
      </c>
      <c r="O78" s="64">
        <f t="shared" si="88"/>
        <v>9</v>
      </c>
      <c r="P78" s="64">
        <f t="shared" si="89"/>
        <v>28</v>
      </c>
      <c r="Q78" s="64">
        <f t="shared" si="90"/>
        <v>37</v>
      </c>
      <c r="R78" s="64">
        <f t="shared" si="91"/>
        <v>45</v>
      </c>
      <c r="S78" s="64" t="str">
        <f>IFERROR(VLOOKUP(MID(N78,Q78,R78-Q78),[6]skilldef!$C:$D,2,FALSE),"-") &amp; " / " &amp; IFERROR(VLOOKUP(MID(N78,O78,P78-O78),[6]skilldef!$A:$B,2,FALSE),"-")</f>
        <v>味方全体に / -</v>
      </c>
      <c r="T78" s="48" t="str">
        <f t="shared" si="92"/>
        <v>none</v>
      </c>
      <c r="U78" s="64" t="e">
        <f t="shared" si="93"/>
        <v>#VALUE!</v>
      </c>
      <c r="V78" s="64">
        <f t="shared" si="94"/>
        <v>4</v>
      </c>
      <c r="W78" s="64" t="e">
        <f t="shared" si="95"/>
        <v>#VALUE!</v>
      </c>
      <c r="X78" s="64" t="e">
        <f t="shared" si="96"/>
        <v>#VALUE!</v>
      </c>
      <c r="Y78" s="64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9" ht="21" customHeight="1" thickBot="1" x14ac:dyDescent="0.2">
      <c r="A79" s="136">
        <v>49014078</v>
      </c>
      <c r="B79" s="115" t="s">
        <v>356</v>
      </c>
      <c r="C79" s="116">
        <v>3</v>
      </c>
      <c r="D79" s="116" t="s">
        <v>126</v>
      </c>
      <c r="E79" s="117" t="s">
        <v>335</v>
      </c>
      <c r="F79" s="117" t="s">
        <v>336</v>
      </c>
      <c r="G79" s="118" t="str">
        <f t="shared" si="99"/>
        <v>[effect:enemy_message, val1:2.4, val2:1.7, dead_type:suicide]</v>
      </c>
      <c r="H79" s="118">
        <f t="shared" ref="H79" si="104">FIND("effect:",G79)+7</f>
        <v>9</v>
      </c>
      <c r="I79" s="118">
        <f t="shared" ref="I79" si="105">IFERROR(FIND(",",G79),LEN(G79))</f>
        <v>22</v>
      </c>
      <c r="J79" s="118" t="e">
        <f t="shared" ref="J79" si="106">FIND("target:",G79)+7</f>
        <v>#VALUE!</v>
      </c>
      <c r="K79" s="118">
        <f t="shared" ref="K79" si="107">FIND(",",G79,I79+1)</f>
        <v>32</v>
      </c>
      <c r="L79" s="118" t="str">
        <f>IFERROR(VLOOKUP(MID(G79,J79,K79-J79),[6]skilldef!$C:$D,2,FALSE),"-") &amp; " / " &amp; IFERROR(VLOOKUP(MID(G79,H79,I79-H79),[6]skilldef!$A:$B,2,FALSE),"-")</f>
        <v>- / -</v>
      </c>
      <c r="M79" s="118" t="str">
        <f t="shared" si="100"/>
        <v>none</v>
      </c>
      <c r="N79" s="119" t="str">
        <f>IFERROR(LEFT(M79,FIND("],",M79)+#REF!),M79)</f>
        <v>none</v>
      </c>
      <c r="O79" s="118" t="e">
        <f t="shared" ref="O79" si="108">FIND("effect:",N79)+7</f>
        <v>#VALUE!</v>
      </c>
      <c r="P79" s="118">
        <f t="shared" ref="P79" si="109">IFERROR(FIND(",",N79),LEN(N79))</f>
        <v>4</v>
      </c>
      <c r="Q79" s="118" t="e">
        <f t="shared" ref="Q79" si="110">FIND("target:",N79)+7</f>
        <v>#VALUE!</v>
      </c>
      <c r="R79" s="118" t="e">
        <f t="shared" ref="R79" si="111">FIND(",",N79,P79+1)</f>
        <v>#VALUE!</v>
      </c>
      <c r="S79" s="118" t="str">
        <f>IFERROR(VLOOKUP(MID(N79,Q79,R79-Q79),[6]skilldef!$C:$D,2,FALSE),"-") &amp; " / " &amp; IFERROR(VLOOKUP(MID(N79,O79,P79-O79),[6]skilldef!$A:$B,2,FALSE),"-")</f>
        <v>- / -</v>
      </c>
      <c r="T79" s="119" t="str">
        <f t="shared" ref="T79" si="112">IFERROR(RIGHT(M79,LEN(M79)-FIND("],",M79)-1),"none")</f>
        <v>none</v>
      </c>
      <c r="U79" s="118" t="e">
        <f t="shared" ref="U79" si="113">FIND("effect:",T79)+7</f>
        <v>#VALUE!</v>
      </c>
      <c r="V79" s="118">
        <f t="shared" ref="V79" si="114">IFERROR(FIND(",",T79),LEN(T79))</f>
        <v>4</v>
      </c>
      <c r="W79" s="118" t="e">
        <f t="shared" ref="W79" si="115">FIND("target:",T79)+7</f>
        <v>#VALUE!</v>
      </c>
      <c r="X79" s="118" t="e">
        <f t="shared" ref="X79" si="116">FIND(",",T79,V79+1)</f>
        <v>#VALUE!</v>
      </c>
      <c r="Y79" s="118" t="str">
        <f>IFERROR(VLOOKUP(MID(T79,W79,X79-W79),[6]skilldef!$C:$D,2,FALSE),"-") &amp; " / " &amp; IFERROR(VLOOKUP(MID(T79,U79,V79-U79),[6]skilldef!$A:$B,2,FALSE),"-")</f>
        <v>- / -</v>
      </c>
      <c r="Z79" s="116"/>
      <c r="AA79" s="120"/>
      <c r="AB79" s="116"/>
    </row>
    <row r="80" spans="1:29" ht="21" customHeight="1" x14ac:dyDescent="0.15">
      <c r="A80" s="208">
        <v>49014079</v>
      </c>
      <c r="B80" s="225" t="s">
        <v>348</v>
      </c>
      <c r="C80" s="109">
        <v>3</v>
      </c>
      <c r="D80" s="109" t="s">
        <v>126</v>
      </c>
      <c r="E80" s="225" t="s">
        <v>301</v>
      </c>
      <c r="F80" s="110" t="s">
        <v>268</v>
      </c>
      <c r="G80" s="111" t="str">
        <f t="shared" ref="G80:G81" si="117">IFERROR(LEFT(B80,FIND("],",B80)),B80)</f>
        <v>[effect:enemy_message, val1:2.0, val2:1.2]</v>
      </c>
      <c r="H80" s="111">
        <f t="shared" ref="H80:H81" si="118">FIND("effect:",G80)+7</f>
        <v>9</v>
      </c>
      <c r="I80" s="111">
        <f t="shared" ref="I80:I81" si="119">IFERROR(FIND(",",G80),LEN(G80))</f>
        <v>22</v>
      </c>
      <c r="J80" s="111" t="e">
        <f t="shared" ref="J80:J81" si="120">FIND("target:",G80)+7</f>
        <v>#VALUE!</v>
      </c>
      <c r="K80" s="111">
        <f t="shared" ref="K80:K81" si="121">FIND(",",G80,I80+1)</f>
        <v>32</v>
      </c>
      <c r="L80" s="111" t="str">
        <f>IFERROR(VLOOKUP(MID(G80,J80,K80-J80),[6]skilldef!$C:$D,2,FALSE),"-") &amp; " / " &amp; IFERROR(VLOOKUP(MID(G80,H80,I80-H80),[6]skilldef!$A:$B,2,FALSE),"-")</f>
        <v>- / -</v>
      </c>
      <c r="M80" s="111" t="str">
        <f t="shared" ref="M80:M81" si="122">IFERROR(RIGHT(B80,LEN(B80)-FIND("],",B80)-1),"none")</f>
        <v>[effect:fix_speed, target:myself, turn:3],[effect:tolerance, target:myself, turn:-1, count:-1, tolerance_effect:all, animation:enemy_tolerance]</v>
      </c>
      <c r="N80" s="112" t="str">
        <f>IFERROR(LEFT(M80,FIND("],",M80)+#REF!),M80)</f>
        <v>[effect:fix_speed, target:myself, turn:3],[effect:tolerance, target:myself, turn:-1, count:-1, tolerance_effect:all, animation:enemy_tolerance]</v>
      </c>
      <c r="O80" s="111">
        <f t="shared" ref="O80:O81" si="123">FIND("effect:",N80)+7</f>
        <v>9</v>
      </c>
      <c r="P80" s="111">
        <f t="shared" ref="P80:P81" si="124">IFERROR(FIND(",",N80),LEN(N80))</f>
        <v>18</v>
      </c>
      <c r="Q80" s="111">
        <f t="shared" ref="Q80:Q81" si="125">FIND("target:",N80)+7</f>
        <v>27</v>
      </c>
      <c r="R80" s="111">
        <f t="shared" ref="R80:R81" si="126">FIND(",",N80,P80+1)</f>
        <v>33</v>
      </c>
      <c r="S80" s="111" t="str">
        <f>IFERROR(VLOOKUP(MID(N80,Q80,R80-Q80),[6]skilldef!$C:$D,2,FALSE),"-") &amp; " / " &amp; IFERROR(VLOOKUP(MID(N80,O80,P80-O80),[6]skilldef!$A:$B,2,FALSE),"-")</f>
        <v>自分自身に / 行動値設定</v>
      </c>
      <c r="T80" s="112" t="str">
        <f t="shared" ref="T80:T81" si="127">IFERROR(RIGHT(M80,LEN(M80)-FIND("],",M80)-1),"none")</f>
        <v>[effect:tolerance, target:myself, turn:-1, count:-1, tolerance_effect:all, animation:enemy_tolerance]</v>
      </c>
      <c r="U80" s="111">
        <f t="shared" ref="U80:U81" si="128">FIND("effect:",T80)+7</f>
        <v>9</v>
      </c>
      <c r="V80" s="111">
        <f t="shared" ref="V80:V81" si="129">IFERROR(FIND(",",T80),LEN(T80))</f>
        <v>18</v>
      </c>
      <c r="W80" s="111">
        <f t="shared" ref="W80:W81" si="130">FIND("target:",T80)+7</f>
        <v>27</v>
      </c>
      <c r="X80" s="111">
        <f t="shared" ref="X80:X81" si="131">FIND(",",T80,V80+1)</f>
        <v>33</v>
      </c>
      <c r="Y80" s="111" t="str">
        <f>IFERROR(VLOOKUP(MID(T80,W80,X80-W80),[6]skilldef!$C:$D,2,FALSE),"-") &amp; " / " &amp; IFERROR(VLOOKUP(MID(T80,U80,V80-U80),[6]skilldef!$A:$B,2,FALSE),"-")</f>
        <v>自分自身に / 状態異常耐性</v>
      </c>
      <c r="Z80" s="109"/>
      <c r="AA80" s="113"/>
      <c r="AB80" s="109"/>
      <c r="AC80" s="49" t="s">
        <v>292</v>
      </c>
    </row>
    <row r="81" spans="1:29" ht="21" customHeight="1" x14ac:dyDescent="0.15">
      <c r="A81" s="208">
        <v>49014080</v>
      </c>
      <c r="B81" s="222" t="s">
        <v>349</v>
      </c>
      <c r="C81" s="109">
        <v>3</v>
      </c>
      <c r="D81" s="109" t="s">
        <v>126</v>
      </c>
      <c r="E81" s="222" t="s">
        <v>302</v>
      </c>
      <c r="F81" s="110" t="s">
        <v>268</v>
      </c>
      <c r="G81" s="111" t="str">
        <f t="shared" si="117"/>
        <v>[effect:enemy_message, val1:1.8, val2:1.2]</v>
      </c>
      <c r="H81" s="111">
        <f t="shared" si="118"/>
        <v>9</v>
      </c>
      <c r="I81" s="111">
        <f t="shared" si="119"/>
        <v>22</v>
      </c>
      <c r="J81" s="111" t="e">
        <f t="shared" si="120"/>
        <v>#VALUE!</v>
      </c>
      <c r="K81" s="111">
        <f t="shared" si="121"/>
        <v>32</v>
      </c>
      <c r="L81" s="111" t="str">
        <f>IFERROR(VLOOKUP(MID(G81,J81,K81-J81),[6]skilldef!$C:$D,2,FALSE),"-") &amp; " / " &amp; IFERROR(VLOOKUP(MID(G81,H81,I81-H81),[6]skilldef!$A:$B,2,FALSE),"-")</f>
        <v>- / -</v>
      </c>
      <c r="M81" s="111" t="str">
        <f t="shared" si="122"/>
        <v>[effect:fix_speed, target:myself, turn:3],[effect:tolerance, target:myself, turn:-1, count:-1, tolerance_effect:all, animation:enemy_tolerance]</v>
      </c>
      <c r="N81" s="112" t="str">
        <f>IFERROR(LEFT(M81,FIND("],",M81)+#REF!),M81)</f>
        <v>[effect:fix_speed, target:myself, turn:3],[effect:tolerance, target:myself, turn:-1, count:-1, tolerance_effect:all, animation:enemy_tolerance]</v>
      </c>
      <c r="O81" s="111">
        <f t="shared" si="123"/>
        <v>9</v>
      </c>
      <c r="P81" s="111">
        <f t="shared" si="124"/>
        <v>18</v>
      </c>
      <c r="Q81" s="111">
        <f t="shared" si="125"/>
        <v>27</v>
      </c>
      <c r="R81" s="111">
        <f t="shared" si="126"/>
        <v>33</v>
      </c>
      <c r="S81" s="111" t="str">
        <f>IFERROR(VLOOKUP(MID(N81,Q81,R81-Q81),[6]skilldef!$C:$D,2,FALSE),"-") &amp; " / " &amp; IFERROR(VLOOKUP(MID(N81,O81,P81-O81),[6]skilldef!$A:$B,2,FALSE),"-")</f>
        <v>自分自身に / 行動値設定</v>
      </c>
      <c r="T81" s="112" t="str">
        <f t="shared" si="127"/>
        <v>[effect:tolerance, target:myself, turn:-1, count:-1, tolerance_effect:all, animation:enemy_tolerance]</v>
      </c>
      <c r="U81" s="111">
        <f t="shared" si="128"/>
        <v>9</v>
      </c>
      <c r="V81" s="111">
        <f t="shared" si="129"/>
        <v>18</v>
      </c>
      <c r="W81" s="111">
        <f t="shared" si="130"/>
        <v>27</v>
      </c>
      <c r="X81" s="111">
        <f t="shared" si="131"/>
        <v>33</v>
      </c>
      <c r="Y81" s="111" t="str">
        <f>IFERROR(VLOOKUP(MID(T81,W81,X81-W81),[6]skilldef!$C:$D,2,FALSE),"-") &amp; " / " &amp; IFERROR(VLOOKUP(MID(T81,U81,V81-U81),[6]skilldef!$A:$B,2,FALSE),"-")</f>
        <v>自分自身に / 状態異常耐性</v>
      </c>
      <c r="Z81" s="109"/>
      <c r="AA81" s="113"/>
      <c r="AB81" s="109"/>
      <c r="AC81" s="49" t="s">
        <v>292</v>
      </c>
    </row>
    <row r="82" spans="1:29" ht="21" customHeight="1" x14ac:dyDescent="0.15">
      <c r="A82" s="208">
        <v>49014081</v>
      </c>
      <c r="B82" s="222" t="s">
        <v>350</v>
      </c>
      <c r="C82" s="109">
        <v>3</v>
      </c>
      <c r="D82" s="109" t="s">
        <v>126</v>
      </c>
      <c r="E82" s="222" t="s">
        <v>303</v>
      </c>
      <c r="F82" s="110" t="s">
        <v>268</v>
      </c>
      <c r="G82" s="111" t="str">
        <f t="shared" ref="G82:G83" si="132">IFERROR(LEFT(B82,FIND("],",B82)),B82)</f>
        <v>[effect:enemy_message, val1:1.4, val2:1.2]</v>
      </c>
      <c r="H82" s="111">
        <f t="shared" ref="H82:H83" si="133">FIND("effect:",G82)+7</f>
        <v>9</v>
      </c>
      <c r="I82" s="111">
        <f t="shared" ref="I82:I83" si="134">IFERROR(FIND(",",G82),LEN(G82))</f>
        <v>22</v>
      </c>
      <c r="J82" s="111" t="e">
        <f t="shared" ref="J82:J83" si="135">FIND("target:",G82)+7</f>
        <v>#VALUE!</v>
      </c>
      <c r="K82" s="111">
        <f t="shared" ref="K82:K83" si="136">FIND(",",G82,I82+1)</f>
        <v>32</v>
      </c>
      <c r="L82" s="111" t="str">
        <f>IFERROR(VLOOKUP(MID(G82,J82,K82-J82),[6]skilldef!$C:$D,2,FALSE),"-") &amp; " / " &amp; IFERROR(VLOOKUP(MID(G82,H82,I82-H82),[6]skilldef!$A:$B,2,FALSE),"-")</f>
        <v>- / -</v>
      </c>
      <c r="M82" s="111" t="str">
        <f t="shared" ref="M82:M83" si="137">IFERROR(RIGHT(B82,LEN(B82)-FIND("],",B82)-1),"none")</f>
        <v>[effect:fix_speed, target:myself, turn:3],[effect:tolerance, target:myself, turn:-1, count:-1, tolerance_effect:all, animation:enemy_tolerance]</v>
      </c>
      <c r="N82" s="112" t="str">
        <f>IFERROR(LEFT(M82,FIND("],",M82)+#REF!),M82)</f>
        <v>[effect:fix_speed, target:myself, turn:3],[effect:tolerance, target:myself, turn:-1, count:-1, tolerance_effect:all, animation:enemy_tolerance]</v>
      </c>
      <c r="O82" s="111">
        <f t="shared" ref="O82:O83" si="138">FIND("effect:",N82)+7</f>
        <v>9</v>
      </c>
      <c r="P82" s="111">
        <f t="shared" ref="P82:P83" si="139">IFERROR(FIND(",",N82),LEN(N82))</f>
        <v>18</v>
      </c>
      <c r="Q82" s="111">
        <f t="shared" ref="Q82:Q83" si="140">FIND("target:",N82)+7</f>
        <v>27</v>
      </c>
      <c r="R82" s="111">
        <f t="shared" ref="R82:R83" si="141">FIND(",",N82,P82+1)</f>
        <v>33</v>
      </c>
      <c r="S82" s="111" t="str">
        <f>IFERROR(VLOOKUP(MID(N82,Q82,R82-Q82),[6]skilldef!$C:$D,2,FALSE),"-") &amp; " / " &amp; IFERROR(VLOOKUP(MID(N82,O82,P82-O82),[6]skilldef!$A:$B,2,FALSE),"-")</f>
        <v>自分自身に / 行動値設定</v>
      </c>
      <c r="T82" s="112" t="str">
        <f t="shared" ref="T82:T83" si="142">IFERROR(RIGHT(M82,LEN(M82)-FIND("],",M82)-1),"none")</f>
        <v>[effect:tolerance, target:myself, turn:-1, count:-1, tolerance_effect:all, animation:enemy_tolerance]</v>
      </c>
      <c r="U82" s="111">
        <f t="shared" ref="U82:U83" si="143">FIND("effect:",T82)+7</f>
        <v>9</v>
      </c>
      <c r="V82" s="111">
        <f t="shared" ref="V82:V83" si="144">IFERROR(FIND(",",T82),LEN(T82))</f>
        <v>18</v>
      </c>
      <c r="W82" s="111">
        <f t="shared" ref="W82:W83" si="145">FIND("target:",T82)+7</f>
        <v>27</v>
      </c>
      <c r="X82" s="111">
        <f t="shared" ref="X82:X83" si="146">FIND(",",T82,V82+1)</f>
        <v>33</v>
      </c>
      <c r="Y82" s="111" t="str">
        <f>IFERROR(VLOOKUP(MID(T82,W82,X82-W82),[6]skilldef!$C:$D,2,FALSE),"-") &amp; " / " &amp; IFERROR(VLOOKUP(MID(T82,U82,V82-U82),[6]skilldef!$A:$B,2,FALSE),"-")</f>
        <v>自分自身に / 状態異常耐性</v>
      </c>
      <c r="Z82" s="109"/>
      <c r="AA82" s="113"/>
      <c r="AB82" s="109"/>
      <c r="AC82" s="49" t="s">
        <v>292</v>
      </c>
    </row>
    <row r="83" spans="1:29" ht="21" customHeight="1" x14ac:dyDescent="0.15">
      <c r="A83" s="208">
        <v>49014082</v>
      </c>
      <c r="B83" s="222" t="s">
        <v>280</v>
      </c>
      <c r="C83" s="109">
        <v>3</v>
      </c>
      <c r="D83" s="109" t="s">
        <v>126</v>
      </c>
      <c r="E83" s="222" t="s">
        <v>304</v>
      </c>
      <c r="F83" s="110" t="s">
        <v>268</v>
      </c>
      <c r="G83" s="111" t="str">
        <f t="shared" si="132"/>
        <v>[effect:enemy_message, val1:1.6, val2:1.2]</v>
      </c>
      <c r="H83" s="111">
        <f t="shared" si="133"/>
        <v>9</v>
      </c>
      <c r="I83" s="111">
        <f t="shared" si="134"/>
        <v>22</v>
      </c>
      <c r="J83" s="111" t="e">
        <f t="shared" si="135"/>
        <v>#VALUE!</v>
      </c>
      <c r="K83" s="111">
        <f t="shared" si="136"/>
        <v>32</v>
      </c>
      <c r="L83" s="111" t="str">
        <f>IFERROR(VLOOKUP(MID(G83,J83,K83-J83),[6]skilldef!$C:$D,2,FALSE),"-") &amp; " / " &amp; IFERROR(VLOOKUP(MID(G83,H83,I83-H83),[6]skilldef!$A:$B,2,FALSE),"-")</f>
        <v>- / -</v>
      </c>
      <c r="M83" s="111" t="str">
        <f t="shared" si="137"/>
        <v>[effect:fix_speed, target:myself, turn:3],[effect:tolerance, target:myself, turn:-1, count:-1, tolerance_effect:all, animation:enemy_tolerance]</v>
      </c>
      <c r="N83" s="112" t="str">
        <f>IFERROR(LEFT(M83,FIND("],",M83)+#REF!),M83)</f>
        <v>[effect:fix_speed, target:myself, turn:3],[effect:tolerance, target:myself, turn:-1, count:-1, tolerance_effect:all, animation:enemy_tolerance]</v>
      </c>
      <c r="O83" s="111">
        <f t="shared" si="138"/>
        <v>9</v>
      </c>
      <c r="P83" s="111">
        <f t="shared" si="139"/>
        <v>18</v>
      </c>
      <c r="Q83" s="111">
        <f t="shared" si="140"/>
        <v>27</v>
      </c>
      <c r="R83" s="111">
        <f t="shared" si="141"/>
        <v>33</v>
      </c>
      <c r="S83" s="111" t="str">
        <f>IFERROR(VLOOKUP(MID(N83,Q83,R83-Q83),[6]skilldef!$C:$D,2,FALSE),"-") &amp; " / " &amp; IFERROR(VLOOKUP(MID(N83,O83,P83-O83),[6]skilldef!$A:$B,2,FALSE),"-")</f>
        <v>自分自身に / 行動値設定</v>
      </c>
      <c r="T83" s="112" t="str">
        <f t="shared" si="142"/>
        <v>[effect:tolerance, target:myself, turn:-1, count:-1, tolerance_effect:all, animation:enemy_tolerance]</v>
      </c>
      <c r="U83" s="111">
        <f t="shared" si="143"/>
        <v>9</v>
      </c>
      <c r="V83" s="111">
        <f t="shared" si="144"/>
        <v>18</v>
      </c>
      <c r="W83" s="111">
        <f t="shared" si="145"/>
        <v>27</v>
      </c>
      <c r="X83" s="111">
        <f t="shared" si="146"/>
        <v>33</v>
      </c>
      <c r="Y83" s="111" t="str">
        <f>IFERROR(VLOOKUP(MID(T83,W83,X83-W83),[6]skilldef!$C:$D,2,FALSE),"-") &amp; " / " &amp; IFERROR(VLOOKUP(MID(T83,U83,V83-U83),[6]skilldef!$A:$B,2,FALSE),"-")</f>
        <v>自分自身に / 状態異常耐性</v>
      </c>
      <c r="Z83" s="109"/>
      <c r="AA83" s="113"/>
      <c r="AB83" s="109"/>
      <c r="AC83" s="49" t="s">
        <v>292</v>
      </c>
    </row>
    <row r="84" spans="1:29" ht="21" customHeight="1" x14ac:dyDescent="0.15">
      <c r="A84" s="208">
        <v>49014083</v>
      </c>
      <c r="B84" s="222" t="s">
        <v>351</v>
      </c>
      <c r="C84" s="218">
        <v>3</v>
      </c>
      <c r="D84" s="218" t="s">
        <v>126</v>
      </c>
      <c r="E84" s="222" t="s">
        <v>305</v>
      </c>
      <c r="F84" s="219" t="s">
        <v>268</v>
      </c>
      <c r="G84" s="220" t="str">
        <f t="shared" ref="G84:G90" si="147">IFERROR(LEFT(B84,FIND("],",B84)),B84)</f>
        <v>[effect:enemy_message, val1:2.3, val2:1.2]</v>
      </c>
      <c r="H84" s="220">
        <f t="shared" ref="H84:H90" si="148">FIND("effect:",G84)+7</f>
        <v>9</v>
      </c>
      <c r="I84" s="220">
        <f t="shared" ref="I84:I90" si="149">IFERROR(FIND(",",G84),LEN(G84))</f>
        <v>22</v>
      </c>
      <c r="J84" s="220" t="e">
        <f t="shared" ref="J84:J90" si="150">FIND("target:",G84)+7</f>
        <v>#VALUE!</v>
      </c>
      <c r="K84" s="220">
        <f t="shared" ref="K84:K90" si="151">FIND(",",G84,I84+1)</f>
        <v>32</v>
      </c>
      <c r="L84" s="220" t="str">
        <f>IFERROR(VLOOKUP(MID(G84,J84,K84-J84),[6]skilldef!$C:$D,2,FALSE),"-") &amp; " / " &amp; IFERROR(VLOOKUP(MID(G84,H84,I84-H84),[6]skilldef!$A:$B,2,FALSE),"-")</f>
        <v>- / -</v>
      </c>
      <c r="M84" s="220" t="str">
        <f t="shared" ref="M84:M90" si="152">IFERROR(RIGHT(B84,LEN(B84)-FIND("],",B84)-1),"none")</f>
        <v>[effect:fix_speed, target:myself, turn:3],[effect:tolerance, target:myself, turn:-1, count:-1, tolerance_effect:all, animation:enemy_tolerance]</v>
      </c>
      <c r="N84" s="213" t="str">
        <f>IFERROR(LEFT(M84,FIND("],",M84)+#REF!),M84)</f>
        <v>[effect:fix_speed, target:myself, turn:3],[effect:tolerance, target:myself, turn:-1, count:-1, tolerance_effect:all, animation:enemy_tolerance]</v>
      </c>
      <c r="O84" s="220">
        <f t="shared" ref="O84:O90" si="153">FIND("effect:",N84)+7</f>
        <v>9</v>
      </c>
      <c r="P84" s="220">
        <f t="shared" ref="P84:P90" si="154">IFERROR(FIND(",",N84),LEN(N84))</f>
        <v>18</v>
      </c>
      <c r="Q84" s="220">
        <f t="shared" ref="Q84:Q90" si="155">FIND("target:",N84)+7</f>
        <v>27</v>
      </c>
      <c r="R84" s="220">
        <f t="shared" ref="R84:R90" si="156">FIND(",",N84,P84+1)</f>
        <v>33</v>
      </c>
      <c r="S84" s="220" t="str">
        <f>IFERROR(VLOOKUP(MID(N84,Q84,R84-Q84),[6]skilldef!$C:$D,2,FALSE),"-") &amp; " / " &amp; IFERROR(VLOOKUP(MID(N84,O84,P84-O84),[6]skilldef!$A:$B,2,FALSE),"-")</f>
        <v>自分自身に / 行動値設定</v>
      </c>
      <c r="T84" s="213" t="str">
        <f t="shared" ref="T84:T90" si="157">IFERROR(RIGHT(M84,LEN(M84)-FIND("],",M84)-1),"none")</f>
        <v>[effect:tolerance, target:myself, turn:-1, count:-1, tolerance_effect:all, animation:enemy_tolerance]</v>
      </c>
      <c r="U84" s="220">
        <f t="shared" ref="U84:U90" si="158">FIND("effect:",T84)+7</f>
        <v>9</v>
      </c>
      <c r="V84" s="220">
        <f t="shared" ref="V84:V90" si="159">IFERROR(FIND(",",T84),LEN(T84))</f>
        <v>18</v>
      </c>
      <c r="W84" s="220">
        <f t="shared" ref="W84:W90" si="160">FIND("target:",T84)+7</f>
        <v>27</v>
      </c>
      <c r="X84" s="220">
        <f t="shared" ref="X84:X90" si="161">FIND(",",T84,V84+1)</f>
        <v>33</v>
      </c>
      <c r="Y84" s="220" t="str">
        <f>IFERROR(VLOOKUP(MID(T84,W84,X84-W84),[6]skilldef!$C:$D,2,FALSE),"-") &amp; " / " &amp; IFERROR(VLOOKUP(MID(T84,U84,V84-U84),[6]skilldef!$A:$B,2,FALSE),"-")</f>
        <v>自分自身に / 状態異常耐性</v>
      </c>
      <c r="Z84" s="218"/>
      <c r="AA84" s="221"/>
      <c r="AB84" s="218"/>
      <c r="AC84" s="49" t="s">
        <v>292</v>
      </c>
    </row>
    <row r="85" spans="1:29" ht="21" customHeight="1" x14ac:dyDescent="0.15">
      <c r="A85" s="217">
        <v>49014084</v>
      </c>
      <c r="B85" s="222" t="s">
        <v>352</v>
      </c>
      <c r="C85" s="218">
        <v>3</v>
      </c>
      <c r="D85" s="218" t="s">
        <v>126</v>
      </c>
      <c r="E85" s="235" t="s">
        <v>307</v>
      </c>
      <c r="F85" s="219" t="s">
        <v>268</v>
      </c>
      <c r="G85" s="220" t="str">
        <f t="shared" ref="G85" si="162">IFERROR(LEFT(B85,FIND("],",B85)),B85)</f>
        <v>[effect:enemy_message, val1:1.2, val2:1.2]</v>
      </c>
      <c r="H85" s="220">
        <f t="shared" ref="H85" si="163">FIND("effect:",G85)+7</f>
        <v>9</v>
      </c>
      <c r="I85" s="220">
        <f t="shared" ref="I85" si="164">IFERROR(FIND(",",G85),LEN(G85))</f>
        <v>22</v>
      </c>
      <c r="J85" s="220" t="e">
        <f t="shared" ref="J85" si="165">FIND("target:",G85)+7</f>
        <v>#VALUE!</v>
      </c>
      <c r="K85" s="220">
        <f t="shared" ref="K85" si="166">FIND(",",G85,I85+1)</f>
        <v>32</v>
      </c>
      <c r="L85" s="220" t="str">
        <f>IFERROR(VLOOKUP(MID(G85,J85,K85-J85),[6]skilldef!$C:$D,2,FALSE),"-") &amp; " / " &amp; IFERROR(VLOOKUP(MID(G85,H85,I85-H85),[6]skilldef!$A:$B,2,FALSE),"-")</f>
        <v>- / -</v>
      </c>
      <c r="M85" s="220" t="str">
        <f t="shared" ref="M85" si="167">IFERROR(RIGHT(B85,LEN(B85)-FIND("],",B85)-1),"none")</f>
        <v>[effect:fix_speed, target:myself, turn:3],[effect:tolerance, target:myself, turn:-1, count:-1, tolerance_effect:all, animation:enemy_tolerance]</v>
      </c>
      <c r="N85" s="213" t="str">
        <f>IFERROR(LEFT(M85,FIND("],",M85)+#REF!),M85)</f>
        <v>[effect:fix_speed, target:myself, turn:3],[effect:tolerance, target:myself, turn:-1, count:-1, tolerance_effect:all, animation:enemy_tolerance]</v>
      </c>
      <c r="O85" s="220">
        <f t="shared" ref="O85" si="168">FIND("effect:",N85)+7</f>
        <v>9</v>
      </c>
      <c r="P85" s="220">
        <f t="shared" ref="P85" si="169">IFERROR(FIND(",",N85),LEN(N85))</f>
        <v>18</v>
      </c>
      <c r="Q85" s="220">
        <f t="shared" ref="Q85" si="170">FIND("target:",N85)+7</f>
        <v>27</v>
      </c>
      <c r="R85" s="220">
        <f t="shared" ref="R85" si="171">FIND(",",N85,P85+1)</f>
        <v>33</v>
      </c>
      <c r="S85" s="220" t="str">
        <f>IFERROR(VLOOKUP(MID(N85,Q85,R85-Q85),[6]skilldef!$C:$D,2,FALSE),"-") &amp; " / " &amp; IFERROR(VLOOKUP(MID(N85,O85,P85-O85),[6]skilldef!$A:$B,2,FALSE),"-")</f>
        <v>自分自身に / 行動値設定</v>
      </c>
      <c r="T85" s="213" t="str">
        <f t="shared" ref="T85" si="172">IFERROR(RIGHT(M85,LEN(M85)-FIND("],",M85)-1),"none")</f>
        <v>[effect:tolerance, target:myself, turn:-1, count:-1, tolerance_effect:all, animation:enemy_tolerance]</v>
      </c>
      <c r="U85" s="220">
        <f t="shared" ref="U85" si="173">FIND("effect:",T85)+7</f>
        <v>9</v>
      </c>
      <c r="V85" s="220">
        <f t="shared" ref="V85" si="174">IFERROR(FIND(",",T85),LEN(T85))</f>
        <v>18</v>
      </c>
      <c r="W85" s="220">
        <f t="shared" ref="W85" si="175">FIND("target:",T85)+7</f>
        <v>27</v>
      </c>
      <c r="X85" s="220">
        <f t="shared" ref="X85" si="176">FIND(",",T85,V85+1)</f>
        <v>33</v>
      </c>
      <c r="Y85" s="220" t="str">
        <f>IFERROR(VLOOKUP(MID(T85,W85,X85-W85),[6]skilldef!$C:$D,2,FALSE),"-") &amp; " / " &amp; IFERROR(VLOOKUP(MID(T85,U85,V85-U85),[6]skilldef!$A:$B,2,FALSE),"-")</f>
        <v>自分自身に / 状態異常耐性</v>
      </c>
      <c r="Z85" s="218"/>
      <c r="AA85" s="221"/>
      <c r="AB85" s="218"/>
      <c r="AC85" s="49" t="s">
        <v>292</v>
      </c>
    </row>
    <row r="86" spans="1:29" ht="21" customHeight="1" thickBot="1" x14ac:dyDescent="0.2">
      <c r="A86" s="210">
        <v>49014085</v>
      </c>
      <c r="B86" s="224" t="s">
        <v>353</v>
      </c>
      <c r="C86" s="116">
        <v>3</v>
      </c>
      <c r="D86" s="116" t="s">
        <v>126</v>
      </c>
      <c r="E86" s="224" t="s">
        <v>306</v>
      </c>
      <c r="F86" s="117" t="s">
        <v>268</v>
      </c>
      <c r="G86" s="118" t="str">
        <f>IFERROR(LEFT(B86,FIND("],",B86)),B86)</f>
        <v>[effect:enemy_message, val1:1.9, val2:1.2]</v>
      </c>
      <c r="H86" s="118">
        <f>FIND("effect:",G86)+7</f>
        <v>9</v>
      </c>
      <c r="I86" s="118">
        <f>IFERROR(FIND(",",G86),LEN(G86))</f>
        <v>22</v>
      </c>
      <c r="J86" s="118" t="e">
        <f>FIND("target:",G86)+7</f>
        <v>#VALUE!</v>
      </c>
      <c r="K86" s="118">
        <f>FIND(",",G86,I86+1)</f>
        <v>32</v>
      </c>
      <c r="L86" s="118" t="str">
        <f>IFERROR(VLOOKUP(MID(G86,J86,K86-J86),[6]skilldef!$C:$D,2,FALSE),"-") &amp; " / " &amp; IFERROR(VLOOKUP(MID(G86,H86,I86-H86),[6]skilldef!$A:$B,2,FALSE),"-")</f>
        <v>- / -</v>
      </c>
      <c r="M86" s="118" t="str">
        <f>IFERROR(RIGHT(B86,LEN(B86)-FIND("],",B86)-1),"none")</f>
        <v>[effect:fix_speed, target:myself, turn:3],[effect:tolerance, target:myself, turn:-1, count:-1, tolerance_effect:all, animation:enemy_tolerance]</v>
      </c>
      <c r="N86" s="119" t="str">
        <f>IFERROR(LEFT(M86,FIND("],",M86)+#REF!),M86)</f>
        <v>[effect:fix_speed, target:myself, turn:3],[effect:tolerance, target:myself, turn:-1, count:-1, tolerance_effect:all, animation:enemy_tolerance]</v>
      </c>
      <c r="O86" s="118">
        <f>FIND("effect:",N86)+7</f>
        <v>9</v>
      </c>
      <c r="P86" s="118">
        <f>IFERROR(FIND(",",N86),LEN(N86))</f>
        <v>18</v>
      </c>
      <c r="Q86" s="118">
        <f>FIND("target:",N86)+7</f>
        <v>27</v>
      </c>
      <c r="R86" s="118">
        <f>FIND(",",N86,P86+1)</f>
        <v>33</v>
      </c>
      <c r="S86" s="118" t="str">
        <f>IFERROR(VLOOKUP(MID(N86,Q86,R86-Q86),[6]skilldef!$C:$D,2,FALSE),"-") &amp; " / " &amp; IFERROR(VLOOKUP(MID(N86,O86,P86-O86),[6]skilldef!$A:$B,2,FALSE),"-")</f>
        <v>自分自身に / 行動値設定</v>
      </c>
      <c r="T86" s="119" t="str">
        <f>IFERROR(RIGHT(M86,LEN(M86)-FIND("],",M86)-1),"none")</f>
        <v>[effect:tolerance, target:myself, turn:-1, count:-1, tolerance_effect:all, animation:enemy_tolerance]</v>
      </c>
      <c r="U86" s="118">
        <f>FIND("effect:",T86)+7</f>
        <v>9</v>
      </c>
      <c r="V86" s="118">
        <f>IFERROR(FIND(",",T86),LEN(T86))</f>
        <v>18</v>
      </c>
      <c r="W86" s="118">
        <f>FIND("target:",T86)+7</f>
        <v>27</v>
      </c>
      <c r="X86" s="118">
        <f>FIND(",",T86,V86+1)</f>
        <v>33</v>
      </c>
      <c r="Y86" s="118" t="str">
        <f>IFERROR(VLOOKUP(MID(T86,W86,X86-W86),[6]skilldef!$C:$D,2,FALSE),"-") &amp; " / " &amp; IFERROR(VLOOKUP(MID(T86,U86,V86-U86),[6]skilldef!$A:$B,2,FALSE),"-")</f>
        <v>自分自身に / 状態異常耐性</v>
      </c>
      <c r="Z86" s="116"/>
      <c r="AA86" s="120"/>
      <c r="AB86" s="116"/>
      <c r="AC86" s="49" t="s">
        <v>292</v>
      </c>
    </row>
    <row r="87" spans="1:29" ht="21" customHeight="1" x14ac:dyDescent="0.15">
      <c r="A87" s="234">
        <v>49014086</v>
      </c>
      <c r="B87" s="225" t="s">
        <v>356</v>
      </c>
      <c r="C87" s="109">
        <v>3</v>
      </c>
      <c r="D87" s="109" t="s">
        <v>126</v>
      </c>
      <c r="E87" s="245" t="s">
        <v>372</v>
      </c>
      <c r="F87" s="225" t="s">
        <v>308</v>
      </c>
      <c r="G87" s="111" t="str">
        <f t="shared" si="147"/>
        <v>[effect:enemy_message, val1:2.4, val2:1.7, dead_type:suicide]</v>
      </c>
      <c r="H87" s="111">
        <f t="shared" si="148"/>
        <v>9</v>
      </c>
      <c r="I87" s="111">
        <f t="shared" si="149"/>
        <v>22</v>
      </c>
      <c r="J87" s="111" t="e">
        <f t="shared" si="150"/>
        <v>#VALUE!</v>
      </c>
      <c r="K87" s="111">
        <f t="shared" si="151"/>
        <v>32</v>
      </c>
      <c r="L87" s="111" t="str">
        <f>IFERROR(VLOOKUP(MID(G87,J87,K87-J87),[6]skilldef!$C:$D,2,FALSE),"-") &amp; " / " &amp; IFERROR(VLOOKUP(MID(G87,H87,I87-H87),[6]skilldef!$A:$B,2,FALSE),"-")</f>
        <v>- / -</v>
      </c>
      <c r="M87" s="111" t="str">
        <f t="shared" si="152"/>
        <v>none</v>
      </c>
      <c r="N87" s="112" t="str">
        <f>IFERROR(LEFT(M87,FIND("],",M87)+#REF!),M87)</f>
        <v>none</v>
      </c>
      <c r="O87" s="111" t="e">
        <f t="shared" si="153"/>
        <v>#VALUE!</v>
      </c>
      <c r="P87" s="111">
        <f t="shared" si="154"/>
        <v>4</v>
      </c>
      <c r="Q87" s="111" t="e">
        <f t="shared" si="155"/>
        <v>#VALUE!</v>
      </c>
      <c r="R87" s="111" t="e">
        <f t="shared" si="156"/>
        <v>#VALUE!</v>
      </c>
      <c r="S87" s="111" t="str">
        <f>IFERROR(VLOOKUP(MID(N87,Q87,R87-Q87),[6]skilldef!$C:$D,2,FALSE),"-") &amp; " / " &amp; IFERROR(VLOOKUP(MID(N87,O87,P87-O87),[6]skilldef!$A:$B,2,FALSE),"-")</f>
        <v>- / -</v>
      </c>
      <c r="T87" s="112" t="str">
        <f t="shared" si="157"/>
        <v>none</v>
      </c>
      <c r="U87" s="111" t="e">
        <f t="shared" si="158"/>
        <v>#VALUE!</v>
      </c>
      <c r="V87" s="111">
        <f t="shared" si="159"/>
        <v>4</v>
      </c>
      <c r="W87" s="111" t="e">
        <f t="shared" si="160"/>
        <v>#VALUE!</v>
      </c>
      <c r="X87" s="111" t="e">
        <f t="shared" si="161"/>
        <v>#VALUE!</v>
      </c>
      <c r="Y87" s="111" t="str">
        <f>IFERROR(VLOOKUP(MID(T87,W87,X87-W87),[6]skilldef!$C:$D,2,FALSE),"-") &amp; " / " &amp; IFERROR(VLOOKUP(MID(T87,U87,V87-U87),[6]skilldef!$A:$B,2,FALSE),"-")</f>
        <v>- / -</v>
      </c>
      <c r="Z87" s="109"/>
      <c r="AA87" s="113"/>
      <c r="AB87" s="109"/>
      <c r="AC87" s="49" t="s">
        <v>299</v>
      </c>
    </row>
    <row r="88" spans="1:29" ht="21" customHeight="1" x14ac:dyDescent="0.15">
      <c r="A88" s="211">
        <v>49014087</v>
      </c>
      <c r="B88" s="222" t="s">
        <v>357</v>
      </c>
      <c r="C88" s="50">
        <v>3</v>
      </c>
      <c r="D88" s="50" t="s">
        <v>126</v>
      </c>
      <c r="E88" s="223" t="s">
        <v>373</v>
      </c>
      <c r="F88" s="222" t="s">
        <v>308</v>
      </c>
      <c r="G88" s="64" t="str">
        <f t="shared" si="147"/>
        <v>[effect:enemy_message, val1:2.8, val2:1.7, dead_type:suicide]</v>
      </c>
      <c r="H88" s="64">
        <f t="shared" si="148"/>
        <v>9</v>
      </c>
      <c r="I88" s="64">
        <f t="shared" si="149"/>
        <v>22</v>
      </c>
      <c r="J88" s="64" t="e">
        <f t="shared" si="150"/>
        <v>#VALUE!</v>
      </c>
      <c r="K88" s="64">
        <f t="shared" si="151"/>
        <v>32</v>
      </c>
      <c r="L88" s="64" t="str">
        <f>IFERROR(VLOOKUP(MID(G88,J88,K88-J88),[6]skilldef!$C:$D,2,FALSE),"-") &amp; " / " &amp; IFERROR(VLOOKUP(MID(G88,H88,I88-H88),[6]skilldef!$A:$B,2,FALSE),"-")</f>
        <v>- / -</v>
      </c>
      <c r="M88" s="64" t="str">
        <f t="shared" si="152"/>
        <v>none</v>
      </c>
      <c r="N88" s="48" t="str">
        <f>IFERROR(LEFT(M88,FIND("],",M88)+#REF!),M88)</f>
        <v>none</v>
      </c>
      <c r="O88" s="64" t="e">
        <f t="shared" si="153"/>
        <v>#VALUE!</v>
      </c>
      <c r="P88" s="64">
        <f t="shared" si="154"/>
        <v>4</v>
      </c>
      <c r="Q88" s="64" t="e">
        <f t="shared" si="155"/>
        <v>#VALUE!</v>
      </c>
      <c r="R88" s="64" t="e">
        <f t="shared" si="156"/>
        <v>#VALUE!</v>
      </c>
      <c r="S88" s="64" t="str">
        <f>IFERROR(VLOOKUP(MID(N88,Q88,R88-Q88),[6]skilldef!$C:$D,2,FALSE),"-") &amp; " / " &amp; IFERROR(VLOOKUP(MID(N88,O88,P88-O88),[6]skilldef!$A:$B,2,FALSE),"-")</f>
        <v>- / -</v>
      </c>
      <c r="T88" s="48" t="str">
        <f t="shared" si="157"/>
        <v>none</v>
      </c>
      <c r="U88" s="64" t="e">
        <f t="shared" si="158"/>
        <v>#VALUE!</v>
      </c>
      <c r="V88" s="64">
        <f t="shared" si="159"/>
        <v>4</v>
      </c>
      <c r="W88" s="64" t="e">
        <f t="shared" si="160"/>
        <v>#VALUE!</v>
      </c>
      <c r="X88" s="64" t="e">
        <f t="shared" si="161"/>
        <v>#VALUE!</v>
      </c>
      <c r="Y88" s="64" t="str">
        <f>IFERROR(VLOOKUP(MID(T88,W88,X88-W88),[6]skilldef!$C:$D,2,FALSE),"-") &amp; " / " &amp; IFERROR(VLOOKUP(MID(T88,U88,V88-U88),[6]skilldef!$A:$B,2,FALSE),"-")</f>
        <v>- / -</v>
      </c>
      <c r="Z88" s="50"/>
      <c r="AA88" s="52"/>
      <c r="AB88" s="50"/>
      <c r="AC88" s="49" t="s">
        <v>299</v>
      </c>
    </row>
    <row r="89" spans="1:29" ht="21" customHeight="1" x14ac:dyDescent="0.15">
      <c r="A89" s="211">
        <v>49014088</v>
      </c>
      <c r="B89" s="222" t="s">
        <v>358</v>
      </c>
      <c r="C89" s="50">
        <v>3</v>
      </c>
      <c r="D89" s="50" t="s">
        <v>126</v>
      </c>
      <c r="E89" s="223" t="s">
        <v>346</v>
      </c>
      <c r="F89" s="222" t="s">
        <v>308</v>
      </c>
      <c r="G89" s="64" t="str">
        <f t="shared" si="147"/>
        <v>[effect:enemy_message, val1:3.2, val2:1.7, dead_type:suicide]</v>
      </c>
      <c r="H89" s="64">
        <f t="shared" si="148"/>
        <v>9</v>
      </c>
      <c r="I89" s="64">
        <f t="shared" si="149"/>
        <v>22</v>
      </c>
      <c r="J89" s="64" t="e">
        <f t="shared" si="150"/>
        <v>#VALUE!</v>
      </c>
      <c r="K89" s="64">
        <f t="shared" si="151"/>
        <v>32</v>
      </c>
      <c r="L89" s="64" t="str">
        <f>IFERROR(VLOOKUP(MID(G89,J89,K89-J89),[6]skilldef!$C:$D,2,FALSE),"-") &amp; " / " &amp; IFERROR(VLOOKUP(MID(G89,H89,I89-H89),[6]skilldef!$A:$B,2,FALSE),"-")</f>
        <v>- / -</v>
      </c>
      <c r="M89" s="64" t="str">
        <f t="shared" si="152"/>
        <v>none</v>
      </c>
      <c r="N89" s="48" t="str">
        <f>IFERROR(LEFT(M89,FIND("],",M89)+#REF!),M89)</f>
        <v>none</v>
      </c>
      <c r="O89" s="64" t="e">
        <f t="shared" si="153"/>
        <v>#VALUE!</v>
      </c>
      <c r="P89" s="64">
        <f t="shared" si="154"/>
        <v>4</v>
      </c>
      <c r="Q89" s="64" t="e">
        <f t="shared" si="155"/>
        <v>#VALUE!</v>
      </c>
      <c r="R89" s="64" t="e">
        <f t="shared" si="156"/>
        <v>#VALUE!</v>
      </c>
      <c r="S89" s="64" t="str">
        <f>IFERROR(VLOOKUP(MID(N89,Q89,R89-Q89),[6]skilldef!$C:$D,2,FALSE),"-") &amp; " / " &amp; IFERROR(VLOOKUP(MID(N89,O89,P89-O89),[6]skilldef!$A:$B,2,FALSE),"-")</f>
        <v>- / -</v>
      </c>
      <c r="T89" s="48" t="str">
        <f t="shared" si="157"/>
        <v>none</v>
      </c>
      <c r="U89" s="64" t="e">
        <f t="shared" si="158"/>
        <v>#VALUE!</v>
      </c>
      <c r="V89" s="64">
        <f t="shared" si="159"/>
        <v>4</v>
      </c>
      <c r="W89" s="64" t="e">
        <f t="shared" si="160"/>
        <v>#VALUE!</v>
      </c>
      <c r="X89" s="64" t="e">
        <f t="shared" si="161"/>
        <v>#VALUE!</v>
      </c>
      <c r="Y89" s="64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  <c r="AC89" s="49" t="s">
        <v>299</v>
      </c>
    </row>
    <row r="90" spans="1:29" ht="21" customHeight="1" x14ac:dyDescent="0.15">
      <c r="A90" s="211">
        <v>49014089</v>
      </c>
      <c r="B90" s="222" t="s">
        <v>359</v>
      </c>
      <c r="C90" s="50">
        <v>3</v>
      </c>
      <c r="D90" s="50" t="s">
        <v>126</v>
      </c>
      <c r="E90" s="222" t="s">
        <v>309</v>
      </c>
      <c r="F90" s="222" t="s">
        <v>308</v>
      </c>
      <c r="G90" s="64" t="str">
        <f t="shared" si="147"/>
        <v>[effect:enemy_message, val1:2.5, val2:1.7, dead_type:suicide]</v>
      </c>
      <c r="H90" s="64">
        <f t="shared" si="148"/>
        <v>9</v>
      </c>
      <c r="I90" s="64">
        <f t="shared" si="149"/>
        <v>22</v>
      </c>
      <c r="J90" s="64" t="e">
        <f t="shared" si="150"/>
        <v>#VALUE!</v>
      </c>
      <c r="K90" s="64">
        <f t="shared" si="151"/>
        <v>32</v>
      </c>
      <c r="L90" s="64" t="str">
        <f>IFERROR(VLOOKUP(MID(G90,J90,K90-J90),[6]skilldef!$C:$D,2,FALSE),"-") &amp; " / " &amp; IFERROR(VLOOKUP(MID(G90,H90,I90-H90),[6]skilldef!$A:$B,2,FALSE),"-")</f>
        <v>- / -</v>
      </c>
      <c r="M90" s="64" t="str">
        <f t="shared" si="152"/>
        <v>none</v>
      </c>
      <c r="N90" s="48" t="str">
        <f>IFERROR(LEFT(M90,FIND("],",M90)+#REF!),M90)</f>
        <v>none</v>
      </c>
      <c r="O90" s="64" t="e">
        <f t="shared" si="153"/>
        <v>#VALUE!</v>
      </c>
      <c r="P90" s="64">
        <f t="shared" si="154"/>
        <v>4</v>
      </c>
      <c r="Q90" s="64" t="e">
        <f t="shared" si="155"/>
        <v>#VALUE!</v>
      </c>
      <c r="R90" s="64" t="e">
        <f t="shared" si="156"/>
        <v>#VALUE!</v>
      </c>
      <c r="S90" s="64" t="str">
        <f>IFERROR(VLOOKUP(MID(N90,Q90,R90-Q90),[6]skilldef!$C:$D,2,FALSE),"-") &amp; " / " &amp; IFERROR(VLOOKUP(MID(N90,O90,P90-O90),[6]skilldef!$A:$B,2,FALSE),"-")</f>
        <v>- / -</v>
      </c>
      <c r="T90" s="48" t="str">
        <f t="shared" si="157"/>
        <v>none</v>
      </c>
      <c r="U90" s="64" t="e">
        <f t="shared" si="158"/>
        <v>#VALUE!</v>
      </c>
      <c r="V90" s="64">
        <f t="shared" si="159"/>
        <v>4</v>
      </c>
      <c r="W90" s="64" t="e">
        <f t="shared" si="160"/>
        <v>#VALUE!</v>
      </c>
      <c r="X90" s="64" t="e">
        <f t="shared" si="161"/>
        <v>#VALUE!</v>
      </c>
      <c r="Y90" s="64" t="str">
        <f>IFERROR(VLOOKUP(MID(T90,W90,X90-W90),[6]skilldef!$C:$D,2,FALSE),"-") &amp; " / " &amp; IFERROR(VLOOKUP(MID(T90,U90,V90-U90),[6]skilldef!$A:$B,2,FALSE),"-")</f>
        <v>- / -</v>
      </c>
      <c r="Z90" s="50"/>
      <c r="AA90" s="52"/>
      <c r="AB90" s="50"/>
      <c r="AC90" s="49" t="s">
        <v>299</v>
      </c>
    </row>
    <row r="91" spans="1:29" ht="21" customHeight="1" x14ac:dyDescent="0.15">
      <c r="A91" s="211">
        <v>49014090</v>
      </c>
      <c r="B91" s="222" t="s">
        <v>355</v>
      </c>
      <c r="C91" s="50">
        <v>3</v>
      </c>
      <c r="D91" s="50" t="s">
        <v>126</v>
      </c>
      <c r="E91" s="223" t="s">
        <v>371</v>
      </c>
      <c r="F91" s="222" t="s">
        <v>308</v>
      </c>
      <c r="G91" s="64" t="str">
        <f t="shared" ref="G91:G93" si="177">IFERROR(LEFT(B91,FIND("],",B91)),B91)</f>
        <v>[effect:enemy_message, val1:2.7, val2:1.7, dead_type:suicide]</v>
      </c>
      <c r="H91" s="64">
        <f t="shared" ref="H91:H93" si="178">FIND("effect:",G91)+7</f>
        <v>9</v>
      </c>
      <c r="I91" s="64">
        <f t="shared" ref="I91:I93" si="179">IFERROR(FIND(",",G91),LEN(G91))</f>
        <v>22</v>
      </c>
      <c r="J91" s="64" t="e">
        <f t="shared" ref="J91:J93" si="180">FIND("target:",G91)+7</f>
        <v>#VALUE!</v>
      </c>
      <c r="K91" s="64">
        <f t="shared" ref="K91:K93" si="181">FIND(",",G91,I91+1)</f>
        <v>32</v>
      </c>
      <c r="L91" s="64" t="str">
        <f>IFERROR(VLOOKUP(MID(G91,J91,K91-J91),[6]skilldef!$C:$D,2,FALSE),"-") &amp; " / " &amp; IFERROR(VLOOKUP(MID(G91,H91,I91-H91),[6]skilldef!$A:$B,2,FALSE),"-")</f>
        <v>- / -</v>
      </c>
      <c r="M91" s="64" t="str">
        <f t="shared" ref="M91:M93" si="182">IFERROR(RIGHT(B91,LEN(B91)-FIND("],",B91)-1),"none")</f>
        <v>none</v>
      </c>
      <c r="N91" s="48" t="str">
        <f>IFERROR(LEFT(M91,FIND("],",M91)+#REF!),M91)</f>
        <v>none</v>
      </c>
      <c r="O91" s="64" t="e">
        <f t="shared" ref="O91:O93" si="183">FIND("effect:",N91)+7</f>
        <v>#VALUE!</v>
      </c>
      <c r="P91" s="64">
        <f t="shared" ref="P91:P93" si="184">IFERROR(FIND(",",N91),LEN(N91))</f>
        <v>4</v>
      </c>
      <c r="Q91" s="64" t="e">
        <f t="shared" ref="Q91:Q93" si="185">FIND("target:",N91)+7</f>
        <v>#VALUE!</v>
      </c>
      <c r="R91" s="64" t="e">
        <f t="shared" ref="R91:R93" si="186">FIND(",",N91,P91+1)</f>
        <v>#VALUE!</v>
      </c>
      <c r="S91" s="64" t="str">
        <f>IFERROR(VLOOKUP(MID(N91,Q91,R91-Q91),[6]skilldef!$C:$D,2,FALSE),"-") &amp; " / " &amp; IFERROR(VLOOKUP(MID(N91,O91,P91-O91),[6]skilldef!$A:$B,2,FALSE),"-")</f>
        <v>- / -</v>
      </c>
      <c r="T91" s="48" t="str">
        <f t="shared" ref="T91:T93" si="187">IFERROR(RIGHT(M91,LEN(M91)-FIND("],",M91)-1),"none")</f>
        <v>none</v>
      </c>
      <c r="U91" s="64" t="e">
        <f t="shared" ref="U91:U93" si="188">FIND("effect:",T91)+7</f>
        <v>#VALUE!</v>
      </c>
      <c r="V91" s="64">
        <f t="shared" ref="V91:V93" si="189">IFERROR(FIND(",",T91),LEN(T91))</f>
        <v>4</v>
      </c>
      <c r="W91" s="64" t="e">
        <f t="shared" ref="W91:W93" si="190">FIND("target:",T91)+7</f>
        <v>#VALUE!</v>
      </c>
      <c r="X91" s="64" t="e">
        <f t="shared" ref="X91:X93" si="191">FIND(",",T91,V91+1)</f>
        <v>#VALUE!</v>
      </c>
      <c r="Y91" s="64" t="str">
        <f>IFERROR(VLOOKUP(MID(T91,W91,X91-W91),[6]skilldef!$C:$D,2,FALSE),"-") &amp; " / " &amp; IFERROR(VLOOKUP(MID(T91,U91,V91-U91),[6]skilldef!$A:$B,2,FALSE),"-")</f>
        <v>- / -</v>
      </c>
      <c r="Z91" s="50"/>
      <c r="AA91" s="52"/>
      <c r="AB91" s="50"/>
      <c r="AC91" s="49" t="s">
        <v>299</v>
      </c>
    </row>
    <row r="92" spans="1:29" ht="21" customHeight="1" x14ac:dyDescent="0.15">
      <c r="A92" s="226">
        <v>49014091</v>
      </c>
      <c r="B92" s="222" t="s">
        <v>358</v>
      </c>
      <c r="C92" s="218">
        <v>3</v>
      </c>
      <c r="D92" s="218" t="s">
        <v>126</v>
      </c>
      <c r="E92" s="243" t="s">
        <v>369</v>
      </c>
      <c r="F92" s="235" t="s">
        <v>308</v>
      </c>
      <c r="G92" s="220" t="str">
        <f>IFERROR(LEFT(B92,FIND("],",B92)),B92)</f>
        <v>[effect:enemy_message, val1:3.2, val2:1.7, dead_type:suicide]</v>
      </c>
      <c r="H92" s="220">
        <f>FIND("effect:",G92)+7</f>
        <v>9</v>
      </c>
      <c r="I92" s="220">
        <f>IFERROR(FIND(",",G92),LEN(G92))</f>
        <v>22</v>
      </c>
      <c r="J92" s="220" t="e">
        <f>FIND("target:",G92)+7</f>
        <v>#VALUE!</v>
      </c>
      <c r="K92" s="220">
        <f>FIND(",",G92,I92+1)</f>
        <v>32</v>
      </c>
      <c r="L92" s="220" t="str">
        <f>IFERROR(VLOOKUP(MID(G92,J92,K92-J92),[6]skilldef!$C:$D,2,FALSE),"-") &amp; " / " &amp; IFERROR(VLOOKUP(MID(G92,H92,I92-H92),[6]skilldef!$A:$B,2,FALSE),"-")</f>
        <v>- / -</v>
      </c>
      <c r="M92" s="220" t="str">
        <f>IFERROR(RIGHT(B92,LEN(B92)-FIND("],",B92)-1),"none")</f>
        <v>none</v>
      </c>
      <c r="N92" s="213" t="str">
        <f>IFERROR(LEFT(M92,FIND("],",M92)+#REF!),M92)</f>
        <v>none</v>
      </c>
      <c r="O92" s="220" t="e">
        <f>FIND("effect:",N92)+7</f>
        <v>#VALUE!</v>
      </c>
      <c r="P92" s="220">
        <f>IFERROR(FIND(",",N92),LEN(N92))</f>
        <v>4</v>
      </c>
      <c r="Q92" s="220" t="e">
        <f>FIND("target:",N92)+7</f>
        <v>#VALUE!</v>
      </c>
      <c r="R92" s="220" t="e">
        <f>FIND(",",N92,P92+1)</f>
        <v>#VALUE!</v>
      </c>
      <c r="S92" s="220" t="str">
        <f>IFERROR(VLOOKUP(MID(N92,Q92,R92-Q92),[6]skilldef!$C:$D,2,FALSE),"-") &amp; " / " &amp; IFERROR(VLOOKUP(MID(N92,O92,P92-O92),[6]skilldef!$A:$B,2,FALSE),"-")</f>
        <v>- / -</v>
      </c>
      <c r="T92" s="213" t="str">
        <f>IFERROR(RIGHT(M92,LEN(M92)-FIND("],",M92)-1),"none")</f>
        <v>none</v>
      </c>
      <c r="U92" s="220" t="e">
        <f>FIND("effect:",T92)+7</f>
        <v>#VALUE!</v>
      </c>
      <c r="V92" s="220">
        <f>IFERROR(FIND(",",T92),LEN(T92))</f>
        <v>4</v>
      </c>
      <c r="W92" s="220" t="e">
        <f>FIND("target:",T92)+7</f>
        <v>#VALUE!</v>
      </c>
      <c r="X92" s="220" t="e">
        <f>FIND(",",T92,V92+1)</f>
        <v>#VALUE!</v>
      </c>
      <c r="Y92" s="220" t="str">
        <f>IFERROR(VLOOKUP(MID(T92,W92,X92-W92),[6]skilldef!$C:$D,2,FALSE),"-") &amp; " / " &amp; IFERROR(VLOOKUP(MID(T92,U92,V92-U92),[6]skilldef!$A:$B,2,FALSE),"-")</f>
        <v>- / -</v>
      </c>
      <c r="Z92" s="218"/>
      <c r="AA92" s="221"/>
      <c r="AB92" s="218"/>
      <c r="AC92" s="49" t="s">
        <v>299</v>
      </c>
    </row>
    <row r="93" spans="1:29" ht="21" customHeight="1" thickBot="1" x14ac:dyDescent="0.2">
      <c r="A93" s="212">
        <v>49014092</v>
      </c>
      <c r="B93" s="224" t="s">
        <v>360</v>
      </c>
      <c r="C93" s="116">
        <v>3</v>
      </c>
      <c r="D93" s="116" t="s">
        <v>126</v>
      </c>
      <c r="E93" s="244" t="s">
        <v>370</v>
      </c>
      <c r="F93" s="224" t="s">
        <v>308</v>
      </c>
      <c r="G93" s="118" t="str">
        <f t="shared" si="177"/>
        <v>[effect:enemy_message, val1:2.9, val2:1.7, dead_type:suicide]</v>
      </c>
      <c r="H93" s="118">
        <f t="shared" si="178"/>
        <v>9</v>
      </c>
      <c r="I93" s="118">
        <f t="shared" si="179"/>
        <v>22</v>
      </c>
      <c r="J93" s="118" t="e">
        <f t="shared" si="180"/>
        <v>#VALUE!</v>
      </c>
      <c r="K93" s="118">
        <f t="shared" si="181"/>
        <v>32</v>
      </c>
      <c r="L93" s="118" t="str">
        <f>IFERROR(VLOOKUP(MID(G93,J93,K93-J93),[6]skilldef!$C:$D,2,FALSE),"-") &amp; " / " &amp; IFERROR(VLOOKUP(MID(G93,H93,I93-H93),[6]skilldef!$A:$B,2,FALSE),"-")</f>
        <v>- / -</v>
      </c>
      <c r="M93" s="118" t="str">
        <f t="shared" si="182"/>
        <v>none</v>
      </c>
      <c r="N93" s="119" t="str">
        <f>IFERROR(LEFT(M93,FIND("],",M93)+#REF!),M93)</f>
        <v>none</v>
      </c>
      <c r="O93" s="118" t="e">
        <f t="shared" si="183"/>
        <v>#VALUE!</v>
      </c>
      <c r="P93" s="118">
        <f t="shared" si="184"/>
        <v>4</v>
      </c>
      <c r="Q93" s="118" t="e">
        <f t="shared" si="185"/>
        <v>#VALUE!</v>
      </c>
      <c r="R93" s="118" t="e">
        <f t="shared" si="186"/>
        <v>#VALUE!</v>
      </c>
      <c r="S93" s="118" t="str">
        <f>IFERROR(VLOOKUP(MID(N93,Q93,R93-Q93),[6]skilldef!$C:$D,2,FALSE),"-") &amp; " / " &amp; IFERROR(VLOOKUP(MID(N93,O93,P93-O93),[6]skilldef!$A:$B,2,FALSE),"-")</f>
        <v>- / -</v>
      </c>
      <c r="T93" s="119" t="str">
        <f t="shared" si="187"/>
        <v>none</v>
      </c>
      <c r="U93" s="118" t="e">
        <f t="shared" si="188"/>
        <v>#VALUE!</v>
      </c>
      <c r="V93" s="118">
        <f t="shared" si="189"/>
        <v>4</v>
      </c>
      <c r="W93" s="118" t="e">
        <f t="shared" si="190"/>
        <v>#VALUE!</v>
      </c>
      <c r="X93" s="118" t="e">
        <f t="shared" si="191"/>
        <v>#VALUE!</v>
      </c>
      <c r="Y93" s="118" t="str">
        <f>IFERROR(VLOOKUP(MID(T93,W93,X93-W93),[6]skilldef!$C:$D,2,FALSE),"-") &amp; " / " &amp; IFERROR(VLOOKUP(MID(T93,U93,V93-U93),[6]skilldef!$A:$B,2,FALSE),"-")</f>
        <v>- / -</v>
      </c>
      <c r="Z93" s="116"/>
      <c r="AA93" s="120"/>
      <c r="AB93" s="116"/>
      <c r="AC93" s="49" t="s">
        <v>299</v>
      </c>
    </row>
    <row r="94" spans="1:29" ht="21" customHeight="1" x14ac:dyDescent="0.15">
      <c r="A94" s="128">
        <v>49014093</v>
      </c>
      <c r="B94" s="225" t="s">
        <v>361</v>
      </c>
      <c r="C94" s="109">
        <v>3</v>
      </c>
      <c r="D94" s="109" t="s">
        <v>126</v>
      </c>
      <c r="E94" s="225" t="s">
        <v>311</v>
      </c>
      <c r="F94" s="240" t="s">
        <v>337</v>
      </c>
      <c r="G94" s="111" t="str">
        <f t="shared" ref="G94:G103" si="192">IFERROR(LEFT(B94,FIND("],",B94)),B94)</f>
        <v>[effect:enemy_message, val1:1.5, val2:0]</v>
      </c>
      <c r="H94" s="111">
        <f t="shared" ref="H94:H103" si="193">FIND("effect:",G94)+7</f>
        <v>9</v>
      </c>
      <c r="I94" s="111">
        <f t="shared" ref="I94:I103" si="194">IFERROR(FIND(",",G94),LEN(G94))</f>
        <v>22</v>
      </c>
      <c r="J94" s="111" t="e">
        <f t="shared" ref="J94:J103" si="195">FIND("target:",G94)+7</f>
        <v>#VALUE!</v>
      </c>
      <c r="K94" s="111">
        <f t="shared" ref="K94:K103" si="196">FIND(",",G94,I94+1)</f>
        <v>32</v>
      </c>
      <c r="L94" s="111" t="str">
        <f>IFERROR(VLOOKUP(MID(G94,J94,K94-J94),[6]skilldef!$C:$D,2,FALSE),"-") &amp; " / " &amp; IFERROR(VLOOKUP(MID(G94,H94,I94-H94),[6]skilldef!$A:$B,2,FALSE),"-")</f>
        <v>- / -</v>
      </c>
      <c r="M94" s="111" t="str">
        <f t="shared" ref="M94:M103" si="197">IFERROR(RIGHT(B94,LEN(B94)-FIND("],",B94)-1),"none")</f>
        <v>[effect:fix_speed, target:myself, turn:2]</v>
      </c>
      <c r="N94" s="112" t="str">
        <f>IFERROR(LEFT(M94,FIND("],",M94)+#REF!),M94)</f>
        <v>[effect:fix_speed, target:myself, turn:2]</v>
      </c>
      <c r="O94" s="111">
        <f t="shared" ref="O94:O103" si="198">FIND("effect:",N94)+7</f>
        <v>9</v>
      </c>
      <c r="P94" s="111">
        <f t="shared" ref="P94:P103" si="199">IFERROR(FIND(",",N94),LEN(N94))</f>
        <v>18</v>
      </c>
      <c r="Q94" s="111">
        <f t="shared" ref="Q94:Q103" si="200">FIND("target:",N94)+7</f>
        <v>27</v>
      </c>
      <c r="R94" s="111">
        <f t="shared" ref="R94:R103" si="201">FIND(",",N94,P94+1)</f>
        <v>33</v>
      </c>
      <c r="S94" s="111" t="str">
        <f>IFERROR(VLOOKUP(MID(N94,Q94,R94-Q94),[6]skilldef!$C:$D,2,FALSE),"-") &amp; " / " &amp; IFERROR(VLOOKUP(MID(N94,O94,P94-O94),[6]skilldef!$A:$B,2,FALSE),"-")</f>
        <v>自分自身に / 行動値設定</v>
      </c>
      <c r="T94" s="112" t="str">
        <f t="shared" ref="T94:T103" si="202">IFERROR(RIGHT(M94,LEN(M94)-FIND("],",M94)-1),"none")</f>
        <v>none</v>
      </c>
      <c r="U94" s="111" t="e">
        <f t="shared" ref="U94:U103" si="203">FIND("effect:",T94)+7</f>
        <v>#VALUE!</v>
      </c>
      <c r="V94" s="111">
        <f t="shared" ref="V94:V103" si="204">IFERROR(FIND(",",T94),LEN(T94))</f>
        <v>4</v>
      </c>
      <c r="W94" s="111" t="e">
        <f t="shared" ref="W94:W103" si="205">FIND("target:",T94)+7</f>
        <v>#VALUE!</v>
      </c>
      <c r="X94" s="111" t="e">
        <f t="shared" ref="X94:X103" si="206">FIND(",",T94,V94+1)</f>
        <v>#VALUE!</v>
      </c>
      <c r="Y94" s="111" t="str">
        <f>IFERROR(VLOOKUP(MID(T94,W94,X94-W94),[6]skilldef!$C:$D,2,FALSE),"-") &amp; " / " &amp; IFERROR(VLOOKUP(MID(T94,U94,V94-U94),[6]skilldef!$A:$B,2,FALSE),"-")</f>
        <v>- / -</v>
      </c>
      <c r="Z94" s="109"/>
      <c r="AA94" s="113"/>
      <c r="AB94" s="109"/>
      <c r="AC94" s="49" t="s">
        <v>292</v>
      </c>
    </row>
    <row r="95" spans="1:29" ht="26" customHeight="1" x14ac:dyDescent="0.15">
      <c r="A95" s="106">
        <v>49014094</v>
      </c>
      <c r="B95" s="222" t="s">
        <v>362</v>
      </c>
      <c r="C95" s="109">
        <v>3</v>
      </c>
      <c r="D95" s="109" t="s">
        <v>126</v>
      </c>
      <c r="E95" s="223" t="s">
        <v>368</v>
      </c>
      <c r="F95" s="51" t="s">
        <v>337</v>
      </c>
      <c r="G95" s="111" t="str">
        <f t="shared" si="192"/>
        <v>[effect:enemy_message, val1:2.5, val2:0]</v>
      </c>
      <c r="H95" s="111">
        <f t="shared" si="193"/>
        <v>9</v>
      </c>
      <c r="I95" s="111">
        <f t="shared" si="194"/>
        <v>22</v>
      </c>
      <c r="J95" s="111" t="e">
        <f t="shared" si="195"/>
        <v>#VALUE!</v>
      </c>
      <c r="K95" s="111">
        <f t="shared" si="196"/>
        <v>32</v>
      </c>
      <c r="L95" s="111" t="str">
        <f>IFERROR(VLOOKUP(MID(G95,J95,K95-J95),[6]skilldef!$C:$D,2,FALSE),"-") &amp; " / " &amp; IFERROR(VLOOKUP(MID(G95,H95,I95-H95),[6]skilldef!$A:$B,2,FALSE),"-")</f>
        <v>- / -</v>
      </c>
      <c r="M95" s="111" t="str">
        <f t="shared" si="197"/>
        <v>[effect:fix_speed, target:myself, turn:2]</v>
      </c>
      <c r="N95" s="112" t="str">
        <f>IFERROR(LEFT(M95,FIND("],",M95)+#REF!),M95)</f>
        <v>[effect:fix_speed, target:myself, turn:2]</v>
      </c>
      <c r="O95" s="111">
        <f t="shared" si="198"/>
        <v>9</v>
      </c>
      <c r="P95" s="111">
        <f t="shared" si="199"/>
        <v>18</v>
      </c>
      <c r="Q95" s="111">
        <f t="shared" si="200"/>
        <v>27</v>
      </c>
      <c r="R95" s="111">
        <f t="shared" si="201"/>
        <v>33</v>
      </c>
      <c r="S95" s="111" t="str">
        <f>IFERROR(VLOOKUP(MID(N95,Q95,R95-Q95),[6]skilldef!$C:$D,2,FALSE),"-") &amp; " / " &amp; IFERROR(VLOOKUP(MID(N95,O95,P95-O95),[6]skilldef!$A:$B,2,FALSE),"-")</f>
        <v>自分自身に / 行動値設定</v>
      </c>
      <c r="T95" s="112" t="str">
        <f t="shared" si="202"/>
        <v>none</v>
      </c>
      <c r="U95" s="111" t="e">
        <f t="shared" si="203"/>
        <v>#VALUE!</v>
      </c>
      <c r="V95" s="111">
        <f t="shared" si="204"/>
        <v>4</v>
      </c>
      <c r="W95" s="111" t="e">
        <f t="shared" si="205"/>
        <v>#VALUE!</v>
      </c>
      <c r="X95" s="111" t="e">
        <f t="shared" si="206"/>
        <v>#VALUE!</v>
      </c>
      <c r="Y95" s="111" t="str">
        <f>IFERROR(VLOOKUP(MID(T95,W95,X95-W95),[6]skilldef!$C:$D,2,FALSE),"-") &amp; " / " &amp; IFERROR(VLOOKUP(MID(T95,U95,V95-U95),[6]skilldef!$A:$B,2,FALSE),"-")</f>
        <v>- / -</v>
      </c>
      <c r="Z95" s="109"/>
      <c r="AA95" s="113"/>
      <c r="AB95" s="109"/>
      <c r="AC95" s="49" t="s">
        <v>292</v>
      </c>
    </row>
    <row r="96" spans="1:29" ht="26" customHeight="1" x14ac:dyDescent="0.15">
      <c r="A96" s="106">
        <v>49014095</v>
      </c>
      <c r="B96" s="222" t="s">
        <v>363</v>
      </c>
      <c r="C96" s="109">
        <v>3</v>
      </c>
      <c r="D96" s="109" t="s">
        <v>126</v>
      </c>
      <c r="E96" s="223" t="s">
        <v>343</v>
      </c>
      <c r="F96" s="51" t="s">
        <v>337</v>
      </c>
      <c r="G96" s="111" t="str">
        <f t="shared" si="192"/>
        <v>[effect:enemy_message, val1:3.1, val2:0]</v>
      </c>
      <c r="H96" s="111">
        <f t="shared" si="193"/>
        <v>9</v>
      </c>
      <c r="I96" s="111">
        <f t="shared" si="194"/>
        <v>22</v>
      </c>
      <c r="J96" s="111" t="e">
        <f t="shared" si="195"/>
        <v>#VALUE!</v>
      </c>
      <c r="K96" s="111">
        <f t="shared" si="196"/>
        <v>32</v>
      </c>
      <c r="L96" s="111" t="str">
        <f>IFERROR(VLOOKUP(MID(G96,J96,K96-J96),[6]skilldef!$C:$D,2,FALSE),"-") &amp; " / " &amp; IFERROR(VLOOKUP(MID(G96,H96,I96-H96),[6]skilldef!$A:$B,2,FALSE),"-")</f>
        <v>- / -</v>
      </c>
      <c r="M96" s="111" t="str">
        <f t="shared" si="197"/>
        <v>[effect:fix_speed, target:myself, turn:2]</v>
      </c>
      <c r="N96" s="112" t="str">
        <f>IFERROR(LEFT(M96,FIND("],",M96)+#REF!),M96)</f>
        <v>[effect:fix_speed, target:myself, turn:2]</v>
      </c>
      <c r="O96" s="111">
        <f t="shared" si="198"/>
        <v>9</v>
      </c>
      <c r="P96" s="111">
        <f t="shared" si="199"/>
        <v>18</v>
      </c>
      <c r="Q96" s="111">
        <f t="shared" si="200"/>
        <v>27</v>
      </c>
      <c r="R96" s="111">
        <f t="shared" si="201"/>
        <v>33</v>
      </c>
      <c r="S96" s="111" t="str">
        <f>IFERROR(VLOOKUP(MID(N96,Q96,R96-Q96),[6]skilldef!$C:$D,2,FALSE),"-") &amp; " / " &amp; IFERROR(VLOOKUP(MID(N96,O96,P96-O96),[6]skilldef!$A:$B,2,FALSE),"-")</f>
        <v>自分自身に / 行動値設定</v>
      </c>
      <c r="T96" s="112" t="str">
        <f t="shared" si="202"/>
        <v>none</v>
      </c>
      <c r="U96" s="111" t="e">
        <f t="shared" si="203"/>
        <v>#VALUE!</v>
      </c>
      <c r="V96" s="111">
        <f t="shared" si="204"/>
        <v>4</v>
      </c>
      <c r="W96" s="111" t="e">
        <f t="shared" si="205"/>
        <v>#VALUE!</v>
      </c>
      <c r="X96" s="111" t="e">
        <f t="shared" si="206"/>
        <v>#VALUE!</v>
      </c>
      <c r="Y96" s="111" t="str">
        <f>IFERROR(VLOOKUP(MID(T96,W96,X96-W96),[6]skilldef!$C:$D,2,FALSE),"-") &amp; " / " &amp; IFERROR(VLOOKUP(MID(T96,U96,V96-U96),[6]skilldef!$A:$B,2,FALSE),"-")</f>
        <v>- / -</v>
      </c>
      <c r="Z96" s="109"/>
      <c r="AA96" s="113"/>
      <c r="AB96" s="109"/>
      <c r="AC96" s="49" t="s">
        <v>292</v>
      </c>
    </row>
    <row r="97" spans="1:29" ht="26" customHeight="1" x14ac:dyDescent="0.15">
      <c r="A97" s="106">
        <v>49014096</v>
      </c>
      <c r="B97" s="222" t="s">
        <v>364</v>
      </c>
      <c r="C97" s="109">
        <v>3</v>
      </c>
      <c r="D97" s="109" t="s">
        <v>126</v>
      </c>
      <c r="E97" s="223" t="s">
        <v>342</v>
      </c>
      <c r="F97" s="51" t="s">
        <v>337</v>
      </c>
      <c r="G97" s="111" t="str">
        <f t="shared" si="192"/>
        <v>[effect:enemy_message, val1:3.0, val2:0]</v>
      </c>
      <c r="H97" s="111">
        <f t="shared" si="193"/>
        <v>9</v>
      </c>
      <c r="I97" s="111">
        <f t="shared" si="194"/>
        <v>22</v>
      </c>
      <c r="J97" s="111" t="e">
        <f t="shared" si="195"/>
        <v>#VALUE!</v>
      </c>
      <c r="K97" s="111">
        <f t="shared" si="196"/>
        <v>32</v>
      </c>
      <c r="L97" s="111" t="str">
        <f>IFERROR(VLOOKUP(MID(G97,J97,K97-J97),[6]skilldef!$C:$D,2,FALSE),"-") &amp; " / " &amp; IFERROR(VLOOKUP(MID(G97,H97,I97-H97),[6]skilldef!$A:$B,2,FALSE),"-")</f>
        <v>- / -</v>
      </c>
      <c r="M97" s="111" t="str">
        <f t="shared" si="197"/>
        <v>[effect:fix_speed, target:myself, turn:2]</v>
      </c>
      <c r="N97" s="112" t="str">
        <f>IFERROR(LEFT(M97,FIND("],",M97)+#REF!),M97)</f>
        <v>[effect:fix_speed, target:myself, turn:2]</v>
      </c>
      <c r="O97" s="111">
        <f t="shared" si="198"/>
        <v>9</v>
      </c>
      <c r="P97" s="111">
        <f t="shared" si="199"/>
        <v>18</v>
      </c>
      <c r="Q97" s="111">
        <f t="shared" si="200"/>
        <v>27</v>
      </c>
      <c r="R97" s="111">
        <f t="shared" si="201"/>
        <v>33</v>
      </c>
      <c r="S97" s="111" t="str">
        <f>IFERROR(VLOOKUP(MID(N97,Q97,R97-Q97),[6]skilldef!$C:$D,2,FALSE),"-") &amp; " / " &amp; IFERROR(VLOOKUP(MID(N97,O97,P97-O97),[6]skilldef!$A:$B,2,FALSE),"-")</f>
        <v>自分自身に / 行動値設定</v>
      </c>
      <c r="T97" s="112" t="str">
        <f t="shared" si="202"/>
        <v>none</v>
      </c>
      <c r="U97" s="111" t="e">
        <f t="shared" si="203"/>
        <v>#VALUE!</v>
      </c>
      <c r="V97" s="111">
        <f t="shared" si="204"/>
        <v>4</v>
      </c>
      <c r="W97" s="111" t="e">
        <f t="shared" si="205"/>
        <v>#VALUE!</v>
      </c>
      <c r="X97" s="111" t="e">
        <f t="shared" si="206"/>
        <v>#VALUE!</v>
      </c>
      <c r="Y97" s="111" t="str">
        <f>IFERROR(VLOOKUP(MID(T97,W97,X97-W97),[6]skilldef!$C:$D,2,FALSE),"-") &amp; " / " &amp; IFERROR(VLOOKUP(MID(T97,U97,V97-U97),[6]skilldef!$A:$B,2,FALSE),"-")</f>
        <v>- / -</v>
      </c>
      <c r="Z97" s="109"/>
      <c r="AA97" s="113"/>
      <c r="AB97" s="109"/>
      <c r="AC97" s="49" t="s">
        <v>292</v>
      </c>
    </row>
    <row r="98" spans="1:29" ht="26" customHeight="1" x14ac:dyDescent="0.15">
      <c r="A98" s="106">
        <v>49014097</v>
      </c>
      <c r="B98" s="222" t="s">
        <v>365</v>
      </c>
      <c r="C98" s="109">
        <v>3</v>
      </c>
      <c r="D98" s="218" t="s">
        <v>126</v>
      </c>
      <c r="E98" s="223" t="s">
        <v>341</v>
      </c>
      <c r="F98" s="51" t="s">
        <v>337</v>
      </c>
      <c r="G98" s="220" t="str">
        <f t="shared" si="192"/>
        <v>[effect:enemy_message, val1:1.9, val2:0]</v>
      </c>
      <c r="H98" s="220">
        <f t="shared" si="193"/>
        <v>9</v>
      </c>
      <c r="I98" s="220">
        <f t="shared" si="194"/>
        <v>22</v>
      </c>
      <c r="J98" s="220" t="e">
        <f t="shared" si="195"/>
        <v>#VALUE!</v>
      </c>
      <c r="K98" s="220">
        <f t="shared" si="196"/>
        <v>32</v>
      </c>
      <c r="L98" s="220" t="str">
        <f>IFERROR(VLOOKUP(MID(G98,J98,K98-J98),[6]skilldef!$C:$D,2,FALSE),"-") &amp; " / " &amp; IFERROR(VLOOKUP(MID(G98,H98,I98-H98),[6]skilldef!$A:$B,2,FALSE),"-")</f>
        <v>- / -</v>
      </c>
      <c r="M98" s="220" t="str">
        <f t="shared" si="197"/>
        <v>[effect:fix_speed, target:myself, turn:2]</v>
      </c>
      <c r="N98" s="213" t="str">
        <f>IFERROR(LEFT(M98,FIND("],",M98)+#REF!),M98)</f>
        <v>[effect:fix_speed, target:myself, turn:2]</v>
      </c>
      <c r="O98" s="220">
        <f t="shared" si="198"/>
        <v>9</v>
      </c>
      <c r="P98" s="220">
        <f t="shared" si="199"/>
        <v>18</v>
      </c>
      <c r="Q98" s="220">
        <f t="shared" si="200"/>
        <v>27</v>
      </c>
      <c r="R98" s="220">
        <f t="shared" si="201"/>
        <v>33</v>
      </c>
      <c r="S98" s="220" t="str">
        <f>IFERROR(VLOOKUP(MID(N98,Q98,R98-Q98),[6]skilldef!$C:$D,2,FALSE),"-") &amp; " / " &amp; IFERROR(VLOOKUP(MID(N98,O98,P98-O98),[6]skilldef!$A:$B,2,FALSE),"-")</f>
        <v>自分自身に / 行動値設定</v>
      </c>
      <c r="T98" s="213" t="str">
        <f t="shared" si="202"/>
        <v>none</v>
      </c>
      <c r="U98" s="220" t="e">
        <f t="shared" si="203"/>
        <v>#VALUE!</v>
      </c>
      <c r="V98" s="220">
        <f t="shared" si="204"/>
        <v>4</v>
      </c>
      <c r="W98" s="220" t="e">
        <f t="shared" si="205"/>
        <v>#VALUE!</v>
      </c>
      <c r="X98" s="220" t="e">
        <f t="shared" si="206"/>
        <v>#VALUE!</v>
      </c>
      <c r="Y98" s="220" t="str">
        <f>IFERROR(VLOOKUP(MID(T98,W98,X98-W98),[6]skilldef!$C:$D,2,FALSE),"-") &amp; " / " &amp; IFERROR(VLOOKUP(MID(T98,U98,V98-U98),[6]skilldef!$A:$B,2,FALSE),"-")</f>
        <v>- / -</v>
      </c>
      <c r="Z98" s="218"/>
      <c r="AA98" s="221"/>
      <c r="AB98" s="218"/>
      <c r="AC98" s="49" t="s">
        <v>292</v>
      </c>
    </row>
    <row r="99" spans="1:29" ht="26" customHeight="1" x14ac:dyDescent="0.15">
      <c r="A99" s="106">
        <v>49014098</v>
      </c>
      <c r="B99" s="222" t="s">
        <v>362</v>
      </c>
      <c r="C99" s="109">
        <v>3</v>
      </c>
      <c r="D99" s="218" t="s">
        <v>126</v>
      </c>
      <c r="E99" s="223" t="s">
        <v>340</v>
      </c>
      <c r="F99" s="51" t="s">
        <v>337</v>
      </c>
      <c r="G99" s="220" t="str">
        <f t="shared" si="192"/>
        <v>[effect:enemy_message, val1:2.5, val2:0]</v>
      </c>
      <c r="H99" s="220">
        <f t="shared" si="193"/>
        <v>9</v>
      </c>
      <c r="I99" s="220">
        <f t="shared" si="194"/>
        <v>22</v>
      </c>
      <c r="J99" s="220" t="e">
        <f t="shared" si="195"/>
        <v>#VALUE!</v>
      </c>
      <c r="K99" s="220">
        <f t="shared" si="196"/>
        <v>32</v>
      </c>
      <c r="L99" s="220" t="str">
        <f>IFERROR(VLOOKUP(MID(G99,J99,K99-J99),[6]skilldef!$C:$D,2,FALSE),"-") &amp; " / " &amp; IFERROR(VLOOKUP(MID(G99,H99,I99-H99),[6]skilldef!$A:$B,2,FALSE),"-")</f>
        <v>- / -</v>
      </c>
      <c r="M99" s="220" t="str">
        <f t="shared" si="197"/>
        <v>[effect:fix_speed, target:myself, turn:2]</v>
      </c>
      <c r="N99" s="213" t="str">
        <f>IFERROR(LEFT(M99,FIND("],",M99)+#REF!),M99)</f>
        <v>[effect:fix_speed, target:myself, turn:2]</v>
      </c>
      <c r="O99" s="220">
        <f t="shared" si="198"/>
        <v>9</v>
      </c>
      <c r="P99" s="220">
        <f t="shared" si="199"/>
        <v>18</v>
      </c>
      <c r="Q99" s="220">
        <f t="shared" si="200"/>
        <v>27</v>
      </c>
      <c r="R99" s="220">
        <f t="shared" si="201"/>
        <v>33</v>
      </c>
      <c r="S99" s="220" t="str">
        <f>IFERROR(VLOOKUP(MID(N99,Q99,R99-Q99),[6]skilldef!$C:$D,2,FALSE),"-") &amp; " / " &amp; IFERROR(VLOOKUP(MID(N99,O99,P99-O99),[6]skilldef!$A:$B,2,FALSE),"-")</f>
        <v>自分自身に / 行動値設定</v>
      </c>
      <c r="T99" s="213" t="str">
        <f t="shared" si="202"/>
        <v>none</v>
      </c>
      <c r="U99" s="220" t="e">
        <f t="shared" si="203"/>
        <v>#VALUE!</v>
      </c>
      <c r="V99" s="220">
        <f t="shared" si="204"/>
        <v>4</v>
      </c>
      <c r="W99" s="220" t="e">
        <f t="shared" si="205"/>
        <v>#VALUE!</v>
      </c>
      <c r="X99" s="220" t="e">
        <f t="shared" si="206"/>
        <v>#VALUE!</v>
      </c>
      <c r="Y99" s="220" t="str">
        <f>IFERROR(VLOOKUP(MID(T99,W99,X99-W99),[6]skilldef!$C:$D,2,FALSE),"-") &amp; " / " &amp; IFERROR(VLOOKUP(MID(T99,U99,V99-U99),[6]skilldef!$A:$B,2,FALSE),"-")</f>
        <v>- / -</v>
      </c>
      <c r="Z99" s="218"/>
      <c r="AA99" s="221"/>
      <c r="AB99" s="218"/>
      <c r="AC99" s="49" t="s">
        <v>292</v>
      </c>
    </row>
    <row r="100" spans="1:29" ht="26" customHeight="1" x14ac:dyDescent="0.15">
      <c r="A100" s="106">
        <v>49014099</v>
      </c>
      <c r="B100" s="222" t="s">
        <v>366</v>
      </c>
      <c r="C100" s="109">
        <v>3</v>
      </c>
      <c r="D100" s="50" t="s">
        <v>126</v>
      </c>
      <c r="E100" s="223" t="s">
        <v>345</v>
      </c>
      <c r="F100" s="51" t="s">
        <v>337</v>
      </c>
      <c r="G100" s="64" t="str">
        <f>IFERROR(LEFT(B100,FIND("],",B100)),B100)</f>
        <v>[effect:enemy_message, val1:2.9, val2:0]</v>
      </c>
      <c r="H100" s="64">
        <f>FIND("effect:",G100)+7</f>
        <v>9</v>
      </c>
      <c r="I100" s="64">
        <f>IFERROR(FIND(",",G100),LEN(G100))</f>
        <v>22</v>
      </c>
      <c r="J100" s="64" t="e">
        <f>FIND("target:",G100)+7</f>
        <v>#VALUE!</v>
      </c>
      <c r="K100" s="64">
        <f>FIND(",",G100,I100+1)</f>
        <v>32</v>
      </c>
      <c r="L100" s="64" t="str">
        <f>IFERROR(VLOOKUP(MID(G100,J100,K100-J100),[6]skilldef!$C:$D,2,FALSE),"-") &amp; " / " &amp; IFERROR(VLOOKUP(MID(G100,H100,I100-H100),[6]skilldef!$A:$B,2,FALSE),"-")</f>
        <v>- / -</v>
      </c>
      <c r="M100" s="64" t="str">
        <f>IFERROR(RIGHT(B100,LEN(B100)-FIND("],",B100)-1),"none")</f>
        <v>[effect:fix_speed, target:myself, turn:2]</v>
      </c>
      <c r="N100" s="48" t="str">
        <f>IFERROR(LEFT(M100,FIND("],",M100)+#REF!),M100)</f>
        <v>[effect:fix_speed, target:myself, turn:2]</v>
      </c>
      <c r="O100" s="64">
        <f>FIND("effect:",N100)+7</f>
        <v>9</v>
      </c>
      <c r="P100" s="64">
        <f>IFERROR(FIND(",",N100),LEN(N100))</f>
        <v>18</v>
      </c>
      <c r="Q100" s="64">
        <f>FIND("target:",N100)+7</f>
        <v>27</v>
      </c>
      <c r="R100" s="64">
        <f>FIND(",",N100,P100+1)</f>
        <v>33</v>
      </c>
      <c r="S100" s="64" t="str">
        <f>IFERROR(VLOOKUP(MID(N100,Q100,R100-Q100),[6]skilldef!$C:$D,2,FALSE),"-") &amp; " / " &amp; IFERROR(VLOOKUP(MID(N100,O100,P100-O100),[6]skilldef!$A:$B,2,FALSE),"-")</f>
        <v>自分自身に / 行動値設定</v>
      </c>
      <c r="T100" s="48" t="str">
        <f>IFERROR(RIGHT(M100,LEN(M100)-FIND("],",M100)-1),"none")</f>
        <v>none</v>
      </c>
      <c r="U100" s="64" t="e">
        <f>FIND("effect:",T100)+7</f>
        <v>#VALUE!</v>
      </c>
      <c r="V100" s="64">
        <f>IFERROR(FIND(",",T100),LEN(T100))</f>
        <v>4</v>
      </c>
      <c r="W100" s="64" t="e">
        <f>FIND("target:",T100)+7</f>
        <v>#VALUE!</v>
      </c>
      <c r="X100" s="64" t="e">
        <f>FIND(",",T100,V100+1)</f>
        <v>#VALUE!</v>
      </c>
      <c r="Y100" s="64" t="str">
        <f>IFERROR(VLOOKUP(MID(T100,W100,X100-W100),[6]skilldef!$C:$D,2,FALSE),"-") &amp; " / " &amp; IFERROR(VLOOKUP(MID(T100,U100,V100-U100),[6]skilldef!$A:$B,2,FALSE),"-")</f>
        <v>- / -</v>
      </c>
      <c r="Z100" s="50"/>
      <c r="AA100" s="52"/>
      <c r="AB100" s="50"/>
      <c r="AC100" s="49" t="s">
        <v>292</v>
      </c>
    </row>
    <row r="101" spans="1:29" ht="26" customHeight="1" thickBot="1" x14ac:dyDescent="0.2">
      <c r="A101" s="232">
        <v>49014100</v>
      </c>
      <c r="B101" s="224" t="s">
        <v>363</v>
      </c>
      <c r="C101" s="109">
        <v>3</v>
      </c>
      <c r="D101" s="218" t="s">
        <v>126</v>
      </c>
      <c r="E101" s="223" t="s">
        <v>344</v>
      </c>
      <c r="F101" s="152" t="s">
        <v>337</v>
      </c>
      <c r="G101" s="220" t="str">
        <f t="shared" ref="G101" si="207">IFERROR(LEFT(B101,FIND("],",B101)),B101)</f>
        <v>[effect:enemy_message, val1:3.1, val2:0]</v>
      </c>
      <c r="H101" s="220">
        <f t="shared" ref="H101" si="208">FIND("effect:",G101)+7</f>
        <v>9</v>
      </c>
      <c r="I101" s="220">
        <f t="shared" ref="I101" si="209">IFERROR(FIND(",",G101),LEN(G101))</f>
        <v>22</v>
      </c>
      <c r="J101" s="220" t="e">
        <f t="shared" ref="J101" si="210">FIND("target:",G101)+7</f>
        <v>#VALUE!</v>
      </c>
      <c r="K101" s="220">
        <f t="shared" ref="K101" si="211">FIND(",",G101,I101+1)</f>
        <v>32</v>
      </c>
      <c r="L101" s="220" t="str">
        <f>IFERROR(VLOOKUP(MID(G101,J101,K101-J101),[6]skilldef!$C:$D,2,FALSE),"-") &amp; " / " &amp; IFERROR(VLOOKUP(MID(G101,H101,I101-H101),[6]skilldef!$A:$B,2,FALSE),"-")</f>
        <v>- / -</v>
      </c>
      <c r="M101" s="220" t="str">
        <f t="shared" ref="M101" si="212">IFERROR(RIGHT(B101,LEN(B101)-FIND("],",B101)-1),"none")</f>
        <v>[effect:fix_speed, target:myself, turn:2]</v>
      </c>
      <c r="N101" s="213" t="str">
        <f>IFERROR(LEFT(M101,FIND("],",M101)+#REF!),M101)</f>
        <v>[effect:fix_speed, target:myself, turn:2]</v>
      </c>
      <c r="O101" s="220">
        <f t="shared" ref="O101" si="213">FIND("effect:",N101)+7</f>
        <v>9</v>
      </c>
      <c r="P101" s="220">
        <f t="shared" ref="P101" si="214">IFERROR(FIND(",",N101),LEN(N101))</f>
        <v>18</v>
      </c>
      <c r="Q101" s="220">
        <f t="shared" ref="Q101" si="215">FIND("target:",N101)+7</f>
        <v>27</v>
      </c>
      <c r="R101" s="220">
        <f t="shared" ref="R101" si="216">FIND(",",N101,P101+1)</f>
        <v>33</v>
      </c>
      <c r="S101" s="220" t="str">
        <f>IFERROR(VLOOKUP(MID(N101,Q101,R101-Q101),[6]skilldef!$C:$D,2,FALSE),"-") &amp; " / " &amp; IFERROR(VLOOKUP(MID(N101,O101,P101-O101),[6]skilldef!$A:$B,2,FALSE),"-")</f>
        <v>自分自身に / 行動値設定</v>
      </c>
      <c r="T101" s="213" t="str">
        <f t="shared" ref="T101" si="217">IFERROR(RIGHT(M101,LEN(M101)-FIND("],",M101)-1),"none")</f>
        <v>none</v>
      </c>
      <c r="U101" s="220" t="e">
        <f t="shared" ref="U101" si="218">FIND("effect:",T101)+7</f>
        <v>#VALUE!</v>
      </c>
      <c r="V101" s="220">
        <f t="shared" ref="V101" si="219">IFERROR(FIND(",",T101),LEN(T101))</f>
        <v>4</v>
      </c>
      <c r="W101" s="220" t="e">
        <f t="shared" ref="W101" si="220">FIND("target:",T101)+7</f>
        <v>#VALUE!</v>
      </c>
      <c r="X101" s="220" t="e">
        <f t="shared" ref="X101" si="221">FIND(",",T101,V101+1)</f>
        <v>#VALUE!</v>
      </c>
      <c r="Y101" s="220" t="str">
        <f>IFERROR(VLOOKUP(MID(T101,W101,X101-W101),[6]skilldef!$C:$D,2,FALSE),"-") &amp; " / " &amp; IFERROR(VLOOKUP(MID(T101,U101,V101-U101),[6]skilldef!$A:$B,2,FALSE),"-")</f>
        <v>- / -</v>
      </c>
      <c r="Z101" s="218"/>
      <c r="AA101" s="221"/>
      <c r="AB101" s="218"/>
      <c r="AC101" s="49" t="s">
        <v>292</v>
      </c>
    </row>
    <row r="102" spans="1:29" ht="21" customHeight="1" thickBot="1" x14ac:dyDescent="0.2">
      <c r="A102" s="232">
        <v>49014101</v>
      </c>
      <c r="B102" s="230" t="s">
        <v>354</v>
      </c>
      <c r="C102" s="123">
        <v>3</v>
      </c>
      <c r="D102" s="123" t="s">
        <v>126</v>
      </c>
      <c r="E102" s="233" t="s">
        <v>310</v>
      </c>
      <c r="F102" s="124" t="s">
        <v>337</v>
      </c>
      <c r="G102" s="125" t="str">
        <f t="shared" si="192"/>
        <v>[effect:enemy_message, val1:1.9, val2:0.0, dead_type:suicide]</v>
      </c>
      <c r="H102" s="125">
        <f t="shared" si="193"/>
        <v>9</v>
      </c>
      <c r="I102" s="125">
        <f t="shared" si="194"/>
        <v>22</v>
      </c>
      <c r="J102" s="125" t="e">
        <f t="shared" si="195"/>
        <v>#VALUE!</v>
      </c>
      <c r="K102" s="125">
        <f t="shared" si="196"/>
        <v>32</v>
      </c>
      <c r="L102" s="125" t="str">
        <f>IFERROR(VLOOKUP(MID(G102,J102,K102-J102),[6]skilldef!$C:$D,2,FALSE),"-") &amp; " / " &amp; IFERROR(VLOOKUP(MID(G102,H102,I102-H102),[6]skilldef!$A:$B,2,FALSE),"-")</f>
        <v>- / -</v>
      </c>
      <c r="M102" s="125" t="str">
        <f t="shared" si="197"/>
        <v>none</v>
      </c>
      <c r="N102" s="126" t="str">
        <f>IFERROR(LEFT(M102,FIND("],",M102)+#REF!),M102)</f>
        <v>none</v>
      </c>
      <c r="O102" s="125" t="e">
        <f t="shared" si="198"/>
        <v>#VALUE!</v>
      </c>
      <c r="P102" s="125">
        <f t="shared" si="199"/>
        <v>4</v>
      </c>
      <c r="Q102" s="125" t="e">
        <f t="shared" si="200"/>
        <v>#VALUE!</v>
      </c>
      <c r="R102" s="125" t="e">
        <f t="shared" si="201"/>
        <v>#VALUE!</v>
      </c>
      <c r="S102" s="125" t="str">
        <f>IFERROR(VLOOKUP(MID(N102,Q102,R102-Q102),[6]skilldef!$C:$D,2,FALSE),"-") &amp; " / " &amp; IFERROR(VLOOKUP(MID(N102,O102,P102-O102),[6]skilldef!$A:$B,2,FALSE),"-")</f>
        <v>- / -</v>
      </c>
      <c r="T102" s="126" t="str">
        <f t="shared" si="202"/>
        <v>none</v>
      </c>
      <c r="U102" s="125" t="e">
        <f t="shared" si="203"/>
        <v>#VALUE!</v>
      </c>
      <c r="V102" s="125">
        <f t="shared" si="204"/>
        <v>4</v>
      </c>
      <c r="W102" s="125" t="e">
        <f t="shared" si="205"/>
        <v>#VALUE!</v>
      </c>
      <c r="X102" s="125" t="e">
        <f t="shared" si="206"/>
        <v>#VALUE!</v>
      </c>
      <c r="Y102" s="125" t="str">
        <f>IFERROR(VLOOKUP(MID(T102,W102,X102-W102),[6]skilldef!$C:$D,2,FALSE),"-") &amp; " / " &amp; IFERROR(VLOOKUP(MID(T102,U102,V102-U102),[6]skilldef!$A:$B,2,FALSE),"-")</f>
        <v>- / -</v>
      </c>
      <c r="Z102" s="123"/>
      <c r="AA102" s="127"/>
      <c r="AB102" s="123"/>
      <c r="AC102" s="49" t="s">
        <v>299</v>
      </c>
    </row>
    <row r="103" spans="1:29" ht="25" customHeight="1" thickBot="1" x14ac:dyDescent="0.2">
      <c r="A103" s="241">
        <v>49014102</v>
      </c>
      <c r="B103" s="122" t="s">
        <v>426</v>
      </c>
      <c r="C103" s="123">
        <v>3</v>
      </c>
      <c r="D103" s="123" t="s">
        <v>126</v>
      </c>
      <c r="E103" s="124" t="s">
        <v>389</v>
      </c>
      <c r="F103" s="124" t="s">
        <v>367</v>
      </c>
      <c r="G103" s="125" t="str">
        <f t="shared" si="192"/>
        <v>[effect:enemy_message, val1:1.2, val2:2.5]</v>
      </c>
      <c r="H103" s="125">
        <f t="shared" si="193"/>
        <v>9</v>
      </c>
      <c r="I103" s="125">
        <f t="shared" si="194"/>
        <v>22</v>
      </c>
      <c r="J103" s="125" t="e">
        <f t="shared" si="195"/>
        <v>#VALUE!</v>
      </c>
      <c r="K103" s="125">
        <f t="shared" si="196"/>
        <v>32</v>
      </c>
      <c r="L103" s="125" t="str">
        <f>IFERROR(VLOOKUP(MID(G103,J103,K103-J103),[6]skilldef!$C:$D,2,FALSE),"-") &amp; " / " &amp; IFERROR(VLOOKUP(MID(G103,H103,I103-H103),[6]skilldef!$A:$B,2,FALSE),"-")</f>
        <v>- / -</v>
      </c>
      <c r="M103" s="125" t="str">
        <f t="shared" si="197"/>
        <v>[effect:spread, val:0.25],[effect:degrade_unit, target:unit_all, turn:2, status:heal, val:0.3, calc:mul, animation:degrade_unit_all_heal]</v>
      </c>
      <c r="N103" s="126" t="str">
        <f>IFERROR(LEFT(M103,FIND("],",M103)+S115),M103)</f>
        <v>[effect:spread, val:0.25]</v>
      </c>
      <c r="O103" s="125">
        <f t="shared" si="198"/>
        <v>9</v>
      </c>
      <c r="P103" s="125">
        <f t="shared" si="199"/>
        <v>15</v>
      </c>
      <c r="Q103" s="125" t="e">
        <f t="shared" si="200"/>
        <v>#VALUE!</v>
      </c>
      <c r="R103" s="125" t="e">
        <f t="shared" si="201"/>
        <v>#VALUE!</v>
      </c>
      <c r="S103" s="125" t="str">
        <f>IFERROR(VLOOKUP(MID(N103,Q103,R103-Q103),[6]skilldef!$C:$D,2,FALSE),"-") &amp; " / " &amp; IFERROR(VLOOKUP(MID(N103,O103,P103-O103),[6]skilldef!$A:$B,2,FALSE),"-")</f>
        <v>- / 全体攻撃</v>
      </c>
      <c r="T103" s="126" t="str">
        <f t="shared" si="202"/>
        <v>[effect:degrade_unit, target:unit_all, turn:2, status:heal, val:0.3, calc:mul, animation:degrade_unit_all_heal]</v>
      </c>
      <c r="U103" s="125">
        <f t="shared" si="203"/>
        <v>9</v>
      </c>
      <c r="V103" s="125">
        <f t="shared" si="204"/>
        <v>21</v>
      </c>
      <c r="W103" s="125">
        <f t="shared" si="205"/>
        <v>30</v>
      </c>
      <c r="X103" s="125">
        <f t="shared" si="206"/>
        <v>38</v>
      </c>
      <c r="Y103" s="125" t="str">
        <f>IFERROR(VLOOKUP(MID(T103,W103,X103-W103),[6]skilldef!$C:$D,2,FALSE),"-") &amp; " / " &amp; IFERROR(VLOOKUP(MID(T103,U103,V103-U103),[6]skilldef!$A:$B,2,FALSE),"-")</f>
        <v>味方全体に / ステータスDOWN</v>
      </c>
      <c r="Z103" s="123"/>
      <c r="AA103" s="127"/>
      <c r="AB103" s="123"/>
    </row>
    <row r="104" spans="1:29" ht="21" customHeight="1" thickBot="1" x14ac:dyDescent="0.2">
      <c r="A104" s="148">
        <v>49014103</v>
      </c>
      <c r="B104" s="230" t="s">
        <v>374</v>
      </c>
      <c r="C104" s="151">
        <v>3</v>
      </c>
      <c r="D104" s="151" t="s">
        <v>126</v>
      </c>
      <c r="E104" s="230" t="s">
        <v>375</v>
      </c>
      <c r="F104" s="117" t="s">
        <v>252</v>
      </c>
      <c r="G104" s="153" t="str">
        <f t="shared" ref="G104:G105" si="222">IFERROR(LEFT(B104,FIND("],",B104)),B104)</f>
        <v>[effect:enemy_message, val1:1.2, val2:1.2]</v>
      </c>
      <c r="H104" s="153">
        <f t="shared" ref="H104:H105" si="223">FIND("effect:",G104)+7</f>
        <v>9</v>
      </c>
      <c r="I104" s="153">
        <f t="shared" ref="I104:I105" si="224">IFERROR(FIND(",",G104),LEN(G104))</f>
        <v>22</v>
      </c>
      <c r="J104" s="153" t="e">
        <f t="shared" ref="J104:J105" si="225">FIND("target:",G104)+7</f>
        <v>#VALUE!</v>
      </c>
      <c r="K104" s="153">
        <f t="shared" ref="K104:K105" si="226">FIND(",",G104,I104+1)</f>
        <v>32</v>
      </c>
      <c r="L104" s="153" t="str">
        <f>IFERROR(VLOOKUP(MID(G104,J104,K104-J104),[6]skilldef!$C:$D,2,FALSE),"-") &amp; " / " &amp; IFERROR(VLOOKUP(MID(G104,H104,I104-H104),[6]skilldef!$A:$B,2,FALSE),"-")</f>
        <v>- / -</v>
      </c>
      <c r="M104" s="153" t="str">
        <f t="shared" ref="M104:M105" si="227">IFERROR(RIGHT(B104,LEN(B104)-FIND("],",B104)-1),"none")</f>
        <v xml:space="preserve">[effect:critical, val:1.1, animation:enemy_critical]    </v>
      </c>
      <c r="N104" s="154" t="str">
        <f>IFERROR(LEFT(M104,FIND("],",M104)+#REF!),M104)</f>
        <v xml:space="preserve">[effect:critical, val:1.1, animation:enemy_critical]    </v>
      </c>
      <c r="O104" s="153">
        <f t="shared" ref="O104:O105" si="228">FIND("effect:",N104)+7</f>
        <v>9</v>
      </c>
      <c r="P104" s="153">
        <f t="shared" ref="P104:P105" si="229">IFERROR(FIND(",",N104),LEN(N104))</f>
        <v>17</v>
      </c>
      <c r="Q104" s="153" t="e">
        <f t="shared" ref="Q104:Q105" si="230">FIND("target:",N104)+7</f>
        <v>#VALUE!</v>
      </c>
      <c r="R104" s="153">
        <f t="shared" ref="R104:R105" si="231">FIND(",",N104,P104+1)</f>
        <v>26</v>
      </c>
      <c r="S104" s="153" t="str">
        <f>IFERROR(VLOOKUP(MID(N104,Q104,R104-Q104),[6]skilldef!$C:$D,2,FALSE),"-") &amp; " / " &amp; IFERROR(VLOOKUP(MID(N104,O104,P104-O104),[6]skilldef!$A:$B,2,FALSE),"-")</f>
        <v>- / 大攻撃</v>
      </c>
      <c r="T104" s="154" t="str">
        <f t="shared" ref="T104:T105" si="232">IFERROR(RIGHT(M104,LEN(M104)-FIND("],",M104)-1),"none")</f>
        <v>none</v>
      </c>
      <c r="U104" s="153" t="e">
        <f t="shared" ref="U104:U105" si="233">FIND("effect:",T104)+7</f>
        <v>#VALUE!</v>
      </c>
      <c r="V104" s="153">
        <f t="shared" ref="V104:V105" si="234">IFERROR(FIND(",",T104),LEN(T104))</f>
        <v>4</v>
      </c>
      <c r="W104" s="153" t="e">
        <f t="shared" ref="W104:W105" si="235">FIND("target:",T104)+7</f>
        <v>#VALUE!</v>
      </c>
      <c r="X104" s="153" t="e">
        <f t="shared" ref="X104:X105" si="236">FIND(",",T104,V104+1)</f>
        <v>#VALUE!</v>
      </c>
      <c r="Y104" s="153" t="str">
        <f>IFERROR(VLOOKUP(MID(T104,W104,X104-W104),[6]skilldef!$C:$D,2,FALSE),"-") &amp; " / " &amp; IFERROR(VLOOKUP(MID(T104,U104,V104-U104),[6]skilldef!$A:$B,2,FALSE),"-")</f>
        <v>- / -</v>
      </c>
      <c r="Z104" s="151"/>
      <c r="AA104" s="155"/>
      <c r="AB104" s="151"/>
      <c r="AC104" s="49" t="s">
        <v>292</v>
      </c>
    </row>
    <row r="105" spans="1:29" ht="21" customHeight="1" thickBot="1" x14ac:dyDescent="0.2">
      <c r="A105" s="268">
        <v>49014104</v>
      </c>
      <c r="B105" s="115" t="s">
        <v>281</v>
      </c>
      <c r="C105" s="116">
        <v>3</v>
      </c>
      <c r="D105" s="116" t="s">
        <v>126</v>
      </c>
      <c r="E105" s="117" t="s">
        <v>334</v>
      </c>
      <c r="F105" s="117" t="s">
        <v>432</v>
      </c>
      <c r="G105" s="118" t="str">
        <f t="shared" si="222"/>
        <v>[effect:enemy_message, val1:1.2, val2:1.2]</v>
      </c>
      <c r="H105" s="118">
        <f t="shared" si="223"/>
        <v>9</v>
      </c>
      <c r="I105" s="118">
        <f t="shared" si="224"/>
        <v>22</v>
      </c>
      <c r="J105" s="118" t="e">
        <f t="shared" si="225"/>
        <v>#VALUE!</v>
      </c>
      <c r="K105" s="118">
        <f t="shared" si="226"/>
        <v>32</v>
      </c>
      <c r="L105" s="118" t="str">
        <f>IFERROR(VLOOKUP(MID(G105,J105,K105-J105),[6]skilldef!$C:$D,2,FALSE),"-") &amp; " / " &amp; IFERROR(VLOOKUP(MID(G105,H105,I105-H105),[6]skilldef!$A:$B,2,FALSE),"-")</f>
        <v>- / -</v>
      </c>
      <c r="M105" s="118" t="str">
        <f t="shared" si="227"/>
        <v>none</v>
      </c>
      <c r="N105" s="119" t="str">
        <f>IFERROR(LEFT(M105,FIND("],",M105)+#REF!),M105)</f>
        <v>none</v>
      </c>
      <c r="O105" s="118" t="e">
        <f t="shared" si="228"/>
        <v>#VALUE!</v>
      </c>
      <c r="P105" s="118">
        <f t="shared" si="229"/>
        <v>4</v>
      </c>
      <c r="Q105" s="118" t="e">
        <f t="shared" si="230"/>
        <v>#VALUE!</v>
      </c>
      <c r="R105" s="118" t="e">
        <f t="shared" si="231"/>
        <v>#VALUE!</v>
      </c>
      <c r="S105" s="118" t="str">
        <f>IFERROR(VLOOKUP(MID(N105,Q105,R105-Q105),[6]skilldef!$C:$D,2,FALSE),"-") &amp; " / " &amp; IFERROR(VLOOKUP(MID(N105,O105,P105-O105),[6]skilldef!$A:$B,2,FALSE),"-")</f>
        <v>- / -</v>
      </c>
      <c r="T105" s="119" t="str">
        <f t="shared" si="232"/>
        <v>none</v>
      </c>
      <c r="U105" s="118" t="e">
        <f t="shared" si="233"/>
        <v>#VALUE!</v>
      </c>
      <c r="V105" s="118">
        <f t="shared" si="234"/>
        <v>4</v>
      </c>
      <c r="W105" s="118" t="e">
        <f t="shared" si="235"/>
        <v>#VALUE!</v>
      </c>
      <c r="X105" s="118" t="e">
        <f t="shared" si="236"/>
        <v>#VALUE!</v>
      </c>
      <c r="Y105" s="118" t="str">
        <f>IFERROR(VLOOKUP(MID(T105,W105,X105-W105),[6]skilldef!$C:$D,2,FALSE),"-") &amp; " / " &amp; IFERROR(VLOOKUP(MID(T105,U105,V105-U105),[6]skilldef!$A:$B,2,FALSE),"-")</f>
        <v>- / -</v>
      </c>
      <c r="Z105" s="116"/>
      <c r="AA105" s="120"/>
      <c r="AB105" s="116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3"/>
  <sheetViews>
    <sheetView showGridLines="0" zoomScale="120" zoomScaleNormal="120" zoomScalePageLayoutView="120" workbookViewId="0">
      <pane ySplit="1" topLeftCell="A66" activePane="bottomLeft" state="frozenSplit"/>
      <selection pane="bottomLeft" activeCell="G32" sqref="G3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thickBot="1" x14ac:dyDescent="0.2">
      <c r="A2" s="114">
        <v>49014001</v>
      </c>
      <c r="B2" s="115">
        <v>0</v>
      </c>
      <c r="C2" s="115" t="s">
        <v>88</v>
      </c>
      <c r="D2" s="115">
        <v>100</v>
      </c>
      <c r="E2" s="115" t="s">
        <v>88</v>
      </c>
      <c r="F2" s="115" t="s">
        <v>88</v>
      </c>
      <c r="G2" s="115" t="s">
        <v>88</v>
      </c>
      <c r="H2" s="115" t="s">
        <v>88</v>
      </c>
      <c r="I2" s="115" t="s">
        <v>88</v>
      </c>
      <c r="J2" s="119">
        <f t="shared" ref="J2:J4" si="0">D2</f>
        <v>100</v>
      </c>
      <c r="K2" s="137"/>
    </row>
    <row r="3" spans="1:11" ht="21" customHeight="1" thickBot="1" x14ac:dyDescent="0.2">
      <c r="A3" s="114">
        <v>49014002</v>
      </c>
      <c r="B3" s="122">
        <v>0</v>
      </c>
      <c r="C3" s="122" t="s">
        <v>88</v>
      </c>
      <c r="D3" s="122">
        <v>80</v>
      </c>
      <c r="E3" s="122" t="s">
        <v>88</v>
      </c>
      <c r="F3" s="122" t="s">
        <v>88</v>
      </c>
      <c r="G3" s="122" t="s">
        <v>88</v>
      </c>
      <c r="H3" s="122" t="s">
        <v>88</v>
      </c>
      <c r="I3" s="122" t="s">
        <v>88</v>
      </c>
      <c r="J3" s="126">
        <f t="shared" si="0"/>
        <v>80</v>
      </c>
      <c r="K3" s="138"/>
    </row>
    <row r="4" spans="1:11" ht="21" customHeight="1" x14ac:dyDescent="0.15">
      <c r="A4" s="139">
        <v>49014003</v>
      </c>
      <c r="B4" s="140">
        <v>0</v>
      </c>
      <c r="C4" s="140" t="s">
        <v>88</v>
      </c>
      <c r="D4" s="140">
        <v>50</v>
      </c>
      <c r="E4" s="140" t="s">
        <v>88</v>
      </c>
      <c r="F4" s="140" t="s">
        <v>88</v>
      </c>
      <c r="G4" s="140" t="s">
        <v>88</v>
      </c>
      <c r="H4" s="140" t="s">
        <v>88</v>
      </c>
      <c r="I4" s="140" t="s">
        <v>88</v>
      </c>
      <c r="J4" s="141">
        <f t="shared" si="0"/>
        <v>50</v>
      </c>
      <c r="K4" s="142"/>
    </row>
    <row r="5" spans="1:11" ht="21" customHeight="1" thickBot="1" x14ac:dyDescent="0.2">
      <c r="A5" s="148">
        <v>49014004</v>
      </c>
      <c r="B5" s="115">
        <v>0</v>
      </c>
      <c r="C5" s="115" t="s">
        <v>88</v>
      </c>
      <c r="D5" s="115">
        <v>100</v>
      </c>
      <c r="E5" s="115" t="s">
        <v>88</v>
      </c>
      <c r="F5" s="115" t="s">
        <v>88</v>
      </c>
      <c r="G5" s="115" t="s">
        <v>88</v>
      </c>
      <c r="H5" s="115" t="s">
        <v>88</v>
      </c>
      <c r="I5" s="115" t="s">
        <v>88</v>
      </c>
      <c r="J5" s="119">
        <f t="shared" ref="J5:J20" si="1">D5</f>
        <v>100</v>
      </c>
      <c r="K5" s="137"/>
    </row>
    <row r="6" spans="1:11" ht="21" customHeight="1" thickBot="1" x14ac:dyDescent="0.2">
      <c r="A6" s="129">
        <v>49014005</v>
      </c>
      <c r="B6" s="122">
        <v>0</v>
      </c>
      <c r="C6" s="122" t="s">
        <v>88</v>
      </c>
      <c r="D6" s="122">
        <v>100</v>
      </c>
      <c r="E6" s="122" t="s">
        <v>88</v>
      </c>
      <c r="F6" s="122" t="s">
        <v>88</v>
      </c>
      <c r="G6" s="122" t="s">
        <v>88</v>
      </c>
      <c r="H6" s="122" t="s">
        <v>88</v>
      </c>
      <c r="I6" s="122" t="s">
        <v>88</v>
      </c>
      <c r="J6" s="126">
        <f t="shared" si="1"/>
        <v>100</v>
      </c>
      <c r="K6" s="138"/>
    </row>
    <row r="7" spans="1:11" ht="21" customHeight="1" x14ac:dyDescent="0.15">
      <c r="A7" s="106">
        <v>49014006</v>
      </c>
      <c r="B7" s="47">
        <v>0</v>
      </c>
      <c r="C7" s="47" t="s">
        <v>88</v>
      </c>
      <c r="D7" s="47">
        <v>100</v>
      </c>
      <c r="E7" s="47" t="s">
        <v>88</v>
      </c>
      <c r="F7" s="47" t="s">
        <v>88</v>
      </c>
      <c r="G7" s="47">
        <v>1</v>
      </c>
      <c r="H7" s="47">
        <v>1</v>
      </c>
      <c r="I7" s="47" t="s">
        <v>88</v>
      </c>
      <c r="J7" s="48">
        <f t="shared" si="1"/>
        <v>100</v>
      </c>
    </row>
    <row r="8" spans="1:11" ht="21" customHeight="1" x14ac:dyDescent="0.15">
      <c r="A8" s="106">
        <v>49014007</v>
      </c>
      <c r="B8" s="47">
        <v>0</v>
      </c>
      <c r="C8" s="47" t="s">
        <v>88</v>
      </c>
      <c r="D8" s="47">
        <v>50</v>
      </c>
      <c r="E8" s="47" t="s">
        <v>88</v>
      </c>
      <c r="F8" s="47" t="s">
        <v>88</v>
      </c>
      <c r="G8" s="47" t="s">
        <v>88</v>
      </c>
      <c r="H8" s="47" t="s">
        <v>88</v>
      </c>
      <c r="I8" s="47" t="s">
        <v>88</v>
      </c>
      <c r="J8" s="48">
        <f t="shared" si="1"/>
        <v>50</v>
      </c>
    </row>
    <row r="9" spans="1:11" ht="21" customHeight="1" x14ac:dyDescent="0.15">
      <c r="A9" s="106">
        <v>49014008</v>
      </c>
      <c r="B9" s="47">
        <v>0</v>
      </c>
      <c r="C9" s="47" t="s">
        <v>88</v>
      </c>
      <c r="D9" s="47">
        <v>100</v>
      </c>
      <c r="E9" s="47" t="s">
        <v>88</v>
      </c>
      <c r="F9" s="47" t="s">
        <v>88</v>
      </c>
      <c r="G9" s="47" t="s">
        <v>88</v>
      </c>
      <c r="H9" s="47" t="s">
        <v>88</v>
      </c>
      <c r="I9" s="47" t="s">
        <v>88</v>
      </c>
      <c r="J9" s="48">
        <f t="shared" si="1"/>
        <v>100</v>
      </c>
      <c r="K9" s="143"/>
    </row>
    <row r="10" spans="1:11" ht="21" customHeight="1" thickBot="1" x14ac:dyDescent="0.2">
      <c r="A10" s="131">
        <v>49014009</v>
      </c>
      <c r="B10" s="115">
        <v>0</v>
      </c>
      <c r="C10" s="115" t="s">
        <v>88</v>
      </c>
      <c r="D10" s="115">
        <v>100</v>
      </c>
      <c r="E10" s="115" t="s">
        <v>88</v>
      </c>
      <c r="F10" s="115" t="s">
        <v>88</v>
      </c>
      <c r="G10" s="115" t="s">
        <v>88</v>
      </c>
      <c r="H10" s="115">
        <v>3</v>
      </c>
      <c r="I10" s="115" t="s">
        <v>88</v>
      </c>
      <c r="J10" s="119">
        <f t="shared" si="1"/>
        <v>100</v>
      </c>
      <c r="K10" s="137"/>
    </row>
    <row r="11" spans="1:11" ht="21" customHeight="1" x14ac:dyDescent="0.15">
      <c r="A11" s="130">
        <v>49014010</v>
      </c>
      <c r="B11" s="108">
        <v>1</v>
      </c>
      <c r="C11" s="140" t="s">
        <v>88</v>
      </c>
      <c r="D11" s="108">
        <v>100</v>
      </c>
      <c r="E11" s="108" t="s">
        <v>88</v>
      </c>
      <c r="F11" s="108" t="s">
        <v>88</v>
      </c>
      <c r="G11" s="108">
        <v>1</v>
      </c>
      <c r="H11" s="108" t="s">
        <v>88</v>
      </c>
      <c r="I11" s="108" t="s">
        <v>88</v>
      </c>
      <c r="J11" s="112">
        <f t="shared" si="1"/>
        <v>100</v>
      </c>
    </row>
    <row r="12" spans="1:11" ht="21" customHeight="1" thickBot="1" x14ac:dyDescent="0.2">
      <c r="A12" s="133">
        <v>49014011</v>
      </c>
      <c r="B12" s="115">
        <v>0</v>
      </c>
      <c r="C12" s="115" t="s">
        <v>88</v>
      </c>
      <c r="D12" s="115">
        <v>100</v>
      </c>
      <c r="E12" s="115" t="s">
        <v>88</v>
      </c>
      <c r="F12" s="115" t="s">
        <v>88</v>
      </c>
      <c r="G12" s="115" t="s">
        <v>88</v>
      </c>
      <c r="H12" s="115" t="s">
        <v>88</v>
      </c>
      <c r="I12" s="115" t="s">
        <v>88</v>
      </c>
      <c r="J12" s="119">
        <f t="shared" si="1"/>
        <v>100</v>
      </c>
      <c r="K12" s="137"/>
    </row>
    <row r="13" spans="1:11" ht="21" customHeight="1" x14ac:dyDescent="0.15">
      <c r="A13" s="132">
        <v>49014012</v>
      </c>
      <c r="B13" s="108">
        <v>1</v>
      </c>
      <c r="C13" s="108" t="s">
        <v>88</v>
      </c>
      <c r="D13" s="108">
        <v>100</v>
      </c>
      <c r="E13" s="108" t="s">
        <v>88</v>
      </c>
      <c r="F13" s="108" t="s">
        <v>88</v>
      </c>
      <c r="G13" s="108">
        <v>1</v>
      </c>
      <c r="H13" s="108" t="s">
        <v>88</v>
      </c>
      <c r="I13" s="108" t="s">
        <v>88</v>
      </c>
      <c r="J13" s="112">
        <f t="shared" si="1"/>
        <v>100</v>
      </c>
    </row>
    <row r="14" spans="1:11" ht="21" customHeight="1" x14ac:dyDescent="0.15">
      <c r="A14" s="132">
        <v>49014013</v>
      </c>
      <c r="B14" s="47">
        <v>0</v>
      </c>
      <c r="C14" s="47" t="s">
        <v>88</v>
      </c>
      <c r="D14" s="47">
        <v>100</v>
      </c>
      <c r="E14" s="47" t="s">
        <v>88</v>
      </c>
      <c r="F14" s="47" t="s">
        <v>88</v>
      </c>
      <c r="G14" s="47">
        <v>1</v>
      </c>
      <c r="H14" s="47">
        <v>1</v>
      </c>
      <c r="I14" s="47" t="s">
        <v>88</v>
      </c>
      <c r="J14" s="48">
        <f t="shared" si="1"/>
        <v>100</v>
      </c>
    </row>
    <row r="15" spans="1:11" ht="21" customHeight="1" x14ac:dyDescent="0.15">
      <c r="A15" s="132">
        <v>49014014</v>
      </c>
      <c r="B15" s="47">
        <v>0</v>
      </c>
      <c r="C15" s="47" t="s">
        <v>88</v>
      </c>
      <c r="D15" s="47">
        <v>80</v>
      </c>
      <c r="E15" s="47" t="s">
        <v>88</v>
      </c>
      <c r="F15" s="47" t="s">
        <v>88</v>
      </c>
      <c r="G15" s="47" t="s">
        <v>88</v>
      </c>
      <c r="H15" s="47" t="s">
        <v>88</v>
      </c>
      <c r="I15" s="47" t="s">
        <v>88</v>
      </c>
      <c r="J15" s="48">
        <f t="shared" si="1"/>
        <v>80</v>
      </c>
    </row>
    <row r="16" spans="1:11" ht="21" customHeight="1" x14ac:dyDescent="0.15">
      <c r="A16" s="132">
        <v>49014015</v>
      </c>
      <c r="B16" s="47">
        <v>0</v>
      </c>
      <c r="C16" s="47">
        <v>20</v>
      </c>
      <c r="D16" s="47">
        <v>100</v>
      </c>
      <c r="E16" s="47" t="s">
        <v>88</v>
      </c>
      <c r="F16" s="47" t="s">
        <v>88</v>
      </c>
      <c r="G16" s="47" t="s">
        <v>88</v>
      </c>
      <c r="H16" s="47">
        <v>2</v>
      </c>
      <c r="I16" s="47" t="s">
        <v>88</v>
      </c>
      <c r="J16" s="48">
        <f t="shared" si="1"/>
        <v>100</v>
      </c>
      <c r="K16" s="143"/>
    </row>
    <row r="17" spans="1:11" ht="21" customHeight="1" thickBot="1" x14ac:dyDescent="0.2">
      <c r="A17" s="135">
        <v>49014016</v>
      </c>
      <c r="B17" s="115">
        <v>0</v>
      </c>
      <c r="C17" s="115">
        <v>30</v>
      </c>
      <c r="D17" s="115">
        <v>100</v>
      </c>
      <c r="E17" s="115" t="s">
        <v>88</v>
      </c>
      <c r="F17" s="115" t="s">
        <v>88</v>
      </c>
      <c r="G17" s="115" t="s">
        <v>88</v>
      </c>
      <c r="H17" s="115">
        <v>3</v>
      </c>
      <c r="I17" s="115" t="s">
        <v>88</v>
      </c>
      <c r="J17" s="119">
        <f t="shared" si="1"/>
        <v>100</v>
      </c>
      <c r="K17" s="137"/>
    </row>
    <row r="18" spans="1:11" ht="21" customHeight="1" x14ac:dyDescent="0.15">
      <c r="A18" s="156">
        <v>49014017</v>
      </c>
      <c r="B18" s="108">
        <v>1</v>
      </c>
      <c r="C18" s="108" t="s">
        <v>88</v>
      </c>
      <c r="D18" s="108">
        <v>100</v>
      </c>
      <c r="E18" s="108" t="s">
        <v>88</v>
      </c>
      <c r="F18" s="108" t="s">
        <v>88</v>
      </c>
      <c r="G18" s="108">
        <v>1</v>
      </c>
      <c r="H18" s="108" t="s">
        <v>88</v>
      </c>
      <c r="I18" s="108" t="s">
        <v>88</v>
      </c>
      <c r="J18" s="112">
        <f t="shared" si="1"/>
        <v>100</v>
      </c>
      <c r="K18" s="143"/>
    </row>
    <row r="19" spans="1:11" ht="21" customHeight="1" thickBot="1" x14ac:dyDescent="0.2">
      <c r="A19" s="150">
        <v>49014018</v>
      </c>
      <c r="B19" s="115">
        <v>0</v>
      </c>
      <c r="C19" s="115" t="s">
        <v>88</v>
      </c>
      <c r="D19" s="115">
        <v>100</v>
      </c>
      <c r="E19" s="115" t="s">
        <v>88</v>
      </c>
      <c r="F19" s="115" t="s">
        <v>88</v>
      </c>
      <c r="G19" s="115" t="s">
        <v>88</v>
      </c>
      <c r="H19" s="115" t="s">
        <v>88</v>
      </c>
      <c r="I19" s="115" t="s">
        <v>88</v>
      </c>
      <c r="J19" s="119">
        <f t="shared" si="1"/>
        <v>100</v>
      </c>
      <c r="K19" s="143"/>
    </row>
    <row r="20" spans="1:11" ht="21" customHeight="1" x14ac:dyDescent="0.15">
      <c r="A20" s="134">
        <v>49014019</v>
      </c>
      <c r="B20" s="108">
        <v>1</v>
      </c>
      <c r="C20" s="108" t="s">
        <v>88</v>
      </c>
      <c r="D20" s="108">
        <v>100</v>
      </c>
      <c r="E20" s="108" t="s">
        <v>88</v>
      </c>
      <c r="F20" s="108" t="s">
        <v>88</v>
      </c>
      <c r="G20" s="108">
        <v>1</v>
      </c>
      <c r="H20" s="108" t="s">
        <v>88</v>
      </c>
      <c r="I20" s="108" t="s">
        <v>88</v>
      </c>
      <c r="J20" s="112">
        <f t="shared" si="1"/>
        <v>100</v>
      </c>
    </row>
    <row r="21" spans="1:11" ht="21" customHeight="1" x14ac:dyDescent="0.15">
      <c r="A21" s="134">
        <v>49014020</v>
      </c>
      <c r="B21" s="47">
        <v>0</v>
      </c>
      <c r="C21" s="47">
        <v>10</v>
      </c>
      <c r="D21" s="47">
        <v>100</v>
      </c>
      <c r="E21" s="47" t="s">
        <v>88</v>
      </c>
      <c r="F21" s="47" t="s">
        <v>88</v>
      </c>
      <c r="G21" s="47" t="s">
        <v>88</v>
      </c>
      <c r="H21" s="47" t="s">
        <v>88</v>
      </c>
      <c r="I21" s="47" t="s">
        <v>88</v>
      </c>
      <c r="J21" s="48">
        <f t="shared" ref="J21:J31" si="2">D21</f>
        <v>100</v>
      </c>
    </row>
    <row r="22" spans="1:11" ht="21" customHeight="1" x14ac:dyDescent="0.15">
      <c r="A22" s="134">
        <v>49014021</v>
      </c>
      <c r="B22" s="47">
        <v>0</v>
      </c>
      <c r="C22" s="47">
        <v>20</v>
      </c>
      <c r="D22" s="47">
        <v>100</v>
      </c>
      <c r="E22" s="47" t="s">
        <v>88</v>
      </c>
      <c r="F22" s="47" t="s">
        <v>88</v>
      </c>
      <c r="G22" s="47" t="s">
        <v>88</v>
      </c>
      <c r="H22" s="47">
        <v>2</v>
      </c>
      <c r="I22" s="47" t="s">
        <v>88</v>
      </c>
      <c r="J22" s="48">
        <f t="shared" si="2"/>
        <v>100</v>
      </c>
      <c r="K22" s="143"/>
    </row>
    <row r="23" spans="1:11" ht="21" customHeight="1" thickBot="1" x14ac:dyDescent="0.2">
      <c r="A23" s="136">
        <v>49014022</v>
      </c>
      <c r="B23" s="115">
        <v>0</v>
      </c>
      <c r="C23" s="115">
        <v>30</v>
      </c>
      <c r="D23" s="115">
        <v>100</v>
      </c>
      <c r="E23" s="115" t="s">
        <v>88</v>
      </c>
      <c r="F23" s="115" t="s">
        <v>88</v>
      </c>
      <c r="G23" s="115" t="s">
        <v>88</v>
      </c>
      <c r="H23" s="115">
        <v>3</v>
      </c>
      <c r="I23" s="115" t="s">
        <v>88</v>
      </c>
      <c r="J23" s="119">
        <f t="shared" si="2"/>
        <v>100</v>
      </c>
      <c r="K23" s="137"/>
    </row>
    <row r="24" spans="1:11" ht="21" customHeight="1" x14ac:dyDescent="0.15">
      <c r="A24" s="134">
        <v>49014023</v>
      </c>
      <c r="B24" s="108">
        <v>1</v>
      </c>
      <c r="C24" s="108" t="s">
        <v>88</v>
      </c>
      <c r="D24" s="108">
        <v>100</v>
      </c>
      <c r="E24" s="108" t="s">
        <v>88</v>
      </c>
      <c r="F24" s="108" t="s">
        <v>88</v>
      </c>
      <c r="G24" s="108">
        <v>1</v>
      </c>
      <c r="H24" s="108" t="s">
        <v>88</v>
      </c>
      <c r="I24" s="108" t="s">
        <v>88</v>
      </c>
      <c r="J24" s="112">
        <f t="shared" si="2"/>
        <v>100</v>
      </c>
    </row>
    <row r="25" spans="1:11" ht="21" customHeight="1" x14ac:dyDescent="0.15">
      <c r="A25" s="134">
        <v>49014024</v>
      </c>
      <c r="B25" s="47">
        <v>0</v>
      </c>
      <c r="C25" s="47">
        <v>50</v>
      </c>
      <c r="D25" s="47">
        <v>100</v>
      </c>
      <c r="E25" s="47" t="s">
        <v>88</v>
      </c>
      <c r="F25" s="47" t="s">
        <v>88</v>
      </c>
      <c r="G25" s="47">
        <v>1</v>
      </c>
      <c r="H25" s="47">
        <v>2</v>
      </c>
      <c r="I25" s="47" t="s">
        <v>88</v>
      </c>
      <c r="J25" s="48">
        <f t="shared" si="2"/>
        <v>100</v>
      </c>
    </row>
    <row r="26" spans="1:11" ht="21" customHeight="1" x14ac:dyDescent="0.15">
      <c r="A26" s="134">
        <v>49014025</v>
      </c>
      <c r="B26" s="47">
        <v>0</v>
      </c>
      <c r="C26" s="47">
        <v>30</v>
      </c>
      <c r="D26" s="47">
        <v>30</v>
      </c>
      <c r="E26" s="47" t="s">
        <v>88</v>
      </c>
      <c r="F26" s="47" t="s">
        <v>88</v>
      </c>
      <c r="G26" s="47" t="s">
        <v>88</v>
      </c>
      <c r="H26" s="47" t="s">
        <v>88</v>
      </c>
      <c r="I26" s="47" t="s">
        <v>88</v>
      </c>
      <c r="J26" s="48">
        <f t="shared" si="2"/>
        <v>30</v>
      </c>
    </row>
    <row r="27" spans="1:11" ht="21" customHeight="1" x14ac:dyDescent="0.15">
      <c r="A27" s="134">
        <v>49014026</v>
      </c>
      <c r="B27" s="47">
        <v>0</v>
      </c>
      <c r="C27" s="47">
        <v>20</v>
      </c>
      <c r="D27" s="47">
        <v>50</v>
      </c>
      <c r="E27" s="47" t="s">
        <v>88</v>
      </c>
      <c r="F27" s="47" t="s">
        <v>88</v>
      </c>
      <c r="G27" s="47" t="s">
        <v>88</v>
      </c>
      <c r="H27" s="47" t="s">
        <v>88</v>
      </c>
      <c r="I27" s="47" t="s">
        <v>88</v>
      </c>
      <c r="J27" s="48">
        <f t="shared" si="2"/>
        <v>50</v>
      </c>
    </row>
    <row r="28" spans="1:11" ht="21" customHeight="1" x14ac:dyDescent="0.15">
      <c r="A28" s="134">
        <v>49014027</v>
      </c>
      <c r="B28" s="47">
        <v>0</v>
      </c>
      <c r="C28" s="47">
        <v>10</v>
      </c>
      <c r="D28" s="47">
        <v>100</v>
      </c>
      <c r="E28" s="47" t="s">
        <v>88</v>
      </c>
      <c r="F28" s="47" t="s">
        <v>88</v>
      </c>
      <c r="G28" s="47" t="s">
        <v>88</v>
      </c>
      <c r="H28" s="47" t="s">
        <v>88</v>
      </c>
      <c r="I28" s="47" t="s">
        <v>88</v>
      </c>
      <c r="J28" s="48">
        <f t="shared" si="2"/>
        <v>100</v>
      </c>
      <c r="K28" s="143"/>
    </row>
    <row r="29" spans="1:11" ht="21" customHeight="1" thickBot="1" x14ac:dyDescent="0.2">
      <c r="A29" s="136">
        <v>49014028</v>
      </c>
      <c r="B29" s="115">
        <v>0</v>
      </c>
      <c r="C29" s="115">
        <v>40</v>
      </c>
      <c r="D29" s="115">
        <v>100</v>
      </c>
      <c r="E29" s="115" t="s">
        <v>88</v>
      </c>
      <c r="F29" s="115" t="s">
        <v>88</v>
      </c>
      <c r="G29" s="115" t="s">
        <v>88</v>
      </c>
      <c r="H29" s="115">
        <v>4</v>
      </c>
      <c r="I29" s="115" t="s">
        <v>88</v>
      </c>
      <c r="J29" s="119">
        <f t="shared" si="2"/>
        <v>100</v>
      </c>
      <c r="K29" s="137"/>
    </row>
    <row r="30" spans="1:11" ht="21" customHeight="1" x14ac:dyDescent="0.15">
      <c r="A30" s="134">
        <v>49014029</v>
      </c>
      <c r="B30" s="108">
        <v>1</v>
      </c>
      <c r="C30" s="108" t="s">
        <v>88</v>
      </c>
      <c r="D30" s="108">
        <v>100</v>
      </c>
      <c r="E30" s="108" t="s">
        <v>88</v>
      </c>
      <c r="F30" s="108" t="s">
        <v>88</v>
      </c>
      <c r="G30" s="108">
        <v>1</v>
      </c>
      <c r="H30" s="108" t="s">
        <v>88</v>
      </c>
      <c r="I30" s="108" t="s">
        <v>88</v>
      </c>
      <c r="J30" s="112">
        <f t="shared" si="2"/>
        <v>100</v>
      </c>
    </row>
    <row r="31" spans="1:11" ht="21" customHeight="1" x14ac:dyDescent="0.15">
      <c r="A31" s="134">
        <v>49014030</v>
      </c>
      <c r="B31" s="47">
        <v>0</v>
      </c>
      <c r="C31" s="47">
        <v>30</v>
      </c>
      <c r="D31" s="47">
        <v>100</v>
      </c>
      <c r="E31" s="47" t="s">
        <v>88</v>
      </c>
      <c r="F31" s="47" t="s">
        <v>88</v>
      </c>
      <c r="G31" s="47">
        <v>2</v>
      </c>
      <c r="H31" s="47">
        <v>1</v>
      </c>
      <c r="I31" s="47" t="s">
        <v>88</v>
      </c>
      <c r="J31" s="48">
        <f t="shared" si="2"/>
        <v>100</v>
      </c>
    </row>
    <row r="32" spans="1:11" ht="21" customHeight="1" x14ac:dyDescent="0.15">
      <c r="A32" s="134">
        <v>49014031</v>
      </c>
      <c r="B32" s="47">
        <v>0</v>
      </c>
      <c r="C32" s="47">
        <v>40</v>
      </c>
      <c r="D32" s="47">
        <v>100</v>
      </c>
      <c r="E32" s="47" t="s">
        <v>88</v>
      </c>
      <c r="F32" s="47" t="s">
        <v>88</v>
      </c>
      <c r="G32" s="47">
        <v>2</v>
      </c>
      <c r="H32" s="47">
        <v>2</v>
      </c>
      <c r="I32" s="47" t="s">
        <v>88</v>
      </c>
      <c r="J32" s="48">
        <f t="shared" ref="J32" si="3">D32</f>
        <v>100</v>
      </c>
    </row>
    <row r="33" spans="1:11" ht="21" customHeight="1" x14ac:dyDescent="0.15">
      <c r="A33" s="134">
        <v>49014032</v>
      </c>
      <c r="B33" s="47">
        <v>0</v>
      </c>
      <c r="C33" s="47">
        <v>50</v>
      </c>
      <c r="D33" s="47">
        <v>100</v>
      </c>
      <c r="E33" s="47" t="s">
        <v>88</v>
      </c>
      <c r="F33" s="47" t="s">
        <v>88</v>
      </c>
      <c r="G33" s="47">
        <v>1</v>
      </c>
      <c r="H33" s="47">
        <v>3</v>
      </c>
      <c r="I33" s="47" t="s">
        <v>88</v>
      </c>
      <c r="J33" s="48">
        <f t="shared" ref="J33" si="4">D33</f>
        <v>100</v>
      </c>
      <c r="K33" s="143"/>
    </row>
    <row r="34" spans="1:11" ht="21" customHeight="1" x14ac:dyDescent="0.15">
      <c r="A34" s="134">
        <v>49014033</v>
      </c>
      <c r="B34" s="47">
        <v>0</v>
      </c>
      <c r="C34" s="47">
        <v>60</v>
      </c>
      <c r="D34" s="47">
        <v>100</v>
      </c>
      <c r="E34" s="47" t="s">
        <v>88</v>
      </c>
      <c r="F34" s="47" t="s">
        <v>88</v>
      </c>
      <c r="G34" s="47">
        <v>1</v>
      </c>
      <c r="H34" s="47">
        <v>4</v>
      </c>
      <c r="I34" s="47" t="s">
        <v>88</v>
      </c>
      <c r="J34" s="48">
        <f t="shared" ref="J34:J72" si="5">D34</f>
        <v>100</v>
      </c>
      <c r="K34" s="143"/>
    </row>
    <row r="35" spans="1:11" ht="21" customHeight="1" x14ac:dyDescent="0.15">
      <c r="A35" s="134">
        <v>49014034</v>
      </c>
      <c r="B35" s="47">
        <v>0</v>
      </c>
      <c r="C35" s="47">
        <v>65</v>
      </c>
      <c r="D35" s="47">
        <v>100</v>
      </c>
      <c r="E35" s="47" t="s">
        <v>88</v>
      </c>
      <c r="F35" s="47" t="s">
        <v>88</v>
      </c>
      <c r="G35" s="47">
        <v>1</v>
      </c>
      <c r="H35" s="47">
        <v>7</v>
      </c>
      <c r="I35" s="47" t="s">
        <v>88</v>
      </c>
      <c r="J35" s="48">
        <f t="shared" si="5"/>
        <v>100</v>
      </c>
      <c r="K35" s="143"/>
    </row>
    <row r="36" spans="1:11" ht="21" customHeight="1" x14ac:dyDescent="0.15">
      <c r="A36" s="134">
        <v>49014035</v>
      </c>
      <c r="B36" s="47">
        <v>0</v>
      </c>
      <c r="C36" s="47">
        <v>70</v>
      </c>
      <c r="D36" s="47">
        <v>100</v>
      </c>
      <c r="E36" s="47" t="s">
        <v>88</v>
      </c>
      <c r="F36" s="47" t="s">
        <v>88</v>
      </c>
      <c r="G36" s="47">
        <v>1</v>
      </c>
      <c r="H36" s="47">
        <v>8</v>
      </c>
      <c r="I36" s="47" t="s">
        <v>88</v>
      </c>
      <c r="J36" s="48">
        <f t="shared" ref="J36" si="6">D36</f>
        <v>100</v>
      </c>
      <c r="K36" s="143"/>
    </row>
    <row r="37" spans="1:11" ht="21" customHeight="1" x14ac:dyDescent="0.15">
      <c r="A37" s="134">
        <v>49014036</v>
      </c>
      <c r="B37" s="47">
        <v>0</v>
      </c>
      <c r="C37" s="47">
        <v>100</v>
      </c>
      <c r="D37" s="47">
        <v>100</v>
      </c>
      <c r="E37" s="47" t="s">
        <v>88</v>
      </c>
      <c r="F37" s="47" t="s">
        <v>88</v>
      </c>
      <c r="G37" s="47" t="s">
        <v>88</v>
      </c>
      <c r="H37" s="47">
        <v>10</v>
      </c>
      <c r="I37" s="47" t="s">
        <v>88</v>
      </c>
      <c r="J37" s="48">
        <f t="shared" si="5"/>
        <v>100</v>
      </c>
      <c r="K37" s="143"/>
    </row>
    <row r="38" spans="1:11" ht="21" customHeight="1" x14ac:dyDescent="0.15">
      <c r="A38" s="134">
        <v>49014037</v>
      </c>
      <c r="B38" s="47">
        <v>0</v>
      </c>
      <c r="C38" s="47">
        <v>10</v>
      </c>
      <c r="D38" s="47">
        <v>100</v>
      </c>
      <c r="E38" s="47" t="s">
        <v>88</v>
      </c>
      <c r="F38" s="47" t="s">
        <v>88</v>
      </c>
      <c r="G38" s="47">
        <v>5000</v>
      </c>
      <c r="H38" s="47">
        <v>1</v>
      </c>
      <c r="I38" s="47" t="s">
        <v>88</v>
      </c>
      <c r="J38" s="48">
        <f t="shared" ref="J38" si="7">D38</f>
        <v>100</v>
      </c>
      <c r="K38" s="143"/>
    </row>
    <row r="39" spans="1:11" ht="21" customHeight="1" x14ac:dyDescent="0.15">
      <c r="A39" s="134">
        <v>49014038</v>
      </c>
      <c r="B39" s="47">
        <v>0</v>
      </c>
      <c r="C39" s="47">
        <v>20</v>
      </c>
      <c r="D39" s="47">
        <v>100</v>
      </c>
      <c r="E39" s="47" t="s">
        <v>88</v>
      </c>
      <c r="F39" s="47" t="s">
        <v>88</v>
      </c>
      <c r="G39" s="47">
        <v>5000</v>
      </c>
      <c r="H39" s="47">
        <v>2</v>
      </c>
      <c r="I39" s="47" t="s">
        <v>88</v>
      </c>
      <c r="J39" s="48">
        <f t="shared" ref="J39" si="8">D39</f>
        <v>100</v>
      </c>
      <c r="K39" s="143"/>
    </row>
    <row r="40" spans="1:11" ht="21" customHeight="1" thickBot="1" x14ac:dyDescent="0.2">
      <c r="A40" s="136">
        <v>49014039</v>
      </c>
      <c r="B40" s="115">
        <v>0</v>
      </c>
      <c r="C40" s="115" t="s">
        <v>88</v>
      </c>
      <c r="D40" s="115">
        <v>100</v>
      </c>
      <c r="E40" s="115" t="s">
        <v>88</v>
      </c>
      <c r="F40" s="115" t="s">
        <v>88</v>
      </c>
      <c r="G40" s="115">
        <v>0</v>
      </c>
      <c r="H40" s="115" t="s">
        <v>88</v>
      </c>
      <c r="I40" s="115">
        <v>0</v>
      </c>
      <c r="J40" s="119">
        <f t="shared" si="5"/>
        <v>100</v>
      </c>
      <c r="K40" s="137"/>
    </row>
    <row r="41" spans="1:11" ht="21" customHeight="1" thickBot="1" x14ac:dyDescent="0.2">
      <c r="A41" s="114">
        <v>49014040</v>
      </c>
      <c r="B41" s="115">
        <v>0</v>
      </c>
      <c r="C41" s="115" t="s">
        <v>88</v>
      </c>
      <c r="D41" s="115">
        <v>100</v>
      </c>
      <c r="E41" s="115" t="s">
        <v>88</v>
      </c>
      <c r="F41" s="115" t="s">
        <v>88</v>
      </c>
      <c r="G41" s="115" t="s">
        <v>88</v>
      </c>
      <c r="H41" s="115" t="s">
        <v>88</v>
      </c>
      <c r="I41" s="115" t="s">
        <v>88</v>
      </c>
      <c r="J41" s="119">
        <f t="shared" si="5"/>
        <v>100</v>
      </c>
      <c r="K41" s="137"/>
    </row>
    <row r="42" spans="1:11" ht="21" customHeight="1" thickBot="1" x14ac:dyDescent="0.2">
      <c r="A42" s="121">
        <v>49014041</v>
      </c>
      <c r="B42" s="122">
        <v>0</v>
      </c>
      <c r="C42" s="122" t="s">
        <v>88</v>
      </c>
      <c r="D42" s="122">
        <v>80</v>
      </c>
      <c r="E42" s="122" t="s">
        <v>88</v>
      </c>
      <c r="F42" s="122" t="s">
        <v>88</v>
      </c>
      <c r="G42" s="122" t="s">
        <v>88</v>
      </c>
      <c r="H42" s="122" t="s">
        <v>88</v>
      </c>
      <c r="I42" s="122" t="s">
        <v>88</v>
      </c>
      <c r="J42" s="126">
        <f t="shared" si="5"/>
        <v>80</v>
      </c>
      <c r="K42" s="138"/>
    </row>
    <row r="43" spans="1:11" ht="21" customHeight="1" x14ac:dyDescent="0.15">
      <c r="A43" s="107">
        <v>49014042</v>
      </c>
      <c r="B43" s="140">
        <v>0</v>
      </c>
      <c r="C43" s="140" t="s">
        <v>88</v>
      </c>
      <c r="D43" s="140">
        <v>50</v>
      </c>
      <c r="E43" s="140" t="s">
        <v>88</v>
      </c>
      <c r="F43" s="140" t="s">
        <v>88</v>
      </c>
      <c r="G43" s="140" t="s">
        <v>88</v>
      </c>
      <c r="H43" s="140" t="s">
        <v>88</v>
      </c>
      <c r="I43" s="140" t="s">
        <v>88</v>
      </c>
      <c r="J43" s="141">
        <f t="shared" si="5"/>
        <v>50</v>
      </c>
      <c r="K43" s="142"/>
    </row>
    <row r="44" spans="1:11" ht="21" customHeight="1" thickBot="1" x14ac:dyDescent="0.2">
      <c r="A44" s="148">
        <v>49014043</v>
      </c>
      <c r="B44" s="115">
        <v>0</v>
      </c>
      <c r="C44" s="115" t="s">
        <v>88</v>
      </c>
      <c r="D44" s="115">
        <v>100</v>
      </c>
      <c r="E44" s="115" t="s">
        <v>88</v>
      </c>
      <c r="F44" s="115" t="s">
        <v>88</v>
      </c>
      <c r="G44" s="115" t="s">
        <v>88</v>
      </c>
      <c r="H44" s="115" t="s">
        <v>88</v>
      </c>
      <c r="I44" s="115" t="s">
        <v>88</v>
      </c>
      <c r="J44" s="119">
        <f t="shared" si="5"/>
        <v>100</v>
      </c>
      <c r="K44" s="137"/>
    </row>
    <row r="45" spans="1:11" ht="21" customHeight="1" thickBot="1" x14ac:dyDescent="0.2">
      <c r="A45" s="129">
        <v>49014044</v>
      </c>
      <c r="B45" s="122">
        <v>0</v>
      </c>
      <c r="C45" s="122" t="s">
        <v>88</v>
      </c>
      <c r="D45" s="122">
        <v>100</v>
      </c>
      <c r="E45" s="122" t="s">
        <v>88</v>
      </c>
      <c r="F45" s="122" t="s">
        <v>88</v>
      </c>
      <c r="G45" s="122" t="s">
        <v>88</v>
      </c>
      <c r="H45" s="122" t="s">
        <v>88</v>
      </c>
      <c r="I45" s="122" t="s">
        <v>88</v>
      </c>
      <c r="J45" s="126">
        <f t="shared" si="5"/>
        <v>100</v>
      </c>
      <c r="K45" s="138"/>
    </row>
    <row r="46" spans="1:11" ht="21" customHeight="1" x14ac:dyDescent="0.15">
      <c r="A46" s="106">
        <v>49014045</v>
      </c>
      <c r="B46" s="47">
        <v>0</v>
      </c>
      <c r="C46" s="47" t="s">
        <v>88</v>
      </c>
      <c r="D46" s="47">
        <v>100</v>
      </c>
      <c r="E46" s="47" t="s">
        <v>88</v>
      </c>
      <c r="F46" s="47" t="s">
        <v>88</v>
      </c>
      <c r="G46" s="47">
        <v>1</v>
      </c>
      <c r="H46" s="47">
        <v>1</v>
      </c>
      <c r="I46" s="47" t="s">
        <v>88</v>
      </c>
      <c r="J46" s="48">
        <f t="shared" si="5"/>
        <v>100</v>
      </c>
    </row>
    <row r="47" spans="1:11" ht="21" customHeight="1" x14ac:dyDescent="0.15">
      <c r="A47" s="106">
        <v>49014046</v>
      </c>
      <c r="B47" s="47">
        <v>0</v>
      </c>
      <c r="C47" s="47" t="s">
        <v>88</v>
      </c>
      <c r="D47" s="47">
        <v>50</v>
      </c>
      <c r="E47" s="47" t="s">
        <v>88</v>
      </c>
      <c r="F47" s="47" t="s">
        <v>88</v>
      </c>
      <c r="G47" s="47" t="s">
        <v>88</v>
      </c>
      <c r="H47" s="47" t="s">
        <v>88</v>
      </c>
      <c r="I47" s="47" t="s">
        <v>88</v>
      </c>
      <c r="J47" s="48">
        <f t="shared" si="5"/>
        <v>50</v>
      </c>
    </row>
    <row r="48" spans="1:11" ht="21" customHeight="1" x14ac:dyDescent="0.15">
      <c r="A48" s="106">
        <v>49014047</v>
      </c>
      <c r="B48" s="47">
        <v>0</v>
      </c>
      <c r="C48" s="47" t="s">
        <v>88</v>
      </c>
      <c r="D48" s="47">
        <v>100</v>
      </c>
      <c r="E48" s="47" t="s">
        <v>88</v>
      </c>
      <c r="F48" s="47" t="s">
        <v>88</v>
      </c>
      <c r="G48" s="47" t="s">
        <v>88</v>
      </c>
      <c r="H48" s="47" t="s">
        <v>88</v>
      </c>
      <c r="I48" s="47" t="s">
        <v>88</v>
      </c>
      <c r="J48" s="48">
        <f t="shared" si="5"/>
        <v>100</v>
      </c>
      <c r="K48" s="143"/>
    </row>
    <row r="49" spans="1:11" ht="21" customHeight="1" thickBot="1" x14ac:dyDescent="0.2">
      <c r="A49" s="131">
        <v>49014048</v>
      </c>
      <c r="B49" s="115">
        <v>0</v>
      </c>
      <c r="C49" s="115" t="s">
        <v>88</v>
      </c>
      <c r="D49" s="115">
        <v>100</v>
      </c>
      <c r="E49" s="115" t="s">
        <v>88</v>
      </c>
      <c r="F49" s="115" t="s">
        <v>88</v>
      </c>
      <c r="G49" s="115" t="s">
        <v>88</v>
      </c>
      <c r="H49" s="115">
        <v>3</v>
      </c>
      <c r="I49" s="115" t="s">
        <v>88</v>
      </c>
      <c r="J49" s="119">
        <f t="shared" si="5"/>
        <v>100</v>
      </c>
      <c r="K49" s="137"/>
    </row>
    <row r="50" spans="1:11" ht="21" customHeight="1" x14ac:dyDescent="0.15">
      <c r="A50" s="130">
        <v>49014049</v>
      </c>
      <c r="B50" s="108">
        <v>1</v>
      </c>
      <c r="C50" s="108" t="s">
        <v>88</v>
      </c>
      <c r="D50" s="108">
        <v>100</v>
      </c>
      <c r="E50" s="108" t="s">
        <v>88</v>
      </c>
      <c r="F50" s="108" t="s">
        <v>88</v>
      </c>
      <c r="G50" s="108">
        <v>1</v>
      </c>
      <c r="H50" s="108" t="s">
        <v>88</v>
      </c>
      <c r="I50" s="108" t="s">
        <v>88</v>
      </c>
      <c r="J50" s="112">
        <f t="shared" si="5"/>
        <v>100</v>
      </c>
    </row>
    <row r="51" spans="1:11" ht="21" customHeight="1" thickBot="1" x14ac:dyDescent="0.2">
      <c r="A51" s="133">
        <v>49014050</v>
      </c>
      <c r="B51" s="115">
        <v>0</v>
      </c>
      <c r="C51" s="115" t="s">
        <v>88</v>
      </c>
      <c r="D51" s="115">
        <v>100</v>
      </c>
      <c r="E51" s="115" t="s">
        <v>88</v>
      </c>
      <c r="F51" s="115" t="s">
        <v>88</v>
      </c>
      <c r="G51" s="115" t="s">
        <v>88</v>
      </c>
      <c r="H51" s="115" t="s">
        <v>88</v>
      </c>
      <c r="I51" s="115" t="s">
        <v>88</v>
      </c>
      <c r="J51" s="119">
        <f t="shared" si="5"/>
        <v>100</v>
      </c>
      <c r="K51" s="137"/>
    </row>
    <row r="52" spans="1:11" ht="21" customHeight="1" x14ac:dyDescent="0.15">
      <c r="A52" s="132">
        <v>49014051</v>
      </c>
      <c r="B52" s="108">
        <v>1</v>
      </c>
      <c r="C52" s="108" t="s">
        <v>88</v>
      </c>
      <c r="D52" s="108">
        <v>100</v>
      </c>
      <c r="E52" s="108" t="s">
        <v>88</v>
      </c>
      <c r="F52" s="108" t="s">
        <v>88</v>
      </c>
      <c r="G52" s="108">
        <v>1</v>
      </c>
      <c r="H52" s="108" t="s">
        <v>88</v>
      </c>
      <c r="I52" s="108" t="s">
        <v>88</v>
      </c>
      <c r="J52" s="112">
        <f t="shared" si="5"/>
        <v>100</v>
      </c>
    </row>
    <row r="53" spans="1:11" ht="21" customHeight="1" x14ac:dyDescent="0.15">
      <c r="A53" s="132">
        <v>49014052</v>
      </c>
      <c r="B53" s="47">
        <v>0</v>
      </c>
      <c r="C53" s="47" t="s">
        <v>88</v>
      </c>
      <c r="D53" s="47">
        <v>100</v>
      </c>
      <c r="E53" s="47" t="s">
        <v>88</v>
      </c>
      <c r="F53" s="47" t="s">
        <v>88</v>
      </c>
      <c r="G53" s="47">
        <v>1</v>
      </c>
      <c r="H53" s="47">
        <v>1</v>
      </c>
      <c r="I53" s="47" t="s">
        <v>88</v>
      </c>
      <c r="J53" s="48">
        <f t="shared" si="5"/>
        <v>100</v>
      </c>
    </row>
    <row r="54" spans="1:11" ht="21" customHeight="1" x14ac:dyDescent="0.15">
      <c r="A54" s="132">
        <v>49014053</v>
      </c>
      <c r="B54" s="47">
        <v>0</v>
      </c>
      <c r="C54" s="47" t="s">
        <v>88</v>
      </c>
      <c r="D54" s="47">
        <v>80</v>
      </c>
      <c r="E54" s="47" t="s">
        <v>88</v>
      </c>
      <c r="F54" s="47" t="s">
        <v>88</v>
      </c>
      <c r="G54" s="47" t="s">
        <v>88</v>
      </c>
      <c r="H54" s="47" t="s">
        <v>88</v>
      </c>
      <c r="I54" s="47" t="s">
        <v>88</v>
      </c>
      <c r="J54" s="48">
        <f t="shared" si="5"/>
        <v>80</v>
      </c>
    </row>
    <row r="55" spans="1:11" ht="21" customHeight="1" x14ac:dyDescent="0.15">
      <c r="A55" s="132">
        <v>49014054</v>
      </c>
      <c r="B55" s="47">
        <v>0</v>
      </c>
      <c r="C55" s="47">
        <v>20</v>
      </c>
      <c r="D55" s="47">
        <v>100</v>
      </c>
      <c r="E55" s="47" t="s">
        <v>88</v>
      </c>
      <c r="F55" s="47" t="s">
        <v>88</v>
      </c>
      <c r="G55" s="47" t="s">
        <v>88</v>
      </c>
      <c r="H55" s="47">
        <v>2</v>
      </c>
      <c r="I55" s="47" t="s">
        <v>88</v>
      </c>
      <c r="J55" s="48">
        <f t="shared" si="5"/>
        <v>100</v>
      </c>
      <c r="K55" s="143"/>
    </row>
    <row r="56" spans="1:11" ht="21" customHeight="1" thickBot="1" x14ac:dyDescent="0.2">
      <c r="A56" s="132">
        <v>49014055</v>
      </c>
      <c r="B56" s="115">
        <v>0</v>
      </c>
      <c r="C56" s="115">
        <v>30</v>
      </c>
      <c r="D56" s="115">
        <v>100</v>
      </c>
      <c r="E56" s="115" t="s">
        <v>88</v>
      </c>
      <c r="F56" s="115" t="s">
        <v>88</v>
      </c>
      <c r="G56" s="115" t="s">
        <v>88</v>
      </c>
      <c r="H56" s="115">
        <v>3</v>
      </c>
      <c r="I56" s="115" t="s">
        <v>88</v>
      </c>
      <c r="J56" s="119">
        <f t="shared" si="5"/>
        <v>100</v>
      </c>
      <c r="K56" s="137"/>
    </row>
    <row r="57" spans="1:11" ht="21" customHeight="1" x14ac:dyDescent="0.15">
      <c r="A57" s="156">
        <v>49014056</v>
      </c>
      <c r="B57" s="108">
        <v>1</v>
      </c>
      <c r="C57" s="108" t="s">
        <v>88</v>
      </c>
      <c r="D57" s="108">
        <v>100</v>
      </c>
      <c r="E57" s="108" t="s">
        <v>88</v>
      </c>
      <c r="F57" s="108" t="s">
        <v>88</v>
      </c>
      <c r="G57" s="108">
        <v>1</v>
      </c>
      <c r="H57" s="108" t="s">
        <v>88</v>
      </c>
      <c r="I57" s="108" t="s">
        <v>88</v>
      </c>
      <c r="J57" s="112">
        <f t="shared" si="5"/>
        <v>100</v>
      </c>
      <c r="K57" s="143"/>
    </row>
    <row r="58" spans="1:11" ht="21" customHeight="1" thickBot="1" x14ac:dyDescent="0.2">
      <c r="A58" s="150">
        <v>49014057</v>
      </c>
      <c r="B58" s="115">
        <v>0</v>
      </c>
      <c r="C58" s="115" t="s">
        <v>88</v>
      </c>
      <c r="D58" s="115">
        <v>100</v>
      </c>
      <c r="E58" s="115" t="s">
        <v>88</v>
      </c>
      <c r="F58" s="115" t="s">
        <v>88</v>
      </c>
      <c r="G58" s="115" t="s">
        <v>88</v>
      </c>
      <c r="H58" s="115" t="s">
        <v>88</v>
      </c>
      <c r="I58" s="115" t="s">
        <v>88</v>
      </c>
      <c r="J58" s="119">
        <f t="shared" si="5"/>
        <v>100</v>
      </c>
      <c r="K58" s="143"/>
    </row>
    <row r="59" spans="1:11" ht="21" customHeight="1" x14ac:dyDescent="0.15">
      <c r="A59" s="134">
        <v>49014058</v>
      </c>
      <c r="B59" s="108">
        <v>1</v>
      </c>
      <c r="C59" s="108" t="s">
        <v>88</v>
      </c>
      <c r="D59" s="108">
        <v>100</v>
      </c>
      <c r="E59" s="108" t="s">
        <v>88</v>
      </c>
      <c r="F59" s="108" t="s">
        <v>88</v>
      </c>
      <c r="G59" s="108">
        <v>1</v>
      </c>
      <c r="H59" s="108" t="s">
        <v>88</v>
      </c>
      <c r="I59" s="108" t="s">
        <v>88</v>
      </c>
      <c r="J59" s="112">
        <f t="shared" si="5"/>
        <v>100</v>
      </c>
    </row>
    <row r="60" spans="1:11" ht="21" customHeight="1" x14ac:dyDescent="0.15">
      <c r="A60" s="134">
        <v>49014059</v>
      </c>
      <c r="B60" s="47">
        <v>0</v>
      </c>
      <c r="C60" s="47">
        <v>10</v>
      </c>
      <c r="D60" s="47">
        <v>100</v>
      </c>
      <c r="E60" s="47" t="s">
        <v>88</v>
      </c>
      <c r="F60" s="47" t="s">
        <v>88</v>
      </c>
      <c r="G60" s="47" t="s">
        <v>88</v>
      </c>
      <c r="H60" s="47" t="s">
        <v>88</v>
      </c>
      <c r="I60" s="47" t="s">
        <v>88</v>
      </c>
      <c r="J60" s="48">
        <f t="shared" si="5"/>
        <v>100</v>
      </c>
    </row>
    <row r="61" spans="1:11" ht="21" customHeight="1" x14ac:dyDescent="0.15">
      <c r="A61" s="134">
        <v>49014060</v>
      </c>
      <c r="B61" s="47">
        <v>0</v>
      </c>
      <c r="C61" s="47">
        <v>20</v>
      </c>
      <c r="D61" s="47">
        <v>100</v>
      </c>
      <c r="E61" s="47" t="s">
        <v>88</v>
      </c>
      <c r="F61" s="47" t="s">
        <v>88</v>
      </c>
      <c r="G61" s="47" t="s">
        <v>88</v>
      </c>
      <c r="H61" s="47">
        <v>2</v>
      </c>
      <c r="I61" s="47" t="s">
        <v>88</v>
      </c>
      <c r="J61" s="48">
        <f t="shared" si="5"/>
        <v>100</v>
      </c>
      <c r="K61" s="143"/>
    </row>
    <row r="62" spans="1:11" ht="21" customHeight="1" thickBot="1" x14ac:dyDescent="0.2">
      <c r="A62" s="136">
        <v>49014061</v>
      </c>
      <c r="B62" s="115">
        <v>0</v>
      </c>
      <c r="C62" s="115">
        <v>30</v>
      </c>
      <c r="D62" s="115">
        <v>100</v>
      </c>
      <c r="E62" s="115" t="s">
        <v>88</v>
      </c>
      <c r="F62" s="115" t="s">
        <v>88</v>
      </c>
      <c r="G62" s="115" t="s">
        <v>88</v>
      </c>
      <c r="H62" s="115">
        <v>3</v>
      </c>
      <c r="I62" s="115" t="s">
        <v>88</v>
      </c>
      <c r="J62" s="119">
        <f t="shared" si="5"/>
        <v>100</v>
      </c>
      <c r="K62" s="137"/>
    </row>
    <row r="63" spans="1:11" ht="21" customHeight="1" x14ac:dyDescent="0.15">
      <c r="A63" s="134">
        <v>49014062</v>
      </c>
      <c r="B63" s="108">
        <v>1</v>
      </c>
      <c r="C63" s="108" t="s">
        <v>88</v>
      </c>
      <c r="D63" s="108">
        <v>100</v>
      </c>
      <c r="E63" s="108" t="s">
        <v>88</v>
      </c>
      <c r="F63" s="108" t="s">
        <v>88</v>
      </c>
      <c r="G63" s="108">
        <v>1</v>
      </c>
      <c r="H63" s="108" t="s">
        <v>88</v>
      </c>
      <c r="I63" s="108" t="s">
        <v>88</v>
      </c>
      <c r="J63" s="112">
        <f t="shared" si="5"/>
        <v>100</v>
      </c>
    </row>
    <row r="64" spans="1:11" ht="21" customHeight="1" x14ac:dyDescent="0.15">
      <c r="A64" s="134">
        <v>49014063</v>
      </c>
      <c r="B64" s="47">
        <v>0</v>
      </c>
      <c r="C64" s="47">
        <v>50</v>
      </c>
      <c r="D64" s="47">
        <v>100</v>
      </c>
      <c r="E64" s="47" t="s">
        <v>88</v>
      </c>
      <c r="F64" s="47" t="s">
        <v>88</v>
      </c>
      <c r="G64" s="47">
        <v>1</v>
      </c>
      <c r="H64" s="47">
        <v>2</v>
      </c>
      <c r="I64" s="47" t="s">
        <v>88</v>
      </c>
      <c r="J64" s="48">
        <f t="shared" si="5"/>
        <v>100</v>
      </c>
    </row>
    <row r="65" spans="1:11" ht="21" customHeight="1" x14ac:dyDescent="0.15">
      <c r="A65" s="134">
        <v>49014064</v>
      </c>
      <c r="B65" s="47">
        <v>0</v>
      </c>
      <c r="C65" s="47">
        <v>30</v>
      </c>
      <c r="D65" s="47">
        <v>30</v>
      </c>
      <c r="E65" s="47" t="s">
        <v>88</v>
      </c>
      <c r="F65" s="47" t="s">
        <v>88</v>
      </c>
      <c r="G65" s="47" t="s">
        <v>88</v>
      </c>
      <c r="H65" s="47" t="s">
        <v>88</v>
      </c>
      <c r="I65" s="47" t="s">
        <v>88</v>
      </c>
      <c r="J65" s="48">
        <f t="shared" si="5"/>
        <v>30</v>
      </c>
    </row>
    <row r="66" spans="1:11" ht="21" customHeight="1" x14ac:dyDescent="0.15">
      <c r="A66" s="134">
        <v>49014065</v>
      </c>
      <c r="B66" s="47">
        <v>0</v>
      </c>
      <c r="C66" s="47">
        <v>20</v>
      </c>
      <c r="D66" s="47">
        <v>50</v>
      </c>
      <c r="E66" s="47" t="s">
        <v>88</v>
      </c>
      <c r="F66" s="47" t="s">
        <v>88</v>
      </c>
      <c r="G66" s="47" t="s">
        <v>88</v>
      </c>
      <c r="H66" s="47" t="s">
        <v>88</v>
      </c>
      <c r="I66" s="47" t="s">
        <v>88</v>
      </c>
      <c r="J66" s="48">
        <f t="shared" si="5"/>
        <v>50</v>
      </c>
    </row>
    <row r="67" spans="1:11" ht="21" customHeight="1" x14ac:dyDescent="0.15">
      <c r="A67" s="134">
        <v>49014066</v>
      </c>
      <c r="B67" s="47">
        <v>0</v>
      </c>
      <c r="C67" s="47">
        <v>10</v>
      </c>
      <c r="D67" s="47">
        <v>100</v>
      </c>
      <c r="E67" s="47" t="s">
        <v>88</v>
      </c>
      <c r="F67" s="47" t="s">
        <v>88</v>
      </c>
      <c r="G67" s="47" t="s">
        <v>88</v>
      </c>
      <c r="H67" s="47" t="s">
        <v>88</v>
      </c>
      <c r="I67" s="47" t="s">
        <v>88</v>
      </c>
      <c r="J67" s="48">
        <f t="shared" si="5"/>
        <v>100</v>
      </c>
      <c r="K67" s="143"/>
    </row>
    <row r="68" spans="1:11" ht="21" customHeight="1" thickBot="1" x14ac:dyDescent="0.2">
      <c r="A68" s="136">
        <v>49014067</v>
      </c>
      <c r="B68" s="115">
        <v>0</v>
      </c>
      <c r="C68" s="115">
        <v>40</v>
      </c>
      <c r="D68" s="115">
        <v>100</v>
      </c>
      <c r="E68" s="115" t="s">
        <v>88</v>
      </c>
      <c r="F68" s="115" t="s">
        <v>88</v>
      </c>
      <c r="G68" s="115" t="s">
        <v>88</v>
      </c>
      <c r="H68" s="115">
        <v>4</v>
      </c>
      <c r="I68" s="115" t="s">
        <v>88</v>
      </c>
      <c r="J68" s="119">
        <f t="shared" si="5"/>
        <v>100</v>
      </c>
      <c r="K68" s="137"/>
    </row>
    <row r="69" spans="1:11" ht="21" customHeight="1" x14ac:dyDescent="0.15">
      <c r="A69" s="134">
        <v>49014068</v>
      </c>
      <c r="B69" s="108">
        <v>1</v>
      </c>
      <c r="C69" s="108" t="s">
        <v>88</v>
      </c>
      <c r="D69" s="108">
        <v>100</v>
      </c>
      <c r="E69" s="108" t="s">
        <v>88</v>
      </c>
      <c r="F69" s="108" t="s">
        <v>88</v>
      </c>
      <c r="G69" s="108">
        <v>1</v>
      </c>
      <c r="H69" s="108" t="s">
        <v>88</v>
      </c>
      <c r="I69" s="108" t="s">
        <v>88</v>
      </c>
      <c r="J69" s="112">
        <f t="shared" si="5"/>
        <v>100</v>
      </c>
    </row>
    <row r="70" spans="1:11" ht="21" customHeight="1" x14ac:dyDescent="0.15">
      <c r="A70" s="134">
        <v>49014069</v>
      </c>
      <c r="B70" s="47">
        <v>0</v>
      </c>
      <c r="C70" s="47">
        <v>30</v>
      </c>
      <c r="D70" s="47">
        <v>100</v>
      </c>
      <c r="E70" s="47" t="s">
        <v>88</v>
      </c>
      <c r="F70" s="47" t="s">
        <v>88</v>
      </c>
      <c r="G70" s="47">
        <v>2</v>
      </c>
      <c r="H70" s="47">
        <v>1</v>
      </c>
      <c r="I70" s="47" t="s">
        <v>88</v>
      </c>
      <c r="J70" s="48">
        <f t="shared" si="5"/>
        <v>100</v>
      </c>
    </row>
    <row r="71" spans="1:11" ht="21" customHeight="1" x14ac:dyDescent="0.15">
      <c r="A71" s="134">
        <v>49014070</v>
      </c>
      <c r="B71" s="47">
        <v>0</v>
      </c>
      <c r="C71" s="47">
        <v>40</v>
      </c>
      <c r="D71" s="47">
        <v>100</v>
      </c>
      <c r="E71" s="47" t="s">
        <v>88</v>
      </c>
      <c r="F71" s="47" t="s">
        <v>88</v>
      </c>
      <c r="G71" s="47">
        <v>2</v>
      </c>
      <c r="H71" s="47">
        <v>2</v>
      </c>
      <c r="I71" s="47" t="s">
        <v>88</v>
      </c>
      <c r="J71" s="48">
        <f t="shared" si="5"/>
        <v>100</v>
      </c>
    </row>
    <row r="72" spans="1:11" ht="21" customHeight="1" x14ac:dyDescent="0.15">
      <c r="A72" s="134">
        <v>49014071</v>
      </c>
      <c r="B72" s="47">
        <v>0</v>
      </c>
      <c r="C72" s="47">
        <v>50</v>
      </c>
      <c r="D72" s="47">
        <v>100</v>
      </c>
      <c r="E72" s="47" t="s">
        <v>88</v>
      </c>
      <c r="F72" s="47" t="s">
        <v>88</v>
      </c>
      <c r="G72" s="47">
        <v>1</v>
      </c>
      <c r="H72" s="47">
        <v>3</v>
      </c>
      <c r="I72" s="47" t="s">
        <v>88</v>
      </c>
      <c r="J72" s="48">
        <f t="shared" si="5"/>
        <v>100</v>
      </c>
      <c r="K72" s="143"/>
    </row>
    <row r="73" spans="1:11" ht="21" customHeight="1" x14ac:dyDescent="0.15">
      <c r="A73" s="134">
        <v>49014072</v>
      </c>
      <c r="B73" s="47">
        <v>0</v>
      </c>
      <c r="C73" s="47">
        <v>60</v>
      </c>
      <c r="D73" s="47">
        <v>100</v>
      </c>
      <c r="E73" s="47" t="s">
        <v>88</v>
      </c>
      <c r="F73" s="47" t="s">
        <v>88</v>
      </c>
      <c r="G73" s="47">
        <v>1</v>
      </c>
      <c r="H73" s="47">
        <v>4</v>
      </c>
      <c r="I73" s="47" t="s">
        <v>88</v>
      </c>
      <c r="J73" s="48">
        <f t="shared" ref="J73:J79" si="9">D73</f>
        <v>100</v>
      </c>
      <c r="K73" s="143"/>
    </row>
    <row r="74" spans="1:11" ht="21" customHeight="1" x14ac:dyDescent="0.15">
      <c r="A74" s="134">
        <v>49014073</v>
      </c>
      <c r="B74" s="47">
        <v>0</v>
      </c>
      <c r="C74" s="47">
        <v>65</v>
      </c>
      <c r="D74" s="47">
        <v>100</v>
      </c>
      <c r="E74" s="47" t="s">
        <v>88</v>
      </c>
      <c r="F74" s="47" t="s">
        <v>88</v>
      </c>
      <c r="G74" s="47">
        <v>1</v>
      </c>
      <c r="H74" s="47">
        <v>7</v>
      </c>
      <c r="I74" s="47" t="s">
        <v>88</v>
      </c>
      <c r="J74" s="48">
        <f t="shared" si="9"/>
        <v>100</v>
      </c>
      <c r="K74" s="143"/>
    </row>
    <row r="75" spans="1:11" ht="21" customHeight="1" x14ac:dyDescent="0.15">
      <c r="A75" s="134">
        <v>49014074</v>
      </c>
      <c r="B75" s="47">
        <v>0</v>
      </c>
      <c r="C75" s="47">
        <v>70</v>
      </c>
      <c r="D75" s="47">
        <v>100</v>
      </c>
      <c r="E75" s="47" t="s">
        <v>88</v>
      </c>
      <c r="F75" s="47" t="s">
        <v>88</v>
      </c>
      <c r="G75" s="47">
        <v>1</v>
      </c>
      <c r="H75" s="47">
        <v>8</v>
      </c>
      <c r="I75" s="47" t="s">
        <v>88</v>
      </c>
      <c r="J75" s="48">
        <f t="shared" si="9"/>
        <v>100</v>
      </c>
      <c r="K75" s="143"/>
    </row>
    <row r="76" spans="1:11" ht="21" customHeight="1" x14ac:dyDescent="0.15">
      <c r="A76" s="134">
        <v>49014075</v>
      </c>
      <c r="B76" s="47">
        <v>0</v>
      </c>
      <c r="C76" s="47">
        <v>100</v>
      </c>
      <c r="D76" s="47">
        <v>100</v>
      </c>
      <c r="E76" s="47" t="s">
        <v>88</v>
      </c>
      <c r="F76" s="47" t="s">
        <v>88</v>
      </c>
      <c r="G76" s="47">
        <v>1</v>
      </c>
      <c r="H76" s="47">
        <v>10</v>
      </c>
      <c r="I76" s="47" t="s">
        <v>88</v>
      </c>
      <c r="J76" s="48">
        <f t="shared" si="9"/>
        <v>100</v>
      </c>
      <c r="K76" s="143"/>
    </row>
    <row r="77" spans="1:11" ht="21" customHeight="1" x14ac:dyDescent="0.15">
      <c r="A77" s="134">
        <v>49014076</v>
      </c>
      <c r="B77" s="47">
        <v>0</v>
      </c>
      <c r="C77" s="47">
        <v>10</v>
      </c>
      <c r="D77" s="47">
        <v>100</v>
      </c>
      <c r="E77" s="47" t="s">
        <v>88</v>
      </c>
      <c r="F77" s="47" t="s">
        <v>88</v>
      </c>
      <c r="G77" s="47">
        <v>5000</v>
      </c>
      <c r="H77" s="47">
        <v>1</v>
      </c>
      <c r="I77" s="47" t="s">
        <v>88</v>
      </c>
      <c r="J77" s="48">
        <f t="shared" si="9"/>
        <v>100</v>
      </c>
      <c r="K77" s="143"/>
    </row>
    <row r="78" spans="1:11" ht="21" customHeight="1" x14ac:dyDescent="0.15">
      <c r="A78" s="134">
        <v>49014077</v>
      </c>
      <c r="B78" s="47">
        <v>0</v>
      </c>
      <c r="C78" s="47">
        <v>20</v>
      </c>
      <c r="D78" s="47">
        <v>100</v>
      </c>
      <c r="E78" s="47" t="s">
        <v>88</v>
      </c>
      <c r="F78" s="47" t="s">
        <v>88</v>
      </c>
      <c r="G78" s="47">
        <v>5000</v>
      </c>
      <c r="H78" s="47">
        <v>2</v>
      </c>
      <c r="I78" s="47" t="s">
        <v>88</v>
      </c>
      <c r="J78" s="48">
        <f t="shared" si="9"/>
        <v>100</v>
      </c>
      <c r="K78" s="143"/>
    </row>
    <row r="79" spans="1:11" ht="21" customHeight="1" thickBot="1" x14ac:dyDescent="0.2">
      <c r="A79" s="136">
        <v>49014078</v>
      </c>
      <c r="B79" s="115">
        <v>0</v>
      </c>
      <c r="C79" s="115" t="s">
        <v>88</v>
      </c>
      <c r="D79" s="115">
        <v>100</v>
      </c>
      <c r="E79" s="115" t="s">
        <v>88</v>
      </c>
      <c r="F79" s="115" t="s">
        <v>88</v>
      </c>
      <c r="G79" s="115">
        <v>0</v>
      </c>
      <c r="H79" s="115" t="s">
        <v>88</v>
      </c>
      <c r="I79" s="115">
        <v>0</v>
      </c>
      <c r="J79" s="119">
        <f t="shared" si="9"/>
        <v>100</v>
      </c>
      <c r="K79" s="137"/>
    </row>
    <row r="80" spans="1:11" ht="21" customHeight="1" x14ac:dyDescent="0.15">
      <c r="A80" s="106">
        <v>49014079</v>
      </c>
      <c r="B80" s="47">
        <v>1</v>
      </c>
      <c r="C80" s="47" t="s">
        <v>88</v>
      </c>
      <c r="D80" s="47">
        <v>100</v>
      </c>
      <c r="E80" s="47" t="s">
        <v>88</v>
      </c>
      <c r="F80" s="47" t="s">
        <v>88</v>
      </c>
      <c r="G80" s="47">
        <v>1</v>
      </c>
      <c r="H80" s="108" t="s">
        <v>88</v>
      </c>
      <c r="I80" s="47">
        <v>0</v>
      </c>
      <c r="J80" s="48">
        <f t="shared" ref="J80" si="10">D80</f>
        <v>100</v>
      </c>
    </row>
    <row r="81" spans="1:11" ht="21" customHeight="1" thickBot="1" x14ac:dyDescent="0.2">
      <c r="A81" s="131">
        <v>49014080</v>
      </c>
      <c r="B81" s="115">
        <v>0</v>
      </c>
      <c r="C81" s="115" t="s">
        <v>88</v>
      </c>
      <c r="D81" s="115">
        <v>100</v>
      </c>
      <c r="E81" s="115" t="s">
        <v>88</v>
      </c>
      <c r="F81" s="115" t="s">
        <v>88</v>
      </c>
      <c r="G81" s="115">
        <v>0</v>
      </c>
      <c r="H81" s="115" t="s">
        <v>88</v>
      </c>
      <c r="I81" s="115">
        <v>0</v>
      </c>
      <c r="J81" s="119">
        <f t="shared" ref="J81:J83" si="11">D81</f>
        <v>100</v>
      </c>
    </row>
    <row r="82" spans="1:11" ht="21" customHeight="1" thickBot="1" x14ac:dyDescent="0.2">
      <c r="A82" s="148">
        <v>49014081</v>
      </c>
      <c r="B82" s="147">
        <v>0</v>
      </c>
      <c r="C82" s="147" t="s">
        <v>88</v>
      </c>
      <c r="D82" s="147">
        <v>100</v>
      </c>
      <c r="E82" s="147" t="s">
        <v>88</v>
      </c>
      <c r="F82" s="147" t="s">
        <v>88</v>
      </c>
      <c r="G82" s="147" t="s">
        <v>88</v>
      </c>
      <c r="H82" s="147" t="s">
        <v>88</v>
      </c>
      <c r="I82" s="147" t="s">
        <v>88</v>
      </c>
      <c r="J82" s="154">
        <f t="shared" si="11"/>
        <v>100</v>
      </c>
      <c r="K82" s="137"/>
    </row>
    <row r="83" spans="1:11" ht="21" customHeight="1" thickBot="1" x14ac:dyDescent="0.2">
      <c r="A83" s="267">
        <v>49014082</v>
      </c>
      <c r="B83" s="122">
        <v>0</v>
      </c>
      <c r="C83" s="122">
        <v>99</v>
      </c>
      <c r="D83" s="122">
        <v>100</v>
      </c>
      <c r="E83" s="122" t="s">
        <v>88</v>
      </c>
      <c r="F83" s="122" t="s">
        <v>88</v>
      </c>
      <c r="G83" s="122">
        <v>1</v>
      </c>
      <c r="H83" s="122">
        <v>9</v>
      </c>
      <c r="I83" s="122" t="s">
        <v>88</v>
      </c>
      <c r="J83" s="126">
        <f t="shared" si="11"/>
        <v>100</v>
      </c>
      <c r="K83" s="138"/>
    </row>
  </sheetData>
  <autoFilter ref="A1:G1"/>
  <phoneticPr fontId="5"/>
  <conditionalFormatting sqref="K84:K1048576 K33:K34 K1 K37 K40">
    <cfRule type="duplicateValues" dxfId="69" priority="148"/>
  </conditionalFormatting>
  <conditionalFormatting sqref="K2">
    <cfRule type="duplicateValues" dxfId="68" priority="147"/>
  </conditionalFormatting>
  <conditionalFormatting sqref="K3">
    <cfRule type="duplicateValues" dxfId="67" priority="146"/>
  </conditionalFormatting>
  <conditionalFormatting sqref="K4">
    <cfRule type="duplicateValues" dxfId="66" priority="145"/>
  </conditionalFormatting>
  <conditionalFormatting sqref="K5">
    <cfRule type="duplicateValues" dxfId="65" priority="144"/>
  </conditionalFormatting>
  <conditionalFormatting sqref="K6">
    <cfRule type="duplicateValues" dxfId="64" priority="143"/>
  </conditionalFormatting>
  <conditionalFormatting sqref="K7">
    <cfRule type="duplicateValues" dxfId="63" priority="141"/>
  </conditionalFormatting>
  <conditionalFormatting sqref="K8">
    <cfRule type="duplicateValues" dxfId="62" priority="140"/>
  </conditionalFormatting>
  <conditionalFormatting sqref="K9">
    <cfRule type="duplicateValues" dxfId="61" priority="139"/>
  </conditionalFormatting>
  <conditionalFormatting sqref="K10">
    <cfRule type="duplicateValues" dxfId="60" priority="138"/>
  </conditionalFormatting>
  <conditionalFormatting sqref="K11">
    <cfRule type="duplicateValues" dxfId="59" priority="137"/>
  </conditionalFormatting>
  <conditionalFormatting sqref="K12">
    <cfRule type="duplicateValues" dxfId="58" priority="136"/>
  </conditionalFormatting>
  <conditionalFormatting sqref="K13">
    <cfRule type="duplicateValues" dxfId="57" priority="135"/>
  </conditionalFormatting>
  <conditionalFormatting sqref="K14">
    <cfRule type="duplicateValues" dxfId="56" priority="134"/>
  </conditionalFormatting>
  <conditionalFormatting sqref="K15">
    <cfRule type="duplicateValues" dxfId="55" priority="133"/>
  </conditionalFormatting>
  <conditionalFormatting sqref="K16">
    <cfRule type="duplicateValues" dxfId="54" priority="132"/>
  </conditionalFormatting>
  <conditionalFormatting sqref="K17:K19">
    <cfRule type="duplicateValues" dxfId="53" priority="131"/>
  </conditionalFormatting>
  <conditionalFormatting sqref="K20">
    <cfRule type="duplicateValues" dxfId="52" priority="130"/>
  </conditionalFormatting>
  <conditionalFormatting sqref="K21">
    <cfRule type="duplicateValues" dxfId="51" priority="129"/>
  </conditionalFormatting>
  <conditionalFormatting sqref="K22">
    <cfRule type="duplicateValues" dxfId="50" priority="128"/>
  </conditionalFormatting>
  <conditionalFormatting sqref="K23">
    <cfRule type="duplicateValues" dxfId="49" priority="127"/>
  </conditionalFormatting>
  <conditionalFormatting sqref="K24">
    <cfRule type="duplicateValues" dxfId="48" priority="126"/>
  </conditionalFormatting>
  <conditionalFormatting sqref="K25">
    <cfRule type="duplicateValues" dxfId="47" priority="125"/>
  </conditionalFormatting>
  <conditionalFormatting sqref="K26">
    <cfRule type="duplicateValues" dxfId="46" priority="124"/>
  </conditionalFormatting>
  <conditionalFormatting sqref="K27">
    <cfRule type="duplicateValues" dxfId="45" priority="123"/>
  </conditionalFormatting>
  <conditionalFormatting sqref="K28">
    <cfRule type="duplicateValues" dxfId="44" priority="122"/>
  </conditionalFormatting>
  <conditionalFormatting sqref="K29">
    <cfRule type="duplicateValues" dxfId="43" priority="121"/>
  </conditionalFormatting>
  <conditionalFormatting sqref="K30">
    <cfRule type="duplicateValues" dxfId="42" priority="120"/>
  </conditionalFormatting>
  <conditionalFormatting sqref="K31">
    <cfRule type="duplicateValues" dxfId="41" priority="119"/>
  </conditionalFormatting>
  <conditionalFormatting sqref="K32">
    <cfRule type="duplicateValues" dxfId="40" priority="118"/>
  </conditionalFormatting>
  <conditionalFormatting sqref="K35:K36">
    <cfRule type="duplicateValues" dxfId="39" priority="117"/>
  </conditionalFormatting>
  <conditionalFormatting sqref="K39">
    <cfRule type="duplicateValues" dxfId="38" priority="116"/>
  </conditionalFormatting>
  <conditionalFormatting sqref="K38">
    <cfRule type="duplicateValues" dxfId="37" priority="115"/>
  </conditionalFormatting>
  <conditionalFormatting sqref="K72:K73 K76 K79">
    <cfRule type="duplicateValues" dxfId="36" priority="114"/>
  </conditionalFormatting>
  <conditionalFormatting sqref="K41">
    <cfRule type="duplicateValues" dxfId="35" priority="113"/>
  </conditionalFormatting>
  <conditionalFormatting sqref="K42">
    <cfRule type="duplicateValues" dxfId="34" priority="112"/>
  </conditionalFormatting>
  <conditionalFormatting sqref="K43">
    <cfRule type="duplicateValues" dxfId="33" priority="111"/>
  </conditionalFormatting>
  <conditionalFormatting sqref="K44">
    <cfRule type="duplicateValues" dxfId="32" priority="110"/>
  </conditionalFormatting>
  <conditionalFormatting sqref="K45">
    <cfRule type="duplicateValues" dxfId="31" priority="109"/>
  </conditionalFormatting>
  <conditionalFormatting sqref="K46">
    <cfRule type="duplicateValues" dxfId="30" priority="108"/>
  </conditionalFormatting>
  <conditionalFormatting sqref="K47">
    <cfRule type="duplicateValues" dxfId="29" priority="107"/>
  </conditionalFormatting>
  <conditionalFormatting sqref="K48">
    <cfRule type="duplicateValues" dxfId="28" priority="106"/>
  </conditionalFormatting>
  <conditionalFormatting sqref="K49">
    <cfRule type="duplicateValues" dxfId="27" priority="105"/>
  </conditionalFormatting>
  <conditionalFormatting sqref="K50">
    <cfRule type="duplicateValues" dxfId="26" priority="104"/>
  </conditionalFormatting>
  <conditionalFormatting sqref="K51">
    <cfRule type="duplicateValues" dxfId="25" priority="103"/>
  </conditionalFormatting>
  <conditionalFormatting sqref="K52">
    <cfRule type="duplicateValues" dxfId="24" priority="102"/>
  </conditionalFormatting>
  <conditionalFormatting sqref="K53">
    <cfRule type="duplicateValues" dxfId="23" priority="101"/>
  </conditionalFormatting>
  <conditionalFormatting sqref="K54">
    <cfRule type="duplicateValues" dxfId="22" priority="100"/>
  </conditionalFormatting>
  <conditionalFormatting sqref="K55">
    <cfRule type="duplicateValues" dxfId="21" priority="99"/>
  </conditionalFormatting>
  <conditionalFormatting sqref="K56:K58">
    <cfRule type="duplicateValues" dxfId="20" priority="98"/>
  </conditionalFormatting>
  <conditionalFormatting sqref="K59">
    <cfRule type="duplicateValues" dxfId="19" priority="97"/>
  </conditionalFormatting>
  <conditionalFormatting sqref="K60">
    <cfRule type="duplicateValues" dxfId="18" priority="96"/>
  </conditionalFormatting>
  <conditionalFormatting sqref="K61">
    <cfRule type="duplicateValues" dxfId="17" priority="95"/>
  </conditionalFormatting>
  <conditionalFormatting sqref="K62">
    <cfRule type="duplicateValues" dxfId="16" priority="94"/>
  </conditionalFormatting>
  <conditionalFormatting sqref="K63">
    <cfRule type="duplicateValues" dxfId="15" priority="93"/>
  </conditionalFormatting>
  <conditionalFormatting sqref="K64">
    <cfRule type="duplicateValues" dxfId="14" priority="92"/>
  </conditionalFormatting>
  <conditionalFormatting sqref="K65">
    <cfRule type="duplicateValues" dxfId="13" priority="91"/>
  </conditionalFormatting>
  <conditionalFormatting sqref="K66">
    <cfRule type="duplicateValues" dxfId="12" priority="90"/>
  </conditionalFormatting>
  <conditionalFormatting sqref="K67">
    <cfRule type="duplicateValues" dxfId="11" priority="89"/>
  </conditionalFormatting>
  <conditionalFormatting sqref="K68">
    <cfRule type="duplicateValues" dxfId="10" priority="88"/>
  </conditionalFormatting>
  <conditionalFormatting sqref="K69">
    <cfRule type="duplicateValues" dxfId="9" priority="87"/>
  </conditionalFormatting>
  <conditionalFormatting sqref="K70">
    <cfRule type="duplicateValues" dxfId="8" priority="86"/>
  </conditionalFormatting>
  <conditionalFormatting sqref="K71">
    <cfRule type="duplicateValues" dxfId="7" priority="85"/>
  </conditionalFormatting>
  <conditionalFormatting sqref="K74:K75">
    <cfRule type="duplicateValues" dxfId="6" priority="84"/>
  </conditionalFormatting>
  <conditionalFormatting sqref="K78">
    <cfRule type="duplicateValues" dxfId="5" priority="83"/>
  </conditionalFormatting>
  <conditionalFormatting sqref="K77">
    <cfRule type="duplicateValues" dxfId="4" priority="82"/>
  </conditionalFormatting>
  <conditionalFormatting sqref="K81">
    <cfRule type="duplicateValues" dxfId="3" priority="5"/>
  </conditionalFormatting>
  <conditionalFormatting sqref="K80">
    <cfRule type="duplicateValues" dxfId="2" priority="4"/>
  </conditionalFormatting>
  <conditionalFormatting sqref="K82">
    <cfRule type="duplicateValues" dxfId="1" priority="3"/>
  </conditionalFormatting>
  <conditionalFormatting sqref="K8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79"/>
  <sheetViews>
    <sheetView showGridLines="0" zoomScale="120" zoomScaleNormal="120" zoomScalePageLayoutView="120" workbookViewId="0">
      <pane xSplit="5" ySplit="1" topLeftCell="J63" activePane="bottomRight" state="frozen"/>
      <selection pane="topRight"/>
      <selection pane="bottomLeft"/>
      <selection pane="bottomRight" activeCell="L74" sqref="L7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thickBot="1" x14ac:dyDescent="0.2">
      <c r="A2" s="137" t="str">
        <f t="shared" ref="A2:A4" si="0">B2&amp;"_"&amp;C2</f>
        <v>49014001_49014001</v>
      </c>
      <c r="B2" s="114">
        <v>49014001</v>
      </c>
      <c r="C2" s="114">
        <v>49014001</v>
      </c>
      <c r="D2" s="1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" s="1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114">
        <v>49014001</v>
      </c>
      <c r="G2" s="119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19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119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119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19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19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119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19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19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115"/>
      <c r="Q2" s="115"/>
      <c r="R2" s="115"/>
    </row>
    <row r="3" spans="1:18" ht="21" customHeight="1" thickBot="1" x14ac:dyDescent="0.2">
      <c r="A3" s="138" t="str">
        <f t="shared" si="0"/>
        <v>49014002_49014002</v>
      </c>
      <c r="B3" s="121">
        <v>49014002</v>
      </c>
      <c r="C3" s="114">
        <v>49014002</v>
      </c>
      <c r="D3" s="1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ディスレッド</v>
      </c>
      <c r="E3" s="1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3" s="114">
        <v>49014002</v>
      </c>
      <c r="G3" s="12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2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12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" s="12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2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2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12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12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2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" s="122"/>
      <c r="Q3" s="122"/>
      <c r="R3" s="122"/>
    </row>
    <row r="4" spans="1:18" ht="21" customHeight="1" x14ac:dyDescent="0.15">
      <c r="A4" s="39" t="str">
        <f t="shared" si="0"/>
        <v>49014003_49014003</v>
      </c>
      <c r="B4" s="107">
        <v>49014003</v>
      </c>
      <c r="C4" s="139">
        <v>49014003</v>
      </c>
      <c r="D4" s="1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硬くなる</v>
      </c>
      <c r="E4" s="1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1ターン自身の防御力UP</v>
      </c>
      <c r="F4" s="139">
        <v>49014003</v>
      </c>
      <c r="G4" s="11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12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11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11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1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12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1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12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1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108"/>
      <c r="Q4" s="108"/>
      <c r="R4" s="108"/>
    </row>
    <row r="5" spans="1:18" ht="21" customHeight="1" thickBot="1" x14ac:dyDescent="0.2">
      <c r="A5" s="137" t="str">
        <f t="shared" ref="A5:A9" si="1">B5&amp;"_"&amp;C5</f>
        <v>49014003_49014004</v>
      </c>
      <c r="B5" s="107">
        <v>49014003</v>
      </c>
      <c r="C5" s="148">
        <v>49014004</v>
      </c>
      <c r="D5" s="1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5" s="1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148">
        <v>49014004</v>
      </c>
      <c r="G5" s="119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19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19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19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19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19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19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19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19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15"/>
      <c r="Q5" s="115"/>
      <c r="R5" s="115"/>
    </row>
    <row r="6" spans="1:18" ht="21" customHeight="1" thickBot="1" x14ac:dyDescent="0.2">
      <c r="A6" s="138" t="str">
        <f t="shared" si="1"/>
        <v>49014004_49014005</v>
      </c>
      <c r="B6" s="129">
        <v>49014004</v>
      </c>
      <c r="C6" s="129">
        <v>49014005</v>
      </c>
      <c r="D6" s="1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6" s="1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種族Unknownのユニットに大ダメージ</v>
      </c>
      <c r="F6" s="129">
        <v>49014005</v>
      </c>
      <c r="G6" s="12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2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2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2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2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2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12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2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2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22"/>
      <c r="Q6" s="122"/>
      <c r="R6" s="122"/>
    </row>
    <row r="7" spans="1:18" ht="21" customHeight="1" x14ac:dyDescent="0.15">
      <c r="A7" s="39" t="str">
        <f t="shared" si="1"/>
        <v>49014005_49014006</v>
      </c>
      <c r="B7" s="128">
        <v>49014005</v>
      </c>
      <c r="C7" s="106">
        <v>49014006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クラッシュ・チャーム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Cパネルプロテクト(最大5個)</v>
      </c>
      <c r="F7" s="106">
        <v>49014006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49014005_49014007</v>
      </c>
      <c r="B8" s="128">
        <v>49014005</v>
      </c>
      <c r="C8" s="106">
        <v>49014007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レッド・チャーム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単体攻撃+赤パネルプロテクト(最大3個)</v>
      </c>
      <c r="F8" s="106">
        <v>49014007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1"/>
        <v>49014005_49014008</v>
      </c>
      <c r="B9" s="128">
        <v>49014005</v>
      </c>
      <c r="C9" s="106">
        <v>49014008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ブルー・チャーム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単体攻撃+青パネルプロテクト(最大3個)</v>
      </c>
      <c r="F9" s="106">
        <v>49014008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thickBot="1" x14ac:dyDescent="0.2">
      <c r="A10" s="137" t="str">
        <f t="shared" ref="A10:A32" si="2">B10&amp;"_"&amp;C10</f>
        <v>49014005_49014009</v>
      </c>
      <c r="B10" s="131">
        <v>49014005</v>
      </c>
      <c r="C10" s="131">
        <v>49014009</v>
      </c>
      <c r="D10" s="1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ニャングリル・アイズ</v>
      </c>
      <c r="E10" s="1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全体攻撃+2ターン全ユニットにスキルバインド</v>
      </c>
      <c r="F10" s="131">
        <v>49014009</v>
      </c>
      <c r="G10" s="119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19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119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19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19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19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119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119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19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15"/>
      <c r="Q10" s="115"/>
      <c r="R10" s="115"/>
    </row>
    <row r="11" spans="1:18" ht="21" customHeight="1" x14ac:dyDescent="0.15">
      <c r="A11" s="39" t="str">
        <f t="shared" si="2"/>
        <v>49014006_49014010</v>
      </c>
      <c r="B11" s="130">
        <v>49014006</v>
      </c>
      <c r="C11" s="130">
        <v>49014010</v>
      </c>
      <c r="D11" s="1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11" s="1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3ターン全ユニットの攻撃力30%DOWN</v>
      </c>
      <c r="F11" s="130">
        <v>49014010</v>
      </c>
      <c r="G11" s="11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12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11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1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1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12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12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1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1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08"/>
      <c r="Q11" s="108"/>
      <c r="R11" s="108"/>
    </row>
    <row r="12" spans="1:18" ht="21" customHeight="1" thickBot="1" x14ac:dyDescent="0.2">
      <c r="A12" s="137" t="str">
        <f t="shared" si="2"/>
        <v>49014006_49014011</v>
      </c>
      <c r="B12" s="133">
        <v>49014006</v>
      </c>
      <c r="C12" s="133">
        <v>49014011</v>
      </c>
      <c r="D12" s="1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突風のダンス</v>
      </c>
      <c r="E12" s="1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全体攻撃+_x000D_2ターンボムの爆風を30%DOWN</v>
      </c>
      <c r="F12" s="133">
        <v>49014011</v>
      </c>
      <c r="G12" s="119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19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119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19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19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19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119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19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19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15"/>
      <c r="Q12" s="115"/>
      <c r="R12" s="115"/>
    </row>
    <row r="13" spans="1:18" ht="21" customHeight="1" thickBot="1" x14ac:dyDescent="0.2">
      <c r="A13" s="137" t="str">
        <f t="shared" ref="A13" si="3">B13&amp;"_"&amp;C13</f>
        <v>49014007_49014102</v>
      </c>
      <c r="B13" s="133">
        <v>49014007</v>
      </c>
      <c r="C13" s="133">
        <v>49014102</v>
      </c>
      <c r="D13" s="1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不思議なダンス</v>
      </c>
      <c r="E13" s="1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全体攻撃+_x000D_2ターン全ユニットの回復力30%DOWN</v>
      </c>
      <c r="F13" s="133">
        <v>49014011</v>
      </c>
      <c r="G13" s="119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19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119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19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19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19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119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19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19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5"/>
      <c r="Q13" s="115"/>
      <c r="R13" s="115"/>
    </row>
    <row r="14" spans="1:18" ht="21" customHeight="1" x14ac:dyDescent="0.15">
      <c r="A14" s="39" t="str">
        <f t="shared" si="2"/>
        <v>49014008_49014012</v>
      </c>
      <c r="B14" s="132">
        <v>49014008</v>
      </c>
      <c r="C14" s="132">
        <v>49014012</v>
      </c>
      <c r="D14" s="1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防御の構え</v>
      </c>
      <c r="E14" s="1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防御力UP</v>
      </c>
      <c r="F14" s="132">
        <v>49014012</v>
      </c>
      <c r="G14" s="11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12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11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12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1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12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12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12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12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08"/>
      <c r="Q14" s="108"/>
      <c r="R14" s="108"/>
    </row>
    <row r="15" spans="1:18" ht="21" customHeight="1" x14ac:dyDescent="0.15">
      <c r="A15" s="39" t="str">
        <f t="shared" si="2"/>
        <v>49014008_49014013</v>
      </c>
      <c r="B15" s="132">
        <v>49014008</v>
      </c>
      <c r="C15" s="132">
        <v>49014013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反撃の構え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3ターン全ユニットの攻撃をカウンター</v>
      </c>
      <c r="F15" s="132">
        <v>49014013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49014008_49014014</v>
      </c>
      <c r="B16" s="132">
        <v>49014008</v>
      </c>
      <c r="C16" s="132">
        <v>49014014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豪腕の鉄槌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132">
        <v>49014014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6" s="47"/>
      <c r="Q16" s="47"/>
      <c r="R16" s="47"/>
    </row>
    <row r="17" spans="1:18" ht="21" customHeight="1" x14ac:dyDescent="0.15">
      <c r="A17" s="39" t="str">
        <f t="shared" si="2"/>
        <v>49014008_49014015</v>
      </c>
      <c r="B17" s="132">
        <v>49014008</v>
      </c>
      <c r="C17" s="132">
        <v>49014015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</v>
      </c>
      <c r="F17" s="132">
        <v>49014015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thickBot="1" x14ac:dyDescent="0.2">
      <c r="A18" s="137" t="str">
        <f t="shared" si="2"/>
        <v>49014008_49014016</v>
      </c>
      <c r="B18" s="135">
        <v>49014008</v>
      </c>
      <c r="C18" s="135">
        <v>49014016</v>
      </c>
      <c r="D18" s="1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強靭な巨体</v>
      </c>
      <c r="E18" s="1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2ターンお邪魔パネルを吸収して防御力UP</v>
      </c>
      <c r="F18" s="135">
        <v>49014016</v>
      </c>
      <c r="G18" s="11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19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" s="11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19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1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19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119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11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1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15"/>
      <c r="Q18" s="115"/>
      <c r="R18" s="115"/>
    </row>
    <row r="19" spans="1:18" ht="21" customHeight="1" x14ac:dyDescent="0.15">
      <c r="A19" s="39" t="str">
        <f t="shared" ref="A19:A20" si="4">B19&amp;"_"&amp;C19</f>
        <v>49014009_49014017</v>
      </c>
      <c r="B19" s="161">
        <v>49014009</v>
      </c>
      <c r="C19" s="156">
        <v>49014017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『呼んだ？ボク、神さまだけど。』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別に呼んでないけど神さまがあらわれた！</v>
      </c>
      <c r="F19" s="156">
        <v>49014017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thickBot="1" x14ac:dyDescent="0.2">
      <c r="A20" s="137" t="str">
        <f t="shared" si="4"/>
        <v>49014009_49014018</v>
      </c>
      <c r="B20" s="149">
        <v>49014009</v>
      </c>
      <c r="C20" s="150">
        <v>49014018</v>
      </c>
      <c r="D20" s="1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神のチカラ</v>
      </c>
      <c r="E20" s="1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ランダムで先頭ユニットのSCパネルに最大5個変換</v>
      </c>
      <c r="F20" s="150">
        <v>49014018</v>
      </c>
      <c r="G20" s="119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19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119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19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19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19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119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19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19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15"/>
      <c r="Q20" s="115"/>
      <c r="R20" s="115"/>
    </row>
    <row r="21" spans="1:18" ht="21" customHeight="1" x14ac:dyDescent="0.15">
      <c r="A21" s="39" t="str">
        <f t="shared" si="2"/>
        <v>49014010_49014019</v>
      </c>
      <c r="B21" s="134">
        <v>49014010</v>
      </c>
      <c r="C21" s="134">
        <v>49014019</v>
      </c>
      <c r="D21" s="1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我に抗うだけの力…見せてもらおう…！</v>
      </c>
      <c r="E21" s="1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" s="134">
        <v>49014019</v>
      </c>
      <c r="G21" s="112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12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112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12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12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12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12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112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12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08"/>
      <c r="Q21" s="108"/>
      <c r="R21" s="108"/>
    </row>
    <row r="22" spans="1:18" ht="21" customHeight="1" x14ac:dyDescent="0.15">
      <c r="A22" s="39" t="str">
        <f t="shared" si="2"/>
        <v>49014010_49014020</v>
      </c>
      <c r="B22" s="134">
        <v>49014010</v>
      </c>
      <c r="C22" s="134">
        <v>49014020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ゴッドパニッシャー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種族ゴッドのユニットに大ダメージ+_x000D_ランダムで青のダメージパネルに最大4個変換</v>
      </c>
      <c r="F22" s="134">
        <v>49014020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49014010_49014021</v>
      </c>
      <c r="B23" s="134">
        <v>49014010</v>
      </c>
      <c r="C23" s="134">
        <v>49014021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全体攻撃+_x000D_ランダムで青のダメージパネルに最大8個変換</v>
      </c>
      <c r="F23" s="134">
        <v>49014021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thickBot="1" x14ac:dyDescent="0.2">
      <c r="A24" s="137" t="str">
        <f t="shared" si="2"/>
        <v>49014010_49014022</v>
      </c>
      <c r="B24" s="136">
        <v>49014010</v>
      </c>
      <c r="C24" s="136">
        <v>49014022</v>
      </c>
      <c r="D24" s="1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24" s="1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24" s="136">
        <v>49014022</v>
      </c>
      <c r="G24" s="119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19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119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19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19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19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119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119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19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15"/>
      <c r="Q24" s="115"/>
      <c r="R24" s="115"/>
    </row>
    <row r="25" spans="1:18" ht="21" customHeight="1" x14ac:dyDescent="0.15">
      <c r="A25" s="39" t="str">
        <f t="shared" si="2"/>
        <v>49014011_49014023</v>
      </c>
      <c r="B25" s="134">
        <v>49014011</v>
      </c>
      <c r="C25" s="134">
        <v>49014023</v>
      </c>
      <c r="D25" s="1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我の本気を見せてやろう！</v>
      </c>
      <c r="E25" s="1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真の姿を現した！_x000D_【状態異常耐性】</v>
      </c>
      <c r="F25" s="134">
        <v>49014023</v>
      </c>
      <c r="G25" s="112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112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112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12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12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12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112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112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12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08"/>
      <c r="Q25" s="108"/>
      <c r="R25" s="108"/>
    </row>
    <row r="26" spans="1:18" ht="21" customHeight="1" x14ac:dyDescent="0.15">
      <c r="A26" s="39" t="str">
        <f t="shared" si="2"/>
        <v>49014011_49014024</v>
      </c>
      <c r="B26" s="134">
        <v>49014011</v>
      </c>
      <c r="C26" s="134">
        <v>49014024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パワーラッシュ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攻撃力UP+4回連続攻撃</v>
      </c>
      <c r="F26" s="134">
        <v>49014024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49014011_49014025</v>
      </c>
      <c r="B27" s="134">
        <v>49014011</v>
      </c>
      <c r="C27" s="134">
        <v>49014025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全体攻撃+_x000D_黄パネルを青のダメージパネルに5個変換する</v>
      </c>
      <c r="F27" s="134">
        <v>49014025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7" s="47"/>
      <c r="Q27" s="47"/>
      <c r="R27" s="47"/>
    </row>
    <row r="28" spans="1:18" ht="21" customHeight="1" x14ac:dyDescent="0.15">
      <c r="A28" s="39" t="str">
        <f t="shared" si="2"/>
        <v>49014011_49014026</v>
      </c>
      <c r="B28" s="134">
        <v>49014011</v>
      </c>
      <c r="C28" s="134">
        <v>49014026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バーンナップ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全体攻撃+残りHPの10%消費</v>
      </c>
      <c r="F28" s="134">
        <v>49014026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2"/>
        <v>49014011_49014027</v>
      </c>
      <c r="B29" s="134">
        <v>49014011</v>
      </c>
      <c r="C29" s="134">
        <v>49014027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ストームブリング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全体攻撃+_x000D_2ターンボムの爆風を30%DOWN</v>
      </c>
      <c r="F29" s="134">
        <v>49014027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thickBot="1" x14ac:dyDescent="0.2">
      <c r="A30" s="137" t="str">
        <f t="shared" si="2"/>
        <v>49014011_49014028</v>
      </c>
      <c r="B30" s="136">
        <v>49014011</v>
      </c>
      <c r="C30" s="136">
        <v>49014028</v>
      </c>
      <c r="D30" s="1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30" s="1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全体攻撃+_x000D_ランダムで青のダメージパネルに最大15個変換</v>
      </c>
      <c r="F30" s="136">
        <v>49014028</v>
      </c>
      <c r="G30" s="119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19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0" s="119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19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19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19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119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119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19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15"/>
      <c r="Q30" s="115"/>
      <c r="R30" s="115"/>
    </row>
    <row r="31" spans="1:18" ht="21" customHeight="1" x14ac:dyDescent="0.15">
      <c r="A31" s="39" t="str">
        <f t="shared" si="2"/>
        <v>49014012_49014029</v>
      </c>
      <c r="B31" s="134">
        <v>49014012</v>
      </c>
      <c r="C31" s="134">
        <v>49014029</v>
      </c>
      <c r="D31" s="1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全部滅ぼしてやる！</v>
      </c>
      <c r="E31" s="1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状態異常耐性+_x000D_10ターン後超強力な攻撃</v>
      </c>
      <c r="F31" s="134">
        <v>49014029</v>
      </c>
      <c r="G31" s="11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12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112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12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12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12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12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12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1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08"/>
      <c r="Q31" s="108"/>
      <c r="R31" s="108"/>
    </row>
    <row r="32" spans="1:18" ht="21" customHeight="1" x14ac:dyDescent="0.15">
      <c r="A32" s="39" t="str">
        <f t="shared" si="2"/>
        <v>49014012_49014030</v>
      </c>
      <c r="B32" s="134">
        <v>49014012</v>
      </c>
      <c r="C32" s="134">
        <v>49014030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全体攻撃+_x000D_緑パネルと黄パネルを青のダメージパネルに変換する</v>
      </c>
      <c r="F32" s="134">
        <v>49014030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35" si="5">B33&amp;"_"&amp;C33</f>
        <v>49014012_49014031</v>
      </c>
      <c r="B33" s="134">
        <v>49014012</v>
      </c>
      <c r="C33" s="134">
        <v>49014031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33" s="134">
        <v>49014031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5"/>
        <v>49014012_49014032</v>
      </c>
      <c r="B34" s="134">
        <v>49014012</v>
      </c>
      <c r="C34" s="134">
        <v>49014032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力がみなぎる…！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両手に力が溜まっているようだ</v>
      </c>
      <c r="F34" s="134">
        <v>49014032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5"/>
        <v>49014012_49014033</v>
      </c>
      <c r="B35" s="134">
        <v>49014012</v>
      </c>
      <c r="C35" s="134">
        <v>49014033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次で終わりにする…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" s="134">
        <v>49014033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37" si="6">B36&amp;"_"&amp;C36</f>
        <v>49014012_49014034</v>
      </c>
      <c r="B36" s="134">
        <v>49014012</v>
      </c>
      <c r="C36" s="134">
        <v>49014034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力がみなぎる…！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両手に力が溜まっているようだ</v>
      </c>
      <c r="F36" s="134">
        <v>49014034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thickBot="1" x14ac:dyDescent="0.2">
      <c r="A37" s="137" t="str">
        <f t="shared" si="6"/>
        <v>49014012_49014035</v>
      </c>
      <c r="B37" s="134">
        <v>49014012</v>
      </c>
      <c r="C37" s="134">
        <v>49014035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次で終わりにする…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" s="134">
        <v>49014035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:A78" si="7">B38&amp;"_"&amp;C38</f>
        <v>49014012_49014036</v>
      </c>
      <c r="B38" s="134">
        <v>49014012</v>
      </c>
      <c r="C38" s="134">
        <v>49014036</v>
      </c>
      <c r="D38" s="1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オールレンジデストロイ</v>
      </c>
      <c r="E38" s="1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究極ダメージ</v>
      </c>
      <c r="F38" s="134">
        <v>49014036</v>
      </c>
      <c r="G38" s="112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112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112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12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12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12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112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8" s="112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12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08"/>
      <c r="Q38" s="108"/>
      <c r="R38" s="108"/>
    </row>
    <row r="39" spans="1:18" ht="21" customHeight="1" x14ac:dyDescent="0.15">
      <c r="A39" s="39" t="str">
        <f t="shared" ref="A39:A40" si="8">B39&amp;"_"&amp;C39</f>
        <v>49014012_49014037</v>
      </c>
      <c r="B39" s="134">
        <v>49014012</v>
      </c>
      <c r="C39" s="134">
        <v>49014037</v>
      </c>
      <c r="D39" s="1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これで終わりにする…！</v>
      </c>
      <c r="E39" s="1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次のターンに超強力な攻撃</v>
      </c>
      <c r="F39" s="134">
        <v>49014037</v>
      </c>
      <c r="G39" s="112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112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9" s="112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12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12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12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5000</v>
      </c>
      <c r="M39" s="112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112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112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08"/>
      <c r="Q39" s="108"/>
      <c r="R39" s="108"/>
    </row>
    <row r="40" spans="1:18" ht="21" customHeight="1" x14ac:dyDescent="0.15">
      <c r="A40" s="39" t="str">
        <f t="shared" si="8"/>
        <v>49014012_49014038</v>
      </c>
      <c r="B40" s="134">
        <v>49014012</v>
      </c>
      <c r="C40" s="134">
        <v>49014038</v>
      </c>
      <c r="D40" s="1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オールレンジデストロイ</v>
      </c>
      <c r="E40" s="1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究極ダメージ</v>
      </c>
      <c r="F40" s="134">
        <v>49014038</v>
      </c>
      <c r="G40" s="112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12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0" s="112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1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12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12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5000</v>
      </c>
      <c r="M40" s="112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112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12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08"/>
      <c r="Q40" s="108"/>
      <c r="R40" s="108"/>
    </row>
    <row r="41" spans="1:18" ht="21" customHeight="1" x14ac:dyDescent="0.15">
      <c r="A41" s="39" t="str">
        <f t="shared" ref="A41" si="9">B41&amp;"_"&amp;C41</f>
        <v>49014012_49014104</v>
      </c>
      <c r="B41" s="134">
        <v>49014012</v>
      </c>
      <c r="C41" s="134">
        <v>49014104</v>
      </c>
      <c r="D41" s="1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これで終わりにする…！</v>
      </c>
      <c r="E41" s="1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次のターンに超強力な攻撃</v>
      </c>
      <c r="F41" s="134">
        <v>49014082</v>
      </c>
      <c r="G41" s="112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112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1" s="112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12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12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12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112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1" s="112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12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08"/>
      <c r="Q41" s="108"/>
      <c r="R41" s="108"/>
    </row>
    <row r="42" spans="1:18" ht="21" customHeight="1" thickBot="1" x14ac:dyDescent="0.2">
      <c r="A42" s="137" t="str">
        <f t="shared" si="7"/>
        <v>49014012_49014039</v>
      </c>
      <c r="B42" s="136">
        <v>49014012</v>
      </c>
      <c r="C42" s="136">
        <v>49014039</v>
      </c>
      <c r="D42" s="1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我が目覚めるにはまだ早かったようだな…</v>
      </c>
      <c r="E42" s="1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42" s="136">
        <v>49014039</v>
      </c>
      <c r="G42" s="119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19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119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19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19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19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119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19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2" s="119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115"/>
      <c r="Q42" s="115"/>
      <c r="R42" s="115"/>
    </row>
    <row r="43" spans="1:18" ht="21" customHeight="1" thickBot="1" x14ac:dyDescent="0.2">
      <c r="A43" s="137" t="str">
        <f t="shared" si="7"/>
        <v>49014013_49014040</v>
      </c>
      <c r="B43" s="114">
        <v>49014013</v>
      </c>
      <c r="C43" s="114">
        <v>49014040</v>
      </c>
      <c r="D43" s="1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かみつく</v>
      </c>
      <c r="E43" s="1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3" s="114">
        <v>49014040</v>
      </c>
      <c r="G43" s="119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119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119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19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19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19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119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19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19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5"/>
      <c r="Q43" s="115"/>
      <c r="R43" s="115"/>
    </row>
    <row r="44" spans="1:18" ht="21" customHeight="1" thickBot="1" x14ac:dyDescent="0.2">
      <c r="A44" s="138" t="str">
        <f t="shared" si="7"/>
        <v>49014014_49014041</v>
      </c>
      <c r="B44" s="121">
        <v>49014014</v>
      </c>
      <c r="C44" s="121">
        <v>49014041</v>
      </c>
      <c r="D44" s="1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ディスレッド</v>
      </c>
      <c r="E44" s="1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44" s="121">
        <v>49014041</v>
      </c>
      <c r="G44" s="12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126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12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4" s="12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2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26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12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12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2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4" s="122"/>
      <c r="Q44" s="122"/>
      <c r="R44" s="122"/>
    </row>
    <row r="45" spans="1:18" ht="21" customHeight="1" x14ac:dyDescent="0.15">
      <c r="A45" s="39" t="str">
        <f t="shared" si="7"/>
        <v>49014015_49014042</v>
      </c>
      <c r="B45" s="107">
        <v>49014015</v>
      </c>
      <c r="C45" s="107">
        <v>49014042</v>
      </c>
      <c r="D45" s="1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硬くなる</v>
      </c>
      <c r="E45" s="1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1ターン自身の防御力UP</v>
      </c>
      <c r="F45" s="107">
        <v>49014042</v>
      </c>
      <c r="G45" s="112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12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112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112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12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12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112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12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12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108"/>
      <c r="Q45" s="108"/>
      <c r="R45" s="108"/>
    </row>
    <row r="46" spans="1:18" ht="21" customHeight="1" thickBot="1" x14ac:dyDescent="0.2">
      <c r="A46" s="137" t="str">
        <f t="shared" si="7"/>
        <v>49014015_49014043</v>
      </c>
      <c r="B46" s="107">
        <v>49014015</v>
      </c>
      <c r="C46" s="148">
        <v>49014043</v>
      </c>
      <c r="D46" s="1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46" s="1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6" s="148">
        <v>49014043</v>
      </c>
      <c r="G46" s="119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19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119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19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19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19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119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19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19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15"/>
      <c r="Q46" s="115"/>
      <c r="R46" s="115"/>
    </row>
    <row r="47" spans="1:18" ht="21" customHeight="1" thickBot="1" x14ac:dyDescent="0.2">
      <c r="A47" s="138" t="str">
        <f t="shared" si="7"/>
        <v>49014016_49014044</v>
      </c>
      <c r="B47" s="129">
        <v>49014016</v>
      </c>
      <c r="C47" s="129">
        <v>49014044</v>
      </c>
      <c r="D47" s="1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47" s="1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種族Unknownのユニットに大ダメージ</v>
      </c>
      <c r="F47" s="129">
        <v>49014044</v>
      </c>
      <c r="G47" s="12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26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12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2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2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26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12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2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2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22"/>
      <c r="Q47" s="122"/>
      <c r="R47" s="122"/>
    </row>
    <row r="48" spans="1:18" ht="21" customHeight="1" x14ac:dyDescent="0.15">
      <c r="A48" s="39" t="str">
        <f t="shared" si="7"/>
        <v>49014017_49014045</v>
      </c>
      <c r="B48" s="128">
        <v>49014017</v>
      </c>
      <c r="C48" s="106">
        <v>49014045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クラッシュ・チャーム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Cパネルプロテクト(最大5個)</v>
      </c>
      <c r="F48" s="106">
        <v>49014045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7"/>
        <v>49014017_49014046</v>
      </c>
      <c r="B49" s="128">
        <v>49014017</v>
      </c>
      <c r="C49" s="106">
        <v>49014046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レッド・チャーム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単体攻撃+赤パネルプロテクト(最大3個)</v>
      </c>
      <c r="F49" s="106">
        <v>49014046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9" s="47"/>
      <c r="Q49" s="47"/>
      <c r="R49" s="47"/>
    </row>
    <row r="50" spans="1:18" ht="21" customHeight="1" x14ac:dyDescent="0.15">
      <c r="A50" s="39" t="str">
        <f t="shared" si="7"/>
        <v>49014017_49014047</v>
      </c>
      <c r="B50" s="128">
        <v>49014017</v>
      </c>
      <c r="C50" s="106">
        <v>49014047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ブルー・チャーム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単体攻撃+青パネルプロテクト(最大3個)</v>
      </c>
      <c r="F50" s="106">
        <v>49014047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thickBot="1" x14ac:dyDescent="0.2">
      <c r="A51" s="137" t="str">
        <f t="shared" si="7"/>
        <v>49014017_49014048</v>
      </c>
      <c r="B51" s="131">
        <v>49014017</v>
      </c>
      <c r="C51" s="131">
        <v>49014048</v>
      </c>
      <c r="D51" s="1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ニャングリル・アイズ</v>
      </c>
      <c r="E51" s="1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全体攻撃+2ターン全ユニットにスキルバインド</v>
      </c>
      <c r="F51" s="131">
        <v>49014048</v>
      </c>
      <c r="G51" s="119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19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119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19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19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19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119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119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19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15"/>
      <c r="Q51" s="115"/>
      <c r="R51" s="115"/>
    </row>
    <row r="52" spans="1:18" ht="21" customHeight="1" x14ac:dyDescent="0.15">
      <c r="A52" s="39" t="str">
        <f t="shared" si="7"/>
        <v>49014018_49014049</v>
      </c>
      <c r="B52" s="130">
        <v>49014018</v>
      </c>
      <c r="C52" s="130">
        <v>49014049</v>
      </c>
      <c r="D52" s="1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52" s="1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3ターン全ユニットの攻撃力30%DOWN</v>
      </c>
      <c r="F52" s="130">
        <v>49014049</v>
      </c>
      <c r="G52" s="112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112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112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12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12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12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12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112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112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08"/>
      <c r="Q52" s="108"/>
      <c r="R52" s="108"/>
    </row>
    <row r="53" spans="1:18" ht="21" customHeight="1" thickBot="1" x14ac:dyDescent="0.2">
      <c r="A53" s="137" t="str">
        <f t="shared" si="7"/>
        <v>49014018_49014050</v>
      </c>
      <c r="B53" s="133">
        <v>49014018</v>
      </c>
      <c r="C53" s="133">
        <v>49014050</v>
      </c>
      <c r="D53" s="1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突風のダンス</v>
      </c>
      <c r="E53" s="1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全体攻撃+_x000D_2ターンボムの爆風を30%DOWN</v>
      </c>
      <c r="F53" s="133">
        <v>49014050</v>
      </c>
      <c r="G53" s="119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19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119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19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19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19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119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19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119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15"/>
      <c r="Q53" s="115"/>
      <c r="R53" s="115"/>
    </row>
    <row r="54" spans="1:18" ht="21" customHeight="1" thickBot="1" x14ac:dyDescent="0.2">
      <c r="A54" s="137" t="str">
        <f t="shared" si="7"/>
        <v>49014019_49014102</v>
      </c>
      <c r="B54" s="196">
        <v>49014019</v>
      </c>
      <c r="C54" s="133">
        <v>49014102</v>
      </c>
      <c r="D54" s="1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不思議なダンス</v>
      </c>
      <c r="E54" s="1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全体攻撃+_x000D_2ターン全ユニットの回復力30%DOWN</v>
      </c>
      <c r="F54" s="133">
        <v>49014050</v>
      </c>
      <c r="G54" s="119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19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119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19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19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19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119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19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19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15"/>
      <c r="Q54" s="115"/>
      <c r="R54" s="115"/>
    </row>
    <row r="55" spans="1:18" ht="21" customHeight="1" x14ac:dyDescent="0.15">
      <c r="A55" s="39" t="str">
        <f t="shared" si="7"/>
        <v>49014020_49014051</v>
      </c>
      <c r="B55" s="132">
        <v>49014020</v>
      </c>
      <c r="C55" s="132">
        <v>49014051</v>
      </c>
      <c r="D55" s="1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防御の構え</v>
      </c>
      <c r="E55" s="1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防御力UP</v>
      </c>
      <c r="F55" s="132">
        <v>49014051</v>
      </c>
      <c r="G55" s="112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12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112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12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12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12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12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112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12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08"/>
      <c r="Q55" s="108"/>
      <c r="R55" s="108"/>
    </row>
    <row r="56" spans="1:18" ht="21" customHeight="1" x14ac:dyDescent="0.15">
      <c r="A56" s="39" t="str">
        <f t="shared" si="7"/>
        <v>49014020_49014052</v>
      </c>
      <c r="B56" s="132">
        <v>49014020</v>
      </c>
      <c r="C56" s="132">
        <v>49014052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反撃の構え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3ターン全ユニットの攻撃をカウンター</v>
      </c>
      <c r="F56" s="132">
        <v>49014052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7"/>
        <v>49014020_49014053</v>
      </c>
      <c r="B57" s="132">
        <v>49014020</v>
      </c>
      <c r="C57" s="132">
        <v>49014053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豪腕の鉄槌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7" s="132">
        <v>49014053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7" s="47"/>
      <c r="Q57" s="47"/>
      <c r="R57" s="47"/>
    </row>
    <row r="58" spans="1:18" ht="21" customHeight="1" x14ac:dyDescent="0.15">
      <c r="A58" s="39" t="str">
        <f t="shared" si="7"/>
        <v>49014020_49014054</v>
      </c>
      <c r="B58" s="132">
        <v>49014020</v>
      </c>
      <c r="C58" s="132">
        <v>49014054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</v>
      </c>
      <c r="F58" s="132">
        <v>49014054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thickBot="1" x14ac:dyDescent="0.2">
      <c r="A59" s="137" t="str">
        <f t="shared" si="7"/>
        <v>49014020_49014055</v>
      </c>
      <c r="B59" s="135">
        <v>49014020</v>
      </c>
      <c r="C59" s="132">
        <v>49014055</v>
      </c>
      <c r="D59" s="1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強靭な巨体</v>
      </c>
      <c r="E59" s="1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2ターンお邪魔パネルを吸収して防御力UP</v>
      </c>
      <c r="F59" s="132">
        <v>49014055</v>
      </c>
      <c r="G59" s="119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119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9" s="119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19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19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19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119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119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119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15"/>
      <c r="Q59" s="115"/>
      <c r="R59" s="115"/>
    </row>
    <row r="60" spans="1:18" ht="21" customHeight="1" x14ac:dyDescent="0.15">
      <c r="A60" s="39" t="str">
        <f t="shared" si="7"/>
        <v>49014021_49014056</v>
      </c>
      <c r="B60" s="161">
        <v>49014021</v>
      </c>
      <c r="C60" s="156">
        <v>49014056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『呼んだ？ボク、神さまだけど。』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別に呼んでないけど神さまがあらわれた！</v>
      </c>
      <c r="F60" s="156">
        <v>49014056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thickBot="1" x14ac:dyDescent="0.2">
      <c r="A61" s="137" t="str">
        <f t="shared" si="7"/>
        <v>49014021_49014057</v>
      </c>
      <c r="B61" s="149">
        <v>49014021</v>
      </c>
      <c r="C61" s="150">
        <v>49014057</v>
      </c>
      <c r="D61" s="1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神のチカラ</v>
      </c>
      <c r="E61" s="1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ランダムで先頭ユニットのSCパネルに最大5個変換</v>
      </c>
      <c r="F61" s="150">
        <v>49014057</v>
      </c>
      <c r="G61" s="119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119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119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119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119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119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119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119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119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115"/>
      <c r="Q61" s="115"/>
      <c r="R61" s="115"/>
    </row>
    <row r="62" spans="1:18" ht="21" customHeight="1" x14ac:dyDescent="0.15">
      <c r="A62" s="39" t="str">
        <f t="shared" si="7"/>
        <v>49014022_49014058</v>
      </c>
      <c r="B62" s="134">
        <v>49014022</v>
      </c>
      <c r="C62" s="134">
        <v>49014058</v>
      </c>
      <c r="D62" s="1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我に抗うだけの力…見せてもらおう…！</v>
      </c>
      <c r="E62" s="1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2" s="134">
        <v>49014058</v>
      </c>
      <c r="G62" s="112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112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112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12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12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12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112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112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112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108"/>
      <c r="Q62" s="108"/>
      <c r="R62" s="108"/>
    </row>
    <row r="63" spans="1:18" ht="21" customHeight="1" x14ac:dyDescent="0.15">
      <c r="A63" s="39" t="str">
        <f t="shared" si="7"/>
        <v>49014022_49014059</v>
      </c>
      <c r="B63" s="134">
        <v>49014022</v>
      </c>
      <c r="C63" s="134">
        <v>49014059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ゴッドパニッシャー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種族ゴッドのユニットに大ダメージ+_x000D_ランダムで青のダメージパネルに最大4個変換</v>
      </c>
      <c r="F63" s="134">
        <v>49014059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7"/>
        <v>49014022_49014060</v>
      </c>
      <c r="B64" s="134">
        <v>49014022</v>
      </c>
      <c r="C64" s="134">
        <v>49014060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全体攻撃+_x000D_ランダムで青のダメージパネルに最大8個変換</v>
      </c>
      <c r="F64" s="134">
        <v>49014060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thickBot="1" x14ac:dyDescent="0.2">
      <c r="A65" s="137" t="str">
        <f t="shared" si="7"/>
        <v>49014022_49014061</v>
      </c>
      <c r="B65" s="136">
        <v>49014022</v>
      </c>
      <c r="C65" s="136">
        <v>49014061</v>
      </c>
      <c r="D65" s="1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65" s="1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65" s="136">
        <v>49014061</v>
      </c>
      <c r="G65" s="119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19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5" s="119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19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19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19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119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5" s="119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119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115"/>
      <c r="Q65" s="115"/>
      <c r="R65" s="115"/>
    </row>
    <row r="66" spans="1:18" ht="21" customHeight="1" x14ac:dyDescent="0.15">
      <c r="A66" s="39" t="str">
        <f t="shared" si="7"/>
        <v>49014023_49014062</v>
      </c>
      <c r="B66" s="134">
        <v>49014023</v>
      </c>
      <c r="C66" s="134">
        <v>49014062</v>
      </c>
      <c r="D66" s="1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我の本気を見せてやろう！</v>
      </c>
      <c r="E66" s="1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真の姿を現した！_x000D_【状態異常耐性】</v>
      </c>
      <c r="F66" s="134">
        <v>49014062</v>
      </c>
      <c r="G66" s="112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112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112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12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12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12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112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112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112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108"/>
      <c r="Q66" s="108"/>
      <c r="R66" s="108"/>
    </row>
    <row r="67" spans="1:18" ht="21" customHeight="1" x14ac:dyDescent="0.15">
      <c r="A67" s="39" t="str">
        <f t="shared" si="7"/>
        <v>49014023_49014063</v>
      </c>
      <c r="B67" s="134">
        <v>49014023</v>
      </c>
      <c r="C67" s="134">
        <v>49014063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パワーラッシュ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攻撃力UP+4回連続攻撃</v>
      </c>
      <c r="F67" s="134">
        <v>49014063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7"/>
        <v>49014023_49014064</v>
      </c>
      <c r="B68" s="134">
        <v>49014023</v>
      </c>
      <c r="C68" s="134">
        <v>49014064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全体攻撃+_x000D_黄パネルを青のダメージパネルに5個変換する</v>
      </c>
      <c r="F68" s="134">
        <v>49014064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8" s="47"/>
      <c r="Q68" s="47"/>
      <c r="R68" s="47"/>
    </row>
    <row r="69" spans="1:18" ht="21" customHeight="1" x14ac:dyDescent="0.15">
      <c r="A69" s="39" t="str">
        <f t="shared" si="7"/>
        <v>49014023_49014065</v>
      </c>
      <c r="B69" s="134">
        <v>49014023</v>
      </c>
      <c r="C69" s="134">
        <v>49014065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バーンナップ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全体攻撃+残りHPの10%消費</v>
      </c>
      <c r="F69" s="134">
        <v>49014065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7"/>
      <c r="Q69" s="47"/>
      <c r="R69" s="47"/>
    </row>
    <row r="70" spans="1:18" ht="21" customHeight="1" x14ac:dyDescent="0.15">
      <c r="A70" s="39" t="str">
        <f t="shared" si="7"/>
        <v>49014023_49014066</v>
      </c>
      <c r="B70" s="134">
        <v>49014023</v>
      </c>
      <c r="C70" s="134">
        <v>49014066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ストームブリング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全体攻撃+_x000D_2ターンボムの爆風を30%DOWN</v>
      </c>
      <c r="F70" s="134">
        <v>49014066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thickBot="1" x14ac:dyDescent="0.2">
      <c r="A71" s="137" t="str">
        <f t="shared" si="7"/>
        <v>49014023_49014067</v>
      </c>
      <c r="B71" s="136">
        <v>49014023</v>
      </c>
      <c r="C71" s="136">
        <v>49014067</v>
      </c>
      <c r="D71" s="1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71" s="1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全体攻撃+_x000D_ランダムで青のダメージパネルに最大15個変換</v>
      </c>
      <c r="F71" s="136">
        <v>49014067</v>
      </c>
      <c r="G71" s="119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19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1" s="119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19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119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19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119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1" s="119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119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15"/>
      <c r="Q71" s="115"/>
      <c r="R71" s="115"/>
    </row>
    <row r="72" spans="1:18" ht="21" customHeight="1" x14ac:dyDescent="0.15">
      <c r="A72" s="39" t="str">
        <f t="shared" si="7"/>
        <v>49014024_49014068</v>
      </c>
      <c r="B72" s="134">
        <v>49014024</v>
      </c>
      <c r="C72" s="134">
        <v>49014068</v>
      </c>
      <c r="D72" s="1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全部滅ぼしてやる！</v>
      </c>
      <c r="E72" s="1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状態異常耐性+_x000D_10ターン後超強力な攻撃</v>
      </c>
      <c r="F72" s="134">
        <v>49014068</v>
      </c>
      <c r="G72" s="112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112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112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112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112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112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112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112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112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108"/>
      <c r="Q72" s="108"/>
      <c r="R72" s="108"/>
    </row>
    <row r="73" spans="1:18" ht="21" customHeight="1" x14ac:dyDescent="0.15">
      <c r="A73" s="39" t="str">
        <f t="shared" si="7"/>
        <v>49014024_49014069</v>
      </c>
      <c r="B73" s="134">
        <v>49014024</v>
      </c>
      <c r="C73" s="134">
        <v>49014069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ブルーメテオ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全体攻撃+_x000D_緑パネルと黄パネルを青のダメージパネルに変換する</v>
      </c>
      <c r="F73" s="134">
        <v>49014069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7"/>
        <v>49014024_49014070</v>
      </c>
      <c r="B74" s="134">
        <v>49014024</v>
      </c>
      <c r="C74" s="134">
        <v>49014070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フォースブラスター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74" s="134">
        <v>49014070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7"/>
        <v>49014024_49014071</v>
      </c>
      <c r="B75" s="134">
        <v>49014024</v>
      </c>
      <c r="C75" s="134">
        <v>49014071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力がみなぎる…！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両手に力が溜まっているようだ</v>
      </c>
      <c r="F75" s="134">
        <v>49014071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7"/>
        <v>49014024_49014072</v>
      </c>
      <c r="B76" s="134">
        <v>49014024</v>
      </c>
      <c r="C76" s="134">
        <v>49014072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次で終わりにする…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6" s="134">
        <v>49014072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7"/>
        <v>49014024_49014073</v>
      </c>
      <c r="B77" s="134">
        <v>49014024</v>
      </c>
      <c r="C77" s="134">
        <v>49014073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力がみなぎる…！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両手に力が溜まっているようだ</v>
      </c>
      <c r="F77" s="134">
        <v>49014073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thickBot="1" x14ac:dyDescent="0.2">
      <c r="A78" s="137" t="str">
        <f t="shared" si="7"/>
        <v>49014024_49014074</v>
      </c>
      <c r="B78" s="134">
        <v>49014024</v>
      </c>
      <c r="C78" s="134">
        <v>49014074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次で終わりにする…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8" s="134">
        <v>49014074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ref="A79:A83" si="10">B79&amp;"_"&amp;C79</f>
        <v>49014024_49014075</v>
      </c>
      <c r="B79" s="134">
        <v>49014024</v>
      </c>
      <c r="C79" s="134">
        <v>49014075</v>
      </c>
      <c r="D79" s="1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オールレンジデストロイ</v>
      </c>
      <c r="E79" s="1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究極ダメージ</v>
      </c>
      <c r="F79" s="134">
        <v>49014075</v>
      </c>
      <c r="G79" s="112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112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112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12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12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12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112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79" s="112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112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108"/>
      <c r="Q79" s="108"/>
      <c r="R79" s="108"/>
    </row>
    <row r="80" spans="1:18" ht="21" customHeight="1" x14ac:dyDescent="0.15">
      <c r="A80" s="39" t="str">
        <f t="shared" si="10"/>
        <v>49014024_49014076</v>
      </c>
      <c r="B80" s="134">
        <v>49014024</v>
      </c>
      <c r="C80" s="134">
        <v>49014076</v>
      </c>
      <c r="D80" s="1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これで終わりにする…！</v>
      </c>
      <c r="E80" s="1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次のターンに超強力な攻撃</v>
      </c>
      <c r="F80" s="134">
        <v>49014076</v>
      </c>
      <c r="G80" s="112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112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0" s="112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112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112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112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5000</v>
      </c>
      <c r="M80" s="112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112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112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108"/>
      <c r="Q80" s="108"/>
      <c r="R80" s="108"/>
    </row>
    <row r="81" spans="1:18" ht="21" customHeight="1" x14ac:dyDescent="0.15">
      <c r="A81" s="39" t="str">
        <f t="shared" si="10"/>
        <v>49014024_49014077</v>
      </c>
      <c r="B81" s="134">
        <v>49014024</v>
      </c>
      <c r="C81" s="134">
        <v>49014077</v>
      </c>
      <c r="D81" s="1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オールレンジデストロイ</v>
      </c>
      <c r="E81" s="1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究極ダメージ</v>
      </c>
      <c r="F81" s="134">
        <v>49014077</v>
      </c>
      <c r="G81" s="112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112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1" s="112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112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112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112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5000</v>
      </c>
      <c r="M81" s="112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1" s="112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112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108"/>
      <c r="Q81" s="108"/>
      <c r="R81" s="108"/>
    </row>
    <row r="82" spans="1:18" ht="21" customHeight="1" x14ac:dyDescent="0.15">
      <c r="A82" s="39" t="str">
        <f t="shared" ref="A82" si="11">B82&amp;"_"&amp;C82</f>
        <v>49014024_49014104</v>
      </c>
      <c r="B82" s="134">
        <v>49014024</v>
      </c>
      <c r="C82" s="134">
        <v>49014104</v>
      </c>
      <c r="D82" s="1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これで終わりにする…！</v>
      </c>
      <c r="E82" s="1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次のターンに超強力な攻撃</v>
      </c>
      <c r="F82" s="134">
        <v>49014082</v>
      </c>
      <c r="G82" s="112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112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2" s="112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112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112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112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112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82" s="112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112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108"/>
      <c r="Q82" s="108"/>
      <c r="R82" s="108"/>
    </row>
    <row r="83" spans="1:18" ht="21" customHeight="1" thickBot="1" x14ac:dyDescent="0.2">
      <c r="A83" s="137" t="str">
        <f t="shared" si="10"/>
        <v>49014024_49014078</v>
      </c>
      <c r="B83" s="136">
        <v>49014024</v>
      </c>
      <c r="C83" s="136">
        <v>49014078</v>
      </c>
      <c r="D83" s="1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我が目覚めるにはまだ早かったようだな…</v>
      </c>
      <c r="E83" s="1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83" s="136">
        <v>49014078</v>
      </c>
      <c r="G83" s="119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119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119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119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119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119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119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119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3" s="119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115"/>
      <c r="Q83" s="115"/>
      <c r="R83" s="115"/>
    </row>
    <row r="84" spans="1:18" ht="21" customHeight="1" x14ac:dyDescent="0.15">
      <c r="A84" s="39" t="str">
        <f t="shared" ref="A84:A98" si="12">B84&amp;"_"&amp;C84</f>
        <v>49014010_49014079</v>
      </c>
      <c r="B84" s="208">
        <v>49014010</v>
      </c>
      <c r="C84" s="208">
        <v>49014079</v>
      </c>
      <c r="D84" s="1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噂に聞いていたぞ…貴様が現代の特殊兵器か</v>
      </c>
      <c r="E84" s="1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4" s="207">
        <v>39012615</v>
      </c>
      <c r="G84" s="112" t="e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4" s="112" t="e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4" s="112" t="e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4" s="112" t="e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4" s="112" t="e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4" s="112" t="e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4" s="112" t="e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4" s="112" t="e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4" s="112" t="e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4" s="108"/>
      <c r="Q84" s="108"/>
      <c r="R84" s="108"/>
    </row>
    <row r="85" spans="1:18" ht="21" customHeight="1" x14ac:dyDescent="0.15">
      <c r="A85" s="39" t="str">
        <f t="shared" si="12"/>
        <v>49014010_49014079</v>
      </c>
      <c r="B85" s="208">
        <v>49014010</v>
      </c>
      <c r="C85" s="208">
        <v>49014079</v>
      </c>
      <c r="D85" s="1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噂に聞いていたぞ…貴様が現代の特殊兵器か</v>
      </c>
      <c r="E85" s="1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5" s="207">
        <v>39012616</v>
      </c>
      <c r="G85" s="112" t="e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5" s="112" t="e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5" s="112" t="e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5" s="112" t="e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5" s="112" t="e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5" s="112" t="e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5" s="112" t="e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5" s="112" t="e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5" s="112" t="e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5" s="108"/>
      <c r="Q85" s="108"/>
      <c r="R85" s="108"/>
    </row>
    <row r="86" spans="1:18" ht="21" customHeight="1" x14ac:dyDescent="0.15">
      <c r="A86" s="39" t="str">
        <f t="shared" si="12"/>
        <v>49014010_49014080</v>
      </c>
      <c r="B86" s="208">
        <v>49014010</v>
      </c>
      <c r="C86" s="208">
        <v>49014080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所詮は美の女神…我の敵には物足りぬな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6" s="207">
        <v>39012617</v>
      </c>
      <c r="G86" s="48" t="e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6" s="48" t="e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6" s="48" t="e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6" s="48" t="e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6" s="48" t="e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6" s="48" t="e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6" s="48" t="e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6" s="48" t="e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6" s="48" t="e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6" s="47"/>
      <c r="Q86" s="47"/>
      <c r="R86" s="47"/>
    </row>
    <row r="87" spans="1:18" ht="21" customHeight="1" x14ac:dyDescent="0.15">
      <c r="A87" s="39" t="str">
        <f t="shared" si="12"/>
        <v>49014010_49014080</v>
      </c>
      <c r="B87" s="208">
        <v>49014010</v>
      </c>
      <c r="C87" s="208">
        <v>49014080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所詮は美の女神…我の敵には物足りぬな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7" s="207">
        <v>39012618</v>
      </c>
      <c r="G87" s="48" t="e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7" s="48" t="e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7" s="48" t="e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7" s="48" t="e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7" s="48" t="e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7" s="48" t="e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7" s="48" t="e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7" s="48" t="e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7" s="48" t="e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7" s="47"/>
      <c r="Q87" s="47"/>
      <c r="R87" s="47"/>
    </row>
    <row r="88" spans="1:18" ht="21" customHeight="1" x14ac:dyDescent="0.15">
      <c r="A88" s="39" t="str">
        <f t="shared" si="12"/>
        <v>49014010_49014081</v>
      </c>
      <c r="B88" s="208">
        <v>49014010</v>
      </c>
      <c r="C88" s="208">
        <v>49014081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雷ごとき、我の前には無力よ…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8" s="207">
        <v>39012619</v>
      </c>
      <c r="G88" s="48" t="e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8" s="48" t="e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8" s="48" t="e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8" s="48" t="e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8" s="48" t="e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8" s="48" t="e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8" s="48" t="e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8" s="48" t="e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8" s="48" t="e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8" s="47"/>
      <c r="Q88" s="47"/>
      <c r="R88" s="47"/>
    </row>
    <row r="89" spans="1:18" ht="21" customHeight="1" x14ac:dyDescent="0.15">
      <c r="A89" s="39" t="str">
        <f t="shared" si="12"/>
        <v>49014010_49014081</v>
      </c>
      <c r="B89" s="208">
        <v>49014010</v>
      </c>
      <c r="C89" s="208">
        <v>49014081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雷ごとき、我の前には無力よ…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9" s="207">
        <v>39012620</v>
      </c>
      <c r="G89" s="48" t="e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9" s="48" t="e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9" s="48" t="e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9" s="48" t="e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9" s="48" t="e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9" s="48" t="e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9" s="48" t="e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9" s="48" t="e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9" s="48" t="e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9" s="47"/>
      <c r="Q89" s="47"/>
      <c r="R89" s="47"/>
    </row>
    <row r="90" spans="1:18" ht="21" customHeight="1" thickBot="1" x14ac:dyDescent="0.2">
      <c r="A90" s="137" t="str">
        <f t="shared" si="12"/>
        <v>49014010_49014082</v>
      </c>
      <c r="B90" s="208">
        <v>49014010</v>
      </c>
      <c r="C90" s="208">
        <v>49014082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自らに投資し続けた結果がそれか…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0" s="207">
        <v>39012621</v>
      </c>
      <c r="G90" s="48" t="e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0" s="48" t="e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0" s="48" t="e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0" s="48" t="e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0" s="48" t="e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0" s="48" t="e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0" s="48" t="e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0" s="48" t="e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0" s="48" t="e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0" s="47"/>
      <c r="Q90" s="47"/>
      <c r="R90" s="47"/>
    </row>
    <row r="91" spans="1:18" ht="21" customHeight="1" x14ac:dyDescent="0.15">
      <c r="A91" s="39" t="str">
        <f t="shared" si="12"/>
        <v>49014010_49014082</v>
      </c>
      <c r="B91" s="208">
        <v>49014010</v>
      </c>
      <c r="C91" s="208">
        <v>49014082</v>
      </c>
      <c r="D91" s="1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自らに投資し続けた結果がそれか…</v>
      </c>
      <c r="E91" s="1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1" s="207">
        <v>39012622</v>
      </c>
      <c r="G91" s="112" t="e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1" s="112" t="e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1" s="112" t="e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1" s="112" t="e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1" s="112" t="e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1" s="112" t="e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1" s="112" t="e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1" s="112" t="e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1" s="112" t="e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1" s="108"/>
      <c r="Q91" s="108"/>
      <c r="R91" s="108"/>
    </row>
    <row r="92" spans="1:18" ht="21" customHeight="1" x14ac:dyDescent="0.15">
      <c r="A92" s="39" t="str">
        <f t="shared" si="12"/>
        <v>49014010_49014083</v>
      </c>
      <c r="B92" s="208">
        <v>49014010</v>
      </c>
      <c r="C92" s="208">
        <v>49014083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神槍ニャングリルの使い手か…楽しませてもらうぞ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2" s="207">
        <v>39012623</v>
      </c>
      <c r="G92" s="48" t="e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2" s="48" t="e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2" s="48" t="e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2" s="48" t="e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2" s="48" t="e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2" s="48" t="e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2" s="48" t="e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2" s="48" t="e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2" s="48" t="e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2" s="47"/>
      <c r="Q92" s="47"/>
      <c r="R92" s="47"/>
    </row>
    <row r="93" spans="1:18" ht="21" customHeight="1" x14ac:dyDescent="0.15">
      <c r="A93" s="39" t="str">
        <f t="shared" si="12"/>
        <v>49014010_49014083</v>
      </c>
      <c r="B93" s="208">
        <v>49014010</v>
      </c>
      <c r="C93" s="208">
        <v>49014083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神槍ニャングリルの使い手か…楽しませてもらうぞ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3" s="207">
        <v>39012624</v>
      </c>
      <c r="G93" s="48" t="e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3" s="48" t="e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3" s="48" t="e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3" s="48" t="e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3" s="48" t="e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3" s="48" t="e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3" s="48" t="e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3" s="48" t="e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3" s="48" t="e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3" s="47"/>
      <c r="Q93" s="47"/>
      <c r="R93" s="47"/>
    </row>
    <row r="94" spans="1:18" ht="21" customHeight="1" x14ac:dyDescent="0.15">
      <c r="A94" s="39" t="str">
        <f t="shared" si="12"/>
        <v>49014010_49014083</v>
      </c>
      <c r="B94" s="208">
        <v>49014010</v>
      </c>
      <c r="C94" s="208">
        <v>49014083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神槍ニャングリルの使い手か…楽しませてもらうぞ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4" s="207">
        <v>39012625</v>
      </c>
      <c r="G94" s="48" t="e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4" s="48" t="e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4" s="48" t="e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4" s="48" t="e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4" s="48" t="e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4" s="48" t="e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4" s="48" t="e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4" s="48" t="e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4" s="48" t="e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4" s="47"/>
      <c r="Q94" s="47"/>
      <c r="R94" s="47"/>
    </row>
    <row r="95" spans="1:18" ht="21" customHeight="1" x14ac:dyDescent="0.15">
      <c r="A95" s="39" t="str">
        <f t="shared" si="12"/>
        <v>49014010_49014084</v>
      </c>
      <c r="B95" s="208">
        <v>49014010</v>
      </c>
      <c r="C95" s="208">
        <v>49014084</v>
      </c>
      <c r="D95" s="1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ううっ…こやつ…</v>
      </c>
      <c r="E95" s="1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5" s="207">
        <v>39012626</v>
      </c>
      <c r="G95" s="112" t="e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5" s="112" t="e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5" s="112" t="e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5" s="112" t="e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5" s="112" t="e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5" s="112" t="e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5" s="112" t="e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5" s="112" t="e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5" s="112" t="e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5" s="108"/>
      <c r="Q95" s="108"/>
      <c r="R95" s="108"/>
    </row>
    <row r="96" spans="1:18" ht="21" customHeight="1" x14ac:dyDescent="0.15">
      <c r="A96" s="39" t="str">
        <f t="shared" si="12"/>
        <v>49014010_49014084</v>
      </c>
      <c r="B96" s="208">
        <v>49014010</v>
      </c>
      <c r="C96" s="208">
        <v>49014084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ううっ…こやつ…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6" s="207">
        <v>39012627</v>
      </c>
      <c r="G96" s="48" t="e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6" s="48" t="e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6" s="48" t="e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6" s="48" t="e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6" s="48" t="e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6" s="48" t="e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6" s="48" t="e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6" s="48" t="e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6" s="48" t="e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6" s="47"/>
      <c r="Q96" s="47"/>
      <c r="R96" s="47"/>
    </row>
    <row r="97" spans="1:18" ht="21" customHeight="1" x14ac:dyDescent="0.15">
      <c r="A97" s="39" t="str">
        <f t="shared" si="12"/>
        <v>49014010_49014085</v>
      </c>
      <c r="B97" s="208">
        <v>49014010</v>
      </c>
      <c r="C97" s="208">
        <v>49014085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我と同じ見た目だが…実力はどうだろうな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7" s="207">
        <v>39012628</v>
      </c>
      <c r="G97" s="48" t="e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7" s="48" t="e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7" s="48" t="e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7" s="48" t="e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7" s="48" t="e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7" s="48" t="e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7" s="48" t="e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7" s="48" t="e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7" s="48" t="e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7" s="47"/>
      <c r="Q97" s="47"/>
      <c r="R97" s="47"/>
    </row>
    <row r="98" spans="1:18" ht="21" customHeight="1" thickBot="1" x14ac:dyDescent="0.2">
      <c r="A98" s="39" t="str">
        <f t="shared" si="12"/>
        <v>49014010_49014085</v>
      </c>
      <c r="B98" s="210">
        <v>49014010</v>
      </c>
      <c r="C98" s="210">
        <v>49014085</v>
      </c>
      <c r="D98" s="1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我と同じ見た目だが…実力はどうだろうな</v>
      </c>
      <c r="E98" s="1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8" s="135">
        <v>39012629</v>
      </c>
      <c r="G98" s="119" t="e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8" s="119" t="e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8" s="119" t="e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8" s="119" t="e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8" s="119" t="e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8" s="119" t="e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8" s="119" t="e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8" s="119" t="e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8" s="119" t="e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8" s="115"/>
      <c r="Q98" s="115"/>
      <c r="R98" s="115"/>
    </row>
    <row r="99" spans="1:18" ht="21" customHeight="1" x14ac:dyDescent="0.15">
      <c r="A99" s="39" t="str">
        <f t="shared" ref="A99:A113" si="13">B105&amp;"_"&amp;C99</f>
        <v>49014012_49014086</v>
      </c>
      <c r="B99" s="208">
        <v>49014012</v>
      </c>
      <c r="C99" s="234">
        <v>49014086</v>
      </c>
      <c r="D99" s="1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さすがは闇の怪人…_x000D_敬意を表するとしよう</v>
      </c>
      <c r="E99" s="1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99" s="234">
        <v>39012660</v>
      </c>
      <c r="G99" s="112" t="e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99" s="112" t="e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99" s="112" t="e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99" s="112" t="e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99" s="112" t="e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99" s="112" t="e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99" s="112" t="e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99" s="112" t="e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99" s="112" t="e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99" s="108"/>
      <c r="Q99" s="108"/>
      <c r="R99" s="108"/>
    </row>
    <row r="100" spans="1:18" ht="21" customHeight="1" x14ac:dyDescent="0.15">
      <c r="A100" s="39" t="str">
        <f t="shared" si="13"/>
        <v>49014012_49014086</v>
      </c>
      <c r="B100" s="208">
        <v>49014012</v>
      </c>
      <c r="C100" s="211">
        <v>49014086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さすがは闇の怪人…_x000D_敬意を表するとしよう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0" s="234">
        <v>39012661</v>
      </c>
      <c r="G100" s="48" t="e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0" s="48" t="e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0" s="48" t="e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0" s="48" t="e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0" s="48" t="e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0" s="48" t="e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0" s="48" t="e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0" s="48" t="e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0" s="48" t="e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0" s="47"/>
      <c r="Q100" s="47"/>
      <c r="R100" s="47"/>
    </row>
    <row r="101" spans="1:18" ht="21" customHeight="1" x14ac:dyDescent="0.15">
      <c r="A101" s="39" t="str">
        <f t="shared" si="13"/>
        <v>49014012_49014087</v>
      </c>
      <c r="B101" s="208">
        <v>49014012</v>
      </c>
      <c r="C101" s="211">
        <v>49014087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侮っていたようだな…_x000D_ここは無礼を詫びるとしよう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1" s="234">
        <v>39012662</v>
      </c>
      <c r="G101" s="48" t="e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1" s="48" t="e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1" s="48" t="e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1" s="48" t="e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1" s="48" t="e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1" s="48" t="e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1" s="48" t="e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1" s="48" t="e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1" s="48" t="e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1" s="47"/>
      <c r="Q101" s="47"/>
      <c r="R101" s="47"/>
    </row>
    <row r="102" spans="1:18" ht="21" customHeight="1" x14ac:dyDescent="0.15">
      <c r="A102" s="39" t="str">
        <f t="shared" si="13"/>
        <v>49014012_49014087</v>
      </c>
      <c r="B102" s="208">
        <v>49014012</v>
      </c>
      <c r="C102" s="211">
        <v>49014087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侮っていたようだな…_x000D_ここは無礼を詫びるとしよう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2" s="234">
        <v>39012663</v>
      </c>
      <c r="G102" s="48" t="e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2" s="48" t="e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2" s="48" t="e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2" s="48" t="e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2" s="48" t="e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2" s="48" t="e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2" s="48" t="e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2" s="48" t="e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2" s="48" t="e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2" s="47"/>
      <c r="Q102" s="47"/>
      <c r="R102" s="47"/>
    </row>
    <row r="103" spans="1:18" ht="21" customHeight="1" x14ac:dyDescent="0.15">
      <c r="A103" s="39" t="str">
        <f t="shared" si="13"/>
        <v>49014012_49014088</v>
      </c>
      <c r="B103" s="208">
        <v>49014012</v>
      </c>
      <c r="C103" s="211">
        <v>49014088</v>
      </c>
      <c r="D103" s="1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さすがは雷の化身だ…_x000D_我に勝利したことを誇りに思うがいい</v>
      </c>
      <c r="E103" s="1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3" s="234">
        <v>39012664</v>
      </c>
      <c r="G103" s="112" t="e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3" s="112" t="e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3" s="112" t="e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3" s="112" t="e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3" s="112" t="e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3" s="112" t="e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3" s="112" t="e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3" s="112" t="e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3" s="112" t="e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3" s="108"/>
      <c r="Q103" s="108"/>
      <c r="R103" s="108"/>
    </row>
    <row r="104" spans="1:18" ht="21" customHeight="1" x14ac:dyDescent="0.15">
      <c r="A104" s="39" t="str">
        <f t="shared" si="13"/>
        <v>49014012_49014088</v>
      </c>
      <c r="B104" s="208">
        <v>49014012</v>
      </c>
      <c r="C104" s="211">
        <v>49014088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さすがは雷の化身だ…_x000D_我に勝利したことを誇りに思うがいい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4" s="234">
        <v>39012665</v>
      </c>
      <c r="G104" s="48" t="e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4" s="48" t="e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4" s="48" t="e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4" s="48" t="e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4" s="48" t="e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4" s="48" t="e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4" s="48" t="e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4" s="48" t="e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4" s="48" t="e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4" s="47"/>
      <c r="Q104" s="47"/>
      <c r="R104" s="47"/>
    </row>
    <row r="105" spans="1:18" ht="21" customHeight="1" x14ac:dyDescent="0.15">
      <c r="A105" s="39" t="str">
        <f t="shared" si="13"/>
        <v>49014012_49014089</v>
      </c>
      <c r="B105" s="208">
        <v>49014012</v>
      </c>
      <c r="C105" s="211">
        <v>49014089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どうやら実力は本物のようだな…油断したぞ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5" s="234">
        <v>39012666</v>
      </c>
      <c r="G105" s="48" t="e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5" s="48" t="e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5" s="48" t="e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5" s="48" t="e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5" s="48" t="e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5" s="48" t="e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5" s="48" t="e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5" s="48" t="e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5" s="48" t="e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5" s="47"/>
      <c r="Q105" s="47"/>
      <c r="R105" s="47"/>
    </row>
    <row r="106" spans="1:18" ht="21" customHeight="1" x14ac:dyDescent="0.15">
      <c r="A106" s="39" t="str">
        <f t="shared" si="13"/>
        <v>49014012_49014089</v>
      </c>
      <c r="B106" s="208">
        <v>49014012</v>
      </c>
      <c r="C106" s="211">
        <v>49014089</v>
      </c>
      <c r="D106" s="14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どうやら実力は本物のようだな…油断したぞ</v>
      </c>
      <c r="E106" s="14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6" s="234">
        <v>39012667</v>
      </c>
      <c r="G106" s="112" t="e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6" s="112" t="e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6" s="112" t="e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6" s="112" t="e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6" s="112" t="e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6" s="112" t="e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6" s="112" t="e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6" s="112" t="e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6" s="112" t="e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6" s="108"/>
      <c r="Q106" s="108"/>
      <c r="R106" s="108"/>
    </row>
    <row r="107" spans="1:18" ht="21" customHeight="1" x14ac:dyDescent="0.15">
      <c r="A107" s="39" t="str">
        <f t="shared" si="13"/>
        <v>49014012_49014090</v>
      </c>
      <c r="B107" s="208">
        <v>49014012</v>
      </c>
      <c r="C107" s="211">
        <v>49014090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さすが神槍の使い手に選ばれた者だ…_x000D_我の負けだ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7" s="234">
        <v>39012668</v>
      </c>
      <c r="G107" s="48" t="e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7" s="48" t="e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7" s="48" t="e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7" s="48" t="e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7" s="48" t="e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7" s="48" t="e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7" s="48" t="e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7" s="48" t="e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7" s="48" t="e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7" s="47"/>
      <c r="Q107" s="47"/>
      <c r="R107" s="47"/>
    </row>
    <row r="108" spans="1:18" ht="21" customHeight="1" x14ac:dyDescent="0.15">
      <c r="A108" s="39" t="str">
        <f t="shared" si="13"/>
        <v>49014022_49014090</v>
      </c>
      <c r="B108" s="208">
        <v>49014012</v>
      </c>
      <c r="C108" s="211">
        <v>49014090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さすが神槍の使い手に選ばれた者だ…_x000D_我の負けだ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8" s="234">
        <v>39012669</v>
      </c>
      <c r="G108" s="48" t="e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8" s="48" t="e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8" s="48" t="e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8" s="48" t="e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8" s="48" t="e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8" s="48" t="e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8" s="48" t="e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8" s="48" t="e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8" s="48" t="e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8" s="47"/>
      <c r="Q108" s="47"/>
      <c r="R108" s="47"/>
    </row>
    <row r="109" spans="1:18" ht="21" customHeight="1" x14ac:dyDescent="0.15">
      <c r="A109" s="39" t="str">
        <f t="shared" si="13"/>
        <v>49014022_49014090</v>
      </c>
      <c r="B109" s="208">
        <v>49014012</v>
      </c>
      <c r="C109" s="211">
        <v>49014090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さすが神槍の使い手に選ばれた者だ…_x000D_我の負けだ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09" s="234">
        <v>39012670</v>
      </c>
      <c r="G109" s="48" t="e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09" s="48" t="e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09" s="48" t="e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09" s="48" t="e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09" s="48" t="e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09" s="48" t="e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09" s="48" t="e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09" s="48" t="e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09" s="48" t="e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09" s="47"/>
      <c r="Q109" s="47"/>
      <c r="R109" s="47"/>
    </row>
    <row r="110" spans="1:18" ht="21" customHeight="1" x14ac:dyDescent="0.15">
      <c r="A110" s="39" t="str">
        <f t="shared" si="13"/>
        <v>49014022_49014091</v>
      </c>
      <c r="B110" s="208">
        <v>49014012</v>
      </c>
      <c r="C110" s="211">
        <v>49014091</v>
      </c>
      <c r="D110" s="14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油断した…完全に油断したぞ…_x000D_かわいい見た目をしおって…</v>
      </c>
      <c r="E110" s="14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10" s="234">
        <v>39012671</v>
      </c>
      <c r="G110" s="112" t="e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0" s="112" t="e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0" s="112" t="e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0" s="112" t="e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0" s="112" t="e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0" s="112" t="e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0" s="112" t="e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0" s="112" t="e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0" s="112" t="e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0" s="108"/>
      <c r="Q110" s="108"/>
      <c r="R110" s="108"/>
    </row>
    <row r="111" spans="1:18" ht="21" customHeight="1" x14ac:dyDescent="0.15">
      <c r="A111" s="39" t="str">
        <f t="shared" si="13"/>
        <v>49014022_49014091</v>
      </c>
      <c r="B111" s="208">
        <v>49014012</v>
      </c>
      <c r="C111" s="211">
        <v>49014091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油断した…完全に油断したぞ…_x000D_かわいい見た目をしおって…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11" s="234">
        <v>39012672</v>
      </c>
      <c r="G111" s="48" t="e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1" s="48" t="e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1" s="48" t="e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1" s="48" t="e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1" s="48" t="e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1" s="48" t="e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1" s="48" t="e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1" s="48" t="e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1" s="48" t="e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1" s="47"/>
      <c r="Q111" s="47"/>
      <c r="R111" s="47"/>
    </row>
    <row r="112" spans="1:18" ht="21" customHeight="1" x14ac:dyDescent="0.15">
      <c r="A112" s="39" t="str">
        <f t="shared" si="13"/>
        <v>49014022_49014092</v>
      </c>
      <c r="B112" s="208">
        <v>49014012</v>
      </c>
      <c r="C112" s="211">
        <v>49014092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貴様も超古代兵器か…_x000D_我よりも一枚上手だったようだ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12" s="234">
        <v>39012673</v>
      </c>
      <c r="G112" s="48" t="e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2" s="48" t="e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2" s="48" t="e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2" s="48" t="e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2" s="48" t="e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2" s="48" t="e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2" s="48" t="e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2" s="48" t="e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2" s="48" t="e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2" s="47"/>
      <c r="Q112" s="47"/>
      <c r="R112" s="47"/>
    </row>
    <row r="113" spans="1:18" ht="21" customHeight="1" thickBot="1" x14ac:dyDescent="0.2">
      <c r="A113" s="39" t="str">
        <f t="shared" si="13"/>
        <v>49014022_49014092</v>
      </c>
      <c r="B113" s="210">
        <v>49014012</v>
      </c>
      <c r="C113" s="212">
        <v>49014092</v>
      </c>
      <c r="D113" s="145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貴様も超古代兵器か…_x000D_我よりも一枚上手だったようだ</v>
      </c>
      <c r="E113" s="145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13" s="212">
        <v>39012674</v>
      </c>
      <c r="G113" s="119" t="e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3" s="119" t="e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3" s="119" t="e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3" s="119" t="e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3" s="119" t="e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3" s="119" t="e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3" s="119" t="e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3" s="119" t="e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3" s="119" t="e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3" s="115"/>
      <c r="Q113" s="115"/>
      <c r="R113" s="115"/>
    </row>
    <row r="114" spans="1:18" ht="21" customHeight="1" x14ac:dyDescent="0.15">
      <c r="A114" s="39" t="str">
        <f t="shared" ref="A114:A118" si="14">B114&amp;"_"&amp;C114</f>
        <v>49014022_49014079</v>
      </c>
      <c r="B114" s="208">
        <v>49014022</v>
      </c>
      <c r="C114" s="208">
        <v>49014079</v>
      </c>
      <c r="D114" s="144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噂に聞いていたぞ…貴様が現代の特殊兵器か</v>
      </c>
      <c r="E114" s="14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4" s="207">
        <v>39012615</v>
      </c>
      <c r="G114" s="112" t="e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4" s="112" t="e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4" s="112" t="e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4" s="112" t="e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4" s="112" t="e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4" s="112" t="e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4" s="112" t="e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4" s="112" t="e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4" s="112" t="e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4" s="108"/>
      <c r="Q114" s="108"/>
      <c r="R114" s="108"/>
    </row>
    <row r="115" spans="1:18" ht="21" customHeight="1" x14ac:dyDescent="0.15">
      <c r="A115" s="39" t="str">
        <f t="shared" si="14"/>
        <v>49014022_49014079</v>
      </c>
      <c r="B115" s="208">
        <v>49014022</v>
      </c>
      <c r="C115" s="208">
        <v>49014079</v>
      </c>
      <c r="D115" s="144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噂に聞いていたぞ…貴様が現代の特殊兵器か</v>
      </c>
      <c r="E115" s="144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5" s="207">
        <v>39012616</v>
      </c>
      <c r="G115" s="112" t="e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5" s="112" t="e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5" s="112" t="e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5" s="112" t="e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5" s="112" t="e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5" s="112" t="e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5" s="112" t="e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5" s="112" t="e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5" s="112" t="e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5" s="108"/>
      <c r="Q115" s="108"/>
      <c r="R115" s="108"/>
    </row>
    <row r="116" spans="1:18" ht="21" customHeight="1" x14ac:dyDescent="0.15">
      <c r="A116" s="39" t="str">
        <f t="shared" si="14"/>
        <v>49014022_49014080</v>
      </c>
      <c r="B116" s="208">
        <v>49014022</v>
      </c>
      <c r="C116" s="208">
        <v>49014080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所詮は美の女神…我の敵には物足りぬな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6" s="207">
        <v>39012617</v>
      </c>
      <c r="G116" s="48" t="e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6" s="48" t="e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6" s="48" t="e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6" s="48" t="e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6" s="48" t="e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6" s="48" t="e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6" s="48" t="e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6" s="48" t="e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6" s="48" t="e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6" s="47"/>
      <c r="Q116" s="47"/>
      <c r="R116" s="47"/>
    </row>
    <row r="117" spans="1:18" ht="21" customHeight="1" x14ac:dyDescent="0.15">
      <c r="A117" s="39" t="str">
        <f t="shared" si="14"/>
        <v>49014022_49014080</v>
      </c>
      <c r="B117" s="208">
        <v>49014022</v>
      </c>
      <c r="C117" s="208">
        <v>49014080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所詮は美の女神…我の敵には物足りぬな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7" s="207">
        <v>39012618</v>
      </c>
      <c r="G117" s="48" t="e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7" s="48" t="e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7" s="48" t="e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7" s="48" t="e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7" s="48" t="e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7" s="48" t="e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7" s="48" t="e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7" s="48" t="e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7" s="48" t="e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7" s="47"/>
      <c r="Q117" s="47"/>
      <c r="R117" s="47"/>
    </row>
    <row r="118" spans="1:18" ht="21" customHeight="1" x14ac:dyDescent="0.15">
      <c r="A118" s="39" t="str">
        <f t="shared" si="14"/>
        <v>49014022_49014081</v>
      </c>
      <c r="B118" s="208">
        <v>49014022</v>
      </c>
      <c r="C118" s="208">
        <v>49014081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雷ごとき、我の前には無力よ…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8" s="207">
        <v>39012619</v>
      </c>
      <c r="G118" s="48" t="e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8" s="48" t="e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8" s="48" t="e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8" s="48" t="e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8" s="48" t="e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8" s="48" t="e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8" s="48" t="e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8" s="48" t="e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8" s="48" t="e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8" s="47"/>
      <c r="Q118" s="47"/>
      <c r="R118" s="47"/>
    </row>
    <row r="119" spans="1:18" ht="21" customHeight="1" x14ac:dyDescent="0.15">
      <c r="A119" s="39" t="str">
        <f t="shared" ref="A119" si="15">B119&amp;"_"&amp;C119</f>
        <v>49014022_49014081</v>
      </c>
      <c r="B119" s="208">
        <v>49014022</v>
      </c>
      <c r="C119" s="208">
        <v>49014081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雷ごとき、我の前には無力よ…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9" s="207">
        <v>39012620</v>
      </c>
      <c r="G119" s="48" t="e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19" s="48" t="e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19" s="48" t="e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19" s="48" t="e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19" s="48" t="e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19" s="48" t="e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19" s="48" t="e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19" s="48" t="e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19" s="48" t="e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19" s="47"/>
      <c r="Q119" s="47"/>
      <c r="R119" s="47"/>
    </row>
    <row r="120" spans="1:18" ht="21" customHeight="1" thickBot="1" x14ac:dyDescent="0.2">
      <c r="A120" s="137" t="str">
        <f t="shared" ref="A120:A142" si="16">B120&amp;"_"&amp;C120</f>
        <v>49014022_49014082</v>
      </c>
      <c r="B120" s="208">
        <v>49014022</v>
      </c>
      <c r="C120" s="208">
        <v>49014082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自らに投資し続けた結果がそれか…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0" s="207">
        <v>39012621</v>
      </c>
      <c r="G120" s="48" t="e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0" s="48" t="e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0" s="48" t="e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0" s="48" t="e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0" s="48" t="e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0" s="48" t="e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0" s="48" t="e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0" s="48" t="e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0" s="48" t="e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0" s="47"/>
      <c r="Q120" s="47"/>
      <c r="R120" s="47"/>
    </row>
    <row r="121" spans="1:18" ht="21" customHeight="1" x14ac:dyDescent="0.15">
      <c r="A121" s="39" t="str">
        <f t="shared" si="16"/>
        <v>49014022_49014082</v>
      </c>
      <c r="B121" s="208">
        <v>49014022</v>
      </c>
      <c r="C121" s="208">
        <v>49014082</v>
      </c>
      <c r="D121" s="144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自らに投資し続けた結果がそれか…</v>
      </c>
      <c r="E121" s="144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1" s="207">
        <v>39012622</v>
      </c>
      <c r="G121" s="112" t="e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1" s="112" t="e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1" s="112" t="e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1" s="112" t="e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1" s="112" t="e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1" s="112" t="e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1" s="112" t="e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1" s="112" t="e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1" s="112" t="e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1" s="108"/>
      <c r="Q121" s="108"/>
      <c r="R121" s="108"/>
    </row>
    <row r="122" spans="1:18" ht="21" customHeight="1" x14ac:dyDescent="0.15">
      <c r="A122" s="39" t="str">
        <f t="shared" si="16"/>
        <v>49014022_49014083</v>
      </c>
      <c r="B122" s="208">
        <v>49014022</v>
      </c>
      <c r="C122" s="208">
        <v>49014083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神槍ニャングリルの使い手か…楽しませてもらうぞ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2" s="207">
        <v>39012623</v>
      </c>
      <c r="G122" s="48" t="e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2" s="48" t="e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2" s="48" t="e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2" s="48" t="e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2" s="48" t="e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2" s="48" t="e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2" s="48" t="e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2" s="48" t="e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2" s="48" t="e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2" s="47"/>
      <c r="Q122" s="47"/>
      <c r="R122" s="47"/>
    </row>
    <row r="123" spans="1:18" ht="21" customHeight="1" x14ac:dyDescent="0.15">
      <c r="A123" s="39" t="str">
        <f t="shared" si="16"/>
        <v>49014022_49014083</v>
      </c>
      <c r="B123" s="208">
        <v>49014022</v>
      </c>
      <c r="C123" s="208">
        <v>49014083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神槍ニャングリルの使い手か…楽しませてもらうぞ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3" s="207">
        <v>39012624</v>
      </c>
      <c r="G123" s="48" t="e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3" s="48" t="e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3" s="48" t="e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3" s="48" t="e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3" s="48" t="e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3" s="48" t="e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3" s="48" t="e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3" s="48" t="e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3" s="48" t="e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3" s="47"/>
      <c r="Q123" s="47"/>
      <c r="R123" s="47"/>
    </row>
    <row r="124" spans="1:18" ht="21" customHeight="1" x14ac:dyDescent="0.15">
      <c r="A124" s="39" t="str">
        <f t="shared" si="16"/>
        <v>49014022_49014083</v>
      </c>
      <c r="B124" s="208">
        <v>49014022</v>
      </c>
      <c r="C124" s="208">
        <v>49014083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神槍ニャングリルの使い手か…楽しませてもらうぞ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4" s="207">
        <v>39012625</v>
      </c>
      <c r="G124" s="48" t="e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4" s="48" t="e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4" s="48" t="e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4" s="48" t="e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4" s="48" t="e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4" s="48" t="e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4" s="48" t="e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4" s="48" t="e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4" s="48" t="e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4" s="47"/>
      <c r="Q124" s="47"/>
      <c r="R124" s="47"/>
    </row>
    <row r="125" spans="1:18" ht="21" customHeight="1" x14ac:dyDescent="0.15">
      <c r="A125" s="39" t="str">
        <f t="shared" si="16"/>
        <v>49014022_49014084</v>
      </c>
      <c r="B125" s="208">
        <v>49014022</v>
      </c>
      <c r="C125" s="208">
        <v>49014084</v>
      </c>
      <c r="D125" s="144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ううっ…こやつ…</v>
      </c>
      <c r="E125" s="144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5" s="207">
        <v>39012626</v>
      </c>
      <c r="G125" s="112" t="e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5" s="112" t="e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5" s="112" t="e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5" s="112" t="e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5" s="112" t="e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5" s="112" t="e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5" s="112" t="e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5" s="112" t="e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5" s="112" t="e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5" s="108"/>
      <c r="Q125" s="108"/>
      <c r="R125" s="108"/>
    </row>
    <row r="126" spans="1:18" ht="21" customHeight="1" x14ac:dyDescent="0.15">
      <c r="A126" s="39" t="str">
        <f t="shared" si="16"/>
        <v>49014022_49014084</v>
      </c>
      <c r="B126" s="208">
        <v>49014022</v>
      </c>
      <c r="C126" s="208">
        <v>49014084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ううっ…こやつ…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6" s="207">
        <v>39012627</v>
      </c>
      <c r="G126" s="48" t="e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6" s="48" t="e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6" s="48" t="e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6" s="48" t="e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6" s="48" t="e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6" s="48" t="e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6" s="48" t="e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6" s="48" t="e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6" s="48" t="e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6" s="47"/>
      <c r="Q126" s="47"/>
      <c r="R126" s="47"/>
    </row>
    <row r="127" spans="1:18" ht="21" customHeight="1" x14ac:dyDescent="0.15">
      <c r="A127" s="39" t="str">
        <f t="shared" si="16"/>
        <v>49014022_49014085</v>
      </c>
      <c r="B127" s="208">
        <v>49014022</v>
      </c>
      <c r="C127" s="208">
        <v>49014085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我と同じ見た目だが…実力はどうだろうな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7" s="207">
        <v>39012628</v>
      </c>
      <c r="G127" s="48" t="e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7" s="48" t="e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7" s="48" t="e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7" s="48" t="e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7" s="48" t="e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7" s="48" t="e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7" s="48" t="e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7" s="48" t="e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7" s="48" t="e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7" s="47"/>
      <c r="Q127" s="47"/>
      <c r="R127" s="47"/>
    </row>
    <row r="128" spans="1:18" ht="21" customHeight="1" thickBot="1" x14ac:dyDescent="0.2">
      <c r="A128" s="137" t="str">
        <f t="shared" ref="A128" si="17">B128&amp;"_"&amp;C128</f>
        <v>49014022_49014085</v>
      </c>
      <c r="B128" s="209">
        <v>49014022</v>
      </c>
      <c r="C128" s="210">
        <v>49014085</v>
      </c>
      <c r="D128" s="214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我と同じ見た目だが…実力はどうだろうな</v>
      </c>
      <c r="E128" s="214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8" s="135">
        <v>39012629</v>
      </c>
      <c r="G128" s="154" t="e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8" s="154" t="e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8" s="154" t="e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8" s="154" t="e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8" s="154" t="e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8" s="154" t="e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8" s="154" t="e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8" s="154" t="e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8" s="154" t="e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8" s="147"/>
      <c r="Q128" s="147"/>
      <c r="R128" s="147"/>
    </row>
    <row r="129" spans="1:18" ht="21" customHeight="1" x14ac:dyDescent="0.15">
      <c r="A129" s="39" t="str">
        <f t="shared" si="16"/>
        <v>49014024_49014086</v>
      </c>
      <c r="B129" s="208">
        <v>49014024</v>
      </c>
      <c r="C129" s="234">
        <v>49014086</v>
      </c>
      <c r="D129" s="144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さすがは闇の怪人…_x000D_敬意を表するとしよう</v>
      </c>
      <c r="E129" s="144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29" s="234">
        <v>39012660</v>
      </c>
      <c r="G129" s="112" t="e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29" s="112" t="e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29" s="112" t="e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29" s="112" t="e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29" s="112" t="e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29" s="112" t="e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29" s="112" t="e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29" s="112" t="e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29" s="112" t="e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29" s="108"/>
      <c r="Q129" s="108"/>
      <c r="R129" s="108"/>
    </row>
    <row r="130" spans="1:18" ht="21" customHeight="1" x14ac:dyDescent="0.15">
      <c r="A130" s="39" t="str">
        <f t="shared" si="16"/>
        <v>49014024_49014086</v>
      </c>
      <c r="B130" s="208">
        <v>49014024</v>
      </c>
      <c r="C130" s="211">
        <v>49014086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さすがは闇の怪人…_x000D_敬意を表するとしよう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0" s="234">
        <v>39012661</v>
      </c>
      <c r="G130" s="48" t="e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0" s="48" t="e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0" s="48" t="e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0" s="48" t="e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0" s="48" t="e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0" s="48" t="e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0" s="48" t="e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0" s="48" t="e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0" s="48" t="e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0" s="47"/>
      <c r="Q130" s="47"/>
      <c r="R130" s="47"/>
    </row>
    <row r="131" spans="1:18" ht="21" customHeight="1" x14ac:dyDescent="0.15">
      <c r="A131" s="39" t="str">
        <f t="shared" si="16"/>
        <v>49014024_49014087</v>
      </c>
      <c r="B131" s="208">
        <v>49014024</v>
      </c>
      <c r="C131" s="211">
        <v>49014087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侮っていたようだな…_x000D_ここは無礼を詫びるとしよう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1" s="234">
        <v>39012662</v>
      </c>
      <c r="G131" s="48" t="e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1" s="48" t="e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1" s="48" t="e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1" s="48" t="e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1" s="48" t="e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1" s="48" t="e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1" s="48" t="e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1" s="48" t="e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1" s="48" t="e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1" s="47"/>
      <c r="Q131" s="47"/>
      <c r="R131" s="47"/>
    </row>
    <row r="132" spans="1:18" ht="21" customHeight="1" x14ac:dyDescent="0.15">
      <c r="A132" s="39" t="str">
        <f t="shared" si="16"/>
        <v>49014024_49014087</v>
      </c>
      <c r="B132" s="208">
        <v>49014024</v>
      </c>
      <c r="C132" s="211">
        <v>49014087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侮っていたようだな…_x000D_ここは無礼を詫びるとしよう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2" s="234">
        <v>39012663</v>
      </c>
      <c r="G132" s="48" t="e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2" s="48" t="e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2" s="48" t="e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2" s="48" t="e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2" s="48" t="e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2" s="48" t="e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2" s="48" t="e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2" s="48" t="e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2" s="48" t="e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2" s="47"/>
      <c r="Q132" s="47"/>
      <c r="R132" s="47"/>
    </row>
    <row r="133" spans="1:18" ht="21" customHeight="1" x14ac:dyDescent="0.15">
      <c r="A133" s="39" t="str">
        <f t="shared" si="16"/>
        <v>49014024_49014088</v>
      </c>
      <c r="B133" s="208">
        <v>49014024</v>
      </c>
      <c r="C133" s="211">
        <v>49014088</v>
      </c>
      <c r="D133" s="144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さすがは雷の化身だ…_x000D_我に勝利したことを誇りに思うがいい</v>
      </c>
      <c r="E133" s="144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3" s="234">
        <v>39012664</v>
      </c>
      <c r="G133" s="112" t="e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3" s="112" t="e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3" s="112" t="e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3" s="112" t="e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3" s="112" t="e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3" s="112" t="e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3" s="112" t="e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3" s="112" t="e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3" s="112" t="e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3" s="108"/>
      <c r="Q133" s="108"/>
      <c r="R133" s="108"/>
    </row>
    <row r="134" spans="1:18" ht="21" customHeight="1" x14ac:dyDescent="0.15">
      <c r="A134" s="39" t="str">
        <f t="shared" si="16"/>
        <v>49014024_49014088</v>
      </c>
      <c r="B134" s="208">
        <v>49014024</v>
      </c>
      <c r="C134" s="211">
        <v>49014088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さすがは雷の化身だ…_x000D_我に勝利したことを誇りに思うがいい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4" s="234">
        <v>39012665</v>
      </c>
      <c r="G134" s="48" t="e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4" s="48" t="e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4" s="48" t="e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4" s="48" t="e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4" s="48" t="e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4" s="48" t="e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4" s="48" t="e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4" s="48" t="e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4" s="48" t="e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4" s="47"/>
      <c r="Q134" s="47"/>
      <c r="R134" s="47"/>
    </row>
    <row r="135" spans="1:18" ht="21" customHeight="1" x14ac:dyDescent="0.15">
      <c r="A135" s="39" t="str">
        <f t="shared" si="16"/>
        <v>49014024_49014089</v>
      </c>
      <c r="B135" s="208">
        <v>49014024</v>
      </c>
      <c r="C135" s="211">
        <v>49014089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どうやら実力は本物のようだな…油断したぞ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5" s="234">
        <v>39012666</v>
      </c>
      <c r="G135" s="48" t="e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5" s="48" t="e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5" s="48" t="e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5" s="48" t="e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5" s="48" t="e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5" s="48" t="e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5" s="48" t="e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5" s="48" t="e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5" s="48" t="e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5" s="47"/>
      <c r="Q135" s="47"/>
      <c r="R135" s="47"/>
    </row>
    <row r="136" spans="1:18" ht="21" customHeight="1" x14ac:dyDescent="0.15">
      <c r="A136" s="39" t="str">
        <f t="shared" si="16"/>
        <v>49014024_49014089</v>
      </c>
      <c r="B136" s="208">
        <v>49014024</v>
      </c>
      <c r="C136" s="211">
        <v>49014089</v>
      </c>
      <c r="D136" s="144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どうやら実力は本物のようだな…油断したぞ</v>
      </c>
      <c r="E136" s="144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6" s="234">
        <v>39012667</v>
      </c>
      <c r="G136" s="112" t="e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6" s="112" t="e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6" s="112" t="e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6" s="112" t="e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6" s="112" t="e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6" s="112" t="e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6" s="112" t="e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6" s="112" t="e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6" s="112" t="e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6" s="108"/>
      <c r="Q136" s="108"/>
      <c r="R136" s="108"/>
    </row>
    <row r="137" spans="1:18" ht="21" customHeight="1" x14ac:dyDescent="0.15">
      <c r="A137" s="39" t="str">
        <f t="shared" si="16"/>
        <v>49014024_49014090</v>
      </c>
      <c r="B137" s="208">
        <v>49014024</v>
      </c>
      <c r="C137" s="211">
        <v>49014090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さすが神槍の使い手に選ばれた者だ…_x000D_我の負けだ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7" s="234">
        <v>39012668</v>
      </c>
      <c r="G137" s="48" t="e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7" s="48" t="e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7" s="48" t="e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7" s="48" t="e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7" s="48" t="e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7" s="48" t="e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7" s="48" t="e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7" s="48" t="e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7" s="48" t="e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7" s="47"/>
      <c r="Q137" s="47"/>
      <c r="R137" s="47"/>
    </row>
    <row r="138" spans="1:18" ht="21" customHeight="1" x14ac:dyDescent="0.15">
      <c r="A138" s="39" t="str">
        <f t="shared" si="16"/>
        <v>49014024_49014090</v>
      </c>
      <c r="B138" s="208">
        <v>49014024</v>
      </c>
      <c r="C138" s="211">
        <v>49014090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さすが神槍の使い手に選ばれた者だ…_x000D_我の負けだ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8" s="234">
        <v>39012669</v>
      </c>
      <c r="G138" s="48" t="e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8" s="48" t="e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8" s="48" t="e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8" s="48" t="e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8" s="48" t="e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8" s="48" t="e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8" s="48" t="e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8" s="48" t="e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8" s="48" t="e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8" s="47"/>
      <c r="Q138" s="47"/>
      <c r="R138" s="47"/>
    </row>
    <row r="139" spans="1:18" ht="21" customHeight="1" x14ac:dyDescent="0.15">
      <c r="A139" s="39" t="str">
        <f t="shared" si="16"/>
        <v>49014024_49014090</v>
      </c>
      <c r="B139" s="208">
        <v>49014024</v>
      </c>
      <c r="C139" s="211">
        <v>49014090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さすが神槍の使い手に選ばれた者だ…_x000D_我の負けだ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39" s="234">
        <v>39012670</v>
      </c>
      <c r="G139" s="48" t="e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39" s="48" t="e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39" s="48" t="e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39" s="48" t="e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39" s="48" t="e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39" s="48" t="e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39" s="48" t="e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39" s="48" t="e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39" s="48" t="e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39" s="47"/>
      <c r="Q139" s="47"/>
      <c r="R139" s="47"/>
    </row>
    <row r="140" spans="1:18" ht="21" customHeight="1" x14ac:dyDescent="0.15">
      <c r="A140" s="39" t="str">
        <f t="shared" si="16"/>
        <v>49014024_49014091</v>
      </c>
      <c r="B140" s="208">
        <v>49014024</v>
      </c>
      <c r="C140" s="211">
        <v>49014091</v>
      </c>
      <c r="D140" s="144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油断した…完全に油断したぞ…_x000D_かわいい見た目をしおって…</v>
      </c>
      <c r="E140" s="144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40" s="234">
        <v>39012671</v>
      </c>
      <c r="G140" s="112" t="e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0" s="112" t="e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0" s="112" t="e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0" s="112" t="e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0" s="112" t="e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0" s="112" t="e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0" s="112" t="e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0" s="112" t="e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0" s="112" t="e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0" s="108"/>
      <c r="Q140" s="108"/>
      <c r="R140" s="108"/>
    </row>
    <row r="141" spans="1:18" ht="21" customHeight="1" x14ac:dyDescent="0.15">
      <c r="A141" s="39" t="str">
        <f t="shared" si="16"/>
        <v>49014024_49014091</v>
      </c>
      <c r="B141" s="208">
        <v>49014024</v>
      </c>
      <c r="C141" s="211">
        <v>49014091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油断した…完全に油断したぞ…_x000D_かわいい見た目をしおって…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41" s="234">
        <v>39012672</v>
      </c>
      <c r="G141" s="48" t="e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1" s="48" t="e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1" s="48" t="e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1" s="48" t="e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1" s="48" t="e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1" s="48" t="e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1" s="48" t="e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1" s="48" t="e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1" s="48" t="e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1" s="47"/>
      <c r="Q141" s="47"/>
      <c r="R141" s="47"/>
    </row>
    <row r="142" spans="1:18" ht="21" customHeight="1" x14ac:dyDescent="0.15">
      <c r="A142" s="39" t="str">
        <f t="shared" si="16"/>
        <v>49014024_49014092</v>
      </c>
      <c r="B142" s="208">
        <v>49014024</v>
      </c>
      <c r="C142" s="211">
        <v>49014092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貴様も超古代兵器か…_x000D_我よりも一枚上手だったようだ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42" s="234">
        <v>39012673</v>
      </c>
      <c r="G142" s="48" t="e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2" s="48" t="e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2" s="48" t="e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2" s="48" t="e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2" s="48" t="e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2" s="48" t="e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2" s="48" t="e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2" s="48" t="e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2" s="48" t="e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2" s="47"/>
      <c r="Q142" s="47"/>
      <c r="R142" s="47"/>
    </row>
    <row r="143" spans="1:18" ht="21" customHeight="1" thickBot="1" x14ac:dyDescent="0.2">
      <c r="A143" s="137" t="str">
        <f t="shared" ref="A143" si="18">B143&amp;"_"&amp;C143</f>
        <v>49014024_49014092</v>
      </c>
      <c r="B143" s="210">
        <v>49014024</v>
      </c>
      <c r="C143" s="212">
        <v>49014092</v>
      </c>
      <c r="D143" s="145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貴様も超古代兵器か…_x000D_我よりも一枚上手だったようだ</v>
      </c>
      <c r="E143" s="145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その力、覚えておこう…</v>
      </c>
      <c r="F143" s="212">
        <v>39012674</v>
      </c>
      <c r="G143" s="119" t="e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3" s="119" t="e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3" s="119" t="e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3" s="119" t="e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3" s="119" t="e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3" s="119" t="e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3" s="119" t="e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3" s="119" t="e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3" s="119" t="e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3" s="115"/>
      <c r="Q143" s="115"/>
      <c r="R143" s="115"/>
    </row>
    <row r="144" spans="1:18" ht="21" customHeight="1" thickBot="1" x14ac:dyDescent="0.2">
      <c r="A144" s="137" t="str">
        <f t="shared" ref="A144" si="19">B144&amp;"_"&amp;C144</f>
        <v>49014005_49014093</v>
      </c>
      <c r="B144" s="231">
        <v>49014005</v>
      </c>
      <c r="C144" s="215">
        <v>49014093</v>
      </c>
      <c r="D144" s="227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ネコムートの邪魔はさせない…！</v>
      </c>
      <c r="E144" s="227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4" s="242">
        <v>49014079</v>
      </c>
      <c r="G144" s="229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4" s="229" t="str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4" s="229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229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229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229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229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229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4" s="229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228"/>
      <c r="Q144" s="228"/>
      <c r="R144" s="228"/>
    </row>
    <row r="145" spans="1:18" ht="21" customHeight="1" x14ac:dyDescent="0.15">
      <c r="A145" s="39" t="str">
        <f>B145&amp;"_"&amp;C145</f>
        <v>49014005_49014094</v>
      </c>
      <c r="B145" s="106">
        <v>49014005</v>
      </c>
      <c r="C145" s="106">
        <v>49014094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闇のヒーローとはいえ、_x000D_ここを通すわけにはいきません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5" s="207">
        <v>39012615</v>
      </c>
      <c r="G145" s="48" t="e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5" s="48" t="e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5" s="48" t="e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5" s="48" t="e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5" s="48" t="e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5" s="48" t="e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5" s="48" t="e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5" s="48" t="e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5" s="48" t="e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5" s="47"/>
      <c r="Q145" s="47"/>
      <c r="R145" s="47"/>
    </row>
    <row r="146" spans="1:18" ht="21" customHeight="1" x14ac:dyDescent="0.15">
      <c r="A146" s="39" t="str">
        <f t="shared" ref="A146:A161" si="20">B146&amp;"_"&amp;C146</f>
        <v>49014005_49014094</v>
      </c>
      <c r="B146" s="106">
        <v>49014005</v>
      </c>
      <c r="C146" s="106">
        <v>49014094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闇のヒーローとはいえ、_x000D_ここを通すわけにはいきません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6" s="207">
        <v>39012616</v>
      </c>
      <c r="G146" s="48" t="e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6" s="48" t="e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6" s="48" t="e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6" s="48" t="e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6" s="48" t="e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6" s="48" t="e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6" s="48" t="e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6" s="48" t="e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6" s="48" t="e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6" s="47"/>
      <c r="Q146" s="47"/>
      <c r="R146" s="47"/>
    </row>
    <row r="147" spans="1:18" ht="21" customHeight="1" x14ac:dyDescent="0.15">
      <c r="A147" s="39" t="str">
        <f t="shared" si="20"/>
        <v>49014005_49014095</v>
      </c>
      <c r="B147" s="106">
        <v>49014005</v>
      </c>
      <c r="C147" s="106">
        <v>49014095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黄金の弓矢はネコムートを止める力…_x000D_ここを通すわけにはいきません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7" s="207">
        <v>39012617</v>
      </c>
      <c r="G147" s="48" t="e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7" s="48" t="e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7" s="48" t="e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7" s="48" t="e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7" s="48" t="e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7" s="48" t="e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7" s="48" t="e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7" s="48" t="e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7" s="48" t="e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7" s="47"/>
      <c r="Q147" s="47"/>
      <c r="R147" s="47"/>
    </row>
    <row r="148" spans="1:18" ht="21" customHeight="1" x14ac:dyDescent="0.15">
      <c r="A148" s="39" t="str">
        <f t="shared" si="20"/>
        <v>49014005_49014095</v>
      </c>
      <c r="B148" s="106">
        <v>49014005</v>
      </c>
      <c r="C148" s="106">
        <v>49014095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黄金の弓矢はネコムートを止める力…_x000D_ここを通すわけにはいきません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8" s="207">
        <v>39012618</v>
      </c>
      <c r="G148" s="48" t="e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8" s="48" t="e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8" s="48" t="e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8" s="48" t="e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8" s="48" t="e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8" s="48" t="e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8" s="48" t="e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8" s="48" t="e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8" s="48" t="e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8" s="47"/>
      <c r="Q148" s="47"/>
      <c r="R148" s="47"/>
    </row>
    <row r="149" spans="1:18" ht="21" customHeight="1" x14ac:dyDescent="0.15">
      <c r="A149" s="39" t="str">
        <f t="shared" si="20"/>
        <v>49014005_49014096</v>
      </c>
      <c r="B149" s="106">
        <v>49014005</v>
      </c>
      <c r="C149" s="106">
        <v>49014096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雷神の力はネコムートを止める力…_x000D_ここを通すわけにはいきません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9" s="207">
        <v>39012619</v>
      </c>
      <c r="G149" s="48" t="e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49" s="48" t="e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49" s="48" t="e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49" s="48" t="e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49" s="48" t="e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49" s="48" t="e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49" s="48" t="e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49" s="48" t="e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49" s="48" t="e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49" s="47"/>
      <c r="Q149" s="47"/>
      <c r="R149" s="47"/>
    </row>
    <row r="150" spans="1:18" ht="21" customHeight="1" x14ac:dyDescent="0.15">
      <c r="A150" s="39" t="str">
        <f t="shared" si="20"/>
        <v>49014005_49014096</v>
      </c>
      <c r="B150" s="106">
        <v>49014005</v>
      </c>
      <c r="C150" s="106">
        <v>49014096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雷神の力はネコムートを止める力…_x000D_ここを通すわけにはいきません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0" s="207">
        <v>39012620</v>
      </c>
      <c r="G150" s="48" t="e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0" s="48" t="e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0" s="48" t="e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0" s="48" t="e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0" s="48" t="e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0" s="48" t="e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0" s="48" t="e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0" s="48" t="e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0" s="48" t="e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0" s="47"/>
      <c r="Q150" s="47"/>
      <c r="R150" s="47"/>
    </row>
    <row r="151" spans="1:18" ht="21" customHeight="1" thickBot="1" x14ac:dyDescent="0.2">
      <c r="A151" s="137" t="str">
        <f t="shared" si="20"/>
        <v>49014005_49014097</v>
      </c>
      <c r="B151" s="106">
        <v>49014005</v>
      </c>
      <c r="C151" s="106">
        <v>49014097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あなたの美への信念…_x000D_危険な予感がします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1" s="207">
        <v>39012621</v>
      </c>
      <c r="G151" s="48" t="e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1" s="48" t="e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1" s="48" t="e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1" s="48" t="e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1" s="48" t="e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1" s="48" t="e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1" s="48" t="e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1" s="48" t="e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1" s="48" t="e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1" s="47"/>
      <c r="Q151" s="47"/>
      <c r="R151" s="47"/>
    </row>
    <row r="152" spans="1:18" ht="21" customHeight="1" x14ac:dyDescent="0.15">
      <c r="A152" s="39" t="str">
        <f t="shared" si="20"/>
        <v>49014005_49014097</v>
      </c>
      <c r="B152" s="106">
        <v>49014005</v>
      </c>
      <c r="C152" s="106">
        <v>49014097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あなたの美への信念…_x000D_危険な予感がします</v>
      </c>
      <c r="E152" s="144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2" s="207">
        <v>39012622</v>
      </c>
      <c r="G152" s="112" t="e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2" s="112" t="e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2" s="112" t="e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2" s="112" t="e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2" s="112" t="e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2" s="112" t="e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2" s="112" t="e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2" s="112" t="e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2" s="112" t="e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2" s="108"/>
      <c r="Q152" s="108"/>
      <c r="R152" s="108"/>
    </row>
    <row r="153" spans="1:18" ht="21" customHeight="1" x14ac:dyDescent="0.15">
      <c r="A153" s="39" t="str">
        <f t="shared" si="20"/>
        <v>49014005_49014098</v>
      </c>
      <c r="B153" s="106">
        <v>49014005</v>
      </c>
      <c r="C153" s="106">
        <v>49014098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ニャングリルの使い手…_x000D_ここを通すわけにはいきません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3" s="207">
        <v>39012623</v>
      </c>
      <c r="G153" s="48" t="e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3" s="48" t="e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3" s="48" t="e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3" s="48" t="e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3" s="48" t="e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3" s="48" t="e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3" s="48" t="e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3" s="48" t="e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3" s="48" t="e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3" s="47"/>
      <c r="Q153" s="47"/>
      <c r="R153" s="47"/>
    </row>
    <row r="154" spans="1:18" ht="21" customHeight="1" x14ac:dyDescent="0.15">
      <c r="A154" s="39" t="str">
        <f t="shared" si="20"/>
        <v>49014005_49014098</v>
      </c>
      <c r="B154" s="106">
        <v>49014005</v>
      </c>
      <c r="C154" s="106">
        <v>49014098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ニャングリルの使い手…_x000D_ここを通すわけにはいきません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4" s="207">
        <v>39012624</v>
      </c>
      <c r="G154" s="48" t="e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4" s="48" t="e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4" s="48" t="e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4" s="48" t="e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4" s="48" t="e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4" s="48" t="e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4" s="48" t="e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4" s="48" t="e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4" s="48" t="e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4" s="47"/>
      <c r="Q154" s="47"/>
      <c r="R154" s="47"/>
    </row>
    <row r="155" spans="1:18" ht="21" customHeight="1" x14ac:dyDescent="0.15">
      <c r="A155" s="39" t="str">
        <f t="shared" si="20"/>
        <v>49014005_49014098</v>
      </c>
      <c r="B155" s="106">
        <v>49014005</v>
      </c>
      <c r="C155" s="106">
        <v>49014098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ニャングリルの使い手…_x000D_ここを通すわけにはいきません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5" s="207">
        <v>39012625</v>
      </c>
      <c r="G155" s="48" t="e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5" s="48" t="e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5" s="48" t="e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5" s="48" t="e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5" s="48" t="e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5" s="48" t="e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5" s="48" t="e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5" s="48" t="e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5" s="48" t="e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5" s="47"/>
      <c r="Q155" s="47"/>
      <c r="R155" s="47"/>
    </row>
    <row r="156" spans="1:18" ht="21" customHeight="1" x14ac:dyDescent="0.15">
      <c r="A156" s="39" t="str">
        <f t="shared" si="20"/>
        <v>49014005_49014099</v>
      </c>
      <c r="B156" s="106">
        <v>49014005</v>
      </c>
      <c r="C156" s="106">
        <v>49014099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きっとネコムートは癒しのオーラに弱い…_x000D_ここを通すわけには！</v>
      </c>
      <c r="E156" s="144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6" s="207">
        <v>39012626</v>
      </c>
      <c r="G156" s="112" t="e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6" s="112" t="e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6" s="112" t="e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6" s="112" t="e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6" s="112" t="e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6" s="112" t="e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6" s="112" t="e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6" s="112" t="e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6" s="112" t="e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6" s="108"/>
      <c r="Q156" s="108"/>
      <c r="R156" s="108"/>
    </row>
    <row r="157" spans="1:18" ht="21" customHeight="1" x14ac:dyDescent="0.15">
      <c r="A157" s="39" t="str">
        <f t="shared" si="20"/>
        <v>49014005_49014099</v>
      </c>
      <c r="B157" s="106">
        <v>49014005</v>
      </c>
      <c r="C157" s="106">
        <v>49014099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きっとネコムートは癒しのオーラに弱い…_x000D_ここを通すわけには！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7" s="207">
        <v>39012627</v>
      </c>
      <c r="G157" s="48" t="e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7" s="48" t="e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7" s="48" t="e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7" s="48" t="e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7" s="48" t="e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7" s="48" t="e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7" s="48" t="e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7" s="48" t="e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7" s="48" t="e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7" s="47"/>
      <c r="Q157" s="47"/>
      <c r="R157" s="47"/>
    </row>
    <row r="158" spans="1:18" ht="21" customHeight="1" x14ac:dyDescent="0.15">
      <c r="A158" s="39" t="str">
        <f t="shared" si="20"/>
        <v>49014005_49014100</v>
      </c>
      <c r="B158" s="106">
        <v>49014005</v>
      </c>
      <c r="C158" s="106">
        <v>49014100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超古代兵器はネコムートを止める力…_x000D_ここを通すわけにはいきません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8" s="207">
        <v>39012628</v>
      </c>
      <c r="G158" s="48" t="e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8" s="48" t="e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8" s="48" t="e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8" s="48" t="e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8" s="48" t="e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8" s="48" t="e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8" s="48" t="e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8" s="48" t="e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8" s="48" t="e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8" s="47"/>
      <c r="Q158" s="47"/>
      <c r="R158" s="47"/>
    </row>
    <row r="159" spans="1:18" ht="21" customHeight="1" thickBot="1" x14ac:dyDescent="0.2">
      <c r="A159" s="137" t="str">
        <f t="shared" si="20"/>
        <v>49014005_49014100</v>
      </c>
      <c r="B159" s="131">
        <v>49014005</v>
      </c>
      <c r="C159" s="131">
        <v>49014100</v>
      </c>
      <c r="D159" s="214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超古代兵器はネコムートを止める力…_x000D_ここを通すわけにはいきません</v>
      </c>
      <c r="E159" s="214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59" s="135">
        <v>39012629</v>
      </c>
      <c r="G159" s="154" t="e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59" s="154" t="e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59" s="154" t="e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59" s="154" t="e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59" s="154" t="e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59" s="154" t="e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59" s="154" t="e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59" s="154" t="e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59" s="154" t="e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59" s="147"/>
      <c r="Q159" s="147"/>
      <c r="R159" s="147"/>
    </row>
    <row r="160" spans="1:18" ht="21" customHeight="1" thickBot="1" x14ac:dyDescent="0.2">
      <c r="A160" s="138" t="str">
        <f t="shared" ref="A160" si="21">B160&amp;"_"&amp;C160</f>
        <v>49014005_49014101</v>
      </c>
      <c r="B160" s="216">
        <v>49014005</v>
      </c>
      <c r="C160" s="216">
        <v>49014101</v>
      </c>
      <c r="D160" s="1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私を倒してもネコムートは止められない…</v>
      </c>
      <c r="E160" s="1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0" s="216">
        <v>49014080</v>
      </c>
      <c r="G160" s="126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126" t="str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0" s="126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126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126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126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0" s="126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126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0" s="126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122"/>
      <c r="Q160" s="122"/>
      <c r="R160" s="122"/>
    </row>
    <row r="161" spans="1:18" ht="21" customHeight="1" thickBot="1" x14ac:dyDescent="0.2">
      <c r="A161" s="138" t="str">
        <f t="shared" si="20"/>
        <v>49014017_49014093</v>
      </c>
      <c r="B161" s="236">
        <v>49014017</v>
      </c>
      <c r="C161" s="215">
        <v>49014093</v>
      </c>
      <c r="D161" s="237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ネコムートの邪魔はさせない…！</v>
      </c>
      <c r="E161" s="237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1" s="242">
        <v>49014079</v>
      </c>
      <c r="G161" s="23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1" s="238" t="str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1" s="23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23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23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23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238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238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1" s="23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239"/>
      <c r="Q161" s="239"/>
      <c r="R161" s="239"/>
    </row>
    <row r="162" spans="1:18" ht="21" customHeight="1" x14ac:dyDescent="0.15">
      <c r="A162" s="39" t="str">
        <f>B162&amp;"_"&amp;C162</f>
        <v>49014017_49014094</v>
      </c>
      <c r="B162" s="106">
        <v>49014017</v>
      </c>
      <c r="C162" s="106">
        <v>49014094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闇のヒーローとはいえ、_x000D_ここを通すわけにはいきません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2" s="207">
        <v>39012615</v>
      </c>
      <c r="G162" s="48" t="e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2" s="48" t="e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2" s="48" t="e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2" s="48" t="e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2" s="48" t="e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2" s="48" t="e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2" s="48" t="e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2" s="48" t="e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2" s="48" t="e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2" s="47"/>
      <c r="Q162" s="47"/>
      <c r="R162" s="47"/>
    </row>
    <row r="163" spans="1:18" ht="21" customHeight="1" x14ac:dyDescent="0.15">
      <c r="A163" s="39" t="str">
        <f t="shared" ref="A163:A178" si="22">B163&amp;"_"&amp;C163</f>
        <v>49014017_49014094</v>
      </c>
      <c r="B163" s="106">
        <v>49014017</v>
      </c>
      <c r="C163" s="106">
        <v>49014094</v>
      </c>
      <c r="D163" s="144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闇のヒーローとはいえ、_x000D_ここを通すわけにはいきません</v>
      </c>
      <c r="E163" s="144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3" s="207">
        <v>39012616</v>
      </c>
      <c r="G163" s="112" t="e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3" s="112" t="e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3" s="112" t="e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3" s="112" t="e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3" s="112" t="e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3" s="112" t="e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3" s="112" t="e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3" s="112" t="e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3" s="112" t="e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3" s="108"/>
      <c r="Q163" s="108"/>
      <c r="R163" s="108"/>
    </row>
    <row r="164" spans="1:18" ht="21" customHeight="1" x14ac:dyDescent="0.15">
      <c r="A164" s="39" t="str">
        <f t="shared" si="22"/>
        <v>49014017_49014095</v>
      </c>
      <c r="B164" s="106">
        <v>49014017</v>
      </c>
      <c r="C164" s="106">
        <v>49014095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黄金の弓矢はネコムートを止める力…_x000D_ここを通すわけにはいきません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4" s="207">
        <v>39012617</v>
      </c>
      <c r="G164" s="48" t="e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4" s="48" t="e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4" s="48" t="e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4" s="48" t="e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4" s="48" t="e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4" s="48" t="e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4" s="48" t="e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4" s="48" t="e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4" s="48" t="e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4" s="47"/>
      <c r="Q164" s="47"/>
      <c r="R164" s="47"/>
    </row>
    <row r="165" spans="1:18" ht="21" customHeight="1" x14ac:dyDescent="0.15">
      <c r="A165" s="39" t="str">
        <f t="shared" si="22"/>
        <v>49014017_49014095</v>
      </c>
      <c r="B165" s="106">
        <v>49014017</v>
      </c>
      <c r="C165" s="106">
        <v>49014095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黄金の弓矢はネコムートを止める力…_x000D_ここを通すわけにはいきません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5" s="207">
        <v>39012618</v>
      </c>
      <c r="G165" s="48" t="e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5" s="48" t="e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5" s="48" t="e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5" s="48" t="e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5" s="48" t="e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5" s="48" t="e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5" s="48" t="e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5" s="48" t="e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5" s="48" t="e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5" s="47"/>
      <c r="Q165" s="47"/>
      <c r="R165" s="47"/>
    </row>
    <row r="166" spans="1:18" ht="21" customHeight="1" x14ac:dyDescent="0.15">
      <c r="A166" s="39" t="str">
        <f t="shared" si="22"/>
        <v>49014017_49014096</v>
      </c>
      <c r="B166" s="106">
        <v>49014017</v>
      </c>
      <c r="C166" s="106">
        <v>49014096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雷神の力はネコムートを止める力…_x000D_ここを通すわけにはいきません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6" s="207">
        <v>39012619</v>
      </c>
      <c r="G166" s="48" t="e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6" s="48" t="e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6" s="48" t="e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6" s="48" t="e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6" s="48" t="e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6" s="48" t="e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6" s="48" t="e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6" s="48" t="e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6" s="48" t="e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6" s="47"/>
      <c r="Q166" s="47"/>
      <c r="R166" s="47"/>
    </row>
    <row r="167" spans="1:18" ht="21" customHeight="1" x14ac:dyDescent="0.15">
      <c r="A167" s="39" t="str">
        <f t="shared" si="22"/>
        <v>49014017_49014096</v>
      </c>
      <c r="B167" s="106">
        <v>49014017</v>
      </c>
      <c r="C167" s="106">
        <v>49014096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雷神の力はネコムートを止める力…_x000D_ここを通すわけにはいきません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7" s="207">
        <v>39012620</v>
      </c>
      <c r="G167" s="48" t="e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7" s="48" t="e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7" s="48" t="e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7" s="48" t="e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7" s="48" t="e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7" s="48" t="e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7" s="48" t="e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7" s="48" t="e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7" s="48" t="e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7" s="47"/>
      <c r="Q167" s="47"/>
      <c r="R167" s="47"/>
    </row>
    <row r="168" spans="1:18" ht="21" customHeight="1" thickBot="1" x14ac:dyDescent="0.2">
      <c r="A168" s="137" t="str">
        <f t="shared" si="22"/>
        <v>49014017_49014097</v>
      </c>
      <c r="B168" s="106">
        <v>49014017</v>
      </c>
      <c r="C168" s="106">
        <v>49014097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あなたの美への信念…_x000D_危険な予感がします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8" s="207">
        <v>39012621</v>
      </c>
      <c r="G168" s="48" t="e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8" s="48" t="e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8" s="48" t="e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8" s="48" t="e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8" s="48" t="e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8" s="48" t="e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8" s="48" t="e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8" s="48" t="e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8" s="48" t="e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8" s="47"/>
      <c r="Q168" s="47"/>
      <c r="R168" s="47"/>
    </row>
    <row r="169" spans="1:18" ht="21" customHeight="1" x14ac:dyDescent="0.15">
      <c r="A169" s="39" t="str">
        <f t="shared" si="22"/>
        <v>49014017_49014097</v>
      </c>
      <c r="B169" s="106">
        <v>49014017</v>
      </c>
      <c r="C169" s="106">
        <v>49014097</v>
      </c>
      <c r="D169" s="144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あなたの美への信念…_x000D_危険な予感がします</v>
      </c>
      <c r="E169" s="144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69" s="207">
        <v>39012622</v>
      </c>
      <c r="G169" s="112" t="e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69" s="112" t="e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69" s="112" t="e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69" s="112" t="e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69" s="112" t="e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69" s="112" t="e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69" s="112" t="e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69" s="112" t="e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69" s="112" t="e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69" s="108"/>
      <c r="Q169" s="108"/>
      <c r="R169" s="108"/>
    </row>
    <row r="170" spans="1:18" ht="21" customHeight="1" x14ac:dyDescent="0.15">
      <c r="A170" s="39" t="str">
        <f t="shared" si="22"/>
        <v>49014017_49014098</v>
      </c>
      <c r="B170" s="106">
        <v>49014017</v>
      </c>
      <c r="C170" s="106">
        <v>49014098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ニャングリルの使い手…_x000D_ここを通すわけにはいきません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0" s="207">
        <v>39012623</v>
      </c>
      <c r="G170" s="48" t="e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0" s="48" t="e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0" s="48" t="e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0" s="48" t="e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0" s="48" t="e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0" s="48" t="e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0" s="48" t="e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0" s="48" t="e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0" s="48" t="e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0" s="47"/>
      <c r="Q170" s="47"/>
      <c r="R170" s="47"/>
    </row>
    <row r="171" spans="1:18" ht="21" customHeight="1" x14ac:dyDescent="0.15">
      <c r="A171" s="39" t="str">
        <f t="shared" si="22"/>
        <v>49014017_49014098</v>
      </c>
      <c r="B171" s="106">
        <v>49014017</v>
      </c>
      <c r="C171" s="106">
        <v>49014098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ニャングリルの使い手…_x000D_ここを通すわけにはいきません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1" s="207">
        <v>39012624</v>
      </c>
      <c r="G171" s="48" t="e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1" s="48" t="e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1" s="48" t="e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1" s="48" t="e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1" s="48" t="e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1" s="48" t="e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1" s="48" t="e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1" s="48" t="e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1" s="48" t="e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1" s="47"/>
      <c r="Q171" s="47"/>
      <c r="R171" s="47"/>
    </row>
    <row r="172" spans="1:18" ht="21" customHeight="1" x14ac:dyDescent="0.15">
      <c r="A172" s="39" t="str">
        <f t="shared" si="22"/>
        <v>49014017_49014098</v>
      </c>
      <c r="B172" s="106">
        <v>49014017</v>
      </c>
      <c r="C172" s="106">
        <v>49014098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ニャングリルの使い手…_x000D_ここを通すわけにはいきません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2" s="207">
        <v>39012625</v>
      </c>
      <c r="G172" s="48" t="e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2" s="48" t="e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2" s="48" t="e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2" s="48" t="e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2" s="48" t="e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2" s="48" t="e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2" s="48" t="e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2" s="48" t="e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2" s="48" t="e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2" s="47"/>
      <c r="Q172" s="47"/>
      <c r="R172" s="47"/>
    </row>
    <row r="173" spans="1:18" ht="21" customHeight="1" x14ac:dyDescent="0.15">
      <c r="A173" s="39" t="str">
        <f t="shared" si="22"/>
        <v>49014017_49014099</v>
      </c>
      <c r="B173" s="106">
        <v>49014017</v>
      </c>
      <c r="C173" s="106">
        <v>49014099</v>
      </c>
      <c r="D173" s="144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きっとネコムートは癒しのオーラに弱い…_x000D_ここを通すわけには！</v>
      </c>
      <c r="E173" s="144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3" s="207">
        <v>39012626</v>
      </c>
      <c r="G173" s="112" t="e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3" s="112" t="e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3" s="112" t="e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3" s="112" t="e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3" s="112" t="e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3" s="112" t="e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3" s="112" t="e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3" s="112" t="e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3" s="112" t="e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3" s="108"/>
      <c r="Q173" s="108"/>
      <c r="R173" s="108"/>
    </row>
    <row r="174" spans="1:18" ht="21" customHeight="1" x14ac:dyDescent="0.15">
      <c r="A174" s="39" t="str">
        <f t="shared" si="22"/>
        <v>49014017_49014099</v>
      </c>
      <c r="B174" s="106">
        <v>49014017</v>
      </c>
      <c r="C174" s="106">
        <v>49014099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きっとネコムートは癒しのオーラに弱い…_x000D_ここを通すわけには！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4" s="207">
        <v>39012627</v>
      </c>
      <c r="G174" s="48" t="e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4" s="48" t="e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4" s="48" t="e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4" s="48" t="e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4" s="48" t="e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4" s="48" t="e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4" s="48" t="e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4" s="48" t="e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4" s="48" t="e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4" s="47"/>
      <c r="Q174" s="47"/>
      <c r="R174" s="47"/>
    </row>
    <row r="175" spans="1:18" ht="21" customHeight="1" x14ac:dyDescent="0.15">
      <c r="A175" s="39" t="str">
        <f t="shared" si="22"/>
        <v>49014017_49014100</v>
      </c>
      <c r="B175" s="106">
        <v>49014017</v>
      </c>
      <c r="C175" s="106">
        <v>49014100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超古代兵器はネコムートを止める力…_x000D_ここを通すわけにはいきません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5" s="207">
        <v>39012628</v>
      </c>
      <c r="G175" s="48" t="e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5" s="48" t="e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5" s="48" t="e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5" s="48" t="e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5" s="48" t="e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5" s="48" t="e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5" s="48" t="e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5" s="48" t="e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5" s="48" t="e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5" s="47"/>
      <c r="Q175" s="47"/>
      <c r="R175" s="47"/>
    </row>
    <row r="176" spans="1:18" ht="21" customHeight="1" thickBot="1" x14ac:dyDescent="0.2">
      <c r="A176" s="137" t="str">
        <f t="shared" si="22"/>
        <v>49014017_49014100</v>
      </c>
      <c r="B176" s="131">
        <v>49014017</v>
      </c>
      <c r="C176" s="131">
        <v>49014100</v>
      </c>
      <c r="D176" s="214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超古代兵器はネコムートを止める力…_x000D_ここを通すわけにはいきません</v>
      </c>
      <c r="E176" s="214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6" s="135">
        <v>39012629</v>
      </c>
      <c r="G176" s="154" t="e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176" s="154" t="e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176" s="154" t="e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176" s="154" t="e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176" s="154" t="e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176" s="154" t="e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176" s="154" t="e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176" s="154" t="e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176" s="154" t="e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176" s="147"/>
      <c r="Q176" s="147"/>
      <c r="R176" s="147"/>
    </row>
    <row r="177" spans="1:18" ht="21" customHeight="1" thickBot="1" x14ac:dyDescent="0.2">
      <c r="A177" s="138" t="str">
        <f t="shared" si="22"/>
        <v>49014017_49014101</v>
      </c>
      <c r="B177" s="216">
        <v>49014017</v>
      </c>
      <c r="C177" s="216">
        <v>49014101</v>
      </c>
      <c r="D177" s="1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私を倒してもネコムートは止められない…</v>
      </c>
      <c r="E177" s="1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77" s="216">
        <v>49014080</v>
      </c>
      <c r="G177" s="126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7" s="126" t="str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7" s="126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126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126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126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7" s="126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126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77" s="126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122"/>
      <c r="Q177" s="122"/>
      <c r="R177" s="122"/>
    </row>
    <row r="178" spans="1:18" ht="21" customHeight="1" thickBot="1" x14ac:dyDescent="0.2">
      <c r="A178" s="137" t="str">
        <f t="shared" si="22"/>
        <v>49014002_49014103</v>
      </c>
      <c r="B178" s="114">
        <v>49014002</v>
      </c>
      <c r="C178" s="114">
        <v>49014103</v>
      </c>
      <c r="D178" s="145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78" s="145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8" s="148">
        <v>49014081</v>
      </c>
      <c r="G178" s="119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8" s="119" t="str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8" s="119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119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119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119" t="str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8" s="119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119" t="str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8" s="119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115"/>
      <c r="Q178" s="115"/>
      <c r="R178" s="115"/>
    </row>
    <row r="179" spans="1:18" ht="21" customHeight="1" thickBot="1" x14ac:dyDescent="0.2">
      <c r="A179" s="137" t="str">
        <f t="shared" ref="A179" si="23">B179&amp;"_"&amp;C179</f>
        <v>49014014_49014103</v>
      </c>
      <c r="B179" s="114">
        <v>49014014</v>
      </c>
      <c r="C179" s="114">
        <v>49014103</v>
      </c>
      <c r="D179" s="145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79" s="145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9" s="148">
        <v>49014081</v>
      </c>
      <c r="G179" s="119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9" s="119" t="str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9" s="119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119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119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119" t="str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9" s="119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119" t="str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9" s="119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115"/>
      <c r="Q179" s="115"/>
      <c r="R179" s="11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F33" sqref="F3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f>floors!C2</f>
        <v>49014</v>
      </c>
      <c r="B2" s="57">
        <v>2</v>
      </c>
      <c r="C2" s="72" t="str">
        <f t="shared" ref="C2:C8" si="0">A2&amp; "_"&amp;B2</f>
        <v>49014_2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398</v>
      </c>
      <c r="G2" s="57">
        <v>704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280</v>
      </c>
      <c r="Q2" s="57" t="s">
        <v>167</v>
      </c>
      <c r="R2" s="57" t="s">
        <v>168</v>
      </c>
    </row>
    <row r="3" spans="1:18" x14ac:dyDescent="0.15">
      <c r="A3" s="57">
        <f>floors!C3</f>
        <v>49014</v>
      </c>
      <c r="B3" s="57">
        <v>2</v>
      </c>
      <c r="C3" s="72" t="str">
        <f t="shared" si="0"/>
        <v>49014_2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398</v>
      </c>
      <c r="G3" s="57">
        <v>704</v>
      </c>
      <c r="H3" s="57">
        <v>2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290</v>
      </c>
      <c r="Q3" s="57" t="s">
        <v>167</v>
      </c>
      <c r="R3" s="57" t="s">
        <v>168</v>
      </c>
    </row>
    <row r="4" spans="1:18" x14ac:dyDescent="0.15">
      <c r="A4" s="57">
        <f>floors!C4</f>
        <v>49014</v>
      </c>
      <c r="B4" s="57">
        <v>2</v>
      </c>
      <c r="C4" s="72" t="str">
        <f t="shared" si="0"/>
        <v>49014_2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398</v>
      </c>
      <c r="G4" s="57">
        <v>704</v>
      </c>
      <c r="H4" s="57">
        <v>3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280</v>
      </c>
      <c r="Q4" s="57" t="s">
        <v>167</v>
      </c>
      <c r="R4" s="57" t="s">
        <v>168</v>
      </c>
    </row>
    <row r="5" spans="1:18" ht="16" thickBot="1" x14ac:dyDescent="0.2">
      <c r="A5" s="206">
        <f>floors!C5</f>
        <v>49014</v>
      </c>
      <c r="B5" s="206">
        <v>2</v>
      </c>
      <c r="C5" s="260" t="str">
        <f t="shared" si="0"/>
        <v>49014_2</v>
      </c>
      <c r="D5" s="18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06">
        <v>4</v>
      </c>
      <c r="F5" s="206" t="s">
        <v>399</v>
      </c>
      <c r="G5" s="206">
        <v>1523</v>
      </c>
      <c r="H5" s="206">
        <v>1</v>
      </c>
      <c r="I5" s="206">
        <v>1</v>
      </c>
      <c r="J5" s="206">
        <v>1</v>
      </c>
      <c r="K5" s="206">
        <v>0</v>
      </c>
      <c r="L5" s="206">
        <v>0</v>
      </c>
      <c r="M5" s="206">
        <v>0</v>
      </c>
      <c r="N5" s="206">
        <v>0</v>
      </c>
      <c r="O5" s="206">
        <v>1</v>
      </c>
      <c r="P5" s="206">
        <v>150</v>
      </c>
      <c r="Q5" s="206" t="s">
        <v>167</v>
      </c>
      <c r="R5" s="206" t="s">
        <v>168</v>
      </c>
    </row>
    <row r="6" spans="1:18" x14ac:dyDescent="0.15">
      <c r="A6" s="255">
        <f>floors!C6</f>
        <v>49014</v>
      </c>
      <c r="B6" s="255">
        <v>1</v>
      </c>
      <c r="C6" s="259" t="str">
        <f t="shared" si="0"/>
        <v>49014_1</v>
      </c>
      <c r="D6" s="180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55">
        <v>5</v>
      </c>
      <c r="F6" s="255" t="s">
        <v>398</v>
      </c>
      <c r="G6" s="255">
        <v>704</v>
      </c>
      <c r="H6" s="255">
        <v>1</v>
      </c>
      <c r="I6" s="255">
        <v>1</v>
      </c>
      <c r="J6" s="255">
        <v>1</v>
      </c>
      <c r="K6" s="255">
        <v>0</v>
      </c>
      <c r="L6" s="255">
        <v>0</v>
      </c>
      <c r="M6" s="255">
        <v>0</v>
      </c>
      <c r="N6" s="255">
        <v>0</v>
      </c>
      <c r="O6" s="255">
        <v>1</v>
      </c>
      <c r="P6" s="255">
        <v>500</v>
      </c>
      <c r="Q6" s="255" t="s">
        <v>167</v>
      </c>
      <c r="R6" s="255" t="s">
        <v>168</v>
      </c>
    </row>
    <row r="7" spans="1:18" x14ac:dyDescent="0.15">
      <c r="A7" s="57">
        <f>floors!C7</f>
        <v>49014</v>
      </c>
      <c r="B7" s="57">
        <v>1</v>
      </c>
      <c r="C7" s="72" t="str">
        <f t="shared" si="0"/>
        <v>49014_1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398</v>
      </c>
      <c r="G7" s="57">
        <v>704</v>
      </c>
      <c r="H7" s="57">
        <v>2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450</v>
      </c>
      <c r="Q7" s="57" t="s">
        <v>167</v>
      </c>
      <c r="R7" s="57" t="s">
        <v>168</v>
      </c>
    </row>
    <row r="8" spans="1:18" x14ac:dyDescent="0.15">
      <c r="A8" s="57">
        <f>floors!C8</f>
        <v>49014</v>
      </c>
      <c r="B8" s="57">
        <v>1</v>
      </c>
      <c r="C8" s="72" t="str">
        <f t="shared" si="0"/>
        <v>49014_1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399</v>
      </c>
      <c r="G8" s="57">
        <v>1523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167</v>
      </c>
      <c r="R8" s="57" t="s">
        <v>168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0"/>
  <sheetViews>
    <sheetView showGridLines="0" topLeftCell="D1" zoomScale="110" zoomScaleNormal="110" zoomScalePageLayoutView="110" workbookViewId="0">
      <pane ySplit="1" topLeftCell="A2" activePane="bottomLeft" state="frozen"/>
      <selection pane="bottomLeft" activeCell="G4" sqref="G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208</v>
      </c>
      <c r="B1" s="96" t="s">
        <v>209</v>
      </c>
      <c r="C1" s="78" t="s">
        <v>210</v>
      </c>
      <c r="D1" s="78" t="s">
        <v>33</v>
      </c>
      <c r="E1" s="96" t="s">
        <v>211</v>
      </c>
      <c r="F1" s="78" t="s">
        <v>212</v>
      </c>
      <c r="G1" s="78" t="s">
        <v>33</v>
      </c>
      <c r="H1" s="96" t="s">
        <v>213</v>
      </c>
      <c r="I1" s="96" t="s">
        <v>214</v>
      </c>
      <c r="J1" s="96" t="s">
        <v>215</v>
      </c>
      <c r="K1" s="74" t="s">
        <v>216</v>
      </c>
      <c r="L1" s="74" t="s">
        <v>217</v>
      </c>
      <c r="M1" s="74" t="s">
        <v>155</v>
      </c>
      <c r="N1" s="78" t="s">
        <v>16</v>
      </c>
      <c r="O1" s="74" t="s">
        <v>218</v>
      </c>
      <c r="P1" s="74" t="s">
        <v>56</v>
      </c>
      <c r="Q1" s="74" t="s">
        <v>219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220</v>
      </c>
      <c r="X1" s="74" t="s">
        <v>221</v>
      </c>
    </row>
    <row r="2" spans="1:24" x14ac:dyDescent="0.15">
      <c r="A2" s="97" t="str">
        <f t="shared" ref="A2:A10" si="0">B2&amp;"_"&amp;E2&amp;"_"&amp;H2&amp;"_"&amp;I2&amp;"_"&amp;J2</f>
        <v>49014_2_everyone_clear_1</v>
      </c>
      <c r="B2" s="57">
        <v>49014</v>
      </c>
      <c r="C2" s="84" t="str">
        <f ca="1">VLOOKUP($B2,OFFSET([2]quests!$A$1,0,0,COUNTA([2]quests!$A:$A),MATCH(C$1,[2]quests!$1:$1,0)-MATCH($B$1,[2]quests!$1:$1,0)+1),MATCH(C$1,[2]quests!$1:$1,0)-MATCH($B$1,[2]quests!$1:$1,0)+1,FALSE)</f>
        <v>ネコムート襲来！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コラボ降臨10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コラボ降臨10</v>
      </c>
      <c r="H2" s="86" t="s">
        <v>222</v>
      </c>
      <c r="I2" s="85" t="s">
        <v>223</v>
      </c>
      <c r="J2" s="85">
        <v>1</v>
      </c>
      <c r="K2" s="85">
        <v>1000</v>
      </c>
      <c r="L2" s="85" t="s">
        <v>398</v>
      </c>
      <c r="M2" s="85">
        <v>704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5">
        <v>3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225</v>
      </c>
      <c r="X2" s="100" t="s">
        <v>226</v>
      </c>
    </row>
    <row r="3" spans="1:24" x14ac:dyDescent="0.15">
      <c r="A3" s="97" t="str">
        <f t="shared" si="0"/>
        <v>49014_2_everyone_no_continue_2</v>
      </c>
      <c r="B3" s="57">
        <v>49014</v>
      </c>
      <c r="C3" s="84" t="str">
        <f ca="1">VLOOKUP($B3,OFFSET([2]quests!$A$1,0,0,COUNTA([2]quests!$A:$A),MATCH(C$1,[2]quests!$1:$1,0)-MATCH($B$1,[2]quests!$1:$1,0)+1),MATCH(C$1,[2]quests!$1:$1,0)-MATCH($B$1,[2]quests!$1:$1,0)+1,FALSE)</f>
        <v>ネコムート襲来！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コラボ降臨10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コラボ降臨10</v>
      </c>
      <c r="H3" s="86" t="s">
        <v>222</v>
      </c>
      <c r="I3" s="85" t="s">
        <v>227</v>
      </c>
      <c r="J3" s="85">
        <v>2</v>
      </c>
      <c r="K3" s="85">
        <v>1000</v>
      </c>
      <c r="L3" s="85" t="s">
        <v>224</v>
      </c>
      <c r="M3" s="85">
        <v>1523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ネコムート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99" t="s">
        <v>225</v>
      </c>
      <c r="X3" s="100" t="s">
        <v>226</v>
      </c>
    </row>
    <row r="4" spans="1:24" x14ac:dyDescent="0.15">
      <c r="A4" s="97" t="str">
        <f t="shared" si="0"/>
        <v>49014_2_everyone_full_member_3</v>
      </c>
      <c r="B4" s="57">
        <v>49014</v>
      </c>
      <c r="C4" s="84" t="str">
        <f ca="1">VLOOKUP($B4,OFFSET([2]quests!$A$1,0,0,COUNTA([2]quests!$A:$A),MATCH(C$1,[2]quests!$1:$1,0)-MATCH($B$1,[2]quests!$1:$1,0)+1),MATCH(C$1,[2]quests!$1:$1,0)-MATCH($B$1,[2]quests!$1:$1,0)+1,FALSE)</f>
        <v>ネコムート襲来！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コラボ降臨10</v>
      </c>
      <c r="E4" s="85">
        <v>2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コラボ降臨10</v>
      </c>
      <c r="H4" s="86" t="s">
        <v>222</v>
      </c>
      <c r="I4" s="85" t="s">
        <v>400</v>
      </c>
      <c r="J4" s="85">
        <v>3</v>
      </c>
      <c r="K4" s="85">
        <v>400</v>
      </c>
      <c r="L4" s="85" t="s">
        <v>398</v>
      </c>
      <c r="M4" s="85">
        <v>704</v>
      </c>
      <c r="N4" s="98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5">
        <v>1</v>
      </c>
      <c r="P4" s="85">
        <v>1</v>
      </c>
      <c r="Q4" s="85">
        <v>1</v>
      </c>
      <c r="R4" s="85">
        <v>0</v>
      </c>
      <c r="S4" s="85">
        <v>0</v>
      </c>
      <c r="T4" s="85">
        <v>0</v>
      </c>
      <c r="U4" s="85">
        <v>0</v>
      </c>
      <c r="V4" s="85">
        <v>1</v>
      </c>
      <c r="W4" s="99" t="s">
        <v>225</v>
      </c>
      <c r="X4" s="100" t="s">
        <v>226</v>
      </c>
    </row>
    <row r="5" spans="1:24" x14ac:dyDescent="0.15">
      <c r="A5" s="97" t="str">
        <f t="shared" si="0"/>
        <v>49014_2_everyone_full_member_4</v>
      </c>
      <c r="B5" s="57">
        <v>49014</v>
      </c>
      <c r="C5" s="84" t="str">
        <f ca="1">VLOOKUP($B5,OFFSET([2]quests!$A$1,0,0,COUNTA([2]quests!$A:$A),MATCH(C$1,[2]quests!$1:$1,0)-MATCH($B$1,[2]quests!$1:$1,0)+1),MATCH(C$1,[2]quests!$1:$1,0)-MATCH($B$1,[2]quests!$1:$1,0)+1,FALSE)</f>
        <v>ネコムート襲来！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コラボ降臨10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コラボ降臨10</v>
      </c>
      <c r="H5" s="86" t="s">
        <v>222</v>
      </c>
      <c r="I5" s="85" t="s">
        <v>400</v>
      </c>
      <c r="J5" s="85">
        <v>4</v>
      </c>
      <c r="K5" s="85">
        <v>300</v>
      </c>
      <c r="L5" s="85" t="s">
        <v>398</v>
      </c>
      <c r="M5" s="85">
        <v>704</v>
      </c>
      <c r="N5" s="98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5">
        <v>2</v>
      </c>
      <c r="P5" s="85">
        <v>1</v>
      </c>
      <c r="Q5" s="85">
        <v>1</v>
      </c>
      <c r="R5" s="85">
        <v>0</v>
      </c>
      <c r="S5" s="85">
        <v>0</v>
      </c>
      <c r="T5" s="85">
        <v>0</v>
      </c>
      <c r="U5" s="85">
        <v>0</v>
      </c>
      <c r="V5" s="85">
        <v>1</v>
      </c>
      <c r="W5" s="99" t="s">
        <v>225</v>
      </c>
      <c r="X5" s="100" t="s">
        <v>226</v>
      </c>
    </row>
    <row r="6" spans="1:24" ht="16" thickBot="1" x14ac:dyDescent="0.2">
      <c r="A6" s="97" t="str">
        <f t="shared" si="0"/>
        <v>49014_2_everyone_full_member_5</v>
      </c>
      <c r="B6" s="57">
        <v>49014</v>
      </c>
      <c r="C6" s="200" t="str">
        <f ca="1">VLOOKUP($B6,OFFSET([2]quests!$A$1,0,0,COUNTA([2]quests!$A:$A),MATCH(C$1,[2]quests!$1:$1,0)-MATCH($B$1,[2]quests!$1:$1,0)+1),MATCH(C$1,[2]quests!$1:$1,0)-MATCH($B$1,[2]quests!$1:$1,0)+1,FALSE)</f>
        <v>ネコムート襲来！</v>
      </c>
      <c r="D6" s="200" t="str">
        <f ca="1">VLOOKUP($B6,OFFSET([2]quests!$A$1,0,0,COUNTA([2]quests!$A:$A),MATCH(D$1,[2]quests!$1:$1,0)-MATCH($B$1,[2]quests!$1:$1,0)+1),MATCH(D$1,[2]quests!$1:$1,0)-MATCH($B$1,[2]quests!$1:$1,0)+1,FALSE)</f>
        <v>コラボ降臨10</v>
      </c>
      <c r="E6" s="201">
        <v>2</v>
      </c>
      <c r="F6" s="200" t="str">
        <f ca="1">VLOOKUP($B6&amp;"_"&amp;$E6,OFFSET([2]stages!$A$1,0,0,COUNTA([2]stages!$A:$A),MATCH(F$1,[2]stages!$2:$2,0)-MATCH("temp_stage",[2]stages!$2:$2,0)+1),MATCH(F$1,[2]stages!$2:$2,0)-MATCH("temp_stage",[2]stages!$2:$2,0)+1,FALSE)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6" s="200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コラボ降臨10</v>
      </c>
      <c r="H6" s="202" t="s">
        <v>222</v>
      </c>
      <c r="I6" s="201" t="s">
        <v>400</v>
      </c>
      <c r="J6" s="201">
        <v>5</v>
      </c>
      <c r="K6" s="201">
        <v>300</v>
      </c>
      <c r="L6" s="201" t="s">
        <v>224</v>
      </c>
      <c r="M6" s="201">
        <v>1523</v>
      </c>
      <c r="N6" s="264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ネコムート</v>
      </c>
      <c r="O6" s="201">
        <v>1</v>
      </c>
      <c r="P6" s="201">
        <v>1</v>
      </c>
      <c r="Q6" s="201">
        <v>1</v>
      </c>
      <c r="R6" s="201">
        <v>0</v>
      </c>
      <c r="S6" s="201">
        <v>0</v>
      </c>
      <c r="T6" s="201">
        <v>0</v>
      </c>
      <c r="U6" s="201">
        <v>0</v>
      </c>
      <c r="V6" s="201">
        <v>1</v>
      </c>
      <c r="W6" s="265" t="s">
        <v>225</v>
      </c>
      <c r="X6" s="266" t="s">
        <v>226</v>
      </c>
    </row>
    <row r="7" spans="1:24" x14ac:dyDescent="0.15">
      <c r="A7" s="97" t="str">
        <f t="shared" si="0"/>
        <v>49014_1_everyone_clear_6</v>
      </c>
      <c r="B7" s="57">
        <v>49014</v>
      </c>
      <c r="C7" s="84" t="str">
        <f ca="1">VLOOKUP($B7,OFFSET([2]quests!$A$1,0,0,COUNTA([2]quests!$A:$A),MATCH(C$1,[2]quests!$1:$1,0)-MATCH($B$1,[2]quests!$1:$1,0)+1),MATCH(C$1,[2]quests!$1:$1,0)-MATCH($B$1,[2]quests!$1:$1,0)+1,FALSE)</f>
        <v>ネコムート襲来！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コラボ降臨10</v>
      </c>
      <c r="E7" s="251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コラボ降臨10</v>
      </c>
      <c r="H7" s="86" t="s">
        <v>222</v>
      </c>
      <c r="I7" s="251" t="s">
        <v>223</v>
      </c>
      <c r="J7" s="251">
        <v>6</v>
      </c>
      <c r="K7" s="251">
        <v>200</v>
      </c>
      <c r="L7" s="251" t="s">
        <v>398</v>
      </c>
      <c r="M7" s="251">
        <v>704</v>
      </c>
      <c r="N7" s="261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/>
      </c>
      <c r="O7" s="251">
        <v>1</v>
      </c>
      <c r="P7" s="251">
        <v>1</v>
      </c>
      <c r="Q7" s="251">
        <v>1</v>
      </c>
      <c r="R7" s="251">
        <v>0</v>
      </c>
      <c r="S7" s="251">
        <v>0</v>
      </c>
      <c r="T7" s="251">
        <v>0</v>
      </c>
      <c r="U7" s="251">
        <v>0</v>
      </c>
      <c r="V7" s="251">
        <v>1</v>
      </c>
      <c r="W7" s="262" t="s">
        <v>225</v>
      </c>
      <c r="X7" s="263" t="s">
        <v>226</v>
      </c>
    </row>
    <row r="8" spans="1:24" x14ac:dyDescent="0.15">
      <c r="A8" s="97" t="str">
        <f t="shared" si="0"/>
        <v>49014_1_everyone_clear_7</v>
      </c>
      <c r="B8" s="57">
        <v>49014</v>
      </c>
      <c r="C8" s="84" t="str">
        <f ca="1">VLOOKUP($B8,OFFSET([2]quests!$A$1,0,0,COUNTA([2]quests!$A:$A),MATCH(C$1,[2]quests!$1:$1,0)-MATCH($B$1,[2]quests!$1:$1,0)+1),MATCH(C$1,[2]quests!$1:$1,0)-MATCH($B$1,[2]quests!$1:$1,0)+1,FALSE)</f>
        <v>ネコムート襲来！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コラボ降臨10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コラボ降臨10</v>
      </c>
      <c r="H8" s="86" t="s">
        <v>222</v>
      </c>
      <c r="I8" s="85" t="s">
        <v>223</v>
      </c>
      <c r="J8" s="85">
        <v>7</v>
      </c>
      <c r="K8" s="85">
        <v>800</v>
      </c>
      <c r="L8" s="85" t="s">
        <v>398</v>
      </c>
      <c r="M8" s="85">
        <v>704</v>
      </c>
      <c r="N8" s="98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/>
      </c>
      <c r="O8" s="85">
        <v>2</v>
      </c>
      <c r="P8" s="85">
        <v>1</v>
      </c>
      <c r="Q8" s="85">
        <v>1</v>
      </c>
      <c r="R8" s="85">
        <v>0</v>
      </c>
      <c r="S8" s="85">
        <v>0</v>
      </c>
      <c r="T8" s="85">
        <v>0</v>
      </c>
      <c r="U8" s="85">
        <v>0</v>
      </c>
      <c r="V8" s="85">
        <v>1</v>
      </c>
      <c r="W8" s="99" t="s">
        <v>225</v>
      </c>
      <c r="X8" s="100" t="s">
        <v>226</v>
      </c>
    </row>
    <row r="9" spans="1:24" x14ac:dyDescent="0.15">
      <c r="A9" s="97" t="str">
        <f t="shared" si="0"/>
        <v>49014_1_everyone_full_member_8</v>
      </c>
      <c r="B9" s="57">
        <v>49014</v>
      </c>
      <c r="C9" s="84" t="str">
        <f ca="1">VLOOKUP($B9,OFFSET([2]quests!$A$1,0,0,COUNTA([2]quests!$A:$A),MATCH(C$1,[2]quests!$1:$1,0)-MATCH($B$1,[2]quests!$1:$1,0)+1),MATCH(C$1,[2]quests!$1:$1,0)-MATCH($B$1,[2]quests!$1:$1,0)+1,FALSE)</f>
        <v>ネコムート襲来！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コラボ降臨10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コラボ降臨10</v>
      </c>
      <c r="H9" s="86" t="s">
        <v>222</v>
      </c>
      <c r="I9" s="85" t="s">
        <v>400</v>
      </c>
      <c r="J9" s="85">
        <v>8</v>
      </c>
      <c r="K9" s="85">
        <v>900</v>
      </c>
      <c r="L9" s="85" t="s">
        <v>398</v>
      </c>
      <c r="M9" s="85">
        <v>704</v>
      </c>
      <c r="N9" s="98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/>
      </c>
      <c r="O9" s="85">
        <v>1</v>
      </c>
      <c r="P9" s="85">
        <v>1</v>
      </c>
      <c r="Q9" s="85">
        <v>1</v>
      </c>
      <c r="R9" s="85">
        <v>0</v>
      </c>
      <c r="S9" s="85">
        <v>0</v>
      </c>
      <c r="T9" s="85">
        <v>0</v>
      </c>
      <c r="U9" s="85">
        <v>0</v>
      </c>
      <c r="V9" s="85">
        <v>1</v>
      </c>
      <c r="W9" s="99" t="s">
        <v>225</v>
      </c>
      <c r="X9" s="100" t="s">
        <v>226</v>
      </c>
    </row>
    <row r="10" spans="1:24" ht="16" thickBot="1" x14ac:dyDescent="0.2">
      <c r="A10" s="97" t="str">
        <f t="shared" si="0"/>
        <v>49014_1_everyone_full_member_9</v>
      </c>
      <c r="B10" s="57">
        <v>49014</v>
      </c>
      <c r="C10" s="200" t="str">
        <f ca="1">VLOOKUP($B10,OFFSET([2]quests!$A$1,0,0,COUNTA([2]quests!$A:$A),MATCH(C$1,[2]quests!$1:$1,0)-MATCH($B$1,[2]quests!$1:$1,0)+1),MATCH(C$1,[2]quests!$1:$1,0)-MATCH($B$1,[2]quests!$1:$1,0)+1,FALSE)</f>
        <v>ネコムート襲来！</v>
      </c>
      <c r="D10" s="200" t="str">
        <f ca="1">VLOOKUP($B10,OFFSET([2]quests!$A$1,0,0,COUNTA([2]quests!$A:$A),MATCH(D$1,[2]quests!$1:$1,0)-MATCH($B$1,[2]quests!$1:$1,0)+1),MATCH(D$1,[2]quests!$1:$1,0)-MATCH($B$1,[2]quests!$1:$1,0)+1,FALSE)</f>
        <v>コラボ降臨10</v>
      </c>
      <c r="E10" s="201">
        <v>1</v>
      </c>
      <c r="F10" s="200" t="str">
        <f ca="1">VLOOKUP($B10&amp;"_"&amp;$E10,OFFSET([2]stages!$A$1,0,0,COUNTA([2]stages!$A:$A),MATCH(F$1,[2]stages!$2:$2,0)-MATCH("temp_stage",[2]stages!$2:$2,0)+1),MATCH(F$1,[2]stages!$2:$2,0)-MATCH("temp_stage",[2]stages!$2:$2,0)+1,FALSE)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0" s="200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コラボ降臨10</v>
      </c>
      <c r="H10" s="202" t="s">
        <v>222</v>
      </c>
      <c r="I10" s="201" t="s">
        <v>400</v>
      </c>
      <c r="J10" s="201">
        <v>9</v>
      </c>
      <c r="K10" s="201">
        <v>100</v>
      </c>
      <c r="L10" s="201" t="s">
        <v>224</v>
      </c>
      <c r="M10" s="201">
        <v>1523</v>
      </c>
      <c r="N10" s="264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>ネコムート</v>
      </c>
      <c r="O10" s="201">
        <v>1</v>
      </c>
      <c r="P10" s="201">
        <v>1</v>
      </c>
      <c r="Q10" s="201">
        <v>1</v>
      </c>
      <c r="R10" s="201">
        <v>0</v>
      </c>
      <c r="S10" s="201">
        <v>0</v>
      </c>
      <c r="T10" s="201">
        <v>0</v>
      </c>
      <c r="U10" s="201">
        <v>0</v>
      </c>
      <c r="V10" s="201">
        <v>1</v>
      </c>
      <c r="W10" s="265" t="s">
        <v>225</v>
      </c>
      <c r="X10" s="266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13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185</v>
      </c>
      <c r="B1" s="74" t="s">
        <v>186</v>
      </c>
      <c r="C1" s="78" t="s">
        <v>187</v>
      </c>
      <c r="D1" s="78" t="s">
        <v>33</v>
      </c>
      <c r="E1" s="74" t="s">
        <v>188</v>
      </c>
      <c r="F1" s="78" t="s">
        <v>189</v>
      </c>
      <c r="G1" s="78" t="s">
        <v>33</v>
      </c>
      <c r="H1" s="74" t="s">
        <v>190</v>
      </c>
      <c r="I1" s="92" t="s">
        <v>192</v>
      </c>
      <c r="J1" s="80" t="s">
        <v>125</v>
      </c>
      <c r="K1" s="79" t="s">
        <v>184</v>
      </c>
      <c r="L1" s="93" t="s">
        <v>183</v>
      </c>
      <c r="M1" s="81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workbookViewId="0">
      <pane ySplit="1" topLeftCell="A12" activePane="bottomLeft" state="frozen"/>
      <selection pane="bottomLeft" activeCell="B5" sqref="B5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185</v>
      </c>
      <c r="B1" s="74" t="s">
        <v>149</v>
      </c>
      <c r="C1" s="78" t="s">
        <v>187</v>
      </c>
      <c r="D1" s="78" t="s">
        <v>33</v>
      </c>
      <c r="E1" s="74" t="s">
        <v>188</v>
      </c>
      <c r="F1" s="78" t="s">
        <v>18</v>
      </c>
      <c r="G1" s="78" t="s">
        <v>33</v>
      </c>
      <c r="H1" s="74" t="s">
        <v>190</v>
      </c>
      <c r="I1" s="90" t="s">
        <v>191</v>
      </c>
      <c r="J1" s="92" t="s">
        <v>192</v>
      </c>
      <c r="K1" s="80" t="s">
        <v>125</v>
      </c>
      <c r="L1" s="79" t="s">
        <v>184</v>
      </c>
      <c r="M1" s="93" t="s">
        <v>183</v>
      </c>
      <c r="N1" s="81" t="s">
        <v>193</v>
      </c>
    </row>
    <row r="2" spans="1:14" ht="30" x14ac:dyDescent="0.15">
      <c r="A2" s="82" t="s">
        <v>194</v>
      </c>
      <c r="B2" s="83">
        <f>floors!$C$2</f>
        <v>49014</v>
      </c>
      <c r="C2" s="84" t="str">
        <f ca="1">VLOOKUP($B2,OFFSET([2]quests!$A$1,0,0,COUNTA([2]quests!$A:$A),MATCH(C$1,[2]quests!$1:$1,0)-MATCH($B$1,[2]quests!$1:$1,0)+1),MATCH(C$1,[2]quests!$1:$1,0)-MATCH($B$1,[2]quests!$1:$1,0)+1,FALSE)</f>
        <v>ネコムート襲来！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コラボ降臨10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コラボ降臨10</v>
      </c>
      <c r="H2" s="86">
        <v>1</v>
      </c>
      <c r="I2" s="91">
        <f t="shared" ref="I2:I23" si="0">ROW()-1</f>
        <v>1</v>
      </c>
      <c r="J2" s="87" t="str">
        <f t="shared" ref="J2:J9" si="1">B2&amp;TEXT(I2,"00")</f>
        <v>4901401</v>
      </c>
      <c r="K2" s="85" t="s">
        <v>195</v>
      </c>
      <c r="L2" s="88" t="s">
        <v>251</v>
      </c>
      <c r="M2" s="246" t="s">
        <v>377</v>
      </c>
      <c r="N2" s="57" t="s">
        <v>196</v>
      </c>
    </row>
    <row r="3" spans="1:14" ht="30" x14ac:dyDescent="0.15">
      <c r="A3" s="82" t="s">
        <v>194</v>
      </c>
      <c r="B3" s="83">
        <f>floors!$C$2</f>
        <v>49014</v>
      </c>
      <c r="C3" s="84" t="str">
        <f ca="1">VLOOKUP($B3,OFFSET([2]quests!$A$1,0,0,COUNTA([2]quests!$A:$A),MATCH(C$1,[2]quests!$1:$1,0)-MATCH($B$1,[2]quests!$1:$1,0)+1),MATCH(C$1,[2]quests!$1:$1,0)-MATCH($B$1,[2]quests!$1:$1,0)+1,FALSE)</f>
        <v>ネコムート襲来！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コラボ降臨10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コラボ降臨10</v>
      </c>
      <c r="H3" s="86">
        <v>2</v>
      </c>
      <c r="I3" s="91">
        <f t="shared" si="0"/>
        <v>2</v>
      </c>
      <c r="J3" s="87" t="str">
        <f t="shared" si="1"/>
        <v>4901402</v>
      </c>
      <c r="K3" s="85" t="s">
        <v>195</v>
      </c>
      <c r="L3" s="88" t="s">
        <v>251</v>
      </c>
      <c r="M3" s="247" t="s">
        <v>378</v>
      </c>
      <c r="N3" s="57" t="s">
        <v>196</v>
      </c>
    </row>
    <row r="4" spans="1:14" ht="45" x14ac:dyDescent="0.15">
      <c r="A4" s="82" t="s">
        <v>194</v>
      </c>
      <c r="B4" s="83">
        <f>floors!$C$2</f>
        <v>49014</v>
      </c>
      <c r="C4" s="84" t="str">
        <f ca="1">VLOOKUP($B4,OFFSET([2]quests!$A$1,0,0,COUNTA([2]quests!$A:$A),MATCH(C$1,[2]quests!$1:$1,0)-MATCH($B$1,[2]quests!$1:$1,0)+1),MATCH(C$1,[2]quests!$1:$1,0)-MATCH($B$1,[2]quests!$1:$1,0)+1,FALSE)</f>
        <v>ネコムート襲来！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コラボ降臨10</v>
      </c>
      <c r="E4" s="85">
        <v>2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コラボ降臨10</v>
      </c>
      <c r="H4" s="86">
        <v>3</v>
      </c>
      <c r="I4" s="91">
        <f t="shared" si="0"/>
        <v>3</v>
      </c>
      <c r="J4" s="87" t="str">
        <f t="shared" si="1"/>
        <v>4901403</v>
      </c>
      <c r="K4" s="85" t="s">
        <v>195</v>
      </c>
      <c r="L4" s="88" t="s">
        <v>251</v>
      </c>
      <c r="M4" s="246" t="s">
        <v>379</v>
      </c>
      <c r="N4" s="57" t="s">
        <v>196</v>
      </c>
    </row>
    <row r="5" spans="1:14" ht="30" x14ac:dyDescent="0.15">
      <c r="A5" s="82" t="s">
        <v>194</v>
      </c>
      <c r="B5" s="83">
        <f>floors!$C$2</f>
        <v>49014</v>
      </c>
      <c r="C5" s="84" t="str">
        <f ca="1">VLOOKUP($B5,OFFSET([2]quests!$A$1,0,0,COUNTA([2]quests!$A:$A),MATCH(C$1,[2]quests!$1:$1,0)-MATCH($B$1,[2]quests!$1:$1,0)+1),MATCH(C$1,[2]quests!$1:$1,0)-MATCH($B$1,[2]quests!$1:$1,0)+1,FALSE)</f>
        <v>ネコムート襲来！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コラボ降臨10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コラボ降臨10</v>
      </c>
      <c r="H5" s="86">
        <v>4</v>
      </c>
      <c r="I5" s="91">
        <f t="shared" si="0"/>
        <v>4</v>
      </c>
      <c r="J5" s="87" t="str">
        <f t="shared" si="1"/>
        <v>4901404</v>
      </c>
      <c r="K5" s="85" t="s">
        <v>195</v>
      </c>
      <c r="L5" s="88" t="s">
        <v>251</v>
      </c>
      <c r="M5" s="246" t="s">
        <v>380</v>
      </c>
      <c r="N5" s="57" t="s">
        <v>196</v>
      </c>
    </row>
    <row r="6" spans="1:14" ht="30" x14ac:dyDescent="0.15">
      <c r="A6" s="82" t="s">
        <v>194</v>
      </c>
      <c r="B6" s="83">
        <f>floors!$C$2</f>
        <v>49014</v>
      </c>
      <c r="C6" s="84" t="str">
        <f ca="1">VLOOKUP($B6,OFFSET([2]quests!$A$1,0,0,COUNTA([2]quests!$A:$A),MATCH(C$1,[2]quests!$1:$1,0)-MATCH($B$1,[2]quests!$1:$1,0)+1),MATCH(C$1,[2]quests!$1:$1,0)-MATCH($B$1,[2]quests!$1:$1,0)+1,FALSE)</f>
        <v>ネコムート襲来！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コラボ降臨10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コラボ降臨10</v>
      </c>
      <c r="H6" s="86">
        <v>5</v>
      </c>
      <c r="I6" s="91">
        <f t="shared" si="0"/>
        <v>5</v>
      </c>
      <c r="J6" s="87" t="str">
        <f t="shared" si="1"/>
        <v>4901405</v>
      </c>
      <c r="K6" s="85" t="s">
        <v>195</v>
      </c>
      <c r="L6" s="88" t="s">
        <v>251</v>
      </c>
      <c r="M6" s="246" t="s">
        <v>381</v>
      </c>
      <c r="N6" s="57" t="s">
        <v>196</v>
      </c>
    </row>
    <row r="7" spans="1:14" ht="45" x14ac:dyDescent="0.15">
      <c r="A7" s="82" t="s">
        <v>194</v>
      </c>
      <c r="B7" s="83">
        <f>floors!$C$2</f>
        <v>49014</v>
      </c>
      <c r="C7" s="84" t="str">
        <f ca="1">VLOOKUP($B7,OFFSET([2]quests!$A$1,0,0,COUNTA([2]quests!$A:$A),MATCH(C$1,[2]quests!$1:$1,0)-MATCH($B$1,[2]quests!$1:$1,0)+1),MATCH(C$1,[2]quests!$1:$1,0)-MATCH($B$1,[2]quests!$1:$1,0)+1,FALSE)</f>
        <v>ネコムート襲来！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コラボ降臨10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コラボ降臨10</v>
      </c>
      <c r="H7" s="86">
        <v>7</v>
      </c>
      <c r="I7" s="91">
        <f t="shared" si="0"/>
        <v>6</v>
      </c>
      <c r="J7" s="87" t="str">
        <f t="shared" si="1"/>
        <v>4901406</v>
      </c>
      <c r="K7" s="85" t="s">
        <v>195</v>
      </c>
      <c r="L7" s="88" t="s">
        <v>251</v>
      </c>
      <c r="M7" s="246" t="s">
        <v>382</v>
      </c>
      <c r="N7" s="57" t="s">
        <v>196</v>
      </c>
    </row>
    <row r="8" spans="1:14" ht="45" x14ac:dyDescent="0.15">
      <c r="A8" s="82" t="s">
        <v>194</v>
      </c>
      <c r="B8" s="83">
        <f>floors!$C$2</f>
        <v>49014</v>
      </c>
      <c r="C8" s="84" t="str">
        <f ca="1">VLOOKUP($B8,OFFSET([2]quests!$A$1,0,0,COUNTA([2]quests!$A:$A),MATCH(C$1,[2]quests!$1:$1,0)-MATCH($B$1,[2]quests!$1:$1,0)+1),MATCH(C$1,[2]quests!$1:$1,0)-MATCH($B$1,[2]quests!$1:$1,0)+1,FALSE)</f>
        <v>ネコムート襲来！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コラボ降臨10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コラボ降臨10</v>
      </c>
      <c r="H8" s="86">
        <v>7</v>
      </c>
      <c r="I8" s="91">
        <f t="shared" si="0"/>
        <v>7</v>
      </c>
      <c r="J8" s="87" t="str">
        <f t="shared" si="1"/>
        <v>4901407</v>
      </c>
      <c r="K8" s="85" t="s">
        <v>195</v>
      </c>
      <c r="L8" s="88" t="s">
        <v>251</v>
      </c>
      <c r="M8" s="246" t="s">
        <v>383</v>
      </c>
      <c r="N8" s="57" t="s">
        <v>196</v>
      </c>
    </row>
    <row r="9" spans="1:14" ht="45" x14ac:dyDescent="0.15">
      <c r="A9" s="82" t="s">
        <v>194</v>
      </c>
      <c r="B9" s="83">
        <f>floors!$C$2</f>
        <v>49014</v>
      </c>
      <c r="C9" s="256" t="str">
        <f ca="1">VLOOKUP($B9,OFFSET([2]quests!$A$1,0,0,COUNTA([2]quests!$A:$A),MATCH(C$1,[2]quests!$1:$1,0)-MATCH($B$1,[2]quests!$1:$1,0)+1),MATCH(C$1,[2]quests!$1:$1,0)-MATCH($B$1,[2]quests!$1:$1,0)+1,FALSE)</f>
        <v>ネコムート襲来！</v>
      </c>
      <c r="D9" s="256" t="str">
        <f ca="1">VLOOKUP($B9,OFFSET([2]quests!$A$1,0,0,COUNTA([2]quests!$A:$A),MATCH(D$1,[2]quests!$1:$1,0)-MATCH($B$1,[2]quests!$1:$1,0)+1),MATCH(D$1,[2]quests!$1:$1,0)-MATCH($B$1,[2]quests!$1:$1,0)+1,FALSE)</f>
        <v>コラボ降臨10</v>
      </c>
      <c r="E9" s="85">
        <v>2</v>
      </c>
      <c r="F9" s="256" t="str">
        <f ca="1">VLOOKUP($B9&amp;"_"&amp;$E9,OFFSET([2]stages!$A$1,0,0,COUNTA([2]stages!$A:$A),MATCH(F$1,[2]stages!$2:$2,0)-MATCH("temp_stage",[2]stages!$2:$2,0)+1),MATCH(F$1,[2]stages!$2:$2,0)-MATCH("temp_stage",[2]stages!$2:$2,0)+1,FALSE)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9" s="256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コラボ降臨10</v>
      </c>
      <c r="H9" s="257">
        <v>7</v>
      </c>
      <c r="I9" s="91">
        <f t="shared" si="0"/>
        <v>8</v>
      </c>
      <c r="J9" s="87" t="str">
        <f t="shared" si="1"/>
        <v>4901408</v>
      </c>
      <c r="K9" s="85" t="s">
        <v>195</v>
      </c>
      <c r="L9" s="88" t="s">
        <v>251</v>
      </c>
      <c r="M9" s="246" t="s">
        <v>384</v>
      </c>
      <c r="N9" s="57" t="s">
        <v>196</v>
      </c>
    </row>
    <row r="10" spans="1:14" ht="45" x14ac:dyDescent="0.15">
      <c r="A10" s="249" t="s">
        <v>387</v>
      </c>
      <c r="B10" s="250">
        <f>floors!$C$2</f>
        <v>49014</v>
      </c>
      <c r="C10" s="84" t="str">
        <f ca="1">VLOOKUP($B10,OFFSET([2]quests!$A$1,0,0,COUNTA([2]quests!$A:$A),MATCH(C$1,[2]quests!$1:$1,0)-MATCH($B$1,[2]quests!$1:$1,0)+1),MATCH(C$1,[2]quests!$1:$1,0)-MATCH($B$1,[2]quests!$1:$1,0)+1,FALSE)</f>
        <v>ネコムート襲来！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コラボ降臨10</v>
      </c>
      <c r="E10" s="251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コラボ降臨10</v>
      </c>
      <c r="H10" s="86">
        <v>0</v>
      </c>
      <c r="I10" s="252">
        <f t="shared" si="0"/>
        <v>9</v>
      </c>
      <c r="J10" s="253" t="str">
        <f t="shared" ref="J10:J12" si="2">B10&amp;TEXT(I10,"00")</f>
        <v>4901409</v>
      </c>
      <c r="K10" s="251" t="s">
        <v>126</v>
      </c>
      <c r="L10" s="254" t="s">
        <v>391</v>
      </c>
      <c r="M10" s="247" t="s">
        <v>385</v>
      </c>
      <c r="N10" s="255" t="s">
        <v>196</v>
      </c>
    </row>
    <row r="11" spans="1:14" ht="45" x14ac:dyDescent="0.15">
      <c r="A11" s="82" t="s">
        <v>387</v>
      </c>
      <c r="B11" s="83">
        <f>floors!$C$2</f>
        <v>49014</v>
      </c>
      <c r="C11" s="84" t="str">
        <f ca="1">VLOOKUP($B11,OFFSET([2]quests!$A$1,0,0,COUNTA([2]quests!$A:$A),MATCH(C$1,[2]quests!$1:$1,0)-MATCH($B$1,[2]quests!$1:$1,0)+1),MATCH(C$1,[2]quests!$1:$1,0)-MATCH($B$1,[2]quests!$1:$1,0)+1,FALSE)</f>
        <v>ネコムート襲来！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コラボ降臨10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コラボ降臨10</v>
      </c>
      <c r="H11" s="86">
        <v>0</v>
      </c>
      <c r="I11" s="91">
        <f t="shared" si="0"/>
        <v>10</v>
      </c>
      <c r="J11" s="87" t="str">
        <f t="shared" si="2"/>
        <v>4901410</v>
      </c>
      <c r="K11" s="85" t="s">
        <v>126</v>
      </c>
      <c r="L11" s="88" t="s">
        <v>392</v>
      </c>
      <c r="M11" s="248" t="s">
        <v>390</v>
      </c>
      <c r="N11" s="57" t="s">
        <v>196</v>
      </c>
    </row>
    <row r="12" spans="1:14" ht="46" thickBot="1" x14ac:dyDescent="0.2">
      <c r="A12" s="198" t="s">
        <v>387</v>
      </c>
      <c r="B12" s="199">
        <f>floors!$C$2</f>
        <v>49014</v>
      </c>
      <c r="C12" s="200" t="str">
        <f ca="1">VLOOKUP($B12,OFFSET([2]quests!$A$1,0,0,COUNTA([2]quests!$A:$A),MATCH(C$1,[2]quests!$1:$1,0)-MATCH($B$1,[2]quests!$1:$1,0)+1),MATCH(C$1,[2]quests!$1:$1,0)-MATCH($B$1,[2]quests!$1:$1,0)+1,FALSE)</f>
        <v>ネコムート襲来！</v>
      </c>
      <c r="D12" s="200" t="str">
        <f ca="1">VLOOKUP($B12,OFFSET([2]quests!$A$1,0,0,COUNTA([2]quests!$A:$A),MATCH(D$1,[2]quests!$1:$1,0)-MATCH($B$1,[2]quests!$1:$1,0)+1),MATCH(D$1,[2]quests!$1:$1,0)-MATCH($B$1,[2]quests!$1:$1,0)+1,FALSE)</f>
        <v>コラボ降臨10</v>
      </c>
      <c r="E12" s="201">
        <v>2</v>
      </c>
      <c r="F12" s="200" t="str">
        <f ca="1">VLOOKUP($B12&amp;"_"&amp;$E12,OFFSET([2]stages!$A$1,0,0,COUNTA([2]stages!$A:$A),MATCH(F$1,[2]stages!$2:$2,0)-MATCH("temp_stage",[2]stages!$2:$2,0)+1),MATCH(F$1,[2]stages!$2:$2,0)-MATCH("temp_stage",[2]stages!$2:$2,0)+1,FALSE)</f>
        <v>【超激ムズ】ネコムート襲来！</v>
      </c>
      <c r="G12" s="200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コラボ降臨10</v>
      </c>
      <c r="H12" s="202">
        <v>0</v>
      </c>
      <c r="I12" s="203">
        <f t="shared" si="0"/>
        <v>11</v>
      </c>
      <c r="J12" s="204" t="str">
        <f t="shared" si="2"/>
        <v>4901411</v>
      </c>
      <c r="K12" s="201" t="s">
        <v>126</v>
      </c>
      <c r="L12" s="205" t="s">
        <v>393</v>
      </c>
      <c r="M12" s="258" t="s">
        <v>386</v>
      </c>
      <c r="N12" s="206" t="s">
        <v>196</v>
      </c>
    </row>
    <row r="13" spans="1:14" ht="30" x14ac:dyDescent="0.15">
      <c r="A13" s="82" t="s">
        <v>194</v>
      </c>
      <c r="B13" s="83">
        <f>floors!$C$2</f>
        <v>49014</v>
      </c>
      <c r="C13" s="84" t="str">
        <f ca="1">VLOOKUP($B13,OFFSET([2]quests!$A$1,0,0,COUNTA([2]quests!$A:$A),MATCH(C$1,[2]quests!$1:$1,0)-MATCH($B$1,[2]quests!$1:$1,0)+1),MATCH(C$1,[2]quests!$1:$1,0)-MATCH($B$1,[2]quests!$1:$1,0)+1,FALSE)</f>
        <v>ネコムート襲来！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コラボ降臨10</v>
      </c>
      <c r="E13" s="85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コラボ降臨10</v>
      </c>
      <c r="H13" s="86">
        <v>1</v>
      </c>
      <c r="I13" s="91">
        <f t="shared" si="0"/>
        <v>12</v>
      </c>
      <c r="J13" s="87" t="str">
        <f t="shared" ref="J13:J19" si="3">B13&amp;TEXT(I13,"00")</f>
        <v>4901412</v>
      </c>
      <c r="K13" s="85" t="s">
        <v>195</v>
      </c>
      <c r="L13" s="88" t="s">
        <v>251</v>
      </c>
      <c r="M13" s="246" t="s">
        <v>377</v>
      </c>
      <c r="N13" s="57" t="s">
        <v>196</v>
      </c>
    </row>
    <row r="14" spans="1:14" ht="30" x14ac:dyDescent="0.15">
      <c r="A14" s="82" t="s">
        <v>194</v>
      </c>
      <c r="B14" s="83">
        <f>floors!$C$2</f>
        <v>49014</v>
      </c>
      <c r="C14" s="84" t="str">
        <f ca="1">VLOOKUP($B14,OFFSET([2]quests!$A$1,0,0,COUNTA([2]quests!$A:$A),MATCH(C$1,[2]quests!$1:$1,0)-MATCH($B$1,[2]quests!$1:$1,0)+1),MATCH(C$1,[2]quests!$1:$1,0)-MATCH($B$1,[2]quests!$1:$1,0)+1,FALSE)</f>
        <v>ネコムート襲来！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コラボ降臨10</v>
      </c>
      <c r="E14" s="85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コラボ降臨10</v>
      </c>
      <c r="H14" s="86">
        <v>2</v>
      </c>
      <c r="I14" s="91">
        <f t="shared" si="0"/>
        <v>13</v>
      </c>
      <c r="J14" s="87" t="str">
        <f t="shared" si="3"/>
        <v>4901413</v>
      </c>
      <c r="K14" s="85" t="s">
        <v>195</v>
      </c>
      <c r="L14" s="88" t="s">
        <v>251</v>
      </c>
      <c r="M14" s="247" t="s">
        <v>378</v>
      </c>
      <c r="N14" s="57" t="s">
        <v>196</v>
      </c>
    </row>
    <row r="15" spans="1:14" ht="45" x14ac:dyDescent="0.15">
      <c r="A15" s="82" t="s">
        <v>194</v>
      </c>
      <c r="B15" s="83">
        <f>floors!$C$2</f>
        <v>49014</v>
      </c>
      <c r="C15" s="84" t="str">
        <f ca="1">VLOOKUP($B15,OFFSET([2]quests!$A$1,0,0,COUNTA([2]quests!$A:$A),MATCH(C$1,[2]quests!$1:$1,0)-MATCH($B$1,[2]quests!$1:$1,0)+1),MATCH(C$1,[2]quests!$1:$1,0)-MATCH($B$1,[2]quests!$1:$1,0)+1,FALSE)</f>
        <v>ネコムート襲来！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コラボ降臨10</v>
      </c>
      <c r="E15" s="85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コラボ降臨10</v>
      </c>
      <c r="H15" s="86">
        <v>3</v>
      </c>
      <c r="I15" s="91">
        <f t="shared" si="0"/>
        <v>14</v>
      </c>
      <c r="J15" s="87" t="str">
        <f t="shared" si="3"/>
        <v>4901414</v>
      </c>
      <c r="K15" s="85" t="s">
        <v>195</v>
      </c>
      <c r="L15" s="88" t="s">
        <v>251</v>
      </c>
      <c r="M15" s="246" t="s">
        <v>379</v>
      </c>
      <c r="N15" s="57" t="s">
        <v>196</v>
      </c>
    </row>
    <row r="16" spans="1:14" ht="30" x14ac:dyDescent="0.15">
      <c r="A16" s="82" t="s">
        <v>194</v>
      </c>
      <c r="B16" s="83">
        <f>floors!$C$2</f>
        <v>49014</v>
      </c>
      <c r="C16" s="84" t="str">
        <f ca="1">VLOOKUP($B16,OFFSET([2]quests!$A$1,0,0,COUNTA([2]quests!$A:$A),MATCH(C$1,[2]quests!$1:$1,0)-MATCH($B$1,[2]quests!$1:$1,0)+1),MATCH(C$1,[2]quests!$1:$1,0)-MATCH($B$1,[2]quests!$1:$1,0)+1,FALSE)</f>
        <v>ネコムート襲来！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コラボ降臨10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コラボ降臨10</v>
      </c>
      <c r="H16" s="86">
        <v>4</v>
      </c>
      <c r="I16" s="91">
        <f t="shared" si="0"/>
        <v>15</v>
      </c>
      <c r="J16" s="87" t="str">
        <f t="shared" si="3"/>
        <v>4901415</v>
      </c>
      <c r="K16" s="85" t="s">
        <v>195</v>
      </c>
      <c r="L16" s="88" t="s">
        <v>251</v>
      </c>
      <c r="M16" s="246" t="s">
        <v>380</v>
      </c>
      <c r="N16" s="57" t="s">
        <v>196</v>
      </c>
    </row>
    <row r="17" spans="1:14" ht="30" x14ac:dyDescent="0.15">
      <c r="A17" s="82" t="s">
        <v>194</v>
      </c>
      <c r="B17" s="83">
        <f>floors!$C$2</f>
        <v>49014</v>
      </c>
      <c r="C17" s="84" t="str">
        <f ca="1">VLOOKUP($B17,OFFSET([2]quests!$A$1,0,0,COUNTA([2]quests!$A:$A),MATCH(C$1,[2]quests!$1:$1,0)-MATCH($B$1,[2]quests!$1:$1,0)+1),MATCH(C$1,[2]quests!$1:$1,0)-MATCH($B$1,[2]quests!$1:$1,0)+1,FALSE)</f>
        <v>ネコムート襲来！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コラボ降臨10</v>
      </c>
      <c r="E17" s="85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コラボ降臨10</v>
      </c>
      <c r="H17" s="86">
        <v>5</v>
      </c>
      <c r="I17" s="91">
        <f t="shared" si="0"/>
        <v>16</v>
      </c>
      <c r="J17" s="87" t="str">
        <f t="shared" si="3"/>
        <v>4901416</v>
      </c>
      <c r="K17" s="85" t="s">
        <v>195</v>
      </c>
      <c r="L17" s="88" t="s">
        <v>251</v>
      </c>
      <c r="M17" s="246" t="s">
        <v>381</v>
      </c>
      <c r="N17" s="57" t="s">
        <v>196</v>
      </c>
    </row>
    <row r="18" spans="1:14" ht="45" x14ac:dyDescent="0.15">
      <c r="A18" s="82" t="s">
        <v>194</v>
      </c>
      <c r="B18" s="83">
        <f>floors!$C$2</f>
        <v>49014</v>
      </c>
      <c r="C18" s="84" t="str">
        <f ca="1">VLOOKUP($B18,OFFSET([2]quests!$A$1,0,0,COUNTA([2]quests!$A:$A),MATCH(C$1,[2]quests!$1:$1,0)-MATCH($B$1,[2]quests!$1:$1,0)+1),MATCH(C$1,[2]quests!$1:$1,0)-MATCH($B$1,[2]quests!$1:$1,0)+1,FALSE)</f>
        <v>ネコムート襲来！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コラボ降臨10</v>
      </c>
      <c r="E18" s="85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コラボ降臨10</v>
      </c>
      <c r="H18" s="86">
        <v>7</v>
      </c>
      <c r="I18" s="91">
        <f t="shared" si="0"/>
        <v>17</v>
      </c>
      <c r="J18" s="87" t="str">
        <f t="shared" si="3"/>
        <v>4901417</v>
      </c>
      <c r="K18" s="85" t="s">
        <v>195</v>
      </c>
      <c r="L18" s="88" t="s">
        <v>251</v>
      </c>
      <c r="M18" s="246" t="s">
        <v>382</v>
      </c>
      <c r="N18" s="57" t="s">
        <v>196</v>
      </c>
    </row>
    <row r="19" spans="1:14" ht="45" x14ac:dyDescent="0.15">
      <c r="A19" s="82" t="s">
        <v>194</v>
      </c>
      <c r="B19" s="83">
        <f>floors!$C$2</f>
        <v>49014</v>
      </c>
      <c r="C19" s="256" t="str">
        <f ca="1">VLOOKUP($B19,OFFSET([2]quests!$A$1,0,0,COUNTA([2]quests!$A:$A),MATCH(C$1,[2]quests!$1:$1,0)-MATCH($B$1,[2]quests!$1:$1,0)+1),MATCH(C$1,[2]quests!$1:$1,0)-MATCH($B$1,[2]quests!$1:$1,0)+1,FALSE)</f>
        <v>ネコムート襲来！</v>
      </c>
      <c r="D19" s="256" t="str">
        <f ca="1">VLOOKUP($B19,OFFSET([2]quests!$A$1,0,0,COUNTA([2]quests!$A:$A),MATCH(D$1,[2]quests!$1:$1,0)-MATCH($B$1,[2]quests!$1:$1,0)+1),MATCH(D$1,[2]quests!$1:$1,0)-MATCH($B$1,[2]quests!$1:$1,0)+1,FALSE)</f>
        <v>コラボ降臨10</v>
      </c>
      <c r="E19" s="85">
        <v>1</v>
      </c>
      <c r="F19" s="256" t="str">
        <f ca="1">VLOOKUP($B19&amp;"_"&amp;$E19,OFFSET([2]stages!$A$1,0,0,COUNTA([2]stages!$A:$A),MATCH(F$1,[2]stages!$2:$2,0)-MATCH("temp_stage",[2]stages!$2:$2,0)+1),MATCH(F$1,[2]stages!$2:$2,0)-MATCH("temp_stage",[2]stages!$2:$2,0)+1,FALSE)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19" s="256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コラボ降臨10</v>
      </c>
      <c r="H19" s="257">
        <v>7</v>
      </c>
      <c r="I19" s="91">
        <f t="shared" si="0"/>
        <v>18</v>
      </c>
      <c r="J19" s="87" t="str">
        <f t="shared" si="3"/>
        <v>4901418</v>
      </c>
      <c r="K19" s="85" t="s">
        <v>195</v>
      </c>
      <c r="L19" s="88" t="s">
        <v>251</v>
      </c>
      <c r="M19" s="246" t="s">
        <v>383</v>
      </c>
      <c r="N19" s="57" t="s">
        <v>196</v>
      </c>
    </row>
    <row r="20" spans="1:14" ht="45" x14ac:dyDescent="0.15">
      <c r="A20" s="249" t="s">
        <v>194</v>
      </c>
      <c r="B20" s="250">
        <f>floors!$C$2</f>
        <v>49014</v>
      </c>
      <c r="C20" s="84" t="str">
        <f ca="1">VLOOKUP($B20,OFFSET([2]quests!$A$1,0,0,COUNTA([2]quests!$A:$A),MATCH(C$1,[2]quests!$1:$1,0)-MATCH($B$1,[2]quests!$1:$1,0)+1),MATCH(C$1,[2]quests!$1:$1,0)-MATCH($B$1,[2]quests!$1:$1,0)+1,FALSE)</f>
        <v>ネコムート襲来！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コラボ降臨10</v>
      </c>
      <c r="E20" s="251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コラボ降臨10</v>
      </c>
      <c r="H20" s="86">
        <v>7</v>
      </c>
      <c r="I20" s="252">
        <f t="shared" si="0"/>
        <v>19</v>
      </c>
      <c r="J20" s="253" t="str">
        <f t="shared" ref="J20:J23" si="4">B20&amp;TEXT(I20,"00")</f>
        <v>4901419</v>
      </c>
      <c r="K20" s="251" t="s">
        <v>126</v>
      </c>
      <c r="L20" s="254" t="s">
        <v>251</v>
      </c>
      <c r="M20" s="246" t="s">
        <v>384</v>
      </c>
      <c r="N20" s="255" t="s">
        <v>196</v>
      </c>
    </row>
    <row r="21" spans="1:14" ht="45" x14ac:dyDescent="0.15">
      <c r="A21" s="82" t="s">
        <v>387</v>
      </c>
      <c r="B21" s="83">
        <f>floors!$C$2</f>
        <v>49014</v>
      </c>
      <c r="C21" s="84" t="str">
        <f ca="1">VLOOKUP($B21,OFFSET([2]quests!$A$1,0,0,COUNTA([2]quests!$A:$A),MATCH(C$1,[2]quests!$1:$1,0)-MATCH($B$1,[2]quests!$1:$1,0)+1),MATCH(C$1,[2]quests!$1:$1,0)-MATCH($B$1,[2]quests!$1:$1,0)+1,FALSE)</f>
        <v>ネコムート襲来！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コラボ降臨10</v>
      </c>
      <c r="E21" s="85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コラボ降臨10</v>
      </c>
      <c r="H21" s="86">
        <v>0</v>
      </c>
      <c r="I21" s="91">
        <f t="shared" si="0"/>
        <v>20</v>
      </c>
      <c r="J21" s="87" t="str">
        <f t="shared" si="4"/>
        <v>4901420</v>
      </c>
      <c r="K21" s="85" t="s">
        <v>126</v>
      </c>
      <c r="L21" s="254" t="s">
        <v>391</v>
      </c>
      <c r="M21" s="247" t="s">
        <v>385</v>
      </c>
      <c r="N21" s="57" t="s">
        <v>196</v>
      </c>
    </row>
    <row r="22" spans="1:14" ht="45" x14ac:dyDescent="0.15">
      <c r="A22" s="82" t="s">
        <v>387</v>
      </c>
      <c r="B22" s="83">
        <f>floors!$C$2</f>
        <v>49014</v>
      </c>
      <c r="C22" s="84" t="str">
        <f ca="1">VLOOKUP($B22,OFFSET([2]quests!$A$1,0,0,COUNTA([2]quests!$A:$A),MATCH(C$1,[2]quests!$1:$1,0)-MATCH($B$1,[2]quests!$1:$1,0)+1),MATCH(C$1,[2]quests!$1:$1,0)-MATCH($B$1,[2]quests!$1:$1,0)+1,FALSE)</f>
        <v>ネコムート襲来！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コラボ降臨10</v>
      </c>
      <c r="E22" s="85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コラボ降臨10</v>
      </c>
      <c r="H22" s="86">
        <v>0</v>
      </c>
      <c r="I22" s="91">
        <f t="shared" si="0"/>
        <v>21</v>
      </c>
      <c r="J22" s="87" t="str">
        <f t="shared" si="4"/>
        <v>4901421</v>
      </c>
      <c r="K22" s="85" t="s">
        <v>126</v>
      </c>
      <c r="L22" s="88" t="s">
        <v>392</v>
      </c>
      <c r="M22" s="248" t="s">
        <v>390</v>
      </c>
      <c r="N22" s="57" t="s">
        <v>196</v>
      </c>
    </row>
    <row r="23" spans="1:14" ht="46" thickBot="1" x14ac:dyDescent="0.2">
      <c r="A23" s="198" t="s">
        <v>387</v>
      </c>
      <c r="B23" s="199">
        <f>floors!$C$2</f>
        <v>49014</v>
      </c>
      <c r="C23" s="200" t="str">
        <f ca="1">VLOOKUP($B23,OFFSET([2]quests!$A$1,0,0,COUNTA([2]quests!$A:$A),MATCH(C$1,[2]quests!$1:$1,0)-MATCH($B$1,[2]quests!$1:$1,0)+1),MATCH(C$1,[2]quests!$1:$1,0)-MATCH($B$1,[2]quests!$1:$1,0)+1,FALSE)</f>
        <v>ネコムート襲来！</v>
      </c>
      <c r="D23" s="200" t="str">
        <f ca="1">VLOOKUP($B23,OFFSET([2]quests!$A$1,0,0,COUNTA([2]quests!$A:$A),MATCH(D$1,[2]quests!$1:$1,0)-MATCH($B$1,[2]quests!$1:$1,0)+1),MATCH(D$1,[2]quests!$1:$1,0)-MATCH($B$1,[2]quests!$1:$1,0)+1,FALSE)</f>
        <v>コラボ降臨10</v>
      </c>
      <c r="E23" s="201">
        <v>1</v>
      </c>
      <c r="F23" s="200" t="str">
        <f ca="1">VLOOKUP($B23&amp;"_"&amp;$E23,OFFSET([2]stages!$A$1,0,0,COUNTA([2]stages!$A:$A),MATCH(F$1,[2]stages!$2:$2,0)-MATCH("temp_stage",[2]stages!$2:$2,0)+1),MATCH(F$1,[2]stages!$2:$2,0)-MATCH("temp_stage",[2]stages!$2:$2,0)+1,FALSE)</f>
        <v>【激ムズ】ネコムート襲来！</v>
      </c>
      <c r="G23" s="200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コラボ降臨10</v>
      </c>
      <c r="H23" s="202">
        <v>0</v>
      </c>
      <c r="I23" s="203">
        <f t="shared" si="0"/>
        <v>22</v>
      </c>
      <c r="J23" s="204" t="str">
        <f t="shared" si="4"/>
        <v>4901422</v>
      </c>
      <c r="K23" s="201" t="s">
        <v>126</v>
      </c>
      <c r="L23" s="205" t="s">
        <v>393</v>
      </c>
      <c r="M23" s="258" t="s">
        <v>386</v>
      </c>
      <c r="N23" s="206" t="s">
        <v>196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2017-03-16T08:18:56Z</dcterms:modified>
</cp:coreProperties>
</file>