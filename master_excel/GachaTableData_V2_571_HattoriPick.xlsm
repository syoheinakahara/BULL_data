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71100" sheetId="153" r:id="rId4"/>
    <sheet name="tables_571100" sheetId="154" r:id="rId5"/>
    <sheet name="tables_settle_571103" sheetId="161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tables_571100!$A$1:$V$294</definedName>
    <definedName name="_xlnm._FilterDatabase" localSheetId="5" hidden="1">tables_settle_571103!$A$1:$V$1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8" i="153"/>
  <c r="B28" i="153"/>
  <c r="E29" i="153"/>
  <c r="B29" i="153"/>
  <c r="C28" i="153"/>
  <c r="C29" i="153"/>
  <c r="B27" i="153"/>
  <c r="E23" i="153"/>
  <c r="F6" i="153"/>
  <c r="E6" i="153"/>
  <c r="B23" i="153"/>
  <c r="E26" i="153"/>
  <c r="B26" i="153"/>
  <c r="B21" i="153"/>
  <c r="B10" i="153"/>
  <c r="E22" i="153"/>
  <c r="B22" i="153"/>
  <c r="B6" i="153"/>
  <c r="E20" i="153"/>
  <c r="B20" i="153"/>
  <c r="E25" i="153"/>
  <c r="B25" i="153"/>
  <c r="B18" i="153"/>
  <c r="E19" i="153"/>
  <c r="B19" i="153"/>
  <c r="E24" i="153"/>
  <c r="B24" i="153"/>
  <c r="B17" i="153"/>
  <c r="B32" i="153"/>
  <c r="A36" i="153"/>
  <c r="C19" i="153"/>
  <c r="C20" i="153"/>
  <c r="C21" i="153"/>
  <c r="C22" i="153"/>
  <c r="C23" i="153"/>
  <c r="C24" i="153"/>
  <c r="C25" i="153"/>
  <c r="C26" i="153"/>
  <c r="C27" i="153"/>
  <c r="C30" i="153"/>
  <c r="C31" i="153"/>
  <c r="C32" i="153"/>
  <c r="D32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I4" i="161"/>
  <c r="D4" i="161"/>
  <c r="J4" i="161"/>
  <c r="E4" i="161"/>
  <c r="F4" i="161"/>
  <c r="C4" i="161"/>
  <c r="H2" i="161"/>
  <c r="K2" i="161"/>
  <c r="L2" i="161"/>
  <c r="M2" i="161"/>
  <c r="N2" i="161"/>
  <c r="P2" i="161"/>
  <c r="H3" i="161"/>
  <c r="K3" i="161"/>
  <c r="L3" i="161"/>
  <c r="M3" i="161"/>
  <c r="N3" i="161"/>
  <c r="P3" i="161"/>
  <c r="H4" i="161"/>
  <c r="K4" i="161"/>
  <c r="L4" i="161"/>
  <c r="M4" i="161"/>
  <c r="N4" i="161"/>
  <c r="P4" i="161"/>
  <c r="G31" i="153"/>
  <c r="E31" i="153"/>
  <c r="H31" i="153"/>
  <c r="I31" i="153"/>
  <c r="J31" i="153"/>
  <c r="F31" i="153"/>
  <c r="D31" i="153"/>
  <c r="A2" i="153"/>
  <c r="G23" i="153"/>
  <c r="H23" i="153"/>
  <c r="R5" i="153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R3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R4" i="153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R6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<sst xmlns="http://schemas.openxmlformats.org/spreadsheetml/2006/main" count="421" uniqueCount="254">
  <si>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</si>
  <si>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</si>
  <si>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</si>
  <si>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</si>
  <si>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</si>
  <si>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</si>
  <si>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</si>
  <si>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</si>
  <si>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</si>
  <si>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</si>
  <si>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</si>
  <si>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</si>
  <si>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</si>
  <si>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</si>
  <si>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</si>
  <si>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</si>
  <si>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</si>
  <si>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</si>
  <si>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</si>
  <si>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</si>
  <si>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</si>
  <si>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</si>
  <si>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</si>
  <si>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</si>
  <si>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</si>
  <si>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</si>
  <si>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</si>
  <si>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</si>
  <si>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</si>
  <si>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</si>
  <si>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</si>
  <si>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</si>
  <si>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</si>
  <si>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</si>
  <si>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</si>
  <si>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</si>
  <si>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</si>
  <si>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</si>
  <si>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</si>
  <si>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</si>
  <si>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</si>
  <si>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</si>
  <si>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</si>
  <si>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</si>
  <si>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</si>
  <si>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</si>
  <si>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</si>
  <si>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</si>
  <si>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</si>
  <si>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</si>
  <si>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</si>
  <si>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</si>
  <si>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</si>
  <si>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</si>
  <si>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</si>
  <si>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</si>
  <si>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</si>
  <si>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</si>
  <si>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</si>
  <si>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</si>
  <si>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</si>
  <si>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</si>
  <si>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</si>
  <si>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</si>
  <si>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</si>
  <si>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</si>
  <si>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</si>
  <si>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</si>
  <si>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</si>
  <si>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</si>
  <si>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</si>
  <si>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</si>
  <si>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</si>
  <si>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</si>
  <si>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</si>
  <si>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</si>
  <si>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</si>
  <si>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</si>
  <si>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</si>
  <si>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</si>
  <si>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</si>
  <si>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</si>
  <si>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</si>
  <si>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</si>
  <si>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</si>
  <si>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</si>
  <si>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</si>
  <si>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</si>
  <si>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</si>
  <si>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</si>
  <si>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</si>
  <si>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</si>
  <si>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</si>
  <si>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</si>
  <si>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</si>
  <si>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</si>
  <si>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</si>
  <si>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</si>
  <si>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</si>
  <si>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</si>
  <si>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</si>
  <si>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</si>
  <si>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</si>
  <si>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</si>
  <si>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</si>
  <si>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</si>
  <si>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</si>
  <si>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</si>
  <si>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</si>
  <si>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</si>
  <si>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</si>
  <si>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</si>
  <si>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</si>
  <si>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</si>
  <si>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</si>
  <si>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</si>
  <si>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</si>
  <si>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</si>
  <si>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</si>
  <si>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</si>
  <si>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</si>
  <si>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</si>
  <si>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</si>
  <si>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</si>
  <si>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</si>
  <si>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</si>
  <si>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</si>
  <si>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</si>
  <si>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</si>
  <si>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</si>
  <si>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</si>
  <si>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</si>
  <si>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</si>
  <si>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</si>
  <si>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</si>
  <si>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</si>
  <si>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</si>
  <si>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</si>
  <si>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</si>
  <si>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</si>
  <si>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</si>
  <si>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</si>
  <si>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</si>
  <si>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</si>
  <si>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</si>
  <si>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</si>
  <si>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</si>
  <si>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</si>
  <si>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</si>
  <si>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</si>
  <si>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</si>
  <si>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</si>
  <si>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</si>
  <si>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</si>
  <si>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</si>
  <si>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</si>
  <si>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</si>
  <si>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</si>
  <si>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</si>
  <si>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</si>
  <si>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</si>
  <si>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</si>
  <si>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</si>
  <si>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</si>
  <si>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</si>
  <si>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</si>
  <si>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</si>
  <si>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</si>
  <si>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</si>
  <si>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</si>
  <si>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</si>
  <si>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</si>
  <si>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</si>
  <si>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</si>
  <si>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</si>
  <si>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</si>
  <si>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</si>
  <si>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</si>
  <si>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</si>
  <si>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</si>
  <si>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</si>
  <si>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</si>
  <si>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</si>
  <si>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</si>
  <si>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</si>
  <si>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</si>
  <si>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</si>
  <si>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</si>
  <si>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</si>
  <si>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</si>
  <si>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</si>
  <si>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</si>
  <si>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</si>
  <si>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</si>
  <si>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</si>
  <si>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</si>
  <si>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</si>
  <si>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</si>
  <si>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</si>
  <si>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</si>
  <si>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</si>
  <si>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</si>
  <si>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</si>
  <si>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</si>
  <si>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</si>
  <si>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</si>
  <si>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</si>
  <si>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</si>
  <si>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</si>
  <si>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</si>
  <si>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</si>
  <si>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</si>
  <si>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</si>
  <si>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</si>
  <si>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</si>
  <si>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</si>
  <si>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</si>
  <si>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</si>
  <si>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</si>
  <si>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</si>
  <si>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</si>
  <si>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</si>
  <si>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</si>
  <si>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</si>
  <si>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</si>
  <si>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</si>
  <si>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</si>
  <si>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</si>
  <si>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</si>
  <si>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</si>
  <si>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</si>
  <si>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</si>
  <si>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</si>
  <si>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</si>
  <si>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</si>
  <si>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</si>
  <si>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</si>
  <si>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</si>
  <si>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</si>
  <si>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</si>
  <si>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</si>
  <si>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</si>
  <si>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</si>
  <si>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</si>
  <si>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</si>
  <si>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</si>
  <si>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</si>
  <si>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</si>
  <si>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</si>
  <si>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</si>
  <si>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old</t>
    <phoneticPr fontId="21"/>
  </si>
  <si>
    <t>tables_561104</t>
    <phoneticPr fontId="21"/>
  </si>
  <si>
    <t>tables_571100</t>
    <phoneticPr fontId="21"/>
  </si>
  <si>
    <t>tables_settle_571103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</si>
</sst>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3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0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53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27.3984375" style="18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571100</v>
      </c>
      <c r="D2" s="19" t="s">
        <v>45</v>
      </c>
      <c r="E2" s="17" t="str">
        <f t="shared" ref="E2" si="1">B2&amp;C2&amp;D2</f>
        <v>gacha_select_tables_571100.tmp</v>
      </c>
      <c r="F2" s="102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561104</v>
      </c>
      <c r="D3" s="19" t="s">
        <v>45</v>
      </c>
      <c r="E3" s="17" t="str">
        <f t="shared" ref="E3:E10" si="3">B3&amp;C3&amp;D3</f>
        <v>gacha_select_tables_561104.tmp</v>
      </c>
      <c r="F3" s="100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250</v>
      </c>
      <c r="B4" s="92" t="s">
        <v>247</v>
      </c>
      <c r="C4" s="93" t="str">
        <f t="shared" si="2"/>
        <v>571103</v>
      </c>
      <c r="D4" s="19" t="s">
        <v>248</v>
      </c>
      <c r="E4" s="17" t="str">
        <f t="shared" si="3"/>
        <v>gacha_settle_tables_571103.tmp</v>
      </c>
      <c r="F4" s="102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6" sqref="L6"/>
    </sheetView>
  </sheetViews>
  <sheetFormatPr baseColWidth="12" defaultRowHeight="14" x14ac:dyDescent="0.15"/>
  <cols>
    <col min="1" max="2" width="24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848</v>
      </c>
      <c r="M3" s="37" t="str">
        <f>VLOOKUP(L3,[1]characters!$A:$C,3,FALSE)</f>
        <v>メタトロン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VLOOKUP(L3,tables_571100!B:C,2,FALSE)</f>
        <v>PremiumSS5R5only</v>
      </c>
      <c r="R3" s="62">
        <f t="shared" ref="R3:R20" si="1">N3*A$36</f>
        <v>662400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1244</v>
      </c>
      <c r="M4" s="37" t="str">
        <f>VLOOKUP(L4,[1]characters!$A:$C,3,FALSE)</f>
        <v>猿飛佐助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VLOOKUP(L4,tables_571100!B:C,2,FALSE)</f>
        <v>PremiumSS5R5only</v>
      </c>
      <c r="R4" s="62">
        <f t="shared" si="1"/>
        <v>662400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4.3478260869565214E-4</v>
      </c>
      <c r="F5">
        <f>(COUNTIF(tables_571100!C:C,input_571100!A28)+COUNTIF(tables_571100!C:C,input_571100!A29))</f>
        <v>72</v>
      </c>
      <c r="H5" s="83">
        <v>4.4999999999999998E-2</v>
      </c>
      <c r="I5" s="31">
        <v>3</v>
      </c>
      <c r="L5" s="1">
        <v>1260</v>
      </c>
      <c r="M5" s="37" t="str">
        <f>VLOOKUP(L5,[1]characters!$A:$C,3,FALSE)</f>
        <v>トール</v>
      </c>
      <c r="N5" s="63">
        <v>1.4999999999999999E-2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VLOOKUP(L5,tables_571100!B:C,2,FALSE)</f>
        <v>PremiumSS5R5only</v>
      </c>
      <c r="R5" s="62">
        <f t="shared" si="1"/>
        <v>662400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9.6354166666666671E-3</v>
      </c>
      <c r="F6">
        <f>(COUNTIF(tables_571100!C:C,input_571100!A25)+COUNTIF(tables_571100!C:C,input_571100!A18)+COUNTIF(tables_571100!C:C,input_571100!A20)+COUNTIF(tables_571100!C:C,input_571100!A22))</f>
        <v>96</v>
      </c>
      <c r="H6" s="87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4.4999999999999998E-2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COUNTIF(tables_571100!C:C,input_571100!A17)-COUNTIF(Q:Q,A17)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0" si="5">IFERROR(ROUND(G17/E17,5),0)</f>
        <v>0</v>
      </c>
      <c r="I17">
        <f t="shared" ref="I17:I30" si="6">MOD(H17,1)</f>
        <v>0</v>
      </c>
      <c r="J17">
        <f t="shared" ref="J17:J30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0.22031875000000001</v>
      </c>
      <c r="C18" s="84">
        <f t="shared" si="2"/>
        <v>0</v>
      </c>
      <c r="D18" s="74">
        <f t="shared" si="3"/>
        <v>0.22031875000000001</v>
      </c>
      <c r="E18">
        <f>COUNTIF(tables_571100!C:C,input_571100!A18)-COUNTIF(Q:Q,A18)</f>
        <v>20</v>
      </c>
      <c r="F18" s="43">
        <f>IFERROR(B18/E18,0)</f>
        <v>1.10159375E-2</v>
      </c>
      <c r="G18">
        <f t="shared" si="4"/>
        <v>9729276</v>
      </c>
      <c r="H18">
        <f t="shared" si="5"/>
        <v>486463.8</v>
      </c>
      <c r="I18">
        <f t="shared" si="6"/>
        <v>0.79999999998835847</v>
      </c>
      <c r="J18">
        <f t="shared" si="7"/>
        <v>1.2500000000181899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COUNTIF(tables_571100!C:C,input_571100!A19)-COUNTIF(Q:Q,A19)</f>
        <v>52</v>
      </c>
      <c r="F19" s="43">
        <f t="shared" ref="F19:F30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0.45093750000000005</v>
      </c>
      <c r="C20" s="84">
        <f t="shared" si="2"/>
        <v>0</v>
      </c>
      <c r="D20" s="74">
        <f t="shared" si="3"/>
        <v>0.45093750000000005</v>
      </c>
      <c r="E20">
        <f>COUNTIF(tables_571100!C:C,input_571100!A20)-COUNTIF(Q:Q,A20)</f>
        <v>52</v>
      </c>
      <c r="F20" s="43">
        <f t="shared" si="8"/>
        <v>8.6718750000000008E-3</v>
      </c>
      <c r="G20">
        <f t="shared" si="4"/>
        <v>19913400.000000004</v>
      </c>
      <c r="H20">
        <f t="shared" si="5"/>
        <v>382950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B7-B23-B26-B28-B29-B31-C28-C29</f>
        <v>2.2493749999999993E-2</v>
      </c>
      <c r="C21" s="84">
        <f t="shared" si="2"/>
        <v>0</v>
      </c>
      <c r="D21" s="74">
        <f t="shared" si="3"/>
        <v>2.2493749999999993E-2</v>
      </c>
      <c r="E21">
        <f>COUNTIF(tables_571100!C:C,input_571100!A21)-COUNTIF(Q:Q,A21)</f>
        <v>52</v>
      </c>
      <c r="F21" s="43">
        <f t="shared" si="8"/>
        <v>4.3257211538461527E-4</v>
      </c>
      <c r="G21">
        <f t="shared" si="4"/>
        <v>993323.99999999965</v>
      </c>
      <c r="H21">
        <f t="shared" si="5"/>
        <v>19102.384620000001</v>
      </c>
      <c r="I21">
        <f t="shared" si="6"/>
        <v>0.38462000000072294</v>
      </c>
      <c r="J21">
        <f t="shared" si="7"/>
        <v>2.5999688003695085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0.16765625000000001</v>
      </c>
      <c r="C22" s="84">
        <f t="shared" si="2"/>
        <v>0</v>
      </c>
      <c r="D22" s="74">
        <f t="shared" si="3"/>
        <v>0.16765625000000001</v>
      </c>
      <c r="E22">
        <f>COUNTIF(tables_571100!C:C,input_571100!A22)-COUNTIF(Q:Q,A22)</f>
        <v>20</v>
      </c>
      <c r="F22" s="43">
        <f t="shared" si="8"/>
        <v>8.3828124999999996E-3</v>
      </c>
      <c r="G22">
        <f t="shared" si="4"/>
        <v>7403700</v>
      </c>
      <c r="H22">
        <f t="shared" si="5"/>
        <v>370185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2.5052083333333336E-2</v>
      </c>
      <c r="C23" s="84">
        <f t="shared" si="2"/>
        <v>0</v>
      </c>
      <c r="D23" s="74">
        <f t="shared" si="3"/>
        <v>2.5052083333333336E-2</v>
      </c>
      <c r="E23">
        <f>COUNTIF(tables_571100!C:C,input_571100!A23)-COUNTIF(Q:Q,A23)</f>
        <v>26</v>
      </c>
      <c r="F23" s="43">
        <f t="shared" si="8"/>
        <v>9.635416666666668E-4</v>
      </c>
      <c r="G23">
        <f t="shared" si="4"/>
        <v>1106300</v>
      </c>
      <c r="H23">
        <f t="shared" si="5"/>
        <v>42550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COUNTIF(tables_571100!C:C,input_571100!A24)-COUNTIF(Q:Q,A24)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3.4687500000000003E-2</v>
      </c>
      <c r="C25" s="84">
        <f t="shared" si="2"/>
        <v>0</v>
      </c>
      <c r="D25" s="74">
        <f t="shared" si="3"/>
        <v>3.4687500000000003E-2</v>
      </c>
      <c r="E25">
        <f>COUNTIF(tables_571100!C:C,input_571100!A25)-COUNTIF(Q:Q,A25)</f>
        <v>4</v>
      </c>
      <c r="F25" s="43">
        <f t="shared" si="8"/>
        <v>8.6718750000000008E-3</v>
      </c>
      <c r="G25">
        <f t="shared" si="4"/>
        <v>1531800.0000000002</v>
      </c>
      <c r="H25">
        <f t="shared" si="5"/>
        <v>382950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3.8541666666666672E-3</v>
      </c>
      <c r="C26" s="84">
        <f t="shared" si="2"/>
        <v>0</v>
      </c>
      <c r="D26" s="74">
        <f t="shared" si="3"/>
        <v>3.8541666666666672E-3</v>
      </c>
      <c r="E26">
        <f>COUNTIF(tables_571100!C:C,input_571100!A26)-COUNTIF(Q:Q,A26)</f>
        <v>4</v>
      </c>
      <c r="F26" s="43">
        <f t="shared" si="8"/>
        <v>9.635416666666668E-4</v>
      </c>
      <c r="G26">
        <f t="shared" si="4"/>
        <v>170200.00000000003</v>
      </c>
      <c r="H26">
        <f t="shared" si="5"/>
        <v>42550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B11-B28-B29-C28-C29</f>
        <v>2.6399999999999993E-2</v>
      </c>
      <c r="C27" s="84">
        <f t="shared" si="2"/>
        <v>0</v>
      </c>
      <c r="D27" s="74">
        <f t="shared" si="3"/>
        <v>2.6399999999999993E-2</v>
      </c>
      <c r="E27">
        <f>COUNTIF(tables_571100!C:C,input_571100!A27)-COUNTIF(Q:Q,A27)</f>
        <v>28</v>
      </c>
      <c r="F27" s="43">
        <f>IFERROR(B27/E27,0)</f>
        <v>9.4285714285714264E-4</v>
      </c>
      <c r="G27">
        <f t="shared" si="4"/>
        <v>1165823.9999999998</v>
      </c>
      <c r="H27">
        <f t="shared" si="5"/>
        <v>41636.571430000004</v>
      </c>
      <c r="I27">
        <f t="shared" si="6"/>
        <v>0.57143000000360189</v>
      </c>
      <c r="J27">
        <f t="shared" si="7"/>
        <v>1.7499956249999067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1.4608695652173914E-3</v>
      </c>
      <c r="C28" s="84">
        <f t="shared" si="2"/>
        <v>0</v>
      </c>
      <c r="D28" s="74">
        <f t="shared" si="3"/>
        <v>1.4608695652173914E-3</v>
      </c>
      <c r="E28">
        <f>COUNTIF(tables_571100!C:C,input_571100!A28)-COUNTIF(Q:Q,A28)</f>
        <v>28</v>
      </c>
      <c r="F28" s="43">
        <f t="shared" si="8"/>
        <v>5.2173913043478263E-5</v>
      </c>
      <c r="G28">
        <f t="shared" si="4"/>
        <v>64512.000000000007</v>
      </c>
      <c r="H28">
        <f t="shared" si="5"/>
        <v>2304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2.1391304347826087E-3</v>
      </c>
      <c r="C29" s="84">
        <f t="shared" si="2"/>
        <v>4.4999999999999998E-2</v>
      </c>
      <c r="D29" s="74">
        <f t="shared" si="3"/>
        <v>-4.286086956521739E-2</v>
      </c>
      <c r="E29">
        <f>COUNTIF(tables_571100!C:C,input_571100!A29)-COUNTIF(Q:Q,A29)</f>
        <v>41</v>
      </c>
      <c r="F29" s="43">
        <f t="shared" si="8"/>
        <v>5.2173913043478263E-5</v>
      </c>
      <c r="G29">
        <f t="shared" si="4"/>
        <v>94464</v>
      </c>
      <c r="H29">
        <f t="shared" si="5"/>
        <v>2304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COUNTIF(tables_571100!C:C,input_571100!A30)-COUNTIF(Q:Q,A30)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ref="D31" si="9">B31-C31</f>
        <v>0</v>
      </c>
      <c r="E31">
        <f>COUNTIF(tables_571100!C:C,input_571100!A31)-COUNTIF(Q:Q,A31)</f>
        <v>0</v>
      </c>
      <c r="F31" s="43">
        <f t="shared" ref="F31" si="10">IFERROR(B31/E31,0)</f>
        <v>0</v>
      </c>
      <c r="G31">
        <f t="shared" si="4"/>
        <v>0</v>
      </c>
      <c r="H31">
        <f t="shared" ref="H31" si="11">IFERROR(ROUND(G31/E31,5),0)</f>
        <v>0</v>
      </c>
      <c r="I31">
        <f t="shared" ref="I31" si="12">MOD(H31,1)</f>
        <v>0</v>
      </c>
      <c r="J31">
        <f t="shared" ref="J31" si="13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0.95500000000000018</v>
      </c>
      <c r="C32" s="41">
        <f>SUM(C19:C31)</f>
        <v>4.4999999999999998E-2</v>
      </c>
      <c r="D32" s="42">
        <f t="shared" si="3"/>
        <v>0.91000000000000014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44160000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SUMIF(tables_571100!C:C,input_571100!A40,tables_571100!O:O)</f>
        <v>0</v>
      </c>
      <c r="C40" s="54">
        <f t="shared" ref="C40:C46" ca="1" si="14">B40/B$47</f>
        <v>0</v>
      </c>
      <c r="E40">
        <v>3</v>
      </c>
      <c r="F40">
        <f ca="1">SUMIF(tables_571100!J:J,input_571100!E40,tables_571100!O:O)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SUMIF(tables_571100!C:C,input_571100!A41,tables_571100!O:O)</f>
        <v>19913400</v>
      </c>
      <c r="C41" s="54">
        <f t="shared" ca="1" si="14"/>
        <v>0.89955034678264079</v>
      </c>
      <c r="E41">
        <v>4</v>
      </c>
      <c r="F41">
        <f ca="1">SUMIF(tables_571100!J:J,input_571100!E41,tables_571100!O:O)</f>
        <v>39744000.000040039</v>
      </c>
      <c r="G41">
        <f ca="1">F41/A36</f>
        <v>0.90000000000090674</v>
      </c>
    </row>
    <row r="42" spans="1:7" x14ac:dyDescent="0.15">
      <c r="A42" s="33" t="s">
        <v>106</v>
      </c>
      <c r="B42">
        <f ca="1">SUMIF(tables_571100!C:C,input_571100!A42,tables_571100!O:O)</f>
        <v>1165824.0000400001</v>
      </c>
      <c r="C42" s="54">
        <f t="shared" ca="1" si="14"/>
        <v>5.2663903879975667E-2</v>
      </c>
      <c r="E42">
        <v>5</v>
      </c>
      <c r="F42">
        <f ca="1">SUMIF(tables_571100!J:J,input_571100!E42,tables_571100!O:O)</f>
        <v>4416000.00024</v>
      </c>
      <c r="G42">
        <f ca="1">F42/A36</f>
        <v>0.10000000000543478</v>
      </c>
    </row>
    <row r="43" spans="1:7" x14ac:dyDescent="0.15">
      <c r="A43" s="33" t="s">
        <v>109</v>
      </c>
      <c r="B43">
        <f>SUMIF(tables_571100!C:C,input_571100!A43,tables_571100!O:O)</f>
        <v>0</v>
      </c>
      <c r="C43" s="54">
        <f t="shared" ca="1" si="14"/>
        <v>0</v>
      </c>
      <c r="F43" s="55"/>
    </row>
    <row r="44" spans="1:7" x14ac:dyDescent="0.15">
      <c r="A44" s="33" t="s">
        <v>105</v>
      </c>
      <c r="B44">
        <f ca="1">SUMIF(tables_571100!C:C,input_571100!A44,tables_571100!O:O)</f>
        <v>993324.00024000101</v>
      </c>
      <c r="C44" s="54">
        <f t="shared" ca="1" si="14"/>
        <v>4.4871541217643036E-2</v>
      </c>
      <c r="E44" t="s">
        <v>54</v>
      </c>
      <c r="F44" s="55"/>
    </row>
    <row r="45" spans="1:7" x14ac:dyDescent="0.15">
      <c r="A45" s="33" t="s">
        <v>107</v>
      </c>
      <c r="B45">
        <f ca="1">SUMIF(tables_571100!C:C,input_571100!A45,tables_571100!O:O)</f>
        <v>64512</v>
      </c>
      <c r="C45" s="54">
        <f t="shared" ca="1" si="14"/>
        <v>2.9142081197405627E-3</v>
      </c>
      <c r="E45" t="s">
        <v>204</v>
      </c>
      <c r="F45" s="55">
        <f ca="1">SUMIF(tables_571100!I:I,input_571100!E45,tables_571100!P:P)</f>
        <v>0.22609999999856625</v>
      </c>
    </row>
    <row r="46" spans="1:7" x14ac:dyDescent="0.15">
      <c r="A46" s="33" t="s">
        <v>108</v>
      </c>
      <c r="B46">
        <f>SUMIF(tables_571100!C:C,input_571100!A46,tables_571100!O:O)</f>
        <v>0</v>
      </c>
      <c r="C46" s="54">
        <f t="shared" ca="1" si="14"/>
        <v>0</v>
      </c>
      <c r="E46" t="s">
        <v>205</v>
      </c>
      <c r="F46" s="55">
        <f ca="1">SUMIF(tables_571100!I:I,input_571100!E46,tables_571100!P:P)</f>
        <v>0.18368185096215053</v>
      </c>
    </row>
    <row r="47" spans="1:7" x14ac:dyDescent="0.15">
      <c r="A47" s="39" t="s">
        <v>59</v>
      </c>
      <c r="B47">
        <f ca="1">SUM(B40:B46)</f>
        <v>22137060.00028</v>
      </c>
      <c r="C47" s="55">
        <f ca="1">SUM(C40:C46)</f>
        <v>1</v>
      </c>
      <c r="E47" t="s">
        <v>206</v>
      </c>
      <c r="F47" s="55">
        <f ca="1">SUMIF(tables_571100!I:I,input_571100!E47,tables_571100!P:P)</f>
        <v>0.5152181490388521</v>
      </c>
    </row>
    <row r="48" spans="1:7" x14ac:dyDescent="0.15">
      <c r="E48" t="s">
        <v>207</v>
      </c>
      <c r="F48" s="55">
        <f ca="1">SUMIF(tables_571100!I:I,input_571100!E48,tables_571100!P:P)</f>
        <v>7.4530434783041929E-2</v>
      </c>
      <c r="G48" s="55"/>
    </row>
    <row r="49" spans="5:6" x14ac:dyDescent="0.15">
      <c r="E49" t="s">
        <v>249</v>
      </c>
      <c r="F49" s="55">
        <f ca="1">SUMIF(tables_571100!I:I,input_571100!E49,tables_571100!P:P)</f>
        <v>4.6956521738832676E-4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311" activePane="bottomLeft" state="frozen"/>
      <selection activeCell="B33" sqref="B33"/>
      <selection pane="bottomLeft" activeCell="P341" sqref="P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input_571100!A$2</f>
        <v>571100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IFERROR(VLOOKUP(B2,input_571100!L:R,7,FALSE),VLOOKUP(tables_571100!C2,input_571100!A:H,8,FALSE))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input_571100!A$2</f>
        <v>571100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IFERROR(VLOOKUP(B3,input_571100!L:R,7,FALSE),VLOOKUP(tables_571100!C3,input_571100!A:H,8,FALSE))</f>
        <v>486463.8</v>
      </c>
      <c r="P3" s="46">
        <f t="shared" ca="1" si="1"/>
        <v>1.1015937499930146E-2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input_571100!A$2</f>
        <v>571100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IFERROR(VLOOKUP(B4,input_571100!L:R,7,FALSE),VLOOKUP(tables_571100!C4,input_571100!A:H,8,FALSE))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input_571100!A$2</f>
        <v>571100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IFERROR(VLOOKUP(B5,input_571100!L:R,7,FALSE),VLOOKUP(tables_571100!C5,input_571100!A:H,8,FALSE))</f>
        <v>486463.8</v>
      </c>
      <c r="P5" s="46">
        <f t="shared" ca="1" si="1"/>
        <v>1.1015937499930146E-2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input_571100!A$2</f>
        <v>571100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IFERROR(VLOOKUP(B6,input_571100!L:R,7,FALSE),VLOOKUP(tables_571100!C6,input_571100!A:H,8,FALSE))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input_571100!A$2</f>
        <v>571100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IFERROR(VLOOKUP(B7,input_571100!L:R,7,FALSE),VLOOKUP(tables_571100!C7,input_571100!A:H,8,FALSE))</f>
        <v>486463.8</v>
      </c>
      <c r="P7" s="46">
        <f t="shared" ca="1" si="1"/>
        <v>1.1015937499930146E-2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input_571100!A$2</f>
        <v>571100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IFERROR(VLOOKUP(B8,input_571100!L:R,7,FALSE),VLOOKUP(tables_571100!C8,input_571100!A:H,8,FALSE))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input_571100!A$2</f>
        <v>571100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IFERROR(VLOOKUP(B9,input_571100!L:R,7,FALSE),VLOOKUP(tables_571100!C9,input_571100!A:H,8,FALSE))</f>
        <v>486463.8</v>
      </c>
      <c r="P9" s="46">
        <f t="shared" ca="1" si="1"/>
        <v>1.1015937499930146E-2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input_571100!A$2</f>
        <v>571100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IFERROR(VLOOKUP(B10,input_571100!L:R,7,FALSE),VLOOKUP(tables_571100!C10,input_571100!A:H,8,FALSE))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input_571100!A$2</f>
        <v>571100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IFERROR(VLOOKUP(B11,input_571100!L:R,7,FALSE),VLOOKUP(tables_571100!C11,input_571100!A:H,8,FALSE))</f>
        <v>486463.8</v>
      </c>
      <c r="P11" s="46">
        <f t="shared" ca="1" si="1"/>
        <v>1.1015937499930146E-2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input_571100!A$2</f>
        <v>571100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IFERROR(VLOOKUP(B12,input_571100!L:R,7,FALSE),VLOOKUP(tables_571100!C12,input_571100!A:H,8,FALSE))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input_571100!A$2</f>
        <v>571100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IFERROR(VLOOKUP(B13,input_571100!L:R,7,FALSE),VLOOKUP(tables_571100!C13,input_571100!A:H,8,FALSE))</f>
        <v>486463.8</v>
      </c>
      <c r="P13" s="46">
        <f t="shared" ca="1" si="1"/>
        <v>1.1015937499930146E-2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input_571100!A$2</f>
        <v>571100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IFERROR(VLOOKUP(B14,input_571100!L:R,7,FALSE),VLOOKUP(tables_571100!C14,input_571100!A:H,8,FALSE))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input_571100!A$2</f>
        <v>571100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IFERROR(VLOOKUP(B15,input_571100!L:R,7,FALSE),VLOOKUP(tables_571100!C15,input_571100!A:H,8,FALSE))</f>
        <v>486463.8</v>
      </c>
      <c r="P15" s="46">
        <f t="shared" ca="1" si="1"/>
        <v>1.1015937499930146E-2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input_571100!A$2</f>
        <v>571100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IFERROR(VLOOKUP(B16,input_571100!L:R,7,FALSE),VLOOKUP(tables_571100!C16,input_571100!A:H,8,FALSE))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input_571100!A$2</f>
        <v>571100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IFERROR(VLOOKUP(B17,input_571100!L:R,7,FALSE),VLOOKUP(tables_571100!C17,input_571100!A:H,8,FALSE))</f>
        <v>486463.8</v>
      </c>
      <c r="P17" s="46">
        <f t="shared" ca="1" si="1"/>
        <v>1.1015937499930146E-2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input_571100!A$2</f>
        <v>571100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IFERROR(VLOOKUP(B18,input_571100!L:R,7,FALSE),VLOOKUP(tables_571100!C18,input_571100!A:H,8,FALSE))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input_571100!A$2</f>
        <v>571100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IFERROR(VLOOKUP(B19,input_571100!L:R,7,FALSE),VLOOKUP(tables_571100!C19,input_571100!A:H,8,FALSE))</f>
        <v>486463.8</v>
      </c>
      <c r="P19" s="46">
        <f t="shared" ca="1" si="1"/>
        <v>1.1015937499930146E-2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input_571100!A$2</f>
        <v>571100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IFERROR(VLOOKUP(B20,input_571100!L:R,7,FALSE),VLOOKUP(tables_571100!C20,input_571100!A:H,8,FALSE))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input_571100!A$2</f>
        <v>571100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IFERROR(VLOOKUP(B21,input_571100!L:R,7,FALSE),VLOOKUP(tables_571100!C21,input_571100!A:H,8,FALSE))</f>
        <v>486463.8</v>
      </c>
      <c r="P21" s="46">
        <f t="shared" ca="1" si="1"/>
        <v>1.1015937499930146E-2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input_571100!A$2</f>
        <v>571100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IFERROR(VLOOKUP(B22,input_571100!L:R,7,FALSE),VLOOKUP(tables_571100!C22,input_571100!A:H,8,FALSE))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input_571100!A$2</f>
        <v>571100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IFERROR(VLOOKUP(B23,input_571100!L:R,7,FALSE),VLOOKUP(tables_571100!C23,input_571100!A:H,8,FALSE))</f>
        <v>486463.8</v>
      </c>
      <c r="P23" s="46">
        <f t="shared" ca="1" si="1"/>
        <v>1.1015937499930146E-2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input_571100!A$2</f>
        <v>571100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IFERROR(VLOOKUP(B24,input_571100!L:R,7,FALSE),VLOOKUP(tables_571100!C24,input_571100!A:H,8,FALSE))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input_571100!A$2</f>
        <v>571100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IFERROR(VLOOKUP(B25,input_571100!L:R,7,FALSE),VLOOKUP(tables_571100!C25,input_571100!A:H,8,FALSE))</f>
        <v>486463.8</v>
      </c>
      <c r="P25" s="46">
        <f t="shared" ca="1" si="1"/>
        <v>1.1015937499930146E-2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input_571100!A$2</f>
        <v>571100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IFERROR(VLOOKUP(B26,input_571100!L:R,7,FALSE),VLOOKUP(tables_571100!C26,input_571100!A:H,8,FALSE))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input_571100!A$2</f>
        <v>571100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IFERROR(VLOOKUP(B27,input_571100!L:R,7,FALSE),VLOOKUP(tables_571100!C27,input_571100!A:H,8,FALSE))</f>
        <v>486463.8</v>
      </c>
      <c r="P27" s="46">
        <f t="shared" ca="1" si="1"/>
        <v>1.1015937499930146E-2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input_571100!A$2</f>
        <v>571100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IFERROR(VLOOKUP(B28,input_571100!L:R,7,FALSE),VLOOKUP(tables_571100!C28,input_571100!A:H,8,FALSE))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input_571100!A$2</f>
        <v>571100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IFERROR(VLOOKUP(B29,input_571100!L:R,7,FALSE),VLOOKUP(tables_571100!C29,input_571100!A:H,8,FALSE))</f>
        <v>486463.8</v>
      </c>
      <c r="P29" s="46">
        <f t="shared" ca="1" si="1"/>
        <v>1.1015937499930146E-2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input_571100!A$2</f>
        <v>571100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IFERROR(VLOOKUP(B30,input_571100!L:R,7,FALSE),VLOOKUP(tables_571100!C30,input_571100!A:H,8,FALSE))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input_571100!A$2</f>
        <v>571100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IFERROR(VLOOKUP(B31,input_571100!L:R,7,FALSE),VLOOKUP(tables_571100!C31,input_571100!A:H,8,FALSE))</f>
        <v>486463.8</v>
      </c>
      <c r="P31" s="46">
        <f t="shared" ca="1" si="1"/>
        <v>1.1015937499930146E-2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input_571100!A$2</f>
        <v>571100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IFERROR(VLOOKUP(B32,input_571100!L:R,7,FALSE),VLOOKUP(tables_571100!C32,input_571100!A:H,8,FALSE))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input_571100!A$2</f>
        <v>571100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IFERROR(VLOOKUP(B33,input_571100!L:R,7,FALSE),VLOOKUP(tables_571100!C33,input_571100!A:H,8,FALSE))</f>
        <v>486463.8</v>
      </c>
      <c r="P33" s="46">
        <f t="shared" ca="1" si="1"/>
        <v>1.1015937499930146E-2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input_571100!A$2</f>
        <v>571100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IFERROR(VLOOKUP(B34,input_571100!L:R,7,FALSE),VLOOKUP(tables_571100!C34,input_571100!A:H,8,FALSE))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input_571100!A$2</f>
        <v>571100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IFERROR(VLOOKUP(B35,input_571100!L:R,7,FALSE),VLOOKUP(tables_571100!C35,input_571100!A:H,8,FALSE))</f>
        <v>486463.8</v>
      </c>
      <c r="P35" s="46">
        <f t="shared" ca="1" si="1"/>
        <v>1.1015937499930146E-2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input_571100!A$2</f>
        <v>571100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IFERROR(VLOOKUP(B36,input_571100!L:R,7,FALSE),VLOOKUP(tables_571100!C36,input_571100!A:H,8,FALSE))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input_571100!A$2</f>
        <v>571100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IFERROR(VLOOKUP(B37,input_571100!L:R,7,FALSE),VLOOKUP(tables_571100!C37,input_571100!A:H,8,FALSE))</f>
        <v>486463.8</v>
      </c>
      <c r="P37" s="46">
        <f t="shared" ca="1" si="1"/>
        <v>1.1015937499930146E-2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input_571100!A$2</f>
        <v>571100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IFERROR(VLOOKUP(B38,input_571100!L:R,7,FALSE),VLOOKUP(tables_571100!C38,input_571100!A:H,8,FALSE))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input_571100!A$2</f>
        <v>571100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IFERROR(VLOOKUP(B39,input_571100!L:R,7,FALSE),VLOOKUP(tables_571100!C39,input_571100!A:H,8,FALSE))</f>
        <v>486463.8</v>
      </c>
      <c r="P39" s="46">
        <f t="shared" ca="1" si="1"/>
        <v>1.1015937499930146E-2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input_571100!A$2</f>
        <v>571100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IFERROR(VLOOKUP(B40,input_571100!L:R,7,FALSE),VLOOKUP(tables_571100!C40,input_571100!A:H,8,FALSE))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input_571100!A$2</f>
        <v>571100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IFERROR(VLOOKUP(B41,input_571100!L:R,7,FALSE),VLOOKUP(tables_571100!C41,input_571100!A:H,8,FALSE))</f>
        <v>486463.8</v>
      </c>
      <c r="P41" s="46">
        <f t="shared" ca="1" si="1"/>
        <v>1.1015937499930146E-2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input_571100!A$2</f>
        <v>571100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IFERROR(VLOOKUP(B42,input_571100!L:R,7,FALSE),VLOOKUP(tables_571100!C42,input_571100!A:H,8,FALSE))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input_571100!A$2</f>
        <v>571100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IFERROR(VLOOKUP(B43,input_571100!L:R,7,FALSE),VLOOKUP(tables_571100!C43,input_571100!A:H,8,FALSE))</f>
        <v>382950</v>
      </c>
      <c r="P43" s="46">
        <f t="shared" ca="1" si="1"/>
        <v>8.67187499994501E-3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input_571100!A$2</f>
        <v>571100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IFERROR(VLOOKUP(B44,input_571100!L:R,7,FALSE),VLOOKUP(tables_571100!C44,input_571100!A:H,8,FALSE))</f>
        <v>42550</v>
      </c>
      <c r="P44" s="46">
        <f t="shared" ca="1" si="1"/>
        <v>9.6354166666055678E-4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input_571100!A$2</f>
        <v>571100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IFERROR(VLOOKUP(B45,input_571100!L:R,7,FALSE),VLOOKUP(tables_571100!C45,input_571100!A:H,8,FALSE))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input_571100!A$2</f>
        <v>571100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IFERROR(VLOOKUP(B46,input_571100!L:R,7,FALSE),VLOOKUP(tables_571100!C46,input_571100!A:H,8,FALSE))</f>
        <v>382950</v>
      </c>
      <c r="P46" s="46">
        <f t="shared" ca="1" si="1"/>
        <v>8.67187499994501E-3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input_571100!A$2</f>
        <v>571100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IFERROR(VLOOKUP(B47,input_571100!L:R,7,FALSE),VLOOKUP(tables_571100!C47,input_571100!A:H,8,FALSE))</f>
        <v>42550</v>
      </c>
      <c r="P47" s="46">
        <f t="shared" ca="1" si="1"/>
        <v>9.6354166666055678E-4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input_571100!A$2</f>
        <v>571100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IFERROR(VLOOKUP(B48,input_571100!L:R,7,FALSE),VLOOKUP(tables_571100!C48,input_571100!A:H,8,FALSE))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input_571100!A$2</f>
        <v>571100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IFERROR(VLOOKUP(B49,input_571100!L:R,7,FALSE),VLOOKUP(tables_571100!C49,input_571100!A:H,8,FALSE))</f>
        <v>382950</v>
      </c>
      <c r="P49" s="46">
        <f t="shared" ca="1" si="1"/>
        <v>8.67187499994501E-3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input_571100!A$2</f>
        <v>571100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IFERROR(VLOOKUP(B50,input_571100!L:R,7,FALSE),VLOOKUP(tables_571100!C50,input_571100!A:H,8,FALSE))</f>
        <v>42550</v>
      </c>
      <c r="P50" s="46">
        <f t="shared" ca="1" si="1"/>
        <v>9.6354166666055678E-4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input_571100!A$2</f>
        <v>571100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IFERROR(VLOOKUP(B51,input_571100!L:R,7,FALSE),VLOOKUP(tables_571100!C51,input_571100!A:H,8,FALSE))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input_571100!A$2</f>
        <v>571100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IFERROR(VLOOKUP(B52,input_571100!L:R,7,FALSE),VLOOKUP(tables_571100!C52,input_571100!A:H,8,FALSE))</f>
        <v>382950</v>
      </c>
      <c r="P52" s="46">
        <f t="shared" ca="1" si="1"/>
        <v>8.67187499994501E-3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input_571100!A$2</f>
        <v>571100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IFERROR(VLOOKUP(B53,input_571100!L:R,7,FALSE),VLOOKUP(tables_571100!C53,input_571100!A:H,8,FALSE))</f>
        <v>19102.384620000001</v>
      </c>
      <c r="P53" s="46">
        <f t="shared" ca="1" si="1"/>
        <v>4.3257211548638748E-4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input_571100!A$2</f>
        <v>571100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IFERROR(VLOOKUP(B54,input_571100!L:R,7,FALSE),VLOOKUP(tables_571100!C54,input_571100!A:H,8,FALSE))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input_571100!A$2</f>
        <v>571100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IFERROR(VLOOKUP(B55,input_571100!L:R,7,FALSE),VLOOKUP(tables_571100!C55,input_571100!A:H,8,FALSE))</f>
        <v>382950</v>
      </c>
      <c r="P55" s="46">
        <f t="shared" ca="1" si="1"/>
        <v>8.67187499994501E-3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input_571100!A$2</f>
        <v>571100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IFERROR(VLOOKUP(B56,input_571100!L:R,7,FALSE),VLOOKUP(tables_571100!C56,input_571100!A:H,8,FALSE))</f>
        <v>19102.384620000001</v>
      </c>
      <c r="P56" s="46">
        <f t="shared" ca="1" si="1"/>
        <v>4.3257211548638748E-4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input_571100!A$2</f>
        <v>571100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IFERROR(VLOOKUP(B57,input_571100!L:R,7,FALSE),VLOOKUP(tables_571100!C57,input_571100!A:H,8,FALSE))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input_571100!A$2</f>
        <v>571100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IFERROR(VLOOKUP(B58,input_571100!L:R,7,FALSE),VLOOKUP(tables_571100!C58,input_571100!A:H,8,FALSE))</f>
        <v>382950</v>
      </c>
      <c r="P58" s="46">
        <f t="shared" ca="1" si="1"/>
        <v>8.67187499994501E-3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input_571100!A$2</f>
        <v>571100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IFERROR(VLOOKUP(B59,input_571100!L:R,7,FALSE),VLOOKUP(tables_571100!C59,input_571100!A:H,8,FALSE))</f>
        <v>19102.384620000001</v>
      </c>
      <c r="P59" s="46">
        <f t="shared" ca="1" si="1"/>
        <v>4.3257211548638748E-4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input_571100!A$2</f>
        <v>571100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IFERROR(VLOOKUP(B60,input_571100!L:R,7,FALSE),VLOOKUP(tables_571100!C60,input_571100!A:H,8,FALSE))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input_571100!A$2</f>
        <v>571100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IFERROR(VLOOKUP(B61,input_571100!L:R,7,FALSE),VLOOKUP(tables_571100!C61,input_571100!A:H,8,FALSE))</f>
        <v>382950</v>
      </c>
      <c r="P61" s="46">
        <f t="shared" ca="1" si="1"/>
        <v>8.67187499994501E-3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input_571100!A$2</f>
        <v>571100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IFERROR(VLOOKUP(B62,input_571100!L:R,7,FALSE),VLOOKUP(tables_571100!C62,input_571100!A:H,8,FALSE))</f>
        <v>19102.384620000001</v>
      </c>
      <c r="P62" s="46">
        <f t="shared" ca="1" si="1"/>
        <v>4.3257211548638748E-4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input_571100!A$2</f>
        <v>571100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IFERROR(VLOOKUP(B63,input_571100!L:R,7,FALSE),VLOOKUP(tables_571100!C63,input_571100!A:H,8,FALSE))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input_571100!A$2</f>
        <v>571100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IFERROR(VLOOKUP(B64,input_571100!L:R,7,FALSE),VLOOKUP(tables_571100!C64,input_571100!A:H,8,FALSE))</f>
        <v>382950</v>
      </c>
      <c r="P64" s="46">
        <f t="shared" ca="1" si="1"/>
        <v>8.67187499994501E-3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input_571100!A$2</f>
        <v>571100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IFERROR(VLOOKUP(B65,input_571100!L:R,7,FALSE),VLOOKUP(tables_571100!C65,input_571100!A:H,8,FALSE))</f>
        <v>19102.384620000001</v>
      </c>
      <c r="P65" s="46">
        <f t="shared" ca="1" si="1"/>
        <v>4.3257211548638748E-4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input_571100!A$2</f>
        <v>571100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IFERROR(VLOOKUP(B66,input_571100!L:R,7,FALSE),VLOOKUP(tables_571100!C66,input_571100!A:H,8,FALSE))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input_571100!A$2</f>
        <v>571100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IFERROR(VLOOKUP(B67,input_571100!L:R,7,FALSE),VLOOKUP(tables_571100!C67,input_571100!A:H,8,FALSE))</f>
        <v>382950</v>
      </c>
      <c r="P67" s="46">
        <f t="shared" ca="1" si="4"/>
        <v>8.67187499994501E-3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input_571100!A$2</f>
        <v>571100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IFERROR(VLOOKUP(B68,input_571100!L:R,7,FALSE),VLOOKUP(tables_571100!C68,input_571100!A:H,8,FALSE))</f>
        <v>19102.384620000001</v>
      </c>
      <c r="P68" s="46">
        <f t="shared" ca="1" si="4"/>
        <v>4.3257211548638748E-4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input_571100!A$2</f>
        <v>571100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IFERROR(VLOOKUP(B69,input_571100!L:R,7,FALSE),VLOOKUP(tables_571100!C69,input_571100!A:H,8,FALSE))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input_571100!A$2</f>
        <v>571100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IFERROR(VLOOKUP(B70,input_571100!L:R,7,FALSE),VLOOKUP(tables_571100!C70,input_571100!A:H,8,FALSE))</f>
        <v>382950</v>
      </c>
      <c r="P70" s="46">
        <f t="shared" ca="1" si="4"/>
        <v>8.67187499994501E-3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input_571100!A$2</f>
        <v>571100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IFERROR(VLOOKUP(B71,input_571100!L:R,7,FALSE),VLOOKUP(tables_571100!C71,input_571100!A:H,8,FALSE))</f>
        <v>19102.384620000001</v>
      </c>
      <c r="P71" s="46">
        <f t="shared" ca="1" si="4"/>
        <v>4.3257211548638748E-4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input_571100!A$2</f>
        <v>571100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IFERROR(VLOOKUP(B72,input_571100!L:R,7,FALSE),VLOOKUP(tables_571100!C72,input_571100!A:H,8,FALSE))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input_571100!A$2</f>
        <v>571100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IFERROR(VLOOKUP(B73,input_571100!L:R,7,FALSE),VLOOKUP(tables_571100!C73,input_571100!A:H,8,FALSE))</f>
        <v>382950</v>
      </c>
      <c r="P73" s="46">
        <f t="shared" ca="1" si="4"/>
        <v>8.67187499994501E-3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input_571100!A$2</f>
        <v>571100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IFERROR(VLOOKUP(B74,input_571100!L:R,7,FALSE),VLOOKUP(tables_571100!C74,input_571100!A:H,8,FALSE))</f>
        <v>19102.384620000001</v>
      </c>
      <c r="P74" s="46">
        <f t="shared" ca="1" si="4"/>
        <v>4.3257211548638748E-4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input_571100!A$2</f>
        <v>571100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IFERROR(VLOOKUP(B75,input_571100!L:R,7,FALSE),VLOOKUP(tables_571100!C75,input_571100!A:H,8,FALSE))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input_571100!A$2</f>
        <v>571100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IFERROR(VLOOKUP(B76,input_571100!L:R,7,FALSE),VLOOKUP(tables_571100!C76,input_571100!A:H,8,FALSE))</f>
        <v>382950</v>
      </c>
      <c r="P76" s="46">
        <f t="shared" ca="1" si="4"/>
        <v>8.67187499994501E-3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input_571100!A$2</f>
        <v>571100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IFERROR(VLOOKUP(B77,input_571100!L:R,7,FALSE),VLOOKUP(tables_571100!C77,input_571100!A:H,8,FALSE))</f>
        <v>19102.384620000001</v>
      </c>
      <c r="P77" s="46">
        <f t="shared" ca="1" si="4"/>
        <v>4.3257211548638748E-4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input_571100!A$2</f>
        <v>571100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IFERROR(VLOOKUP(B78,input_571100!L:R,7,FALSE),VLOOKUP(tables_571100!C78,input_571100!A:H,8,FALSE))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input_571100!A$2</f>
        <v>571100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IFERROR(VLOOKUP(B79,input_571100!L:R,7,FALSE),VLOOKUP(tables_571100!C79,input_571100!A:H,8,FALSE))</f>
        <v>382950</v>
      </c>
      <c r="P79" s="46">
        <f t="shared" ca="1" si="4"/>
        <v>8.67187499994501E-3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input_571100!A$2</f>
        <v>571100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IFERROR(VLOOKUP(B80,input_571100!L:R,7,FALSE),VLOOKUP(tables_571100!C80,input_571100!A:H,8,FALSE))</f>
        <v>19102.384620000001</v>
      </c>
      <c r="P80" s="46">
        <f t="shared" ca="1" si="4"/>
        <v>4.3257211548638748E-4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input_571100!A$2</f>
        <v>571100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IFERROR(VLOOKUP(B81,input_571100!L:R,7,FALSE),VLOOKUP(tables_571100!C81,input_571100!A:H,8,FALSE))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input_571100!A$2</f>
        <v>571100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IFERROR(VLOOKUP(B82,input_571100!L:R,7,FALSE),VLOOKUP(tables_571100!C82,input_571100!A:H,8,FALSE))</f>
        <v>382950</v>
      </c>
      <c r="P82" s="46">
        <f t="shared" ca="1" si="4"/>
        <v>8.67187499994501E-3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input_571100!A$2</f>
        <v>571100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IFERROR(VLOOKUP(B83,input_571100!L:R,7,FALSE),VLOOKUP(tables_571100!C83,input_571100!A:H,8,FALSE))</f>
        <v>19102.384620000001</v>
      </c>
      <c r="P83" s="46">
        <f t="shared" ca="1" si="4"/>
        <v>4.3257211548638748E-4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input_571100!A$2</f>
        <v>571100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IFERROR(VLOOKUP(B84,input_571100!L:R,7,FALSE),VLOOKUP(tables_571100!C84,input_571100!A:H,8,FALSE))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input_571100!A$2</f>
        <v>571100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IFERROR(VLOOKUP(B85,input_571100!L:R,7,FALSE),VLOOKUP(tables_571100!C85,input_571100!A:H,8,FALSE))</f>
        <v>382950</v>
      </c>
      <c r="P85" s="46">
        <f t="shared" ca="1" si="4"/>
        <v>8.67187499994501E-3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input_571100!A$2</f>
        <v>571100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IFERROR(VLOOKUP(B86,input_571100!L:R,7,FALSE),VLOOKUP(tables_571100!C86,input_571100!A:H,8,FALSE))</f>
        <v>19102.384620000001</v>
      </c>
      <c r="P86" s="46">
        <f t="shared" ca="1" si="4"/>
        <v>4.3257211548638748E-4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input_571100!A$2</f>
        <v>571100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IFERROR(VLOOKUP(B87,input_571100!L:R,7,FALSE),VLOOKUP(tables_571100!C87,input_571100!A:H,8,FALSE))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input_571100!A$2</f>
        <v>571100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IFERROR(VLOOKUP(B88,input_571100!L:R,7,FALSE),VLOOKUP(tables_571100!C88,input_571100!A:H,8,FALSE))</f>
        <v>382950</v>
      </c>
      <c r="P88" s="46">
        <f t="shared" ca="1" si="4"/>
        <v>8.67187499994501E-3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input_571100!A$2</f>
        <v>571100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IFERROR(VLOOKUP(B89,input_571100!L:R,7,FALSE),VLOOKUP(tables_571100!C89,input_571100!A:H,8,FALSE))</f>
        <v>19102.384620000001</v>
      </c>
      <c r="P89" s="46">
        <f t="shared" ca="1" si="4"/>
        <v>4.3257211548638748E-4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input_571100!A$2</f>
        <v>571100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IFERROR(VLOOKUP(B90,input_571100!L:R,7,FALSE),VLOOKUP(tables_571100!C90,input_571100!A:H,8,FALSE))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input_571100!A$2</f>
        <v>571100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IFERROR(VLOOKUP(B91,input_571100!L:R,7,FALSE),VLOOKUP(tables_571100!C91,input_571100!A:H,8,FALSE))</f>
        <v>382950</v>
      </c>
      <c r="P91" s="46">
        <f t="shared" ca="1" si="4"/>
        <v>8.67187499994501E-3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input_571100!A$2</f>
        <v>571100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IFERROR(VLOOKUP(B92,input_571100!L:R,7,FALSE),VLOOKUP(tables_571100!C92,input_571100!A:H,8,FALSE))</f>
        <v>19102.384620000001</v>
      </c>
      <c r="P92" s="46">
        <f t="shared" ca="1" si="4"/>
        <v>4.3257211548638748E-4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input_571100!A$2</f>
        <v>571100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IFERROR(VLOOKUP(B93,input_571100!L:R,7,FALSE),VLOOKUP(tables_571100!C93,input_571100!A:H,8,FALSE))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input_571100!A$2</f>
        <v>571100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IFERROR(VLOOKUP(B94,input_571100!L:R,7,FALSE),VLOOKUP(tables_571100!C94,input_571100!A:H,8,FALSE))</f>
        <v>382950</v>
      </c>
      <c r="P94" s="46">
        <f t="shared" ca="1" si="4"/>
        <v>8.67187499994501E-3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input_571100!A$2</f>
        <v>571100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IFERROR(VLOOKUP(B95,input_571100!L:R,7,FALSE),VLOOKUP(tables_571100!C95,input_571100!A:H,8,FALSE))</f>
        <v>19102.384620000001</v>
      </c>
      <c r="P95" s="46">
        <f t="shared" ca="1" si="4"/>
        <v>4.3257211548638748E-4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input_571100!A$2</f>
        <v>571100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IFERROR(VLOOKUP(B96,input_571100!L:R,7,FALSE),VLOOKUP(tables_571100!C96,input_571100!A:H,8,FALSE))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input_571100!A$2</f>
        <v>571100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IFERROR(VLOOKUP(B97,input_571100!L:R,7,FALSE),VLOOKUP(tables_571100!C97,input_571100!A:H,8,FALSE))</f>
        <v>382950</v>
      </c>
      <c r="P97" s="46">
        <f t="shared" ca="1" si="4"/>
        <v>8.67187499994501E-3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input_571100!A$2</f>
        <v>571100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IFERROR(VLOOKUP(B98,input_571100!L:R,7,FALSE),VLOOKUP(tables_571100!C98,input_571100!A:H,8,FALSE))</f>
        <v>19102.384620000001</v>
      </c>
      <c r="P98" s="46">
        <f t="shared" ca="1" si="4"/>
        <v>4.3257211548638748E-4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input_571100!A$2</f>
        <v>571100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IFERROR(VLOOKUP(B99,input_571100!L:R,7,FALSE),VLOOKUP(tables_571100!C99,input_571100!A:H,8,FALSE))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input_571100!A$2</f>
        <v>571100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IFERROR(VLOOKUP(B100,input_571100!L:R,7,FALSE),VLOOKUP(tables_571100!C100,input_571100!A:H,8,FALSE))</f>
        <v>382950</v>
      </c>
      <c r="P100" s="46">
        <f t="shared" ca="1" si="4"/>
        <v>8.67187499994501E-3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input_571100!A$2</f>
        <v>571100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IFERROR(VLOOKUP(B101,input_571100!L:R,7,FALSE),VLOOKUP(tables_571100!C101,input_571100!A:H,8,FALSE))</f>
        <v>19102.384620000001</v>
      </c>
      <c r="P101" s="46">
        <f t="shared" ca="1" si="4"/>
        <v>4.3257211548638748E-4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input_571100!A$2</f>
        <v>571100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IFERROR(VLOOKUP(B102,input_571100!L:R,7,FALSE),VLOOKUP(tables_571100!C102,input_571100!A:H,8,FALSE))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input_571100!A$2</f>
        <v>571100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IFERROR(VLOOKUP(B103,input_571100!L:R,7,FALSE),VLOOKUP(tables_571100!C103,input_571100!A:H,8,FALSE))</f>
        <v>382950</v>
      </c>
      <c r="P103" s="46">
        <f t="shared" ca="1" si="4"/>
        <v>8.67187499994501E-3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input_571100!A$2</f>
        <v>571100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IFERROR(VLOOKUP(B104,input_571100!L:R,7,FALSE),VLOOKUP(tables_571100!C104,input_571100!A:H,8,FALSE))</f>
        <v>19102.384620000001</v>
      </c>
      <c r="P104" s="46">
        <f t="shared" ca="1" si="4"/>
        <v>4.3257211548638748E-4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input_571100!A$2</f>
        <v>571100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IFERROR(VLOOKUP(B105,input_571100!L:R,7,FALSE),VLOOKUP(tables_571100!C105,input_571100!A:H,8,FALSE))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input_571100!A$2</f>
        <v>571100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IFERROR(VLOOKUP(B106,input_571100!L:R,7,FALSE),VLOOKUP(tables_571100!C106,input_571100!A:H,8,FALSE))</f>
        <v>382950</v>
      </c>
      <c r="P106" s="46">
        <f t="shared" ca="1" si="4"/>
        <v>8.67187499994501E-3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input_571100!A$2</f>
        <v>571100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IFERROR(VLOOKUP(B107,input_571100!L:R,7,FALSE),VLOOKUP(tables_571100!C107,input_571100!A:H,8,FALSE))</f>
        <v>19102.384620000001</v>
      </c>
      <c r="P107" s="46">
        <f t="shared" ca="1" si="4"/>
        <v>4.3257211548638748E-4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input_571100!A$2</f>
        <v>571100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IFERROR(VLOOKUP(B108,input_571100!L:R,7,FALSE),VLOOKUP(tables_571100!C108,input_571100!A:H,8,FALSE))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input_571100!A$2</f>
        <v>571100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IFERROR(VLOOKUP(B109,input_571100!L:R,7,FALSE),VLOOKUP(tables_571100!C109,input_571100!A:H,8,FALSE))</f>
        <v>382950</v>
      </c>
      <c r="P109" s="46">
        <f t="shared" ca="1" si="4"/>
        <v>8.67187499994501E-3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input_571100!A$2</f>
        <v>571100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IFERROR(VLOOKUP(B110,input_571100!L:R,7,FALSE),VLOOKUP(tables_571100!C110,input_571100!A:H,8,FALSE))</f>
        <v>19102.384620000001</v>
      </c>
      <c r="P110" s="46">
        <f t="shared" ca="1" si="4"/>
        <v>4.3257211548638748E-4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input_571100!A$2</f>
        <v>571100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IFERROR(VLOOKUP(B111,input_571100!L:R,7,FALSE),VLOOKUP(tables_571100!C111,input_571100!A:H,8,FALSE))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input_571100!A$2</f>
        <v>571100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IFERROR(VLOOKUP(B112,input_571100!L:R,7,FALSE),VLOOKUP(tables_571100!C112,input_571100!A:H,8,FALSE))</f>
        <v>382950</v>
      </c>
      <c r="P112" s="46">
        <f t="shared" ca="1" si="4"/>
        <v>8.67187499994501E-3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input_571100!A$2</f>
        <v>571100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IFERROR(VLOOKUP(B113,input_571100!L:R,7,FALSE),VLOOKUP(tables_571100!C113,input_571100!A:H,8,FALSE))</f>
        <v>42550</v>
      </c>
      <c r="P113" s="46">
        <f t="shared" ca="1" si="4"/>
        <v>9.6354166666055678E-4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input_571100!A$2</f>
        <v>571100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IFERROR(VLOOKUP(B114,input_571100!L:R,7,FALSE),VLOOKUP(tables_571100!C114,input_571100!A:H,8,FALSE))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input_571100!A$2</f>
        <v>571100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IFERROR(VLOOKUP(B115,input_571100!L:R,7,FALSE),VLOOKUP(tables_571100!C115,input_571100!A:H,8,FALSE))</f>
        <v>382950</v>
      </c>
      <c r="P115" s="46">
        <f t="shared" ca="1" si="4"/>
        <v>8.67187499994501E-3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input_571100!A$2</f>
        <v>571100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IFERROR(VLOOKUP(B116,input_571100!L:R,7,FALSE),VLOOKUP(tables_571100!C116,input_571100!A:H,8,FALSE))</f>
        <v>19102.384620000001</v>
      </c>
      <c r="P116" s="46">
        <f t="shared" ca="1" si="4"/>
        <v>4.3257211548638748E-4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input_571100!A$2</f>
        <v>571100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IFERROR(VLOOKUP(B117,input_571100!L:R,7,FALSE),VLOOKUP(tables_571100!C117,input_571100!A:H,8,FALSE))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input_571100!A$2</f>
        <v>571100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IFERROR(VLOOKUP(B118,input_571100!L:R,7,FALSE),VLOOKUP(tables_571100!C118,input_571100!A:H,8,FALSE))</f>
        <v>382950</v>
      </c>
      <c r="P118" s="46">
        <f t="shared" ca="1" si="4"/>
        <v>8.67187499994501E-3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input_571100!A$2</f>
        <v>571100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IFERROR(VLOOKUP(B119,input_571100!L:R,7,FALSE),VLOOKUP(tables_571100!C119,input_571100!A:H,8,FALSE))</f>
        <v>19102.384620000001</v>
      </c>
      <c r="P119" s="46">
        <f t="shared" ca="1" si="4"/>
        <v>4.3257211548638748E-4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input_571100!A$2</f>
        <v>571100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IFERROR(VLOOKUP(B120,input_571100!L:R,7,FALSE),VLOOKUP(tables_571100!C120,input_571100!A:H,8,FALSE))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input_571100!A$2</f>
        <v>571100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IFERROR(VLOOKUP(B121,input_571100!L:R,7,FALSE),VLOOKUP(tables_571100!C121,input_571100!A:H,8,FALSE))</f>
        <v>382950</v>
      </c>
      <c r="P121" s="46">
        <f t="shared" ca="1" si="4"/>
        <v>8.67187499994501E-3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input_571100!A$2</f>
        <v>571100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IFERROR(VLOOKUP(B122,input_571100!L:R,7,FALSE),VLOOKUP(tables_571100!C122,input_571100!A:H,8,FALSE))</f>
        <v>19102.384620000001</v>
      </c>
      <c r="P122" s="46">
        <f t="shared" ca="1" si="4"/>
        <v>4.3257211548638748E-4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input_571100!A$2</f>
        <v>571100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IFERROR(VLOOKUP(B123,input_571100!L:R,7,FALSE),VLOOKUP(tables_571100!C123,input_571100!A:H,8,FALSE))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input_571100!A$2</f>
        <v>571100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IFERROR(VLOOKUP(B124,input_571100!L:R,7,FALSE),VLOOKUP(tables_571100!C124,input_571100!A:H,8,FALSE))</f>
        <v>382950</v>
      </c>
      <c r="P124" s="46">
        <f t="shared" ca="1" si="4"/>
        <v>8.67187499994501E-3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input_571100!A$2</f>
        <v>571100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IFERROR(VLOOKUP(B125,input_571100!L:R,7,FALSE),VLOOKUP(tables_571100!C125,input_571100!A:H,8,FALSE))</f>
        <v>19102.384620000001</v>
      </c>
      <c r="P125" s="46">
        <f t="shared" ca="1" si="4"/>
        <v>4.3257211548638748E-4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input_571100!A$2</f>
        <v>571100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IFERROR(VLOOKUP(B126,input_571100!L:R,7,FALSE),VLOOKUP(tables_571100!C126,input_571100!A:H,8,FALSE))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input_571100!A$2</f>
        <v>571100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IFERROR(VLOOKUP(B127,input_571100!L:R,7,FALSE),VLOOKUP(tables_571100!C127,input_571100!A:H,8,FALSE))</f>
        <v>382950</v>
      </c>
      <c r="P127" s="46">
        <f t="shared" ca="1" si="4"/>
        <v>8.67187499994501E-3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input_571100!A$2</f>
        <v>571100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IFERROR(VLOOKUP(B128,input_571100!L:R,7,FALSE),VLOOKUP(tables_571100!C128,input_571100!A:H,8,FALSE))</f>
        <v>19102.384620000001</v>
      </c>
      <c r="P128" s="46">
        <f t="shared" ca="1" si="4"/>
        <v>4.3257211548638748E-4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input_571100!A$2</f>
        <v>571100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IFERROR(VLOOKUP(B129,input_571100!L:R,7,FALSE),VLOOKUP(tables_571100!C129,input_571100!A:H,8,FALSE))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input_571100!A$2</f>
        <v>571100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IFERROR(VLOOKUP(B130,input_571100!L:R,7,FALSE),VLOOKUP(tables_571100!C130,input_571100!A:H,8,FALSE))</f>
        <v>382950</v>
      </c>
      <c r="P130" s="46">
        <f t="shared" ref="P130:P193" ca="1" si="7">O130/SUM(O:O)</f>
        <v>8.67187499994501E-3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input_571100!A$2</f>
        <v>571100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IFERROR(VLOOKUP(B131,input_571100!L:R,7,FALSE),VLOOKUP(tables_571100!C131,input_571100!A:H,8,FALSE))</f>
        <v>19102.384620000001</v>
      </c>
      <c r="P131" s="46">
        <f t="shared" ca="1" si="7"/>
        <v>4.3257211548638748E-4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input_571100!A$2</f>
        <v>571100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IFERROR(VLOOKUP(B132,input_571100!L:R,7,FALSE),VLOOKUP(tables_571100!C132,input_571100!A:H,8,FALSE))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input_571100!A$2</f>
        <v>571100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IFERROR(VLOOKUP(B133,input_571100!L:R,7,FALSE),VLOOKUP(tables_571100!C133,input_571100!A:H,8,FALSE))</f>
        <v>382950</v>
      </c>
      <c r="P133" s="46">
        <f t="shared" ca="1" si="7"/>
        <v>8.67187499994501E-3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input_571100!A$2</f>
        <v>571100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IFERROR(VLOOKUP(B134,input_571100!L:R,7,FALSE),VLOOKUP(tables_571100!C134,input_571100!A:H,8,FALSE))</f>
        <v>19102.384620000001</v>
      </c>
      <c r="P134" s="46">
        <f t="shared" ca="1" si="7"/>
        <v>4.3257211548638748E-4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input_571100!A$2</f>
        <v>571100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IFERROR(VLOOKUP(B135,input_571100!L:R,7,FALSE),VLOOKUP(tables_571100!C135,input_571100!A:H,8,FALSE))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input_571100!A$2</f>
        <v>571100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IFERROR(VLOOKUP(B136,input_571100!L:R,7,FALSE),VLOOKUP(tables_571100!C136,input_571100!A:H,8,FALSE))</f>
        <v>382950</v>
      </c>
      <c r="P136" s="46">
        <f t="shared" ca="1" si="7"/>
        <v>8.67187499994501E-3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input_571100!A$2</f>
        <v>571100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IFERROR(VLOOKUP(B137,input_571100!L:R,7,FALSE),VLOOKUP(tables_571100!C137,input_571100!A:H,8,FALSE))</f>
        <v>19102.384620000001</v>
      </c>
      <c r="P137" s="46">
        <f t="shared" ca="1" si="7"/>
        <v>4.3257211548638748E-4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input_571100!A$2</f>
        <v>571100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IFERROR(VLOOKUP(B138,input_571100!L:R,7,FALSE),VLOOKUP(tables_571100!C138,input_571100!A:H,8,FALSE))</f>
        <v>41636.571430000004</v>
      </c>
      <c r="P138" s="46">
        <f t="shared" ca="1" si="7"/>
        <v>9.4285714288351412E-4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input_571100!A$2</f>
        <v>571100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IFERROR(VLOOKUP(B139,input_571100!L:R,7,FALSE),VLOOKUP(tables_571100!C139,input_571100!A:H,8,FALSE))</f>
        <v>2304</v>
      </c>
      <c r="P139" s="46">
        <f t="shared" ca="1" si="7"/>
        <v>5.2173913043147419E-5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input_571100!A$2</f>
        <v>571100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IFERROR(VLOOKUP(B140,input_571100!L:R,7,FALSE),VLOOKUP(tables_571100!C140,input_571100!A:H,8,FALSE))</f>
        <v>41636.571430000004</v>
      </c>
      <c r="P140" s="46">
        <f t="shared" ca="1" si="7"/>
        <v>9.4285714288351412E-4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input_571100!A$2</f>
        <v>571100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IFERROR(VLOOKUP(B141,input_571100!L:R,7,FALSE),VLOOKUP(tables_571100!C141,input_571100!A:H,8,FALSE))</f>
        <v>2304</v>
      </c>
      <c r="P141" s="46">
        <f t="shared" ca="1" si="7"/>
        <v>5.2173913043147419E-5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input_571100!A$2</f>
        <v>571100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IFERROR(VLOOKUP(B142,input_571100!L:R,7,FALSE),VLOOKUP(tables_571100!C142,input_571100!A:H,8,FALSE))</f>
        <v>41636.571430000004</v>
      </c>
      <c r="P142" s="46">
        <f t="shared" ca="1" si="7"/>
        <v>9.4285714288351412E-4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input_571100!A$2</f>
        <v>571100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IFERROR(VLOOKUP(B143,input_571100!L:R,7,FALSE),VLOOKUP(tables_571100!C143,input_571100!A:H,8,FALSE))</f>
        <v>2304</v>
      </c>
      <c r="P143" s="46">
        <f t="shared" ca="1" si="7"/>
        <v>5.2173913043147419E-5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input_571100!A$2</f>
        <v>571100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IFERROR(VLOOKUP(B144,input_571100!L:R,7,FALSE),VLOOKUP(tables_571100!C144,input_571100!A:H,8,FALSE))</f>
        <v>41636.571430000004</v>
      </c>
      <c r="P144" s="46">
        <f t="shared" ca="1" si="7"/>
        <v>9.4285714288351412E-4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input_571100!A$2</f>
        <v>571100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IFERROR(VLOOKUP(B145,input_571100!L:R,7,FALSE),VLOOKUP(tables_571100!C145,input_571100!A:H,8,FALSE))</f>
        <v>2304</v>
      </c>
      <c r="P145" s="46">
        <f t="shared" ca="1" si="7"/>
        <v>5.2173913043147419E-5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input_571100!A$2</f>
        <v>571100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IFERROR(VLOOKUP(B146,input_571100!L:R,7,FALSE),VLOOKUP(tables_571100!C146,input_571100!A:H,8,FALSE))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input_571100!A$2</f>
        <v>571100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IFERROR(VLOOKUP(B147,input_571100!L:R,7,FALSE),VLOOKUP(tables_571100!C147,input_571100!A:H,8,FALSE))</f>
        <v>382950</v>
      </c>
      <c r="P147" s="46">
        <f t="shared" ca="1" si="7"/>
        <v>8.67187499994501E-3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input_571100!A$2</f>
        <v>571100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IFERROR(VLOOKUP(B148,input_571100!L:R,7,FALSE),VLOOKUP(tables_571100!C148,input_571100!A:H,8,FALSE))</f>
        <v>19102.384620000001</v>
      </c>
      <c r="P148" s="46">
        <f t="shared" ca="1" si="7"/>
        <v>4.3257211548638748E-4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input_571100!A$2</f>
        <v>571100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IFERROR(VLOOKUP(B149,input_571100!L:R,7,FALSE),VLOOKUP(tables_571100!C149,input_571100!A:H,8,FALSE))</f>
        <v>41636.571430000004</v>
      </c>
      <c r="P149" s="46">
        <f t="shared" ca="1" si="7"/>
        <v>9.4285714288351412E-4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input_571100!A$2</f>
        <v>571100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IFERROR(VLOOKUP(B150,input_571100!L:R,7,FALSE),VLOOKUP(tables_571100!C150,input_571100!A:H,8,FALSE))</f>
        <v>2304</v>
      </c>
      <c r="P150" s="46">
        <f t="shared" ca="1" si="7"/>
        <v>5.2173913043147419E-5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input_571100!A$2</f>
        <v>571100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IFERROR(VLOOKUP(B151,input_571100!L:R,7,FALSE),VLOOKUP(tables_571100!C151,input_571100!A:H,8,FALSE))</f>
        <v>41636.571430000004</v>
      </c>
      <c r="P151" s="46">
        <f t="shared" ca="1" si="7"/>
        <v>9.4285714288351412E-4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input_571100!A$2</f>
        <v>571100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IFERROR(VLOOKUP(B152,input_571100!L:R,7,FALSE),VLOOKUP(tables_571100!C152,input_571100!A:H,8,FALSE))</f>
        <v>2304</v>
      </c>
      <c r="P152" s="46">
        <f t="shared" ca="1" si="7"/>
        <v>5.2173913043147419E-5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input_571100!A$2</f>
        <v>571100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IFERROR(VLOOKUP(B153,input_571100!L:R,7,FALSE),VLOOKUP(tables_571100!C153,input_571100!A:H,8,FALSE))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input_571100!A$2</f>
        <v>571100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IFERROR(VLOOKUP(B154,input_571100!L:R,7,FALSE),VLOOKUP(tables_571100!C154,input_571100!A:H,8,FALSE))</f>
        <v>382950</v>
      </c>
      <c r="P154" s="46">
        <f t="shared" ca="1" si="7"/>
        <v>8.67187499994501E-3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input_571100!A$2</f>
        <v>571100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IFERROR(VLOOKUP(B155,input_571100!L:R,7,FALSE),VLOOKUP(tables_571100!C155,input_571100!A:H,8,FALSE))</f>
        <v>19102.384620000001</v>
      </c>
      <c r="P155" s="46">
        <f t="shared" ca="1" si="7"/>
        <v>4.3257211548638748E-4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input_571100!A$2</f>
        <v>571100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IFERROR(VLOOKUP(B156,input_571100!L:R,7,FALSE),VLOOKUP(tables_571100!C156,input_571100!A:H,8,FALSE))</f>
        <v>41636.571430000004</v>
      </c>
      <c r="P156" s="46">
        <f t="shared" ca="1" si="7"/>
        <v>9.4285714288351412E-4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input_571100!A$2</f>
        <v>571100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IFERROR(VLOOKUP(B157,input_571100!L:R,7,FALSE),VLOOKUP(tables_571100!C157,input_571100!A:H,8,FALSE))</f>
        <v>2304</v>
      </c>
      <c r="P157" s="46">
        <f t="shared" ca="1" si="7"/>
        <v>5.2173913043147419E-5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input_571100!A$2</f>
        <v>571100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IFERROR(VLOOKUP(B158,input_571100!L:R,7,FALSE),VLOOKUP(tables_571100!C158,input_571100!A:H,8,FALSE))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input_571100!A$2</f>
        <v>571100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IFERROR(VLOOKUP(B159,input_571100!L:R,7,FALSE),VLOOKUP(tables_571100!C159,input_571100!A:H,8,FALSE))</f>
        <v>382950</v>
      </c>
      <c r="P159" s="46">
        <f t="shared" ca="1" si="7"/>
        <v>8.67187499994501E-3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input_571100!A$2</f>
        <v>571100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IFERROR(VLOOKUP(B160,input_571100!L:R,7,FALSE),VLOOKUP(tables_571100!C160,input_571100!A:H,8,FALSE))</f>
        <v>19102.384620000001</v>
      </c>
      <c r="P160" s="46">
        <f t="shared" ca="1" si="7"/>
        <v>4.3257211548638748E-4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input_571100!A$2</f>
        <v>571100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IFERROR(VLOOKUP(B161,input_571100!L:R,7,FALSE),VLOOKUP(tables_571100!C161,input_571100!A:H,8,FALSE))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input_571100!A$2</f>
        <v>571100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IFERROR(VLOOKUP(B162,input_571100!L:R,7,FALSE),VLOOKUP(tables_571100!C162,input_571100!A:H,8,FALSE))</f>
        <v>382950</v>
      </c>
      <c r="P162" s="46">
        <f t="shared" ca="1" si="7"/>
        <v>8.67187499994501E-3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input_571100!A$2</f>
        <v>571100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IFERROR(VLOOKUP(B163,input_571100!L:R,7,FALSE),VLOOKUP(tables_571100!C163,input_571100!A:H,8,FALSE))</f>
        <v>19102.384620000001</v>
      </c>
      <c r="P163" s="46">
        <f t="shared" ca="1" si="7"/>
        <v>4.3257211548638748E-4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input_571100!A$2</f>
        <v>571100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IFERROR(VLOOKUP(B164,input_571100!L:R,7,FALSE),VLOOKUP(tables_571100!C164,input_571100!A:H,8,FALSE))</f>
        <v>41636.571430000004</v>
      </c>
      <c r="P164" s="46">
        <f t="shared" ca="1" si="7"/>
        <v>9.4285714288351412E-4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input_571100!A$2</f>
        <v>571100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IFERROR(VLOOKUP(B165,input_571100!L:R,7,FALSE),VLOOKUP(tables_571100!C165,input_571100!A:H,8,FALSE))</f>
        <v>2304</v>
      </c>
      <c r="P165" s="46">
        <f t="shared" ca="1" si="7"/>
        <v>5.2173913043147419E-5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input_571100!A$2</f>
        <v>571100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IFERROR(VLOOKUP(B166,input_571100!L:R,7,FALSE),VLOOKUP(tables_571100!C166,input_571100!A:H,8,FALSE))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input_571100!A$2</f>
        <v>571100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IFERROR(VLOOKUP(B167,input_571100!L:R,7,FALSE),VLOOKUP(tables_571100!C167,input_571100!A:H,8,FALSE))</f>
        <v>382950</v>
      </c>
      <c r="P167" s="46">
        <f t="shared" ca="1" si="7"/>
        <v>8.67187499994501E-3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input_571100!A$2</f>
        <v>571100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IFERROR(VLOOKUP(B168,input_571100!L:R,7,FALSE),VLOOKUP(tables_571100!C168,input_571100!A:H,8,FALSE))</f>
        <v>19102.384620000001</v>
      </c>
      <c r="P168" s="46">
        <f t="shared" ca="1" si="7"/>
        <v>4.3257211548638748E-4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input_571100!A$2</f>
        <v>571100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IFERROR(VLOOKUP(B169,input_571100!L:R,7,FALSE),VLOOKUP(tables_571100!C169,input_571100!A:H,8,FALSE))</f>
        <v>41636.571430000004</v>
      </c>
      <c r="P169" s="46">
        <f t="shared" ca="1" si="7"/>
        <v>9.4285714288351412E-4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input_571100!A$2</f>
        <v>571100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IFERROR(VLOOKUP(B170,input_571100!L:R,7,FALSE),VLOOKUP(tables_571100!C170,input_571100!A:H,8,FALSE))</f>
        <v>2304</v>
      </c>
      <c r="P170" s="46">
        <f t="shared" ca="1" si="7"/>
        <v>5.2173913043147419E-5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input_571100!A$2</f>
        <v>571100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IFERROR(VLOOKUP(B171,input_571100!L:R,7,FALSE),VLOOKUP(tables_571100!C171,input_571100!A:H,8,FALSE))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input_571100!A$2</f>
        <v>571100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IFERROR(VLOOKUP(B172,input_571100!L:R,7,FALSE),VLOOKUP(tables_571100!C172,input_571100!A:H,8,FALSE))</f>
        <v>382950</v>
      </c>
      <c r="P172" s="46">
        <f t="shared" ca="1" si="7"/>
        <v>8.67187499994501E-3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input_571100!A$2</f>
        <v>571100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IFERROR(VLOOKUP(B173,input_571100!L:R,7,FALSE),VLOOKUP(tables_571100!C173,input_571100!A:H,8,FALSE))</f>
        <v>19102.384620000001</v>
      </c>
      <c r="P173" s="46">
        <f t="shared" ca="1" si="7"/>
        <v>4.3257211548638748E-4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input_571100!A$2</f>
        <v>571100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IFERROR(VLOOKUP(B174,input_571100!L:R,7,FALSE),VLOOKUP(tables_571100!C174,input_571100!A:H,8,FALSE))</f>
        <v>41636.571430000004</v>
      </c>
      <c r="P174" s="46">
        <f t="shared" ca="1" si="7"/>
        <v>9.4285714288351412E-4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input_571100!A$2</f>
        <v>571100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IFERROR(VLOOKUP(B175,input_571100!L:R,7,FALSE),VLOOKUP(tables_571100!C175,input_571100!A:H,8,FALSE))</f>
        <v>2304</v>
      </c>
      <c r="P175" s="46">
        <f t="shared" ca="1" si="7"/>
        <v>5.2173913043147419E-5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input_571100!A$2</f>
        <v>571100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IFERROR(VLOOKUP(B176,input_571100!L:R,7,FALSE),VLOOKUP(tables_571100!C176,input_571100!A:H,8,FALSE))</f>
        <v>41636.571430000004</v>
      </c>
      <c r="P176" s="46">
        <f t="shared" ca="1" si="7"/>
        <v>9.4285714288351412E-4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input_571100!A$2</f>
        <v>571100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IFERROR(VLOOKUP(B177,input_571100!L:R,7,FALSE),VLOOKUP(tables_571100!C177,input_571100!A:H,8,FALSE))</f>
        <v>2304</v>
      </c>
      <c r="P177" s="46">
        <f t="shared" ca="1" si="7"/>
        <v>5.2173913043147419E-5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input_571100!A$2</f>
        <v>571100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IFERROR(VLOOKUP(B178,input_571100!L:R,7,FALSE),VLOOKUP(tables_571100!C178,input_571100!A:H,8,FALSE))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input_571100!A$2</f>
        <v>571100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IFERROR(VLOOKUP(B179,input_571100!L:R,7,FALSE),VLOOKUP(tables_571100!C179,input_571100!A:H,8,FALSE))</f>
        <v>382950</v>
      </c>
      <c r="P179" s="46">
        <f t="shared" ca="1" si="7"/>
        <v>8.67187499994501E-3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input_571100!A$2</f>
        <v>571100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IFERROR(VLOOKUP(B180,input_571100!L:R,7,FALSE),VLOOKUP(tables_571100!C180,input_571100!A:H,8,FALSE))</f>
        <v>19102.384620000001</v>
      </c>
      <c r="P180" s="46">
        <f t="shared" ca="1" si="7"/>
        <v>4.3257211548638748E-4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input_571100!A$2</f>
        <v>571100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IFERROR(VLOOKUP(B181,input_571100!L:R,7,FALSE),VLOOKUP(tables_571100!C181,input_571100!A:H,8,FALSE))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input_571100!A$2</f>
        <v>571100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IFERROR(VLOOKUP(B182,input_571100!L:R,7,FALSE),VLOOKUP(tables_571100!C182,input_571100!A:H,8,FALSE))</f>
        <v>382950</v>
      </c>
      <c r="P182" s="46">
        <f t="shared" ca="1" si="7"/>
        <v>8.67187499994501E-3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input_571100!A$2</f>
        <v>571100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IFERROR(VLOOKUP(B183,input_571100!L:R,7,FALSE),VLOOKUP(tables_571100!C183,input_571100!A:H,8,FALSE))</f>
        <v>19102.384620000001</v>
      </c>
      <c r="P183" s="46">
        <f t="shared" ca="1" si="7"/>
        <v>4.3257211548638748E-4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input_571100!A$2</f>
        <v>571100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IFERROR(VLOOKUP(B184,input_571100!L:R,7,FALSE),VLOOKUP(tables_571100!C184,input_571100!A:H,8,FALSE))</f>
        <v>41636.571430000004</v>
      </c>
      <c r="P184" s="46">
        <f t="shared" ca="1" si="7"/>
        <v>9.4285714288351412E-4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input_571100!A$2</f>
        <v>571100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IFERROR(VLOOKUP(B185,input_571100!L:R,7,FALSE),VLOOKUP(tables_571100!C185,input_571100!A:H,8,FALSE))</f>
        <v>2304</v>
      </c>
      <c r="P185" s="46">
        <f t="shared" ca="1" si="7"/>
        <v>5.2173913043147419E-5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input_571100!A$2</f>
        <v>571100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IFERROR(VLOOKUP(B186,input_571100!L:R,7,FALSE),VLOOKUP(tables_571100!C186,input_571100!A:H,8,FALSE))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input_571100!A$2</f>
        <v>571100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IFERROR(VLOOKUP(B187,input_571100!L:R,7,FALSE),VLOOKUP(tables_571100!C187,input_571100!A:H,8,FALSE))</f>
        <v>382950</v>
      </c>
      <c r="P187" s="46">
        <f t="shared" ca="1" si="7"/>
        <v>8.67187499994501E-3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input_571100!A$2</f>
        <v>571100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IFERROR(VLOOKUP(B188,input_571100!L:R,7,FALSE),VLOOKUP(tables_571100!C188,input_571100!A:H,8,FALSE))</f>
        <v>19102.384620000001</v>
      </c>
      <c r="P188" s="46">
        <f t="shared" ca="1" si="7"/>
        <v>4.3257211548638748E-4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input_571100!A$2</f>
        <v>571100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IFERROR(VLOOKUP(B189,input_571100!L:R,7,FALSE),VLOOKUP(tables_571100!C189,input_571100!A:H,8,FALSE))</f>
        <v>41636.571430000004</v>
      </c>
      <c r="P189" s="46">
        <f t="shared" ca="1" si="7"/>
        <v>9.4285714288351412E-4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input_571100!A$2</f>
        <v>571100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IFERROR(VLOOKUP(B190,input_571100!L:R,7,FALSE),VLOOKUP(tables_571100!C190,input_571100!A:H,8,FALSE))</f>
        <v>2304</v>
      </c>
      <c r="P190" s="46">
        <f t="shared" ca="1" si="7"/>
        <v>5.2173913043147419E-5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input_571100!A$2</f>
        <v>571100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IFERROR(VLOOKUP(B191,input_571100!L:R,7,FALSE),VLOOKUP(tables_571100!C191,input_571100!A:H,8,FALSE))</f>
        <v>41636.571430000004</v>
      </c>
      <c r="P191" s="46">
        <f t="shared" ca="1" si="7"/>
        <v>9.4285714288351412E-4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input_571100!A$2</f>
        <v>571100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IFERROR(VLOOKUP(B192,input_571100!L:R,7,FALSE),VLOOKUP(tables_571100!C192,input_571100!A:H,8,FALSE))</f>
        <v>2304</v>
      </c>
      <c r="P192" s="46">
        <f t="shared" ca="1" si="7"/>
        <v>5.2173913043147419E-5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input_571100!A$2</f>
        <v>571100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IFERROR(VLOOKUP(B193,input_571100!L:R,7,FALSE),VLOOKUP(tables_571100!C193,input_571100!A:H,8,FALSE))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input_571100!A$2</f>
        <v>571100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IFERROR(VLOOKUP(B194,input_571100!L:R,7,FALSE),VLOOKUP(tables_571100!C194,input_571100!A:H,8,FALSE))</f>
        <v>382950</v>
      </c>
      <c r="P194" s="46">
        <f t="shared" ref="P194:P257" ca="1" si="10">O194/SUM(O:O)</f>
        <v>8.67187499994501E-3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input_571100!A$2</f>
        <v>571100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IFERROR(VLOOKUP(B195,input_571100!L:R,7,FALSE),VLOOKUP(tables_571100!C195,input_571100!A:H,8,FALSE))</f>
        <v>19102.384620000001</v>
      </c>
      <c r="P195" s="46">
        <f t="shared" ca="1" si="10"/>
        <v>4.3257211548638748E-4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input_571100!A$2</f>
        <v>571100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IFERROR(VLOOKUP(B196,input_571100!L:R,7,FALSE),VLOOKUP(tables_571100!C196,input_571100!A:H,8,FALSE))</f>
        <v>41636.571430000004</v>
      </c>
      <c r="P196" s="46">
        <f t="shared" ca="1" si="10"/>
        <v>9.4285714288351412E-4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input_571100!A$2</f>
        <v>571100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IFERROR(VLOOKUP(B197,input_571100!L:R,7,FALSE),VLOOKUP(tables_571100!C197,input_571100!A:H,8,FALSE))</f>
        <v>2304</v>
      </c>
      <c r="P197" s="46">
        <f t="shared" ca="1" si="10"/>
        <v>5.2173913043147419E-5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input_571100!A$2</f>
        <v>571100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IFERROR(VLOOKUP(B198,input_571100!L:R,7,FALSE),VLOOKUP(tables_571100!C198,input_571100!A:H,8,FALSE))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input_571100!A$2</f>
        <v>571100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IFERROR(VLOOKUP(B199,input_571100!L:R,7,FALSE),VLOOKUP(tables_571100!C199,input_571100!A:H,8,FALSE))</f>
        <v>382950</v>
      </c>
      <c r="P199" s="46">
        <f t="shared" ca="1" si="10"/>
        <v>8.67187499994501E-3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input_571100!A$2</f>
        <v>571100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IFERROR(VLOOKUP(B200,input_571100!L:R,7,FALSE),VLOOKUP(tables_571100!C200,input_571100!A:H,8,FALSE))</f>
        <v>19102.384620000001</v>
      </c>
      <c r="P200" s="46">
        <f t="shared" ca="1" si="10"/>
        <v>4.3257211548638748E-4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input_571100!A$2</f>
        <v>571100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IFERROR(VLOOKUP(B201,input_571100!L:R,7,FALSE),VLOOKUP(tables_571100!C201,input_571100!A:H,8,FALSE))</f>
        <v>41636.571430000004</v>
      </c>
      <c r="P201" s="46">
        <f t="shared" ca="1" si="10"/>
        <v>9.4285714288351412E-4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input_571100!A$2</f>
        <v>571100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IFERROR(VLOOKUP(B202,input_571100!L:R,7,FALSE),VLOOKUP(tables_571100!C202,input_571100!A:H,8,FALSE))</f>
        <v>2304</v>
      </c>
      <c r="P202" s="46">
        <f t="shared" ca="1" si="10"/>
        <v>5.2173913043147419E-5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input_571100!A$2</f>
        <v>571100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IFERROR(VLOOKUP(B203,input_571100!L:R,7,FALSE),VLOOKUP(tables_571100!C203,input_571100!A:H,8,FALSE))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input_571100!A$2</f>
        <v>571100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IFERROR(VLOOKUP(B204,input_571100!L:R,7,FALSE),VLOOKUP(tables_571100!C204,input_571100!A:H,8,FALSE))</f>
        <v>382950</v>
      </c>
      <c r="P204" s="46">
        <f t="shared" ca="1" si="10"/>
        <v>8.67187499994501E-3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input_571100!A$2</f>
        <v>571100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IFERROR(VLOOKUP(B205,input_571100!L:R,7,FALSE),VLOOKUP(tables_571100!C205,input_571100!A:H,8,FALSE))</f>
        <v>19102.384620000001</v>
      </c>
      <c r="P205" s="46">
        <f t="shared" ca="1" si="10"/>
        <v>4.3257211548638748E-4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input_571100!A$2</f>
        <v>571100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IFERROR(VLOOKUP(B206,input_571100!L:R,7,FALSE),VLOOKUP(tables_571100!C206,input_571100!A:H,8,FALSE))</f>
        <v>41636.571430000004</v>
      </c>
      <c r="P206" s="46">
        <f t="shared" ca="1" si="10"/>
        <v>9.4285714288351412E-4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input_571100!A$2</f>
        <v>571100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IFERROR(VLOOKUP(B207,input_571100!L:R,7,FALSE),VLOOKUP(tables_571100!C207,input_571100!A:H,8,FALSE))</f>
        <v>2304</v>
      </c>
      <c r="P207" s="46">
        <f t="shared" ca="1" si="10"/>
        <v>5.2173913043147419E-5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input_571100!A$2</f>
        <v>571100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IFERROR(VLOOKUP(B208,input_571100!L:R,7,FALSE),VLOOKUP(tables_571100!C208,input_571100!A:H,8,FALSE))</f>
        <v>41636.571430000004</v>
      </c>
      <c r="P208" s="46">
        <f t="shared" ca="1" si="10"/>
        <v>9.4285714288351412E-4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input_571100!A$2</f>
        <v>571100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IFERROR(VLOOKUP(B209,input_571100!L:R,7,FALSE),VLOOKUP(tables_571100!C209,input_571100!A:H,8,FALSE))</f>
        <v>2304</v>
      </c>
      <c r="P209" s="46">
        <f t="shared" ca="1" si="10"/>
        <v>5.2173913043147419E-5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input_571100!A$2</f>
        <v>571100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IFERROR(VLOOKUP(B210,input_571100!L:R,7,FALSE),VLOOKUP(tables_571100!C210,input_571100!A:H,8,FALSE))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input_571100!A$2</f>
        <v>571100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IFERROR(VLOOKUP(B211,input_571100!L:R,7,FALSE),VLOOKUP(tables_571100!C211,input_571100!A:H,8,FALSE))</f>
        <v>382950</v>
      </c>
      <c r="P211" s="46">
        <f t="shared" ca="1" si="10"/>
        <v>8.67187499994501E-3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input_571100!A$2</f>
        <v>571100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IFERROR(VLOOKUP(B212,input_571100!L:R,7,FALSE),VLOOKUP(tables_571100!C212,input_571100!A:H,8,FALSE))</f>
        <v>19102.384620000001</v>
      </c>
      <c r="P212" s="46">
        <f t="shared" ca="1" si="10"/>
        <v>4.3257211548638748E-4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input_571100!A$2</f>
        <v>571100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IFERROR(VLOOKUP(B213,input_571100!L:R,7,FALSE),VLOOKUP(tables_571100!C213,input_571100!A:H,8,FALSE))</f>
        <v>41636.571430000004</v>
      </c>
      <c r="P213" s="46">
        <f t="shared" ca="1" si="10"/>
        <v>9.4285714288351412E-4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input_571100!A$2</f>
        <v>571100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IFERROR(VLOOKUP(B214,input_571100!L:R,7,FALSE),VLOOKUP(tables_571100!C214,input_571100!A:H,8,FALSE))</f>
        <v>2304</v>
      </c>
      <c r="P214" s="46">
        <f t="shared" ca="1" si="10"/>
        <v>5.2173913043147419E-5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input_571100!A$2</f>
        <v>571100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IFERROR(VLOOKUP(B215,input_571100!L:R,7,FALSE),VLOOKUP(tables_571100!C215,input_571100!A:H,8,FALSE))</f>
        <v>42550</v>
      </c>
      <c r="P215" s="46">
        <f t="shared" ca="1" si="10"/>
        <v>9.6354166666055678E-4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input_571100!A$2</f>
        <v>571100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IFERROR(VLOOKUP(B216,input_571100!L:R,7,FALSE),VLOOKUP(tables_571100!C216,input_571100!A:H,8,FALSE))</f>
        <v>42550</v>
      </c>
      <c r="P216" s="46">
        <f t="shared" ca="1" si="10"/>
        <v>9.6354166666055678E-4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input_571100!A$2</f>
        <v>571100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IFERROR(VLOOKUP(B217,input_571100!L:R,7,FALSE),VLOOKUP(tables_571100!C217,input_571100!A:H,8,FALSE))</f>
        <v>42550</v>
      </c>
      <c r="P217" s="46">
        <f t="shared" ca="1" si="10"/>
        <v>9.6354166666055678E-4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input_571100!A$2</f>
        <v>571100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IFERROR(VLOOKUP(B218,input_571100!L:R,7,FALSE),VLOOKUP(tables_571100!C218,input_571100!A:H,8,FALSE))</f>
        <v>42550</v>
      </c>
      <c r="P218" s="46">
        <f t="shared" ca="1" si="10"/>
        <v>9.6354166666055678E-4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input_571100!A$2</f>
        <v>571100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IFERROR(VLOOKUP(B219,input_571100!L:R,7,FALSE),VLOOKUP(tables_571100!C219,input_571100!A:H,8,FALSE))</f>
        <v>42550</v>
      </c>
      <c r="P219" s="46">
        <f t="shared" ca="1" si="10"/>
        <v>9.6354166666055678E-4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input_571100!A$2</f>
        <v>571100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IFERROR(VLOOKUP(B220,input_571100!L:R,7,FALSE),VLOOKUP(tables_571100!C220,input_571100!A:H,8,FALSE))</f>
        <v>42550</v>
      </c>
      <c r="P220" s="46">
        <f t="shared" ca="1" si="10"/>
        <v>9.6354166666055678E-4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input_571100!A$2</f>
        <v>571100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IFERROR(VLOOKUP(B221,input_571100!L:R,7,FALSE),VLOOKUP(tables_571100!C221,input_571100!A:H,8,FALSE))</f>
        <v>41636.571430000004</v>
      </c>
      <c r="P221" s="46">
        <f t="shared" ca="1" si="10"/>
        <v>9.4285714288351412E-4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input_571100!A$2</f>
        <v>571100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IFERROR(VLOOKUP(B222,input_571100!L:R,7,FALSE),VLOOKUP(tables_571100!C222,input_571100!A:H,8,FALSE))</f>
        <v>2304</v>
      </c>
      <c r="P222" s="46">
        <f t="shared" ca="1" si="10"/>
        <v>5.2173913043147419E-5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input_571100!A$2</f>
        <v>571100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IFERROR(VLOOKUP(B223,input_571100!L:R,7,FALSE),VLOOKUP(tables_571100!C223,input_571100!A:H,8,FALSE))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input_571100!A$2</f>
        <v>571100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IFERROR(VLOOKUP(B224,input_571100!L:R,7,FALSE),VLOOKUP(tables_571100!C224,input_571100!A:H,8,FALSE))</f>
        <v>382950</v>
      </c>
      <c r="P224" s="46">
        <f t="shared" ca="1" si="10"/>
        <v>8.67187499994501E-3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input_571100!A$2</f>
        <v>571100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IFERROR(VLOOKUP(B225,input_571100!L:R,7,FALSE),VLOOKUP(tables_571100!C225,input_571100!A:H,8,FALSE))</f>
        <v>19102.384620000001</v>
      </c>
      <c r="P225" s="46">
        <f t="shared" ca="1" si="10"/>
        <v>4.3257211548638748E-4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input_571100!A$2</f>
        <v>571100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IFERROR(VLOOKUP(B226,input_571100!L:R,7,FALSE),VLOOKUP(tables_571100!C226,input_571100!A:H,8,FALSE))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input_571100!A$2</f>
        <v>571100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IFERROR(VLOOKUP(B227,input_571100!L:R,7,FALSE),VLOOKUP(tables_571100!C227,input_571100!A:H,8,FALSE))</f>
        <v>382950</v>
      </c>
      <c r="P227" s="46">
        <f t="shared" ca="1" si="10"/>
        <v>8.67187499994501E-3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input_571100!A$2</f>
        <v>571100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IFERROR(VLOOKUP(B228,input_571100!L:R,7,FALSE),VLOOKUP(tables_571100!C228,input_571100!A:H,8,FALSE))</f>
        <v>19102.384620000001</v>
      </c>
      <c r="P228" s="46">
        <f t="shared" ca="1" si="10"/>
        <v>4.3257211548638748E-4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input_571100!A$2</f>
        <v>571100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IFERROR(VLOOKUP(B229,input_571100!L:R,7,FALSE),VLOOKUP(tables_571100!C229,input_571100!A:H,8,FALSE))</f>
        <v>41636.571430000004</v>
      </c>
      <c r="P229" s="46">
        <f t="shared" ca="1" si="10"/>
        <v>9.4285714288351412E-4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input_571100!A$2</f>
        <v>571100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IFERROR(VLOOKUP(B230,input_571100!L:R,7,FALSE),VLOOKUP(tables_571100!C230,input_571100!A:H,8,FALSE))</f>
        <v>2304</v>
      </c>
      <c r="P230" s="46">
        <f t="shared" ca="1" si="10"/>
        <v>5.2173913043147419E-5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input_571100!A$2</f>
        <v>571100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IFERROR(VLOOKUP(B231,input_571100!L:R,7,FALSE),VLOOKUP(tables_571100!C231,input_571100!A:H,8,FALSE))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input_571100!A$2</f>
        <v>571100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IFERROR(VLOOKUP(B232,input_571100!L:R,7,FALSE),VLOOKUP(tables_571100!C232,input_571100!A:H,8,FALSE))</f>
        <v>382950</v>
      </c>
      <c r="P232" s="46">
        <f t="shared" ca="1" si="10"/>
        <v>8.67187499994501E-3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input_571100!A$2</f>
        <v>571100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IFERROR(VLOOKUP(B233,input_571100!L:R,7,FALSE),VLOOKUP(tables_571100!C233,input_571100!A:H,8,FALSE))</f>
        <v>19102.384620000001</v>
      </c>
      <c r="P233" s="46">
        <f t="shared" ca="1" si="10"/>
        <v>4.3257211548638748E-4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input_571100!A$2</f>
        <v>571100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IFERROR(VLOOKUP(B234,input_571100!L:R,7,FALSE),VLOOKUP(tables_571100!C234,input_571100!A:H,8,FALSE))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input_571100!A$2</f>
        <v>571100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IFERROR(VLOOKUP(B235,input_571100!L:R,7,FALSE),VLOOKUP(tables_571100!C235,input_571100!A:H,8,FALSE))</f>
        <v>382950</v>
      </c>
      <c r="P235" s="46">
        <f t="shared" ca="1" si="10"/>
        <v>8.67187499994501E-3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input_571100!A$2</f>
        <v>571100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IFERROR(VLOOKUP(B236,input_571100!L:R,7,FALSE),VLOOKUP(tables_571100!C236,input_571100!A:H,8,FALSE))</f>
        <v>19102.384620000001</v>
      </c>
      <c r="P236" s="46">
        <f t="shared" ca="1" si="10"/>
        <v>4.3257211548638748E-4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input_571100!A$2</f>
        <v>571100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IFERROR(VLOOKUP(B237,input_571100!L:R,7,FALSE),VLOOKUP(tables_571100!C237,input_571100!A:H,8,FALSE))</f>
        <v>41636.571430000004</v>
      </c>
      <c r="P237" s="46">
        <f t="shared" ca="1" si="10"/>
        <v>9.4285714288351412E-4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input_571100!A$2</f>
        <v>571100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IFERROR(VLOOKUP(B238,input_571100!L:R,7,FALSE),VLOOKUP(tables_571100!C238,input_571100!A:H,8,FALSE))</f>
        <v>2304</v>
      </c>
      <c r="P238" s="46">
        <f t="shared" ca="1" si="10"/>
        <v>5.2173913043147419E-5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input_571100!A$2</f>
        <v>571100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IFERROR(VLOOKUP(B239,input_571100!L:R,7,FALSE),VLOOKUP(tables_571100!C239,input_571100!A:H,8,FALSE))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input_571100!A$2</f>
        <v>571100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IFERROR(VLOOKUP(B240,input_571100!L:R,7,FALSE),VLOOKUP(tables_571100!C240,input_571100!A:H,8,FALSE))</f>
        <v>382950</v>
      </c>
      <c r="P240" s="46">
        <f t="shared" ca="1" si="10"/>
        <v>8.67187499994501E-3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input_571100!A$2</f>
        <v>571100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IFERROR(VLOOKUP(B241,input_571100!L:R,7,FALSE),VLOOKUP(tables_571100!C241,input_571100!A:H,8,FALSE))</f>
        <v>19102.384620000001</v>
      </c>
      <c r="P241" s="46">
        <f t="shared" ca="1" si="10"/>
        <v>4.3257211548638748E-4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input_571100!A$2</f>
        <v>571100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IFERROR(VLOOKUP(B242,input_571100!L:R,7,FALSE),VLOOKUP(tables_571100!C242,input_571100!A:H,8,FALSE))</f>
        <v>41636.571430000004</v>
      </c>
      <c r="P242" s="46">
        <f t="shared" ca="1" si="10"/>
        <v>9.4285714288351412E-4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input_571100!A$2</f>
        <v>571100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IFERROR(VLOOKUP(B243,input_571100!L:R,7,FALSE),VLOOKUP(tables_571100!C243,input_571100!A:H,8,FALSE))</f>
        <v>2304</v>
      </c>
      <c r="P243" s="46">
        <f t="shared" ca="1" si="10"/>
        <v>5.2173913043147419E-5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input_571100!A$2</f>
        <v>571100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IFERROR(VLOOKUP(B244,input_571100!L:R,7,FALSE),VLOOKUP(tables_571100!C244,input_571100!A:H,8,FALSE))</f>
        <v>41636.571430000004</v>
      </c>
      <c r="P244" s="46">
        <f t="shared" ca="1" si="10"/>
        <v>9.4285714288351412E-4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input_571100!A$2</f>
        <v>571100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IFERROR(VLOOKUP(B245,input_571100!L:R,7,FALSE),VLOOKUP(tables_571100!C245,input_571100!A:H,8,FALSE))</f>
        <v>2304</v>
      </c>
      <c r="P245" s="46">
        <f t="shared" ca="1" si="10"/>
        <v>5.2173913043147419E-5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input_571100!A$2</f>
        <v>571100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IFERROR(VLOOKUP(B246,input_571100!L:R,7,FALSE),VLOOKUP(tables_571100!C246,input_571100!A:H,8,FALSE))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input_571100!A$2</f>
        <v>571100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IFERROR(VLOOKUP(B247,input_571100!L:R,7,FALSE),VLOOKUP(tables_571100!C247,input_571100!A:H,8,FALSE))</f>
        <v>382950</v>
      </c>
      <c r="P247" s="46">
        <f t="shared" ca="1" si="10"/>
        <v>8.67187499994501E-3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input_571100!A$2</f>
        <v>571100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IFERROR(VLOOKUP(B248,input_571100!L:R,7,FALSE),VLOOKUP(tables_571100!C248,input_571100!A:H,8,FALSE))</f>
        <v>19102.384620000001</v>
      </c>
      <c r="P248" s="46">
        <f t="shared" ca="1" si="10"/>
        <v>4.3257211548638748E-4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input_571100!A$2</f>
        <v>571100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IFERROR(VLOOKUP(B249,input_571100!L:R,7,FALSE),VLOOKUP(tables_571100!C249,input_571100!A:H,8,FALSE))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input_571100!A$2</f>
        <v>571100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IFERROR(VLOOKUP(B250,input_571100!L:R,7,FALSE),VLOOKUP(tables_571100!C250,input_571100!A:H,8,FALSE))</f>
        <v>382950</v>
      </c>
      <c r="P250" s="46">
        <f t="shared" ca="1" si="10"/>
        <v>8.67187499994501E-3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input_571100!A$2</f>
        <v>571100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IFERROR(VLOOKUP(B251,input_571100!L:R,7,FALSE),VLOOKUP(tables_571100!C251,input_571100!A:H,8,FALSE))</f>
        <v>19102.384620000001</v>
      </c>
      <c r="P251" s="46">
        <f t="shared" ca="1" si="10"/>
        <v>4.3257211548638748E-4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input_571100!A$2</f>
        <v>571100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IFERROR(VLOOKUP(B252,input_571100!L:R,7,FALSE),VLOOKUP(tables_571100!C252,input_571100!A:H,8,FALSE))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input_571100!A$2</f>
        <v>571100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IFERROR(VLOOKUP(B253,input_571100!L:R,7,FALSE),VLOOKUP(tables_571100!C253,input_571100!A:H,8,FALSE))</f>
        <v>382950</v>
      </c>
      <c r="P253" s="46">
        <f t="shared" ca="1" si="10"/>
        <v>8.67187499994501E-3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input_571100!A$2</f>
        <v>571100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IFERROR(VLOOKUP(B254,input_571100!L:R,7,FALSE),VLOOKUP(tables_571100!C254,input_571100!A:H,8,FALSE))</f>
        <v>19102.384620000001</v>
      </c>
      <c r="P254" s="46">
        <f t="shared" ca="1" si="10"/>
        <v>4.3257211548638748E-4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input_571100!A$2</f>
        <v>571100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IFERROR(VLOOKUP(B255,input_571100!L:R,7,FALSE),VLOOKUP(tables_571100!C255,input_571100!A:H,8,FALSE))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input_571100!A$2</f>
        <v>571100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IFERROR(VLOOKUP(B256,input_571100!L:R,7,FALSE),VLOOKUP(tables_571100!C256,input_571100!A:H,8,FALSE))</f>
        <v>382950</v>
      </c>
      <c r="P256" s="46">
        <f t="shared" ca="1" si="10"/>
        <v>8.67187499994501E-3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input_571100!A$2</f>
        <v>571100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IFERROR(VLOOKUP(B257,input_571100!L:R,7,FALSE),VLOOKUP(tables_571100!C257,input_571100!A:H,8,FALSE))</f>
        <v>19102.384620000001</v>
      </c>
      <c r="P257" s="46">
        <f t="shared" ca="1" si="10"/>
        <v>4.3257211548638748E-4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input_571100!A$2</f>
        <v>571100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IFERROR(VLOOKUP(B258,input_571100!L:R,7,FALSE),VLOOKUP(tables_571100!C258,input_571100!A:H,8,FALSE))</f>
        <v>41636.571430000004</v>
      </c>
      <c r="P258" s="46">
        <f t="shared" ref="P258:P321" ca="1" si="13">O258/SUM(O:O)</f>
        <v>9.4285714288351412E-4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input_571100!A$2</f>
        <v>571100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IFERROR(VLOOKUP(B259,input_571100!L:R,7,FALSE),VLOOKUP(tables_571100!C259,input_571100!A:H,8,FALSE))</f>
        <v>2304</v>
      </c>
      <c r="P259" s="46">
        <f t="shared" ca="1" si="13"/>
        <v>5.2173913043147419E-5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input_571100!A$2</f>
        <v>571100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IFERROR(VLOOKUP(B260,input_571100!L:R,7,FALSE),VLOOKUP(tables_571100!C260,input_571100!A:H,8,FALSE))</f>
        <v>41636.571430000004</v>
      </c>
      <c r="P260" s="46">
        <f t="shared" ca="1" si="13"/>
        <v>9.4285714288351412E-4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input_571100!A$2</f>
        <v>571100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IFERROR(VLOOKUP(B261,input_571100!L:R,7,FALSE),VLOOKUP(tables_571100!C261,input_571100!A:H,8,FALSE))</f>
        <v>2304</v>
      </c>
      <c r="P261" s="46">
        <f t="shared" ca="1" si="13"/>
        <v>5.2173913043147419E-5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input_571100!A$2</f>
        <v>571100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IFERROR(VLOOKUP(B262,input_571100!L:R,7,FALSE),VLOOKUP(tables_571100!C262,input_571100!A:H,8,FALSE))</f>
        <v>370185</v>
      </c>
      <c r="P262" s="46">
        <f t="shared" ca="1" si="13"/>
        <v>8.3828124999468442E-3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input_571100!A$2</f>
        <v>571100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IFERROR(VLOOKUP(B263,input_571100!L:R,7,FALSE),VLOOKUP(tables_571100!C263,input_571100!A:H,8,FALSE))</f>
        <v>42550</v>
      </c>
      <c r="P263" s="46">
        <f t="shared" ca="1" si="13"/>
        <v>9.6354166666055678E-4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input_571100!A$2</f>
        <v>571100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IFERROR(VLOOKUP(B264,input_571100!L:R,7,FALSE),VLOOKUP(tables_571100!C264,input_571100!A:H,8,FALSE))</f>
        <v>370185</v>
      </c>
      <c r="P264" s="46">
        <f t="shared" ca="1" si="13"/>
        <v>8.3828124999468442E-3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input_571100!A$2</f>
        <v>571100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IFERROR(VLOOKUP(B265,input_571100!L:R,7,FALSE),VLOOKUP(tables_571100!C265,input_571100!A:H,8,FALSE))</f>
        <v>42550</v>
      </c>
      <c r="P265" s="46">
        <f t="shared" ca="1" si="13"/>
        <v>9.6354166666055678E-4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input_571100!A$2</f>
        <v>571100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IFERROR(VLOOKUP(B266,input_571100!L:R,7,FALSE),VLOOKUP(tables_571100!C266,input_571100!A:H,8,FALSE))</f>
        <v>2304</v>
      </c>
      <c r="P266" s="46">
        <f t="shared" ca="1" si="13"/>
        <v>5.2173913043147419E-5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input_571100!A$2</f>
        <v>571100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IFERROR(VLOOKUP(B267,input_571100!L:R,7,FALSE),VLOOKUP(tables_571100!C267,input_571100!A:H,8,FALSE))</f>
        <v>2304</v>
      </c>
      <c r="P267" s="46">
        <f t="shared" ca="1" si="13"/>
        <v>5.2173913043147419E-5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input_571100!A$2</f>
        <v>571100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IFERROR(VLOOKUP(B268,input_571100!L:R,7,FALSE),VLOOKUP(tables_571100!C268,input_571100!A:H,8,FALSE))</f>
        <v>2304</v>
      </c>
      <c r="P268" s="46">
        <f t="shared" ca="1" si="13"/>
        <v>5.2173913043147419E-5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input_571100!A$2</f>
        <v>571100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IFERROR(VLOOKUP(B269,input_571100!L:R,7,FALSE),VLOOKUP(tables_571100!C269,input_571100!A:H,8,FALSE))</f>
        <v>2304</v>
      </c>
      <c r="P269" s="46">
        <f t="shared" ca="1" si="13"/>
        <v>5.2173913043147419E-5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input_571100!A$2</f>
        <v>571100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IFERROR(VLOOKUP(B270,input_571100!L:R,7,FALSE),VLOOKUP(tables_571100!C270,input_571100!A:H,8,FALSE))</f>
        <v>370185</v>
      </c>
      <c r="P270" s="46">
        <f t="shared" ca="1" si="13"/>
        <v>8.3828124999468442E-3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input_571100!A$2</f>
        <v>571100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IFERROR(VLOOKUP(B271,input_571100!L:R,7,FALSE),VLOOKUP(tables_571100!C271,input_571100!A:H,8,FALSE))</f>
        <v>42550</v>
      </c>
      <c r="P271" s="46">
        <f t="shared" ca="1" si="13"/>
        <v>9.6354166666055678E-4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input_571100!A$2</f>
        <v>571100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IFERROR(VLOOKUP(B272,input_571100!L:R,7,FALSE),VLOOKUP(tables_571100!C272,input_571100!A:H,8,FALSE))</f>
        <v>370185</v>
      </c>
      <c r="P272" s="46">
        <f t="shared" ca="1" si="13"/>
        <v>8.3828124999468442E-3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input_571100!A$2</f>
        <v>571100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IFERROR(VLOOKUP(B273,input_571100!L:R,7,FALSE),VLOOKUP(tables_571100!C273,input_571100!A:H,8,FALSE))</f>
        <v>42550</v>
      </c>
      <c r="P273" s="46">
        <f t="shared" ca="1" si="13"/>
        <v>9.6354166666055678E-4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input_571100!A$2</f>
        <v>571100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IFERROR(VLOOKUP(B274,input_571100!L:R,7,FALSE),VLOOKUP(tables_571100!C274,input_571100!A:H,8,FALSE))</f>
        <v>41636.571430000004</v>
      </c>
      <c r="P274" s="46">
        <f t="shared" ca="1" si="13"/>
        <v>9.4285714288351412E-4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input_571100!A$2</f>
        <v>571100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IFERROR(VLOOKUP(B275,input_571100!L:R,7,FALSE),VLOOKUP(tables_571100!C275,input_571100!A:H,8,FALSE))</f>
        <v>2304</v>
      </c>
      <c r="P275" s="46">
        <f t="shared" ca="1" si="13"/>
        <v>5.2173913043147419E-5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input_571100!A$2</f>
        <v>571100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IFERROR(VLOOKUP(B276,input_571100!L:R,7,FALSE),VLOOKUP(tables_571100!C276,input_571100!A:H,8,FALSE))</f>
        <v>41636.571430000004</v>
      </c>
      <c r="P276" s="46">
        <f t="shared" ca="1" si="13"/>
        <v>9.4285714288351412E-4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input_571100!A$2</f>
        <v>571100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IFERROR(VLOOKUP(B277,input_571100!L:R,7,FALSE),VLOOKUP(tables_571100!C277,input_571100!A:H,8,FALSE))</f>
        <v>2304</v>
      </c>
      <c r="P277" s="46">
        <f t="shared" ca="1" si="13"/>
        <v>5.2173913043147419E-5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input_571100!A$2</f>
        <v>571100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IFERROR(VLOOKUP(B278,input_571100!L:R,7,FALSE),VLOOKUP(tables_571100!C278,input_571100!A:H,8,FALSE))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input_571100!A$2</f>
        <v>571100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IFERROR(VLOOKUP(B279,input_571100!L:R,7,FALSE),VLOOKUP(tables_571100!C279,input_571100!A:H,8,FALSE))</f>
        <v>382950</v>
      </c>
      <c r="P279" s="46">
        <f t="shared" ca="1" si="13"/>
        <v>8.67187499994501E-3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input_571100!A$2</f>
        <v>571100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IFERROR(VLOOKUP(B280,input_571100!L:R,7,FALSE),VLOOKUP(tables_571100!C280,input_571100!A:H,8,FALSE))</f>
        <v>19102.384620000001</v>
      </c>
      <c r="P280" s="46">
        <f t="shared" ca="1" si="13"/>
        <v>4.3257211548638748E-4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input_571100!A$2</f>
        <v>571100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IFERROR(VLOOKUP(B281,input_571100!L:R,7,FALSE),VLOOKUP(tables_571100!C281,input_571100!A:H,8,FALSE))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input_571100!A$2</f>
        <v>571100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IFERROR(VLOOKUP(B282,input_571100!L:R,7,FALSE),VLOOKUP(tables_571100!C282,input_571100!A:H,8,FALSE))</f>
        <v>382950</v>
      </c>
      <c r="P282" s="46">
        <f t="shared" ca="1" si="13"/>
        <v>8.67187499994501E-3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input_571100!A$2</f>
        <v>571100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IFERROR(VLOOKUP(B283,input_571100!L:R,7,FALSE),VLOOKUP(tables_571100!C283,input_571100!A:H,8,FALSE))</f>
        <v>19102.384620000001</v>
      </c>
      <c r="P283" s="46">
        <f t="shared" ca="1" si="13"/>
        <v>4.3257211548638748E-4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input_571100!A$2</f>
        <v>571100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IFERROR(VLOOKUP(B284,input_571100!L:R,7,FALSE),VLOOKUP(tables_571100!C284,input_571100!A:H,8,FALSE))</f>
        <v>662400</v>
      </c>
      <c r="P284" s="46">
        <f t="shared" ca="1" si="13"/>
        <v>1.4999999999904883E-2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input_571100!A$2</f>
        <v>571100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IFERROR(VLOOKUP(B285,input_571100!L:R,7,FALSE),VLOOKUP(tables_571100!C285,input_571100!A:H,8,FALSE))</f>
        <v>2304</v>
      </c>
      <c r="P285" s="46">
        <f t="shared" ca="1" si="13"/>
        <v>5.2173913043147419E-5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input_571100!A$2</f>
        <v>571100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IFERROR(VLOOKUP(B286,input_571100!L:R,7,FALSE),VLOOKUP(tables_571100!C286,input_571100!A:H,8,FALSE))</f>
        <v>370185</v>
      </c>
      <c r="P286" s="46">
        <f t="shared" ca="1" si="13"/>
        <v>8.3828124999468442E-3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input_571100!A$2</f>
        <v>571100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IFERROR(VLOOKUP(B287,input_571100!L:R,7,FALSE),VLOOKUP(tables_571100!C287,input_571100!A:H,8,FALSE))</f>
        <v>42550</v>
      </c>
      <c r="P287" s="46">
        <f t="shared" ca="1" si="13"/>
        <v>9.6354166666055678E-4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input_571100!A$2</f>
        <v>571100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IFERROR(VLOOKUP(B288,input_571100!L:R,7,FALSE),VLOOKUP(tables_571100!C288,input_571100!A:H,8,FALSE))</f>
        <v>370185</v>
      </c>
      <c r="P288" s="46">
        <f t="shared" ca="1" si="13"/>
        <v>8.3828124999468442E-3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input_571100!A$2</f>
        <v>571100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IFERROR(VLOOKUP(B289,input_571100!L:R,7,FALSE),VLOOKUP(tables_571100!C289,input_571100!A:H,8,FALSE))</f>
        <v>42550</v>
      </c>
      <c r="P289" s="46">
        <f t="shared" ca="1" si="13"/>
        <v>9.6354166666055678E-4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input_571100!A$2</f>
        <v>571100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IFERROR(VLOOKUP(B290,input_571100!L:R,7,FALSE),VLOOKUP(tables_571100!C290,input_571100!A:H,8,FALSE))</f>
        <v>370185</v>
      </c>
      <c r="P290" s="46">
        <f t="shared" ca="1" si="13"/>
        <v>8.3828124999468442E-3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input_571100!A$2</f>
        <v>571100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IFERROR(VLOOKUP(B291,input_571100!L:R,7,FALSE),VLOOKUP(tables_571100!C291,input_571100!A:H,8,FALSE))</f>
        <v>42550</v>
      </c>
      <c r="P291" s="46">
        <f t="shared" ca="1" si="13"/>
        <v>9.6354166666055678E-4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input_571100!A$2</f>
        <v>571100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IFERROR(VLOOKUP(B292,input_571100!L:R,7,FALSE),VLOOKUP(tables_571100!C292,input_571100!A:H,8,FALSE))</f>
        <v>370185</v>
      </c>
      <c r="P292" s="46">
        <f t="shared" ca="1" si="13"/>
        <v>8.3828124999468442E-3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input_571100!A$2</f>
        <v>571100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IFERROR(VLOOKUP(B293,input_571100!L:R,7,FALSE),VLOOKUP(tables_571100!C293,input_571100!A:H,8,FALSE))</f>
        <v>42550</v>
      </c>
      <c r="P293" s="46">
        <f t="shared" ca="1" si="13"/>
        <v>9.6354166666055678E-4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input_571100!A$2</f>
        <v>571100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IFERROR(VLOOKUP(B294,input_571100!L:R,7,FALSE),VLOOKUP(tables_571100!C294,input_571100!A:H,8,FALSE))</f>
        <v>2304</v>
      </c>
      <c r="P294" s="46">
        <f t="shared" ca="1" si="13"/>
        <v>5.2173913043147419E-5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input_571100!A$2</f>
        <v>571100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IFERROR(VLOOKUP(B295,input_571100!L:R,7,FALSE),VLOOKUP(tables_571100!C295,input_571100!A:H,8,FALSE))</f>
        <v>2304</v>
      </c>
      <c r="P295" s="46">
        <f t="shared" ca="1" si="13"/>
        <v>5.2173913043147419E-5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input_571100!A$2</f>
        <v>571100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IFERROR(VLOOKUP(B296,input_571100!L:R,7,FALSE),VLOOKUP(tables_571100!C296,input_571100!A:H,8,FALSE))</f>
        <v>2304</v>
      </c>
      <c r="P296" s="46">
        <f t="shared" ca="1" si="13"/>
        <v>5.2173913043147419E-5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input_571100!A$2</f>
        <v>571100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IFERROR(VLOOKUP(B297,input_571100!L:R,7,FALSE),VLOOKUP(tables_571100!C297,input_571100!A:H,8,FALSE))</f>
        <v>370185</v>
      </c>
      <c r="P297" s="46">
        <f t="shared" ca="1" si="13"/>
        <v>8.3828124999468442E-3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input_571100!A$2</f>
        <v>571100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IFERROR(VLOOKUP(B298,input_571100!L:R,7,FALSE),VLOOKUP(tables_571100!C298,input_571100!A:H,8,FALSE))</f>
        <v>42550</v>
      </c>
      <c r="P298" s="46">
        <f t="shared" ca="1" si="13"/>
        <v>9.6354166666055678E-4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input_571100!A$2</f>
        <v>571100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IFERROR(VLOOKUP(B299,input_571100!L:R,7,FALSE),VLOOKUP(tables_571100!C299,input_571100!A:H,8,FALSE))</f>
        <v>2304</v>
      </c>
      <c r="P299" s="46">
        <f t="shared" ca="1" si="13"/>
        <v>5.2173913043147419E-5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input_571100!A$2</f>
        <v>571100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IFERROR(VLOOKUP(B300,input_571100!L:R,7,FALSE),VLOOKUP(tables_571100!C300,input_571100!A:H,8,FALSE))</f>
        <v>2304</v>
      </c>
      <c r="P300" s="46">
        <f t="shared" ca="1" si="13"/>
        <v>5.2173913043147419E-5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input_571100!A$2</f>
        <v>571100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IFERROR(VLOOKUP(B301,input_571100!L:R,7,FALSE),VLOOKUP(tables_571100!C301,input_571100!A:H,8,FALSE))</f>
        <v>2304</v>
      </c>
      <c r="P301" s="46">
        <f t="shared" ca="1" si="13"/>
        <v>5.2173913043147419E-5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input_571100!A$2</f>
        <v>571100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IFERROR(VLOOKUP(B302,input_571100!L:R,7,FALSE),VLOOKUP(tables_571100!C302,input_571100!A:H,8,FALSE))</f>
        <v>2304</v>
      </c>
      <c r="P302" s="46">
        <f t="shared" ca="1" si="13"/>
        <v>5.2173913043147419E-5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input_571100!A$2</f>
        <v>571100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IFERROR(VLOOKUP(B303,input_571100!L:R,7,FALSE),VLOOKUP(tables_571100!C303,input_571100!A:H,8,FALSE))</f>
        <v>370185</v>
      </c>
      <c r="P303" s="46">
        <f t="shared" ca="1" si="13"/>
        <v>8.3828124999468442E-3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input_571100!A$2</f>
        <v>571100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IFERROR(VLOOKUP(B304,input_571100!L:R,7,FALSE),VLOOKUP(tables_571100!C304,input_571100!A:H,8,FALSE))</f>
        <v>42550</v>
      </c>
      <c r="P304" s="46">
        <f t="shared" ca="1" si="13"/>
        <v>9.6354166666055678E-4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input_571100!A$2</f>
        <v>571100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IFERROR(VLOOKUP(B305,input_571100!L:R,7,FALSE),VLOOKUP(tables_571100!C305,input_571100!A:H,8,FALSE))</f>
        <v>2304</v>
      </c>
      <c r="P305" s="46">
        <f t="shared" ca="1" si="13"/>
        <v>5.2173913043147419E-5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input_571100!A$2</f>
        <v>571100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IFERROR(VLOOKUP(B306,input_571100!L:R,7,FALSE),VLOOKUP(tables_571100!C306,input_571100!A:H,8,FALSE))</f>
        <v>370185</v>
      </c>
      <c r="P306" s="46">
        <f t="shared" ca="1" si="13"/>
        <v>8.3828124999468442E-3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input_571100!A$2</f>
        <v>571100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IFERROR(VLOOKUP(B307,input_571100!L:R,7,FALSE),VLOOKUP(tables_571100!C307,input_571100!A:H,8,FALSE))</f>
        <v>42550</v>
      </c>
      <c r="P307" s="46">
        <f t="shared" ca="1" si="13"/>
        <v>9.6354166666055678E-4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input_571100!A$2</f>
        <v>571100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IFERROR(VLOOKUP(B308,input_571100!L:R,7,FALSE),VLOOKUP(tables_571100!C308,input_571100!A:H,8,FALSE))</f>
        <v>2304</v>
      </c>
      <c r="P308" s="46">
        <f t="shared" ca="1" si="13"/>
        <v>5.2173913043147419E-5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input_571100!A$2</f>
        <v>571100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IFERROR(VLOOKUP(B309,input_571100!L:R,7,FALSE),VLOOKUP(tables_571100!C309,input_571100!A:H,8,FALSE))</f>
        <v>2304</v>
      </c>
      <c r="P309" s="46">
        <f t="shared" ca="1" si="13"/>
        <v>5.2173913043147419E-5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input_571100!A$2</f>
        <v>571100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IFERROR(VLOOKUP(B310,input_571100!L:R,7,FALSE),VLOOKUP(tables_571100!C310,input_571100!A:H,8,FALSE))</f>
        <v>2304</v>
      </c>
      <c r="P310" s="46">
        <f t="shared" ca="1" si="13"/>
        <v>5.2173913043147419E-5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input_571100!A$2</f>
        <v>571100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IFERROR(VLOOKUP(B311,input_571100!L:R,7,FALSE),VLOOKUP(tables_571100!C311,input_571100!A:H,8,FALSE))</f>
        <v>370185</v>
      </c>
      <c r="P311" s="46">
        <f t="shared" ca="1" si="13"/>
        <v>8.3828124999468442E-3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input_571100!A$2</f>
        <v>571100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IFERROR(VLOOKUP(B312,input_571100!L:R,7,FALSE),VLOOKUP(tables_571100!C312,input_571100!A:H,8,FALSE))</f>
        <v>42550</v>
      </c>
      <c r="P312" s="46">
        <f t="shared" ca="1" si="13"/>
        <v>9.6354166666055678E-4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input_571100!A$2</f>
        <v>571100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IFERROR(VLOOKUP(B313,input_571100!L:R,7,FALSE),VLOOKUP(tables_571100!C313,input_571100!A:H,8,FALSE))</f>
        <v>2304</v>
      </c>
      <c r="P313" s="46">
        <f t="shared" ca="1" si="13"/>
        <v>5.2173913043147419E-5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input_571100!A$2</f>
        <v>571100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IFERROR(VLOOKUP(B314,input_571100!L:R,7,FALSE),VLOOKUP(tables_571100!C314,input_571100!A:H,8,FALSE))</f>
        <v>2304</v>
      </c>
      <c r="P314" s="46">
        <f t="shared" ca="1" si="13"/>
        <v>5.2173913043147419E-5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input_571100!A$2</f>
        <v>571100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IFERROR(VLOOKUP(B315,input_571100!L:R,7,FALSE),VLOOKUP(tables_571100!C315,input_571100!A:H,8,FALSE))</f>
        <v>2304</v>
      </c>
      <c r="P315" s="46">
        <f t="shared" ca="1" si="13"/>
        <v>5.2173913043147419E-5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input_571100!A$2</f>
        <v>571100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IFERROR(VLOOKUP(B316,input_571100!L:R,7,FALSE),VLOOKUP(tables_571100!C316,input_571100!A:H,8,FALSE))</f>
        <v>2304</v>
      </c>
      <c r="P316" s="46">
        <f t="shared" ca="1" si="13"/>
        <v>5.2173913043147419E-5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input_571100!A$2</f>
        <v>571100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IFERROR(VLOOKUP(B317,input_571100!L:R,7,FALSE),VLOOKUP(tables_571100!C317,input_571100!A:H,8,FALSE))</f>
        <v>2304</v>
      </c>
      <c r="P317" s="46">
        <f t="shared" ca="1" si="13"/>
        <v>5.2173913043147419E-5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input_571100!A$2</f>
        <v>571100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IFERROR(VLOOKUP(B318,input_571100!L:R,7,FALSE),VLOOKUP(tables_571100!C318,input_571100!A:H,8,FALSE))</f>
        <v>370185</v>
      </c>
      <c r="P318" s="46">
        <f t="shared" ca="1" si="13"/>
        <v>8.3828124999468442E-3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input_571100!A$2</f>
        <v>571100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IFERROR(VLOOKUP(B319,input_571100!L:R,7,FALSE),VLOOKUP(tables_571100!C319,input_571100!A:H,8,FALSE))</f>
        <v>42550</v>
      </c>
      <c r="P319" s="46">
        <f t="shared" ca="1" si="13"/>
        <v>9.6354166666055678E-4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input_571100!A$2</f>
        <v>571100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IFERROR(VLOOKUP(B320,input_571100!L:R,7,FALSE),VLOOKUP(tables_571100!C320,input_571100!A:H,8,FALSE))</f>
        <v>2304</v>
      </c>
      <c r="P320" s="46">
        <f t="shared" ca="1" si="13"/>
        <v>5.2173913043147419E-5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input_571100!A$2</f>
        <v>571100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IFERROR(VLOOKUP(B321,input_571100!L:R,7,FALSE),VLOOKUP(tables_571100!C321,input_571100!A:H,8,FALSE))</f>
        <v>2304</v>
      </c>
      <c r="P321" s="46">
        <f t="shared" ca="1" si="13"/>
        <v>5.2173913043147419E-5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input_571100!A$2</f>
        <v>571100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IFERROR(VLOOKUP(B322,input_571100!L:R,7,FALSE),VLOOKUP(tables_571100!C322,input_571100!A:H,8,FALSE))</f>
        <v>2304</v>
      </c>
      <c r="P322" s="46">
        <f t="shared" ref="P322:P340" ca="1" si="26">O322/SUM(O:O)</f>
        <v>5.2173913043147419E-5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input_571100!A$2</f>
        <v>571100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IFERROR(VLOOKUP(B323,input_571100!L:R,7,FALSE),VLOOKUP(tables_571100!C323,input_571100!A:H,8,FALSE))</f>
        <v>2304</v>
      </c>
      <c r="P323" s="46">
        <f t="shared" ca="1" si="26"/>
        <v>5.2173913043147419E-5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input_571100!A$2</f>
        <v>571100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IFERROR(VLOOKUP(B324,input_571100!L:R,7,FALSE),VLOOKUP(tables_571100!C324,input_571100!A:H,8,FALSE))</f>
        <v>370185</v>
      </c>
      <c r="P324" s="46">
        <f t="shared" ca="1" si="26"/>
        <v>8.3828124999468442E-3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input_571100!A$2</f>
        <v>571100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IFERROR(VLOOKUP(B325,input_571100!L:R,7,FALSE),VLOOKUP(tables_571100!C325,input_571100!A:H,8,FALSE))</f>
        <v>42550</v>
      </c>
      <c r="P325" s="46">
        <f t="shared" ca="1" si="26"/>
        <v>9.6354166666055678E-4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input_571100!A$2</f>
        <v>571100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IFERROR(VLOOKUP(B326,input_571100!L:R,7,FALSE),VLOOKUP(tables_571100!C326,input_571100!A:H,8,FALSE))</f>
        <v>370185</v>
      </c>
      <c r="P326" s="46">
        <f t="shared" ca="1" si="26"/>
        <v>8.3828124999468442E-3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input_571100!A$2</f>
        <v>571100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IFERROR(VLOOKUP(B327,input_571100!L:R,7,FALSE),VLOOKUP(tables_571100!C327,input_571100!A:H,8,FALSE))</f>
        <v>42550</v>
      </c>
      <c r="P327" s="46">
        <f t="shared" ca="1" si="26"/>
        <v>9.6354166666055678E-4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input_571100!A$2</f>
        <v>571100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IFERROR(VLOOKUP(B328,input_571100!L:R,7,FALSE),VLOOKUP(tables_571100!C328,input_571100!A:H,8,FALSE))</f>
        <v>2304</v>
      </c>
      <c r="P328" s="46">
        <f t="shared" ca="1" si="26"/>
        <v>5.2173913043147419E-5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input_571100!A$2</f>
        <v>571100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IFERROR(VLOOKUP(B329,input_571100!L:R,7,FALSE),VLOOKUP(tables_571100!C329,input_571100!A:H,8,FALSE))</f>
        <v>2304</v>
      </c>
      <c r="P329" s="46">
        <f t="shared" ca="1" si="26"/>
        <v>5.2173913043147419E-5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input_571100!A$2</f>
        <v>571100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IFERROR(VLOOKUP(B330,input_571100!L:R,7,FALSE),VLOOKUP(tables_571100!C330,input_571100!A:H,8,FALSE))</f>
        <v>2304</v>
      </c>
      <c r="P330" s="46">
        <f t="shared" ca="1" si="26"/>
        <v>5.2173913043147419E-5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input_571100!A$2</f>
        <v>571100</v>
      </c>
      <c r="B331" s="60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IFERROR(VLOOKUP(B331,input_571100!L:R,7,FALSE),VLOOKUP(tables_571100!C331,input_571100!A:H,8,FALSE))</f>
        <v>2304</v>
      </c>
      <c r="P331" s="46">
        <f t="shared" ca="1" si="26"/>
        <v>5.2173913043147419E-5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input_571100!A$2</f>
        <v>571100</v>
      </c>
      <c r="B332" s="60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IFERROR(VLOOKUP(B332,input_571100!L:R,7,FALSE),VLOOKUP(tables_571100!C332,input_571100!A:H,8,FALSE))</f>
        <v>2304</v>
      </c>
      <c r="P332" s="46">
        <f t="shared" ca="1" si="26"/>
        <v>5.2173913043147419E-5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input_571100!A$2</f>
        <v>571100</v>
      </c>
      <c r="B333" s="60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IFERROR(VLOOKUP(B333,input_571100!L:R,7,FALSE),VLOOKUP(tables_571100!C333,input_571100!A:H,8,FALSE))</f>
        <v>2304</v>
      </c>
      <c r="P333" s="46">
        <f t="shared" ca="1" si="26"/>
        <v>5.2173913043147419E-5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input_571100!A$2</f>
        <v>571100</v>
      </c>
      <c r="B334" s="90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IFERROR(VLOOKUP(B334,input_571100!L:R,7,FALSE),VLOOKUP(tables_571100!C334,input_571100!A:H,8,FALSE))</f>
        <v>370185</v>
      </c>
      <c r="P334" s="46">
        <f t="shared" ca="1" si="26"/>
        <v>8.3828124999468442E-3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input_571100!A$2</f>
        <v>571100</v>
      </c>
      <c r="B335" s="60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IFERROR(VLOOKUP(B335,input_571100!L:R,7,FALSE),VLOOKUP(tables_571100!C335,input_571100!A:H,8,FALSE))</f>
        <v>42550</v>
      </c>
      <c r="P335" s="46">
        <f t="shared" ca="1" si="26"/>
        <v>9.6354166666055678E-4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input_571100!A$2</f>
        <v>571100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IFERROR(VLOOKUP(B336,input_571100!L:R,7,FALSE),VLOOKUP(tables_571100!C336,input_571100!A:H,8,FALSE))</f>
        <v>370185</v>
      </c>
      <c r="P336" s="46">
        <f t="shared" ca="1" si="26"/>
        <v>8.3828124999468442E-3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input_571100!A$2</f>
        <v>571100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IFERROR(VLOOKUP(B337,input_571100!L:R,7,FALSE),VLOOKUP(tables_571100!C337,input_571100!A:H,8,FALSE))</f>
        <v>42550</v>
      </c>
      <c r="P337" s="46">
        <f t="shared" ca="1" si="26"/>
        <v>9.6354166666055678E-4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input_571100!A$2</f>
        <v>571100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IFERROR(VLOOKUP(B338,input_571100!L:R,7,FALSE),VLOOKUP(tables_571100!C338,input_571100!A:H,8,FALSE))</f>
        <v>2304</v>
      </c>
      <c r="P338" s="46">
        <f t="shared" ca="1" si="26"/>
        <v>5.2173913043147419E-5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input_571100!A$2</f>
        <v>571100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IFERROR(VLOOKUP(B339,input_571100!L:R,7,FALSE),VLOOKUP(tables_571100!C339,input_571100!A:H,8,FALSE))</f>
        <v>2304</v>
      </c>
      <c r="P339" s="46">
        <f t="shared" ca="1" si="26"/>
        <v>5.2173913043147419E-5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input_571100!A$2</f>
        <v>571100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IFERROR(VLOOKUP(B340,input_571100!L:R,7,FALSE),VLOOKUP(tables_571100!C340,input_571100!A:H,8,FALSE))</f>
        <v>2304</v>
      </c>
      <c r="P340" s="46">
        <f t="shared" ca="1" si="26"/>
        <v>5.2173913043147419E-5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input_571100!A$2</f>
        <v>571100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IFERROR(VLOOKUP(B341,input_571100!L:R,7,FALSE),VLOOKUP(tables_571100!C341,input_571100!A:H,8,FALSE))</f>
        <v>662400</v>
      </c>
      <c r="P341" s="46">
        <f t="shared" ref="P341:P346" ca="1" si="35">O341/SUM(O:O)</f>
        <v>1.4999999999904883E-2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input_571100!A$2</f>
        <v>571100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IFERROR(VLOOKUP(B342,input_571100!L:R,7,FALSE),VLOOKUP(tables_571100!C342,input_571100!A:H,8,FALSE))</f>
        <v>2304</v>
      </c>
      <c r="P342" s="46">
        <f t="shared" ca="1" si="35"/>
        <v>5.2173913043147419E-5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input_571100!A$2</f>
        <v>571100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IFERROR(VLOOKUP(B343,input_571100!L:R,7,FALSE),VLOOKUP(tables_571100!C343,input_571100!A:H,8,FALSE))</f>
        <v>370185</v>
      </c>
      <c r="P343" s="46">
        <f t="shared" ca="1" si="35"/>
        <v>8.3828124999468442E-3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input_571100!A$2</f>
        <v>571100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IFERROR(VLOOKUP(B344,input_571100!L:R,7,FALSE),VLOOKUP(tables_571100!C344,input_571100!A:H,8,FALSE))</f>
        <v>42550</v>
      </c>
      <c r="P344" s="46">
        <f t="shared" ca="1" si="35"/>
        <v>9.6354166666055678E-4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input_571100!A$2</f>
        <v>571100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IFERROR(VLOOKUP(B345,input_571100!L:R,7,FALSE),VLOOKUP(tables_571100!C345,input_571100!A:H,8,FALSE))</f>
        <v>2304</v>
      </c>
      <c r="P345" s="46">
        <f t="shared" ca="1" si="35"/>
        <v>5.2173913043147419E-5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input_571100!A$2</f>
        <v>571100</v>
      </c>
      <c r="B346" s="1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IFERROR(VLOOKUP(B346,input_571100!L:R,7,FALSE),VLOOKUP(tables_571100!C346,input_571100!A:H,8,FALSE))</f>
        <v>662400</v>
      </c>
      <c r="P346" s="46">
        <f t="shared" ca="1" si="35"/>
        <v>1.4999999999904883E-2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input_571100!A$2</f>
        <v>571100</v>
      </c>
      <c r="B347" s="1">
        <v>1262</v>
      </c>
      <c r="C347" s="7" t="str">
        <f t="shared" ref="C347" si="36">D347&amp;J347&amp;E347&amp;F347&amp;G347</f>
        <v>PremiumSS5R5only</v>
      </c>
      <c r="D347" s="94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IFERROR(VLOOKUP(B347,input_571100!L:R,7,FALSE),VLOOKUP(tables_571100!C347,input_571100!A:H,8,FALSE))</f>
        <v>2304</v>
      </c>
      <c r="P347" s="46">
        <f ca="1">O347/SUM(O:O)</f>
        <v>5.2173913043147419E-5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input_571100!A$2</f>
        <v>571100</v>
      </c>
      <c r="B348" s="1">
        <v>1264</v>
      </c>
      <c r="C348" s="7" t="str">
        <f t="shared" ref="C348:C355" si="38">D348&amp;J348&amp;E348&amp;F348&amp;G348</f>
        <v>PremiumSS5R5only</v>
      </c>
      <c r="D348" s="94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IFERROR(VLOOKUP(B348,input_571100!L:R,7,FALSE),VLOOKUP(tables_571100!C348,input_571100!A:H,8,FALSE))</f>
        <v>2304</v>
      </c>
      <c r="P348" s="46">
        <f t="shared" ref="P348:P355" ca="1" si="40">O348/SUM(O:O)</f>
        <v>5.2173913043147419E-5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input_571100!A$2</f>
        <v>571100</v>
      </c>
      <c r="B349" s="1">
        <v>1266</v>
      </c>
      <c r="C349" s="7" t="str">
        <f t="shared" si="38"/>
        <v>Premium4R3less</v>
      </c>
      <c r="D349" s="94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IFERROR(VLOOKUP(B349,input_571100!L:R,7,FALSE),VLOOKUP(tables_571100!C349,input_571100!A:H,8,FALSE))</f>
        <v>370185</v>
      </c>
      <c r="P349" s="46">
        <f t="shared" ca="1" si="40"/>
        <v>8.3828124999468442E-3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input_571100!A$2</f>
        <v>571100</v>
      </c>
      <c r="B350" s="1">
        <v>1267</v>
      </c>
      <c r="C350" s="7" t="str">
        <f t="shared" si="38"/>
        <v>Premium5R3less</v>
      </c>
      <c r="D350" s="94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IFERROR(VLOOKUP(B350,input_571100!L:R,7,FALSE),VLOOKUP(tables_571100!C350,input_571100!A:H,8,FALSE))</f>
        <v>42550</v>
      </c>
      <c r="P350" s="46">
        <f t="shared" ca="1" si="40"/>
        <v>9.6354166666055678E-4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input_571100!A$2</f>
        <v>571100</v>
      </c>
      <c r="B351" s="98">
        <v>1332</v>
      </c>
      <c r="C351" s="7" t="str">
        <f t="shared" si="38"/>
        <v>PremiumSS5R5only</v>
      </c>
      <c r="D351" s="94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IFERROR(VLOOKUP(B351,input_571100!L:R,7,FALSE),VLOOKUP(tables_571100!C351,input_571100!A:H,8,FALSE))</f>
        <v>2304</v>
      </c>
      <c r="P351" s="46">
        <f t="shared" ca="1" si="40"/>
        <v>5.2173913043147419E-5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input_571100!A$2</f>
        <v>571100</v>
      </c>
      <c r="B352" s="98">
        <v>1336</v>
      </c>
      <c r="C352" s="7" t="str">
        <f t="shared" si="38"/>
        <v>PremiumSS5R5only</v>
      </c>
      <c r="D352" s="94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IFERROR(VLOOKUP(B352,input_571100!L:R,7,FALSE),VLOOKUP(tables_571100!C352,input_571100!A:H,8,FALSE))</f>
        <v>2304</v>
      </c>
      <c r="P352" s="46">
        <f t="shared" ca="1" si="40"/>
        <v>5.2173913043147419E-5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input_571100!A$2</f>
        <v>571100</v>
      </c>
      <c r="B353" s="98">
        <v>1338</v>
      </c>
      <c r="C353" s="7" t="str">
        <f t="shared" si="38"/>
        <v>PremiumSS5R5only</v>
      </c>
      <c r="D353" s="94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IFERROR(VLOOKUP(B353,input_571100!L:R,7,FALSE),VLOOKUP(tables_571100!C353,input_571100!A:H,8,FALSE))</f>
        <v>2304</v>
      </c>
      <c r="P353" s="46">
        <f t="shared" ca="1" si="40"/>
        <v>5.2173913043147419E-5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input_571100!A$2</f>
        <v>571100</v>
      </c>
      <c r="B354" s="98">
        <v>1334</v>
      </c>
      <c r="C354" s="7" t="str">
        <f t="shared" si="38"/>
        <v>Premium4R3less</v>
      </c>
      <c r="D354" s="94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IFERROR(VLOOKUP(B354,input_571100!L:R,7,FALSE),VLOOKUP(tables_571100!C354,input_571100!A:H,8,FALSE))</f>
        <v>370185</v>
      </c>
      <c r="P354" s="46">
        <f t="shared" ca="1" si="40"/>
        <v>8.3828124999468442E-3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input_571100!A$2</f>
        <v>571100</v>
      </c>
      <c r="B355" s="98">
        <v>1335</v>
      </c>
      <c r="C355" s="7" t="str">
        <f t="shared" si="38"/>
        <v>Premium5R3less</v>
      </c>
      <c r="D355" s="94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IFERROR(VLOOKUP(B355,input_571100!L:R,7,FALSE),VLOOKUP(tables_571100!C355,input_571100!A:H,8,FALSE))</f>
        <v>42550</v>
      </c>
      <c r="P355" s="46">
        <f t="shared" ca="1" si="40"/>
        <v>9.6354166666055678E-4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customFormat="1" ht="21" customHeight="1" x14ac:dyDescent="0.15">
      <c r="A2" s="2">
        <v>571103</v>
      </c>
      <c r="B2" s="98">
        <v>849</v>
      </c>
      <c r="C2" s="7" t="str">
        <f t="shared" ref="C2:C4" si="0">D2&amp;J2&amp;E2&amp;F2&amp;G2</f>
        <v>PremiumSS6R5only</v>
      </c>
      <c r="D2" s="94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燦然たる天使 メタトロン・ラヴァ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0.33333333333333331</v>
      </c>
      <c r="Q2" s="101">
        <v>99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customFormat="1" ht="21" customHeight="1" x14ac:dyDescent="0.15">
      <c r="A3" s="2">
        <v>571103</v>
      </c>
      <c r="B3" s="98">
        <v>1245</v>
      </c>
      <c r="C3" s="7" t="str">
        <f t="shared" si="0"/>
        <v>PremiumSS6R5only</v>
      </c>
      <c r="D3" s="94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甲火の特殊忍 猿飛佐助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>
        <f>VLOOKUP(B3,[1]characters!$A:$G,7,FALSE)</f>
        <v>0</v>
      </c>
      <c r="O3" s="45">
        <v>10</v>
      </c>
      <c r="P3" s="46">
        <f>O3/SUM(O:O)</f>
        <v>0.33333333333333331</v>
      </c>
      <c r="Q3" s="101">
        <v>99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customFormat="1" ht="21" customHeight="1" x14ac:dyDescent="0.15">
      <c r="A4" s="2">
        <v>571103</v>
      </c>
      <c r="B4" s="98">
        <v>1261</v>
      </c>
      <c r="C4" s="7" t="str">
        <f t="shared" si="0"/>
        <v>PremiumSS6R5only</v>
      </c>
      <c r="D4" s="94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燃雷の鎚撃 トール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god</v>
      </c>
      <c r="N4" s="7">
        <f>VLOOKUP(B4,[1]characters!$A:$G,7,FALSE)</f>
        <v>0</v>
      </c>
      <c r="O4" s="45">
        <v>10</v>
      </c>
      <c r="P4" s="46">
        <f>O4/SUM(O:O)</f>
        <v>0.33333333333333331</v>
      </c>
      <c r="Q4" s="101">
        <v>99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customFormat="1" ht="21" customHeight="1" x14ac:dyDescent="0.15"/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/>
      <c r="B2" s="97"/>
      <c r="C2" s="78"/>
      <c r="D2" s="78"/>
      <c r="E2" s="78"/>
      <c r="F2" s="78"/>
      <c r="G2" s="2"/>
      <c r="H2" s="2"/>
      <c r="I2" s="2"/>
      <c r="J2" s="2"/>
      <c r="K2" s="2"/>
      <c r="L2" s="2"/>
      <c r="M2" s="2"/>
      <c r="N2" s="78"/>
      <c r="O2" s="78"/>
      <c r="P2" s="78"/>
      <c r="Q2" s="79"/>
    </row>
    <row r="3" spans="1:17" ht="22" customHeight="1" x14ac:dyDescent="0.15">
      <c r="A3" s="99"/>
      <c r="B3" s="97"/>
      <c r="C3" s="2"/>
      <c r="D3" s="2"/>
      <c r="E3" s="2"/>
      <c r="F3" s="78"/>
      <c r="G3" s="2"/>
      <c r="H3" s="2"/>
      <c r="I3" s="2"/>
      <c r="J3" s="2"/>
      <c r="K3" s="2"/>
      <c r="L3" s="2"/>
      <c r="M3" s="2"/>
      <c r="N3" s="78"/>
      <c r="O3" s="78"/>
      <c r="P3" s="78"/>
      <c r="Q3" s="79"/>
    </row>
    <row r="4" spans="1:17" ht="21" customHeight="1" x14ac:dyDescent="0.15">
      <c r="A4" s="99"/>
      <c r="B4" s="97"/>
      <c r="C4" s="2"/>
      <c r="D4" s="2"/>
      <c r="E4" s="2"/>
      <c r="F4" s="78"/>
      <c r="G4" s="2"/>
      <c r="H4" s="2"/>
      <c r="I4" s="2"/>
      <c r="J4" s="2"/>
      <c r="K4" s="2"/>
      <c r="L4" s="2"/>
      <c r="M4" s="2"/>
      <c r="N4" s="78"/>
      <c r="O4" s="78"/>
      <c r="P4" s="78"/>
      <c r="Q4" s="79"/>
    </row>
    <row r="5" spans="1:17" customFormat="1" ht="21" customHeight="1" x14ac:dyDescent="0.15"/>
    <row r="6" spans="1:17" customFormat="1" ht="21" customHeight="1" x14ac:dyDescent="0.15"/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input_571100</vt:lpstr>
      <vt:lpstr>tables_571100</vt:lpstr>
      <vt:lpstr>tables_settle_571103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2017-04-13T02:34:40Z</dcterms:modified>
</cp:coreProperties>
</file>