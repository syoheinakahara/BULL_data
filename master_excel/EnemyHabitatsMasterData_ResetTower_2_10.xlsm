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1680" yWindow="460" windowWidth="24580" windowHeight="140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5" i="10" l="1"/>
  <c r="AD35" i="10"/>
  <c r="O7" i="21"/>
  <c r="I7" i="21"/>
  <c r="G7" i="21"/>
  <c r="F7" i="21"/>
  <c r="D7" i="21"/>
  <c r="C7" i="21"/>
  <c r="O6" i="21"/>
  <c r="I6" i="21"/>
  <c r="G6" i="21"/>
  <c r="F6" i="21"/>
  <c r="D6" i="21"/>
  <c r="C6" i="21"/>
  <c r="O5" i="21"/>
  <c r="I5" i="21"/>
  <c r="G5" i="21"/>
  <c r="F5" i="21"/>
  <c r="D5" i="21"/>
  <c r="C5" i="21"/>
  <c r="O4" i="21"/>
  <c r="I4" i="21"/>
  <c r="G4" i="21"/>
  <c r="F4" i="21"/>
  <c r="D4" i="21"/>
  <c r="C4" i="21"/>
  <c r="O3" i="21"/>
  <c r="I3" i="21"/>
  <c r="G3" i="21"/>
  <c r="F3" i="21"/>
  <c r="D3" i="21"/>
  <c r="C3" i="21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J28" i="1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J19" i="11"/>
  <c r="O13" i="9"/>
  <c r="N13" i="9"/>
  <c r="M13" i="9"/>
  <c r="L13" i="9"/>
  <c r="K13" i="9"/>
  <c r="J13" i="9"/>
  <c r="I13" i="9"/>
  <c r="H13" i="9"/>
  <c r="G13" i="9"/>
  <c r="E13" i="9"/>
  <c r="D13" i="9"/>
  <c r="A13" i="9"/>
  <c r="J18" i="11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J8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39" i="11"/>
  <c r="J38" i="11"/>
  <c r="J37" i="11"/>
  <c r="J36" i="11"/>
  <c r="J35" i="11"/>
  <c r="J34" i="11"/>
  <c r="J33" i="11"/>
  <c r="J32" i="11"/>
  <c r="J31" i="11"/>
  <c r="J30" i="11"/>
  <c r="J29" i="11"/>
  <c r="J27" i="11"/>
  <c r="J26" i="11"/>
  <c r="J25" i="11"/>
  <c r="J24" i="11"/>
  <c r="J23" i="11"/>
  <c r="J22" i="11"/>
  <c r="J21" i="11"/>
  <c r="J20" i="11"/>
  <c r="J17" i="11"/>
  <c r="J16" i="11"/>
  <c r="J15" i="11"/>
  <c r="J14" i="11"/>
  <c r="J13" i="11"/>
  <c r="J12" i="11"/>
  <c r="J11" i="11"/>
  <c r="J10" i="11"/>
  <c r="J9" i="11"/>
  <c r="J7" i="11"/>
  <c r="J6" i="11"/>
  <c r="J5" i="11"/>
  <c r="J4" i="11"/>
  <c r="J3" i="11"/>
  <c r="B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B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B33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B32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B31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B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B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B28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B27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B26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B2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B24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B23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B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B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B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B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B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B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B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B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B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B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B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B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B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G2" i="2"/>
  <c r="A2" i="2"/>
  <c r="G3" i="2"/>
  <c r="A3" i="2"/>
  <c r="J3" i="1"/>
  <c r="I3" i="1"/>
  <c r="D3" i="1"/>
  <c r="F3" i="1"/>
  <c r="E3" i="1"/>
  <c r="A3" i="1"/>
  <c r="H3" i="2"/>
  <c r="E3" i="2"/>
  <c r="D3" i="2"/>
  <c r="H2" i="1"/>
  <c r="B3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2" i="21"/>
  <c r="J2" i="11"/>
  <c r="E2" i="9"/>
  <c r="B2" i="10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<sst xmlns="http://schemas.openxmlformats.org/spreadsheetml/2006/main" count="755" uniqueCount="344">
  <si>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</si>
  <si>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</si>
  <si>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</si>
  <si>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</si>
  <si>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</si>
  <si>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</si>
  <si>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</si>
  <si>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</si>
  <si>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</si>
  <si>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</si>
  <si>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</si>
  <si>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</si>
  <si>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</si>
  <si>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</si>
  <si>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</si>
  <si>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</si>
  <si>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</si>
  <si>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</si>
  <si>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</si>
  <si>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</si>
  <si>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</si>
  <si>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</si>
  <si>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</si>
  <si>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</si>
  <si>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</si>
  <si>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</si>
  <si>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</si>
  <si>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</si>
  <si>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</si>
  <si>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</si>
  <si>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</si>
  <si>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</si>
  <si>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</si>
  <si>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</si>
  <si>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</si>
  <si>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</si>
  <si>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</si>
  <si>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</si>
  <si>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</si>
  <si>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</si>
  <si>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</si>
  <si>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</si>
  <si>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</si>
  <si>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</si>
  <si>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</si>
  <si>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</si>
  <si>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</si>
  <si>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</si>
  <si>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</si>
  <si>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</si>
  <si>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</si>
  <si>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</si>
  <si>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</si>
  <si>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</si>
  <si>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</si>
  <si>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</si>
  <si>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</si>
  <si>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</si>
  <si>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</si>
  <si>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</si>
  <si>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</si>
  <si>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</si>
  <si>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</si>
  <si>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</si>
  <si>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</si>
  <si>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</si>
  <si>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</si>
  <si>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</si>
  <si>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</si>
  <si>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</si>
  <si>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</si>
  <si>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</si>
  <si>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</si>
  <si>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</si>
  <si>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</si>
  <si>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</si>
  <si>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</si>
  <si>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</si>
  <si>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</si>
  <si>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</si>
  <si>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</si>
  <si>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</si>
  <si>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</si>
  <si>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</si>
  <si>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</si>
  <si>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</si>
  <si>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</si>
  <si>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</si>
  <si>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</si>
  <si>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</si>
  <si>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</si>
  <si>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</si>
  <si>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</si>
  <si>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</si>
  <si>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</si>
  <si>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</si>
  <si>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</si>
  <si>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</si>
  <si>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</si>
  <si>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</si>
  <si>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</si>
  <si>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</si>
  <si>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</si>
  <si>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</si>
  <si>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</si>
  <si>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</si>
  <si>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</si>
  <si>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</si>
  <si>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</si>
  <si>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</si>
  <si>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</si>
  <si>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</si>
  <si>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</si>
  <si>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</si>
  <si>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</si>
  <si>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</si>
  <si>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</si>
  <si>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</si>
  <si>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</si>
  <si>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</si>
  <si>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</si>
  <si>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</si>
  <si>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</si>
  <si>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</si>
  <si>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</si>
  <si>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</si>
  <si>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</si>
  <si>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</si>
  <si>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</si>
  <si>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</si>
  <si>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</si>
  <si>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</si>
  <si>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</si>
  <si>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</si>
  <si>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</si>
  <si>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</si>
  <si>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</si>
  <si>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</si>
  <si>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</si>
  <si>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</si>
  <si>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</si>
  <si>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</si>
  <si>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</si>
  <si>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</si>
  <si>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</si>
  <si>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</si>
  <si>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</si>
  <si>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</si>
  <si>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</si>
  <si>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</si>
  <si>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</si>
  <si>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</si>
  <si>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</si>
  <si>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</si>
  <si>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</si>
  <si>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</si>
  <si>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</si>
  <si>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</si>
  <si>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</si>
  <si>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</si>
  <si>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</si>
  <si>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</si>
  <si>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</si>
  <si>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</si>
  <si>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</si>
  <si>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</si>
  <si>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</si>
  <si>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</si>
  <si>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</si>
  <si>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</si>
  <si>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</si>
  <si>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</si>
  <si>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</si>
  <si>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</si>
  <si>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</si>
  <si>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</si>
  <si>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</si>
  <si>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</si>
  <si>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</si>
  <si>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</si>
  <si>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</si>
  <si>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</si>
  <si>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</si>
  <si>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</si>
  <si>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</si>
  <si>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</si>
  <si>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</si>
  <si>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</si>
  <si>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</si>
  <si>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</si>
  <si>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</si>
  <si>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</si>
  <si>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</si>
  <si>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</si>
  <si>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</si>
  <si>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</si>
  <si>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</si>
  <si>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</si>
  <si>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</si>
  <si>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</si>
  <si>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</si>
  <si>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</si>
  <si>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</si>
  <si>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</si>
  <si>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</si>
  <si>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</si>
  <si>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</si>
  <si>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</si>
  <si>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</si>
  <si>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</si>
  <si>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</si>
  <si>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</si>
  <si>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</si>
  <si>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</si>
  <si>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</si>
  <si>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</si>
  <si>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</si>
  <si>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</si>
  <si>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</si>
  <si>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</si>
  <si>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</si>
  <si>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</si>
  <si>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</si>
  <si>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</si>
  <si>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</si>
  <si>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</si>
  <si>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</si>
  <si>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</si>
  <si>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</si>
  <si>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</si>
  <si>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</si>
  <si>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</si>
  <si>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</si>
  <si>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</si>
  <si>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</si>
  <si>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</si>
  <si>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</si>
  <si>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</si>
  <si>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</si>
  <si>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</si>
  <si>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</si>
  <si>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</si>
  <si>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</si>
  <si>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</si>
  <si>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</si>
  <si>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</si>
  <si>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</si>
  <si>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</si>
  <si>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</si>
  <si>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</si>
  <si>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</si>
  <si>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</si>
  <si>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</si>
  <si>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</si>
  <si>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13400_10</t>
    <phoneticPr fontId="5"/>
  </si>
  <si>
    <t>ハッピー</t>
    <phoneticPr fontId="5"/>
  </si>
  <si>
    <t>予備枠</t>
    <rPh sb="0" eb="3">
      <t>ヨｂ</t>
    </rPh>
    <phoneticPr fontId="5"/>
  </si>
  <si>
    <t>ローズ1</t>
    <phoneticPr fontId="5"/>
  </si>
  <si>
    <t>ローズ2</t>
    <phoneticPr fontId="5"/>
  </si>
  <si>
    <t>ローズ3</t>
    <phoneticPr fontId="5"/>
  </si>
  <si>
    <t>[effect:sp_boost, target:unit_all, val:99, animation:sp_boost_one03]</t>
    <phoneticPr fontId="5"/>
  </si>
  <si>
    <t>[effect:nothing]</t>
    <phoneticPr fontId="5"/>
  </si>
  <si>
    <t>[effect:degrade_unit, target:unit_all, turn:3, status:action, val:2, calc:add, animation:enemy_tap_down]</t>
    <phoneticPr fontId="5"/>
  </si>
  <si>
    <t>[effect:spread, val:2.0],[effect:spread, val:2.0],[effect:spread, val:2.0],[effect:spread, val:2.0],[effect:spread, val:2.0]</t>
    <phoneticPr fontId="5"/>
  </si>
  <si>
    <t>[effect:fix_speed, target:myself, turn:1],[effect:sleep, target:unit_all, turn:2, rate:1, calc_type:target_one]</t>
    <phoneticPr fontId="5"/>
  </si>
  <si>
    <t>old</t>
    <phoneticPr fontId="5"/>
  </si>
  <si>
    <t>[effect:spread, val:0.2],[effect:force_change_block, new_block:damage, target:block_all, ignore01:block_positive, ignore02:block_negative, count:6, val:0.1]</t>
    <phoneticPr fontId="5"/>
  </si>
  <si>
    <t>[effect:spread, val:0.2],[effect:force_change_block, new_block:jammer, target:block_all, ignore01:block_positive, ignore02:block_negative, count:6, val:0]</t>
    <phoneticPr fontId="5"/>
  </si>
  <si>
    <t>[effect:damage_abnormal, target:unit_one, val:1, status:virus, turn:5, val_abnormal:0.5, calc:mul, animation:enemy_virus]</t>
    <phoneticPr fontId="5"/>
  </si>
  <si>
    <t>[effect:break_attack, target:unit_all, val:0.05, lowest_val:1000, count:-1, color:red, block01:jammer]</t>
    <phoneticPr fontId="5"/>
  </si>
  <si>
    <t>[effect:damage_abnormal, target:unit_one, val:1, status:virus, turn:5, val_abnormal:0.5, calc:mul, animation:enemy_virus]</t>
    <phoneticPr fontId="5"/>
  </si>
  <si>
    <t>bit</t>
    <phoneticPr fontId="5"/>
  </si>
  <si>
    <t>unit</t>
  </si>
  <si>
    <t>link</t>
  </si>
  <si>
    <t>不安そうな顔をしている</t>
    <rPh sb="0" eb="2">
      <t>フアｎ</t>
    </rPh>
    <rPh sb="5" eb="6">
      <t>カ</t>
    </rPh>
    <phoneticPr fontId="5"/>
  </si>
  <si>
    <t>全ユニットのスキルゲージを上昇</t>
    <rPh sb="0" eb="1">
      <t>ゼｎ</t>
    </rPh>
    <rPh sb="13" eb="15">
      <t>ジョ</t>
    </rPh>
    <phoneticPr fontId="5"/>
  </si>
  <si>
    <t>ハッピー！</t>
    <phoneticPr fontId="5"/>
  </si>
  <si>
    <t>ハッピー…</t>
    <phoneticPr fontId="5"/>
  </si>
  <si>
    <t>ハッピー…！</t>
    <phoneticPr fontId="5"/>
  </si>
  <si>
    <t>何かに怯えるように逃げ去っていった…</t>
    <rPh sb="0" eb="1">
      <t>ナｎ</t>
    </rPh>
    <rPh sb="3" eb="4">
      <t>オｂ</t>
    </rPh>
    <rPh sb="9" eb="10">
      <t>ニｇ</t>
    </rPh>
    <phoneticPr fontId="5"/>
  </si>
  <si>
    <t>もう嫌…！</t>
    <rPh sb="2" eb="3">
      <t>イｙ</t>
    </rPh>
    <phoneticPr fontId="5"/>
  </si>
  <si>
    <t>もう許さないんだから！</t>
    <phoneticPr fontId="5"/>
  </si>
  <si>
    <t>いなくなっちゃえ！！</t>
    <phoneticPr fontId="5"/>
  </si>
  <si>
    <t>嫌っ…嫌嫌嫌！！</t>
    <rPh sb="0" eb="6">
      <t>イヤイヤイヤイヤ</t>
    </rPh>
    <phoneticPr fontId="5"/>
  </si>
  <si>
    <t>あんたたちなんか…！</t>
    <phoneticPr fontId="5"/>
  </si>
  <si>
    <t>ああああっ！！</t>
    <phoneticPr fontId="5"/>
  </si>
  <si>
    <t>消し飛んじゃえっ…！！</t>
    <rPh sb="0" eb="1">
      <t>ケｓ</t>
    </rPh>
    <phoneticPr fontId="5"/>
  </si>
  <si>
    <t>ふふ…アハハッ…</t>
    <phoneticPr fontId="5"/>
  </si>
  <si>
    <t>壊してあげる…！</t>
    <rPh sb="0" eb="1">
      <t>コワｓ</t>
    </rPh>
    <phoneticPr fontId="5"/>
  </si>
  <si>
    <t>これで排除するわ…</t>
    <rPh sb="3" eb="5">
      <t>ハイｊｙ</t>
    </rPh>
    <phoneticPr fontId="5"/>
  </si>
  <si>
    <t>もうやめてよね…</t>
    <phoneticPr fontId="5"/>
  </si>
  <si>
    <t>もう知らない…知らない…</t>
    <rPh sb="2" eb="3">
      <t>シラナ</t>
    </rPh>
    <rPh sb="7" eb="8">
      <t>シラｎ</t>
    </rPh>
    <phoneticPr fontId="5"/>
  </si>
  <si>
    <t>もう飽きちゃったよ…消えて…</t>
    <rPh sb="10" eb="11">
      <t>キ</t>
    </rPh>
    <phoneticPr fontId="5"/>
  </si>
  <si>
    <t>もう終わりにしてあげる…</t>
    <rPh sb="2" eb="3">
      <t>オワｒ</t>
    </rPh>
    <phoneticPr fontId="5"/>
  </si>
  <si>
    <t>あたしおかしくなっちゃったのかな…</t>
    <phoneticPr fontId="5"/>
  </si>
  <si>
    <t>なんだかおかしな気分…</t>
    <phoneticPr fontId="5"/>
  </si>
  <si>
    <t>singleonly</t>
    <phoneticPr fontId="5"/>
  </si>
  <si>
    <t>ローズはお邪魔パネルを吸収して様々な
効果のスキルを使用してきます
お邪魔パネルは盤面にできる限り
残らないよう処理するようにしましょう</t>
    <phoneticPr fontId="5"/>
  </si>
  <si>
    <t>ローズは各ゲージで一度ずつ回復力を
大きく下げるスキルを使用してきます
回復力には常に気を配っておきましょう</t>
    <phoneticPr fontId="5"/>
  </si>
  <si>
    <t>ローズはウィルス・暗闇・ダメージパネル・
パネル生成延長など様々な妨害を使います
それぞれ対応できるユニットを編成すると
有利に攻略ができるでしょう</t>
    <phoneticPr fontId="5"/>
  </si>
  <si>
    <t>[effect:tolerance, target:myself, turn:-1, count:-1, tolerance_effect:all, animation:enemy_tolerance],[effect:reduction, target:myself, reduction_target:unit_blue/not, turn:-1, val:0.9, animation:reduction_one03],[effect:fix_speed, target:myself, turn:1]</t>
    <phoneticPr fontId="5"/>
  </si>
  <si>
    <t>状態異常耐性+
青属性以外のダメージ90%軽減</t>
    <rPh sb="8" eb="9">
      <t>アオ</t>
    </rPh>
    <rPh sb="11" eb="13">
      <t>イガ</t>
    </rPh>
    <phoneticPr fontId="5"/>
  </si>
  <si>
    <t>5ターン全ユニットの回復力80%DOWN</t>
    <rPh sb="4" eb="5">
      <t>ゼｎ</t>
    </rPh>
    <phoneticPr fontId="5"/>
  </si>
  <si>
    <t>[effect:damage_abnormal, target:unit_one, val:1, status:virus, turn:5, val_abnormal:0.5, calc:mul, animation:enemy_virus]</t>
    <phoneticPr fontId="5"/>
  </si>
  <si>
    <t>5ターンウィルス+単体攻撃</t>
    <phoneticPr fontId="5"/>
  </si>
  <si>
    <t>お邪魔パネルを吸収して全体攻撃</t>
    <rPh sb="11" eb="15">
      <t>ゼｎ</t>
    </rPh>
    <phoneticPr fontId="5"/>
  </si>
  <si>
    <t>5ターン全ユニットの回復力80%DOWN+
1ターン暗闇</t>
    <rPh sb="26" eb="28">
      <t>クラヤｍ</t>
    </rPh>
    <phoneticPr fontId="5"/>
  </si>
  <si>
    <t>[effect:degrade_unit, target:unit_all, turn:3, status:action, val:2, calc:add, animation:enemy_tap_down]</t>
    <phoneticPr fontId="5"/>
  </si>
  <si>
    <t>[effect:spread, val:2.0],[effect:spread, val:2.0],[effect:spread, val:2.0],[effect:spread, val:2.0],[effect:spread, val:2.0]</t>
    <phoneticPr fontId="5"/>
  </si>
  <si>
    <t>3ターンタップ回数を2DOWN
【次のターン超大ダメージの5回連続全体攻撃】</t>
    <rPh sb="17" eb="18">
      <t>ツｇ</t>
    </rPh>
    <rPh sb="22" eb="23">
      <t>チョ</t>
    </rPh>
    <rPh sb="23" eb="24">
      <t>ダイ</t>
    </rPh>
    <rPh sb="30" eb="31">
      <t>カ</t>
    </rPh>
    <rPh sb="31" eb="37">
      <t>レンゾクゼンタイコ</t>
    </rPh>
    <phoneticPr fontId="5"/>
  </si>
  <si>
    <t>超大ダメージの5回連続全体攻撃</t>
    <phoneticPr fontId="5"/>
  </si>
  <si>
    <t>[effect:tolerance, target:myself, turn:-1, count:-1, tolerance_effect:all, animation:enemy_tolerance],[effect:crash_condition, target:unit_all, turn:6, val:4, animation:enemy_crash_extend],[effect:fix_speed, target:myself, turn:1]</t>
    <phoneticPr fontId="5"/>
  </si>
  <si>
    <t>[effect:tolerance, target:myself, turn:-1, count:-1, tolerance_effect:all, animation:enemy_tolerance],[effect:crash_condition, target:unit_all, turn:6, val:4, animation:enemy_crash_extend]    ,[effect:fix_speed, target:myself, turn:1]</t>
    <phoneticPr fontId="5"/>
  </si>
  <si>
    <t>状態異常耐性+
6ターンCパネル生成延長(効果特大)</t>
    <phoneticPr fontId="5"/>
  </si>
  <si>
    <t>[effect:break_enchance_enemy, target:myself, val:0.15, lowest_val:0.1, count:-1, status:attack, turn:-1, block01:jammer, calc:mul, animation:enemy_enhance_attack]</t>
    <phoneticPr fontId="5"/>
  </si>
  <si>
    <t>お邪魔パネルを吸収して攻撃力UP</t>
    <rPh sb="11" eb="14">
      <t>コウゲｋ</t>
    </rPh>
    <phoneticPr fontId="5"/>
  </si>
  <si>
    <t>あんたたち、何しに来たの？</t>
    <rPh sb="6" eb="7">
      <t>ナｎ</t>
    </rPh>
    <phoneticPr fontId="5"/>
  </si>
  <si>
    <t>気安く触らないでよ！</t>
    <rPh sb="0" eb="2">
      <t>キヤスｋ</t>
    </rPh>
    <rPh sb="3" eb="4">
      <t>サワラナ</t>
    </rPh>
    <phoneticPr fontId="5"/>
  </si>
  <si>
    <t>ちょっと動かないで！</t>
    <rPh sb="4" eb="5">
      <t>ウゴｋ</t>
    </rPh>
    <phoneticPr fontId="5"/>
  </si>
  <si>
    <t>変なことしちゃヤダよ！</t>
    <rPh sb="0" eb="1">
      <t>ヘｎ</t>
    </rPh>
    <phoneticPr fontId="5"/>
  </si>
  <si>
    <t>もう怒ったよー！</t>
    <rPh sb="2" eb="3">
      <t>オコｔｔ</t>
    </rPh>
    <phoneticPr fontId="5"/>
  </si>
  <si>
    <t>あんたたちなんてーっ！</t>
    <phoneticPr fontId="5"/>
  </si>
  <si>
    <t>complete</t>
  </si>
  <si>
    <t>ローズは女王と呼ばれる存在の一つです
人間をALICEにとっての外敵と認識しており
遊び半分で抹消するために近づきます</t>
    <phoneticPr fontId="5"/>
  </si>
  <si>
    <t>ローズは一時撤退しましたが
彼女はこの先も度々接触してくるでしょう
彼女の核が存在する最上階では
激しい戦いになることが予想されます</t>
    <phoneticPr fontId="5"/>
  </si>
  <si>
    <t>タワーオブザクイーンは女王が該当区画を
支配・統括するためにビルドした監視塔です
そびえ立つ巨影は正に恐怖の象徴と言えます</t>
    <phoneticPr fontId="5"/>
  </si>
  <si>
    <t>女王の監視塔</t>
    <phoneticPr fontId="5"/>
  </si>
  <si>
    <t>ローズの力</t>
    <phoneticPr fontId="5"/>
  </si>
  <si>
    <t>ローズの正体</t>
    <phoneticPr fontId="5"/>
  </si>
  <si>
    <t>単体攻撃+
ランダムでダメージパネルに最大6個変換</t>
    <rPh sb="22" eb="23">
      <t>コ</t>
    </rPh>
    <phoneticPr fontId="5"/>
  </si>
  <si>
    <t>単体攻撃+
ランダムでお邪魔パネルに最大6個変換</t>
    <rPh sb="21" eb="22">
      <t>コ</t>
    </rPh>
    <phoneticPr fontId="5"/>
  </si>
  <si>
    <t>全体攻撃+
ランダムでダメージパネルに最大6個変換</t>
    <rPh sb="0" eb="2">
      <t>ゼｎ</t>
    </rPh>
    <rPh sb="22" eb="23">
      <t>コ</t>
    </rPh>
    <phoneticPr fontId="5"/>
  </si>
  <si>
    <t>全体攻撃+
ランダムでお邪魔パネルに最大6個変換</t>
    <rPh sb="0" eb="2">
      <t>ゼｎ</t>
    </rPh>
    <rPh sb="21" eb="22">
      <t>コ</t>
    </rPh>
    <phoneticPr fontId="5"/>
  </si>
  <si>
    <t>[effect:rush, count:1, val:0.8],[effect:force_change_block, new_block:damage, target:block_all, ignore01:block_positive, ignore02:block_negative, count:6, val:0.1]</t>
    <phoneticPr fontId="5"/>
  </si>
  <si>
    <t>[effect:rush, count:1, val:0.8],[effect:force_change_block, new_block:jammer, target:block_all, ignore01:block_positive, ignore02:block_negative, count:6, val:0]</t>
    <phoneticPr fontId="5"/>
  </si>
  <si>
    <t>[effect:rush, count:1, val:0.8],[effect:force_change_block, new_block:jammer, target:block_all, ignore01:block_positive, ignore02:block_negative, count:6, val:0]</t>
    <phoneticPr fontId="5"/>
  </si>
  <si>
    <t>遊ぶの楽しくなってきちゃった…
また後でね…</t>
    <phoneticPr fontId="5"/>
  </si>
  <si>
    <t>[effect:suicide, val:1, dead_type:escape]</t>
    <phoneticPr fontId="5"/>
  </si>
  <si>
    <t>[effect:enemy_message, val1:1.7, val2:2.7 ,dead_type:escape]</t>
    <phoneticPr fontId="5"/>
  </si>
  <si>
    <t>[effect:degrade_unit, target:unit_all, turn:5, status:heal, val:0.8, calc:mul, animation:degrade_unit_all_heal]</t>
    <phoneticPr fontId="5"/>
  </si>
  <si>
    <t>[effect:degrade_unit, target:unit_all, turn:5, status:heal, val:0.8, calc:mul, animation:degrade_unit_all_heal],[effect:dark, target:unit_all, turn:1, animation:enemy_dark]</t>
    <phoneticPr fontId="5"/>
  </si>
  <si>
    <t>[effect:degrade_unit, target:unit_all, turn:5, status:heal, val:0.8, calc:mul, animation:degrade_unit_all_heal],[effect:dark, target:unit_all, turn:1, animation:enemy_dark]</t>
    <phoneticPr fontId="5"/>
  </si>
  <si>
    <t>[effect:break_enchance_enemy, target:myself, val:300, lowest_val:1000, count:-1, status:defense, turn:2, block01:jammer, calc:add, animation:enemy_enhance_defense]</t>
    <phoneticPr fontId="5"/>
  </si>
  <si>
    <t>2ターンお邪魔パネルを吸収して防御力UP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</si>
</sst>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1431</v>
          </cell>
        </row>
        <row r="1341">
          <cell r="A1341">
            <v>1432</v>
          </cell>
        </row>
        <row r="1342">
          <cell r="A1342">
            <v>1466</v>
          </cell>
        </row>
        <row r="1343">
          <cell r="A1343">
            <v>1467</v>
          </cell>
        </row>
        <row r="1344">
          <cell r="A1344">
            <v>1468</v>
          </cell>
        </row>
        <row r="1345">
          <cell r="A1345">
            <v>1469</v>
          </cell>
        </row>
        <row r="1346">
          <cell r="A1346">
            <v>1470</v>
          </cell>
        </row>
        <row r="1347">
          <cell r="A1347">
            <v>1471</v>
          </cell>
        </row>
        <row r="1348">
          <cell r="A1348">
            <v>1495</v>
          </cell>
        </row>
        <row r="1349">
          <cell r="A1349">
            <v>1496</v>
          </cell>
        </row>
        <row r="1350">
          <cell r="A1350">
            <v>1497</v>
          </cell>
        </row>
        <row r="1351">
          <cell r="A1351">
            <v>1498</v>
          </cell>
        </row>
        <row r="1352">
          <cell r="A1352">
            <v>1499</v>
          </cell>
        </row>
        <row r="1353">
          <cell r="A1353">
            <v>1500</v>
          </cell>
        </row>
        <row r="1354">
          <cell r="A1354">
            <v>1501</v>
          </cell>
        </row>
        <row r="1355">
          <cell r="A1355">
            <v>1502</v>
          </cell>
        </row>
        <row r="1356">
          <cell r="A1356">
            <v>1503</v>
          </cell>
        </row>
        <row r="1357">
          <cell r="A1357">
            <v>1504</v>
          </cell>
        </row>
        <row r="1358">
          <cell r="A1358">
            <v>1505</v>
          </cell>
        </row>
        <row r="1359">
          <cell r="A1359">
            <v>1506</v>
          </cell>
        </row>
        <row r="1360">
          <cell r="A1360">
            <v>1507</v>
          </cell>
        </row>
        <row r="1361">
          <cell r="A1361">
            <v>1508</v>
          </cell>
        </row>
        <row r="1362">
          <cell r="A1362">
            <v>1509</v>
          </cell>
        </row>
        <row r="1363">
          <cell r="A1363">
            <v>1510</v>
          </cell>
        </row>
        <row r="1364">
          <cell r="A1364">
            <v>1511</v>
          </cell>
        </row>
        <row r="1365">
          <cell r="A1365">
            <v>1512</v>
          </cell>
        </row>
        <row r="1366">
          <cell r="A1366">
            <v>1523</v>
          </cell>
        </row>
        <row r="1367">
          <cell r="A1367">
            <v>1524</v>
          </cell>
        </row>
        <row r="1368">
          <cell r="A1368">
            <v>1525</v>
          </cell>
        </row>
        <row r="1369">
          <cell r="A1369">
            <v>1526</v>
          </cell>
        </row>
        <row r="1370">
          <cell r="A1370">
            <v>5001</v>
          </cell>
        </row>
        <row r="1371">
          <cell r="A1371">
            <v>5002</v>
          </cell>
        </row>
        <row r="1372">
          <cell r="A1372">
            <v>5003</v>
          </cell>
        </row>
        <row r="1373">
          <cell r="A1373">
            <v>5004</v>
          </cell>
        </row>
        <row r="1374">
          <cell r="A1374">
            <v>5005</v>
          </cell>
        </row>
        <row r="1375">
          <cell r="A1375">
            <v>5006</v>
          </cell>
        </row>
        <row r="1376">
          <cell r="A1376">
            <v>5007</v>
          </cell>
        </row>
        <row r="1377">
          <cell r="A1377">
            <v>5008</v>
          </cell>
        </row>
        <row r="1378">
          <cell r="A1378">
            <v>6001</v>
          </cell>
        </row>
        <row r="1379">
          <cell r="A1379">
            <v>6002</v>
          </cell>
        </row>
        <row r="1380">
          <cell r="A1380">
            <v>6003</v>
          </cell>
        </row>
        <row r="1381">
          <cell r="A1381">
            <v>6004</v>
          </cell>
        </row>
        <row r="1382">
          <cell r="A1382">
            <v>6005</v>
          </cell>
        </row>
        <row r="1383">
          <cell r="A1383">
            <v>6006</v>
          </cell>
        </row>
        <row r="1384">
          <cell r="A1384">
            <v>6007</v>
          </cell>
        </row>
        <row r="1385">
          <cell r="A1385">
            <v>6008</v>
          </cell>
        </row>
        <row r="1386">
          <cell r="A1386">
            <v>6009</v>
          </cell>
        </row>
        <row r="1387">
          <cell r="A1387">
            <v>6010</v>
          </cell>
        </row>
        <row r="1388">
          <cell r="A1388">
            <v>6011</v>
          </cell>
        </row>
        <row r="1389">
          <cell r="A1389">
            <v>6012</v>
          </cell>
        </row>
        <row r="1390">
          <cell r="A1390">
            <v>6013</v>
          </cell>
        </row>
        <row r="1391">
          <cell r="A1391">
            <v>6014</v>
          </cell>
        </row>
        <row r="1392">
          <cell r="A1392">
            <v>6015</v>
          </cell>
        </row>
        <row r="1393">
          <cell r="A1393">
            <v>6016</v>
          </cell>
        </row>
        <row r="1394">
          <cell r="A1394">
            <v>6017</v>
          </cell>
        </row>
        <row r="1395">
          <cell r="A1395">
            <v>6018</v>
          </cell>
        </row>
        <row r="1396">
          <cell r="A1396">
            <v>6019</v>
          </cell>
        </row>
        <row r="1397">
          <cell r="A1397">
            <v>6020</v>
          </cell>
        </row>
        <row r="1398">
          <cell r="A1398">
            <v>8001</v>
          </cell>
        </row>
        <row r="1399">
          <cell r="A1399">
            <v>8002</v>
          </cell>
        </row>
        <row r="1400">
          <cell r="A1400">
            <v>8003</v>
          </cell>
        </row>
        <row r="1401">
          <cell r="A1401">
            <v>8004</v>
          </cell>
        </row>
        <row r="1402">
          <cell r="A1402">
            <v>8005</v>
          </cell>
        </row>
        <row r="1403">
          <cell r="A1403">
            <v>8006</v>
          </cell>
        </row>
        <row r="1404">
          <cell r="A1404">
            <v>8007</v>
          </cell>
        </row>
        <row r="1405">
          <cell r="A1405">
            <v>8008</v>
          </cell>
        </row>
        <row r="1406">
          <cell r="A1406">
            <v>8009</v>
          </cell>
        </row>
        <row r="1407">
          <cell r="A1407">
            <v>8010</v>
          </cell>
        </row>
        <row r="1408">
          <cell r="A1408">
            <v>8011</v>
          </cell>
        </row>
        <row r="1409">
          <cell r="A1409">
            <v>8012</v>
          </cell>
        </row>
        <row r="1410">
          <cell r="A1410">
            <v>8013</v>
          </cell>
        </row>
        <row r="1411">
          <cell r="A1411">
            <v>8014</v>
          </cell>
        </row>
        <row r="1412">
          <cell r="A1412">
            <v>8015</v>
          </cell>
        </row>
        <row r="1413">
          <cell r="A1413">
            <v>8016</v>
          </cell>
        </row>
        <row r="1414">
          <cell r="A1414">
            <v>8017</v>
          </cell>
        </row>
        <row r="1415">
          <cell r="A1415">
            <v>8018</v>
          </cell>
        </row>
        <row r="1416">
          <cell r="A1416">
            <v>8019</v>
          </cell>
        </row>
        <row r="1417">
          <cell r="A1417">
            <v>8020</v>
          </cell>
        </row>
        <row r="1418">
          <cell r="A1418">
            <v>8021</v>
          </cell>
        </row>
        <row r="1419">
          <cell r="A1419">
            <v>8022</v>
          </cell>
        </row>
        <row r="1420">
          <cell r="A1420">
            <v>8023</v>
          </cell>
        </row>
        <row r="1421">
          <cell r="A1421">
            <v>8024</v>
          </cell>
        </row>
        <row r="1422">
          <cell r="A1422">
            <v>8025</v>
          </cell>
        </row>
        <row r="1423">
          <cell r="A1423">
            <v>8026</v>
          </cell>
        </row>
        <row r="1424">
          <cell r="A1424">
            <v>8027</v>
          </cell>
        </row>
        <row r="1425">
          <cell r="A1425">
            <v>8028</v>
          </cell>
        </row>
        <row r="1426">
          <cell r="A1426">
            <v>8029</v>
          </cell>
        </row>
        <row r="1427">
          <cell r="A1427">
            <v>8030</v>
          </cell>
        </row>
        <row r="1428">
          <cell r="A1428">
            <v>8031</v>
          </cell>
        </row>
        <row r="1429">
          <cell r="A1429">
            <v>8032</v>
          </cell>
        </row>
        <row r="1430">
          <cell r="A1430">
            <v>8033</v>
          </cell>
        </row>
        <row r="1431">
          <cell r="A1431">
            <v>8034</v>
          </cell>
        </row>
        <row r="1432">
          <cell r="A1432">
            <v>8035</v>
          </cell>
        </row>
        <row r="1433">
          <cell r="A1433">
            <v>8036</v>
          </cell>
        </row>
        <row r="1434">
          <cell r="A1434">
            <v>8037</v>
          </cell>
        </row>
        <row r="1435">
          <cell r="A1435">
            <v>8038</v>
          </cell>
        </row>
        <row r="1436">
          <cell r="A1436">
            <v>8039</v>
          </cell>
        </row>
        <row r="1437">
          <cell r="A1437">
            <v>8040</v>
          </cell>
        </row>
        <row r="1438">
          <cell r="A1438">
            <v>8041</v>
          </cell>
        </row>
        <row r="1439">
          <cell r="A1439">
            <v>8042</v>
          </cell>
        </row>
        <row r="1440">
          <cell r="A1440">
            <v>8043</v>
          </cell>
        </row>
        <row r="1441">
          <cell r="A1441">
            <v>8044</v>
          </cell>
        </row>
        <row r="1442">
          <cell r="A1442">
            <v>8045</v>
          </cell>
        </row>
        <row r="1443">
          <cell r="A1443">
            <v>8046</v>
          </cell>
        </row>
        <row r="1444">
          <cell r="A1444">
            <v>8047</v>
          </cell>
        </row>
        <row r="1445">
          <cell r="A1445">
            <v>8048</v>
          </cell>
        </row>
        <row r="1446">
          <cell r="A1446">
            <v>8049</v>
          </cell>
        </row>
        <row r="1447">
          <cell r="A1447">
            <v>8050</v>
          </cell>
        </row>
        <row r="1448">
          <cell r="A1448">
            <v>8051</v>
          </cell>
        </row>
        <row r="1449">
          <cell r="A1449">
            <v>8052</v>
          </cell>
        </row>
        <row r="1450">
          <cell r="A1450">
            <v>8053</v>
          </cell>
        </row>
        <row r="1451">
          <cell r="A1451">
            <v>8054</v>
          </cell>
        </row>
        <row r="1452">
          <cell r="A1452">
            <v>8055</v>
          </cell>
        </row>
        <row r="1453">
          <cell r="A1453">
            <v>8056</v>
          </cell>
        </row>
        <row r="1454">
          <cell r="A1454">
            <v>8057</v>
          </cell>
        </row>
        <row r="1455">
          <cell r="A1455">
            <v>8058</v>
          </cell>
        </row>
        <row r="1456">
          <cell r="A1456">
            <v>8059</v>
          </cell>
        </row>
        <row r="1457">
          <cell r="A1457">
            <v>8060</v>
          </cell>
        </row>
        <row r="1458">
          <cell r="A1458">
            <v>8061</v>
          </cell>
        </row>
        <row r="1459">
          <cell r="A1459">
            <v>8062</v>
          </cell>
        </row>
        <row r="1460">
          <cell r="A1460">
            <v>8063</v>
          </cell>
        </row>
        <row r="1461">
          <cell r="A1461">
            <v>8064</v>
          </cell>
        </row>
        <row r="1462">
          <cell r="A1462">
            <v>8065</v>
          </cell>
        </row>
        <row r="1463">
          <cell r="A1463">
            <v>8066</v>
          </cell>
        </row>
        <row r="1464">
          <cell r="A1464">
            <v>8067</v>
          </cell>
        </row>
        <row r="1465">
          <cell r="A1465">
            <v>8068</v>
          </cell>
        </row>
        <row r="1466">
          <cell r="A1466">
            <v>8069</v>
          </cell>
        </row>
        <row r="1467">
          <cell r="A1467">
            <v>8070</v>
          </cell>
        </row>
        <row r="1468">
          <cell r="A1468">
            <v>8071</v>
          </cell>
        </row>
        <row r="1469">
          <cell r="A1469">
            <v>8072</v>
          </cell>
        </row>
        <row r="1470">
          <cell r="A1470">
            <v>8073</v>
          </cell>
        </row>
        <row r="1471">
          <cell r="A1471">
            <v>8074</v>
          </cell>
        </row>
        <row r="1472">
          <cell r="A1472">
            <v>8077</v>
          </cell>
        </row>
        <row r="1473">
          <cell r="A1473">
            <v>8078</v>
          </cell>
        </row>
        <row r="1474">
          <cell r="A1474">
            <v>8079</v>
          </cell>
        </row>
        <row r="1475">
          <cell r="A1475">
            <v>8080</v>
          </cell>
        </row>
        <row r="1476">
          <cell r="A1476">
            <v>8081</v>
          </cell>
        </row>
        <row r="1477">
          <cell r="A1477">
            <v>8082</v>
          </cell>
        </row>
        <row r="1478">
          <cell r="A1478">
            <v>8083</v>
          </cell>
        </row>
        <row r="1479">
          <cell r="A1479">
            <v>8084</v>
          </cell>
        </row>
        <row r="1480">
          <cell r="A1480">
            <v>8087</v>
          </cell>
        </row>
        <row r="1481">
          <cell r="A1481">
            <v>8088</v>
          </cell>
        </row>
        <row r="1482">
          <cell r="A1482">
            <v>8089</v>
          </cell>
        </row>
        <row r="1483">
          <cell r="A1483">
            <v>8090</v>
          </cell>
        </row>
        <row r="1484">
          <cell r="A1484">
            <v>8095</v>
          </cell>
        </row>
        <row r="1485">
          <cell r="A1485">
            <v>8096</v>
          </cell>
        </row>
        <row r="1486">
          <cell r="A1486">
            <v>8097</v>
          </cell>
        </row>
        <row r="1487">
          <cell r="A1487">
            <v>8098</v>
          </cell>
        </row>
        <row r="1488">
          <cell r="A1488">
            <v>8099</v>
          </cell>
        </row>
        <row r="1489">
          <cell r="A1489">
            <v>8100</v>
          </cell>
        </row>
        <row r="1490">
          <cell r="A1490">
            <v>8101</v>
          </cell>
        </row>
        <row r="1491">
          <cell r="A1491">
            <v>8102</v>
          </cell>
        </row>
        <row r="1492">
          <cell r="A1492">
            <v>9001</v>
          </cell>
        </row>
        <row r="1493">
          <cell r="A1493">
            <v>9002</v>
          </cell>
        </row>
        <row r="1494">
          <cell r="A1494">
            <v>9003</v>
          </cell>
        </row>
        <row r="1495">
          <cell r="A1495">
            <v>9004</v>
          </cell>
        </row>
        <row r="1496">
          <cell r="A1496">
            <v>9005</v>
          </cell>
        </row>
        <row r="1497">
          <cell r="A1497">
            <v>9006</v>
          </cell>
        </row>
        <row r="1498">
          <cell r="A1498">
            <v>9007</v>
          </cell>
        </row>
        <row r="1499">
          <cell r="A1499">
            <v>9008</v>
          </cell>
        </row>
        <row r="1500">
          <cell r="A1500">
            <v>10101</v>
          </cell>
        </row>
        <row r="1501">
          <cell r="A1501">
            <v>10102</v>
          </cell>
        </row>
        <row r="1502">
          <cell r="A1502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1387</v>
          </cell>
        </row>
        <row r="1373">
          <cell r="A1373">
            <v>1388</v>
          </cell>
        </row>
        <row r="1374">
          <cell r="A1374">
            <v>1389</v>
          </cell>
        </row>
        <row r="1375">
          <cell r="A1375">
            <v>1390</v>
          </cell>
        </row>
        <row r="1376">
          <cell r="A1376">
            <v>1399</v>
          </cell>
        </row>
        <row r="1377">
          <cell r="A1377">
            <v>1400</v>
          </cell>
        </row>
        <row r="1378">
          <cell r="A1378">
            <v>1401</v>
          </cell>
        </row>
        <row r="1379">
          <cell r="A1379">
            <v>1402</v>
          </cell>
        </row>
        <row r="1380">
          <cell r="A1380">
            <v>1403</v>
          </cell>
        </row>
        <row r="1381">
          <cell r="A1381">
            <v>1404</v>
          </cell>
        </row>
        <row r="1382">
          <cell r="A1382">
            <v>1405</v>
          </cell>
        </row>
        <row r="1383">
          <cell r="A1383">
            <v>1406</v>
          </cell>
        </row>
        <row r="1384">
          <cell r="A1384">
            <v>1407</v>
          </cell>
        </row>
        <row r="1385">
          <cell r="A1385">
            <v>1408</v>
          </cell>
        </row>
        <row r="1386">
          <cell r="A1386">
            <v>1409</v>
          </cell>
        </row>
        <row r="1387">
          <cell r="A1387">
            <v>1410</v>
          </cell>
        </row>
        <row r="1388">
          <cell r="A1388">
            <v>1411</v>
          </cell>
        </row>
        <row r="1389">
          <cell r="A1389">
            <v>1412</v>
          </cell>
        </row>
        <row r="1390">
          <cell r="A1390">
            <v>1413</v>
          </cell>
        </row>
        <row r="1391">
          <cell r="A1391">
            <v>1414</v>
          </cell>
        </row>
        <row r="1392">
          <cell r="A1392">
            <v>1415</v>
          </cell>
        </row>
        <row r="1393">
          <cell r="A1393">
            <v>1416</v>
          </cell>
        </row>
        <row r="1394">
          <cell r="A1394">
            <v>1417</v>
          </cell>
        </row>
        <row r="1395">
          <cell r="A1395">
            <v>1418</v>
          </cell>
        </row>
        <row r="1396">
          <cell r="A1396">
            <v>1419</v>
          </cell>
        </row>
        <row r="1397">
          <cell r="A1397">
            <v>1420</v>
          </cell>
        </row>
        <row r="1398">
          <cell r="A1398">
            <v>1421</v>
          </cell>
        </row>
        <row r="1399">
          <cell r="A1399">
            <v>1422</v>
          </cell>
        </row>
        <row r="1400">
          <cell r="A1400">
            <v>1423</v>
          </cell>
        </row>
        <row r="1401">
          <cell r="A1401">
            <v>1424</v>
          </cell>
        </row>
        <row r="1402">
          <cell r="A1402">
            <v>1425</v>
          </cell>
        </row>
        <row r="1403">
          <cell r="A1403">
            <v>1426</v>
          </cell>
        </row>
        <row r="1404">
          <cell r="A1404">
            <v>1431</v>
          </cell>
        </row>
        <row r="1405">
          <cell r="A1405">
            <v>1432</v>
          </cell>
        </row>
        <row r="1406">
          <cell r="A1406">
            <v>1433</v>
          </cell>
        </row>
        <row r="1407">
          <cell r="A1407">
            <v>1434</v>
          </cell>
        </row>
        <row r="1408">
          <cell r="A1408">
            <v>1435</v>
          </cell>
        </row>
        <row r="1409">
          <cell r="A1409">
            <v>1452</v>
          </cell>
        </row>
        <row r="1410">
          <cell r="A1410">
            <v>1453</v>
          </cell>
        </row>
        <row r="1411">
          <cell r="A1411">
            <v>1454</v>
          </cell>
        </row>
        <row r="1412">
          <cell r="A1412">
            <v>1455</v>
          </cell>
        </row>
        <row r="1413">
          <cell r="A1413">
            <v>1456</v>
          </cell>
        </row>
        <row r="1414">
          <cell r="A1414">
            <v>1457</v>
          </cell>
        </row>
        <row r="1415">
          <cell r="A1415">
            <v>1458</v>
          </cell>
        </row>
        <row r="1416">
          <cell r="A1416">
            <v>1459</v>
          </cell>
        </row>
        <row r="1417">
          <cell r="A1417">
            <v>1460</v>
          </cell>
        </row>
        <row r="1418">
          <cell r="A1418">
            <v>1461</v>
          </cell>
        </row>
        <row r="1419">
          <cell r="A1419">
            <v>1462</v>
          </cell>
        </row>
        <row r="1420">
          <cell r="A1420">
            <v>1463</v>
          </cell>
        </row>
        <row r="1421">
          <cell r="A1421">
            <v>1464</v>
          </cell>
        </row>
        <row r="1422">
          <cell r="A1422">
            <v>1465</v>
          </cell>
        </row>
        <row r="1423">
          <cell r="A1423">
            <v>1466</v>
          </cell>
        </row>
        <row r="1424">
          <cell r="A1424">
            <v>1467</v>
          </cell>
        </row>
        <row r="1425">
          <cell r="A1425">
            <v>1468</v>
          </cell>
        </row>
        <row r="1426">
          <cell r="A1426">
            <v>1469</v>
          </cell>
        </row>
        <row r="1427">
          <cell r="A1427">
            <v>1470</v>
          </cell>
        </row>
        <row r="1428">
          <cell r="A1428">
            <v>1471</v>
          </cell>
        </row>
        <row r="1429">
          <cell r="A1429">
            <v>1488</v>
          </cell>
        </row>
        <row r="1430">
          <cell r="A1430">
            <v>1489</v>
          </cell>
        </row>
        <row r="1431">
          <cell r="A1431">
            <v>1495</v>
          </cell>
        </row>
        <row r="1432">
          <cell r="A1432">
            <v>1496</v>
          </cell>
        </row>
        <row r="1433">
          <cell r="A1433">
            <v>1497</v>
          </cell>
        </row>
        <row r="1434">
          <cell r="A1434">
            <v>1498</v>
          </cell>
        </row>
        <row r="1435">
          <cell r="A1435">
            <v>1499</v>
          </cell>
        </row>
        <row r="1436">
          <cell r="A1436">
            <v>1500</v>
          </cell>
        </row>
        <row r="1437">
          <cell r="A1437">
            <v>1501</v>
          </cell>
        </row>
        <row r="1438">
          <cell r="A1438">
            <v>1502</v>
          </cell>
        </row>
        <row r="1439">
          <cell r="A1439">
            <v>1503</v>
          </cell>
        </row>
        <row r="1440">
          <cell r="A1440">
            <v>1504</v>
          </cell>
        </row>
        <row r="1441">
          <cell r="A1441">
            <v>1505</v>
          </cell>
        </row>
        <row r="1442">
          <cell r="A1442">
            <v>1506</v>
          </cell>
        </row>
        <row r="1443">
          <cell r="A1443">
            <v>1507</v>
          </cell>
        </row>
        <row r="1444">
          <cell r="A1444">
            <v>1508</v>
          </cell>
        </row>
        <row r="1445">
          <cell r="A1445">
            <v>1509</v>
          </cell>
        </row>
        <row r="1446">
          <cell r="A1446">
            <v>1510</v>
          </cell>
        </row>
        <row r="1447">
          <cell r="A1447">
            <v>1511</v>
          </cell>
        </row>
        <row r="1448">
          <cell r="A1448">
            <v>1512</v>
          </cell>
        </row>
        <row r="1449">
          <cell r="A1449">
            <v>1513</v>
          </cell>
        </row>
        <row r="1450">
          <cell r="A1450">
            <v>1514</v>
          </cell>
        </row>
        <row r="1451">
          <cell r="A1451">
            <v>1515</v>
          </cell>
        </row>
        <row r="1452">
          <cell r="A1452">
            <v>1516</v>
          </cell>
        </row>
        <row r="1453">
          <cell r="A1453">
            <v>1517</v>
          </cell>
        </row>
        <row r="1454">
          <cell r="A1454">
            <v>1518</v>
          </cell>
        </row>
        <row r="1455">
          <cell r="A1455">
            <v>1519</v>
          </cell>
        </row>
        <row r="1456">
          <cell r="A1456">
            <v>1520</v>
          </cell>
        </row>
        <row r="1457">
          <cell r="A1457">
            <v>1521</v>
          </cell>
        </row>
        <row r="1458">
          <cell r="A1458">
            <v>1522</v>
          </cell>
        </row>
        <row r="1459">
          <cell r="A1459">
            <v>1523</v>
          </cell>
        </row>
        <row r="1460">
          <cell r="A1460">
            <v>1524</v>
          </cell>
        </row>
        <row r="1461">
          <cell r="A1461">
            <v>1525</v>
          </cell>
        </row>
        <row r="1462">
          <cell r="A1462">
            <v>1526</v>
          </cell>
        </row>
        <row r="1463">
          <cell r="A1463">
            <v>1527</v>
          </cell>
        </row>
        <row r="1464">
          <cell r="A1464">
            <v>1528</v>
          </cell>
        </row>
        <row r="1465">
          <cell r="A1465">
            <v>1529</v>
          </cell>
        </row>
        <row r="1466">
          <cell r="A1466">
            <v>1530</v>
          </cell>
        </row>
        <row r="1467">
          <cell r="A1467">
            <v>1531</v>
          </cell>
        </row>
        <row r="1468">
          <cell r="A1468">
            <v>1532</v>
          </cell>
        </row>
        <row r="1469">
          <cell r="A1469">
            <v>1533</v>
          </cell>
        </row>
        <row r="1470">
          <cell r="A1470">
            <v>1534</v>
          </cell>
        </row>
        <row r="1471">
          <cell r="A1471">
            <v>1535</v>
          </cell>
        </row>
        <row r="1472">
          <cell r="A1472">
            <v>1536</v>
          </cell>
        </row>
        <row r="1473">
          <cell r="A1473">
            <v>1537</v>
          </cell>
        </row>
        <row r="1474">
          <cell r="A1474">
            <v>1538</v>
          </cell>
        </row>
        <row r="1475">
          <cell r="A1475">
            <v>1539</v>
          </cell>
        </row>
        <row r="1476">
          <cell r="A1476">
            <v>1540</v>
          </cell>
        </row>
        <row r="1477">
          <cell r="A1477">
            <v>1541</v>
          </cell>
        </row>
        <row r="1478">
          <cell r="A1478">
            <v>1542</v>
          </cell>
        </row>
        <row r="1479">
          <cell r="A1479">
            <v>1543</v>
          </cell>
        </row>
        <row r="1480">
          <cell r="A1480">
            <v>1544</v>
          </cell>
        </row>
        <row r="1481">
          <cell r="A1481">
            <v>1545</v>
          </cell>
        </row>
        <row r="1482">
          <cell r="A1482">
            <v>1546</v>
          </cell>
        </row>
        <row r="1483">
          <cell r="A1483">
            <v>1547</v>
          </cell>
        </row>
        <row r="1484">
          <cell r="A1484">
            <v>1548</v>
          </cell>
        </row>
        <row r="1485">
          <cell r="A1485">
            <v>1549</v>
          </cell>
        </row>
        <row r="1486">
          <cell r="A1486">
            <v>1550</v>
          </cell>
        </row>
        <row r="1487">
          <cell r="A1487">
            <v>5001</v>
          </cell>
        </row>
        <row r="1488">
          <cell r="A1488">
            <v>5002</v>
          </cell>
        </row>
        <row r="1489">
          <cell r="A1489">
            <v>5003</v>
          </cell>
        </row>
        <row r="1490">
          <cell r="A1490">
            <v>5004</v>
          </cell>
        </row>
        <row r="1491">
          <cell r="A1491">
            <v>5005</v>
          </cell>
        </row>
        <row r="1492">
          <cell r="A1492">
            <v>5006</v>
          </cell>
        </row>
        <row r="1493">
          <cell r="A1493">
            <v>5007</v>
          </cell>
        </row>
        <row r="1494">
          <cell r="A1494">
            <v>5008</v>
          </cell>
        </row>
        <row r="1495">
          <cell r="A1495">
            <v>6001</v>
          </cell>
        </row>
        <row r="1496">
          <cell r="A1496">
            <v>6002</v>
          </cell>
        </row>
        <row r="1497">
          <cell r="A1497">
            <v>6003</v>
          </cell>
        </row>
        <row r="1498">
          <cell r="A1498">
            <v>6004</v>
          </cell>
        </row>
        <row r="1499">
          <cell r="A1499">
            <v>6005</v>
          </cell>
        </row>
        <row r="1500">
          <cell r="A1500">
            <v>6006</v>
          </cell>
        </row>
        <row r="1501">
          <cell r="A1501">
            <v>6007</v>
          </cell>
        </row>
        <row r="1502">
          <cell r="A1502">
            <v>6008</v>
          </cell>
        </row>
        <row r="1503">
          <cell r="A1503">
            <v>6009</v>
          </cell>
        </row>
        <row r="1504">
          <cell r="A1504">
            <v>6010</v>
          </cell>
        </row>
        <row r="1505">
          <cell r="A1505">
            <v>6011</v>
          </cell>
        </row>
        <row r="1506">
          <cell r="A1506">
            <v>6012</v>
          </cell>
        </row>
        <row r="1507">
          <cell r="A1507">
            <v>6013</v>
          </cell>
        </row>
        <row r="1508">
          <cell r="A1508">
            <v>6014</v>
          </cell>
        </row>
        <row r="1509">
          <cell r="A1509">
            <v>6015</v>
          </cell>
        </row>
        <row r="1510">
          <cell r="A1510">
            <v>6016</v>
          </cell>
        </row>
        <row r="1511">
          <cell r="A1511">
            <v>6017</v>
          </cell>
        </row>
        <row r="1512">
          <cell r="A1512">
            <v>6018</v>
          </cell>
        </row>
        <row r="1513">
          <cell r="A1513">
            <v>6019</v>
          </cell>
        </row>
        <row r="1514">
          <cell r="A1514">
            <v>6020</v>
          </cell>
        </row>
        <row r="1515">
          <cell r="A1515">
            <v>8001</v>
          </cell>
        </row>
        <row r="1516">
          <cell r="A1516">
            <v>8002</v>
          </cell>
        </row>
        <row r="1517">
          <cell r="A1517">
            <v>8003</v>
          </cell>
        </row>
        <row r="1518">
          <cell r="A1518">
            <v>8004</v>
          </cell>
        </row>
        <row r="1519">
          <cell r="A1519">
            <v>8005</v>
          </cell>
        </row>
        <row r="1520">
          <cell r="A1520">
            <v>8006</v>
          </cell>
        </row>
        <row r="1521">
          <cell r="A1521">
            <v>8007</v>
          </cell>
        </row>
        <row r="1522">
          <cell r="A1522">
            <v>8008</v>
          </cell>
        </row>
        <row r="1523">
          <cell r="A1523">
            <v>8009</v>
          </cell>
        </row>
        <row r="1524">
          <cell r="A1524">
            <v>8010</v>
          </cell>
        </row>
        <row r="1525">
          <cell r="A1525">
            <v>8011</v>
          </cell>
        </row>
        <row r="1526">
          <cell r="A1526">
            <v>8012</v>
          </cell>
        </row>
        <row r="1527">
          <cell r="A1527">
            <v>8013</v>
          </cell>
        </row>
        <row r="1528">
          <cell r="A1528">
            <v>8014</v>
          </cell>
        </row>
        <row r="1529">
          <cell r="A1529">
            <v>8015</v>
          </cell>
        </row>
        <row r="1530">
          <cell r="A1530">
            <v>8016</v>
          </cell>
        </row>
        <row r="1531">
          <cell r="A1531">
            <v>8017</v>
          </cell>
        </row>
        <row r="1532">
          <cell r="A1532">
            <v>8018</v>
          </cell>
        </row>
        <row r="1533">
          <cell r="A1533">
            <v>8019</v>
          </cell>
        </row>
        <row r="1534">
          <cell r="A1534">
            <v>8020</v>
          </cell>
        </row>
        <row r="1535">
          <cell r="A1535">
            <v>8021</v>
          </cell>
        </row>
        <row r="1536">
          <cell r="A1536">
            <v>8022</v>
          </cell>
        </row>
        <row r="1537">
          <cell r="A1537">
            <v>8023</v>
          </cell>
        </row>
        <row r="1538">
          <cell r="A1538">
            <v>8024</v>
          </cell>
        </row>
        <row r="1539">
          <cell r="A1539">
            <v>8025</v>
          </cell>
        </row>
        <row r="1540">
          <cell r="A1540">
            <v>8026</v>
          </cell>
        </row>
        <row r="1541">
          <cell r="A1541">
            <v>8027</v>
          </cell>
        </row>
        <row r="1542">
          <cell r="A1542">
            <v>8028</v>
          </cell>
        </row>
        <row r="1543">
          <cell r="A1543">
            <v>8029</v>
          </cell>
        </row>
        <row r="1544">
          <cell r="A1544">
            <v>8030</v>
          </cell>
        </row>
        <row r="1545">
          <cell r="A1545">
            <v>8031</v>
          </cell>
        </row>
        <row r="1546">
          <cell r="A1546">
            <v>8032</v>
          </cell>
        </row>
        <row r="1547">
          <cell r="A1547">
            <v>8033</v>
          </cell>
        </row>
        <row r="1548">
          <cell r="A1548">
            <v>8034</v>
          </cell>
        </row>
        <row r="1549">
          <cell r="A1549">
            <v>8035</v>
          </cell>
        </row>
        <row r="1550">
          <cell r="A1550">
            <v>8036</v>
          </cell>
        </row>
        <row r="1551">
          <cell r="A1551">
            <v>8037</v>
          </cell>
        </row>
        <row r="1552">
          <cell r="A1552">
            <v>8038</v>
          </cell>
        </row>
        <row r="1553">
          <cell r="A1553">
            <v>8039</v>
          </cell>
        </row>
        <row r="1554">
          <cell r="A1554">
            <v>8040</v>
          </cell>
        </row>
        <row r="1555">
          <cell r="A1555">
            <v>8041</v>
          </cell>
        </row>
        <row r="1556">
          <cell r="A1556">
            <v>8042</v>
          </cell>
        </row>
        <row r="1557">
          <cell r="A1557">
            <v>8043</v>
          </cell>
        </row>
        <row r="1558">
          <cell r="A1558">
            <v>8044</v>
          </cell>
        </row>
        <row r="1559">
          <cell r="A1559">
            <v>8045</v>
          </cell>
        </row>
        <row r="1560">
          <cell r="A1560">
            <v>8046</v>
          </cell>
        </row>
        <row r="1561">
          <cell r="A1561">
            <v>8047</v>
          </cell>
        </row>
        <row r="1562">
          <cell r="A1562">
            <v>8048</v>
          </cell>
        </row>
        <row r="1563">
          <cell r="A1563">
            <v>8049</v>
          </cell>
        </row>
        <row r="1564">
          <cell r="A1564">
            <v>8050</v>
          </cell>
        </row>
        <row r="1565">
          <cell r="A1565">
            <v>8051</v>
          </cell>
        </row>
        <row r="1566">
          <cell r="A1566">
            <v>8052</v>
          </cell>
        </row>
        <row r="1567">
          <cell r="A1567">
            <v>8053</v>
          </cell>
        </row>
        <row r="1568">
          <cell r="A1568">
            <v>8054</v>
          </cell>
        </row>
        <row r="1569">
          <cell r="A1569">
            <v>8055</v>
          </cell>
        </row>
        <row r="1570">
          <cell r="A1570">
            <v>8056</v>
          </cell>
        </row>
        <row r="1571">
          <cell r="A1571">
            <v>8057</v>
          </cell>
        </row>
        <row r="1572">
          <cell r="A1572">
            <v>8058</v>
          </cell>
        </row>
        <row r="1573">
          <cell r="A1573">
            <v>8059</v>
          </cell>
        </row>
        <row r="1574">
          <cell r="A1574">
            <v>8060</v>
          </cell>
        </row>
        <row r="1575">
          <cell r="A1575">
            <v>8061</v>
          </cell>
        </row>
        <row r="1576">
          <cell r="A1576">
            <v>8062</v>
          </cell>
        </row>
        <row r="1577">
          <cell r="A1577">
            <v>8063</v>
          </cell>
        </row>
        <row r="1578">
          <cell r="A1578">
            <v>8064</v>
          </cell>
        </row>
        <row r="1579">
          <cell r="A1579">
            <v>8065</v>
          </cell>
        </row>
        <row r="1580">
          <cell r="A1580">
            <v>8066</v>
          </cell>
        </row>
        <row r="1581">
          <cell r="A1581">
            <v>8067</v>
          </cell>
        </row>
        <row r="1582">
          <cell r="A1582">
            <v>8068</v>
          </cell>
        </row>
        <row r="1583">
          <cell r="A1583">
            <v>8069</v>
          </cell>
        </row>
        <row r="1584">
          <cell r="A1584">
            <v>8070</v>
          </cell>
        </row>
        <row r="1585">
          <cell r="A1585">
            <v>8071</v>
          </cell>
        </row>
        <row r="1586">
          <cell r="A1586">
            <v>8072</v>
          </cell>
        </row>
        <row r="1587">
          <cell r="A1587">
            <v>8073</v>
          </cell>
        </row>
        <row r="1588">
          <cell r="A1588">
            <v>8074</v>
          </cell>
        </row>
        <row r="1589">
          <cell r="A1589">
            <v>8075</v>
          </cell>
        </row>
        <row r="1590">
          <cell r="A1590">
            <v>8076</v>
          </cell>
        </row>
        <row r="1591">
          <cell r="A1591">
            <v>8077</v>
          </cell>
        </row>
        <row r="1592">
          <cell r="A1592">
            <v>8078</v>
          </cell>
        </row>
        <row r="1593">
          <cell r="A1593">
            <v>8079</v>
          </cell>
        </row>
        <row r="1594">
          <cell r="A1594">
            <v>8080</v>
          </cell>
        </row>
        <row r="1595">
          <cell r="A1595">
            <v>8081</v>
          </cell>
        </row>
        <row r="1596">
          <cell r="A1596">
            <v>8082</v>
          </cell>
        </row>
        <row r="1597">
          <cell r="A1597">
            <v>8083</v>
          </cell>
        </row>
        <row r="1598">
          <cell r="A1598">
            <v>8084</v>
          </cell>
        </row>
        <row r="1599">
          <cell r="A1599">
            <v>8087</v>
          </cell>
        </row>
        <row r="1600">
          <cell r="A1600">
            <v>8088</v>
          </cell>
        </row>
        <row r="1601">
          <cell r="A1601">
            <v>8089</v>
          </cell>
        </row>
        <row r="1602">
          <cell r="A1602">
            <v>8090</v>
          </cell>
        </row>
        <row r="1603">
          <cell r="A1603">
            <v>8095</v>
          </cell>
        </row>
        <row r="1604">
          <cell r="A1604">
            <v>8096</v>
          </cell>
        </row>
        <row r="1605">
          <cell r="A1605">
            <v>8097</v>
          </cell>
        </row>
        <row r="1606">
          <cell r="A1606">
            <v>8098</v>
          </cell>
        </row>
        <row r="1607">
          <cell r="A1607">
            <v>8099</v>
          </cell>
        </row>
        <row r="1608">
          <cell r="A1608">
            <v>8100</v>
          </cell>
        </row>
        <row r="1609">
          <cell r="A1609">
            <v>8101</v>
          </cell>
        </row>
        <row r="1610">
          <cell r="A1610">
            <v>8102</v>
          </cell>
        </row>
        <row r="1611">
          <cell r="A1611">
            <v>9001</v>
          </cell>
        </row>
        <row r="1612">
          <cell r="A1612">
            <v>9002</v>
          </cell>
        </row>
        <row r="1613">
          <cell r="A1613">
            <v>9003</v>
          </cell>
        </row>
        <row r="1614">
          <cell r="A1614">
            <v>9004</v>
          </cell>
        </row>
        <row r="1615">
          <cell r="A1615">
            <v>9005</v>
          </cell>
        </row>
        <row r="1616">
          <cell r="A1616">
            <v>9006</v>
          </cell>
        </row>
        <row r="1617">
          <cell r="A1617">
            <v>9007</v>
          </cell>
        </row>
        <row r="1618">
          <cell r="A1618">
            <v>9008</v>
          </cell>
        </row>
        <row r="1619">
          <cell r="A1619">
            <v>10001</v>
          </cell>
        </row>
        <row r="1620">
          <cell r="A1620">
            <v>10002</v>
          </cell>
        </row>
        <row r="1621">
          <cell r="A1621">
            <v>10003</v>
          </cell>
        </row>
        <row r="1622">
          <cell r="A1622">
            <v>10004</v>
          </cell>
        </row>
        <row r="1623">
          <cell r="A1623">
            <v>10005</v>
          </cell>
        </row>
        <row r="1624">
          <cell r="A1624">
            <v>10006</v>
          </cell>
        </row>
        <row r="1625">
          <cell r="A1625">
            <v>10007</v>
          </cell>
        </row>
        <row r="1626">
          <cell r="A1626">
            <v>10008</v>
          </cell>
        </row>
        <row r="1627">
          <cell r="A1627">
            <v>10009</v>
          </cell>
        </row>
        <row r="1628">
          <cell r="A1628">
            <v>10010</v>
          </cell>
        </row>
        <row r="1629">
          <cell r="A1629">
            <v>10011</v>
          </cell>
        </row>
        <row r="1630">
          <cell r="A1630">
            <v>10012</v>
          </cell>
        </row>
        <row r="1631">
          <cell r="A1631">
            <v>10013</v>
          </cell>
        </row>
        <row r="1632">
          <cell r="A1632">
            <v>10014</v>
          </cell>
        </row>
        <row r="1633">
          <cell r="A1633">
            <v>10015</v>
          </cell>
        </row>
        <row r="1634">
          <cell r="A1634">
            <v>10016</v>
          </cell>
        </row>
        <row r="1635">
          <cell r="A1635">
            <v>10017</v>
          </cell>
        </row>
        <row r="1636">
          <cell r="A1636">
            <v>10018</v>
          </cell>
        </row>
        <row r="1637">
          <cell r="A1637">
            <v>10019</v>
          </cell>
        </row>
        <row r="1638">
          <cell r="A1638">
            <v>10020</v>
          </cell>
        </row>
        <row r="1639">
          <cell r="A1639">
            <v>10021</v>
          </cell>
        </row>
        <row r="1640">
          <cell r="A1640">
            <v>10022</v>
          </cell>
        </row>
        <row r="1641">
          <cell r="A1641">
            <v>10023</v>
          </cell>
        </row>
        <row r="1642">
          <cell r="A1642">
            <v>10024</v>
          </cell>
        </row>
        <row r="1643">
          <cell r="A1643">
            <v>10025</v>
          </cell>
        </row>
        <row r="1644">
          <cell r="A1644">
            <v>10026</v>
          </cell>
        </row>
        <row r="1645">
          <cell r="A1645">
            <v>10027</v>
          </cell>
        </row>
        <row r="1646">
          <cell r="A1646">
            <v>10028</v>
          </cell>
        </row>
        <row r="1647">
          <cell r="A1647">
            <v>10029</v>
          </cell>
        </row>
        <row r="1648">
          <cell r="A1648">
            <v>10030</v>
          </cell>
        </row>
        <row r="1649">
          <cell r="A1649">
            <v>10031</v>
          </cell>
        </row>
        <row r="1650">
          <cell r="A1650">
            <v>10032</v>
          </cell>
        </row>
        <row r="1651">
          <cell r="A1651">
            <v>10033</v>
          </cell>
        </row>
        <row r="1652">
          <cell r="A1652">
            <v>10034</v>
          </cell>
        </row>
        <row r="1653">
          <cell r="A1653">
            <v>10035</v>
          </cell>
        </row>
        <row r="1654">
          <cell r="A1654">
            <v>10036</v>
          </cell>
        </row>
        <row r="1655">
          <cell r="A1655">
            <v>10037</v>
          </cell>
        </row>
        <row r="1656">
          <cell r="A1656">
            <v>10038</v>
          </cell>
        </row>
        <row r="1657">
          <cell r="A1657">
            <v>10039</v>
          </cell>
        </row>
        <row r="1658">
          <cell r="A1658">
            <v>10040</v>
          </cell>
        </row>
        <row r="1659">
          <cell r="A1659">
            <v>10041</v>
          </cell>
        </row>
        <row r="1660">
          <cell r="A1660">
            <v>10042</v>
          </cell>
        </row>
        <row r="1661">
          <cell r="A1661">
            <v>10043</v>
          </cell>
        </row>
        <row r="1662">
          <cell r="A1662">
            <v>10044</v>
          </cell>
        </row>
        <row r="1663">
          <cell r="A1663">
            <v>10045</v>
          </cell>
        </row>
        <row r="1664">
          <cell r="A1664">
            <v>10046</v>
          </cell>
        </row>
        <row r="1665">
          <cell r="A1665">
            <v>10047</v>
          </cell>
        </row>
        <row r="1666">
          <cell r="A1666">
            <v>10048</v>
          </cell>
        </row>
        <row r="1667">
          <cell r="A1667">
            <v>10049</v>
          </cell>
        </row>
        <row r="1668">
          <cell r="A1668">
            <v>10050</v>
          </cell>
        </row>
        <row r="1669">
          <cell r="A1669">
            <v>10051</v>
          </cell>
        </row>
        <row r="1670">
          <cell r="A1670">
            <v>10052</v>
          </cell>
        </row>
        <row r="1671">
          <cell r="A1671">
            <v>10053</v>
          </cell>
        </row>
        <row r="1672">
          <cell r="A1672">
            <v>10054</v>
          </cell>
        </row>
        <row r="1673">
          <cell r="A1673">
            <v>10055</v>
          </cell>
        </row>
        <row r="1674">
          <cell r="A1674">
            <v>10056</v>
          </cell>
        </row>
        <row r="1675">
          <cell r="A1675">
            <v>10057</v>
          </cell>
        </row>
        <row r="1676">
          <cell r="A1676">
            <v>10058</v>
          </cell>
        </row>
        <row r="1677">
          <cell r="A1677">
            <v>10059</v>
          </cell>
        </row>
        <row r="1678">
          <cell r="A1678">
            <v>10060</v>
          </cell>
        </row>
        <row r="1679">
          <cell r="A1679">
            <v>10061</v>
          </cell>
        </row>
        <row r="1680">
          <cell r="A1680">
            <v>10062</v>
          </cell>
        </row>
        <row r="1681">
          <cell r="A1681">
            <v>10063</v>
          </cell>
        </row>
        <row r="1682">
          <cell r="A1682">
            <v>10064</v>
          </cell>
        </row>
        <row r="1683">
          <cell r="A1683">
            <v>10065</v>
          </cell>
        </row>
        <row r="1684">
          <cell r="A1684">
            <v>10066</v>
          </cell>
        </row>
        <row r="1685">
          <cell r="A1685">
            <v>10067</v>
          </cell>
        </row>
        <row r="1686">
          <cell r="A1686">
            <v>10068</v>
          </cell>
        </row>
        <row r="1687">
          <cell r="A1687">
            <v>10069</v>
          </cell>
        </row>
        <row r="1688">
          <cell r="A1688">
            <v>10070</v>
          </cell>
        </row>
        <row r="1689">
          <cell r="A1689">
            <v>10071</v>
          </cell>
        </row>
        <row r="1690">
          <cell r="A1690">
            <v>10072</v>
          </cell>
        </row>
        <row r="1691">
          <cell r="A1691">
            <v>10073</v>
          </cell>
        </row>
        <row r="1692">
          <cell r="A1692">
            <v>10074</v>
          </cell>
        </row>
        <row r="1693">
          <cell r="A1693">
            <v>10075</v>
          </cell>
        </row>
        <row r="1694">
          <cell r="A1694">
            <v>10076</v>
          </cell>
        </row>
        <row r="1695">
          <cell r="A1695">
            <v>10077</v>
          </cell>
        </row>
        <row r="1696">
          <cell r="A1696">
            <v>10078</v>
          </cell>
        </row>
        <row r="1697">
          <cell r="A1697">
            <v>10079</v>
          </cell>
        </row>
        <row r="1698">
          <cell r="A1698">
            <v>10080</v>
          </cell>
        </row>
        <row r="1699">
          <cell r="A1699">
            <v>10081</v>
          </cell>
        </row>
        <row r="1700">
          <cell r="A1700">
            <v>10082</v>
          </cell>
        </row>
        <row r="1701">
          <cell r="A1701">
            <v>10083</v>
          </cell>
        </row>
        <row r="1702">
          <cell r="A1702">
            <v>10084</v>
          </cell>
        </row>
        <row r="1703">
          <cell r="A1703">
            <v>10085</v>
          </cell>
        </row>
        <row r="1704">
          <cell r="A1704">
            <v>10086</v>
          </cell>
        </row>
        <row r="1705">
          <cell r="A1705">
            <v>10087</v>
          </cell>
        </row>
        <row r="1706">
          <cell r="A1706">
            <v>10088</v>
          </cell>
        </row>
        <row r="1707">
          <cell r="A1707">
            <v>10089</v>
          </cell>
        </row>
        <row r="1708">
          <cell r="A1708">
            <v>10090</v>
          </cell>
        </row>
        <row r="1709">
          <cell r="A1709">
            <v>10101</v>
          </cell>
        </row>
        <row r="1710">
          <cell r="A1710">
            <v>10102</v>
          </cell>
        </row>
        <row r="1711">
          <cell r="A171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5" sqref="C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265</v>
      </c>
      <c r="B2" s="55" t="s">
        <v>106</v>
      </c>
      <c r="C2" s="60" t="s">
        <v>254</v>
      </c>
      <c r="D2" s="55" t="s">
        <v>107</v>
      </c>
      <c r="E2" s="54" t="str">
        <f>B2&amp;C2&amp;D2</f>
        <v>floors_13400_10.tmp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265</v>
      </c>
      <c r="B3" s="55" t="s">
        <v>109</v>
      </c>
      <c r="C3" s="60" t="s">
        <v>254</v>
      </c>
      <c r="D3" s="55" t="s">
        <v>107</v>
      </c>
      <c r="E3" s="54" t="str">
        <f>B3&amp;C3&amp;D3</f>
        <v>enemy_habitats_13400_10.tmp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176</v>
      </c>
    </row>
    <row r="4" spans="1:30" x14ac:dyDescent="0.15">
      <c r="A4" s="59" t="s">
        <v>265</v>
      </c>
      <c r="B4" s="55" t="s">
        <v>111</v>
      </c>
      <c r="C4" s="60" t="s">
        <v>254</v>
      </c>
      <c r="D4" s="55" t="s">
        <v>107</v>
      </c>
      <c r="E4" s="54" t="str">
        <f>B4&amp;C4&amp;D4</f>
        <v>enemy_habitat_S_13400_10.tmp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265</v>
      </c>
      <c r="B5" s="55" t="s">
        <v>113</v>
      </c>
      <c r="C5" s="60" t="s">
        <v>254</v>
      </c>
      <c r="D5" s="55" t="s">
        <v>107</v>
      </c>
      <c r="E5" s="54" t="str">
        <f>B5&amp;C5&amp;D5</f>
        <v>enemy_skill_sets_13400_10.tmp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265</v>
      </c>
      <c r="B6" s="55" t="s">
        <v>115</v>
      </c>
      <c r="C6" s="60" t="s">
        <v>254</v>
      </c>
      <c r="D6" s="55" t="s">
        <v>116</v>
      </c>
      <c r="E6" s="54" t="str">
        <f t="shared" ref="E6:E10" si="0">B6&amp;C6&amp;D6</f>
        <v>enemy_skills_tmp_13400_10.tmp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265</v>
      </c>
      <c r="B7" s="55" t="s">
        <v>117</v>
      </c>
      <c r="C7" s="60" t="s">
        <v>254</v>
      </c>
      <c r="D7" s="55" t="s">
        <v>107</v>
      </c>
      <c r="E7" s="54" t="str">
        <f>B7&amp;C7&amp;D7</f>
        <v>enemy_skills_i18n_13400_10.tmp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265</v>
      </c>
      <c r="B8" s="55" t="s">
        <v>119</v>
      </c>
      <c r="C8" s="60" t="s">
        <v>254</v>
      </c>
      <c r="D8" s="55" t="s">
        <v>120</v>
      </c>
      <c r="E8" s="54" t="str">
        <f t="shared" si="0"/>
        <v>enemy_skill_triggers_13400_10.tmp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265</v>
      </c>
      <c r="B9" s="65" t="s">
        <v>175</v>
      </c>
      <c r="C9" s="60" t="s">
        <v>254</v>
      </c>
      <c r="D9" s="65" t="s">
        <v>169</v>
      </c>
      <c r="E9" s="66" t="str">
        <f t="shared" si="0"/>
        <v>stage_bug_bonuses_13400_10.tmp</v>
      </c>
      <c r="F9" s="65" t="s">
        <v>170</v>
      </c>
      <c r="G9" s="62" t="s">
        <v>149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185</v>
      </c>
      <c r="B10" s="65" t="s">
        <v>198</v>
      </c>
      <c r="C10" s="60" t="s">
        <v>254</v>
      </c>
      <c r="D10" s="65" t="s">
        <v>178</v>
      </c>
      <c r="E10" s="66" t="str">
        <f t="shared" si="0"/>
        <v>stage_hints_data_c_13400_10.tmp</v>
      </c>
      <c r="F10" s="65" t="s">
        <v>206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59" t="s">
        <v>265</v>
      </c>
      <c r="B11" s="65" t="s">
        <v>199</v>
      </c>
      <c r="C11" s="60" t="s">
        <v>254</v>
      </c>
      <c r="D11" s="65" t="s">
        <v>169</v>
      </c>
      <c r="E11" s="66" t="str">
        <f t="shared" ref="E11:E13" si="1">B11&amp;C11&amp;D11</f>
        <v>stage_hints_data_f_13400_10.tmp</v>
      </c>
      <c r="F11" s="65" t="s">
        <v>207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59" t="s">
        <v>265</v>
      </c>
      <c r="B12" s="65" t="s">
        <v>200</v>
      </c>
      <c r="C12" s="60" t="s">
        <v>254</v>
      </c>
      <c r="D12" s="65" t="s">
        <v>169</v>
      </c>
      <c r="E12" s="66" t="str">
        <f t="shared" si="1"/>
        <v>stage_hints_i18n_13400_10.tmp</v>
      </c>
      <c r="F12" s="65" t="s">
        <v>208</v>
      </c>
      <c r="G12" s="71" t="s">
        <v>201</v>
      </c>
      <c r="H12" s="90" t="s">
        <v>202</v>
      </c>
      <c r="I12" s="70" t="s">
        <v>203</v>
      </c>
      <c r="J12" s="98" t="s">
        <v>204</v>
      </c>
      <c r="K12" s="64" t="s">
        <v>205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59" t="s">
        <v>265</v>
      </c>
      <c r="B13" s="65" t="s">
        <v>246</v>
      </c>
      <c r="C13" s="60" t="s">
        <v>254</v>
      </c>
      <c r="D13" s="65" t="s">
        <v>227</v>
      </c>
      <c r="E13" s="66" t="str">
        <f t="shared" si="1"/>
        <v>stage_bonuses_13400_10.tmp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I4" sqref="I4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13400_10-1</v>
      </c>
      <c r="B2" s="15" t="str">
        <f>IF(COUNTIF(enemy_habitats!$H:$H,A2),"OK","NG")</f>
        <v>OK</v>
      </c>
      <c r="C2" s="107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10</v>
      </c>
      <c r="G2" s="21" t="str">
        <f>C2&amp;"_"&amp;F2</f>
        <v>13400_10</v>
      </c>
      <c r="H2" s="14" t="str">
        <f ca="1">VLOOKUP($G2,OFFSET([2]stages!$A$1,0,0,COUNTA([2]stages!$A:$A),MATCH(H$1,[2]stages!$2:$2,0)-MATCH($G$1,[2]stages!$2:$2,0)+1),MATCH(H$1,[2]stages!$2:$2,0)-MATCH($G$1,[2]stages!$2:$2,0)+1,FALSE)</f>
        <v>10階 ローズ 現る！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13400_10-2</v>
      </c>
      <c r="B3" s="15" t="str">
        <f>IF(COUNTIF(enemy_habitats!$H:$H,A3),"OK","NG")</f>
        <v>OK</v>
      </c>
      <c r="C3" s="107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10</v>
      </c>
      <c r="G3" s="21" t="str">
        <f>C3&amp;"_"&amp;F3</f>
        <v>13400_10</v>
      </c>
      <c r="H3" s="14" t="str">
        <f ca="1">VLOOKUP($G3,OFFSET([2]stages!$A$1,0,0,COUNTA([2]stages!$A:$A),MATCH(H$1,[2]stages!$2:$2,0)-MATCH($G$1,[2]stages!$2:$2,0)+1),MATCH(H$1,[2]stages!$2:$2,0)-MATCH($G$1,[2]stages!$2:$2,0)+1,FALSE)</f>
        <v>10階 ローズ 現る！</v>
      </c>
      <c r="I3" s="19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3" sqref="L3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5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247</v>
      </c>
      <c r="U1" s="24" t="s">
        <v>50</v>
      </c>
      <c r="V1" s="99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13400_10-1/79&lt;lv80&gt;s1</v>
      </c>
      <c r="B2" s="20">
        <v>13400</v>
      </c>
      <c r="C2" s="19">
        <v>10</v>
      </c>
      <c r="D2" s="2" t="str">
        <f>B2&amp;"_"&amp;C2</f>
        <v>13400_10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10階 ローズ 現る！</v>
      </c>
      <c r="G2" s="19">
        <v>1</v>
      </c>
      <c r="H2" s="14" t="str">
        <f>B2&amp;"_"&amp;C2&amp;"-"&amp;G2</f>
        <v>13400_10-1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4">
        <v>79</v>
      </c>
      <c r="M2" s="103" t="str">
        <f ca="1">VLOOKUP($L2,OFFSET([3]enemies!$A$1,0,0,COUNTA([3]enemies!$A:$A),MATCH(M$1,[3]enemies!$1:$1,0)-MATCH($L$1,[3]enemies!$1:$1,0)+1),MATCH(M$1,[3]enemies!$1:$1,0)-MATCH($L$1,[3]enemies!$1:$1,0)+1,FALSE)</f>
        <v>ハッピー100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3">
        <v>1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73154</v>
      </c>
      <c r="U2" s="23">
        <v>1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5831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不安そうな顔をしている</v>
      </c>
      <c r="Y2" s="108">
        <v>13400400</v>
      </c>
      <c r="Z2" s="6">
        <v>1</v>
      </c>
      <c r="AA2" s="6">
        <v>100</v>
      </c>
      <c r="AB2" s="6">
        <v>1</v>
      </c>
      <c r="AC2" s="102">
        <v>1</v>
      </c>
      <c r="AD2" s="22">
        <f t="shared" ref="AD2" si="1">L2</f>
        <v>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2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" si="2">B3&amp;"_"&amp;C3&amp;"-"&amp;G3&amp;"/"&amp;L3&amp;"&lt;lv"&amp;R3&amp;"&gt;s"&amp;AC3</f>
        <v>13400_10-2/10102&lt;lv80&gt;s2</v>
      </c>
      <c r="B3" s="20">
        <v>13400</v>
      </c>
      <c r="C3" s="19">
        <v>10</v>
      </c>
      <c r="D3" s="2" t="str">
        <f>B3&amp;"_"&amp;C3</f>
        <v>13400_10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10階 ローズ 現る！</v>
      </c>
      <c r="G3" s="19">
        <v>2</v>
      </c>
      <c r="H3" s="14" t="str">
        <f>B3&amp;"_"&amp;C3&amp;"-"&amp;G3</f>
        <v>13400_10-2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1</v>
      </c>
      <c r="L3" s="104">
        <v>10102</v>
      </c>
      <c r="M3" s="103" t="str">
        <f ca="1">VLOOKUP($L3,OFFSET([3]enemies!$A$1,0,0,COUNTA([3]enemies!$A:$A),MATCH(M$1,[3]enemies!$1:$1,0)-MATCH($L$1,[3]enemies!$1:$1,0)+1),MATCH(M$1,[3]enemies!$1:$1,0)-MATCH($L$1,[3]enemies!$1:$1,0)+1,FALSE)</f>
        <v>ローズ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DropWizSSS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queen</v>
      </c>
      <c r="Q3" s="16">
        <f ca="1">VLOOKUP($L3,OFFSET([3]enemies!$A$1,0,0,COUNTA([3]enemies!$A:$A),MATCH(Q$1,[3]enemies!$1:$1,0)-MATCH($L$1,[3]enemies!$1:$1,0)+1),MATCH(Q$1,[3]enemies!$1:$1,0)-MATCH($L$1,[3]enemies!$1:$1,0)+1,FALSE)</f>
        <v>25</v>
      </c>
      <c r="R3" s="5">
        <v>80</v>
      </c>
      <c r="S3" s="23">
        <v>10.6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23">
        <v>0.9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状態異常耐性+_x000D_青属性以外のダメージ90%軽減</v>
      </c>
      <c r="Y3" s="108">
        <v>13400401</v>
      </c>
      <c r="Z3" s="6">
        <v>1</v>
      </c>
      <c r="AA3" s="6">
        <v>100</v>
      </c>
      <c r="AB3" s="6">
        <v>1</v>
      </c>
      <c r="AC3" s="102">
        <v>2</v>
      </c>
      <c r="AD3" s="22">
        <f t="shared" ref="AD3" si="3">L3</f>
        <v>10102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ローズ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3" s="7">
        <v>1</v>
      </c>
      <c r="AI3" s="22">
        <f ca="1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W4" sqref="W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247</v>
      </c>
      <c r="V1" s="24" t="s">
        <v>50</v>
      </c>
      <c r="W1" s="99" t="s">
        <v>248</v>
      </c>
      <c r="X1" s="24" t="s">
        <v>52</v>
      </c>
      <c r="Y1" s="26" t="s">
        <v>128</v>
      </c>
      <c r="Z1" s="27" t="s">
        <v>127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13400_10-2/10103&lt;lv80&gt;sq1st2</v>
      </c>
      <c r="B2" s="20">
        <v>13400</v>
      </c>
      <c r="C2" s="109">
        <v>10</v>
      </c>
      <c r="D2" s="14" t="str">
        <f>B2&amp;"_"&amp;C2</f>
        <v>13400_10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10階 ローズ 現る！</v>
      </c>
      <c r="G2" s="109">
        <v>2</v>
      </c>
      <c r="H2" s="14" t="str">
        <f>B2&amp;"_"&amp;C2&amp;"-"&amp;G2</f>
        <v>13400_10-2</v>
      </c>
      <c r="I2" s="4" t="e">
        <f ca="1">VLOOKUP($H2,OFFSET([5]floors!$A$1,0,0,COUNTA([5]floors!$A:$A),MATCH(I$1,[5]floors!$1:$1,0)-MATCH($H$1,[5]floors!$1:$1,0)+1),MATCH(I$1,[5]floors!$1:$1,0)-MATCH($H$1,[5]floors!$1:$1,0)+1,FALSE)</f>
        <v>#VALUE!</v>
      </c>
      <c r="J2" s="4" t="e">
        <f ca="1">VLOOKUP($H2,OFFSET([5]floors!$A$1,0,0,COUNTA([5]floors!$A:$A),MATCH(J$1,[5]floors!$1:$1,0)-MATCH($H$1,[5]floors!$1:$1,0)+1),MATCH(J$1,[5]floors!$1:$1,0)-MATCH($H$1,[5]floors!$1:$1,0)+1,FALSE)</f>
        <v>#VALUE!</v>
      </c>
      <c r="K2" s="36">
        <v>1</v>
      </c>
      <c r="L2" s="36">
        <v>2</v>
      </c>
      <c r="M2" s="104">
        <v>10103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ローズ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queen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80</v>
      </c>
      <c r="T2" s="23">
        <v>9.8000000000000007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3">
        <v>1.1000000000000001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108">
        <v>13400402</v>
      </c>
      <c r="AA2" s="110">
        <v>1</v>
      </c>
    </row>
    <row r="3" spans="1:27" ht="21" customHeight="1" x14ac:dyDescent="0.15">
      <c r="A3" s="15" t="str">
        <f>B3&amp;"_"&amp;C3&amp;"-"&amp;G3&amp;"/"&amp;M3&amp;"&lt;lv"&amp;S3&amp;"&gt;sq"&amp;K3&amp;"st"&amp;L3</f>
        <v>13400_10-2/1268&lt;lv80&gt;sq1st3</v>
      </c>
      <c r="B3" s="20">
        <v>13400</v>
      </c>
      <c r="C3" s="109">
        <v>10</v>
      </c>
      <c r="D3" s="14" t="str">
        <f>B3&amp;"_"&amp;C3</f>
        <v>13400_10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10階 ローズ 現る！</v>
      </c>
      <c r="G3" s="109">
        <v>2</v>
      </c>
      <c r="H3" s="14" t="str">
        <f>B3&amp;"_"&amp;C3&amp;"-"&amp;G3</f>
        <v>13400_10-2</v>
      </c>
      <c r="I3" s="4" t="e">
        <f ca="1">VLOOKUP($H3,OFFSET([5]floors!$A$1,0,0,COUNTA([5]floors!$A:$A),MATCH(I$1,[5]floors!$1:$1,0)-MATCH($H$1,[5]floors!$1:$1,0)+1),MATCH(I$1,[5]floors!$1:$1,0)-MATCH($H$1,[5]floors!$1:$1,0)+1,FALSE)</f>
        <v>#VALUE!</v>
      </c>
      <c r="J3" s="4" t="e">
        <f ca="1">VLOOKUP($H3,OFFSET([5]floors!$A$1,0,0,COUNTA([5]floors!$A:$A),MATCH(J$1,[5]floors!$1:$1,0)-MATCH($H$1,[5]floors!$1:$1,0)+1),MATCH(J$1,[5]floors!$1:$1,0)-MATCH($H$1,[5]floors!$1:$1,0)+1,FALSE)</f>
        <v>#VALUE!</v>
      </c>
      <c r="K3" s="36">
        <v>1</v>
      </c>
      <c r="L3" s="36">
        <v>3</v>
      </c>
      <c r="M3" s="104">
        <v>1268</v>
      </c>
      <c r="N3" s="16" t="str">
        <f ca="1">VLOOKUP($M3,OFFSET([3]enemies!$A$1,0,0,COUNTA([3]enemies!$A:$A),MATCH(N$1,[3]enemies!$1:$1,0)-MATCH($M$1,[3]enemies!$1:$1,0)+1),MATCH(N$1,[3]enemies!$1:$1,0)-MATCH($M$1,[3]enemies!$1:$1,0)+1,FALSE)</f>
        <v>ローズ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queen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3">
        <v>5</v>
      </c>
      <c r="U3" s="10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692750</v>
      </c>
      <c r="V3" s="23">
        <v>1.1000000000000001</v>
      </c>
      <c r="W3" s="10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13280.300000000001</v>
      </c>
      <c r="X3" s="5">
        <v>0</v>
      </c>
      <c r="Y3" s="4" t="e">
        <f ca="1">VLOOKUP($Z3,OFFSET([6]enemy_skill_sets!$B$1,0,0,COUNTA([6]enemy_skill_sets!$B:$B),MATCH(N$1,[6]enemy_skill_sets!$1:$1,0)-MATCH($Z$1,[6]enemy_skill_sets!$1:$1,0)+2),MATCH(N$1,[6]enemy_skill_sets!$1:$1,0)-MATCH($Z$1,[6]enemy_skill_sets!$1:$1,0)+2,FALSE)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3" s="108">
        <v>13400403</v>
      </c>
      <c r="AA3" s="110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8" activePane="bottomRight" state="frozen"/>
      <selection pane="topRight"/>
      <selection pane="bottomLeft"/>
      <selection pane="bottomRight" activeCell="L26" sqref="L26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13400400_13400400</v>
      </c>
      <c r="B2" s="45">
        <v>13400400</v>
      </c>
      <c r="C2" s="45">
        <v>13400400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ハッピー…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不安そうな顔をしている</v>
      </c>
      <c r="F2" s="45">
        <v>13400400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27" si="1">B3&amp;"_"&amp;C3</f>
        <v>13400400_13400401</v>
      </c>
      <c r="B3" s="45">
        <v>13400400</v>
      </c>
      <c r="C3" s="45">
        <v>13400401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全ユニットのスキルゲージを上昇</v>
      </c>
      <c r="F3" s="45">
        <v>13400401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13400400_13400402</v>
      </c>
      <c r="B4" s="45">
        <v>13400400</v>
      </c>
      <c r="C4" s="45">
        <v>13400402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ハッピー…！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何かに怯えるように逃げ去っていった…</v>
      </c>
      <c r="F4" s="45">
        <v>13400402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13400401_13400405</v>
      </c>
      <c r="B5" s="45">
        <v>13400401</v>
      </c>
      <c r="C5" s="45">
        <v>13400405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あんたたち、何しに来たの？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状態異常耐性+_x000D_青属性以外のダメージ90%軽減</v>
      </c>
      <c r="F5" s="45">
        <v>13400405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13400401_13400406</v>
      </c>
      <c r="B6" s="45">
        <v>13400401</v>
      </c>
      <c r="C6" s="45">
        <v>13400406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気安く触らないでよ！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単体攻撃+_x000D_ランダムでダメージパネルに最大6個変換</v>
      </c>
      <c r="F6" s="45">
        <v>13400406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6" s="45"/>
      <c r="Q6" s="45"/>
      <c r="R6" s="45"/>
    </row>
    <row r="7" spans="1:18" ht="21" customHeight="1" x14ac:dyDescent="0.15">
      <c r="A7" s="37" t="str">
        <f t="shared" si="1"/>
        <v>13400401_13400407</v>
      </c>
      <c r="B7" s="45">
        <v>13400401</v>
      </c>
      <c r="C7" s="45">
        <v>13400407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ちょっと動かないで！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単体攻撃+_x000D_ランダムでお邪魔パネルに最大6個変換</v>
      </c>
      <c r="F7" s="45">
        <v>13400407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7" s="45"/>
      <c r="Q7" s="45"/>
      <c r="R7" s="45"/>
    </row>
    <row r="8" spans="1:18" ht="21" customHeight="1" x14ac:dyDescent="0.15">
      <c r="A8" s="37" t="str">
        <f t="shared" si="1"/>
        <v>13400401_13400408</v>
      </c>
      <c r="B8" s="45">
        <v>13400401</v>
      </c>
      <c r="C8" s="45">
        <v>13400408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変なことしちゃヤダよ！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2ターンお邪魔パネルを吸収して防御力UP</v>
      </c>
      <c r="F8" s="45">
        <v>13400408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13400401_13400409</v>
      </c>
      <c r="B9" s="45">
        <v>13400401</v>
      </c>
      <c r="C9" s="45">
        <v>13400409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もう怒ったよー！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5ターン全ユニットの回復力80%DOWN</v>
      </c>
      <c r="F9" s="45">
        <v>13400409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1"/>
        <v>13400401_13400410</v>
      </c>
      <c r="B10" s="45">
        <v>13400401</v>
      </c>
      <c r="C10" s="45">
        <v>13400410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あんたたちなんてーっ！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5ターンウィルス+単体攻撃</v>
      </c>
      <c r="F10" s="45">
        <v>13400410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6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5"/>
      <c r="Q10" s="45"/>
      <c r="R10" s="45"/>
    </row>
    <row r="11" spans="1:18" ht="21" customHeight="1" x14ac:dyDescent="0.15">
      <c r="A11" s="37" t="str">
        <f t="shared" si="1"/>
        <v>13400402_13400415</v>
      </c>
      <c r="B11" s="45">
        <v>13400402</v>
      </c>
      <c r="C11" s="45">
        <v>13400415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もう許さないんだから！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状態異常耐性+_x000D_6ターンCパネル生成延長(効果特大)</v>
      </c>
      <c r="F11" s="45">
        <v>13400415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1"/>
        <v>13400402_13400416</v>
      </c>
      <c r="B12" s="45">
        <v>13400402</v>
      </c>
      <c r="C12" s="45">
        <v>13400416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ああああっ！！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単体攻撃+_x000D_ランダムでダメージパネルに最大6個変換</v>
      </c>
      <c r="F12" s="45">
        <v>13400416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5"/>
      <c r="Q12" s="45"/>
      <c r="R12" s="45"/>
    </row>
    <row r="13" spans="1:18" ht="21" customHeight="1" x14ac:dyDescent="0.15">
      <c r="A13" s="37" t="str">
        <f t="shared" si="1"/>
        <v>13400402_13400417</v>
      </c>
      <c r="B13" s="45">
        <v>13400402</v>
      </c>
      <c r="C13" s="45">
        <v>13400417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ああああっ！！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単体攻撃+_x000D_ランダムでお邪魔パネルに最大6個変換</v>
      </c>
      <c r="F13" s="45">
        <v>13400417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13" s="45"/>
      <c r="Q13" s="45"/>
      <c r="R13" s="45"/>
    </row>
    <row r="14" spans="1:18" ht="21" customHeight="1" x14ac:dyDescent="0.15">
      <c r="A14" s="37" t="str">
        <f t="shared" si="1"/>
        <v>13400402_13400418</v>
      </c>
      <c r="B14" s="45">
        <v>13400402</v>
      </c>
      <c r="C14" s="45">
        <v>13400418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消し飛んじゃえっ…！！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4" s="45">
        <v>13400418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13400402_13400419</v>
      </c>
      <c r="B15" s="45">
        <v>13400402</v>
      </c>
      <c r="C15" s="45">
        <v>13400419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もう嫌…！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5ターン全ユニットの回復力80%DOWN+_x000D_1ターン暗闇</v>
      </c>
      <c r="F15" s="45">
        <v>13400419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13400402_13400420</v>
      </c>
      <c r="B16" s="45">
        <v>13400402</v>
      </c>
      <c r="C16" s="45">
        <v>13400420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あんたたちなんか…！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5ターンウィルス+単体攻撃</v>
      </c>
      <c r="F16" s="45">
        <v>13400420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6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5"/>
      <c r="Q16" s="45"/>
      <c r="R16" s="45"/>
    </row>
    <row r="17" spans="1:18" ht="21" customHeight="1" x14ac:dyDescent="0.15">
      <c r="A17" s="37" t="str">
        <f t="shared" si="1"/>
        <v>13400402_13400421</v>
      </c>
      <c r="B17" s="45">
        <v>13400402</v>
      </c>
      <c r="C17" s="45">
        <v>13400421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嫌っ…嫌嫌嫌！！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3ターンタップ回数を2DOWN_x000D_【次のターン超大ダメージの5回連続全体攻撃】</v>
      </c>
      <c r="F17" s="45">
        <v>13400421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1"/>
        <v>13400402_13400422</v>
      </c>
      <c r="B18" s="45">
        <v>13400402</v>
      </c>
      <c r="C18" s="45">
        <v>13400422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いなくなっちゃえ！！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超大ダメージの5回連続全体攻撃</v>
      </c>
      <c r="F18" s="45">
        <v>13400422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13400403_13400425</v>
      </c>
      <c r="B19" s="45">
        <v>13400403</v>
      </c>
      <c r="C19" s="45">
        <v>13400425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ふふ…アハハッ…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状態異常耐性+_x000D_6ターンCパネル生成延長(効果特大)</v>
      </c>
      <c r="F19" s="45">
        <v>13400425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13400403_13400426</v>
      </c>
      <c r="B20" s="45">
        <v>13400403</v>
      </c>
      <c r="C20" s="45">
        <v>13400426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これで排除するわ…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全体攻撃+_x000D_ランダムでダメージパネルに最大6個変換</v>
      </c>
      <c r="F20" s="45">
        <v>13400426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20" s="45"/>
      <c r="Q20" s="45"/>
      <c r="R20" s="45"/>
    </row>
    <row r="21" spans="1:18" ht="21" customHeight="1" x14ac:dyDescent="0.15">
      <c r="A21" s="37" t="str">
        <f t="shared" si="1"/>
        <v>13400403_13400427</v>
      </c>
      <c r="B21" s="45">
        <v>13400403</v>
      </c>
      <c r="C21" s="45">
        <v>13400427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もうやめてよね…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全体攻撃+_x000D_ランダムでお邪魔パネルに最大6個変換</v>
      </c>
      <c r="F21" s="45">
        <v>13400427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1" s="45"/>
      <c r="Q21" s="45"/>
      <c r="R21" s="45"/>
    </row>
    <row r="22" spans="1:18" ht="21" customHeight="1" x14ac:dyDescent="0.15">
      <c r="A22" s="37" t="str">
        <f t="shared" si="1"/>
        <v>13400403_13400428</v>
      </c>
      <c r="B22" s="45">
        <v>13400403</v>
      </c>
      <c r="C22" s="45">
        <v>13400428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もう知らない…知らない…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22" s="45">
        <v>13400428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1"/>
        <v>13400403_13400429</v>
      </c>
      <c r="B23" s="45">
        <v>13400403</v>
      </c>
      <c r="C23" s="45">
        <v>13400429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なんだかおかしな気分…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5ターン全ユニットの回復力80%DOWN+_x000D_1ターン暗闇</v>
      </c>
      <c r="F23" s="45">
        <v>13400429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1"/>
        <v>13400403_13400430</v>
      </c>
      <c r="B24" s="45">
        <v>13400403</v>
      </c>
      <c r="C24" s="45">
        <v>13400430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壊してあげる…！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5ターンウィルス+単体攻撃</v>
      </c>
      <c r="F24" s="45">
        <v>13400430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5"/>
      <c r="Q24" s="45"/>
      <c r="R24" s="45"/>
    </row>
    <row r="25" spans="1:18" ht="21" customHeight="1" x14ac:dyDescent="0.15">
      <c r="A25" s="37" t="str">
        <f t="shared" si="1"/>
        <v>13400403_13400431</v>
      </c>
      <c r="B25" s="45">
        <v>13400403</v>
      </c>
      <c r="C25" s="45">
        <v>13400431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もう終わりにしてあげる…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3ターンタップ回数を2DOWN_x000D_【次のターン超大ダメージの5回連続全体攻撃】</v>
      </c>
      <c r="F25" s="45">
        <v>13400431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1"/>
        <v>13400403_13400432</v>
      </c>
      <c r="B26" s="45">
        <v>13400403</v>
      </c>
      <c r="C26" s="45">
        <v>13400432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もう飽きちゃったよ…消えて…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超大ダメージの5回連続全体攻撃</v>
      </c>
      <c r="F26" s="45">
        <v>13400432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1"/>
        <v>13400403_13400433</v>
      </c>
      <c r="B27" s="45">
        <v>13400403</v>
      </c>
      <c r="C27" s="45">
        <v>13400433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あたしおかしくなっちゃったのかな…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遊ぶの楽しくなってきちゃった…_x000D_また後でね…</v>
      </c>
      <c r="F27" s="45">
        <v>13400433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E36"/>
  <sheetViews>
    <sheetView showGridLines="0" tabSelected="1" topLeftCell="C1" zoomScale="110" zoomScaleNormal="110" zoomScalePageLayoutView="110" workbookViewId="0">
      <pane ySplit="1" topLeftCell="A2" activePane="bottomLeft" state="frozenSplit"/>
      <selection pane="bottomLeft" activeCell="F10" sqref="F10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33" style="47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4.83203125" style="47" customWidth="1" collapsed="1"/>
    <col min="13" max="18" width="4.83203125" style="47" hidden="1" customWidth="1" outlineLevel="1"/>
    <col min="19" max="19" width="4.83203125" style="47" customWidth="1" collapsed="1"/>
    <col min="20" max="24" width="4.83203125" style="47" hidden="1" customWidth="1" outlineLevel="1"/>
    <col min="25" max="25" width="4.83203125" style="47" customWidth="1" collapsed="1"/>
    <col min="26" max="28" width="4.832031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29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252</v>
      </c>
    </row>
    <row r="2" spans="1:29" ht="21" customHeight="1" x14ac:dyDescent="0.15">
      <c r="A2" s="45">
        <v>13400400</v>
      </c>
      <c r="B2" s="46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>[effect:enemy_message, val1:1.2, val2:1.2],[effect:fix_speed, target:myself, turn:1],[effect:sleep, target:unit_all, turn:2, rate:1, calc_type:target_one]</v>
      </c>
      <c r="C2" s="48">
        <v>3</v>
      </c>
      <c r="D2" s="48" t="s">
        <v>251</v>
      </c>
      <c r="E2" s="49" t="s">
        <v>277</v>
      </c>
      <c r="F2" s="49" t="s">
        <v>274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IFERROR(VLOOKUP(MID(G2,J2,K2-J2),[7]skilldef!$C:$D,2,FALSE),"-") &amp; " / " &amp; IFERROR(VLOOKUP(MID(G2,H2,I2-H2),[7]skilldef!$A:$B,2,FALSE),"-")</f>
        <v>- / -</v>
      </c>
      <c r="M2" s="61" t="str">
        <f>IFERROR(RIGHT(B2,LEN(B2)-FIND("],",B2)-1),"none")</f>
        <v>[effect:fix_speed, target:myself, turn:1],[effect:sleep, target:unit_all, turn:2, rate:1, calc_type:target_one]</v>
      </c>
      <c r="N2" s="46" t="str">
        <f>IFERROR(LEFT(M2,FIND("],",M2)+S7),M2)</f>
        <v>[effect:fix_speed, target:myself, turn:1],[effect:sleep, target:unit_all, turn:2, rate:1, calc_type:target_one]</v>
      </c>
      <c r="O2" s="61">
        <f>FIND("effect:",N2)+7</f>
        <v>9</v>
      </c>
      <c r="P2" s="61">
        <f>IFERROR(FIND(",",N2),LEN(N2))</f>
        <v>18</v>
      </c>
      <c r="Q2" s="61">
        <f>FIND("target:",N2)+7</f>
        <v>27</v>
      </c>
      <c r="R2" s="61">
        <f>FIND(",",N2,P2+1)</f>
        <v>33</v>
      </c>
      <c r="S2" s="61" t="str">
        <f>IFERROR(VLOOKUP(MID(N2,Q2,R2-Q2),[7]skilldef!$C:$D,2,FALSE),"-") &amp; " / " &amp; IFERROR(VLOOKUP(MID(N2,O2,P2-O2),[7]skilldef!$A:$B,2,FALSE),"-")</f>
        <v>自分自身に / 行動値設定</v>
      </c>
      <c r="T2" s="46" t="str">
        <f>IFERROR(RIGHT(M2,LEN(M2)-FIND("],",M2)-1),"none")</f>
        <v>[effect:sleep, target:unit_all, turn:2, rate:1, calc_type:target_one]</v>
      </c>
      <c r="U2" s="61">
        <f>FIND("effect:",T2)+7</f>
        <v>9</v>
      </c>
      <c r="V2" s="61">
        <f>IFERROR(FIND(",",T2),LEN(T2))</f>
        <v>14</v>
      </c>
      <c r="W2" s="61">
        <f>FIND("target:",T2)+7</f>
        <v>23</v>
      </c>
      <c r="X2" s="61">
        <f>FIND(",",T2,V2+1)</f>
        <v>31</v>
      </c>
      <c r="Y2" s="61" t="str">
        <f>IFERROR(VLOOKUP(MID(T2,W2,X2-W2),[7]skilldef!$C:$D,2,FALSE),"-") &amp; " / " &amp; IFERROR(VLOOKUP(MID(T2,U2,V2-U2),[7]skilldef!$A:$B,2,FALSE),"-")</f>
        <v>味方全体に / スリープ</v>
      </c>
      <c r="Z2" s="48"/>
      <c r="AA2" s="50"/>
      <c r="AB2" s="48"/>
      <c r="AC2" s="101" t="s">
        <v>264</v>
      </c>
    </row>
    <row r="3" spans="1:29" ht="21" customHeight="1" x14ac:dyDescent="0.15">
      <c r="A3" s="45">
        <v>13400401</v>
      </c>
      <c r="B3" s="46" t="str">
        <f t="shared" ref="B3:B36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LEN(F3)*0.1)),"0.0")&amp;"]"&amp;IF(LEN(AC3)&gt;0, ","&amp;AC3,AC3)</f>
        <v>[effect:enemy_message, val1:1.2, val2:1.5],[effect:sp_boost, target:unit_all, val:99, animation:sp_boost_one03]</v>
      </c>
      <c r="C3" s="48">
        <v>3</v>
      </c>
      <c r="D3" s="48" t="s">
        <v>251</v>
      </c>
      <c r="E3" s="49" t="s">
        <v>276</v>
      </c>
      <c r="F3" s="49" t="s">
        <v>275</v>
      </c>
      <c r="G3" s="61" t="str">
        <f t="shared" ref="G3:G36" si="1">IFERROR(LEFT(B3,FIND("],",B3)),B3)</f>
        <v>[effect:enemy_message, val1:1.2, val2:1.5]</v>
      </c>
      <c r="H3" s="61">
        <f t="shared" ref="H3:H36" si="2">FIND("effect:",G3)+7</f>
        <v>9</v>
      </c>
      <c r="I3" s="61">
        <f t="shared" ref="I3:I36" si="3">IFERROR(FIND(",",G3),LEN(G3))</f>
        <v>22</v>
      </c>
      <c r="J3" s="61" t="e">
        <f t="shared" ref="J3:J36" si="4">FIND("target:",G3)+7</f>
        <v>#VALUE!</v>
      </c>
      <c r="K3" s="61">
        <f t="shared" ref="K3:K36" si="5">FIND(",",G3,I3+1)</f>
        <v>32</v>
      </c>
      <c r="L3" s="61" t="str">
        <f>IFERROR(VLOOKUP(MID(G3,J3,K3-J3),[7]skilldef!$C:$D,2,FALSE),"-") &amp; " / " &amp; IFERROR(VLOOKUP(MID(G3,H3,I3-H3),[7]skilldef!$A:$B,2,FALSE),"-")</f>
        <v>- / -</v>
      </c>
      <c r="M3" s="61" t="str">
        <f t="shared" ref="M3:M36" si="6">IFERROR(RIGHT(B3,LEN(B3)-FIND("],",B3)-1),"none")</f>
        <v>[effect:sp_boost, target:unit_all, val:99, animation:sp_boost_one03]</v>
      </c>
      <c r="N3" s="46" t="str">
        <f t="shared" ref="N3:N31" si="7">IFERROR(LEFT(M3,FIND("],",M3)+S8),M3)</f>
        <v>[effect:sp_boost, target:unit_all, val:99, animation:sp_boost_one03]</v>
      </c>
      <c r="O3" s="61">
        <f t="shared" ref="O3:O36" si="8">FIND("effect:",N3)+7</f>
        <v>9</v>
      </c>
      <c r="P3" s="61">
        <f t="shared" ref="P3:P36" si="9">IFERROR(FIND(",",N3),LEN(N3))</f>
        <v>17</v>
      </c>
      <c r="Q3" s="61">
        <f t="shared" ref="Q3:Q36" si="10">FIND("target:",N3)+7</f>
        <v>26</v>
      </c>
      <c r="R3" s="61">
        <f t="shared" ref="R3:R36" si="11">FIND(",",N3,P3+1)</f>
        <v>34</v>
      </c>
      <c r="S3" s="61" t="str">
        <f>IFERROR(VLOOKUP(MID(N3,Q3,R3-Q3),[7]skilldef!$C:$D,2,FALSE),"-") &amp; " / " &amp; IFERROR(VLOOKUP(MID(N3,O3,P3-O3),[7]skilldef!$A:$B,2,FALSE),"-")</f>
        <v>味方全体に / -</v>
      </c>
      <c r="T3" s="46" t="str">
        <f t="shared" ref="T3:T36" si="12">IFERROR(RIGHT(M3,LEN(M3)-FIND("],",M3)-1),"none")</f>
        <v>none</v>
      </c>
      <c r="U3" s="61" t="e">
        <f t="shared" ref="U3:U36" si="13">FIND("effect:",T3)+7</f>
        <v>#VALUE!</v>
      </c>
      <c r="V3" s="61">
        <f t="shared" ref="V3:V36" si="14">IFERROR(FIND(",",T3),LEN(T3))</f>
        <v>4</v>
      </c>
      <c r="W3" s="61" t="e">
        <f t="shared" ref="W3:W36" si="15">FIND("target:",T3)+7</f>
        <v>#VALUE!</v>
      </c>
      <c r="X3" s="61" t="e">
        <f t="shared" ref="X3:X36" si="16">FIND(",",T3,V3+1)</f>
        <v>#VALUE!</v>
      </c>
      <c r="Y3" s="61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  <c r="AC3" s="101" t="s">
        <v>260</v>
      </c>
    </row>
    <row r="4" spans="1:29" ht="21" customHeight="1" x14ac:dyDescent="0.15">
      <c r="A4" s="45">
        <v>13400402</v>
      </c>
      <c r="B4" s="46" t="str">
        <f t="shared" si="0"/>
        <v>[effect:enemy_message, val1:1.2, val2:1.8],[effect:suicide, val:1, dead_type:escape]</v>
      </c>
      <c r="C4" s="48">
        <v>3</v>
      </c>
      <c r="D4" s="48" t="s">
        <v>251</v>
      </c>
      <c r="E4" s="49" t="s">
        <v>278</v>
      </c>
      <c r="F4" s="49" t="s">
        <v>279</v>
      </c>
      <c r="G4" s="61" t="str">
        <f t="shared" si="1"/>
        <v>[effect:enemy_message, val1:1.2, val2:1.8]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IFERROR(VLOOKUP(MID(G4,J4,K4-J4),[7]skilldef!$C:$D,2,FALSE),"-") &amp; " / " &amp; IFERROR(VLOOKUP(MID(G4,H4,I4-H4),[7]skilldef!$A:$B,2,FALSE),"-")</f>
        <v>- / -</v>
      </c>
      <c r="M4" s="61" t="str">
        <f t="shared" si="6"/>
        <v>[effect:suicide, val:1, dead_type:escape]</v>
      </c>
      <c r="N4" s="46" t="str">
        <f t="shared" si="7"/>
        <v>[effect:suicide, val:1, dead_type:escape]</v>
      </c>
      <c r="O4" s="61">
        <f t="shared" si="8"/>
        <v>9</v>
      </c>
      <c r="P4" s="61">
        <f t="shared" si="9"/>
        <v>16</v>
      </c>
      <c r="Q4" s="61" t="e">
        <f t="shared" si="10"/>
        <v>#VALUE!</v>
      </c>
      <c r="R4" s="61">
        <f t="shared" si="11"/>
        <v>23</v>
      </c>
      <c r="S4" s="61" t="str">
        <f>IFERROR(VLOOKUP(MID(N4,Q4,R4-Q4),[7]skilldef!$C:$D,2,FALSE),"-") &amp; " / " &amp; IFERROR(VLOOKUP(MID(N4,O4,P4-O4),[7]skilldef!$A:$B,2,FALSE),"-")</f>
        <v>- / -</v>
      </c>
      <c r="T4" s="46" t="str">
        <f t="shared" si="12"/>
        <v>none</v>
      </c>
      <c r="U4" s="61" t="e">
        <f t="shared" si="13"/>
        <v>#VALUE!</v>
      </c>
      <c r="V4" s="61">
        <f t="shared" si="14"/>
        <v>4</v>
      </c>
      <c r="W4" s="61" t="e">
        <f t="shared" si="15"/>
        <v>#VALUE!</v>
      </c>
      <c r="X4" s="61" t="e">
        <f t="shared" si="16"/>
        <v>#VALUE!</v>
      </c>
      <c r="Y4" s="61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  <c r="AC4" s="101" t="s">
        <v>337</v>
      </c>
    </row>
    <row r="5" spans="1:29" ht="21" customHeight="1" x14ac:dyDescent="0.15">
      <c r="A5" s="45">
        <v>13400403</v>
      </c>
      <c r="B5" s="46" t="str">
        <f t="shared" si="0"/>
        <v>[effect:enemy_message, val1:1.2, val2:1.2],[effect:nothing]</v>
      </c>
      <c r="C5" s="48">
        <v>1</v>
      </c>
      <c r="D5" s="48" t="s">
        <v>251</v>
      </c>
      <c r="E5" s="49" t="s">
        <v>255</v>
      </c>
      <c r="F5" s="49" t="s">
        <v>256</v>
      </c>
      <c r="G5" s="61" t="str">
        <f t="shared" si="1"/>
        <v>[effect:enemy_message, val1:1.2, val2:1.2]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IFERROR(VLOOKUP(MID(G5,J5,K5-J5),[7]skilldef!$C:$D,2,FALSE),"-") &amp; " / " &amp; IFERROR(VLOOKUP(MID(G5,H5,I5-H5),[7]skilldef!$A:$B,2,FALSE),"-")</f>
        <v>- / -</v>
      </c>
      <c r="M5" s="61" t="str">
        <f t="shared" si="6"/>
        <v>[effect:nothing]</v>
      </c>
      <c r="N5" s="46" t="str">
        <f t="shared" si="7"/>
        <v>[effect:nothing]</v>
      </c>
      <c r="O5" s="61">
        <f t="shared" si="8"/>
        <v>9</v>
      </c>
      <c r="P5" s="61">
        <f t="shared" si="9"/>
        <v>16</v>
      </c>
      <c r="Q5" s="61" t="e">
        <f t="shared" si="10"/>
        <v>#VALUE!</v>
      </c>
      <c r="R5" s="61" t="e">
        <f t="shared" si="11"/>
        <v>#VALUE!</v>
      </c>
      <c r="S5" s="61" t="str">
        <f>IFERROR(VLOOKUP(MID(N5,Q5,R5-Q5),[7]skilldef!$C:$D,2,FALSE),"-") &amp; " / " &amp; IFERROR(VLOOKUP(MID(N5,O5,P5-O5),[7]skilldef!$A:$B,2,FALSE),"-")</f>
        <v>- / 何もしない</v>
      </c>
      <c r="T5" s="46" t="str">
        <f t="shared" si="12"/>
        <v>none</v>
      </c>
      <c r="U5" s="61" t="e">
        <f t="shared" si="13"/>
        <v>#VALUE!</v>
      </c>
      <c r="V5" s="61">
        <f t="shared" si="14"/>
        <v>4</v>
      </c>
      <c r="W5" s="61" t="e">
        <f t="shared" si="15"/>
        <v>#VALUE!</v>
      </c>
      <c r="X5" s="61" t="e">
        <f t="shared" si="16"/>
        <v>#VALUE!</v>
      </c>
      <c r="Y5" s="61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  <c r="AC5" s="101" t="s">
        <v>261</v>
      </c>
    </row>
    <row r="6" spans="1:29" ht="21" customHeight="1" x14ac:dyDescent="0.15">
      <c r="A6" s="45">
        <v>13400404</v>
      </c>
      <c r="B6" s="46" t="str">
        <f t="shared" si="0"/>
        <v>[effect:enemy_message, val1:1.2, val2:1.2],[effect:nothing]</v>
      </c>
      <c r="C6" s="48">
        <v>1</v>
      </c>
      <c r="D6" s="48" t="s">
        <v>251</v>
      </c>
      <c r="E6" s="49" t="s">
        <v>255</v>
      </c>
      <c r="F6" s="49" t="s">
        <v>256</v>
      </c>
      <c r="G6" s="61" t="str">
        <f t="shared" si="1"/>
        <v>[effect:enemy_message, val1:1.2, val2:1.2]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IFERROR(VLOOKUP(MID(G6,J6,K6-J6),[7]skilldef!$C:$D,2,FALSE),"-") &amp; " / " &amp; IFERROR(VLOOKUP(MID(G6,H6,I6-H6),[7]skilldef!$A:$B,2,FALSE),"-")</f>
        <v>- / -</v>
      </c>
      <c r="M6" s="61" t="str">
        <f t="shared" si="6"/>
        <v>[effect:nothing]</v>
      </c>
      <c r="N6" s="46" t="str">
        <f t="shared" si="7"/>
        <v>[effect:nothing]</v>
      </c>
      <c r="O6" s="61">
        <f t="shared" si="8"/>
        <v>9</v>
      </c>
      <c r="P6" s="61">
        <f t="shared" si="9"/>
        <v>16</v>
      </c>
      <c r="Q6" s="61" t="e">
        <f t="shared" si="10"/>
        <v>#VALUE!</v>
      </c>
      <c r="R6" s="61" t="e">
        <f t="shared" si="11"/>
        <v>#VALUE!</v>
      </c>
      <c r="S6" s="61" t="str">
        <f>IFERROR(VLOOKUP(MID(N6,Q6,R6-Q6),[7]skilldef!$C:$D,2,FALSE),"-") &amp; " / " &amp; IFERROR(VLOOKUP(MID(N6,O6,P6-O6),[7]skilldef!$A:$B,2,FALSE),"-")</f>
        <v>- / 何もしない</v>
      </c>
      <c r="T6" s="46" t="str">
        <f t="shared" si="12"/>
        <v>none</v>
      </c>
      <c r="U6" s="61" t="e">
        <f t="shared" si="13"/>
        <v>#VALUE!</v>
      </c>
      <c r="V6" s="61">
        <f t="shared" si="14"/>
        <v>4</v>
      </c>
      <c r="W6" s="61" t="e">
        <f t="shared" si="15"/>
        <v>#VALUE!</v>
      </c>
      <c r="X6" s="61" t="e">
        <f t="shared" si="16"/>
        <v>#VALUE!</v>
      </c>
      <c r="Y6" s="61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/>
      <c r="AC6" s="101" t="s">
        <v>261</v>
      </c>
    </row>
    <row r="7" spans="1:29" ht="21" customHeight="1" x14ac:dyDescent="0.15">
      <c r="A7" s="45">
        <v>13400405</v>
      </c>
      <c r="B7" s="46" t="str">
        <f t="shared" si="0"/>
        <v>[effect:enemy_message, val1:1.3, val2:2.3],[effect:tolerance, target:myself, turn:-1, count:-1, tolerance_effect:all, animation:enemy_tolerance],[effect:reduction, target:myself, reduction_target:unit_blue/not, turn:-1, val:0.9, animation:reduction_one03],[effect:fix_speed, target:myself, turn:1]</v>
      </c>
      <c r="C7" s="48">
        <v>3</v>
      </c>
      <c r="D7" s="48" t="s">
        <v>251</v>
      </c>
      <c r="E7" s="49" t="s">
        <v>316</v>
      </c>
      <c r="F7" s="49" t="s">
        <v>301</v>
      </c>
      <c r="G7" s="61" t="str">
        <f t="shared" si="1"/>
        <v>[effect:enemy_message, val1:1.3, val2:2.3]</v>
      </c>
      <c r="H7" s="61">
        <f t="shared" si="2"/>
        <v>9</v>
      </c>
      <c r="I7" s="61">
        <f t="shared" si="3"/>
        <v>22</v>
      </c>
      <c r="J7" s="61" t="e">
        <f t="shared" si="4"/>
        <v>#VALUE!</v>
      </c>
      <c r="K7" s="61">
        <f t="shared" si="5"/>
        <v>32</v>
      </c>
      <c r="L7" s="61" t="str">
        <f>IFERROR(VLOOKUP(MID(G7,J7,K7-J7),[7]skilldef!$C:$D,2,FALSE),"-") &amp; " / " &amp; IFERROR(VLOOKUP(MID(G7,H7,I7-H7),[7]skilldef!$A:$B,2,FALSE),"-")</f>
        <v>- / -</v>
      </c>
      <c r="M7" s="61" t="str">
        <f t="shared" si="6"/>
        <v>[effect:tolerance, target:myself, turn:-1, count:-1, tolerance_effect:all, animation:enemy_tolerance],[effect:reduction, target:myself, reduction_target:unit_blue/not, turn:-1, val:0.9, animation:reduction_one03],[effect:fix_speed, target:myself, turn:1]</v>
      </c>
      <c r="N7" s="46" t="str">
        <f t="shared" si="7"/>
        <v>[effect:tolerance, target:myself, turn:-1, count:-1, tolerance_effect:all, animation:enemy_tolerance],[effect:reduction, target:myself, reduction_target:unit_blue/not, turn:-1, val:0.9, animation:reduction_one03],[effect:fix_speed, target:myself, turn:1]</v>
      </c>
      <c r="O7" s="61">
        <f t="shared" si="8"/>
        <v>9</v>
      </c>
      <c r="P7" s="61">
        <f t="shared" si="9"/>
        <v>18</v>
      </c>
      <c r="Q7" s="61">
        <f t="shared" si="10"/>
        <v>27</v>
      </c>
      <c r="R7" s="61">
        <f t="shared" si="11"/>
        <v>33</v>
      </c>
      <c r="S7" s="61" t="str">
        <f>IFERROR(VLOOKUP(MID(N7,Q7,R7-Q7),[7]skilldef!$C:$D,2,FALSE),"-") &amp; " / " &amp; IFERROR(VLOOKUP(MID(N7,O7,P7-O7),[7]skilldef!$A:$B,2,FALSE),"-")</f>
        <v>自分自身に / 状態異常耐性</v>
      </c>
      <c r="T7" s="46" t="str">
        <f t="shared" si="12"/>
        <v>[effect:reduction, target:myself, reduction_target:unit_blue/not, turn:-1, val:0.9, animation:reduction_one03],[effect:fix_speed, target:myself, turn:1]</v>
      </c>
      <c r="U7" s="61">
        <f t="shared" si="13"/>
        <v>9</v>
      </c>
      <c r="V7" s="61">
        <f t="shared" si="14"/>
        <v>18</v>
      </c>
      <c r="W7" s="61">
        <f t="shared" si="15"/>
        <v>27</v>
      </c>
      <c r="X7" s="61">
        <f t="shared" si="16"/>
        <v>33</v>
      </c>
      <c r="Y7" s="61" t="str">
        <f>IFERROR(VLOOKUP(MID(T7,W7,X7-W7),[7]skilldef!$C:$D,2,FALSE),"-") &amp; " / " &amp; IFERROR(VLOOKUP(MID(T7,U7,V7-U7),[7]skilldef!$A:$B,2,FALSE),"-")</f>
        <v>自分自身に / -</v>
      </c>
      <c r="Z7" s="48"/>
      <c r="AA7" s="50"/>
      <c r="AB7" s="48"/>
      <c r="AC7" s="101" t="s">
        <v>300</v>
      </c>
    </row>
    <row r="8" spans="1:29" ht="21" customHeight="1" x14ac:dyDescent="0.15">
      <c r="A8" s="45">
        <v>13400406</v>
      </c>
      <c r="B8" s="46" t="str">
        <f t="shared" si="0"/>
        <v>[effect:enemy_message, val1:1.2, val2:2.5],[effect:rush, count:1, val:0.8],[effect:force_change_block, new_block:damage, target:block_all, ignore01:block_positive, ignore02:block_negative, count:6, val:0.1]</v>
      </c>
      <c r="C8" s="48">
        <v>3</v>
      </c>
      <c r="D8" s="48" t="s">
        <v>251</v>
      </c>
      <c r="E8" s="49" t="s">
        <v>317</v>
      </c>
      <c r="F8" s="49" t="s">
        <v>329</v>
      </c>
      <c r="G8" s="61" t="str">
        <f t="shared" si="1"/>
        <v>[effect:enemy_message, val1:1.2, val2:2.5]</v>
      </c>
      <c r="H8" s="61">
        <f t="shared" si="2"/>
        <v>9</v>
      </c>
      <c r="I8" s="61">
        <f t="shared" si="3"/>
        <v>22</v>
      </c>
      <c r="J8" s="61" t="e">
        <f t="shared" si="4"/>
        <v>#VALUE!</v>
      </c>
      <c r="K8" s="61">
        <f t="shared" si="5"/>
        <v>32</v>
      </c>
      <c r="L8" s="61" t="str">
        <f>IFERROR(VLOOKUP(MID(G8,J8,K8-J8),[7]skilldef!$C:$D,2,FALSE),"-") &amp; " / " &amp; IFERROR(VLOOKUP(MID(G8,H8,I8-H8),[7]skilldef!$A:$B,2,FALSE),"-")</f>
        <v>- / -</v>
      </c>
      <c r="M8" s="61" t="str">
        <f t="shared" si="6"/>
        <v>[effect:rush, count:1, val:0.8],[effect:force_change_block, new_block:damage, target:block_all, ignore01:block_positive, ignore02:block_negative, count:6, val:0.1]</v>
      </c>
      <c r="N8" s="46" t="str">
        <f t="shared" si="7"/>
        <v>[effect:rush, count:1, val:0.8],[effect:force_change_block, new_block:damage, target:block_all, ignore01:block_positive, ignore02:block_negative, count:6, val:0.1]</v>
      </c>
      <c r="O8" s="61">
        <f t="shared" si="8"/>
        <v>9</v>
      </c>
      <c r="P8" s="61">
        <f t="shared" si="9"/>
        <v>13</v>
      </c>
      <c r="Q8" s="61">
        <f t="shared" si="10"/>
        <v>86</v>
      </c>
      <c r="R8" s="61">
        <f t="shared" si="11"/>
        <v>22</v>
      </c>
      <c r="S8" s="61" t="str">
        <f>IFERROR(VLOOKUP(MID(N8,Q8,R8-Q8),[7]skilldef!$C:$D,2,FALSE),"-") &amp; " / " &amp; IFERROR(VLOOKUP(MID(N8,O8,P8-O8),[7]skilldef!$A:$B,2,FALSE),"-")</f>
        <v>- / 連続攻撃</v>
      </c>
      <c r="T8" s="46" t="str">
        <f t="shared" si="12"/>
        <v>[effect:force_change_block, new_block:damage, target:block_all, ignore01:block_positive, ignore02:block_negative, count:6, val:0.1]</v>
      </c>
      <c r="U8" s="61">
        <f t="shared" si="13"/>
        <v>9</v>
      </c>
      <c r="V8" s="61">
        <f t="shared" si="14"/>
        <v>27</v>
      </c>
      <c r="W8" s="61">
        <f t="shared" si="15"/>
        <v>54</v>
      </c>
      <c r="X8" s="61">
        <f t="shared" si="16"/>
        <v>45</v>
      </c>
      <c r="Y8" s="61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/>
      <c r="AC8" s="101" t="s">
        <v>333</v>
      </c>
    </row>
    <row r="9" spans="1:29" ht="21" customHeight="1" x14ac:dyDescent="0.15">
      <c r="A9" s="45">
        <v>13400407</v>
      </c>
      <c r="B9" s="46" t="str">
        <f t="shared" si="0"/>
        <v>[effect:enemy_message, val1:1.2, val2:2.4],[effect:rush, count:1, val:0.8],[effect:force_change_block, new_block:jammer, target:block_all, ignore01:block_positive, ignore02:block_negative, count:6, val:0]</v>
      </c>
      <c r="C9" s="48">
        <v>3</v>
      </c>
      <c r="D9" s="48" t="s">
        <v>251</v>
      </c>
      <c r="E9" s="49" t="s">
        <v>318</v>
      </c>
      <c r="F9" s="49" t="s">
        <v>330</v>
      </c>
      <c r="G9" s="61" t="str">
        <f t="shared" si="1"/>
        <v>[effect:enemy_message, val1:1.2, val2:2.4]</v>
      </c>
      <c r="H9" s="61">
        <f t="shared" si="2"/>
        <v>9</v>
      </c>
      <c r="I9" s="61">
        <f t="shared" si="3"/>
        <v>22</v>
      </c>
      <c r="J9" s="61" t="e">
        <f t="shared" si="4"/>
        <v>#VALUE!</v>
      </c>
      <c r="K9" s="61">
        <f t="shared" si="5"/>
        <v>32</v>
      </c>
      <c r="L9" s="61" t="str">
        <f>IFERROR(VLOOKUP(MID(G9,J9,K9-J9),[7]skilldef!$C:$D,2,FALSE),"-") &amp; " / " &amp; IFERROR(VLOOKUP(MID(G9,H9,I9-H9),[7]skilldef!$A:$B,2,FALSE),"-")</f>
        <v>- / -</v>
      </c>
      <c r="M9" s="61" t="str">
        <f t="shared" si="6"/>
        <v>[effect:rush, count:1, val:0.8],[effect:force_change_block, new_block:jammer, target:block_all, ignore01:block_positive, ignore02:block_negative, count:6, val:0]</v>
      </c>
      <c r="N9" s="46" t="str">
        <f t="shared" si="7"/>
        <v>[effect:rush, count:1, val:0.8],[effect:force_change_block, new_block:jammer, target:block_all, ignore01:block_positive, ignore02:block_negative, count:6, val:0]</v>
      </c>
      <c r="O9" s="61">
        <f t="shared" si="8"/>
        <v>9</v>
      </c>
      <c r="P9" s="61">
        <f t="shared" si="9"/>
        <v>13</v>
      </c>
      <c r="Q9" s="61">
        <f t="shared" si="10"/>
        <v>86</v>
      </c>
      <c r="R9" s="61">
        <f t="shared" si="11"/>
        <v>22</v>
      </c>
      <c r="S9" s="61" t="str">
        <f>IFERROR(VLOOKUP(MID(N9,Q9,R9-Q9),[7]skilldef!$C:$D,2,FALSE),"-") &amp; " / " &amp; IFERROR(VLOOKUP(MID(N9,O9,P9-O9),[7]skilldef!$A:$B,2,FALSE),"-")</f>
        <v>- / 連続攻撃</v>
      </c>
      <c r="T9" s="46" t="str">
        <f t="shared" si="12"/>
        <v>[effect:force_change_block, new_block:jammer, target:block_all, ignore01:block_positive, ignore02:block_negative, count:6, val:0]</v>
      </c>
      <c r="U9" s="61">
        <f t="shared" si="13"/>
        <v>9</v>
      </c>
      <c r="V9" s="61">
        <f t="shared" si="14"/>
        <v>27</v>
      </c>
      <c r="W9" s="61">
        <f t="shared" si="15"/>
        <v>54</v>
      </c>
      <c r="X9" s="61">
        <f t="shared" si="16"/>
        <v>45</v>
      </c>
      <c r="Y9" s="61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/>
      <c r="AC9" s="101" t="s">
        <v>334</v>
      </c>
    </row>
    <row r="10" spans="1:29" ht="21" customHeight="1" x14ac:dyDescent="0.15">
      <c r="A10" s="45">
        <v>13400408</v>
      </c>
      <c r="B10" s="46" t="str">
        <f t="shared" si="0"/>
        <v>[effect:enemy_message, val1:1.2, val2:2.0],[effect:break_enchance_enemy, target:myself, val:300, lowest_val:1000, count:-1, status:defense, turn:2, block01:jammer, calc:add, animation:enemy_enhance_defense]</v>
      </c>
      <c r="C10" s="48">
        <v>3</v>
      </c>
      <c r="D10" s="48" t="s">
        <v>251</v>
      </c>
      <c r="E10" s="49" t="s">
        <v>319</v>
      </c>
      <c r="F10" s="49" t="s">
        <v>343</v>
      </c>
      <c r="G10" s="61" t="str">
        <f t="shared" si="1"/>
        <v>[effect:enemy_message, val1:1.2, val2:2.0]</v>
      </c>
      <c r="H10" s="61">
        <f t="shared" si="2"/>
        <v>9</v>
      </c>
      <c r="I10" s="61">
        <f t="shared" si="3"/>
        <v>22</v>
      </c>
      <c r="J10" s="61" t="e">
        <f t="shared" si="4"/>
        <v>#VALUE!</v>
      </c>
      <c r="K10" s="61">
        <f t="shared" si="5"/>
        <v>32</v>
      </c>
      <c r="L10" s="61" t="str">
        <f>IFERROR(VLOOKUP(MID(G10,J10,K10-J10),[7]skilldef!$C:$D,2,FALSE),"-") &amp; " / " &amp; IFERROR(VLOOKUP(MID(G10,H10,I10-H10),[7]skilldef!$A:$B,2,FALSE),"-")</f>
        <v>- / -</v>
      </c>
      <c r="M10" s="61" t="str">
        <f t="shared" si="6"/>
        <v>[effect:break_enchance_enemy, target:myself, val:300, lowest_val:1000, count:-1, status:defense, turn:2, block01:jammer, calc:add, animation:enemy_enhance_defense]</v>
      </c>
      <c r="N10" s="46" t="str">
        <f t="shared" si="7"/>
        <v>[effect:break_enchance_enemy, target:myself, val:300, lowest_val:1000, count:-1, status:defense, turn:2, block01:jammer, calc:add, animation:enemy_enhance_defense]</v>
      </c>
      <c r="O10" s="61">
        <f t="shared" si="8"/>
        <v>9</v>
      </c>
      <c r="P10" s="61">
        <f t="shared" si="9"/>
        <v>29</v>
      </c>
      <c r="Q10" s="61">
        <f t="shared" si="10"/>
        <v>38</v>
      </c>
      <c r="R10" s="61">
        <f t="shared" si="11"/>
        <v>44</v>
      </c>
      <c r="S10" s="61" t="str">
        <f>IFERROR(VLOOKUP(MID(N10,Q10,R10-Q10),[7]skilldef!$C:$D,2,FALSE),"-") &amp; " / " &amp; IFERROR(VLOOKUP(MID(N10,O10,P10-O10),[7]skilldef!$A:$B,2,FALSE),"-")</f>
        <v>自分自身に / -</v>
      </c>
      <c r="T10" s="46" t="str">
        <f t="shared" si="12"/>
        <v>none</v>
      </c>
      <c r="U10" s="61" t="e">
        <f t="shared" si="13"/>
        <v>#VALUE!</v>
      </c>
      <c r="V10" s="61">
        <f t="shared" si="14"/>
        <v>4</v>
      </c>
      <c r="W10" s="61" t="e">
        <f t="shared" si="15"/>
        <v>#VALUE!</v>
      </c>
      <c r="X10" s="61" t="e">
        <f t="shared" si="16"/>
        <v>#VALUE!</v>
      </c>
      <c r="Y10" s="61" t="str">
        <f>IFERROR(VLOOKUP(MID(T10,W10,X10-W10),[7]skilldef!$C:$D,2,FALSE),"-") &amp; " / " &amp; IFERROR(VLOOKUP(MID(T10,U10,V10-U10),[7]skilldef!$A:$B,2,FALSE),"-")</f>
        <v>- / -</v>
      </c>
      <c r="Z10" s="48"/>
      <c r="AA10" s="50"/>
      <c r="AB10" s="48"/>
      <c r="AC10" s="101" t="s">
        <v>342</v>
      </c>
    </row>
    <row r="11" spans="1:29" ht="21" customHeight="1" x14ac:dyDescent="0.15">
      <c r="A11" s="45">
        <v>13400409</v>
      </c>
      <c r="B11" s="46" t="str">
        <f t="shared" si="0"/>
        <v>[effect:enemy_message, val1:1.2, val2:2.0],[effect:degrade_unit, target:unit_all, turn:5, status:heal, val:0.8, calc:mul, animation:degrade_unit_all_heal]</v>
      </c>
      <c r="C11" s="48">
        <v>3</v>
      </c>
      <c r="D11" s="48" t="s">
        <v>251</v>
      </c>
      <c r="E11" s="49" t="s">
        <v>320</v>
      </c>
      <c r="F11" s="49" t="s">
        <v>302</v>
      </c>
      <c r="G11" s="61" t="str">
        <f t="shared" si="1"/>
        <v>[effect:enemy_message, val1:1.2, val2:2.0]</v>
      </c>
      <c r="H11" s="61">
        <f t="shared" si="2"/>
        <v>9</v>
      </c>
      <c r="I11" s="61">
        <f t="shared" si="3"/>
        <v>22</v>
      </c>
      <c r="J11" s="61" t="e">
        <f t="shared" si="4"/>
        <v>#VALUE!</v>
      </c>
      <c r="K11" s="61">
        <f t="shared" si="5"/>
        <v>32</v>
      </c>
      <c r="L11" s="61" t="str">
        <f>IFERROR(VLOOKUP(MID(G11,J11,K11-J11),[7]skilldef!$C:$D,2,FALSE),"-") &amp; " / " &amp; IFERROR(VLOOKUP(MID(G11,H11,I11-H11),[7]skilldef!$A:$B,2,FALSE),"-")</f>
        <v>- / -</v>
      </c>
      <c r="M11" s="61" t="str">
        <f t="shared" si="6"/>
        <v>[effect:degrade_unit, target:unit_all, turn:5, status:heal, val:0.8, calc:mul, animation:degrade_unit_all_heal]</v>
      </c>
      <c r="N11" s="46" t="str">
        <f t="shared" si="7"/>
        <v>[effect:degrade_unit, target:unit_all, turn:5, status:heal, val:0.8, calc:mul, animation:degrade_unit_all_heal]</v>
      </c>
      <c r="O11" s="61">
        <f t="shared" si="8"/>
        <v>9</v>
      </c>
      <c r="P11" s="61">
        <f t="shared" si="9"/>
        <v>21</v>
      </c>
      <c r="Q11" s="61">
        <f t="shared" si="10"/>
        <v>30</v>
      </c>
      <c r="R11" s="61">
        <f t="shared" si="11"/>
        <v>38</v>
      </c>
      <c r="S11" s="61" t="str">
        <f>IFERROR(VLOOKUP(MID(N11,Q11,R11-Q11),[7]skilldef!$C:$D,2,FALSE),"-") &amp; " / " &amp; IFERROR(VLOOKUP(MID(N11,O11,P11-O11),[7]skilldef!$A:$B,2,FALSE),"-")</f>
        <v>味方全体に / ステータスDOWN</v>
      </c>
      <c r="T11" s="46" t="str">
        <f t="shared" si="12"/>
        <v>none</v>
      </c>
      <c r="U11" s="61" t="e">
        <f t="shared" si="13"/>
        <v>#VALUE!</v>
      </c>
      <c r="V11" s="61">
        <f t="shared" si="14"/>
        <v>4</v>
      </c>
      <c r="W11" s="61" t="e">
        <f t="shared" si="15"/>
        <v>#VALUE!</v>
      </c>
      <c r="X11" s="61" t="e">
        <f t="shared" si="16"/>
        <v>#VALUE!</v>
      </c>
      <c r="Y11" s="61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/>
      <c r="AC11" s="101" t="s">
        <v>339</v>
      </c>
    </row>
    <row r="12" spans="1:29" ht="21" customHeight="1" x14ac:dyDescent="0.15">
      <c r="A12" s="45">
        <v>13400410</v>
      </c>
      <c r="B12" s="46" t="str">
        <f t="shared" si="0"/>
        <v>[effect:enemy_message, val1:1.2, val2:1.3],[effect:damage_abnormal, target:unit_one, val:1, status:virus, turn:5, val_abnormal:0.5, calc:mul, animation:enemy_virus]</v>
      </c>
      <c r="C12" s="48">
        <v>3</v>
      </c>
      <c r="D12" s="48" t="s">
        <v>251</v>
      </c>
      <c r="E12" s="49" t="s">
        <v>321</v>
      </c>
      <c r="F12" s="49" t="s">
        <v>304</v>
      </c>
      <c r="G12" s="61" t="str">
        <f t="shared" si="1"/>
        <v>[effect:enemy_message, val1:1.2, val2:1.3]</v>
      </c>
      <c r="H12" s="61">
        <f t="shared" si="2"/>
        <v>9</v>
      </c>
      <c r="I12" s="61">
        <f t="shared" si="3"/>
        <v>22</v>
      </c>
      <c r="J12" s="61" t="e">
        <f t="shared" si="4"/>
        <v>#VALUE!</v>
      </c>
      <c r="K12" s="61">
        <f t="shared" si="5"/>
        <v>32</v>
      </c>
      <c r="L12" s="61" t="str">
        <f>IFERROR(VLOOKUP(MID(G12,J12,K12-J12),[7]skilldef!$C:$D,2,FALSE),"-") &amp; " / " &amp; IFERROR(VLOOKUP(MID(G12,H12,I12-H12),[7]skilldef!$A:$B,2,FALSE),"-")</f>
        <v>- / -</v>
      </c>
      <c r="M12" s="61" t="str">
        <f t="shared" si="6"/>
        <v>[effect:damage_abnormal, target:unit_one, val:1, status:virus, turn:5, val_abnormal:0.5, calc:mul, animation:enemy_virus]</v>
      </c>
      <c r="N12" s="46" t="str">
        <f t="shared" si="7"/>
        <v>[effect:damage_abnormal, target:unit_one, val:1, status:virus, turn:5, val_abnormal:0.5, calc:mul, animation:enemy_virus]</v>
      </c>
      <c r="O12" s="61">
        <f t="shared" si="8"/>
        <v>9</v>
      </c>
      <c r="P12" s="61">
        <f t="shared" si="9"/>
        <v>24</v>
      </c>
      <c r="Q12" s="61">
        <f t="shared" si="10"/>
        <v>33</v>
      </c>
      <c r="R12" s="61">
        <f t="shared" si="11"/>
        <v>41</v>
      </c>
      <c r="S12" s="61" t="str">
        <f>IFERROR(VLOOKUP(MID(N12,Q12,R12-Q12),[7]skilldef!$C:$D,2,FALSE),"-") &amp; " / " &amp; IFERROR(VLOOKUP(MID(N12,O12,P12-O12),[7]skilldef!$A:$B,2,FALSE),"-")</f>
        <v>味方単体に / -</v>
      </c>
      <c r="T12" s="46" t="str">
        <f t="shared" si="12"/>
        <v>none</v>
      </c>
      <c r="U12" s="61" t="e">
        <f t="shared" si="13"/>
        <v>#VALUE!</v>
      </c>
      <c r="V12" s="61">
        <f t="shared" si="14"/>
        <v>4</v>
      </c>
      <c r="W12" s="61" t="e">
        <f t="shared" si="15"/>
        <v>#VALUE!</v>
      </c>
      <c r="X12" s="61" t="e">
        <f t="shared" si="16"/>
        <v>#VALUE!</v>
      </c>
      <c r="Y12" s="61" t="str">
        <f>IFERROR(VLOOKUP(MID(T12,W12,X12-W12),[7]skilldef!$C:$D,2,FALSE),"-") &amp; " / " &amp; IFERROR(VLOOKUP(MID(T12,U12,V12-U12),[7]skilldef!$A:$B,2,FALSE),"-")</f>
        <v>- / -</v>
      </c>
      <c r="Z12" s="48"/>
      <c r="AA12" s="50"/>
      <c r="AB12" s="48"/>
      <c r="AC12" s="101" t="s">
        <v>303</v>
      </c>
    </row>
    <row r="13" spans="1:29" ht="21" customHeight="1" x14ac:dyDescent="0.15">
      <c r="A13" s="45">
        <v>13400411</v>
      </c>
      <c r="B13" s="46" t="str">
        <f t="shared" si="0"/>
        <v>[effect:enemy_message, val1:1.2, val2:1.2],[effect:nothing]</v>
      </c>
      <c r="C13" s="48">
        <v>1</v>
      </c>
      <c r="D13" s="48" t="s">
        <v>251</v>
      </c>
      <c r="E13" s="49" t="s">
        <v>257</v>
      </c>
      <c r="F13" s="49" t="s">
        <v>256</v>
      </c>
      <c r="G13" s="61" t="str">
        <f t="shared" si="1"/>
        <v>[effect:enemy_message, val1:1.2, val2:1.2]</v>
      </c>
      <c r="H13" s="61">
        <f t="shared" si="2"/>
        <v>9</v>
      </c>
      <c r="I13" s="61">
        <f t="shared" si="3"/>
        <v>22</v>
      </c>
      <c r="J13" s="61" t="e">
        <f t="shared" si="4"/>
        <v>#VALUE!</v>
      </c>
      <c r="K13" s="61">
        <f t="shared" si="5"/>
        <v>32</v>
      </c>
      <c r="L13" s="61" t="str">
        <f>IFERROR(VLOOKUP(MID(G13,J13,K13-J13),[7]skilldef!$C:$D,2,FALSE),"-") &amp; " / " &amp; IFERROR(VLOOKUP(MID(G13,H13,I13-H13),[7]skilldef!$A:$B,2,FALSE),"-")</f>
        <v>- / -</v>
      </c>
      <c r="M13" s="61" t="str">
        <f t="shared" si="6"/>
        <v>[effect:nothing]</v>
      </c>
      <c r="N13" s="46" t="str">
        <f t="shared" si="7"/>
        <v>[effect:nothing]</v>
      </c>
      <c r="O13" s="61">
        <f t="shared" si="8"/>
        <v>9</v>
      </c>
      <c r="P13" s="61">
        <f t="shared" si="9"/>
        <v>16</v>
      </c>
      <c r="Q13" s="61" t="e">
        <f t="shared" si="10"/>
        <v>#VALUE!</v>
      </c>
      <c r="R13" s="61" t="e">
        <f t="shared" si="11"/>
        <v>#VALUE!</v>
      </c>
      <c r="S13" s="61" t="str">
        <f>IFERROR(VLOOKUP(MID(N13,Q13,R13-Q13),[7]skilldef!$C:$D,2,FALSE),"-") &amp; " / " &amp; IFERROR(VLOOKUP(MID(N13,O13,P13-O13),[7]skilldef!$A:$B,2,FALSE),"-")</f>
        <v>- / 何もしない</v>
      </c>
      <c r="T13" s="46" t="str">
        <f t="shared" si="12"/>
        <v>none</v>
      </c>
      <c r="U13" s="61" t="e">
        <f t="shared" si="13"/>
        <v>#VALUE!</v>
      </c>
      <c r="V13" s="61">
        <f t="shared" si="14"/>
        <v>4</v>
      </c>
      <c r="W13" s="61" t="e">
        <f t="shared" si="15"/>
        <v>#VALUE!</v>
      </c>
      <c r="X13" s="61" t="e">
        <f t="shared" si="16"/>
        <v>#VALUE!</v>
      </c>
      <c r="Y13" s="61" t="str">
        <f>IFERROR(VLOOKUP(MID(T13,W13,X13-W13),[7]skilldef!$C:$D,2,FALSE),"-") &amp; " / " &amp; IFERROR(VLOOKUP(MID(T13,U13,V13-U13),[7]skilldef!$A:$B,2,FALSE),"-")</f>
        <v>- / -</v>
      </c>
      <c r="Z13" s="48"/>
      <c r="AA13" s="50"/>
      <c r="AB13" s="48"/>
      <c r="AC13" s="101" t="s">
        <v>261</v>
      </c>
    </row>
    <row r="14" spans="1:29" ht="21" customHeight="1" x14ac:dyDescent="0.15">
      <c r="A14" s="45">
        <v>13400412</v>
      </c>
      <c r="B14" s="46" t="str">
        <f t="shared" si="0"/>
        <v>[effect:enemy_message, val1:1.2, val2:1.2],[effect:nothing]</v>
      </c>
      <c r="C14" s="48">
        <v>1</v>
      </c>
      <c r="D14" s="48" t="s">
        <v>251</v>
      </c>
      <c r="E14" s="49" t="s">
        <v>257</v>
      </c>
      <c r="F14" s="49" t="s">
        <v>256</v>
      </c>
      <c r="G14" s="61" t="str">
        <f t="shared" si="1"/>
        <v>[effect:enemy_message, val1:1.2, val2:1.2]</v>
      </c>
      <c r="H14" s="61">
        <f t="shared" si="2"/>
        <v>9</v>
      </c>
      <c r="I14" s="61">
        <f t="shared" si="3"/>
        <v>22</v>
      </c>
      <c r="J14" s="61" t="e">
        <f t="shared" si="4"/>
        <v>#VALUE!</v>
      </c>
      <c r="K14" s="61">
        <f t="shared" si="5"/>
        <v>32</v>
      </c>
      <c r="L14" s="61" t="str">
        <f>IFERROR(VLOOKUP(MID(G14,J14,K14-J14),[7]skilldef!$C:$D,2,FALSE),"-") &amp; " / " &amp; IFERROR(VLOOKUP(MID(G14,H14,I14-H14),[7]skilldef!$A:$B,2,FALSE),"-")</f>
        <v>- / -</v>
      </c>
      <c r="M14" s="61" t="str">
        <f t="shared" si="6"/>
        <v>[effect:nothing]</v>
      </c>
      <c r="N14" s="46" t="str">
        <f t="shared" si="7"/>
        <v>[effect:nothing]</v>
      </c>
      <c r="O14" s="61">
        <f t="shared" si="8"/>
        <v>9</v>
      </c>
      <c r="P14" s="61">
        <f t="shared" si="9"/>
        <v>16</v>
      </c>
      <c r="Q14" s="61" t="e">
        <f t="shared" si="10"/>
        <v>#VALUE!</v>
      </c>
      <c r="R14" s="61" t="e">
        <f t="shared" si="11"/>
        <v>#VALUE!</v>
      </c>
      <c r="S14" s="61" t="str">
        <f>IFERROR(VLOOKUP(MID(N14,Q14,R14-Q14),[7]skilldef!$C:$D,2,FALSE),"-") &amp; " / " &amp; IFERROR(VLOOKUP(MID(N14,O14,P14-O14),[7]skilldef!$A:$B,2,FALSE),"-")</f>
        <v>- / 何もしない</v>
      </c>
      <c r="T14" s="46" t="str">
        <f t="shared" si="12"/>
        <v>none</v>
      </c>
      <c r="U14" s="61" t="e">
        <f t="shared" si="13"/>
        <v>#VALUE!</v>
      </c>
      <c r="V14" s="61">
        <f t="shared" si="14"/>
        <v>4</v>
      </c>
      <c r="W14" s="61" t="e">
        <f t="shared" si="15"/>
        <v>#VALUE!</v>
      </c>
      <c r="X14" s="61" t="e">
        <f t="shared" si="16"/>
        <v>#VALUE!</v>
      </c>
      <c r="Y14" s="61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/>
      <c r="AC14" s="101" t="s">
        <v>261</v>
      </c>
    </row>
    <row r="15" spans="1:29" ht="21" customHeight="1" x14ac:dyDescent="0.15">
      <c r="A15" s="45">
        <v>13400413</v>
      </c>
      <c r="B15" s="46" t="str">
        <f t="shared" si="0"/>
        <v>[effect:enemy_message, val1:1.2, val2:1.2],[effect:nothing]</v>
      </c>
      <c r="C15" s="48">
        <v>1</v>
      </c>
      <c r="D15" s="48" t="s">
        <v>251</v>
      </c>
      <c r="E15" s="49" t="s">
        <v>257</v>
      </c>
      <c r="F15" s="49" t="s">
        <v>256</v>
      </c>
      <c r="G15" s="61" t="str">
        <f t="shared" si="1"/>
        <v>[effect:enemy_message, val1:1.2, val2:1.2]</v>
      </c>
      <c r="H15" s="61">
        <f t="shared" si="2"/>
        <v>9</v>
      </c>
      <c r="I15" s="61">
        <f t="shared" si="3"/>
        <v>22</v>
      </c>
      <c r="J15" s="61" t="e">
        <f t="shared" si="4"/>
        <v>#VALUE!</v>
      </c>
      <c r="K15" s="61">
        <f t="shared" si="5"/>
        <v>32</v>
      </c>
      <c r="L15" s="61" t="str">
        <f>IFERROR(VLOOKUP(MID(G15,J15,K15-J15),[7]skilldef!$C:$D,2,FALSE),"-") &amp; " / " &amp; IFERROR(VLOOKUP(MID(G15,H15,I15-H15),[7]skilldef!$A:$B,2,FALSE),"-")</f>
        <v>- / -</v>
      </c>
      <c r="M15" s="61" t="str">
        <f t="shared" si="6"/>
        <v>[effect:nothing]</v>
      </c>
      <c r="N15" s="46" t="str">
        <f t="shared" si="7"/>
        <v>[effect:nothing]</v>
      </c>
      <c r="O15" s="61">
        <f t="shared" si="8"/>
        <v>9</v>
      </c>
      <c r="P15" s="61">
        <f t="shared" si="9"/>
        <v>16</v>
      </c>
      <c r="Q15" s="61" t="e">
        <f t="shared" si="10"/>
        <v>#VALUE!</v>
      </c>
      <c r="R15" s="61" t="e">
        <f t="shared" si="11"/>
        <v>#VALUE!</v>
      </c>
      <c r="S15" s="61" t="str">
        <f>IFERROR(VLOOKUP(MID(N15,Q15,R15-Q15),[7]skilldef!$C:$D,2,FALSE),"-") &amp; " / " &amp; IFERROR(VLOOKUP(MID(N15,O15,P15-O15),[7]skilldef!$A:$B,2,FALSE),"-")</f>
        <v>- / 何もしない</v>
      </c>
      <c r="T15" s="46" t="str">
        <f t="shared" si="12"/>
        <v>none</v>
      </c>
      <c r="U15" s="61" t="e">
        <f t="shared" si="13"/>
        <v>#VALUE!</v>
      </c>
      <c r="V15" s="61">
        <f t="shared" si="14"/>
        <v>4</v>
      </c>
      <c r="W15" s="61" t="e">
        <f t="shared" si="15"/>
        <v>#VALUE!</v>
      </c>
      <c r="X15" s="61" t="e">
        <f t="shared" si="16"/>
        <v>#VALUE!</v>
      </c>
      <c r="Y15" s="61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/>
      <c r="AC15" s="101" t="s">
        <v>261</v>
      </c>
    </row>
    <row r="16" spans="1:29" ht="21" customHeight="1" x14ac:dyDescent="0.15">
      <c r="A16" s="45">
        <v>13400414</v>
      </c>
      <c r="B16" s="46" t="str">
        <f t="shared" si="0"/>
        <v>[effect:enemy_message, val1:1.2, val2:1.2],[effect:nothing]</v>
      </c>
      <c r="C16" s="48">
        <v>1</v>
      </c>
      <c r="D16" s="48" t="s">
        <v>251</v>
      </c>
      <c r="E16" s="49" t="s">
        <v>257</v>
      </c>
      <c r="F16" s="49" t="s">
        <v>256</v>
      </c>
      <c r="G16" s="61" t="str">
        <f t="shared" si="1"/>
        <v>[effect:enemy_message, val1:1.2, val2:1.2]</v>
      </c>
      <c r="H16" s="61">
        <f t="shared" si="2"/>
        <v>9</v>
      </c>
      <c r="I16" s="61">
        <f t="shared" si="3"/>
        <v>22</v>
      </c>
      <c r="J16" s="61" t="e">
        <f t="shared" si="4"/>
        <v>#VALUE!</v>
      </c>
      <c r="K16" s="61">
        <f t="shared" si="5"/>
        <v>32</v>
      </c>
      <c r="L16" s="61" t="str">
        <f>IFERROR(VLOOKUP(MID(G16,J16,K16-J16),[7]skilldef!$C:$D,2,FALSE),"-") &amp; " / " &amp; IFERROR(VLOOKUP(MID(G16,H16,I16-H16),[7]skilldef!$A:$B,2,FALSE),"-")</f>
        <v>- / -</v>
      </c>
      <c r="M16" s="61" t="str">
        <f t="shared" si="6"/>
        <v>[effect:nothing]</v>
      </c>
      <c r="N16" s="46" t="str">
        <f t="shared" si="7"/>
        <v>[effect:nothing]</v>
      </c>
      <c r="O16" s="61">
        <f t="shared" si="8"/>
        <v>9</v>
      </c>
      <c r="P16" s="61">
        <f t="shared" si="9"/>
        <v>16</v>
      </c>
      <c r="Q16" s="61" t="e">
        <f t="shared" si="10"/>
        <v>#VALUE!</v>
      </c>
      <c r="R16" s="61" t="e">
        <f t="shared" si="11"/>
        <v>#VALUE!</v>
      </c>
      <c r="S16" s="61" t="str">
        <f>IFERROR(VLOOKUP(MID(N16,Q16,R16-Q16),[7]skilldef!$C:$D,2,FALSE),"-") &amp; " / " &amp; IFERROR(VLOOKUP(MID(N16,O16,P16-O16),[7]skilldef!$A:$B,2,FALSE),"-")</f>
        <v>- / 何もしない</v>
      </c>
      <c r="T16" s="46" t="str">
        <f t="shared" si="12"/>
        <v>none</v>
      </c>
      <c r="U16" s="61" t="e">
        <f t="shared" si="13"/>
        <v>#VALUE!</v>
      </c>
      <c r="V16" s="61">
        <f t="shared" si="14"/>
        <v>4</v>
      </c>
      <c r="W16" s="61" t="e">
        <f t="shared" si="15"/>
        <v>#VALUE!</v>
      </c>
      <c r="X16" s="61" t="e">
        <f t="shared" si="16"/>
        <v>#VALUE!</v>
      </c>
      <c r="Y16" s="61" t="str">
        <f>IFERROR(VLOOKUP(MID(T16,W16,X16-W16),[7]skilldef!$C:$D,2,FALSE),"-") &amp; " / " &amp; IFERROR(VLOOKUP(MID(T16,U16,V16-U16),[7]skilldef!$A:$B,2,FALSE),"-")</f>
        <v>- / -</v>
      </c>
      <c r="Z16" s="48"/>
      <c r="AA16" s="50"/>
      <c r="AB16" s="48"/>
      <c r="AC16" s="101" t="s">
        <v>261</v>
      </c>
    </row>
    <row r="17" spans="1:29" ht="21" customHeight="1" x14ac:dyDescent="0.15">
      <c r="A17" s="45">
        <v>13400415</v>
      </c>
      <c r="B17" s="46" t="str">
        <f t="shared" si="0"/>
        <v>[effect:enemy_message, val1:1.2, val2:2.6],[effect:tolerance, target:myself, turn:-1, count:-1, tolerance_effect:all, animation:enemy_tolerance],[effect:crash_condition, target:unit_all, turn:6, val:4, animation:enemy_crash_extend]    ,[effect:fix_speed, target:myself, turn:1]</v>
      </c>
      <c r="C17" s="48">
        <v>3</v>
      </c>
      <c r="D17" s="48" t="s">
        <v>251</v>
      </c>
      <c r="E17" s="49" t="s">
        <v>281</v>
      </c>
      <c r="F17" s="49" t="s">
        <v>313</v>
      </c>
      <c r="G17" s="61" t="str">
        <f t="shared" si="1"/>
        <v>[effect:enemy_message, val1:1.2, val2:2.6]</v>
      </c>
      <c r="H17" s="61">
        <f t="shared" si="2"/>
        <v>9</v>
      </c>
      <c r="I17" s="61">
        <f t="shared" si="3"/>
        <v>22</v>
      </c>
      <c r="J17" s="61" t="e">
        <f t="shared" si="4"/>
        <v>#VALUE!</v>
      </c>
      <c r="K17" s="61">
        <f t="shared" si="5"/>
        <v>32</v>
      </c>
      <c r="L17" s="61" t="str">
        <f>IFERROR(VLOOKUP(MID(G17,J17,K17-J17),[7]skilldef!$C:$D,2,FALSE),"-") &amp; " / " &amp; IFERROR(VLOOKUP(MID(G17,H17,I17-H17),[7]skilldef!$A:$B,2,FALSE),"-")</f>
        <v>- / -</v>
      </c>
      <c r="M17" s="61" t="str">
        <f t="shared" si="6"/>
        <v>[effect:tolerance, target:myself, turn:-1, count:-1, tolerance_effect:all, animation:enemy_tolerance],[effect:crash_condition, target:unit_all, turn:6, val:4, animation:enemy_crash_extend]    ,[effect:fix_speed, target:myself, turn:1]</v>
      </c>
      <c r="N17" s="46" t="str">
        <f t="shared" si="7"/>
        <v>[effect:tolerance, target:myself, turn:-1, count:-1, tolerance_effect:all, animation:enemy_tolerance],[effect:crash_condition, target:unit_all, turn:6, val:4, animation:enemy_crash_extend]    ,[effect:fix_speed, target:myself, turn:1]</v>
      </c>
      <c r="O17" s="61">
        <f t="shared" si="8"/>
        <v>9</v>
      </c>
      <c r="P17" s="61">
        <f t="shared" si="9"/>
        <v>18</v>
      </c>
      <c r="Q17" s="61">
        <f t="shared" si="10"/>
        <v>27</v>
      </c>
      <c r="R17" s="61">
        <f t="shared" si="11"/>
        <v>33</v>
      </c>
      <c r="S17" s="61" t="str">
        <f>IFERROR(VLOOKUP(MID(N17,Q17,R17-Q17),[7]skilldef!$C:$D,2,FALSE),"-") &amp; " / " &amp; IFERROR(VLOOKUP(MID(N17,O17,P17-O17),[7]skilldef!$A:$B,2,FALSE),"-")</f>
        <v>自分自身に / 状態異常耐性</v>
      </c>
      <c r="T17" s="46" t="str">
        <f t="shared" si="12"/>
        <v>[effect:crash_condition, target:unit_all, turn:6, val:4, animation:enemy_crash_extend]    ,[effect:fix_speed, target:myself, turn:1]</v>
      </c>
      <c r="U17" s="61">
        <f t="shared" si="13"/>
        <v>9</v>
      </c>
      <c r="V17" s="61">
        <f t="shared" si="14"/>
        <v>24</v>
      </c>
      <c r="W17" s="61">
        <f t="shared" si="15"/>
        <v>33</v>
      </c>
      <c r="X17" s="61">
        <f t="shared" si="16"/>
        <v>41</v>
      </c>
      <c r="Y17" s="61" t="str">
        <f>IFERROR(VLOOKUP(MID(T17,W17,X17-W17),[7]skilldef!$C:$D,2,FALSE),"-") &amp; " / " &amp; IFERROR(VLOOKUP(MID(T17,U17,V17-U17),[7]skilldef!$A:$B,2,FALSE),"-")</f>
        <v>味方全体に / -</v>
      </c>
      <c r="Z17" s="48"/>
      <c r="AA17" s="50"/>
      <c r="AB17" s="48"/>
      <c r="AC17" s="101" t="s">
        <v>312</v>
      </c>
    </row>
    <row r="18" spans="1:29" ht="21" customHeight="1" x14ac:dyDescent="0.15">
      <c r="A18" s="45">
        <v>13400416</v>
      </c>
      <c r="B18" s="46" t="str">
        <f t="shared" si="0"/>
        <v>[effect:enemy_message, val1:1.2, val2:2.5],[effect:rush, count:1, val:0.8],[effect:force_change_block, new_block:damage, target:block_all, ignore01:block_positive, ignore02:block_negative, count:6, val:0.1]</v>
      </c>
      <c r="C18" s="48">
        <v>3</v>
      </c>
      <c r="D18" s="48" t="s">
        <v>251</v>
      </c>
      <c r="E18" s="49" t="s">
        <v>285</v>
      </c>
      <c r="F18" s="49" t="s">
        <v>329</v>
      </c>
      <c r="G18" s="61" t="str">
        <f t="shared" si="1"/>
        <v>[effect:enemy_message, val1:1.2, val2:2.5]</v>
      </c>
      <c r="H18" s="61">
        <f t="shared" si="2"/>
        <v>9</v>
      </c>
      <c r="I18" s="61">
        <f t="shared" si="3"/>
        <v>22</v>
      </c>
      <c r="J18" s="61" t="e">
        <f t="shared" si="4"/>
        <v>#VALUE!</v>
      </c>
      <c r="K18" s="61">
        <f t="shared" si="5"/>
        <v>32</v>
      </c>
      <c r="L18" s="61" t="str">
        <f>IFERROR(VLOOKUP(MID(G18,J18,K18-J18),[7]skilldef!$C:$D,2,FALSE),"-") &amp; " / " &amp; IFERROR(VLOOKUP(MID(G18,H18,I18-H18),[7]skilldef!$A:$B,2,FALSE),"-")</f>
        <v>- / -</v>
      </c>
      <c r="M18" s="61" t="str">
        <f t="shared" si="6"/>
        <v>[effect:rush, count:1, val:0.8],[effect:force_change_block, new_block:damage, target:block_all, ignore01:block_positive, ignore02:block_negative, count:6, val:0.1]</v>
      </c>
      <c r="N18" s="46" t="str">
        <f t="shared" si="7"/>
        <v>[effect:rush, count:1, val:0.8],[effect:force_change_block, new_block:damage, target:block_all, ignore01:block_positive, ignore02:block_negative, count:6, val:0.1]</v>
      </c>
      <c r="O18" s="61">
        <f t="shared" si="8"/>
        <v>9</v>
      </c>
      <c r="P18" s="61">
        <f t="shared" si="9"/>
        <v>13</v>
      </c>
      <c r="Q18" s="61">
        <f t="shared" si="10"/>
        <v>86</v>
      </c>
      <c r="R18" s="61">
        <f t="shared" si="11"/>
        <v>22</v>
      </c>
      <c r="S18" s="61" t="str">
        <f>IFERROR(VLOOKUP(MID(N18,Q18,R18-Q18),[7]skilldef!$C:$D,2,FALSE),"-") &amp; " / " &amp; IFERROR(VLOOKUP(MID(N18,O18,P18-O18),[7]skilldef!$A:$B,2,FALSE),"-")</f>
        <v>- / 連続攻撃</v>
      </c>
      <c r="T18" s="46" t="str">
        <f t="shared" si="12"/>
        <v>[effect:force_change_block, new_block:damage, target:block_all, ignore01:block_positive, ignore02:block_negative, count:6, val:0.1]</v>
      </c>
      <c r="U18" s="61">
        <f t="shared" si="13"/>
        <v>9</v>
      </c>
      <c r="V18" s="61">
        <f t="shared" si="14"/>
        <v>27</v>
      </c>
      <c r="W18" s="61">
        <f t="shared" si="15"/>
        <v>54</v>
      </c>
      <c r="X18" s="61">
        <f t="shared" si="16"/>
        <v>45</v>
      </c>
      <c r="Y18" s="61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/>
      <c r="AC18" s="101" t="s">
        <v>333</v>
      </c>
    </row>
    <row r="19" spans="1:29" ht="21" customHeight="1" x14ac:dyDescent="0.15">
      <c r="A19" s="45">
        <v>13400417</v>
      </c>
      <c r="B19" s="46" t="str">
        <f t="shared" si="0"/>
        <v>[effect:enemy_message, val1:1.2, val2:2.4],[effect:rush, count:1, val:0.8],[effect:force_change_block, new_block:jammer, target:block_all, ignore01:block_positive, ignore02:block_negative, count:6, val:0]</v>
      </c>
      <c r="C19" s="48">
        <v>3</v>
      </c>
      <c r="D19" s="48" t="s">
        <v>251</v>
      </c>
      <c r="E19" s="49" t="s">
        <v>285</v>
      </c>
      <c r="F19" s="49" t="s">
        <v>330</v>
      </c>
      <c r="G19" s="61" t="str">
        <f t="shared" si="1"/>
        <v>[effect:enemy_message, val1:1.2, val2:2.4]</v>
      </c>
      <c r="H19" s="61">
        <f t="shared" si="2"/>
        <v>9</v>
      </c>
      <c r="I19" s="61">
        <f t="shared" si="3"/>
        <v>22</v>
      </c>
      <c r="J19" s="61" t="e">
        <f t="shared" si="4"/>
        <v>#VALUE!</v>
      </c>
      <c r="K19" s="61">
        <f t="shared" si="5"/>
        <v>32</v>
      </c>
      <c r="L19" s="61" t="str">
        <f>IFERROR(VLOOKUP(MID(G19,J19,K19-J19),[7]skilldef!$C:$D,2,FALSE),"-") &amp; " / " &amp; IFERROR(VLOOKUP(MID(G19,H19,I19-H19),[7]skilldef!$A:$B,2,FALSE),"-")</f>
        <v>- / -</v>
      </c>
      <c r="M19" s="61" t="str">
        <f t="shared" si="6"/>
        <v>[effect:rush, count:1, val:0.8],[effect:force_change_block, new_block:jammer, target:block_all, ignore01:block_positive, ignore02:block_negative, count:6, val:0]</v>
      </c>
      <c r="N19" s="46" t="str">
        <f t="shared" si="7"/>
        <v>[effect:rush, count:1, val:0.8],[effect:force_change_block, new_block:jammer, target:block_all, ignore01:block_positive, ignore02:block_negative, count:6, val:0]</v>
      </c>
      <c r="O19" s="61">
        <f t="shared" si="8"/>
        <v>9</v>
      </c>
      <c r="P19" s="61">
        <f t="shared" si="9"/>
        <v>13</v>
      </c>
      <c r="Q19" s="61">
        <f t="shared" si="10"/>
        <v>86</v>
      </c>
      <c r="R19" s="61">
        <f t="shared" si="11"/>
        <v>22</v>
      </c>
      <c r="S19" s="61" t="str">
        <f>IFERROR(VLOOKUP(MID(N19,Q19,R19-Q19),[7]skilldef!$C:$D,2,FALSE),"-") &amp; " / " &amp; IFERROR(VLOOKUP(MID(N19,O19,P19-O19),[7]skilldef!$A:$B,2,FALSE),"-")</f>
        <v>- / 連続攻撃</v>
      </c>
      <c r="T19" s="46" t="str">
        <f t="shared" si="12"/>
        <v>[effect:force_change_block, new_block:jammer, target:block_all, ignore01:block_positive, ignore02:block_negative, count:6, val:0]</v>
      </c>
      <c r="U19" s="61">
        <f t="shared" si="13"/>
        <v>9</v>
      </c>
      <c r="V19" s="61">
        <f t="shared" si="14"/>
        <v>27</v>
      </c>
      <c r="W19" s="61">
        <f t="shared" si="15"/>
        <v>54</v>
      </c>
      <c r="X19" s="61">
        <f t="shared" si="16"/>
        <v>45</v>
      </c>
      <c r="Y19" s="61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/>
      <c r="AC19" s="101" t="s">
        <v>335</v>
      </c>
    </row>
    <row r="20" spans="1:29" ht="21" customHeight="1" x14ac:dyDescent="0.15">
      <c r="A20" s="45">
        <v>13400418</v>
      </c>
      <c r="B20" s="46" t="str">
        <f t="shared" si="0"/>
        <v>[effect:enemy_message, val1:1.2, val2:1.5],[effect:break_attack, target:unit_all, val:0.05, lowest_val:1000, count:-1, color:red, block01:jammer]</v>
      </c>
      <c r="C20" s="48">
        <v>3</v>
      </c>
      <c r="D20" s="48" t="s">
        <v>251</v>
      </c>
      <c r="E20" s="49" t="s">
        <v>286</v>
      </c>
      <c r="F20" s="49" t="s">
        <v>305</v>
      </c>
      <c r="G20" s="61" t="str">
        <f t="shared" si="1"/>
        <v>[effect:enemy_message, val1:1.2, val2:1.5]</v>
      </c>
      <c r="H20" s="61">
        <f t="shared" si="2"/>
        <v>9</v>
      </c>
      <c r="I20" s="61">
        <f t="shared" si="3"/>
        <v>22</v>
      </c>
      <c r="J20" s="61" t="e">
        <f t="shared" si="4"/>
        <v>#VALUE!</v>
      </c>
      <c r="K20" s="61">
        <f t="shared" si="5"/>
        <v>32</v>
      </c>
      <c r="L20" s="61" t="str">
        <f>IFERROR(VLOOKUP(MID(G20,J20,K20-J20),[7]skilldef!$C:$D,2,FALSE),"-") &amp; " / " &amp; IFERROR(VLOOKUP(MID(G20,H20,I20-H20),[7]skilldef!$A:$B,2,FALSE),"-")</f>
        <v>- / -</v>
      </c>
      <c r="M20" s="61" t="str">
        <f t="shared" si="6"/>
        <v>[effect:break_attack, target:unit_all, val:0.05, lowest_val:1000, count:-1, color:red, block01:jammer]</v>
      </c>
      <c r="N20" s="46" t="str">
        <f t="shared" si="7"/>
        <v>[effect:break_attack, target:unit_all, val:0.05, lowest_val:1000, count:-1, color:red, block01:jammer]</v>
      </c>
      <c r="O20" s="61">
        <f t="shared" si="8"/>
        <v>9</v>
      </c>
      <c r="P20" s="61">
        <f t="shared" si="9"/>
        <v>21</v>
      </c>
      <c r="Q20" s="61">
        <f t="shared" si="10"/>
        <v>30</v>
      </c>
      <c r="R20" s="61">
        <f t="shared" si="11"/>
        <v>38</v>
      </c>
      <c r="S20" s="61" t="str">
        <f>IFERROR(VLOOKUP(MID(N20,Q20,R20-Q20),[7]skilldef!$C:$D,2,FALSE),"-") &amp; " / " &amp; IFERROR(VLOOKUP(MID(N20,O20,P20-O20),[7]skilldef!$A:$B,2,FALSE),"-")</f>
        <v>味方全体に / -</v>
      </c>
      <c r="T20" s="46" t="str">
        <f t="shared" si="12"/>
        <v>none</v>
      </c>
      <c r="U20" s="61" t="e">
        <f t="shared" si="13"/>
        <v>#VALUE!</v>
      </c>
      <c r="V20" s="61">
        <f t="shared" si="14"/>
        <v>4</v>
      </c>
      <c r="W20" s="61" t="e">
        <f t="shared" si="15"/>
        <v>#VALUE!</v>
      </c>
      <c r="X20" s="61" t="e">
        <f t="shared" si="16"/>
        <v>#VALUE!</v>
      </c>
      <c r="Y20" s="61" t="str">
        <f>IFERROR(VLOOKUP(MID(T20,W20,X20-W20),[7]skilldef!$C:$D,2,FALSE),"-") &amp; " / " &amp; IFERROR(VLOOKUP(MID(T20,U20,V20-U20),[7]skilldef!$A:$B,2,FALSE),"-")</f>
        <v>- / -</v>
      </c>
      <c r="Z20" s="48"/>
      <c r="AA20" s="50"/>
      <c r="AB20" s="48"/>
      <c r="AC20" s="101" t="s">
        <v>269</v>
      </c>
    </row>
    <row r="21" spans="1:29" ht="21" customHeight="1" x14ac:dyDescent="0.15">
      <c r="A21" s="45">
        <v>13400419</v>
      </c>
      <c r="B21" s="46" t="str">
        <f t="shared" si="0"/>
        <v>[effect:enemy_message, val1:1.2, val2:2.8],[effect:degrade_unit, target:unit_all, turn:5, status:heal, val:0.8, calc:mul, animation:degrade_unit_all_heal],[effect:dark, target:unit_all, turn:1, animation:enemy_dark]</v>
      </c>
      <c r="C21" s="48">
        <v>3</v>
      </c>
      <c r="D21" s="48" t="s">
        <v>251</v>
      </c>
      <c r="E21" s="49" t="s">
        <v>280</v>
      </c>
      <c r="F21" s="49" t="s">
        <v>306</v>
      </c>
      <c r="G21" s="61" t="str">
        <f t="shared" si="1"/>
        <v>[effect:enemy_message, val1:1.2, val2:2.8]</v>
      </c>
      <c r="H21" s="61">
        <f t="shared" si="2"/>
        <v>9</v>
      </c>
      <c r="I21" s="61">
        <f t="shared" si="3"/>
        <v>22</v>
      </c>
      <c r="J21" s="61" t="e">
        <f t="shared" si="4"/>
        <v>#VALUE!</v>
      </c>
      <c r="K21" s="61">
        <f t="shared" si="5"/>
        <v>32</v>
      </c>
      <c r="L21" s="61" t="str">
        <f>IFERROR(VLOOKUP(MID(G21,J21,K21-J21),[7]skilldef!$C:$D,2,FALSE),"-") &amp; " / " &amp; IFERROR(VLOOKUP(MID(G21,H21,I21-H21),[7]skilldef!$A:$B,2,FALSE),"-")</f>
        <v>- / -</v>
      </c>
      <c r="M21" s="61" t="str">
        <f t="shared" si="6"/>
        <v>[effect:degrade_unit, target:unit_all, turn:5, status:heal, val:0.8, calc:mul, animation:degrade_unit_all_heal],[effect:dark, target:unit_all, turn:1, animation:enemy_dark]</v>
      </c>
      <c r="N21" s="46" t="str">
        <f t="shared" si="7"/>
        <v>[effect:degrade_unit, target:unit_all, turn:5, status:heal, val:0.8, calc:mul, animation:degrade_unit_all_heal],[effect:dark, target:unit_all, turn:1, animation:enemy_dark]</v>
      </c>
      <c r="O21" s="61">
        <f t="shared" si="8"/>
        <v>9</v>
      </c>
      <c r="P21" s="61">
        <f t="shared" si="9"/>
        <v>21</v>
      </c>
      <c r="Q21" s="61">
        <f t="shared" si="10"/>
        <v>30</v>
      </c>
      <c r="R21" s="61">
        <f t="shared" si="11"/>
        <v>38</v>
      </c>
      <c r="S21" s="61" t="str">
        <f>IFERROR(VLOOKUP(MID(N21,Q21,R21-Q21),[7]skilldef!$C:$D,2,FALSE),"-") &amp; " / " &amp; IFERROR(VLOOKUP(MID(N21,O21,P21-O21),[7]skilldef!$A:$B,2,FALSE),"-")</f>
        <v>味方全体に / ステータスDOWN</v>
      </c>
      <c r="T21" s="46" t="str">
        <f t="shared" si="12"/>
        <v>[effect:dark, target:unit_all, turn:1, animation:enemy_dark]</v>
      </c>
      <c r="U21" s="61">
        <f t="shared" si="13"/>
        <v>9</v>
      </c>
      <c r="V21" s="61">
        <f t="shared" si="14"/>
        <v>13</v>
      </c>
      <c r="W21" s="61">
        <f t="shared" si="15"/>
        <v>22</v>
      </c>
      <c r="X21" s="61">
        <f t="shared" si="16"/>
        <v>30</v>
      </c>
      <c r="Y21" s="61" t="str">
        <f>IFERROR(VLOOKUP(MID(T21,W21,X21-W21),[7]skilldef!$C:$D,2,FALSE),"-") &amp; " / " &amp; IFERROR(VLOOKUP(MID(T21,U21,V21-U21),[7]skilldef!$A:$B,2,FALSE),"-")</f>
        <v>味方全体に / 暗黒</v>
      </c>
      <c r="Z21" s="48"/>
      <c r="AA21" s="50"/>
      <c r="AB21" s="48"/>
      <c r="AC21" s="101" t="s">
        <v>340</v>
      </c>
    </row>
    <row r="22" spans="1:29" ht="21" customHeight="1" x14ac:dyDescent="0.15">
      <c r="A22" s="45">
        <v>13400420</v>
      </c>
      <c r="B22" s="46" t="str">
        <f t="shared" si="0"/>
        <v>[effect:enemy_message, val1:1.2, val2:1.3],[effect:damage_abnormal, target:unit_one, val:1, status:virus, turn:5, val_abnormal:0.5, calc:mul, animation:enemy_virus]</v>
      </c>
      <c r="C22" s="48">
        <v>3</v>
      </c>
      <c r="D22" s="48" t="s">
        <v>251</v>
      </c>
      <c r="E22" s="49" t="s">
        <v>284</v>
      </c>
      <c r="F22" s="49" t="s">
        <v>304</v>
      </c>
      <c r="G22" s="61" t="str">
        <f t="shared" si="1"/>
        <v>[effect:enemy_message, val1:1.2, val2:1.3]</v>
      </c>
      <c r="H22" s="61">
        <f t="shared" si="2"/>
        <v>9</v>
      </c>
      <c r="I22" s="61">
        <f t="shared" si="3"/>
        <v>22</v>
      </c>
      <c r="J22" s="61" t="e">
        <f t="shared" si="4"/>
        <v>#VALUE!</v>
      </c>
      <c r="K22" s="61">
        <f t="shared" si="5"/>
        <v>32</v>
      </c>
      <c r="L22" s="61" t="str">
        <f>IFERROR(VLOOKUP(MID(G22,J22,K22-J22),[7]skilldef!$C:$D,2,FALSE),"-") &amp; " / " &amp; IFERROR(VLOOKUP(MID(G22,H22,I22-H22),[7]skilldef!$A:$B,2,FALSE),"-")</f>
        <v>- / -</v>
      </c>
      <c r="M22" s="61" t="str">
        <f t="shared" si="6"/>
        <v>[effect:damage_abnormal, target:unit_one, val:1, status:virus, turn:5, val_abnormal:0.5, calc:mul, animation:enemy_virus]</v>
      </c>
      <c r="N22" s="46" t="str">
        <f t="shared" si="7"/>
        <v>[effect:damage_abnormal, target:unit_one, val:1, status:virus, turn:5, val_abnormal:0.5, calc:mul, animation:enemy_virus]</v>
      </c>
      <c r="O22" s="61">
        <f t="shared" si="8"/>
        <v>9</v>
      </c>
      <c r="P22" s="61">
        <f t="shared" si="9"/>
        <v>24</v>
      </c>
      <c r="Q22" s="61">
        <f t="shared" si="10"/>
        <v>33</v>
      </c>
      <c r="R22" s="61">
        <f t="shared" si="11"/>
        <v>41</v>
      </c>
      <c r="S22" s="61" t="str">
        <f>IFERROR(VLOOKUP(MID(N22,Q22,R22-Q22),[7]skilldef!$C:$D,2,FALSE),"-") &amp; " / " &amp; IFERROR(VLOOKUP(MID(N22,O22,P22-O22),[7]skilldef!$A:$B,2,FALSE),"-")</f>
        <v>味方単体に / -</v>
      </c>
      <c r="T22" s="46" t="str">
        <f t="shared" si="12"/>
        <v>none</v>
      </c>
      <c r="U22" s="61" t="e">
        <f t="shared" si="13"/>
        <v>#VALUE!</v>
      </c>
      <c r="V22" s="61">
        <f t="shared" si="14"/>
        <v>4</v>
      </c>
      <c r="W22" s="61" t="e">
        <f t="shared" si="15"/>
        <v>#VALUE!</v>
      </c>
      <c r="X22" s="61" t="e">
        <f t="shared" si="16"/>
        <v>#VALUE!</v>
      </c>
      <c r="Y22" s="61" t="str">
        <f>IFERROR(VLOOKUP(MID(T22,W22,X22-W22),[7]skilldef!$C:$D,2,FALSE),"-") &amp; " / " &amp; IFERROR(VLOOKUP(MID(T22,U22,V22-U22),[7]skilldef!$A:$B,2,FALSE),"-")</f>
        <v>- / -</v>
      </c>
      <c r="Z22" s="48"/>
      <c r="AA22" s="50"/>
      <c r="AB22" s="48"/>
      <c r="AC22" s="101" t="s">
        <v>268</v>
      </c>
    </row>
    <row r="23" spans="1:29" ht="21" customHeight="1" x14ac:dyDescent="0.15">
      <c r="A23" s="45">
        <v>13400421</v>
      </c>
      <c r="B23" s="46" t="str">
        <f t="shared" si="0"/>
        <v>[effect:enemy_message, val1:1.2, val2:3.8],[effect:degrade_unit, target:unit_all, turn:3, status:action, val:2, calc:add, animation:enemy_tap_down]</v>
      </c>
      <c r="C23" s="48">
        <v>3</v>
      </c>
      <c r="D23" s="48" t="s">
        <v>251</v>
      </c>
      <c r="E23" s="49" t="s">
        <v>283</v>
      </c>
      <c r="F23" s="49" t="s">
        <v>309</v>
      </c>
      <c r="G23" s="61" t="str">
        <f t="shared" si="1"/>
        <v>[effect:enemy_message, val1:1.2, val2:3.8]</v>
      </c>
      <c r="H23" s="61">
        <f t="shared" si="2"/>
        <v>9</v>
      </c>
      <c r="I23" s="61">
        <f t="shared" si="3"/>
        <v>22</v>
      </c>
      <c r="J23" s="61" t="e">
        <f t="shared" si="4"/>
        <v>#VALUE!</v>
      </c>
      <c r="K23" s="61">
        <f t="shared" si="5"/>
        <v>32</v>
      </c>
      <c r="L23" s="61" t="str">
        <f>IFERROR(VLOOKUP(MID(G23,J23,K23-J23),[7]skilldef!$C:$D,2,FALSE),"-") &amp; " / " &amp; IFERROR(VLOOKUP(MID(G23,H23,I23-H23),[7]skilldef!$A:$B,2,FALSE),"-")</f>
        <v>- / -</v>
      </c>
      <c r="M23" s="61" t="str">
        <f t="shared" si="6"/>
        <v>[effect:degrade_unit, target:unit_all, turn:3, status:action, val:2, calc:add, animation:enemy_tap_down]</v>
      </c>
      <c r="N23" s="46" t="str">
        <f t="shared" si="7"/>
        <v>[effect:degrade_unit, target:unit_all, turn:3, status:action, val:2, calc:add, animation:enemy_tap_down]</v>
      </c>
      <c r="O23" s="61">
        <f t="shared" si="8"/>
        <v>9</v>
      </c>
      <c r="P23" s="61">
        <f t="shared" si="9"/>
        <v>21</v>
      </c>
      <c r="Q23" s="61">
        <f t="shared" si="10"/>
        <v>30</v>
      </c>
      <c r="R23" s="61">
        <f t="shared" si="11"/>
        <v>38</v>
      </c>
      <c r="S23" s="61" t="str">
        <f>IFERROR(VLOOKUP(MID(N23,Q23,R23-Q23),[7]skilldef!$C:$D,2,FALSE),"-") &amp; " / " &amp; IFERROR(VLOOKUP(MID(N23,O23,P23-O23),[7]skilldef!$A:$B,2,FALSE),"-")</f>
        <v>味方全体に / ステータスDOWN</v>
      </c>
      <c r="T23" s="46" t="str">
        <f t="shared" si="12"/>
        <v>none</v>
      </c>
      <c r="U23" s="61" t="e">
        <f t="shared" si="13"/>
        <v>#VALUE!</v>
      </c>
      <c r="V23" s="61">
        <f t="shared" si="14"/>
        <v>4</v>
      </c>
      <c r="W23" s="61" t="e">
        <f t="shared" si="15"/>
        <v>#VALUE!</v>
      </c>
      <c r="X23" s="61" t="e">
        <f t="shared" si="16"/>
        <v>#VALUE!</v>
      </c>
      <c r="Y23" s="61" t="str">
        <f>IFERROR(VLOOKUP(MID(T23,W23,X23-W23),[7]skilldef!$C:$D,2,FALSE),"-") &amp; " / " &amp; IFERROR(VLOOKUP(MID(T23,U23,V23-U23),[7]skilldef!$A:$B,2,FALSE),"-")</f>
        <v>- / -</v>
      </c>
      <c r="Z23" s="48"/>
      <c r="AA23" s="50"/>
      <c r="AB23" s="48"/>
      <c r="AC23" s="101" t="s">
        <v>307</v>
      </c>
    </row>
    <row r="24" spans="1:29" ht="21" customHeight="1" x14ac:dyDescent="0.15">
      <c r="A24" s="45">
        <v>13400422</v>
      </c>
      <c r="B24" s="46" t="str">
        <f t="shared" si="0"/>
        <v>[effect:enemy_message, val1:1.2, val2:1.5],[effect:spread, val:2.0],[effect:spread, val:2.0],[effect:spread, val:2.0],[effect:spread, val:2.0],[effect:spread, val:2.0]</v>
      </c>
      <c r="C24" s="48">
        <v>3</v>
      </c>
      <c r="D24" s="48" t="s">
        <v>251</v>
      </c>
      <c r="E24" s="49" t="s">
        <v>282</v>
      </c>
      <c r="F24" s="49" t="s">
        <v>310</v>
      </c>
      <c r="G24" s="61" t="str">
        <f t="shared" si="1"/>
        <v>[effect:enemy_message, val1:1.2, val2:1.5]</v>
      </c>
      <c r="H24" s="61">
        <f t="shared" si="2"/>
        <v>9</v>
      </c>
      <c r="I24" s="61">
        <f t="shared" si="3"/>
        <v>22</v>
      </c>
      <c r="J24" s="61" t="e">
        <f t="shared" si="4"/>
        <v>#VALUE!</v>
      </c>
      <c r="K24" s="61">
        <f t="shared" si="5"/>
        <v>32</v>
      </c>
      <c r="L24" s="61" t="str">
        <f>IFERROR(VLOOKUP(MID(G24,J24,K24-J24),[7]skilldef!$C:$D,2,FALSE),"-") &amp; " / " &amp; IFERROR(VLOOKUP(MID(G24,H24,I24-H24),[7]skilldef!$A:$B,2,FALSE),"-")</f>
        <v>- / -</v>
      </c>
      <c r="M24" s="61" t="str">
        <f t="shared" si="6"/>
        <v>[effect:spread, val:2.0],[effect:spread, val:2.0],[effect:spread, val:2.0],[effect:spread, val:2.0],[effect:spread, val:2.0]</v>
      </c>
      <c r="N24" s="46" t="str">
        <f t="shared" si="7"/>
        <v>[effect:spread, val:2.0],[effect:spread, val:2.0],[effect:spread, val:2.0],[effect:spread, val:2.0],[effect:spread, val:2.0]</v>
      </c>
      <c r="O24" s="61">
        <f t="shared" si="8"/>
        <v>9</v>
      </c>
      <c r="P24" s="61">
        <f t="shared" si="9"/>
        <v>15</v>
      </c>
      <c r="Q24" s="61" t="e">
        <f t="shared" si="10"/>
        <v>#VALUE!</v>
      </c>
      <c r="R24" s="61">
        <f t="shared" si="11"/>
        <v>25</v>
      </c>
      <c r="S24" s="61" t="str">
        <f>IFERROR(VLOOKUP(MID(N24,Q24,R24-Q24),[7]skilldef!$C:$D,2,FALSE),"-") &amp; " / " &amp; IFERROR(VLOOKUP(MID(N24,O24,P24-O24),[7]skilldef!$A:$B,2,FALSE),"-")</f>
        <v>- / 全体攻撃</v>
      </c>
      <c r="T24" s="46" t="str">
        <f t="shared" si="12"/>
        <v>[effect:spread, val:2.0],[effect:spread, val:2.0],[effect:spread, val:2.0],[effect:spread, val:2.0]</v>
      </c>
      <c r="U24" s="61">
        <f t="shared" si="13"/>
        <v>9</v>
      </c>
      <c r="V24" s="61">
        <f t="shared" si="14"/>
        <v>15</v>
      </c>
      <c r="W24" s="61" t="e">
        <f t="shared" si="15"/>
        <v>#VALUE!</v>
      </c>
      <c r="X24" s="61">
        <f t="shared" si="16"/>
        <v>25</v>
      </c>
      <c r="Y24" s="61" t="str">
        <f>IFERROR(VLOOKUP(MID(T24,W24,X24-W24),[7]skilldef!$C:$D,2,FALSE),"-") &amp; " / " &amp; IFERROR(VLOOKUP(MID(T24,U24,V24-U24),[7]skilldef!$A:$B,2,FALSE),"-")</f>
        <v>- / 全体攻撃</v>
      </c>
      <c r="Z24" s="48"/>
      <c r="AA24" s="50"/>
      <c r="AB24" s="48"/>
      <c r="AC24" s="101" t="s">
        <v>308</v>
      </c>
    </row>
    <row r="25" spans="1:29" ht="21" customHeight="1" x14ac:dyDescent="0.15">
      <c r="A25" s="45">
        <v>13400423</v>
      </c>
      <c r="B25" s="46" t="str">
        <f t="shared" si="0"/>
        <v>[effect:enemy_message, val1:1.2, val2:1.2],[effect:nothing]</v>
      </c>
      <c r="C25" s="48">
        <v>1</v>
      </c>
      <c r="D25" s="48" t="s">
        <v>251</v>
      </c>
      <c r="E25" s="49" t="s">
        <v>258</v>
      </c>
      <c r="F25" s="49" t="s">
        <v>256</v>
      </c>
      <c r="G25" s="61" t="str">
        <f t="shared" si="1"/>
        <v>[effect:enemy_message, val1:1.2, val2:1.2]</v>
      </c>
      <c r="H25" s="61">
        <f t="shared" si="2"/>
        <v>9</v>
      </c>
      <c r="I25" s="61">
        <f t="shared" si="3"/>
        <v>22</v>
      </c>
      <c r="J25" s="61" t="e">
        <f t="shared" si="4"/>
        <v>#VALUE!</v>
      </c>
      <c r="K25" s="61">
        <f t="shared" si="5"/>
        <v>32</v>
      </c>
      <c r="L25" s="61" t="str">
        <f>IFERROR(VLOOKUP(MID(G25,J25,K25-J25),[7]skilldef!$C:$D,2,FALSE),"-") &amp; " / " &amp; IFERROR(VLOOKUP(MID(G25,H25,I25-H25),[7]skilldef!$A:$B,2,FALSE),"-")</f>
        <v>- / -</v>
      </c>
      <c r="M25" s="61" t="str">
        <f t="shared" si="6"/>
        <v>[effect:nothing]</v>
      </c>
      <c r="N25" s="46" t="str">
        <f t="shared" si="7"/>
        <v>[effect:nothing]</v>
      </c>
      <c r="O25" s="61">
        <f t="shared" si="8"/>
        <v>9</v>
      </c>
      <c r="P25" s="61">
        <f t="shared" si="9"/>
        <v>16</v>
      </c>
      <c r="Q25" s="61" t="e">
        <f t="shared" si="10"/>
        <v>#VALUE!</v>
      </c>
      <c r="R25" s="61" t="e">
        <f t="shared" si="11"/>
        <v>#VALUE!</v>
      </c>
      <c r="S25" s="61" t="str">
        <f>IFERROR(VLOOKUP(MID(N25,Q25,R25-Q25),[7]skilldef!$C:$D,2,FALSE),"-") &amp; " / " &amp; IFERROR(VLOOKUP(MID(N25,O25,P25-O25),[7]skilldef!$A:$B,2,FALSE),"-")</f>
        <v>- / 何もしない</v>
      </c>
      <c r="T25" s="46" t="str">
        <f t="shared" si="12"/>
        <v>none</v>
      </c>
      <c r="U25" s="61" t="e">
        <f t="shared" si="13"/>
        <v>#VALUE!</v>
      </c>
      <c r="V25" s="61">
        <f t="shared" si="14"/>
        <v>4</v>
      </c>
      <c r="W25" s="61" t="e">
        <f t="shared" si="15"/>
        <v>#VALUE!</v>
      </c>
      <c r="X25" s="61" t="e">
        <f t="shared" si="16"/>
        <v>#VALUE!</v>
      </c>
      <c r="Y25" s="61" t="str">
        <f>IFERROR(VLOOKUP(MID(T25,W25,X25-W25),[7]skilldef!$C:$D,2,FALSE),"-") &amp; " / " &amp; IFERROR(VLOOKUP(MID(T25,U25,V25-U25),[7]skilldef!$A:$B,2,FALSE),"-")</f>
        <v>- / -</v>
      </c>
      <c r="Z25" s="48"/>
      <c r="AA25" s="50"/>
      <c r="AB25" s="48"/>
      <c r="AC25" s="101" t="s">
        <v>261</v>
      </c>
    </row>
    <row r="26" spans="1:29" ht="21" customHeight="1" x14ac:dyDescent="0.15">
      <c r="A26" s="45">
        <v>13400424</v>
      </c>
      <c r="B26" s="46" t="str">
        <f t="shared" si="0"/>
        <v>[effect:enemy_message, val1:1.2, val2:1.2],[effect:nothing]</v>
      </c>
      <c r="C26" s="48">
        <v>1</v>
      </c>
      <c r="D26" s="48" t="s">
        <v>251</v>
      </c>
      <c r="E26" s="49" t="s">
        <v>258</v>
      </c>
      <c r="F26" s="49" t="s">
        <v>256</v>
      </c>
      <c r="G26" s="61" t="str">
        <f t="shared" si="1"/>
        <v>[effect:enemy_message, val1:1.2, val2:1.2]</v>
      </c>
      <c r="H26" s="61">
        <f t="shared" si="2"/>
        <v>9</v>
      </c>
      <c r="I26" s="61">
        <f t="shared" si="3"/>
        <v>22</v>
      </c>
      <c r="J26" s="61" t="e">
        <f t="shared" si="4"/>
        <v>#VALUE!</v>
      </c>
      <c r="K26" s="61">
        <f t="shared" si="5"/>
        <v>32</v>
      </c>
      <c r="L26" s="61" t="str">
        <f>IFERROR(VLOOKUP(MID(G26,J26,K26-J26),[7]skilldef!$C:$D,2,FALSE),"-") &amp; " / " &amp; IFERROR(VLOOKUP(MID(G26,H26,I26-H26),[7]skilldef!$A:$B,2,FALSE),"-")</f>
        <v>- / -</v>
      </c>
      <c r="M26" s="61" t="str">
        <f t="shared" si="6"/>
        <v>[effect:nothing]</v>
      </c>
      <c r="N26" s="46" t="str">
        <f t="shared" si="7"/>
        <v>[effect:nothing]</v>
      </c>
      <c r="O26" s="61">
        <f t="shared" si="8"/>
        <v>9</v>
      </c>
      <c r="P26" s="61">
        <f t="shared" si="9"/>
        <v>16</v>
      </c>
      <c r="Q26" s="61" t="e">
        <f t="shared" si="10"/>
        <v>#VALUE!</v>
      </c>
      <c r="R26" s="61" t="e">
        <f t="shared" si="11"/>
        <v>#VALUE!</v>
      </c>
      <c r="S26" s="61" t="str">
        <f>IFERROR(VLOOKUP(MID(N26,Q26,R26-Q26),[7]skilldef!$C:$D,2,FALSE),"-") &amp; " / " &amp; IFERROR(VLOOKUP(MID(N26,O26,P26-O26),[7]skilldef!$A:$B,2,FALSE),"-")</f>
        <v>- / 何もしない</v>
      </c>
      <c r="T26" s="46" t="str">
        <f t="shared" si="12"/>
        <v>none</v>
      </c>
      <c r="U26" s="61" t="e">
        <f t="shared" si="13"/>
        <v>#VALUE!</v>
      </c>
      <c r="V26" s="61">
        <f t="shared" si="14"/>
        <v>4</v>
      </c>
      <c r="W26" s="61" t="e">
        <f t="shared" si="15"/>
        <v>#VALUE!</v>
      </c>
      <c r="X26" s="61" t="e">
        <f t="shared" si="16"/>
        <v>#VALUE!</v>
      </c>
      <c r="Y26" s="61" t="str">
        <f>IFERROR(VLOOKUP(MID(T26,W26,X26-W26),[7]skilldef!$C:$D,2,FALSE),"-") &amp; " / " &amp; IFERROR(VLOOKUP(MID(T26,U26,V26-U26),[7]skilldef!$A:$B,2,FALSE),"-")</f>
        <v>- / -</v>
      </c>
      <c r="Z26" s="48"/>
      <c r="AA26" s="50"/>
      <c r="AB26" s="48"/>
      <c r="AC26" s="101" t="s">
        <v>261</v>
      </c>
    </row>
    <row r="27" spans="1:29" ht="21" customHeight="1" x14ac:dyDescent="0.15">
      <c r="A27" s="45">
        <v>13400425</v>
      </c>
      <c r="B27" s="46" t="str">
        <f t="shared" si="0"/>
        <v>[effect:enemy_message, val1:1.2, val2:2.6],[effect:tolerance, target:myself, turn:-1, count:-1, tolerance_effect:all, animation:enemy_tolerance],[effect:crash_condition, target:unit_all, turn:6, val:4, animation:enemy_crash_extend],[effect:fix_speed, target:myself, turn:1]</v>
      </c>
      <c r="C27" s="48">
        <v>3</v>
      </c>
      <c r="D27" s="48" t="s">
        <v>251</v>
      </c>
      <c r="E27" s="49" t="s">
        <v>287</v>
      </c>
      <c r="F27" s="49" t="s">
        <v>313</v>
      </c>
      <c r="G27" s="61" t="str">
        <f t="shared" si="1"/>
        <v>[effect:enemy_message, val1:1.2, val2:2.6]</v>
      </c>
      <c r="H27" s="61">
        <f t="shared" si="2"/>
        <v>9</v>
      </c>
      <c r="I27" s="61">
        <f t="shared" si="3"/>
        <v>22</v>
      </c>
      <c r="J27" s="61" t="e">
        <f t="shared" si="4"/>
        <v>#VALUE!</v>
      </c>
      <c r="K27" s="61">
        <f t="shared" si="5"/>
        <v>32</v>
      </c>
      <c r="L27" s="61" t="str">
        <f>IFERROR(VLOOKUP(MID(G27,J27,K27-J27),[7]skilldef!$C:$D,2,FALSE),"-") &amp; " / " &amp; IFERROR(VLOOKUP(MID(G27,H27,I27-H27),[7]skilldef!$A:$B,2,FALSE),"-")</f>
        <v>- / -</v>
      </c>
      <c r="M27" s="61" t="str">
        <f t="shared" si="6"/>
        <v>[effect:tolerance, target:myself, turn:-1, count:-1, tolerance_effect:all, animation:enemy_tolerance],[effect:crash_condition, target:unit_all, turn:6, val:4, animation:enemy_crash_extend],[effect:fix_speed, target:myself, turn:1]</v>
      </c>
      <c r="N27" s="46" t="str">
        <f t="shared" si="7"/>
        <v>[effect:tolerance, target:myself, turn:-1, count:-1, tolerance_effect:all, animation:enemy_tolerance],[effect:crash_condition, target:unit_all, turn:6, val:4, animation:enemy_crash_extend],[effect:fix_speed, target:myself, turn:1]</v>
      </c>
      <c r="O27" s="61">
        <f t="shared" si="8"/>
        <v>9</v>
      </c>
      <c r="P27" s="61">
        <f t="shared" si="9"/>
        <v>18</v>
      </c>
      <c r="Q27" s="61">
        <f t="shared" si="10"/>
        <v>27</v>
      </c>
      <c r="R27" s="61">
        <f t="shared" si="11"/>
        <v>33</v>
      </c>
      <c r="S27" s="61" t="str">
        <f>IFERROR(VLOOKUP(MID(N27,Q27,R27-Q27),[7]skilldef!$C:$D,2,FALSE),"-") &amp; " / " &amp; IFERROR(VLOOKUP(MID(N27,O27,P27-O27),[7]skilldef!$A:$B,2,FALSE),"-")</f>
        <v>自分自身に / 状態異常耐性</v>
      </c>
      <c r="T27" s="46" t="str">
        <f t="shared" si="12"/>
        <v>[effect:crash_condition, target:unit_all, turn:6, val:4, animation:enemy_crash_extend],[effect:fix_speed, target:myself, turn:1]</v>
      </c>
      <c r="U27" s="61">
        <f t="shared" si="13"/>
        <v>9</v>
      </c>
      <c r="V27" s="61">
        <f t="shared" si="14"/>
        <v>24</v>
      </c>
      <c r="W27" s="61">
        <f t="shared" si="15"/>
        <v>33</v>
      </c>
      <c r="X27" s="61">
        <f t="shared" si="16"/>
        <v>41</v>
      </c>
      <c r="Y27" s="61" t="str">
        <f>IFERROR(VLOOKUP(MID(T27,W27,X27-W27),[7]skilldef!$C:$D,2,FALSE),"-") &amp; " / " &amp; IFERROR(VLOOKUP(MID(T27,U27,V27-U27),[7]skilldef!$A:$B,2,FALSE),"-")</f>
        <v>味方全体に / -</v>
      </c>
      <c r="Z27" s="48"/>
      <c r="AA27" s="50"/>
      <c r="AB27" s="48"/>
      <c r="AC27" s="101" t="s">
        <v>311</v>
      </c>
    </row>
    <row r="28" spans="1:29" ht="21" customHeight="1" x14ac:dyDescent="0.15">
      <c r="A28" s="45">
        <v>13400426</v>
      </c>
      <c r="B28" s="46" t="str">
        <f t="shared" si="0"/>
        <v>[effect:enemy_message, val1:1.2, val2:2.5],[effect:spread, val:0.2],[effect:force_change_block, new_block:damage, target:block_all, ignore01:block_positive, ignore02:block_negative, count:6, val:0.1]</v>
      </c>
      <c r="C28" s="48">
        <v>3</v>
      </c>
      <c r="D28" s="48" t="s">
        <v>251</v>
      </c>
      <c r="E28" s="49" t="s">
        <v>289</v>
      </c>
      <c r="F28" s="49" t="s">
        <v>331</v>
      </c>
      <c r="G28" s="61" t="str">
        <f t="shared" si="1"/>
        <v>[effect:enemy_message, val1:1.2, val2:2.5]</v>
      </c>
      <c r="H28" s="61">
        <f t="shared" si="2"/>
        <v>9</v>
      </c>
      <c r="I28" s="61">
        <f t="shared" si="3"/>
        <v>22</v>
      </c>
      <c r="J28" s="61" t="e">
        <f t="shared" si="4"/>
        <v>#VALUE!</v>
      </c>
      <c r="K28" s="61">
        <f t="shared" si="5"/>
        <v>32</v>
      </c>
      <c r="L28" s="61" t="str">
        <f>IFERROR(VLOOKUP(MID(G28,J28,K28-J28),[7]skilldef!$C:$D,2,FALSE),"-") &amp; " / " &amp; IFERROR(VLOOKUP(MID(G28,H28,I28-H28),[7]skilldef!$A:$B,2,FALSE),"-")</f>
        <v>- / -</v>
      </c>
      <c r="M28" s="61" t="str">
        <f t="shared" si="6"/>
        <v>[effect:spread, val:0.2],[effect:force_change_block, new_block:damage, target:block_all, ignore01:block_positive, ignore02:block_negative, count:6, val:0.1]</v>
      </c>
      <c r="N28" s="46" t="str">
        <f t="shared" si="7"/>
        <v>[effect:spread, val:0.2],[effect:force_change_block, new_block:damage, target:block_all, ignore01:block_positive, ignore02:block_negative, count:6, val:0.1]</v>
      </c>
      <c r="O28" s="61">
        <f t="shared" si="8"/>
        <v>9</v>
      </c>
      <c r="P28" s="61">
        <f t="shared" si="9"/>
        <v>15</v>
      </c>
      <c r="Q28" s="61">
        <f t="shared" si="10"/>
        <v>79</v>
      </c>
      <c r="R28" s="61">
        <f t="shared" si="11"/>
        <v>25</v>
      </c>
      <c r="S28" s="61" t="str">
        <f>IFERROR(VLOOKUP(MID(N28,Q28,R28-Q28),[7]skilldef!$C:$D,2,FALSE),"-") &amp; " / " &amp; IFERROR(VLOOKUP(MID(N28,O28,P28-O28),[7]skilldef!$A:$B,2,FALSE),"-")</f>
        <v>- / 全体攻撃</v>
      </c>
      <c r="T28" s="46" t="str">
        <f t="shared" si="12"/>
        <v>[effect:force_change_block, new_block:damage, target:block_all, ignore01:block_positive, ignore02:block_negative, count:6, val:0.1]</v>
      </c>
      <c r="U28" s="61">
        <f t="shared" si="13"/>
        <v>9</v>
      </c>
      <c r="V28" s="61">
        <f t="shared" si="14"/>
        <v>27</v>
      </c>
      <c r="W28" s="61">
        <f t="shared" si="15"/>
        <v>54</v>
      </c>
      <c r="X28" s="61">
        <f t="shared" si="16"/>
        <v>45</v>
      </c>
      <c r="Y28" s="61" t="str">
        <f>IFERROR(VLOOKUP(MID(T28,W28,X28-W28),[7]skilldef!$C:$D,2,FALSE),"-") &amp; " / " &amp; IFERROR(VLOOKUP(MID(T28,U28,V28-U28),[7]skilldef!$A:$B,2,FALSE),"-")</f>
        <v>- / -</v>
      </c>
      <c r="Z28" s="48"/>
      <c r="AA28" s="50"/>
      <c r="AB28" s="48"/>
      <c r="AC28" s="101" t="s">
        <v>266</v>
      </c>
    </row>
    <row r="29" spans="1:29" ht="21" customHeight="1" x14ac:dyDescent="0.15">
      <c r="A29" s="45">
        <v>13400427</v>
      </c>
      <c r="B29" s="46" t="str">
        <f t="shared" si="0"/>
        <v>[effect:enemy_message, val1:1.2, val2:2.4],[effect:spread, val:0.2],[effect:force_change_block, new_block:jammer, target:block_all, ignore01:block_positive, ignore02:block_negative, count:6, val:0]</v>
      </c>
      <c r="C29" s="48">
        <v>3</v>
      </c>
      <c r="D29" s="48" t="s">
        <v>251</v>
      </c>
      <c r="E29" s="49" t="s">
        <v>290</v>
      </c>
      <c r="F29" s="49" t="s">
        <v>332</v>
      </c>
      <c r="G29" s="61" t="str">
        <f t="shared" si="1"/>
        <v>[effect:enemy_message, val1:1.2, val2:2.4]</v>
      </c>
      <c r="H29" s="61">
        <f t="shared" si="2"/>
        <v>9</v>
      </c>
      <c r="I29" s="61">
        <f t="shared" si="3"/>
        <v>22</v>
      </c>
      <c r="J29" s="61" t="e">
        <f t="shared" si="4"/>
        <v>#VALUE!</v>
      </c>
      <c r="K29" s="61">
        <f t="shared" si="5"/>
        <v>32</v>
      </c>
      <c r="L29" s="61" t="str">
        <f>IFERROR(VLOOKUP(MID(G29,J29,K29-J29),[7]skilldef!$C:$D,2,FALSE),"-") &amp; " / " &amp; IFERROR(VLOOKUP(MID(G29,H29,I29-H29),[7]skilldef!$A:$B,2,FALSE),"-")</f>
        <v>- / -</v>
      </c>
      <c r="M29" s="61" t="str">
        <f t="shared" si="6"/>
        <v>[effect:spread, val:0.2],[effect:force_change_block, new_block:jammer, target:block_all, ignore01:block_positive, ignore02:block_negative, count:6, val:0]</v>
      </c>
      <c r="N29" s="46" t="str">
        <f t="shared" si="7"/>
        <v>[effect:spread, val:0.2],[effect:force_change_block, new_block:jammer, target:block_all, ignore01:block_positive, ignore02:block_negative, count:6, val:0]</v>
      </c>
      <c r="O29" s="61">
        <f t="shared" si="8"/>
        <v>9</v>
      </c>
      <c r="P29" s="61">
        <f t="shared" si="9"/>
        <v>15</v>
      </c>
      <c r="Q29" s="61">
        <f t="shared" si="10"/>
        <v>79</v>
      </c>
      <c r="R29" s="61">
        <f t="shared" si="11"/>
        <v>25</v>
      </c>
      <c r="S29" s="61" t="str">
        <f>IFERROR(VLOOKUP(MID(N29,Q29,R29-Q29),[7]skilldef!$C:$D,2,FALSE),"-") &amp; " / " &amp; IFERROR(VLOOKUP(MID(N29,O29,P29-O29),[7]skilldef!$A:$B,2,FALSE),"-")</f>
        <v>- / 全体攻撃</v>
      </c>
      <c r="T29" s="46" t="str">
        <f t="shared" si="12"/>
        <v>[effect:force_change_block, new_block:jammer, target:block_all, ignore01:block_positive, ignore02:block_negative, count:6, val:0]</v>
      </c>
      <c r="U29" s="61">
        <f t="shared" si="13"/>
        <v>9</v>
      </c>
      <c r="V29" s="61">
        <f t="shared" si="14"/>
        <v>27</v>
      </c>
      <c r="W29" s="61">
        <f t="shared" si="15"/>
        <v>54</v>
      </c>
      <c r="X29" s="61">
        <f t="shared" si="16"/>
        <v>45</v>
      </c>
      <c r="Y29" s="61" t="str">
        <f>IFERROR(VLOOKUP(MID(T29,W29,X29-W29),[7]skilldef!$C:$D,2,FALSE),"-") &amp; " / " &amp; IFERROR(VLOOKUP(MID(T29,U29,V29-U29),[7]skilldef!$A:$B,2,FALSE),"-")</f>
        <v>- / -</v>
      </c>
      <c r="Z29" s="48"/>
      <c r="AA29" s="50"/>
      <c r="AB29" s="48"/>
      <c r="AC29" s="101" t="s">
        <v>267</v>
      </c>
    </row>
    <row r="30" spans="1:29" ht="21" customHeight="1" x14ac:dyDescent="0.15">
      <c r="A30" s="45">
        <v>13400428</v>
      </c>
      <c r="B30" s="46" t="str">
        <f t="shared" si="0"/>
        <v>[effect:enemy_message, val1:1.2, val2:1.6],[effect:break_enchance_enemy, target:myself, val:0.15, lowest_val:0.1, count:-1, status:attack, turn:-1, block01:jammer, calc:mul, animation:enemy_enhance_attack]</v>
      </c>
      <c r="C30" s="48">
        <v>3</v>
      </c>
      <c r="D30" s="48" t="s">
        <v>251</v>
      </c>
      <c r="E30" s="49" t="s">
        <v>291</v>
      </c>
      <c r="F30" s="49" t="s">
        <v>315</v>
      </c>
      <c r="G30" s="61" t="str">
        <f t="shared" si="1"/>
        <v>[effect:enemy_message, val1:1.2, val2:1.6]</v>
      </c>
      <c r="H30" s="61">
        <f t="shared" si="2"/>
        <v>9</v>
      </c>
      <c r="I30" s="61">
        <f t="shared" si="3"/>
        <v>22</v>
      </c>
      <c r="J30" s="61" t="e">
        <f t="shared" si="4"/>
        <v>#VALUE!</v>
      </c>
      <c r="K30" s="61">
        <f t="shared" si="5"/>
        <v>32</v>
      </c>
      <c r="L30" s="61" t="str">
        <f>IFERROR(VLOOKUP(MID(G30,J30,K30-J30),[7]skilldef!$C:$D,2,FALSE),"-") &amp; " / " &amp; IFERROR(VLOOKUP(MID(G30,H30,I30-H30),[7]skilldef!$A:$B,2,FALSE),"-")</f>
        <v>- / -</v>
      </c>
      <c r="M30" s="61" t="str">
        <f t="shared" si="6"/>
        <v>[effect:break_enchance_enemy, target:myself, val:0.15, lowest_val:0.1, count:-1, status:attack, turn:-1, block01:jammer, calc:mul, animation:enemy_enhance_attack]</v>
      </c>
      <c r="N30" s="46" t="str">
        <f t="shared" si="7"/>
        <v>[effect:break_enchance_enemy, target:myself, val:0.15, lowest_val:0.1, count:-1, status:attack, turn:-1, block01:jammer, calc:mul, animation:enemy_enhance_attack]</v>
      </c>
      <c r="O30" s="61">
        <f t="shared" si="8"/>
        <v>9</v>
      </c>
      <c r="P30" s="61">
        <f t="shared" si="9"/>
        <v>29</v>
      </c>
      <c r="Q30" s="61">
        <f t="shared" si="10"/>
        <v>38</v>
      </c>
      <c r="R30" s="61">
        <f t="shared" si="11"/>
        <v>44</v>
      </c>
      <c r="S30" s="61" t="str">
        <f>IFERROR(VLOOKUP(MID(N30,Q30,R30-Q30),[7]skilldef!$C:$D,2,FALSE),"-") &amp; " / " &amp; IFERROR(VLOOKUP(MID(N30,O30,P30-O30),[7]skilldef!$A:$B,2,FALSE),"-")</f>
        <v>自分自身に / -</v>
      </c>
      <c r="T30" s="46" t="str">
        <f t="shared" si="12"/>
        <v>none</v>
      </c>
      <c r="U30" s="61" t="e">
        <f t="shared" si="13"/>
        <v>#VALUE!</v>
      </c>
      <c r="V30" s="61">
        <f t="shared" si="14"/>
        <v>4</v>
      </c>
      <c r="W30" s="61" t="e">
        <f t="shared" si="15"/>
        <v>#VALUE!</v>
      </c>
      <c r="X30" s="61" t="e">
        <f t="shared" si="16"/>
        <v>#VALUE!</v>
      </c>
      <c r="Y30" s="61" t="str">
        <f>IFERROR(VLOOKUP(MID(T30,W30,X30-W30),[7]skilldef!$C:$D,2,FALSE),"-") &amp; " / " &amp; IFERROR(VLOOKUP(MID(T30,U30,V30-U30),[7]skilldef!$A:$B,2,FALSE),"-")</f>
        <v>- / -</v>
      </c>
      <c r="Z30" s="48"/>
      <c r="AA30" s="50"/>
      <c r="AB30" s="48"/>
      <c r="AC30" s="101" t="s">
        <v>314</v>
      </c>
    </row>
    <row r="31" spans="1:29" ht="21" customHeight="1" x14ac:dyDescent="0.15">
      <c r="A31" s="45">
        <v>13400429</v>
      </c>
      <c r="B31" s="46" t="str">
        <f t="shared" si="0"/>
        <v>[effect:enemy_message, val1:1.2, val2:2.8],[effect:degrade_unit, target:unit_all, turn:5, status:heal, val:0.8, calc:mul, animation:degrade_unit_all_heal],[effect:dark, target:unit_all, turn:1, animation:enemy_dark]</v>
      </c>
      <c r="C31" s="48">
        <v>3</v>
      </c>
      <c r="D31" s="48" t="s">
        <v>251</v>
      </c>
      <c r="E31" s="49" t="s">
        <v>295</v>
      </c>
      <c r="F31" s="49" t="s">
        <v>306</v>
      </c>
      <c r="G31" s="61" t="str">
        <f t="shared" si="1"/>
        <v>[effect:enemy_message, val1:1.2, val2:2.8]</v>
      </c>
      <c r="H31" s="61">
        <f t="shared" si="2"/>
        <v>9</v>
      </c>
      <c r="I31" s="61">
        <f t="shared" si="3"/>
        <v>22</v>
      </c>
      <c r="J31" s="61" t="e">
        <f t="shared" si="4"/>
        <v>#VALUE!</v>
      </c>
      <c r="K31" s="61">
        <f t="shared" si="5"/>
        <v>32</v>
      </c>
      <c r="L31" s="61" t="str">
        <f>IFERROR(VLOOKUP(MID(G31,J31,K31-J31),[7]skilldef!$C:$D,2,FALSE),"-") &amp; " / " &amp; IFERROR(VLOOKUP(MID(G31,H31,I31-H31),[7]skilldef!$A:$B,2,FALSE),"-")</f>
        <v>- / -</v>
      </c>
      <c r="M31" s="61" t="str">
        <f t="shared" si="6"/>
        <v>[effect:degrade_unit, target:unit_all, turn:5, status:heal, val:0.8, calc:mul, animation:degrade_unit_all_heal],[effect:dark, target:unit_all, turn:1, animation:enemy_dark]</v>
      </c>
      <c r="N31" s="46" t="str">
        <f t="shared" si="7"/>
        <v>[effect:degrade_unit, target:unit_all, turn:5, status:heal, val:0.8, calc:mul, animation:degrade_unit_all_heal],[effect:dark, target:unit_all, turn:1, animation:enemy_dark]</v>
      </c>
      <c r="O31" s="61">
        <f t="shared" si="8"/>
        <v>9</v>
      </c>
      <c r="P31" s="61">
        <f t="shared" si="9"/>
        <v>21</v>
      </c>
      <c r="Q31" s="61">
        <f t="shared" si="10"/>
        <v>30</v>
      </c>
      <c r="R31" s="61">
        <f t="shared" si="11"/>
        <v>38</v>
      </c>
      <c r="S31" s="61" t="str">
        <f>IFERROR(VLOOKUP(MID(N31,Q31,R31-Q31),[7]skilldef!$C:$D,2,FALSE),"-") &amp; " / " &amp; IFERROR(VLOOKUP(MID(N31,O31,P31-O31),[7]skilldef!$A:$B,2,FALSE),"-")</f>
        <v>味方全体に / ステータスDOWN</v>
      </c>
      <c r="T31" s="46" t="str">
        <f t="shared" si="12"/>
        <v>[effect:dark, target:unit_all, turn:1, animation:enemy_dark]</v>
      </c>
      <c r="U31" s="61">
        <f t="shared" si="13"/>
        <v>9</v>
      </c>
      <c r="V31" s="61">
        <f t="shared" si="14"/>
        <v>13</v>
      </c>
      <c r="W31" s="61">
        <f t="shared" si="15"/>
        <v>22</v>
      </c>
      <c r="X31" s="61">
        <f t="shared" si="16"/>
        <v>30</v>
      </c>
      <c r="Y31" s="61" t="str">
        <f>IFERROR(VLOOKUP(MID(T31,W31,X31-W31),[7]skilldef!$C:$D,2,FALSE),"-") &amp; " / " &amp; IFERROR(VLOOKUP(MID(T31,U31,V31-U31),[7]skilldef!$A:$B,2,FALSE),"-")</f>
        <v>味方全体に / 暗黒</v>
      </c>
      <c r="Z31" s="48"/>
      <c r="AA31" s="50"/>
      <c r="AB31" s="48"/>
      <c r="AC31" s="101" t="s">
        <v>341</v>
      </c>
    </row>
    <row r="32" spans="1:29" ht="21" customHeight="1" x14ac:dyDescent="0.15">
      <c r="A32" s="45">
        <v>13400430</v>
      </c>
      <c r="B32" s="46" t="str">
        <f t="shared" si="0"/>
        <v>[effect:enemy_message, val1:1.2, val2:1.3],[effect:damage_abnormal, target:unit_one, val:1, status:virus, turn:5, val_abnormal:0.5, calc:mul, animation:enemy_virus]</v>
      </c>
      <c r="C32" s="48">
        <v>3</v>
      </c>
      <c r="D32" s="48" t="s">
        <v>251</v>
      </c>
      <c r="E32" s="49" t="s">
        <v>288</v>
      </c>
      <c r="F32" s="49" t="s">
        <v>304</v>
      </c>
      <c r="G32" s="61" t="str">
        <f t="shared" si="1"/>
        <v>[effect:enemy_message, val1:1.2, val2:1.3]</v>
      </c>
      <c r="H32" s="61">
        <f t="shared" si="2"/>
        <v>9</v>
      </c>
      <c r="I32" s="61">
        <f t="shared" si="3"/>
        <v>22</v>
      </c>
      <c r="J32" s="61" t="e">
        <f t="shared" si="4"/>
        <v>#VALUE!</v>
      </c>
      <c r="K32" s="61">
        <f t="shared" si="5"/>
        <v>32</v>
      </c>
      <c r="L32" s="61" t="str">
        <f>IFERROR(VLOOKUP(MID(G32,J32,K32-J32),[7]skilldef!$C:$D,2,FALSE),"-") &amp; " / " &amp; IFERROR(VLOOKUP(MID(G32,H32,I32-H32),[7]skilldef!$A:$B,2,FALSE),"-")</f>
        <v>- / -</v>
      </c>
      <c r="M32" s="61" t="str">
        <f t="shared" si="6"/>
        <v>[effect:damage_abnormal, target:unit_one, val:1, status:virus, turn:5, val_abnormal:0.5, calc:mul, animation:enemy_virus]</v>
      </c>
      <c r="N32" s="46" t="str">
        <f>IFERROR(LEFT(M32,FIND("],",M32)+#REF!),M32)</f>
        <v>[effect:damage_abnormal, target:unit_one, val:1, status:virus, turn:5, val_abnormal:0.5, calc:mul, animation:enemy_virus]</v>
      </c>
      <c r="O32" s="61">
        <f t="shared" si="8"/>
        <v>9</v>
      </c>
      <c r="P32" s="61">
        <f t="shared" si="9"/>
        <v>24</v>
      </c>
      <c r="Q32" s="61">
        <f t="shared" si="10"/>
        <v>33</v>
      </c>
      <c r="R32" s="61">
        <f t="shared" si="11"/>
        <v>41</v>
      </c>
      <c r="S32" s="61" t="str">
        <f>IFERROR(VLOOKUP(MID(N32,Q32,R32-Q32),[7]skilldef!$C:$D,2,FALSE),"-") &amp; " / " &amp; IFERROR(VLOOKUP(MID(N32,O32,P32-O32),[7]skilldef!$A:$B,2,FALSE),"-")</f>
        <v>味方単体に / -</v>
      </c>
      <c r="T32" s="46" t="str">
        <f t="shared" si="12"/>
        <v>none</v>
      </c>
      <c r="U32" s="61" t="e">
        <f t="shared" si="13"/>
        <v>#VALUE!</v>
      </c>
      <c r="V32" s="61">
        <f t="shared" si="14"/>
        <v>4</v>
      </c>
      <c r="W32" s="61" t="e">
        <f t="shared" si="15"/>
        <v>#VALUE!</v>
      </c>
      <c r="X32" s="61" t="e">
        <f t="shared" si="16"/>
        <v>#VALUE!</v>
      </c>
      <c r="Y32" s="61" t="str">
        <f>IFERROR(VLOOKUP(MID(T32,W32,X32-W32),[7]skilldef!$C:$D,2,FALSE),"-") &amp; " / " &amp; IFERROR(VLOOKUP(MID(T32,U32,V32-U32),[7]skilldef!$A:$B,2,FALSE),"-")</f>
        <v>- / -</v>
      </c>
      <c r="Z32" s="48"/>
      <c r="AA32" s="50"/>
      <c r="AB32" s="48"/>
      <c r="AC32" s="101" t="s">
        <v>270</v>
      </c>
    </row>
    <row r="33" spans="1:31" ht="21" customHeight="1" x14ac:dyDescent="0.15">
      <c r="A33" s="45">
        <v>13400431</v>
      </c>
      <c r="B33" s="46" t="str">
        <f t="shared" si="0"/>
        <v>[effect:enemy_message, val1:1.2, val2:3.8],[effect:degrade_unit, target:unit_all, turn:3, status:action, val:2, calc:add, animation:enemy_tap_down]</v>
      </c>
      <c r="C33" s="48">
        <v>3</v>
      </c>
      <c r="D33" s="48" t="s">
        <v>251</v>
      </c>
      <c r="E33" s="49" t="s">
        <v>293</v>
      </c>
      <c r="F33" s="49" t="s">
        <v>309</v>
      </c>
      <c r="G33" s="61" t="str">
        <f t="shared" si="1"/>
        <v>[effect:enemy_message, val1:1.2, val2:3.8]</v>
      </c>
      <c r="H33" s="61">
        <f t="shared" si="2"/>
        <v>9</v>
      </c>
      <c r="I33" s="61">
        <f t="shared" si="3"/>
        <v>22</v>
      </c>
      <c r="J33" s="61" t="e">
        <f t="shared" si="4"/>
        <v>#VALUE!</v>
      </c>
      <c r="K33" s="61">
        <f t="shared" si="5"/>
        <v>32</v>
      </c>
      <c r="L33" s="61" t="str">
        <f>IFERROR(VLOOKUP(MID(G33,J33,K33-J33),[7]skilldef!$C:$D,2,FALSE),"-") &amp; " / " &amp; IFERROR(VLOOKUP(MID(G33,H33,I33-H33),[7]skilldef!$A:$B,2,FALSE),"-")</f>
        <v>- / -</v>
      </c>
      <c r="M33" s="61" t="str">
        <f t="shared" si="6"/>
        <v>[effect:degrade_unit, target:unit_all, turn:3, status:action, val:2, calc:add, animation:enemy_tap_down]</v>
      </c>
      <c r="N33" s="46" t="str">
        <f>IFERROR(LEFT(M33,FIND("],",M33)+#REF!),M33)</f>
        <v>[effect:degrade_unit, target:unit_all, turn:3, status:action, val:2, calc:add, animation:enemy_tap_down]</v>
      </c>
      <c r="O33" s="61">
        <f t="shared" si="8"/>
        <v>9</v>
      </c>
      <c r="P33" s="61">
        <f t="shared" si="9"/>
        <v>21</v>
      </c>
      <c r="Q33" s="61">
        <f t="shared" si="10"/>
        <v>30</v>
      </c>
      <c r="R33" s="61">
        <f t="shared" si="11"/>
        <v>38</v>
      </c>
      <c r="S33" s="61" t="str">
        <f>IFERROR(VLOOKUP(MID(N33,Q33,R33-Q33),[7]skilldef!$C:$D,2,FALSE),"-") &amp; " / " &amp; IFERROR(VLOOKUP(MID(N33,O33,P33-O33),[7]skilldef!$A:$B,2,FALSE),"-")</f>
        <v>味方全体に / ステータスDOWN</v>
      </c>
      <c r="T33" s="46" t="str">
        <f t="shared" si="12"/>
        <v>none</v>
      </c>
      <c r="U33" s="61" t="e">
        <f t="shared" si="13"/>
        <v>#VALUE!</v>
      </c>
      <c r="V33" s="61">
        <f t="shared" si="14"/>
        <v>4</v>
      </c>
      <c r="W33" s="61" t="e">
        <f t="shared" si="15"/>
        <v>#VALUE!</v>
      </c>
      <c r="X33" s="61" t="e">
        <f t="shared" si="16"/>
        <v>#VALUE!</v>
      </c>
      <c r="Y33" s="61" t="str">
        <f>IFERROR(VLOOKUP(MID(T33,W33,X33-W33),[7]skilldef!$C:$D,2,FALSE),"-") &amp; " / " &amp; IFERROR(VLOOKUP(MID(T33,U33,V33-U33),[7]skilldef!$A:$B,2,FALSE),"-")</f>
        <v>- / -</v>
      </c>
      <c r="Z33" s="48"/>
      <c r="AA33" s="50"/>
      <c r="AB33" s="48"/>
      <c r="AC33" s="101" t="s">
        <v>262</v>
      </c>
    </row>
    <row r="34" spans="1:31" ht="21" customHeight="1" x14ac:dyDescent="0.15">
      <c r="A34" s="45">
        <v>13400432</v>
      </c>
      <c r="B34" s="46" t="str">
        <f t="shared" si="0"/>
        <v>[effect:enemy_message, val1:1.4, val2:1.5],[effect:spread, val:2.0],[effect:spread, val:2.0],[effect:spread, val:2.0],[effect:spread, val:2.0],[effect:spread, val:2.0]</v>
      </c>
      <c r="C34" s="48">
        <v>3</v>
      </c>
      <c r="D34" s="48" t="s">
        <v>251</v>
      </c>
      <c r="E34" s="49" t="s">
        <v>292</v>
      </c>
      <c r="F34" s="49" t="s">
        <v>310</v>
      </c>
      <c r="G34" s="61" t="str">
        <f t="shared" si="1"/>
        <v>[effect:enemy_message, val1:1.4, val2:1.5]</v>
      </c>
      <c r="H34" s="61">
        <f t="shared" si="2"/>
        <v>9</v>
      </c>
      <c r="I34" s="61">
        <f t="shared" si="3"/>
        <v>22</v>
      </c>
      <c r="J34" s="61" t="e">
        <f t="shared" si="4"/>
        <v>#VALUE!</v>
      </c>
      <c r="K34" s="61">
        <f t="shared" si="5"/>
        <v>32</v>
      </c>
      <c r="L34" s="61" t="str">
        <f>IFERROR(VLOOKUP(MID(G34,J34,K34-J34),[7]skilldef!$C:$D,2,FALSE),"-") &amp; " / " &amp; IFERROR(VLOOKUP(MID(G34,H34,I34-H34),[7]skilldef!$A:$B,2,FALSE),"-")</f>
        <v>- / -</v>
      </c>
      <c r="M34" s="61" t="str">
        <f t="shared" si="6"/>
        <v>[effect:spread, val:2.0],[effect:spread, val:2.0],[effect:spread, val:2.0],[effect:spread, val:2.0],[effect:spread, val:2.0]</v>
      </c>
      <c r="N34" s="46" t="str">
        <f>IFERROR(LEFT(M34,FIND("],",M34)+#REF!),M34)</f>
        <v>[effect:spread, val:2.0],[effect:spread, val:2.0],[effect:spread, val:2.0],[effect:spread, val:2.0],[effect:spread, val:2.0]</v>
      </c>
      <c r="O34" s="61">
        <f t="shared" si="8"/>
        <v>9</v>
      </c>
      <c r="P34" s="61">
        <f t="shared" si="9"/>
        <v>15</v>
      </c>
      <c r="Q34" s="61" t="e">
        <f t="shared" si="10"/>
        <v>#VALUE!</v>
      </c>
      <c r="R34" s="61">
        <f t="shared" si="11"/>
        <v>25</v>
      </c>
      <c r="S34" s="61" t="str">
        <f>IFERROR(VLOOKUP(MID(N34,Q34,R34-Q34),[7]skilldef!$C:$D,2,FALSE),"-") &amp; " / " &amp; IFERROR(VLOOKUP(MID(N34,O34,P34-O34),[7]skilldef!$A:$B,2,FALSE),"-")</f>
        <v>- / 全体攻撃</v>
      </c>
      <c r="T34" s="46" t="str">
        <f t="shared" si="12"/>
        <v>[effect:spread, val:2.0],[effect:spread, val:2.0],[effect:spread, val:2.0],[effect:spread, val:2.0]</v>
      </c>
      <c r="U34" s="61">
        <f t="shared" si="13"/>
        <v>9</v>
      </c>
      <c r="V34" s="61">
        <f t="shared" si="14"/>
        <v>15</v>
      </c>
      <c r="W34" s="61" t="e">
        <f t="shared" si="15"/>
        <v>#VALUE!</v>
      </c>
      <c r="X34" s="61">
        <f t="shared" si="16"/>
        <v>25</v>
      </c>
      <c r="Y34" s="61" t="str">
        <f>IFERROR(VLOOKUP(MID(T34,W34,X34-W34),[7]skilldef!$C:$D,2,FALSE),"-") &amp; " / " &amp; IFERROR(VLOOKUP(MID(T34,U34,V34-U34),[7]skilldef!$A:$B,2,FALSE),"-")</f>
        <v>- / 全体攻撃</v>
      </c>
      <c r="Z34" s="48"/>
      <c r="AA34" s="50"/>
      <c r="AB34" s="48"/>
      <c r="AC34" s="101" t="s">
        <v>263</v>
      </c>
    </row>
    <row r="35" spans="1:31" ht="21" customHeight="1" x14ac:dyDescent="0.15">
      <c r="A35" s="45">
        <v>13400433</v>
      </c>
      <c r="B35" s="46" t="s">
        <v>338</v>
      </c>
      <c r="C35" s="48">
        <v>3</v>
      </c>
      <c r="D35" s="48" t="s">
        <v>251</v>
      </c>
      <c r="E35" s="49" t="s">
        <v>294</v>
      </c>
      <c r="F35" s="49" t="s">
        <v>336</v>
      </c>
      <c r="G35" s="61" t="str">
        <f t="shared" si="1"/>
        <v>[effect:enemy_message, val1:1.7, val2:2.7 ,dead_type:escape]</v>
      </c>
      <c r="H35" s="61">
        <f t="shared" si="2"/>
        <v>9</v>
      </c>
      <c r="I35" s="61">
        <f t="shared" si="3"/>
        <v>22</v>
      </c>
      <c r="J35" s="61" t="e">
        <f t="shared" si="4"/>
        <v>#VALUE!</v>
      </c>
      <c r="K35" s="61">
        <f t="shared" si="5"/>
        <v>32</v>
      </c>
      <c r="L35" s="61" t="str">
        <f>IFERROR(VLOOKUP(MID(G35,J35,K35-J35),[7]skilldef!$C:$D,2,FALSE),"-") &amp; " / " &amp; IFERROR(VLOOKUP(MID(G35,H35,I35-H35),[7]skilldef!$A:$B,2,FALSE),"-")</f>
        <v>- / -</v>
      </c>
      <c r="M35" s="61" t="str">
        <f t="shared" si="6"/>
        <v>none</v>
      </c>
      <c r="N35" s="46" t="str">
        <f>IFERROR(LEFT(M35,FIND("],",M35)+#REF!),M35)</f>
        <v>none</v>
      </c>
      <c r="O35" s="61" t="e">
        <f t="shared" si="8"/>
        <v>#VALUE!</v>
      </c>
      <c r="P35" s="61">
        <f t="shared" si="9"/>
        <v>4</v>
      </c>
      <c r="Q35" s="61" t="e">
        <f t="shared" si="10"/>
        <v>#VALUE!</v>
      </c>
      <c r="R35" s="61" t="e">
        <f t="shared" si="11"/>
        <v>#VALUE!</v>
      </c>
      <c r="S35" s="61" t="str">
        <f>IFERROR(VLOOKUP(MID(N35,Q35,R35-Q35),[7]skilldef!$C:$D,2,FALSE),"-") &amp; " / " &amp; IFERROR(VLOOKUP(MID(N35,O35,P35-O35),[7]skilldef!$A:$B,2,FALSE),"-")</f>
        <v>- / -</v>
      </c>
      <c r="T35" s="46" t="str">
        <f t="shared" si="12"/>
        <v>none</v>
      </c>
      <c r="U35" s="61" t="e">
        <f t="shared" si="13"/>
        <v>#VALUE!</v>
      </c>
      <c r="V35" s="61">
        <f t="shared" si="14"/>
        <v>4</v>
      </c>
      <c r="W35" s="61" t="e">
        <f t="shared" si="15"/>
        <v>#VALUE!</v>
      </c>
      <c r="X35" s="61" t="e">
        <f t="shared" si="16"/>
        <v>#VALUE!</v>
      </c>
      <c r="Y35" s="61" t="str">
        <f>IFERROR(VLOOKUP(MID(T35,W35,X35-W35),[7]skilldef!$C:$D,2,FALSE),"-") &amp; " / " &amp; IFERROR(VLOOKUP(MID(T35,U35,V35-U35),[7]skilldef!$A:$B,2,FALSE),"-")</f>
        <v>- / -</v>
      </c>
      <c r="Z35" s="48"/>
      <c r="AA35" s="50"/>
      <c r="AB35" s="48"/>
      <c r="AC35" s="101" t="s">
        <v>261</v>
      </c>
      <c r="AD35" s="47">
        <f>LEN(E35)</f>
        <v>17</v>
      </c>
      <c r="AE35" s="47">
        <f>LEN(F35)</f>
        <v>22</v>
      </c>
    </row>
    <row r="36" spans="1:31" ht="21" customHeight="1" x14ac:dyDescent="0.15">
      <c r="A36" s="45">
        <v>13400434</v>
      </c>
      <c r="B36" s="46" t="str">
        <f t="shared" si="0"/>
        <v>[effect:enemy_message, val1:1.2, val2:1.2],[effect:nothing]</v>
      </c>
      <c r="C36" s="48">
        <v>1</v>
      </c>
      <c r="D36" s="48" t="s">
        <v>251</v>
      </c>
      <c r="E36" s="49" t="s">
        <v>259</v>
      </c>
      <c r="F36" s="49" t="s">
        <v>256</v>
      </c>
      <c r="G36" s="61" t="str">
        <f t="shared" si="1"/>
        <v>[effect:enemy_message, val1:1.2, val2:1.2]</v>
      </c>
      <c r="H36" s="61">
        <f t="shared" si="2"/>
        <v>9</v>
      </c>
      <c r="I36" s="61">
        <f t="shared" si="3"/>
        <v>22</v>
      </c>
      <c r="J36" s="61" t="e">
        <f t="shared" si="4"/>
        <v>#VALUE!</v>
      </c>
      <c r="K36" s="61">
        <f t="shared" si="5"/>
        <v>32</v>
      </c>
      <c r="L36" s="61" t="str">
        <f>IFERROR(VLOOKUP(MID(G36,J36,K36-J36),[7]skilldef!$C:$D,2,FALSE),"-") &amp; " / " &amp; IFERROR(VLOOKUP(MID(G36,H36,I36-H36),[7]skilldef!$A:$B,2,FALSE),"-")</f>
        <v>- / -</v>
      </c>
      <c r="M36" s="61" t="str">
        <f t="shared" si="6"/>
        <v>[effect:nothing]</v>
      </c>
      <c r="N36" s="46" t="str">
        <f>IFERROR(LEFT(M36,FIND("],",M36)+#REF!),M36)</f>
        <v>[effect:nothing]</v>
      </c>
      <c r="O36" s="61">
        <f t="shared" si="8"/>
        <v>9</v>
      </c>
      <c r="P36" s="61">
        <f t="shared" si="9"/>
        <v>16</v>
      </c>
      <c r="Q36" s="61" t="e">
        <f t="shared" si="10"/>
        <v>#VALUE!</v>
      </c>
      <c r="R36" s="61" t="e">
        <f t="shared" si="11"/>
        <v>#VALUE!</v>
      </c>
      <c r="S36" s="61" t="str">
        <f>IFERROR(VLOOKUP(MID(N36,Q36,R36-Q36),[7]skilldef!$C:$D,2,FALSE),"-") &amp; " / " &amp; IFERROR(VLOOKUP(MID(N36,O36,P36-O36),[7]skilldef!$A:$B,2,FALSE),"-")</f>
        <v>- / 何もしない</v>
      </c>
      <c r="T36" s="46" t="str">
        <f t="shared" si="12"/>
        <v>none</v>
      </c>
      <c r="U36" s="61" t="e">
        <f t="shared" si="13"/>
        <v>#VALUE!</v>
      </c>
      <c r="V36" s="61">
        <f t="shared" si="14"/>
        <v>4</v>
      </c>
      <c r="W36" s="61" t="e">
        <f t="shared" si="15"/>
        <v>#VALUE!</v>
      </c>
      <c r="X36" s="61" t="e">
        <f t="shared" si="16"/>
        <v>#VALUE!</v>
      </c>
      <c r="Y36" s="61" t="str">
        <f>IFERROR(VLOOKUP(MID(T36,W36,X36-W36),[7]skilldef!$C:$D,2,FALSE),"-") &amp; " / " &amp; IFERROR(VLOOKUP(MID(T36,U36,V36-U36),[7]skilldef!$A:$B,2,FALSE),"-")</f>
        <v>- / -</v>
      </c>
      <c r="Z36" s="48"/>
      <c r="AA36" s="50"/>
      <c r="AB36" s="48"/>
      <c r="AC36" s="101" t="s">
        <v>261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9"/>
  <sheetViews>
    <sheetView showGridLines="0" workbookViewId="0">
      <pane ySplit="1" topLeftCell="A2" activePane="bottomLeft" state="frozenSplit"/>
      <selection pane="bottomLeft" activeCell="H15" sqref="H15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13400400</v>
      </c>
      <c r="B2" s="45">
        <v>1</v>
      </c>
      <c r="C2" s="45">
        <v>0</v>
      </c>
      <c r="D2" s="45">
        <v>100</v>
      </c>
      <c r="E2" s="45" t="s">
        <v>250</v>
      </c>
      <c r="F2" s="45" t="s">
        <v>89</v>
      </c>
      <c r="G2" s="45">
        <v>1</v>
      </c>
      <c r="H2" s="45" t="s">
        <v>53</v>
      </c>
      <c r="I2" s="45" t="s">
        <v>89</v>
      </c>
      <c r="J2" s="46">
        <f t="shared" ref="J2" si="0">D2</f>
        <v>100</v>
      </c>
    </row>
    <row r="3" spans="1:11" ht="21" customHeight="1" x14ac:dyDescent="0.15">
      <c r="A3" s="45">
        <v>13400401</v>
      </c>
      <c r="B3" s="45">
        <v>0</v>
      </c>
      <c r="C3" s="45">
        <v>100</v>
      </c>
      <c r="D3" s="45">
        <v>100</v>
      </c>
      <c r="E3" s="45" t="s">
        <v>53</v>
      </c>
      <c r="F3" s="45" t="s">
        <v>53</v>
      </c>
      <c r="G3" s="45">
        <v>1</v>
      </c>
      <c r="H3" s="45" t="s">
        <v>53</v>
      </c>
      <c r="I3" s="45" t="s">
        <v>53</v>
      </c>
      <c r="J3" s="46">
        <f t="shared" ref="J3:J39" si="1">D3</f>
        <v>100</v>
      </c>
    </row>
    <row r="4" spans="1:11" ht="21" customHeight="1" x14ac:dyDescent="0.15">
      <c r="A4" s="45">
        <v>13400402</v>
      </c>
      <c r="B4" s="45">
        <v>0</v>
      </c>
      <c r="C4" s="45">
        <v>90</v>
      </c>
      <c r="D4" s="45">
        <v>100</v>
      </c>
      <c r="E4" s="45" t="s">
        <v>53</v>
      </c>
      <c r="F4" s="45" t="s">
        <v>53</v>
      </c>
      <c r="G4" s="45">
        <v>1</v>
      </c>
      <c r="H4" s="45" t="s">
        <v>53</v>
      </c>
      <c r="I4" s="45" t="s">
        <v>53</v>
      </c>
      <c r="J4" s="46">
        <f t="shared" si="1"/>
        <v>100</v>
      </c>
    </row>
    <row r="5" spans="1:11" ht="21" customHeight="1" x14ac:dyDescent="0.15">
      <c r="A5" s="45">
        <v>13400403</v>
      </c>
      <c r="B5" s="45">
        <v>0</v>
      </c>
      <c r="C5" s="45">
        <v>0</v>
      </c>
      <c r="D5" s="45">
        <v>100</v>
      </c>
      <c r="E5" s="45" t="s">
        <v>53</v>
      </c>
      <c r="F5" s="45" t="s">
        <v>53</v>
      </c>
      <c r="G5" s="45" t="s">
        <v>53</v>
      </c>
      <c r="H5" s="45" t="s">
        <v>53</v>
      </c>
      <c r="I5" s="45" t="s">
        <v>53</v>
      </c>
      <c r="J5" s="46">
        <f t="shared" si="1"/>
        <v>100</v>
      </c>
    </row>
    <row r="6" spans="1:11" ht="21" customHeight="1" x14ac:dyDescent="0.15">
      <c r="A6" s="45">
        <v>13400404</v>
      </c>
      <c r="B6" s="45">
        <v>0</v>
      </c>
      <c r="C6" s="45">
        <v>0</v>
      </c>
      <c r="D6" s="45">
        <v>100</v>
      </c>
      <c r="E6" s="45" t="s">
        <v>53</v>
      </c>
      <c r="F6" s="45" t="s">
        <v>53</v>
      </c>
      <c r="G6" s="45" t="s">
        <v>53</v>
      </c>
      <c r="H6" s="45" t="s">
        <v>53</v>
      </c>
      <c r="I6" s="45" t="s">
        <v>53</v>
      </c>
      <c r="J6" s="46">
        <f t="shared" si="1"/>
        <v>100</v>
      </c>
    </row>
    <row r="7" spans="1:11" ht="21" customHeight="1" x14ac:dyDescent="0.15">
      <c r="A7" s="45">
        <v>13400405</v>
      </c>
      <c r="B7" s="45">
        <v>1</v>
      </c>
      <c r="C7" s="45">
        <v>0</v>
      </c>
      <c r="D7" s="45">
        <v>100</v>
      </c>
      <c r="E7" s="45" t="s">
        <v>53</v>
      </c>
      <c r="F7" s="45" t="s">
        <v>53</v>
      </c>
      <c r="G7" s="45">
        <v>1</v>
      </c>
      <c r="H7" s="45" t="s">
        <v>53</v>
      </c>
      <c r="I7" s="45" t="s">
        <v>53</v>
      </c>
      <c r="J7" s="46">
        <f t="shared" si="1"/>
        <v>100</v>
      </c>
    </row>
    <row r="8" spans="1:11" ht="21" customHeight="1" x14ac:dyDescent="0.15">
      <c r="A8" s="45">
        <v>13400406</v>
      </c>
      <c r="B8" s="45">
        <v>0</v>
      </c>
      <c r="C8" s="45">
        <v>90</v>
      </c>
      <c r="D8" s="45">
        <v>45</v>
      </c>
      <c r="E8" s="45" t="s">
        <v>53</v>
      </c>
      <c r="F8" s="45" t="s">
        <v>53</v>
      </c>
      <c r="G8" s="45" t="s">
        <v>53</v>
      </c>
      <c r="H8" s="45" t="s">
        <v>53</v>
      </c>
      <c r="I8" s="45" t="s">
        <v>53</v>
      </c>
      <c r="J8" s="46">
        <f t="shared" si="1"/>
        <v>45</v>
      </c>
    </row>
    <row r="9" spans="1:11" ht="21" customHeight="1" x14ac:dyDescent="0.15">
      <c r="A9" s="45">
        <v>13400407</v>
      </c>
      <c r="B9" s="45">
        <v>0</v>
      </c>
      <c r="C9" s="45">
        <v>80</v>
      </c>
      <c r="D9" s="45">
        <v>80</v>
      </c>
      <c r="E9" s="45" t="s">
        <v>53</v>
      </c>
      <c r="F9" s="45" t="s">
        <v>53</v>
      </c>
      <c r="G9" s="45" t="s">
        <v>53</v>
      </c>
      <c r="H9" s="45" t="s">
        <v>53</v>
      </c>
      <c r="I9" s="45" t="s">
        <v>53</v>
      </c>
      <c r="J9" s="46">
        <f t="shared" si="1"/>
        <v>80</v>
      </c>
    </row>
    <row r="10" spans="1:11" ht="21" customHeight="1" x14ac:dyDescent="0.15">
      <c r="A10" s="45">
        <v>13400408</v>
      </c>
      <c r="B10" s="45">
        <v>0</v>
      </c>
      <c r="C10" s="45">
        <v>115</v>
      </c>
      <c r="D10" s="45">
        <v>100</v>
      </c>
      <c r="E10" s="45" t="s">
        <v>53</v>
      </c>
      <c r="F10" s="45" t="s">
        <v>53</v>
      </c>
      <c r="G10" s="45" t="s">
        <v>53</v>
      </c>
      <c r="H10" s="45">
        <v>3</v>
      </c>
      <c r="I10" s="45" t="s">
        <v>53</v>
      </c>
      <c r="J10" s="46">
        <f t="shared" si="1"/>
        <v>100</v>
      </c>
    </row>
    <row r="11" spans="1:11" ht="21" customHeight="1" x14ac:dyDescent="0.15">
      <c r="A11" s="45">
        <v>13400409</v>
      </c>
      <c r="B11" s="45">
        <v>0</v>
      </c>
      <c r="C11" s="45">
        <v>120</v>
      </c>
      <c r="D11" s="45">
        <v>100</v>
      </c>
      <c r="E11" s="45">
        <v>50</v>
      </c>
      <c r="F11" s="45" t="s">
        <v>53</v>
      </c>
      <c r="G11" s="45">
        <v>1</v>
      </c>
      <c r="H11" s="45" t="s">
        <v>53</v>
      </c>
      <c r="I11" s="45" t="s">
        <v>53</v>
      </c>
      <c r="J11" s="46">
        <f t="shared" si="1"/>
        <v>100</v>
      </c>
    </row>
    <row r="12" spans="1:11" ht="21" customHeight="1" x14ac:dyDescent="0.15">
      <c r="A12" s="45">
        <v>13400410</v>
      </c>
      <c r="B12" s="45">
        <v>0</v>
      </c>
      <c r="C12" s="45">
        <v>110</v>
      </c>
      <c r="D12" s="45">
        <v>50</v>
      </c>
      <c r="E12" s="45">
        <v>80</v>
      </c>
      <c r="F12" s="45" t="s">
        <v>53</v>
      </c>
      <c r="G12" s="45" t="s">
        <v>53</v>
      </c>
      <c r="H12" s="45" t="s">
        <v>53</v>
      </c>
      <c r="I12" s="45" t="s">
        <v>53</v>
      </c>
      <c r="J12" s="46">
        <f t="shared" si="1"/>
        <v>50</v>
      </c>
    </row>
    <row r="13" spans="1:11" ht="21" customHeight="1" x14ac:dyDescent="0.15">
      <c r="A13" s="45">
        <v>13400411</v>
      </c>
      <c r="B13" s="45">
        <v>0</v>
      </c>
      <c r="C13" s="45">
        <v>0</v>
      </c>
      <c r="D13" s="45">
        <v>100</v>
      </c>
      <c r="E13" s="45" t="s">
        <v>53</v>
      </c>
      <c r="F13" s="45" t="s">
        <v>53</v>
      </c>
      <c r="G13" s="45" t="s">
        <v>53</v>
      </c>
      <c r="H13" s="45" t="s">
        <v>53</v>
      </c>
      <c r="I13" s="45" t="s">
        <v>53</v>
      </c>
      <c r="J13" s="46">
        <f t="shared" si="1"/>
        <v>100</v>
      </c>
    </row>
    <row r="14" spans="1:11" ht="21" customHeight="1" x14ac:dyDescent="0.15">
      <c r="A14" s="45">
        <v>13400412</v>
      </c>
      <c r="B14" s="45">
        <v>0</v>
      </c>
      <c r="C14" s="45">
        <v>0</v>
      </c>
      <c r="D14" s="45">
        <v>100</v>
      </c>
      <c r="E14" s="45" t="s">
        <v>53</v>
      </c>
      <c r="F14" s="45" t="s">
        <v>53</v>
      </c>
      <c r="G14" s="45" t="s">
        <v>53</v>
      </c>
      <c r="H14" s="45" t="s">
        <v>53</v>
      </c>
      <c r="I14" s="45" t="s">
        <v>53</v>
      </c>
      <c r="J14" s="46">
        <f t="shared" si="1"/>
        <v>100</v>
      </c>
    </row>
    <row r="15" spans="1:11" ht="21" customHeight="1" x14ac:dyDescent="0.15">
      <c r="A15" s="45">
        <v>13400413</v>
      </c>
      <c r="B15" s="45">
        <v>0</v>
      </c>
      <c r="C15" s="45">
        <v>0</v>
      </c>
      <c r="D15" s="45">
        <v>100</v>
      </c>
      <c r="E15" s="45" t="s">
        <v>53</v>
      </c>
      <c r="F15" s="45" t="s">
        <v>53</v>
      </c>
      <c r="G15" s="45" t="s">
        <v>53</v>
      </c>
      <c r="H15" s="45" t="s">
        <v>53</v>
      </c>
      <c r="I15" s="45" t="s">
        <v>53</v>
      </c>
      <c r="J15" s="46">
        <f t="shared" si="1"/>
        <v>100</v>
      </c>
    </row>
    <row r="16" spans="1:11" ht="21" customHeight="1" x14ac:dyDescent="0.15">
      <c r="A16" s="45">
        <v>13400414</v>
      </c>
      <c r="B16" s="45">
        <v>0</v>
      </c>
      <c r="C16" s="45">
        <v>0</v>
      </c>
      <c r="D16" s="45">
        <v>100</v>
      </c>
      <c r="E16" s="45" t="s">
        <v>53</v>
      </c>
      <c r="F16" s="45" t="s">
        <v>53</v>
      </c>
      <c r="G16" s="45" t="s">
        <v>53</v>
      </c>
      <c r="H16" s="45" t="s">
        <v>53</v>
      </c>
      <c r="I16" s="45" t="s">
        <v>53</v>
      </c>
      <c r="J16" s="46">
        <f t="shared" si="1"/>
        <v>100</v>
      </c>
    </row>
    <row r="17" spans="1:10" ht="21" customHeight="1" x14ac:dyDescent="0.15">
      <c r="A17" s="45">
        <v>13400415</v>
      </c>
      <c r="B17" s="45">
        <v>1</v>
      </c>
      <c r="C17" s="45">
        <v>0</v>
      </c>
      <c r="D17" s="45">
        <v>100</v>
      </c>
      <c r="E17" s="45" t="s">
        <v>53</v>
      </c>
      <c r="F17" s="45" t="s">
        <v>53</v>
      </c>
      <c r="G17" s="45">
        <v>1</v>
      </c>
      <c r="H17" s="45" t="s">
        <v>53</v>
      </c>
      <c r="I17" s="45" t="s">
        <v>53</v>
      </c>
      <c r="J17" s="46">
        <f t="shared" si="1"/>
        <v>100</v>
      </c>
    </row>
    <row r="18" spans="1:10" ht="21" customHeight="1" x14ac:dyDescent="0.15">
      <c r="A18" s="45">
        <v>13400416</v>
      </c>
      <c r="B18" s="45">
        <v>0</v>
      </c>
      <c r="C18" s="45">
        <v>90</v>
      </c>
      <c r="D18" s="45">
        <v>40</v>
      </c>
      <c r="E18" s="45" t="s">
        <v>53</v>
      </c>
      <c r="F18" s="45" t="s">
        <v>53</v>
      </c>
      <c r="G18" s="45" t="s">
        <v>53</v>
      </c>
      <c r="H18" s="45" t="s">
        <v>53</v>
      </c>
      <c r="I18" s="45" t="s">
        <v>53</v>
      </c>
      <c r="J18" s="46">
        <f t="shared" si="1"/>
        <v>40</v>
      </c>
    </row>
    <row r="19" spans="1:10" ht="21" customHeight="1" x14ac:dyDescent="0.15">
      <c r="A19" s="45">
        <v>13400417</v>
      </c>
      <c r="B19" s="45">
        <v>0</v>
      </c>
      <c r="C19" s="45">
        <v>80</v>
      </c>
      <c r="D19" s="45">
        <v>90</v>
      </c>
      <c r="E19" s="45" t="s">
        <v>53</v>
      </c>
      <c r="F19" s="45" t="s">
        <v>53</v>
      </c>
      <c r="G19" s="45" t="s">
        <v>53</v>
      </c>
      <c r="H19" s="45" t="s">
        <v>53</v>
      </c>
      <c r="I19" s="45" t="s">
        <v>53</v>
      </c>
      <c r="J19" s="46">
        <f t="shared" si="1"/>
        <v>90</v>
      </c>
    </row>
    <row r="20" spans="1:10" ht="21" customHeight="1" x14ac:dyDescent="0.15">
      <c r="A20" s="45">
        <v>13400418</v>
      </c>
      <c r="B20" s="45">
        <v>0</v>
      </c>
      <c r="C20" s="45">
        <v>115</v>
      </c>
      <c r="D20" s="45">
        <v>100</v>
      </c>
      <c r="E20" s="45" t="s">
        <v>53</v>
      </c>
      <c r="F20" s="45" t="s">
        <v>53</v>
      </c>
      <c r="G20" s="45" t="s">
        <v>53</v>
      </c>
      <c r="H20" s="45">
        <v>3</v>
      </c>
      <c r="I20" s="45" t="s">
        <v>53</v>
      </c>
      <c r="J20" s="46">
        <f t="shared" si="1"/>
        <v>100</v>
      </c>
    </row>
    <row r="21" spans="1:10" ht="21" customHeight="1" x14ac:dyDescent="0.15">
      <c r="A21" s="45">
        <v>13400419</v>
      </c>
      <c r="B21" s="45">
        <v>0</v>
      </c>
      <c r="C21" s="45">
        <v>120</v>
      </c>
      <c r="D21" s="45">
        <v>100</v>
      </c>
      <c r="E21" s="45">
        <v>50</v>
      </c>
      <c r="F21" s="45" t="s">
        <v>53</v>
      </c>
      <c r="G21" s="45">
        <v>1</v>
      </c>
      <c r="H21" s="45" t="s">
        <v>53</v>
      </c>
      <c r="I21" s="45" t="s">
        <v>53</v>
      </c>
      <c r="J21" s="46">
        <f t="shared" si="1"/>
        <v>100</v>
      </c>
    </row>
    <row r="22" spans="1:10" ht="21" customHeight="1" x14ac:dyDescent="0.15">
      <c r="A22" s="45">
        <v>13400420</v>
      </c>
      <c r="B22" s="45">
        <v>0</v>
      </c>
      <c r="C22" s="45">
        <v>110</v>
      </c>
      <c r="D22" s="45">
        <v>50</v>
      </c>
      <c r="E22" s="45">
        <v>70</v>
      </c>
      <c r="F22" s="45" t="s">
        <v>53</v>
      </c>
      <c r="G22" s="45" t="s">
        <v>53</v>
      </c>
      <c r="H22" s="45" t="s">
        <v>53</v>
      </c>
      <c r="I22" s="45" t="s">
        <v>53</v>
      </c>
      <c r="J22" s="46">
        <f t="shared" si="1"/>
        <v>50</v>
      </c>
    </row>
    <row r="23" spans="1:10" ht="21" customHeight="1" x14ac:dyDescent="0.15">
      <c r="A23" s="45">
        <v>13400421</v>
      </c>
      <c r="B23" s="45">
        <v>0</v>
      </c>
      <c r="C23" s="45">
        <v>130</v>
      </c>
      <c r="D23" s="45">
        <v>100</v>
      </c>
      <c r="E23" s="45" t="s">
        <v>53</v>
      </c>
      <c r="F23" s="45" t="s">
        <v>53</v>
      </c>
      <c r="G23" s="45">
        <v>1</v>
      </c>
      <c r="H23" s="45">
        <v>9</v>
      </c>
      <c r="I23" s="45" t="s">
        <v>53</v>
      </c>
      <c r="J23" s="46">
        <f t="shared" si="1"/>
        <v>100</v>
      </c>
    </row>
    <row r="24" spans="1:10" ht="21" customHeight="1" x14ac:dyDescent="0.15">
      <c r="A24" s="45">
        <v>13400422</v>
      </c>
      <c r="B24" s="45">
        <v>0</v>
      </c>
      <c r="C24" s="45">
        <v>140</v>
      </c>
      <c r="D24" s="45">
        <v>100</v>
      </c>
      <c r="E24" s="45" t="s">
        <v>53</v>
      </c>
      <c r="F24" s="45" t="s">
        <v>53</v>
      </c>
      <c r="G24" s="45">
        <v>1</v>
      </c>
      <c r="H24" s="45">
        <v>10</v>
      </c>
      <c r="I24" s="45" t="s">
        <v>53</v>
      </c>
      <c r="J24" s="46">
        <f t="shared" si="1"/>
        <v>100</v>
      </c>
    </row>
    <row r="25" spans="1:10" ht="21" customHeight="1" x14ac:dyDescent="0.15">
      <c r="A25" s="45">
        <v>13400423</v>
      </c>
      <c r="B25" s="45">
        <v>0</v>
      </c>
      <c r="C25" s="45">
        <v>0</v>
      </c>
      <c r="D25" s="45">
        <v>100</v>
      </c>
      <c r="E25" s="45" t="s">
        <v>53</v>
      </c>
      <c r="F25" s="45" t="s">
        <v>53</v>
      </c>
      <c r="G25" s="45" t="s">
        <v>53</v>
      </c>
      <c r="H25" s="45" t="s">
        <v>53</v>
      </c>
      <c r="I25" s="45" t="s">
        <v>53</v>
      </c>
      <c r="J25" s="46">
        <f t="shared" si="1"/>
        <v>100</v>
      </c>
    </row>
    <row r="26" spans="1:10" ht="21" customHeight="1" x14ac:dyDescent="0.15">
      <c r="A26" s="45">
        <v>13400424</v>
      </c>
      <c r="B26" s="45">
        <v>0</v>
      </c>
      <c r="C26" s="45">
        <v>0</v>
      </c>
      <c r="D26" s="45">
        <v>100</v>
      </c>
      <c r="E26" s="45" t="s">
        <v>53</v>
      </c>
      <c r="F26" s="45" t="s">
        <v>53</v>
      </c>
      <c r="G26" s="45" t="s">
        <v>53</v>
      </c>
      <c r="H26" s="45" t="s">
        <v>53</v>
      </c>
      <c r="I26" s="45" t="s">
        <v>53</v>
      </c>
      <c r="J26" s="46">
        <f t="shared" si="1"/>
        <v>100</v>
      </c>
    </row>
    <row r="27" spans="1:10" ht="21" customHeight="1" x14ac:dyDescent="0.15">
      <c r="A27" s="45">
        <v>13400425</v>
      </c>
      <c r="B27" s="45">
        <v>1</v>
      </c>
      <c r="C27" s="45">
        <v>0</v>
      </c>
      <c r="D27" s="45">
        <v>100</v>
      </c>
      <c r="E27" s="45" t="s">
        <v>53</v>
      </c>
      <c r="F27" s="45" t="s">
        <v>53</v>
      </c>
      <c r="G27" s="45">
        <v>1</v>
      </c>
      <c r="H27" s="45" t="s">
        <v>53</v>
      </c>
      <c r="I27" s="45" t="s">
        <v>53</v>
      </c>
      <c r="J27" s="46">
        <f t="shared" si="1"/>
        <v>100</v>
      </c>
    </row>
    <row r="28" spans="1:10" ht="21" customHeight="1" x14ac:dyDescent="0.15">
      <c r="A28" s="45">
        <v>13400426</v>
      </c>
      <c r="B28" s="45">
        <v>0</v>
      </c>
      <c r="C28" s="45">
        <v>90</v>
      </c>
      <c r="D28" s="45">
        <v>45</v>
      </c>
      <c r="E28" s="45" t="s">
        <v>53</v>
      </c>
      <c r="F28" s="45" t="s">
        <v>53</v>
      </c>
      <c r="G28" s="45" t="s">
        <v>53</v>
      </c>
      <c r="H28" s="45" t="s">
        <v>53</v>
      </c>
      <c r="I28" s="45" t="s">
        <v>53</v>
      </c>
      <c r="J28" s="46">
        <f t="shared" si="1"/>
        <v>45</v>
      </c>
    </row>
    <row r="29" spans="1:10" ht="21" customHeight="1" x14ac:dyDescent="0.15">
      <c r="A29" s="45">
        <v>13400427</v>
      </c>
      <c r="B29" s="45">
        <v>0</v>
      </c>
      <c r="C29" s="45">
        <v>80</v>
      </c>
      <c r="D29" s="45">
        <v>80</v>
      </c>
      <c r="E29" s="45" t="s">
        <v>53</v>
      </c>
      <c r="F29" s="45" t="s">
        <v>53</v>
      </c>
      <c r="G29" s="45" t="s">
        <v>53</v>
      </c>
      <c r="H29" s="45" t="s">
        <v>53</v>
      </c>
      <c r="I29" s="45" t="s">
        <v>53</v>
      </c>
      <c r="J29" s="46">
        <f t="shared" si="1"/>
        <v>80</v>
      </c>
    </row>
    <row r="30" spans="1:10" ht="21" customHeight="1" x14ac:dyDescent="0.15">
      <c r="A30" s="45">
        <v>13400428</v>
      </c>
      <c r="B30" s="45">
        <v>0</v>
      </c>
      <c r="C30" s="45">
        <v>115</v>
      </c>
      <c r="D30" s="45">
        <v>100</v>
      </c>
      <c r="E30" s="45" t="s">
        <v>53</v>
      </c>
      <c r="F30" s="45" t="s">
        <v>53</v>
      </c>
      <c r="G30" s="45" t="s">
        <v>53</v>
      </c>
      <c r="H30" s="45">
        <v>3</v>
      </c>
      <c r="I30" s="45" t="s">
        <v>53</v>
      </c>
      <c r="J30" s="46">
        <f t="shared" si="1"/>
        <v>100</v>
      </c>
    </row>
    <row r="31" spans="1:10" ht="21" customHeight="1" x14ac:dyDescent="0.15">
      <c r="A31" s="45">
        <v>13400429</v>
      </c>
      <c r="B31" s="45">
        <v>0</v>
      </c>
      <c r="C31" s="45">
        <v>120</v>
      </c>
      <c r="D31" s="45">
        <v>100</v>
      </c>
      <c r="E31" s="45">
        <v>50</v>
      </c>
      <c r="F31" s="45" t="s">
        <v>53</v>
      </c>
      <c r="G31" s="45">
        <v>1</v>
      </c>
      <c r="H31" s="45" t="s">
        <v>53</v>
      </c>
      <c r="I31" s="45" t="s">
        <v>53</v>
      </c>
      <c r="J31" s="46">
        <f t="shared" si="1"/>
        <v>100</v>
      </c>
    </row>
    <row r="32" spans="1:10" ht="21" customHeight="1" x14ac:dyDescent="0.15">
      <c r="A32" s="45">
        <v>13400430</v>
      </c>
      <c r="B32" s="45">
        <v>0</v>
      </c>
      <c r="C32" s="45">
        <v>110</v>
      </c>
      <c r="D32" s="45">
        <v>50</v>
      </c>
      <c r="E32" s="45">
        <v>70</v>
      </c>
      <c r="F32" s="45" t="s">
        <v>53</v>
      </c>
      <c r="G32" s="45" t="s">
        <v>53</v>
      </c>
      <c r="H32" s="45" t="s">
        <v>53</v>
      </c>
      <c r="I32" s="45" t="s">
        <v>53</v>
      </c>
      <c r="J32" s="46">
        <f t="shared" si="1"/>
        <v>50</v>
      </c>
    </row>
    <row r="33" spans="1:10" ht="21" customHeight="1" x14ac:dyDescent="0.15">
      <c r="A33" s="45">
        <v>13400431</v>
      </c>
      <c r="B33" s="45">
        <v>0</v>
      </c>
      <c r="C33" s="45">
        <v>130</v>
      </c>
      <c r="D33" s="45">
        <v>100</v>
      </c>
      <c r="E33" s="45" t="s">
        <v>53</v>
      </c>
      <c r="F33" s="45" t="s">
        <v>53</v>
      </c>
      <c r="G33" s="45">
        <v>1</v>
      </c>
      <c r="H33" s="45">
        <v>9</v>
      </c>
      <c r="I33" s="45" t="s">
        <v>53</v>
      </c>
      <c r="J33" s="46">
        <f t="shared" si="1"/>
        <v>100</v>
      </c>
    </row>
    <row r="34" spans="1:10" ht="21" customHeight="1" x14ac:dyDescent="0.15">
      <c r="A34" s="45">
        <v>13400432</v>
      </c>
      <c r="B34" s="45">
        <v>0</v>
      </c>
      <c r="C34" s="45">
        <v>140</v>
      </c>
      <c r="D34" s="45">
        <v>100</v>
      </c>
      <c r="E34" s="45" t="s">
        <v>53</v>
      </c>
      <c r="F34" s="45" t="s">
        <v>53</v>
      </c>
      <c r="G34" s="45">
        <v>1</v>
      </c>
      <c r="H34" s="45">
        <v>10</v>
      </c>
      <c r="I34" s="45" t="s">
        <v>53</v>
      </c>
      <c r="J34" s="46">
        <f t="shared" si="1"/>
        <v>100</v>
      </c>
    </row>
    <row r="35" spans="1:10" ht="21" customHeight="1" x14ac:dyDescent="0.15">
      <c r="A35" s="45">
        <v>13400433</v>
      </c>
      <c r="B35" s="45">
        <v>0</v>
      </c>
      <c r="C35" s="45">
        <v>0</v>
      </c>
      <c r="D35" s="45">
        <v>100</v>
      </c>
      <c r="E35" s="45" t="s">
        <v>53</v>
      </c>
      <c r="F35" s="45" t="s">
        <v>53</v>
      </c>
      <c r="G35" s="45">
        <v>0</v>
      </c>
      <c r="H35" s="45" t="s">
        <v>53</v>
      </c>
      <c r="I35" s="45">
        <v>0</v>
      </c>
      <c r="J35" s="46">
        <f t="shared" si="1"/>
        <v>100</v>
      </c>
    </row>
    <row r="36" spans="1:10" ht="21" customHeight="1" x14ac:dyDescent="0.15">
      <c r="A36" s="45">
        <v>13400434</v>
      </c>
      <c r="B36" s="45">
        <v>0</v>
      </c>
      <c r="C36" s="45">
        <v>0</v>
      </c>
      <c r="D36" s="45">
        <v>100</v>
      </c>
      <c r="E36" s="45" t="s">
        <v>53</v>
      </c>
      <c r="F36" s="45" t="s">
        <v>53</v>
      </c>
      <c r="G36" s="45" t="s">
        <v>53</v>
      </c>
      <c r="H36" s="45" t="s">
        <v>53</v>
      </c>
      <c r="I36" s="45" t="s">
        <v>53</v>
      </c>
      <c r="J36" s="46">
        <f t="shared" si="1"/>
        <v>100</v>
      </c>
    </row>
    <row r="37" spans="1:10" ht="21" customHeight="1" x14ac:dyDescent="0.15">
      <c r="A37" s="45">
        <v>13400435</v>
      </c>
      <c r="B37" s="45">
        <v>0</v>
      </c>
      <c r="C37" s="45">
        <v>0</v>
      </c>
      <c r="D37" s="45">
        <v>100</v>
      </c>
      <c r="E37" s="45" t="s">
        <v>53</v>
      </c>
      <c r="F37" s="45" t="s">
        <v>53</v>
      </c>
      <c r="G37" s="45" t="s">
        <v>53</v>
      </c>
      <c r="H37" s="45" t="s">
        <v>53</v>
      </c>
      <c r="I37" s="45" t="s">
        <v>53</v>
      </c>
      <c r="J37" s="46">
        <f t="shared" si="1"/>
        <v>100</v>
      </c>
    </row>
    <row r="38" spans="1:10" ht="21" customHeight="1" x14ac:dyDescent="0.15">
      <c r="A38" s="45">
        <v>13400436</v>
      </c>
      <c r="B38" s="45">
        <v>0</v>
      </c>
      <c r="C38" s="45">
        <v>0</v>
      </c>
      <c r="D38" s="45">
        <v>100</v>
      </c>
      <c r="E38" s="45" t="s">
        <v>53</v>
      </c>
      <c r="F38" s="45" t="s">
        <v>53</v>
      </c>
      <c r="G38" s="45" t="s">
        <v>53</v>
      </c>
      <c r="H38" s="45" t="s">
        <v>53</v>
      </c>
      <c r="I38" s="45" t="s">
        <v>53</v>
      </c>
      <c r="J38" s="46">
        <f t="shared" si="1"/>
        <v>100</v>
      </c>
    </row>
    <row r="39" spans="1:10" ht="21" customHeight="1" x14ac:dyDescent="0.15">
      <c r="A39" s="45">
        <v>13400437</v>
      </c>
      <c r="B39" s="45">
        <v>0</v>
      </c>
      <c r="C39" s="45">
        <v>0</v>
      </c>
      <c r="D39" s="45">
        <v>100</v>
      </c>
      <c r="E39" s="45" t="s">
        <v>53</v>
      </c>
      <c r="F39" s="45" t="s">
        <v>53</v>
      </c>
      <c r="G39" s="45" t="s">
        <v>53</v>
      </c>
      <c r="H39" s="45" t="s">
        <v>53</v>
      </c>
      <c r="I39" s="45" t="s">
        <v>53</v>
      </c>
      <c r="J39" s="46">
        <f t="shared" si="1"/>
        <v>100</v>
      </c>
    </row>
  </sheetData>
  <autoFilter ref="A1:G1"/>
  <phoneticPr fontId="5"/>
  <conditionalFormatting sqref="K1:K2 K40:K1048576">
    <cfRule type="duplicateValues" dxfId="1" priority="2"/>
  </conditionalFormatting>
  <conditionalFormatting sqref="K3:K3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topLeftCell="E2" workbookViewId="0">
      <selection activeCell="P10" sqref="P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10</v>
      </c>
      <c r="C2" s="68" t="str">
        <f>A2&amp; "_"&amp;B2</f>
        <v>13400_10</v>
      </c>
      <c r="D2" s="17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272</v>
      </c>
      <c r="G2" s="55">
        <v>122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</v>
      </c>
      <c r="Q2" s="55" t="s">
        <v>167</v>
      </c>
      <c r="R2" s="55" t="s">
        <v>168</v>
      </c>
    </row>
    <row r="3" spans="1:18" x14ac:dyDescent="0.15">
      <c r="A3" s="55">
        <v>13400</v>
      </c>
      <c r="B3" s="55">
        <v>10</v>
      </c>
      <c r="C3" s="68" t="str">
        <f t="shared" ref="C3:C9" si="0">A3&amp; "_"&amp;B3</f>
        <v>13400_10</v>
      </c>
      <c r="D3" s="17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272</v>
      </c>
      <c r="G3" s="55">
        <v>608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310</v>
      </c>
      <c r="Q3" s="55" t="s">
        <v>167</v>
      </c>
      <c r="R3" s="55" t="s">
        <v>168</v>
      </c>
    </row>
    <row r="4" spans="1:18" x14ac:dyDescent="0.15">
      <c r="A4" s="55">
        <v>13400</v>
      </c>
      <c r="B4" s="55">
        <v>10</v>
      </c>
      <c r="C4" s="68" t="str">
        <f t="shared" si="0"/>
        <v>13400_10</v>
      </c>
      <c r="D4" s="17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272</v>
      </c>
      <c r="G4" s="55">
        <v>612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40</v>
      </c>
      <c r="Q4" s="55" t="s">
        <v>167</v>
      </c>
      <c r="R4" s="55" t="s">
        <v>168</v>
      </c>
    </row>
    <row r="5" spans="1:18" x14ac:dyDescent="0.15">
      <c r="A5" s="55">
        <v>13400</v>
      </c>
      <c r="B5" s="55">
        <v>10</v>
      </c>
      <c r="C5" s="68" t="str">
        <f t="shared" si="0"/>
        <v>13400_10</v>
      </c>
      <c r="D5" s="17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272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50</v>
      </c>
      <c r="Q5" s="55" t="s">
        <v>167</v>
      </c>
      <c r="R5" s="55" t="s">
        <v>168</v>
      </c>
    </row>
    <row r="6" spans="1:18" x14ac:dyDescent="0.15">
      <c r="A6" s="55">
        <v>13400</v>
      </c>
      <c r="B6" s="55">
        <v>10</v>
      </c>
      <c r="C6" s="68" t="str">
        <f t="shared" si="0"/>
        <v>13400_10</v>
      </c>
      <c r="D6" s="17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272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167</v>
      </c>
      <c r="R6" s="55" t="s">
        <v>168</v>
      </c>
    </row>
    <row r="7" spans="1:18" x14ac:dyDescent="0.15">
      <c r="A7" s="55">
        <v>13400</v>
      </c>
      <c r="B7" s="55">
        <v>10</v>
      </c>
      <c r="C7" s="68" t="str">
        <f t="shared" si="0"/>
        <v>13400_10</v>
      </c>
      <c r="D7" s="17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273</v>
      </c>
      <c r="G7" s="55">
        <v>500</v>
      </c>
      <c r="H7" s="55" t="s">
        <v>53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220</v>
      </c>
      <c r="Q7" s="55" t="s">
        <v>167</v>
      </c>
      <c r="R7" s="55" t="s">
        <v>168</v>
      </c>
    </row>
    <row r="8" spans="1:18" x14ac:dyDescent="0.15">
      <c r="A8" s="55">
        <v>13400</v>
      </c>
      <c r="B8" s="55">
        <v>10</v>
      </c>
      <c r="C8" s="68" t="str">
        <f t="shared" si="0"/>
        <v>13400_10</v>
      </c>
      <c r="D8" s="17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272</v>
      </c>
      <c r="G8" s="55">
        <v>346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50</v>
      </c>
      <c r="Q8" s="55" t="s">
        <v>167</v>
      </c>
      <c r="R8" s="55" t="s">
        <v>168</v>
      </c>
    </row>
    <row r="9" spans="1:18" x14ac:dyDescent="0.15">
      <c r="A9" s="55">
        <v>13400</v>
      </c>
      <c r="B9" s="55">
        <v>10</v>
      </c>
      <c r="C9" s="68" t="str">
        <f t="shared" si="0"/>
        <v>13400_10</v>
      </c>
      <c r="D9" s="17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272</v>
      </c>
      <c r="G9" s="55">
        <v>347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280</v>
      </c>
      <c r="Q9" s="55" t="s">
        <v>167</v>
      </c>
      <c r="R9" s="55" t="s">
        <v>168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H17" sqref="H17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126</v>
      </c>
      <c r="K1" s="75" t="s">
        <v>184</v>
      </c>
      <c r="L1" s="89" t="s">
        <v>183</v>
      </c>
      <c r="M1" s="77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7"/>
  <sheetViews>
    <sheetView showGridLines="0" workbookViewId="0">
      <pane ySplit="1" topLeftCell="A2" activePane="bottomLeft" state="frozen"/>
      <selection pane="bottomLeft" activeCell="M7" sqref="M7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186</v>
      </c>
      <c r="B1" s="70" t="s">
        <v>149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126</v>
      </c>
      <c r="L1" s="75" t="s">
        <v>184</v>
      </c>
      <c r="M1" s="89" t="s">
        <v>183</v>
      </c>
      <c r="N1" s="77" t="s">
        <v>194</v>
      </c>
      <c r="O1" s="89" t="s">
        <v>253</v>
      </c>
    </row>
    <row r="2" spans="1:15" ht="61" customHeight="1" x14ac:dyDescent="0.15">
      <c r="A2" s="78" t="s">
        <v>195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10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10階 ローズ 現る！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2</v>
      </c>
      <c r="I2" s="87">
        <f>ROW()-1</f>
        <v>1</v>
      </c>
      <c r="J2" s="83">
        <v>13400400</v>
      </c>
      <c r="K2" s="81" t="s">
        <v>196</v>
      </c>
      <c r="L2" s="84" t="s">
        <v>249</v>
      </c>
      <c r="M2" s="111" t="s">
        <v>297</v>
      </c>
      <c r="N2" s="55" t="s">
        <v>197</v>
      </c>
      <c r="O2" s="106" t="str">
        <f>"１２３４５６７８９０１２３４５６７８９０"&amp;M2</f>
        <v>１２３４５６７８９０１２３４５６７８９０ローズはお邪魔パネルを吸収して様々な_x000D_効果のスキルを使用してきます_x000D_お邪魔パネルは盤面にできる限り_x000D_残らないよう処理するようにしましょう</v>
      </c>
    </row>
    <row r="3" spans="1:15" ht="61" customHeight="1" x14ac:dyDescent="0.15">
      <c r="A3" s="78" t="s">
        <v>195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10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10階 ローズ 現る！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7">
        <f t="shared" ref="I3:I4" si="0">ROW()-1</f>
        <v>2</v>
      </c>
      <c r="J3" s="83">
        <v>13400401</v>
      </c>
      <c r="K3" s="81" t="s">
        <v>196</v>
      </c>
      <c r="L3" s="84" t="s">
        <v>249</v>
      </c>
      <c r="M3" s="111" t="s">
        <v>298</v>
      </c>
      <c r="N3" s="55" t="s">
        <v>197</v>
      </c>
      <c r="O3" s="106" t="str">
        <f t="shared" ref="O3:O4" si="1">"１２３４５６７８９０１２３４５６７８９０"&amp;M3</f>
        <v>１２３４５６７８９０１２３４５６７８９０ローズは各ゲージで一度ずつ回復力を_x000D_大きく下げるスキルを使用してきます_x000D_回復力には常に気を配っておきましょう</v>
      </c>
    </row>
    <row r="4" spans="1:15" ht="61" customHeight="1" x14ac:dyDescent="0.15">
      <c r="A4" s="78" t="s">
        <v>195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10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10階 ローズ 現る！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2</v>
      </c>
      <c r="I4" s="87">
        <f t="shared" si="0"/>
        <v>3</v>
      </c>
      <c r="J4" s="83">
        <v>13400402</v>
      </c>
      <c r="K4" s="81" t="s">
        <v>196</v>
      </c>
      <c r="L4" s="84" t="s">
        <v>249</v>
      </c>
      <c r="M4" s="111" t="s">
        <v>299</v>
      </c>
      <c r="N4" s="55" t="s">
        <v>197</v>
      </c>
      <c r="O4" s="106" t="str">
        <f t="shared" si="1"/>
        <v>１２３４５６７８９０１２３４５６７８９０ローズはウィルス・暗闇・ダメージパネル・_x000D_パネル生成延長など様々な妨害を使います_x000D_それぞれ対応できるユニットを編成すると_x000D_有利に攻略ができるでしょう</v>
      </c>
    </row>
    <row r="5" spans="1:15" ht="60" x14ac:dyDescent="0.15">
      <c r="A5" s="78" t="s">
        <v>322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-エルフラム-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1">
        <v>10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10階 ローズ 現る！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82">
        <v>0</v>
      </c>
      <c r="I5" s="87">
        <f>ROW()-1</f>
        <v>4</v>
      </c>
      <c r="J5" s="83">
        <v>13400403</v>
      </c>
      <c r="K5" s="81" t="s">
        <v>196</v>
      </c>
      <c r="L5" s="84" t="s">
        <v>328</v>
      </c>
      <c r="M5" s="111" t="s">
        <v>323</v>
      </c>
      <c r="N5" s="55" t="s">
        <v>197</v>
      </c>
      <c r="O5" s="106" t="str">
        <f>"１２３４５６７８９０１２３４５６７８９０"&amp;M5</f>
        <v>１２３４５６７８９０１２３４５６７８９０ローズは女王と呼ばれる存在の一つです_x000D_人間をALICEにとっての外敵と認識しており_x000D_遊び半分で抹消するために近づきます</v>
      </c>
    </row>
    <row r="6" spans="1:15" ht="75" x14ac:dyDescent="0.15">
      <c r="A6" s="78" t="s">
        <v>322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-エルフラム-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1">
        <v>10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10階 ローズ 現る！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タワーオブザクイーン2本目</v>
      </c>
      <c r="H6" s="82">
        <v>0</v>
      </c>
      <c r="I6" s="87">
        <f t="shared" ref="I6:I7" si="2">ROW()-1</f>
        <v>5</v>
      </c>
      <c r="J6" s="83">
        <v>13400404</v>
      </c>
      <c r="K6" s="81" t="s">
        <v>196</v>
      </c>
      <c r="L6" s="84" t="s">
        <v>327</v>
      </c>
      <c r="M6" s="111" t="s">
        <v>324</v>
      </c>
      <c r="N6" s="55" t="s">
        <v>197</v>
      </c>
      <c r="O6" s="106" t="str">
        <f t="shared" ref="O6:O7" si="3">"１２３４５６７８９０１２３４５６７８９０"&amp;M6</f>
        <v>１２３４５６７８９０１２３４５６７８９０ローズは一時撤退しましたが_x000D_彼女はこの先も度々接触してくるでしょう_x000D_彼女の核が存在する最上階では_x000D_激しい戦いになることが予想されます</v>
      </c>
    </row>
    <row r="7" spans="1:15" ht="60" x14ac:dyDescent="0.15">
      <c r="A7" s="78" t="s">
        <v>322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-エルフラム-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1">
        <v>10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10階 ローズ 現る！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タワーオブザクイーン2本目</v>
      </c>
      <c r="H7" s="82">
        <v>0</v>
      </c>
      <c r="I7" s="87">
        <f t="shared" si="2"/>
        <v>6</v>
      </c>
      <c r="J7" s="83">
        <v>13400405</v>
      </c>
      <c r="K7" s="81" t="s">
        <v>196</v>
      </c>
      <c r="L7" s="84" t="s">
        <v>326</v>
      </c>
      <c r="M7" s="111" t="s">
        <v>325</v>
      </c>
      <c r="N7" s="55" t="s">
        <v>197</v>
      </c>
      <c r="O7" s="106" t="str">
        <f t="shared" si="3"/>
        <v>１２３４５６７８９０１２３４５６７８９０タワーオブザクイーンは女王が該当区画を_x000D_支配・統括するためにビルドした監視塔です_x000D_そびえ立つ巨影は正に恐怖の象徴と言えます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H3" sqref="H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209</v>
      </c>
      <c r="B1" s="92" t="s">
        <v>210</v>
      </c>
      <c r="C1" s="74" t="s">
        <v>211</v>
      </c>
      <c r="D1" s="74" t="s">
        <v>33</v>
      </c>
      <c r="E1" s="92" t="s">
        <v>212</v>
      </c>
      <c r="F1" s="74" t="s">
        <v>213</v>
      </c>
      <c r="G1" s="74" t="s">
        <v>33</v>
      </c>
      <c r="H1" s="92" t="s">
        <v>214</v>
      </c>
      <c r="I1" s="92" t="s">
        <v>215</v>
      </c>
      <c r="J1" s="92" t="s">
        <v>216</v>
      </c>
      <c r="K1" s="70" t="s">
        <v>217</v>
      </c>
      <c r="L1" s="70" t="s">
        <v>218</v>
      </c>
      <c r="M1" s="70" t="s">
        <v>155</v>
      </c>
      <c r="N1" s="74" t="s">
        <v>16</v>
      </c>
      <c r="O1" s="70" t="s">
        <v>219</v>
      </c>
      <c r="P1" s="70" t="s">
        <v>57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3" t="str">
        <f>B2&amp;"_"&amp;E2&amp;"_"&amp;H2&amp;"_"&amp;I2&amp;"_"&amp;J2</f>
        <v>13400_10_singleonly_clear_1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10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10階 ローズ 現る！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296</v>
      </c>
      <c r="I2" s="81" t="s">
        <v>223</v>
      </c>
      <c r="J2" s="81">
        <v>1</v>
      </c>
      <c r="K2" s="81">
        <v>550</v>
      </c>
      <c r="L2" s="81" t="s">
        <v>271</v>
      </c>
      <c r="M2" s="81">
        <v>21000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224</v>
      </c>
      <c r="X2" s="96" t="s">
        <v>225</v>
      </c>
    </row>
    <row r="3" spans="1:24" x14ac:dyDescent="0.15">
      <c r="A3" s="93" t="str">
        <f>B3&amp;"_"&amp;E3&amp;"_"&amp;H3&amp;"_"&amp;I3&amp;"_"&amp;J3</f>
        <v>13400_10_singleonly_clear_2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10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10階 ローズ 現る！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296</v>
      </c>
      <c r="I3" s="81" t="s">
        <v>223</v>
      </c>
      <c r="J3" s="81">
        <v>2</v>
      </c>
      <c r="K3" s="81">
        <v>450</v>
      </c>
      <c r="L3" s="81" t="s">
        <v>271</v>
      </c>
      <c r="M3" s="81">
        <v>56000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5" t="s">
        <v>224</v>
      </c>
      <c r="X3" s="96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2017-03-24T04:06:07Z</dcterms:modified>
</cp:coreProperties>
</file>