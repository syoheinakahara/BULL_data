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0" yWindow="460" windowWidth="28800" windowHeight="15940" tabRatio="943" activeTab="3"/>
  </bookViews>
  <sheets>
    <sheet name="確率の考え方" sheetId="110" r:id="rId1"/>
    <sheet name="Sheet1" sheetId="107" r:id="rId2"/>
    <sheet name="output" sheetId="103" r:id="rId3"/>
    <sheet name="tables_215" sheetId="117" r:id="rId4"/>
    <sheet name="gacha_bonus_tables" sheetId="98" r:id="rId5"/>
    <sheet name="R6追加前" sheetId="111" r:id="rId6"/>
    <sheet name="R6開放" sheetId="112" r:id="rId7"/>
    <sheet name="前回メタルとの比較" sheetId="118" r:id="rId8"/>
  </sheets>
  <externalReferences>
    <externalReference r:id="rId9"/>
  </externalReferences>
  <definedNames>
    <definedName name="_xlnm._FilterDatabase" localSheetId="4" hidden="1">gacha_bonus_tables!$A$1:$F$1</definedName>
    <definedName name="_xlnm._FilterDatabase" localSheetId="3" hidden="1">tables_215!$A$1:$V$1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58" i="117" l="1"/>
  <c r="D58" i="117"/>
  <c r="J58" i="117"/>
  <c r="E58" i="117"/>
  <c r="F58" i="117"/>
  <c r="C58" i="117"/>
  <c r="H58" i="117"/>
  <c r="K58" i="117"/>
  <c r="L58" i="117"/>
  <c r="M58" i="117"/>
  <c r="N58" i="117"/>
  <c r="P58" i="117"/>
  <c r="I59" i="117"/>
  <c r="D59" i="117"/>
  <c r="J59" i="117"/>
  <c r="E59" i="117"/>
  <c r="F59" i="117"/>
  <c r="C59" i="117"/>
  <c r="H59" i="117"/>
  <c r="K59" i="117"/>
  <c r="L59" i="117"/>
  <c r="M59" i="117"/>
  <c r="N59" i="117"/>
  <c r="P59" i="117"/>
  <c r="I60" i="117"/>
  <c r="D60" i="117"/>
  <c r="J60" i="117"/>
  <c r="E60" i="117"/>
  <c r="F60" i="117"/>
  <c r="C60" i="117"/>
  <c r="H60" i="117"/>
  <c r="K60" i="117"/>
  <c r="L60" i="117"/>
  <c r="M60" i="117"/>
  <c r="N60" i="117"/>
  <c r="P60" i="117"/>
  <c r="I61" i="117"/>
  <c r="D61" i="117"/>
  <c r="J61" i="117"/>
  <c r="E61" i="117"/>
  <c r="F61" i="117"/>
  <c r="C61" i="117"/>
  <c r="H61" i="117"/>
  <c r="K61" i="117"/>
  <c r="L61" i="117"/>
  <c r="M61" i="117"/>
  <c r="N61" i="117"/>
  <c r="P61" i="117"/>
  <c r="I62" i="117"/>
  <c r="D62" i="117"/>
  <c r="J62" i="117"/>
  <c r="E62" i="117"/>
  <c r="F62" i="117"/>
  <c r="C62" i="117"/>
  <c r="H62" i="117"/>
  <c r="K62" i="117"/>
  <c r="L62" i="117"/>
  <c r="M62" i="117"/>
  <c r="N62" i="117"/>
  <c r="P62" i="117"/>
  <c r="I63" i="117"/>
  <c r="D63" i="117"/>
  <c r="J63" i="117"/>
  <c r="E63" i="117"/>
  <c r="F63" i="117"/>
  <c r="C63" i="117"/>
  <c r="H63" i="117"/>
  <c r="K63" i="117"/>
  <c r="L63" i="117"/>
  <c r="M63" i="117"/>
  <c r="N63" i="117"/>
  <c r="P63" i="117"/>
  <c r="I30" i="117"/>
  <c r="D30" i="117"/>
  <c r="J30" i="117"/>
  <c r="E30" i="117"/>
  <c r="F30" i="117"/>
  <c r="C30" i="117"/>
  <c r="H30" i="117"/>
  <c r="K30" i="117"/>
  <c r="L30" i="117"/>
  <c r="M30" i="117"/>
  <c r="N30" i="117"/>
  <c r="P30" i="117"/>
  <c r="I31" i="117"/>
  <c r="D31" i="117"/>
  <c r="J31" i="117"/>
  <c r="E31" i="117"/>
  <c r="F31" i="117"/>
  <c r="C31" i="117"/>
  <c r="H31" i="117"/>
  <c r="K31" i="117"/>
  <c r="L31" i="117"/>
  <c r="M31" i="117"/>
  <c r="N31" i="117"/>
  <c r="P31" i="117"/>
  <c r="I32" i="117"/>
  <c r="D32" i="117"/>
  <c r="J32" i="117"/>
  <c r="E32" i="117"/>
  <c r="F32" i="117"/>
  <c r="C32" i="117"/>
  <c r="H32" i="117"/>
  <c r="K32" i="117"/>
  <c r="L32" i="117"/>
  <c r="M32" i="117"/>
  <c r="N32" i="117"/>
  <c r="P32" i="117"/>
  <c r="I33" i="117"/>
  <c r="D33" i="117"/>
  <c r="J33" i="117"/>
  <c r="E33" i="117"/>
  <c r="F33" i="117"/>
  <c r="C33" i="117"/>
  <c r="H33" i="117"/>
  <c r="K33" i="117"/>
  <c r="L33" i="117"/>
  <c r="M33" i="117"/>
  <c r="N33" i="117"/>
  <c r="P33" i="117"/>
  <c r="I34" i="117"/>
  <c r="D34" i="117"/>
  <c r="J34" i="117"/>
  <c r="E34" i="117"/>
  <c r="F34" i="117"/>
  <c r="C34" i="117"/>
  <c r="H34" i="117"/>
  <c r="K34" i="117"/>
  <c r="L34" i="117"/>
  <c r="M34" i="117"/>
  <c r="N34" i="117"/>
  <c r="P34" i="117"/>
  <c r="I35" i="117"/>
  <c r="D35" i="117"/>
  <c r="J35" i="117"/>
  <c r="E35" i="117"/>
  <c r="F35" i="117"/>
  <c r="C35" i="117"/>
  <c r="H35" i="117"/>
  <c r="K35" i="117"/>
  <c r="L35" i="117"/>
  <c r="M35" i="117"/>
  <c r="N35" i="117"/>
  <c r="P35" i="117"/>
  <c r="I36" i="117"/>
  <c r="D36" i="117"/>
  <c r="J36" i="117"/>
  <c r="E36" i="117"/>
  <c r="F36" i="117"/>
  <c r="C36" i="117"/>
  <c r="H36" i="117"/>
  <c r="K36" i="117"/>
  <c r="L36" i="117"/>
  <c r="M36" i="117"/>
  <c r="N36" i="117"/>
  <c r="P36" i="117"/>
  <c r="I37" i="117"/>
  <c r="D37" i="117"/>
  <c r="J37" i="117"/>
  <c r="E37" i="117"/>
  <c r="F37" i="117"/>
  <c r="C37" i="117"/>
  <c r="H37" i="117"/>
  <c r="K37" i="117"/>
  <c r="L37" i="117"/>
  <c r="M37" i="117"/>
  <c r="N37" i="117"/>
  <c r="P37" i="117"/>
  <c r="I38" i="117"/>
  <c r="D38" i="117"/>
  <c r="J38" i="117"/>
  <c r="E38" i="117"/>
  <c r="F38" i="117"/>
  <c r="C38" i="117"/>
  <c r="H38" i="117"/>
  <c r="K38" i="117"/>
  <c r="L38" i="117"/>
  <c r="M38" i="117"/>
  <c r="N38" i="117"/>
  <c r="P38" i="117"/>
  <c r="I39" i="117"/>
  <c r="D39" i="117"/>
  <c r="J39" i="117"/>
  <c r="E39" i="117"/>
  <c r="F39" i="117"/>
  <c r="C39" i="117"/>
  <c r="H39" i="117"/>
  <c r="K39" i="117"/>
  <c r="L39" i="117"/>
  <c r="M39" i="117"/>
  <c r="N39" i="117"/>
  <c r="P39" i="117"/>
  <c r="I40" i="117"/>
  <c r="D40" i="117"/>
  <c r="J40" i="117"/>
  <c r="E40" i="117"/>
  <c r="F40" i="117"/>
  <c r="C40" i="117"/>
  <c r="H40" i="117"/>
  <c r="K40" i="117"/>
  <c r="L40" i="117"/>
  <c r="M40" i="117"/>
  <c r="N40" i="117"/>
  <c r="P40" i="117"/>
  <c r="I41" i="117"/>
  <c r="D41" i="117"/>
  <c r="J41" i="117"/>
  <c r="E41" i="117"/>
  <c r="F41" i="117"/>
  <c r="C41" i="117"/>
  <c r="H41" i="117"/>
  <c r="K41" i="117"/>
  <c r="L41" i="117"/>
  <c r="M41" i="117"/>
  <c r="N41" i="117"/>
  <c r="P41" i="117"/>
  <c r="I42" i="117"/>
  <c r="D42" i="117"/>
  <c r="J42" i="117"/>
  <c r="E42" i="117"/>
  <c r="F42" i="117"/>
  <c r="C42" i="117"/>
  <c r="H42" i="117"/>
  <c r="K42" i="117"/>
  <c r="L42" i="117"/>
  <c r="M42" i="117"/>
  <c r="N42" i="117"/>
  <c r="P42" i="117"/>
  <c r="I43" i="117"/>
  <c r="D43" i="117"/>
  <c r="J43" i="117"/>
  <c r="E43" i="117"/>
  <c r="F43" i="117"/>
  <c r="C43" i="117"/>
  <c r="H43" i="117"/>
  <c r="K43" i="117"/>
  <c r="L43" i="117"/>
  <c r="M43" i="117"/>
  <c r="N43" i="117"/>
  <c r="P43" i="117"/>
  <c r="I44" i="117"/>
  <c r="D44" i="117"/>
  <c r="J44" i="117"/>
  <c r="E44" i="117"/>
  <c r="F44" i="117"/>
  <c r="C44" i="117"/>
  <c r="H44" i="117"/>
  <c r="K44" i="117"/>
  <c r="L44" i="117"/>
  <c r="M44" i="117"/>
  <c r="N44" i="117"/>
  <c r="P44" i="117"/>
  <c r="I45" i="117"/>
  <c r="D45" i="117"/>
  <c r="J45" i="117"/>
  <c r="E45" i="117"/>
  <c r="F45" i="117"/>
  <c r="C45" i="117"/>
  <c r="H45" i="117"/>
  <c r="K45" i="117"/>
  <c r="L45" i="117"/>
  <c r="M45" i="117"/>
  <c r="N45" i="117"/>
  <c r="P45" i="117"/>
  <c r="I46" i="117"/>
  <c r="D46" i="117"/>
  <c r="J46" i="117"/>
  <c r="E46" i="117"/>
  <c r="F46" i="117"/>
  <c r="C46" i="117"/>
  <c r="H46" i="117"/>
  <c r="K46" i="117"/>
  <c r="L46" i="117"/>
  <c r="M46" i="117"/>
  <c r="N46" i="117"/>
  <c r="P46" i="117"/>
  <c r="I47" i="117"/>
  <c r="D47" i="117"/>
  <c r="J47" i="117"/>
  <c r="E47" i="117"/>
  <c r="F47" i="117"/>
  <c r="C47" i="117"/>
  <c r="H47" i="117"/>
  <c r="K47" i="117"/>
  <c r="L47" i="117"/>
  <c r="M47" i="117"/>
  <c r="N47" i="117"/>
  <c r="P47" i="117"/>
  <c r="I48" i="117"/>
  <c r="D48" i="117"/>
  <c r="J48" i="117"/>
  <c r="E48" i="117"/>
  <c r="F48" i="117"/>
  <c r="C48" i="117"/>
  <c r="H48" i="117"/>
  <c r="K48" i="117"/>
  <c r="L48" i="117"/>
  <c r="M48" i="117"/>
  <c r="N48" i="117"/>
  <c r="P48" i="117"/>
  <c r="I49" i="117"/>
  <c r="D49" i="117"/>
  <c r="J49" i="117"/>
  <c r="E49" i="117"/>
  <c r="F49" i="117"/>
  <c r="C49" i="117"/>
  <c r="H49" i="117"/>
  <c r="K49" i="117"/>
  <c r="L49" i="117"/>
  <c r="M49" i="117"/>
  <c r="N49" i="117"/>
  <c r="P49" i="117"/>
  <c r="I50" i="117"/>
  <c r="D50" i="117"/>
  <c r="J50" i="117"/>
  <c r="E50" i="117"/>
  <c r="F50" i="117"/>
  <c r="C50" i="117"/>
  <c r="H50" i="117"/>
  <c r="K50" i="117"/>
  <c r="L50" i="117"/>
  <c r="M50" i="117"/>
  <c r="N50" i="117"/>
  <c r="P50" i="117"/>
  <c r="I51" i="117"/>
  <c r="D51" i="117"/>
  <c r="J51" i="117"/>
  <c r="E51" i="117"/>
  <c r="F51" i="117"/>
  <c r="C51" i="117"/>
  <c r="H51" i="117"/>
  <c r="K51" i="117"/>
  <c r="L51" i="117"/>
  <c r="M51" i="117"/>
  <c r="N51" i="117"/>
  <c r="P51" i="117"/>
  <c r="I52" i="117"/>
  <c r="D52" i="117"/>
  <c r="J52" i="117"/>
  <c r="E52" i="117"/>
  <c r="F52" i="117"/>
  <c r="C52" i="117"/>
  <c r="H52" i="117"/>
  <c r="K52" i="117"/>
  <c r="L52" i="117"/>
  <c r="M52" i="117"/>
  <c r="N52" i="117"/>
  <c r="P52" i="117"/>
  <c r="I53" i="117"/>
  <c r="D53" i="117"/>
  <c r="J53" i="117"/>
  <c r="E53" i="117"/>
  <c r="F53" i="117"/>
  <c r="C53" i="117"/>
  <c r="H53" i="117"/>
  <c r="K53" i="117"/>
  <c r="L53" i="117"/>
  <c r="M53" i="117"/>
  <c r="N53" i="117"/>
  <c r="P53" i="117"/>
  <c r="I54" i="117"/>
  <c r="D54" i="117"/>
  <c r="J54" i="117"/>
  <c r="E54" i="117"/>
  <c r="F54" i="117"/>
  <c r="C54" i="117"/>
  <c r="H54" i="117"/>
  <c r="K54" i="117"/>
  <c r="L54" i="117"/>
  <c r="M54" i="117"/>
  <c r="N54" i="117"/>
  <c r="P54" i="117"/>
  <c r="I55" i="117"/>
  <c r="D55" i="117"/>
  <c r="J55" i="117"/>
  <c r="E55" i="117"/>
  <c r="F55" i="117"/>
  <c r="C55" i="117"/>
  <c r="H55" i="117"/>
  <c r="K55" i="117"/>
  <c r="L55" i="117"/>
  <c r="M55" i="117"/>
  <c r="N55" i="117"/>
  <c r="P55" i="117"/>
  <c r="I56" i="117"/>
  <c r="D56" i="117"/>
  <c r="J56" i="117"/>
  <c r="E56" i="117"/>
  <c r="F56" i="117"/>
  <c r="C56" i="117"/>
  <c r="H56" i="117"/>
  <c r="K56" i="117"/>
  <c r="L56" i="117"/>
  <c r="M56" i="117"/>
  <c r="N56" i="117"/>
  <c r="P56" i="117"/>
  <c r="I57" i="117"/>
  <c r="D57" i="117"/>
  <c r="J57" i="117"/>
  <c r="E57" i="117"/>
  <c r="F57" i="117"/>
  <c r="C57" i="117"/>
  <c r="H57" i="117"/>
  <c r="K57" i="117"/>
  <c r="L57" i="117"/>
  <c r="M57" i="117"/>
  <c r="N57" i="117"/>
  <c r="P57" i="117"/>
  <c r="I2" i="117"/>
  <c r="D2" i="117"/>
  <c r="J2" i="117"/>
  <c r="E2" i="117"/>
  <c r="F2" i="117"/>
  <c r="C2" i="117"/>
  <c r="H2" i="117"/>
  <c r="K2" i="117"/>
  <c r="L2" i="117"/>
  <c r="M2" i="117"/>
  <c r="N2" i="117"/>
  <c r="P2" i="117"/>
  <c r="I3" i="117"/>
  <c r="D3" i="117"/>
  <c r="J3" i="117"/>
  <c r="E3" i="117"/>
  <c r="F3" i="117"/>
  <c r="C3" i="117"/>
  <c r="H3" i="117"/>
  <c r="K3" i="117"/>
  <c r="L3" i="117"/>
  <c r="M3" i="117"/>
  <c r="N3" i="117"/>
  <c r="P3" i="117"/>
  <c r="I4" i="117"/>
  <c r="D4" i="117"/>
  <c r="J4" i="117"/>
  <c r="E4" i="117"/>
  <c r="F4" i="117"/>
  <c r="C4" i="117"/>
  <c r="H4" i="117"/>
  <c r="K4" i="117"/>
  <c r="L4" i="117"/>
  <c r="M4" i="117"/>
  <c r="N4" i="117"/>
  <c r="P4" i="117"/>
  <c r="I5" i="117"/>
  <c r="D5" i="117"/>
  <c r="J5" i="117"/>
  <c r="E5" i="117"/>
  <c r="F5" i="117"/>
  <c r="C5" i="117"/>
  <c r="H5" i="117"/>
  <c r="K5" i="117"/>
  <c r="L5" i="117"/>
  <c r="M5" i="117"/>
  <c r="N5" i="117"/>
  <c r="P5" i="117"/>
  <c r="I6" i="117"/>
  <c r="D6" i="117"/>
  <c r="J6" i="117"/>
  <c r="E6" i="117"/>
  <c r="F6" i="117"/>
  <c r="C6" i="117"/>
  <c r="H6" i="117"/>
  <c r="K6" i="117"/>
  <c r="L6" i="117"/>
  <c r="M6" i="117"/>
  <c r="N6" i="117"/>
  <c r="P6" i="117"/>
  <c r="I7" i="117"/>
  <c r="D7" i="117"/>
  <c r="J7" i="117"/>
  <c r="E7" i="117"/>
  <c r="F7" i="117"/>
  <c r="C7" i="117"/>
  <c r="H7" i="117"/>
  <c r="K7" i="117"/>
  <c r="L7" i="117"/>
  <c r="M7" i="117"/>
  <c r="N7" i="117"/>
  <c r="P7" i="117"/>
  <c r="I8" i="117"/>
  <c r="D8" i="117"/>
  <c r="J8" i="117"/>
  <c r="E8" i="117"/>
  <c r="F8" i="117"/>
  <c r="C8" i="117"/>
  <c r="H8" i="117"/>
  <c r="K8" i="117"/>
  <c r="L8" i="117"/>
  <c r="M8" i="117"/>
  <c r="N8" i="117"/>
  <c r="P8" i="117"/>
  <c r="I9" i="117"/>
  <c r="D9" i="117"/>
  <c r="J9" i="117"/>
  <c r="E9" i="117"/>
  <c r="F9" i="117"/>
  <c r="C9" i="117"/>
  <c r="H9" i="117"/>
  <c r="K9" i="117"/>
  <c r="L9" i="117"/>
  <c r="M9" i="117"/>
  <c r="N9" i="117"/>
  <c r="P9" i="117"/>
  <c r="I10" i="117"/>
  <c r="D10" i="117"/>
  <c r="J10" i="117"/>
  <c r="E10" i="117"/>
  <c r="F10" i="117"/>
  <c r="C10" i="117"/>
  <c r="H10" i="117"/>
  <c r="K10" i="117"/>
  <c r="L10" i="117"/>
  <c r="M10" i="117"/>
  <c r="N10" i="117"/>
  <c r="P10" i="117"/>
  <c r="I11" i="117"/>
  <c r="D11" i="117"/>
  <c r="J11" i="117"/>
  <c r="E11" i="117"/>
  <c r="F11" i="117"/>
  <c r="C11" i="117"/>
  <c r="H11" i="117"/>
  <c r="K11" i="117"/>
  <c r="L11" i="117"/>
  <c r="M11" i="117"/>
  <c r="N11" i="117"/>
  <c r="P11" i="117"/>
  <c r="I12" i="117"/>
  <c r="D12" i="117"/>
  <c r="J12" i="117"/>
  <c r="E12" i="117"/>
  <c r="F12" i="117"/>
  <c r="C12" i="117"/>
  <c r="H12" i="117"/>
  <c r="K12" i="117"/>
  <c r="L12" i="117"/>
  <c r="M12" i="117"/>
  <c r="N12" i="117"/>
  <c r="P12" i="117"/>
  <c r="I13" i="117"/>
  <c r="D13" i="117"/>
  <c r="J13" i="117"/>
  <c r="E13" i="117"/>
  <c r="F13" i="117"/>
  <c r="C13" i="117"/>
  <c r="H13" i="117"/>
  <c r="K13" i="117"/>
  <c r="L13" i="117"/>
  <c r="M13" i="117"/>
  <c r="N13" i="117"/>
  <c r="P13" i="117"/>
  <c r="I14" i="117"/>
  <c r="D14" i="117"/>
  <c r="J14" i="117"/>
  <c r="E14" i="117"/>
  <c r="F14" i="117"/>
  <c r="C14" i="117"/>
  <c r="H14" i="117"/>
  <c r="K14" i="117"/>
  <c r="L14" i="117"/>
  <c r="M14" i="117"/>
  <c r="N14" i="117"/>
  <c r="P14" i="117"/>
  <c r="I15" i="117"/>
  <c r="D15" i="117"/>
  <c r="J15" i="117"/>
  <c r="E15" i="117"/>
  <c r="F15" i="117"/>
  <c r="C15" i="117"/>
  <c r="H15" i="117"/>
  <c r="K15" i="117"/>
  <c r="L15" i="117"/>
  <c r="M15" i="117"/>
  <c r="N15" i="117"/>
  <c r="P15" i="117"/>
  <c r="I16" i="117"/>
  <c r="D16" i="117"/>
  <c r="J16" i="117"/>
  <c r="E16" i="117"/>
  <c r="F16" i="117"/>
  <c r="C16" i="117"/>
  <c r="H16" i="117"/>
  <c r="K16" i="117"/>
  <c r="L16" i="117"/>
  <c r="M16" i="117"/>
  <c r="N16" i="117"/>
  <c r="P16" i="117"/>
  <c r="I17" i="117"/>
  <c r="D17" i="117"/>
  <c r="J17" i="117"/>
  <c r="E17" i="117"/>
  <c r="F17" i="117"/>
  <c r="C17" i="117"/>
  <c r="H17" i="117"/>
  <c r="K17" i="117"/>
  <c r="L17" i="117"/>
  <c r="M17" i="117"/>
  <c r="N17" i="117"/>
  <c r="P17" i="117"/>
  <c r="I18" i="117"/>
  <c r="D18" i="117"/>
  <c r="J18" i="117"/>
  <c r="E18" i="117"/>
  <c r="F18" i="117"/>
  <c r="C18" i="117"/>
  <c r="H18" i="117"/>
  <c r="K18" i="117"/>
  <c r="L18" i="117"/>
  <c r="M18" i="117"/>
  <c r="N18" i="117"/>
  <c r="P18" i="117"/>
  <c r="I19" i="117"/>
  <c r="D19" i="117"/>
  <c r="J19" i="117"/>
  <c r="E19" i="117"/>
  <c r="F19" i="117"/>
  <c r="C19" i="117"/>
  <c r="H19" i="117"/>
  <c r="K19" i="117"/>
  <c r="L19" i="117"/>
  <c r="M19" i="117"/>
  <c r="N19" i="117"/>
  <c r="P19" i="117"/>
  <c r="I20" i="117"/>
  <c r="D20" i="117"/>
  <c r="J20" i="117"/>
  <c r="E20" i="117"/>
  <c r="F20" i="117"/>
  <c r="C20" i="117"/>
  <c r="H20" i="117"/>
  <c r="K20" i="117"/>
  <c r="L20" i="117"/>
  <c r="M20" i="117"/>
  <c r="N20" i="117"/>
  <c r="P20" i="117"/>
  <c r="I21" i="117"/>
  <c r="D21" i="117"/>
  <c r="J21" i="117"/>
  <c r="E21" i="117"/>
  <c r="F21" i="117"/>
  <c r="C21" i="117"/>
  <c r="H21" i="117"/>
  <c r="K21" i="117"/>
  <c r="L21" i="117"/>
  <c r="M21" i="117"/>
  <c r="N21" i="117"/>
  <c r="P21" i="117"/>
  <c r="I22" i="117"/>
  <c r="D22" i="117"/>
  <c r="J22" i="117"/>
  <c r="E22" i="117"/>
  <c r="F22" i="117"/>
  <c r="C22" i="117"/>
  <c r="H22" i="117"/>
  <c r="K22" i="117"/>
  <c r="L22" i="117"/>
  <c r="M22" i="117"/>
  <c r="N22" i="117"/>
  <c r="P22" i="117"/>
  <c r="I23" i="117"/>
  <c r="D23" i="117"/>
  <c r="J23" i="117"/>
  <c r="E23" i="117"/>
  <c r="F23" i="117"/>
  <c r="C23" i="117"/>
  <c r="H23" i="117"/>
  <c r="K23" i="117"/>
  <c r="L23" i="117"/>
  <c r="M23" i="117"/>
  <c r="N23" i="117"/>
  <c r="P23" i="117"/>
  <c r="I24" i="117"/>
  <c r="D24" i="117"/>
  <c r="J24" i="117"/>
  <c r="E24" i="117"/>
  <c r="F24" i="117"/>
  <c r="C24" i="117"/>
  <c r="H24" i="117"/>
  <c r="K24" i="117"/>
  <c r="L24" i="117"/>
  <c r="M24" i="117"/>
  <c r="N24" i="117"/>
  <c r="P24" i="117"/>
  <c r="I25" i="117"/>
  <c r="D25" i="117"/>
  <c r="J25" i="117"/>
  <c r="E25" i="117"/>
  <c r="F25" i="117"/>
  <c r="C25" i="117"/>
  <c r="H25" i="117"/>
  <c r="K25" i="117"/>
  <c r="L25" i="117"/>
  <c r="M25" i="117"/>
  <c r="N25" i="117"/>
  <c r="P25" i="117"/>
  <c r="I26" i="117"/>
  <c r="D26" i="117"/>
  <c r="J26" i="117"/>
  <c r="E26" i="117"/>
  <c r="F26" i="117"/>
  <c r="C26" i="117"/>
  <c r="H26" i="117"/>
  <c r="K26" i="117"/>
  <c r="L26" i="117"/>
  <c r="M26" i="117"/>
  <c r="N26" i="117"/>
  <c r="P26" i="117"/>
  <c r="I27" i="117"/>
  <c r="D27" i="117"/>
  <c r="J27" i="117"/>
  <c r="E27" i="117"/>
  <c r="F27" i="117"/>
  <c r="C27" i="117"/>
  <c r="H27" i="117"/>
  <c r="K27" i="117"/>
  <c r="L27" i="117"/>
  <c r="M27" i="117"/>
  <c r="N27" i="117"/>
  <c r="P27" i="117"/>
  <c r="I28" i="117"/>
  <c r="D28" i="117"/>
  <c r="J28" i="117"/>
  <c r="E28" i="117"/>
  <c r="F28" i="117"/>
  <c r="C28" i="117"/>
  <c r="H28" i="117"/>
  <c r="K28" i="117"/>
  <c r="L28" i="117"/>
  <c r="M28" i="117"/>
  <c r="N28" i="117"/>
  <c r="P28" i="117"/>
  <c r="I29" i="117"/>
  <c r="D29" i="117"/>
  <c r="J29" i="117"/>
  <c r="E29" i="117"/>
  <c r="F29" i="117"/>
  <c r="C29" i="117"/>
  <c r="H29" i="117"/>
  <c r="K29" i="117"/>
  <c r="L29" i="117"/>
  <c r="M29" i="117"/>
  <c r="N29" i="117"/>
  <c r="P29" i="117"/>
  <c r="D11" i="118"/>
  <c r="D12" i="118"/>
  <c r="D13" i="118"/>
  <c r="D14" i="118"/>
  <c r="D15" i="118"/>
  <c r="D7" i="118"/>
  <c r="D4" i="118"/>
  <c r="D5" i="118"/>
  <c r="D6" i="118"/>
  <c r="D3" i="118"/>
  <c r="C2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3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<sst xmlns="http://schemas.openxmlformats.org/spreadsheetml/2006/main" count="249" uniqueCount="171">
  <si>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</si>
  <si>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</si>
  <si>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</si>
  <si>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</si>
  <si>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</si>
  <si>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</si>
  <si>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</si>
  <si>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</si>
  <si>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</si>
  <si>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</si>
  <si>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</si>
  <si>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</si>
  <si>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</si>
  <si>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</si>
  <si>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</si>
  <si>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gift_type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</si>
  <si>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</si>
  <si>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</si>
  <si>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</si>
  <si>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</si>
  <si>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</si>
  <si>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</si>
  <si>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</si>
  <si>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</si>
  <si>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</si>
  <si>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</si>
  <si>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</si>
  <si>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</si>
  <si>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</si>
  <si>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</si>
  <si>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</si>
  <si>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</si>
  <si>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</si>
  <si>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</si>
  <si>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drop_label</t>
    <phoneticPr fontId="19"/>
  </si>
  <si>
    <t>rare</t>
    <phoneticPr fontId="19"/>
  </si>
  <si>
    <t>character_type_id</t>
    <phoneticPr fontId="19"/>
  </si>
  <si>
    <t>character_tribe_id</t>
    <phoneticPr fontId="19"/>
  </si>
  <si>
    <t>unit_level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</si>
  <si>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</si>
  <si>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</si>
  <si>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</si>
  <si>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</si>
  <si>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</si>
  <si>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</si>
  <si>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</si>
  <si>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</si>
  <si>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</si>
  <si>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</si>
  <si>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</si>
  <si>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</si>
  <si>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</si>
  <si>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color</t>
    <phoneticPr fontId="19"/>
  </si>
  <si>
    <t>skip</t>
    <phoneticPr fontId="19"/>
  </si>
  <si>
    <t>hogehoge</t>
    <phoneticPr fontId="19"/>
  </si>
  <si>
    <t>性別</t>
    <rPh sb="0" eb="2">
      <t>セイベツ</t>
    </rPh>
    <phoneticPr fontId="19"/>
  </si>
  <si>
    <t>ピックアップ確率</t>
    <rPh sb="6" eb="8">
      <t>カクリツ</t>
    </rPh>
    <phoneticPr fontId="19"/>
  </si>
  <si>
    <t>確率</t>
    <rPh sb="0" eb="2">
      <t>カクリツ</t>
    </rPh>
    <phoneticPr fontId="19"/>
  </si>
  <si>
    <t>名前</t>
    <rPh sb="0" eb="2">
      <t>ナマエ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</si>
  <si>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</si>
  <si>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</si>
  <si>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</si>
  <si>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</si>
  <si>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table_no</t>
    <phoneticPr fontId="19"/>
  </si>
  <si>
    <t>table_no</t>
    <phoneticPr fontId="19"/>
  </si>
  <si>
    <t>skill_level</t>
  </si>
  <si>
    <t>level</t>
  </si>
  <si>
    <t>hp_plus</t>
    <phoneticPr fontId="52"/>
  </si>
  <si>
    <t>attack_plus</t>
    <phoneticPr fontId="52"/>
  </si>
  <si>
    <t>heal_plus</t>
    <phoneticPr fontId="52"/>
  </si>
  <si>
    <t>defense_plus</t>
    <phoneticPr fontId="52"/>
  </si>
  <si>
    <t>level</t>
    <phoneticPr fontId="52"/>
  </si>
  <si>
    <t>skill_level</t>
    <phoneticPr fontId="52"/>
  </si>
  <si>
    <t>bug</t>
    <phoneticPr fontId="52"/>
  </si>
  <si>
    <t>ja</t>
    <phoneticPr fontId="19"/>
  </si>
  <si>
    <t>drop_label2</t>
    <phoneticPr fontId="19"/>
  </si>
  <si>
    <t>color2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</si>
  <si>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</si>
  <si>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</si>
  <si>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</si>
  <si>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</si>
  <si>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</si>
  <si>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</si>
  <si>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</si>
  <si>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</si>
  <si>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</si>
  <si>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</si>
  <si>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</si>
  <si>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</si>
  <si>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</si>
  <si>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</si>
  <si>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</si>
  <si>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</si>
  <si>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</si>
  <si>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</si>
  <si>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</si>
  <si>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</si>
  <si>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</si>
  <si>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</si>
  <si>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</si>
  <si>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</si>
  <si>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</si>
  <si>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</si>
  <si>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</si>
  <si>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</si>
  <si>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</si>
  <si>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</si>
  <si>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</si>
  <si>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</si>
  <si>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</si>
  <si>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</si>
  <si>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</si>
  <si>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</si>
  <si>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</si>
  <si>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</si>
  <si>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</si>
  <si>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</si>
  <si>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</si>
  <si>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</si>
  <si>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</si>
  <si>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</si>
  <si>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</si>
  <si>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</si>
  <si>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</si>
  <si>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</si>
  <si>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</si>
  <si>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</si>
  <si>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</si>
  <si>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</si>
  <si>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</si>
  <si>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</si>
  <si>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</si>
  <si>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</si>
  <si>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</si>
  <si>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</si>
  <si>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</si>
  <si>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</si>
  <si>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</si>
  <si>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</si>
  <si>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</si>
  <si>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</si>
  <si>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</si>
  <si>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</si>
  <si>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</si>
  <si>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</si>
  <si>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</si>
  <si>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</si>
  <si>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</si>
  <si>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</si>
  <si>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</si>
  <si>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</si>
  <si>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</si>
  <si>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</si>
  <si>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</si>
  <si>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</si>
  <si>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</si>
  <si>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</si>
  <si>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tables_339100</t>
    <phoneticPr fontId="19"/>
  </si>
  <si>
    <t>skip</t>
    <phoneticPr fontId="19"/>
  </si>
  <si>
    <t>ピヨピヨ</t>
    <phoneticPr fontId="19"/>
  </si>
  <si>
    <t>チック</t>
    <phoneticPr fontId="19"/>
  </si>
  <si>
    <t>ダック</t>
    <phoneticPr fontId="19"/>
  </si>
  <si>
    <t>ジェントル</t>
    <phoneticPr fontId="19"/>
  </si>
  <si>
    <t>ユニット</t>
    <phoneticPr fontId="19"/>
  </si>
  <si>
    <t>獲得exp</t>
    <phoneticPr fontId="19"/>
  </si>
  <si>
    <t>出現確率</t>
    <phoneticPr fontId="19"/>
  </si>
  <si>
    <t>期待値</t>
    <phoneticPr fontId="19"/>
  </si>
  <si>
    <t>前回</t>
    <phoneticPr fontId="19"/>
  </si>
  <si>
    <t>今回</t>
    <phoneticPr fontId="19"/>
  </si>
  <si>
    <t>old</t>
    <phoneticPr fontId="19"/>
  </si>
  <si>
    <t>tables_215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</si>
</sst>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2"/>
      <name val="ＭＳ Ｐゴシック"/>
      <family val="3"/>
      <charset val="128"/>
    </font>
    <font>
      <sz val="12"/>
      <name val="MS PGothic"/>
      <family val="3"/>
      <charset val="128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3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/>
  </cellStyleXfs>
  <cellXfs count="55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3" xfId="0" applyFont="1" applyFill="1" applyBorder="1" applyAlignment="1">
      <alignment horizontal="right" vertical="center"/>
    </xf>
    <xf numFmtId="0" fontId="24" fillId="2" borderId="1" xfId="2" applyFont="1" applyFill="1" applyBorder="1" applyAlignment="1">
      <alignment horizontal="left" vertical="center"/>
    </xf>
    <xf numFmtId="0" fontId="51" fillId="21" borderId="1" xfId="0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2" borderId="1" xfId="2978" applyFont="1" applyFill="1" applyBorder="1"/>
    <xf numFmtId="0" fontId="12" fillId="22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2" borderId="1" xfId="0" applyFont="1" applyFill="1" applyBorder="1"/>
    <xf numFmtId="0" fontId="51" fillId="23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9" fillId="0" borderId="1" xfId="3036" applyFont="1" applyBorder="1"/>
    <xf numFmtId="0" fontId="8" fillId="0" borderId="1" xfId="2978" applyFont="1" applyBorder="1"/>
    <xf numFmtId="0" fontId="0" fillId="0" borderId="1" xfId="0" applyBorder="1"/>
    <xf numFmtId="0" fontId="0" fillId="3" borderId="1" xfId="0" applyFill="1" applyBorder="1"/>
    <xf numFmtId="0" fontId="0" fillId="25" borderId="0" xfId="0" applyFill="1"/>
    <xf numFmtId="176" fontId="0" fillId="26" borderId="1" xfId="3575" applyNumberFormat="1" applyFont="1" applyFill="1" applyBorder="1"/>
    <xf numFmtId="0" fontId="7" fillId="2" borderId="1" xfId="19" applyFont="1" applyFill="1" applyBorder="1"/>
    <xf numFmtId="0" fontId="7" fillId="4" borderId="1" xfId="2978" applyFont="1" applyFill="1" applyBorder="1"/>
    <xf numFmtId="0" fontId="0" fillId="2" borderId="0" xfId="0" applyFill="1"/>
    <xf numFmtId="0" fontId="51" fillId="27" borderId="1" xfId="0" applyFont="1" applyFill="1" applyBorder="1" applyAlignment="1">
      <alignment horizontal="left" vertical="center"/>
    </xf>
    <xf numFmtId="0" fontId="24" fillId="24" borderId="1" xfId="2" applyFont="1" applyFill="1" applyBorder="1" applyAlignment="1">
      <alignment horizontal="left" vertical="center"/>
    </xf>
    <xf numFmtId="0" fontId="23" fillId="24" borderId="1" xfId="0" applyFont="1" applyFill="1" applyBorder="1" applyAlignment="1">
      <alignment horizontal="right" vertical="center"/>
    </xf>
    <xf numFmtId="0" fontId="6" fillId="0" borderId="1" xfId="2978" applyFont="1" applyBorder="1"/>
    <xf numFmtId="0" fontId="5" fillId="0" borderId="0" xfId="3662"/>
    <xf numFmtId="0" fontId="5" fillId="4" borderId="0" xfId="3662" applyFill="1"/>
    <xf numFmtId="9" fontId="5" fillId="0" borderId="0" xfId="3662" applyNumberFormat="1"/>
    <xf numFmtId="0" fontId="5" fillId="0" borderId="0" xfId="3662" applyFill="1"/>
    <xf numFmtId="9" fontId="5" fillId="0" borderId="0" xfId="3662" applyNumberFormat="1" applyAlignment="1"/>
    <xf numFmtId="0" fontId="5" fillId="0" borderId="0" xfId="3662" applyNumberFormat="1"/>
    <xf numFmtId="0" fontId="4" fillId="4" borderId="1" xfId="2978" applyFont="1" applyFill="1" applyBorder="1"/>
    <xf numFmtId="0" fontId="3" fillId="0" borderId="1" xfId="3036" applyFont="1" applyBorder="1"/>
    <xf numFmtId="0" fontId="55" fillId="0" borderId="0" xfId="0" applyFont="1"/>
    <xf numFmtId="0" fontId="56" fillId="0" borderId="0" xfId="0" applyFont="1"/>
    <xf numFmtId="9" fontId="55" fillId="0" borderId="0" xfId="0" applyNumberFormat="1" applyFont="1"/>
    <xf numFmtId="0" fontId="2" fillId="0" borderId="1" xfId="3036" applyFont="1" applyBorder="1"/>
    <xf numFmtId="0" fontId="1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前回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前回メタルとの比較!$A$3</c:f>
              <c:strCache>
                <c:ptCount val="1"/>
                <c:pt idx="0">
                  <c:v>ピヨピヨ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前回メタルとの比較!$C$3</c:f>
              <c:numCache>
                <c:formatCode>0%</c:formatCode>
                <c:ptCount val="1"/>
                <c:pt idx="0">
                  <c:v>0.25</c:v>
                </c:pt>
              </c:numCache>
            </c:numRef>
          </c:val>
        </c:ser>
        <c:ser>
          <c:idx val="1"/>
          <c:order val="1"/>
          <c:tx>
            <c:strRef>
              <c:f>前回メタルとの比較!$A$4</c:f>
              <c:strCache>
                <c:ptCount val="1"/>
                <c:pt idx="0">
                  <c:v>チック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前回メタルとの比較!$C$4</c:f>
              <c:numCache>
                <c:formatCode>0%</c:formatCode>
                <c:ptCount val="1"/>
                <c:pt idx="0">
                  <c:v>0.4</c:v>
                </c:pt>
              </c:numCache>
            </c:numRef>
          </c:val>
        </c:ser>
        <c:ser>
          <c:idx val="2"/>
          <c:order val="2"/>
          <c:tx>
            <c:strRef>
              <c:f>前回メタルとの比較!$A$5</c:f>
              <c:strCache>
                <c:ptCount val="1"/>
                <c:pt idx="0">
                  <c:v>ダック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前回メタルとの比較!$C$5</c:f>
              <c:numCache>
                <c:formatCode>0%</c:formatCode>
                <c:ptCount val="1"/>
                <c:pt idx="0">
                  <c:v>0.3</c:v>
                </c:pt>
              </c:numCache>
            </c:numRef>
          </c:val>
        </c:ser>
        <c:ser>
          <c:idx val="3"/>
          <c:order val="3"/>
          <c:tx>
            <c:strRef>
              <c:f>前回メタルとの比較!$A$6</c:f>
              <c:strCache>
                <c:ptCount val="1"/>
                <c:pt idx="0">
                  <c:v>ジェントル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前回メタルとの比較!$C$6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35120144"/>
        <c:axId val="-235117312"/>
      </c:barChart>
      <c:catAx>
        <c:axId val="-235120144"/>
        <c:scaling>
          <c:orientation val="minMax"/>
        </c:scaling>
        <c:delete val="1"/>
        <c:axPos val="b"/>
        <c:majorTickMark val="none"/>
        <c:minorTickMark val="none"/>
        <c:tickLblPos val="nextTo"/>
        <c:crossAx val="-235117312"/>
        <c:crosses val="autoZero"/>
        <c:auto val="1"/>
        <c:lblAlgn val="ctr"/>
        <c:lblOffset val="100"/>
        <c:noMultiLvlLbl val="0"/>
      </c:catAx>
      <c:valAx>
        <c:axId val="-23511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35120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今回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前回メタルとの比較!$A$11</c:f>
              <c:strCache>
                <c:ptCount val="1"/>
                <c:pt idx="0">
                  <c:v>ピヨピヨ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前回メタルとの比較!$C$11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</c:ser>
        <c:ser>
          <c:idx val="1"/>
          <c:order val="1"/>
          <c:tx>
            <c:strRef>
              <c:f>前回メタルとの比較!$A$12</c:f>
              <c:strCache>
                <c:ptCount val="1"/>
                <c:pt idx="0">
                  <c:v>チック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前回メタルとの比較!$C$12</c:f>
              <c:numCache>
                <c:formatCode>0%</c:formatCode>
                <c:ptCount val="1"/>
                <c:pt idx="0">
                  <c:v>0.45</c:v>
                </c:pt>
              </c:numCache>
            </c:numRef>
          </c:val>
        </c:ser>
        <c:ser>
          <c:idx val="2"/>
          <c:order val="2"/>
          <c:tx>
            <c:strRef>
              <c:f>前回メタルとの比較!$A$13</c:f>
              <c:strCache>
                <c:ptCount val="1"/>
                <c:pt idx="0">
                  <c:v>ダック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前回メタルとの比較!$C$13</c:f>
              <c:numCache>
                <c:formatCode>0%</c:formatCode>
                <c:ptCount val="1"/>
                <c:pt idx="0">
                  <c:v>0.43</c:v>
                </c:pt>
              </c:numCache>
            </c:numRef>
          </c:val>
        </c:ser>
        <c:ser>
          <c:idx val="3"/>
          <c:order val="3"/>
          <c:tx>
            <c:strRef>
              <c:f>前回メタルとの比較!$A$14</c:f>
              <c:strCache>
                <c:ptCount val="1"/>
                <c:pt idx="0">
                  <c:v>ジェントル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前回メタルとの比較!$C$14</c:f>
              <c:numCache>
                <c:formatCode>0%</c:formatCode>
                <c:ptCount val="1"/>
                <c:pt idx="0">
                  <c:v>0.02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35050800"/>
        <c:axId val="-235047536"/>
      </c:barChart>
      <c:catAx>
        <c:axId val="-235050800"/>
        <c:scaling>
          <c:orientation val="minMax"/>
        </c:scaling>
        <c:delete val="1"/>
        <c:axPos val="b"/>
        <c:majorTickMark val="none"/>
        <c:minorTickMark val="none"/>
        <c:tickLblPos val="nextTo"/>
        <c:crossAx val="-235047536"/>
        <c:crosses val="autoZero"/>
        <c:auto val="1"/>
        <c:lblAlgn val="ctr"/>
        <c:lblOffset val="100"/>
        <c:noMultiLvlLbl val="0"/>
      </c:catAx>
      <c:valAx>
        <c:axId val="-23504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35050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171450</xdr:rowOff>
    </xdr:from>
    <xdr:to>
      <xdr:col>7</xdr:col>
      <xdr:colOff>0</xdr:colOff>
      <xdr:row>35</xdr:row>
      <xdr:rowOff>82550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12699</xdr:colOff>
      <xdr:row>16</xdr:row>
      <xdr:rowOff>12700</xdr:rowOff>
    </xdr:from>
    <xdr:to>
      <xdr:col>13</xdr:col>
      <xdr:colOff>817032</xdr:colOff>
      <xdr:row>35</xdr:row>
      <xdr:rowOff>88900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E329"/>
          <cell r="F329"/>
          <cell r="G329"/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E330"/>
          <cell r="F330"/>
          <cell r="G330"/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E331"/>
          <cell r="F331"/>
          <cell r="G331"/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D332" t="str">
            <v>未定</v>
          </cell>
          <cell r="E332"/>
          <cell r="F332"/>
          <cell r="G332"/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E357"/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E358"/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E359"/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E360"/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2</v>
          </cell>
          <cell r="J377" t="str">
            <v>Drop1S</v>
          </cell>
          <cell r="K377" t="str">
            <v>balance</v>
          </cell>
          <cell r="L377" t="str">
            <v>バランスタイプ</v>
          </cell>
          <cell r="M377" t="str">
            <v>human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3</v>
          </cell>
          <cell r="J378" t="str">
            <v>Drop1S</v>
          </cell>
          <cell r="K378" t="str">
            <v>balance</v>
          </cell>
          <cell r="L378" t="str">
            <v>バランスタイプ</v>
          </cell>
          <cell r="M378" t="str">
            <v>human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E381"/>
          <cell r="F381"/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E388"/>
          <cell r="F388"/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red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red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balance</v>
          </cell>
          <cell r="L475" t="str">
            <v>バランスタイプ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balance</v>
          </cell>
          <cell r="L476" t="str">
            <v>バランスタイプ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ロキ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華麗なるサディスト ロキ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attack</v>
          </cell>
          <cell r="L482" t="str">
            <v>攻撃タイプ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attack</v>
          </cell>
          <cell r="L483" t="str">
            <v>攻撃タイプ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attack</v>
          </cell>
          <cell r="L484" t="str">
            <v>攻撃タイプ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attack</v>
          </cell>
          <cell r="L485" t="str">
            <v>攻撃タイプ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attack</v>
          </cell>
          <cell r="L486" t="str">
            <v>攻撃タイプ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human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完然者 ラプラス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yellow</v>
          </cell>
          <cell r="I491">
            <v>4</v>
          </cell>
          <cell r="J491" t="str">
            <v>PremiumS</v>
          </cell>
          <cell r="K491" t="str">
            <v>attack</v>
          </cell>
          <cell r="L491" t="str">
            <v>攻撃タイプ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イル・グリム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yellow</v>
          </cell>
          <cell r="I492">
            <v>4</v>
          </cell>
          <cell r="J492" t="str">
            <v>PremiumS</v>
          </cell>
          <cell r="K492" t="str">
            <v>attack</v>
          </cell>
          <cell r="L492" t="str">
            <v>攻撃タイプ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yellow</v>
          </cell>
          <cell r="I493">
            <v>4</v>
          </cell>
          <cell r="J493" t="str">
            <v>PremiumS</v>
          </cell>
          <cell r="K493" t="str">
            <v>attack</v>
          </cell>
          <cell r="L493" t="str">
            <v>攻撃タイプ</v>
          </cell>
          <cell r="M493" t="str">
            <v>human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yellow</v>
          </cell>
          <cell r="I494">
            <v>4</v>
          </cell>
          <cell r="J494" t="str">
            <v>PremiumS</v>
          </cell>
          <cell r="K494" t="str">
            <v>attack</v>
          </cell>
          <cell r="L494" t="str">
            <v>攻撃タイプ</v>
          </cell>
          <cell r="M494" t="str">
            <v>human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yellow</v>
          </cell>
          <cell r="I495">
            <v>4</v>
          </cell>
          <cell r="J495" t="str">
            <v>PremiumS</v>
          </cell>
          <cell r="K495" t="str">
            <v>attack</v>
          </cell>
          <cell r="L495" t="str">
            <v>攻撃タイプ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yellow</v>
          </cell>
          <cell r="I496">
            <v>4</v>
          </cell>
          <cell r="J496" t="str">
            <v>PremiumS</v>
          </cell>
          <cell r="K496" t="str">
            <v>attack</v>
          </cell>
          <cell r="L496" t="str">
            <v>攻撃タイプ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yellow</v>
          </cell>
          <cell r="I497">
            <v>4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yellow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yellow</v>
          </cell>
          <cell r="I499">
            <v>4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</v>
          </cell>
          <cell r="K500" t="str">
            <v>attack</v>
          </cell>
          <cell r="L500" t="str">
            <v>攻撃タイプ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断決の鋭鋏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4</v>
          </cell>
          <cell r="J501" t="str">
            <v>PremiumS</v>
          </cell>
          <cell r="K501" t="str">
            <v>attack</v>
          </cell>
          <cell r="L501" t="str">
            <v>攻撃タイプ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脈動の禁髪 ラプンツェル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4</v>
          </cell>
          <cell r="J502" t="str">
            <v>PremiumS</v>
          </cell>
          <cell r="K502" t="str">
            <v>attack</v>
          </cell>
          <cell r="L502" t="str">
            <v>攻撃タイプ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yellow</v>
          </cell>
          <cell r="I503">
            <v>4</v>
          </cell>
          <cell r="J503" t="str">
            <v>PremiumS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yellow</v>
          </cell>
          <cell r="I504">
            <v>4</v>
          </cell>
          <cell r="J504" t="str">
            <v>PremiumS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yellow</v>
          </cell>
          <cell r="I505">
            <v>4</v>
          </cell>
          <cell r="J505" t="str">
            <v>PremiumS</v>
          </cell>
          <cell r="K505" t="str">
            <v>attack</v>
          </cell>
          <cell r="L505" t="str">
            <v>攻撃タイプ</v>
          </cell>
          <cell r="M505" t="str">
            <v>human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yellow</v>
          </cell>
          <cell r="I506">
            <v>4</v>
          </cell>
          <cell r="J506" t="str">
            <v>PremiumS</v>
          </cell>
          <cell r="K506" t="str">
            <v>attack</v>
          </cell>
          <cell r="L506" t="str">
            <v>攻撃タイプ</v>
          </cell>
          <cell r="M506" t="str">
            <v>human</v>
          </cell>
        </row>
        <row r="507">
          <cell r="A507">
            <v>506</v>
          </cell>
          <cell r="B507" t="str">
            <v>ja</v>
          </cell>
          <cell r="C507" t="str">
            <v>アイソ・レイト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yellow</v>
          </cell>
          <cell r="I507">
            <v>4</v>
          </cell>
          <cell r="J507" t="str">
            <v>PremiumS</v>
          </cell>
          <cell r="K507" t="str">
            <v>attack</v>
          </cell>
          <cell r="L507" t="str">
            <v>攻撃タイプ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アイソ・レイト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yellow</v>
          </cell>
          <cell r="I508">
            <v>4</v>
          </cell>
          <cell r="J508" t="str">
            <v>PremiumS</v>
          </cell>
          <cell r="K508" t="str">
            <v>attack</v>
          </cell>
          <cell r="L508" t="str">
            <v>攻撃タイプ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PremiumS</v>
          </cell>
          <cell r="K509" t="str">
            <v>attack</v>
          </cell>
          <cell r="L509" t="str">
            <v>攻撃タイプ</v>
          </cell>
          <cell r="M509" t="str">
            <v>human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4</v>
          </cell>
          <cell r="J510" t="str">
            <v>PremiumS</v>
          </cell>
          <cell r="K510" t="str">
            <v>attack</v>
          </cell>
          <cell r="L510" t="str">
            <v>攻撃タイプ</v>
          </cell>
          <cell r="M510" t="str">
            <v>human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yellow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yellow</v>
          </cell>
          <cell r="I512">
            <v>4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聖慕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お年玉ダック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4</v>
          </cell>
          <cell r="J525" t="str">
            <v>PremiumS</v>
          </cell>
          <cell r="K525" t="str">
            <v>attack</v>
          </cell>
          <cell r="L525" t="str">
            <v>攻撃タイプ</v>
          </cell>
          <cell r="M525" t="str">
            <v>human</v>
          </cell>
        </row>
        <row r="526">
          <cell r="A526">
            <v>525</v>
          </cell>
          <cell r="B526" t="str">
            <v>ja</v>
          </cell>
          <cell r="C526" t="str">
            <v>雪ミク2016NEGI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yellow</v>
          </cell>
          <cell r="I526">
            <v>4</v>
          </cell>
          <cell r="J526" t="str">
            <v>PremiumS</v>
          </cell>
          <cell r="K526" t="str">
            <v>attack</v>
          </cell>
          <cell r="L526" t="str">
            <v>攻撃タイプ</v>
          </cell>
          <cell r="M526" t="str">
            <v>human</v>
          </cell>
        </row>
        <row r="527">
          <cell r="A527">
            <v>526</v>
          </cell>
          <cell r="B527" t="str">
            <v>ja</v>
          </cell>
          <cell r="C527" t="str">
            <v>雪ミク&amp;ラビット・ユキネ2016NEGI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yellow</v>
          </cell>
          <cell r="I527">
            <v>4</v>
          </cell>
          <cell r="J527" t="str">
            <v>PremiumS</v>
          </cell>
          <cell r="K527" t="str">
            <v>attack</v>
          </cell>
          <cell r="L527" t="str">
            <v>攻撃タイプ</v>
          </cell>
          <cell r="M527" t="str">
            <v>human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attack</v>
          </cell>
          <cell r="L528" t="str">
            <v>攻撃タイプ</v>
          </cell>
          <cell r="M528" t="str">
            <v>human</v>
          </cell>
        </row>
        <row r="529">
          <cell r="A529">
            <v>528</v>
          </cell>
          <cell r="B529" t="str">
            <v>ja</v>
          </cell>
          <cell r="C529" t="str">
            <v>暴奏の長葱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4</v>
          </cell>
          <cell r="J529" t="str">
            <v>PremiumS</v>
          </cell>
          <cell r="K529" t="str">
            <v>attack</v>
          </cell>
          <cell r="L529" t="str">
            <v>攻撃タイプ</v>
          </cell>
          <cell r="M529" t="str">
            <v>human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yellow</v>
          </cell>
          <cell r="I530">
            <v>4</v>
          </cell>
          <cell r="J530" t="str">
            <v>PremiumS</v>
          </cell>
          <cell r="K530" t="str">
            <v>attack</v>
          </cell>
          <cell r="L530" t="str">
            <v>攻撃タイプ</v>
          </cell>
          <cell r="M530" t="str">
            <v>human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yellow</v>
          </cell>
          <cell r="I531">
            <v>4</v>
          </cell>
          <cell r="J531" t="str">
            <v>PremiumS</v>
          </cell>
          <cell r="K531" t="str">
            <v>attack</v>
          </cell>
          <cell r="L531" t="str">
            <v>攻撃タイプ</v>
          </cell>
          <cell r="M531" t="str">
            <v>human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yellow</v>
          </cell>
          <cell r="I532">
            <v>4</v>
          </cell>
          <cell r="J532" t="str">
            <v>PremiumS</v>
          </cell>
          <cell r="K532" t="str">
            <v>attack</v>
          </cell>
          <cell r="L532" t="str">
            <v>攻撃タイプ</v>
          </cell>
          <cell r="M532" t="str">
            <v>human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4</v>
          </cell>
          <cell r="J533" t="str">
            <v>PremiumS</v>
          </cell>
          <cell r="K533" t="str">
            <v>attack</v>
          </cell>
          <cell r="L533" t="str">
            <v>攻撃タイプ</v>
          </cell>
          <cell r="M533" t="str">
            <v>human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yellow</v>
          </cell>
          <cell r="I534">
            <v>4</v>
          </cell>
          <cell r="J534" t="str">
            <v>PremiumS</v>
          </cell>
          <cell r="K534" t="str">
            <v>attack</v>
          </cell>
          <cell r="L534" t="str">
            <v>攻撃タイプ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yellow</v>
          </cell>
          <cell r="I535">
            <v>4</v>
          </cell>
          <cell r="J535" t="str">
            <v>PremiumS</v>
          </cell>
          <cell r="K535" t="str">
            <v>attack</v>
          </cell>
          <cell r="L535" t="str">
            <v>攻撃タイプ</v>
          </cell>
          <cell r="M535" t="str">
            <v>human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yellow</v>
          </cell>
          <cell r="I536">
            <v>4</v>
          </cell>
          <cell r="J536" t="str">
            <v>PremiumS</v>
          </cell>
          <cell r="K536" t="str">
            <v>attack</v>
          </cell>
          <cell r="L536" t="str">
            <v>攻撃タイプ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4</v>
          </cell>
          <cell r="J537" t="str">
            <v>PremiumS</v>
          </cell>
          <cell r="K537" t="str">
            <v>attack</v>
          </cell>
          <cell r="L537" t="str">
            <v>攻撃タイプ</v>
          </cell>
          <cell r="M537" t="str">
            <v>human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yellow</v>
          </cell>
          <cell r="I538">
            <v>4</v>
          </cell>
          <cell r="J538" t="str">
            <v>PremiumS</v>
          </cell>
          <cell r="K538" t="str">
            <v>attack</v>
          </cell>
          <cell r="L538" t="str">
            <v>攻撃タイプ</v>
          </cell>
          <cell r="M538" t="str">
            <v>human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4</v>
          </cell>
          <cell r="J539" t="str">
            <v>PremiumS</v>
          </cell>
          <cell r="K539" t="str">
            <v>attack</v>
          </cell>
          <cell r="L539" t="str">
            <v>攻撃タイプ</v>
          </cell>
          <cell r="M539" t="str">
            <v>human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yellow</v>
          </cell>
          <cell r="I540">
            <v>4</v>
          </cell>
          <cell r="J540" t="str">
            <v>PremiumS</v>
          </cell>
          <cell r="K540" t="str">
            <v>attack</v>
          </cell>
          <cell r="L540" t="str">
            <v>攻撃タイプ</v>
          </cell>
          <cell r="M540" t="str">
            <v>human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yellow</v>
          </cell>
          <cell r="I541">
            <v>4</v>
          </cell>
          <cell r="J541" t="str">
            <v>PremiumS</v>
          </cell>
          <cell r="K541" t="str">
            <v>attack</v>
          </cell>
          <cell r="L541" t="str">
            <v>攻撃タイプ</v>
          </cell>
          <cell r="M541" t="str">
            <v>human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yellow</v>
          </cell>
          <cell r="I542">
            <v>4</v>
          </cell>
          <cell r="J542" t="str">
            <v>PremiumS</v>
          </cell>
          <cell r="K542" t="str">
            <v>attack</v>
          </cell>
          <cell r="L542" t="str">
            <v>攻撃タイプ</v>
          </cell>
          <cell r="M542" t="str">
            <v>human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yellow</v>
          </cell>
          <cell r="I543">
            <v>4</v>
          </cell>
          <cell r="J543" t="str">
            <v>PremiumS</v>
          </cell>
          <cell r="K543" t="str">
            <v>attack</v>
          </cell>
          <cell r="L543" t="str">
            <v>攻撃タイプ</v>
          </cell>
          <cell r="M543" t="str">
            <v>human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</v>
          </cell>
          <cell r="K544" t="str">
            <v>attack</v>
          </cell>
          <cell r="L544" t="str">
            <v>攻撃タイプ</v>
          </cell>
          <cell r="M544" t="str">
            <v>human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4</v>
          </cell>
          <cell r="J545" t="str">
            <v>PremiumS</v>
          </cell>
          <cell r="K545" t="str">
            <v>attack</v>
          </cell>
          <cell r="L545" t="str">
            <v>攻撃タイプ</v>
          </cell>
          <cell r="M545" t="str">
            <v>human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</v>
          </cell>
          <cell r="K546" t="str">
            <v>attack</v>
          </cell>
          <cell r="L546" t="str">
            <v>攻撃タイプ</v>
          </cell>
          <cell r="M546" t="str">
            <v>human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4</v>
          </cell>
          <cell r="J547" t="str">
            <v>PremiumS</v>
          </cell>
          <cell r="K547" t="str">
            <v>attack</v>
          </cell>
          <cell r="L547" t="str">
            <v>攻撃タイプ</v>
          </cell>
          <cell r="M547" t="str">
            <v>human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yellow</v>
          </cell>
          <cell r="I548">
            <v>4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human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yellow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human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yellow</v>
          </cell>
          <cell r="I550">
            <v>4</v>
          </cell>
          <cell r="J550" t="str">
            <v>PremiumS</v>
          </cell>
          <cell r="K550" t="str">
            <v>attack</v>
          </cell>
          <cell r="L550" t="str">
            <v>攻撃タイプ</v>
          </cell>
          <cell r="M550" t="str">
            <v>human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yellow</v>
          </cell>
          <cell r="I551">
            <v>4</v>
          </cell>
          <cell r="J551" t="str">
            <v>PremiumS</v>
          </cell>
          <cell r="K551" t="str">
            <v>attack</v>
          </cell>
          <cell r="L551" t="str">
            <v>攻撃タイプ</v>
          </cell>
          <cell r="M551" t="str">
            <v>human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yellow</v>
          </cell>
          <cell r="I552">
            <v>4</v>
          </cell>
          <cell r="J552" t="str">
            <v>PremiumS</v>
          </cell>
          <cell r="K552" t="str">
            <v>attack</v>
          </cell>
          <cell r="L552" t="str">
            <v>攻撃タイプ</v>
          </cell>
          <cell r="M552" t="str">
            <v>human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yellow</v>
          </cell>
          <cell r="I553">
            <v>4</v>
          </cell>
          <cell r="J553" t="str">
            <v>PremiumS</v>
          </cell>
          <cell r="K553" t="str">
            <v>attack</v>
          </cell>
          <cell r="L553" t="str">
            <v>攻撃タイプ</v>
          </cell>
          <cell r="M553" t="str">
            <v>human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yellow</v>
          </cell>
          <cell r="I554">
            <v>4</v>
          </cell>
          <cell r="J554" t="str">
            <v>PremiumS</v>
          </cell>
          <cell r="K554" t="str">
            <v>attack</v>
          </cell>
          <cell r="L554" t="str">
            <v>攻撃タイプ</v>
          </cell>
          <cell r="M554" t="str">
            <v>human</v>
          </cell>
        </row>
        <row r="555">
          <cell r="A555">
            <v>554</v>
          </cell>
          <cell r="B555" t="str">
            <v>ja</v>
          </cell>
          <cell r="C555" t="str">
            <v>大滑走 雪ミク&amp;ラビット・ユキネ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yellow</v>
          </cell>
          <cell r="I555">
            <v>4</v>
          </cell>
          <cell r="J555" t="str">
            <v>PremiumS</v>
          </cell>
          <cell r="K555" t="str">
            <v>attack</v>
          </cell>
          <cell r="L555" t="str">
            <v>攻撃タイプ</v>
          </cell>
          <cell r="M555" t="str">
            <v>human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yellow</v>
          </cell>
          <cell r="I556">
            <v>4</v>
          </cell>
          <cell r="J556" t="str">
            <v>PremiumS</v>
          </cell>
          <cell r="K556" t="str">
            <v>attack</v>
          </cell>
          <cell r="L556" t="str">
            <v>攻撃タイプ</v>
          </cell>
          <cell r="M556" t="str">
            <v>human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yellow</v>
          </cell>
          <cell r="I557">
            <v>4</v>
          </cell>
          <cell r="J557" t="str">
            <v>PremiumS</v>
          </cell>
          <cell r="K557" t="str">
            <v>attack</v>
          </cell>
          <cell r="L557" t="str">
            <v>攻撃タイプ</v>
          </cell>
          <cell r="M557" t="str">
            <v>human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yellow</v>
          </cell>
          <cell r="I558">
            <v>4</v>
          </cell>
          <cell r="J558" t="str">
            <v>PremiumS</v>
          </cell>
          <cell r="K558" t="str">
            <v>attack</v>
          </cell>
          <cell r="L558" t="str">
            <v>攻撃タイプ</v>
          </cell>
          <cell r="M558" t="str">
            <v>human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yellow</v>
          </cell>
          <cell r="I559">
            <v>4</v>
          </cell>
          <cell r="J559" t="str">
            <v>PremiumS</v>
          </cell>
          <cell r="K559" t="str">
            <v>attack</v>
          </cell>
          <cell r="L559" t="str">
            <v>攻撃タイプ</v>
          </cell>
          <cell r="M559" t="str">
            <v>human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yellow</v>
          </cell>
          <cell r="I560">
            <v>4</v>
          </cell>
          <cell r="J560" t="str">
            <v>PremiumS</v>
          </cell>
          <cell r="K560" t="str">
            <v>attack</v>
          </cell>
          <cell r="L560" t="str">
            <v>攻撃タイプ</v>
          </cell>
          <cell r="M560" t="str">
            <v>human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D1187"/>
          <cell r="E1187"/>
          <cell r="F1187"/>
          <cell r="G1187"/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D1188"/>
          <cell r="E1188"/>
          <cell r="F1188"/>
          <cell r="G1188"/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D1189"/>
          <cell r="E1189"/>
          <cell r="F1189"/>
          <cell r="G1189"/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D1190"/>
          <cell r="E1190"/>
          <cell r="F1190"/>
          <cell r="G1190"/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D1191"/>
          <cell r="E1191"/>
          <cell r="F1191"/>
          <cell r="G1191"/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D1201"/>
          <cell r="E1201"/>
          <cell r="F1201"/>
          <cell r="G1201"/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D1202"/>
          <cell r="E1202"/>
          <cell r="F1202"/>
          <cell r="G1202"/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D1203"/>
          <cell r="E1203"/>
          <cell r="F1203"/>
          <cell r="G1203"/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D1204"/>
          <cell r="E1204"/>
          <cell r="F1204"/>
          <cell r="G1204"/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D1205"/>
          <cell r="E1205"/>
          <cell r="F1205"/>
          <cell r="G1205"/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D1206"/>
          <cell r="E1206"/>
          <cell r="F1206"/>
          <cell r="G1206"/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D1207"/>
          <cell r="E1207"/>
          <cell r="F1207"/>
          <cell r="G1207"/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D1208"/>
          <cell r="E1208"/>
          <cell r="F1208"/>
          <cell r="G1208"/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D1209"/>
          <cell r="E1209"/>
          <cell r="F1209"/>
          <cell r="G1209"/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D1210"/>
          <cell r="E1210"/>
          <cell r="F1210"/>
          <cell r="G1210"/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D1211"/>
          <cell r="E1211"/>
          <cell r="F1211"/>
          <cell r="G1211"/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D1212"/>
          <cell r="E1212"/>
          <cell r="F1212"/>
          <cell r="G1212"/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D1213"/>
          <cell r="E1213"/>
          <cell r="F1213"/>
          <cell r="G1213"/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D1214"/>
          <cell r="E1214"/>
          <cell r="F1214"/>
          <cell r="G1214"/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D1215"/>
          <cell r="E1215"/>
          <cell r="F1215"/>
          <cell r="G1215"/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D1216"/>
          <cell r="E1216"/>
          <cell r="F1216"/>
          <cell r="G1216"/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D1217"/>
          <cell r="E1217"/>
          <cell r="F1217"/>
          <cell r="G1217"/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D1218"/>
          <cell r="E1218"/>
          <cell r="F1218"/>
          <cell r="G1218"/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D1219"/>
          <cell r="E1219"/>
          <cell r="F1219"/>
          <cell r="G1219"/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D1220"/>
          <cell r="E1220"/>
          <cell r="F1220"/>
          <cell r="G1220"/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D1221"/>
          <cell r="E1221"/>
          <cell r="F1221"/>
          <cell r="G1221"/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D1222"/>
          <cell r="E1222"/>
          <cell r="F1222"/>
          <cell r="G1222"/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D1223"/>
          <cell r="E1223"/>
          <cell r="F1223"/>
          <cell r="G1223"/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D1224"/>
          <cell r="E1224"/>
          <cell r="F1224"/>
          <cell r="G1224"/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D1225"/>
          <cell r="E1225"/>
          <cell r="F1225"/>
          <cell r="G1225"/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D1226"/>
          <cell r="E1226"/>
          <cell r="F1226"/>
          <cell r="G1226"/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D1227"/>
          <cell r="E1227"/>
          <cell r="F1227"/>
          <cell r="G1227"/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D1228"/>
          <cell r="E1228"/>
          <cell r="F1228"/>
          <cell r="G1228"/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D1229"/>
          <cell r="E1229"/>
          <cell r="F1229"/>
          <cell r="G1229"/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D1230"/>
          <cell r="E1230"/>
          <cell r="F1230"/>
          <cell r="G1230"/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D1231"/>
          <cell r="E1231"/>
          <cell r="F1231"/>
          <cell r="G1231"/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D1232"/>
          <cell r="E1232"/>
          <cell r="F1232"/>
          <cell r="G1232"/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D1233"/>
          <cell r="E1233"/>
          <cell r="F1233"/>
          <cell r="G1233"/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D1234"/>
          <cell r="E1234"/>
          <cell r="F1234"/>
          <cell r="G1234"/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D1235"/>
          <cell r="E1235"/>
          <cell r="F1235"/>
          <cell r="G1235"/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D1236"/>
          <cell r="E1236"/>
          <cell r="F1236"/>
          <cell r="G1236"/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D1237"/>
          <cell r="E1237"/>
          <cell r="F1237"/>
          <cell r="G1237"/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D1238"/>
          <cell r="E1238"/>
          <cell r="F1238"/>
          <cell r="G1238"/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D1239"/>
          <cell r="E1239"/>
          <cell r="F1239"/>
          <cell r="G1239"/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D1240"/>
          <cell r="E1240"/>
          <cell r="F1240"/>
          <cell r="G1240"/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D1241"/>
          <cell r="E1241"/>
          <cell r="F1241"/>
          <cell r="G1241"/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D1242"/>
          <cell r="E1242"/>
          <cell r="F1242"/>
          <cell r="G1242"/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D1243"/>
          <cell r="E1243"/>
          <cell r="F1243"/>
          <cell r="G1243"/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D1244"/>
          <cell r="E1244"/>
          <cell r="F1244"/>
          <cell r="G1244"/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D1245"/>
          <cell r="E1245"/>
          <cell r="F1245"/>
          <cell r="G1245"/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D1246"/>
          <cell r="E1246"/>
          <cell r="F1246"/>
          <cell r="G1246"/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D1247"/>
          <cell r="E1247"/>
          <cell r="F1247"/>
          <cell r="G1247"/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D1248"/>
          <cell r="E1248"/>
          <cell r="F1248"/>
          <cell r="G1248"/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D1249"/>
          <cell r="E1249"/>
          <cell r="F1249"/>
          <cell r="G1249"/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D1250"/>
          <cell r="E1250"/>
          <cell r="F1250"/>
          <cell r="G1250"/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D1251"/>
          <cell r="E1251"/>
          <cell r="F1251"/>
          <cell r="G1251"/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D1252"/>
          <cell r="E1252"/>
          <cell r="F1252"/>
          <cell r="G1252"/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D1253"/>
          <cell r="E1253"/>
          <cell r="F1253"/>
          <cell r="G1253"/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D1254"/>
          <cell r="E1254"/>
          <cell r="F1254"/>
          <cell r="G1254"/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D1255"/>
          <cell r="E1255"/>
          <cell r="F1255"/>
          <cell r="G1255"/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D1256"/>
          <cell r="E1256"/>
          <cell r="F1256"/>
          <cell r="G1256"/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D1257"/>
          <cell r="E1257"/>
          <cell r="F1257"/>
          <cell r="G1257"/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D1258"/>
          <cell r="E1258"/>
          <cell r="F1258"/>
          <cell r="G1258"/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D1259"/>
          <cell r="E1259"/>
          <cell r="F1259"/>
          <cell r="G1259"/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D1260"/>
          <cell r="E1260"/>
          <cell r="F1260"/>
          <cell r="G1260"/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D1261"/>
          <cell r="E1261"/>
          <cell r="F1261"/>
          <cell r="G1261"/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D1262"/>
          <cell r="E1262"/>
          <cell r="F1262"/>
          <cell r="G1262"/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D1263"/>
          <cell r="E1263"/>
          <cell r="F1263"/>
          <cell r="G1263"/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D1264"/>
          <cell r="E1264"/>
          <cell r="F1264"/>
          <cell r="G1264"/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D1265"/>
          <cell r="E1265"/>
          <cell r="F1265"/>
          <cell r="G1265"/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D1266"/>
          <cell r="E1266"/>
          <cell r="F1266"/>
          <cell r="G1266"/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D1267"/>
          <cell r="E1267"/>
          <cell r="F1267"/>
          <cell r="G1267"/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D1268"/>
          <cell r="E1268"/>
          <cell r="F1268"/>
          <cell r="G1268"/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D1269"/>
          <cell r="E1269"/>
          <cell r="F1269"/>
          <cell r="G1269"/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D1270"/>
          <cell r="E1270"/>
          <cell r="F1270"/>
          <cell r="G1270"/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D1271"/>
          <cell r="E1271"/>
          <cell r="F1271"/>
          <cell r="G1271"/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D1272"/>
          <cell r="E1272"/>
          <cell r="F1272"/>
          <cell r="G1272"/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D1273"/>
          <cell r="E1273"/>
          <cell r="F1273"/>
          <cell r="G1273"/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D1274"/>
          <cell r="E1274"/>
          <cell r="F1274"/>
          <cell r="G1274"/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D1275"/>
          <cell r="E1275"/>
          <cell r="F1275"/>
          <cell r="G1275"/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D1276"/>
          <cell r="E1276"/>
          <cell r="F1276"/>
          <cell r="G1276"/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D1277"/>
          <cell r="E1277"/>
          <cell r="F1277"/>
          <cell r="G1277"/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D1278"/>
          <cell r="E1278"/>
          <cell r="F1278"/>
          <cell r="G1278"/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D1279"/>
          <cell r="E1279"/>
          <cell r="F1279"/>
          <cell r="G1279"/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D1280"/>
          <cell r="E1280"/>
          <cell r="F1280"/>
          <cell r="G1280"/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D1281"/>
          <cell r="E1281"/>
          <cell r="F1281"/>
          <cell r="G1281"/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D1282"/>
          <cell r="E1282"/>
          <cell r="F1282"/>
          <cell r="G1282"/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D1283"/>
          <cell r="E1283"/>
          <cell r="F1283"/>
          <cell r="G1283"/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D1284"/>
          <cell r="E1284"/>
          <cell r="F1284"/>
          <cell r="G1284"/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D1285"/>
          <cell r="E1285"/>
          <cell r="F1285"/>
          <cell r="G1285"/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D1286"/>
          <cell r="E1286"/>
          <cell r="F1286"/>
          <cell r="G1286"/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D1287"/>
          <cell r="E1287"/>
          <cell r="F1287"/>
          <cell r="G1287"/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D1288"/>
          <cell r="E1288"/>
          <cell r="F1288"/>
          <cell r="G1288"/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D1289"/>
          <cell r="E1289"/>
          <cell r="F1289"/>
          <cell r="G1289"/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D1290"/>
          <cell r="E1290"/>
          <cell r="F1290"/>
          <cell r="G1290"/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D1291"/>
          <cell r="E1291"/>
          <cell r="F1291"/>
          <cell r="G1291"/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D1292"/>
          <cell r="E1292"/>
          <cell r="F1292"/>
          <cell r="G1292"/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D1293"/>
          <cell r="E1293"/>
          <cell r="F1293"/>
          <cell r="G1293"/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D1294"/>
          <cell r="E1294"/>
          <cell r="F1294"/>
          <cell r="G1294"/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D1295"/>
          <cell r="E1295"/>
          <cell r="F1295"/>
          <cell r="G1295"/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D1296"/>
          <cell r="E1296"/>
          <cell r="F1296"/>
          <cell r="G1296"/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D1297"/>
          <cell r="E1297"/>
          <cell r="F1297"/>
          <cell r="G1297"/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D1298"/>
          <cell r="E1298"/>
          <cell r="F1298"/>
          <cell r="G1298"/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D1299"/>
          <cell r="E1299"/>
          <cell r="F1299"/>
          <cell r="G1299"/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D1300"/>
          <cell r="E1300"/>
          <cell r="F1300"/>
          <cell r="G1300"/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D1301"/>
          <cell r="E1301"/>
          <cell r="F1301"/>
          <cell r="G1301"/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D1302"/>
          <cell r="E1302"/>
          <cell r="F1302"/>
          <cell r="G1302"/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D1303"/>
          <cell r="E1303"/>
          <cell r="F1303"/>
          <cell r="G1303"/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D1304"/>
          <cell r="E1304"/>
          <cell r="F1304"/>
          <cell r="G1304"/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D1305"/>
          <cell r="E1305"/>
          <cell r="F1305"/>
          <cell r="G1305"/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D1306"/>
          <cell r="E1306"/>
          <cell r="F1306"/>
          <cell r="G1306"/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D1307"/>
          <cell r="E1307"/>
          <cell r="F1307"/>
          <cell r="G1307"/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D1308"/>
          <cell r="E1308"/>
          <cell r="F1308"/>
          <cell r="G1308"/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D1309"/>
          <cell r="E1309"/>
          <cell r="F1309"/>
          <cell r="G1309"/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D1310"/>
          <cell r="E1310"/>
          <cell r="F1310"/>
          <cell r="G1310"/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D1311"/>
          <cell r="E1311"/>
          <cell r="F1311"/>
          <cell r="G1311"/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D1312"/>
          <cell r="E1312"/>
          <cell r="F1312"/>
          <cell r="G1312"/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D1313"/>
          <cell r="E1313"/>
          <cell r="F1313"/>
          <cell r="G1313"/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D1314"/>
          <cell r="E1314"/>
          <cell r="F1314"/>
          <cell r="G1314"/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D1315"/>
          <cell r="E1315"/>
          <cell r="F1315"/>
          <cell r="G1315"/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D1316"/>
          <cell r="E1316"/>
          <cell r="F1316"/>
          <cell r="G1316"/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D1317"/>
          <cell r="E1317"/>
          <cell r="F1317"/>
          <cell r="G1317"/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D1318"/>
          <cell r="E1318"/>
          <cell r="F1318"/>
          <cell r="G1318"/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D1319"/>
          <cell r="E1319"/>
          <cell r="F1319"/>
          <cell r="G1319"/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D1320"/>
          <cell r="E1320"/>
          <cell r="F1320"/>
          <cell r="G1320"/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D1321"/>
          <cell r="E1321"/>
          <cell r="F1321"/>
          <cell r="G1321"/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D1322"/>
          <cell r="E1322"/>
          <cell r="F1322"/>
          <cell r="G1322"/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D1323"/>
          <cell r="E1323"/>
          <cell r="F1323"/>
          <cell r="G1323"/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D1324"/>
          <cell r="E1324"/>
          <cell r="F1324"/>
          <cell r="G1324"/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D1325"/>
          <cell r="E1325"/>
          <cell r="F1325"/>
          <cell r="G1325"/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D1326"/>
          <cell r="E1326"/>
          <cell r="F1326"/>
          <cell r="G1326"/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D1327"/>
          <cell r="E1327"/>
          <cell r="F1327"/>
          <cell r="G1327"/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D1328"/>
          <cell r="E1328"/>
          <cell r="F1328"/>
          <cell r="G1328"/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D1329"/>
          <cell r="E1329"/>
          <cell r="F1329"/>
          <cell r="G1329"/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D1330"/>
          <cell r="E1330"/>
          <cell r="F1330"/>
          <cell r="G1330"/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D1331"/>
          <cell r="E1331"/>
          <cell r="F1331"/>
          <cell r="G1331"/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D1332"/>
          <cell r="E1332"/>
          <cell r="F1332"/>
          <cell r="G1332"/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D1333"/>
          <cell r="E1333"/>
          <cell r="F1333"/>
          <cell r="G1333"/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D1334"/>
          <cell r="E1334"/>
          <cell r="F1334"/>
          <cell r="G1334"/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D1335"/>
          <cell r="E1335"/>
          <cell r="F1335"/>
          <cell r="G1335"/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D1336"/>
          <cell r="E1336"/>
          <cell r="F1336"/>
          <cell r="G1336"/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D1337"/>
          <cell r="E1337"/>
          <cell r="F1337"/>
          <cell r="G1337"/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D1338"/>
          <cell r="E1338"/>
          <cell r="F1338"/>
          <cell r="G1338"/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D1339"/>
          <cell r="E1339"/>
          <cell r="F1339"/>
          <cell r="G1339"/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D1340"/>
          <cell r="E1340"/>
          <cell r="F1340"/>
          <cell r="G1340"/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D1341"/>
          <cell r="E1341"/>
          <cell r="F1341"/>
          <cell r="G1341"/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D1342"/>
          <cell r="E1342"/>
          <cell r="F1342"/>
          <cell r="G1342"/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D1343"/>
          <cell r="E1343"/>
          <cell r="F1343"/>
          <cell r="G1343"/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D1344"/>
          <cell r="E1344"/>
          <cell r="F1344"/>
          <cell r="G1344"/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D1345"/>
          <cell r="E1345"/>
          <cell r="F1345"/>
          <cell r="G1345"/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D1346"/>
          <cell r="E1346"/>
          <cell r="F1346"/>
          <cell r="G1346"/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D1347"/>
          <cell r="E1347"/>
          <cell r="F1347"/>
          <cell r="G1347"/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D1348"/>
          <cell r="E1348"/>
          <cell r="F1348"/>
          <cell r="G1348"/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D1349"/>
          <cell r="E1349"/>
          <cell r="F1349"/>
          <cell r="G1349"/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D1350"/>
          <cell r="E1350"/>
          <cell r="F1350"/>
          <cell r="G1350"/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D1351"/>
          <cell r="E1351"/>
          <cell r="F1351"/>
          <cell r="G1351"/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D1352"/>
          <cell r="E1352"/>
          <cell r="F1352"/>
          <cell r="G1352"/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D1353"/>
          <cell r="E1353"/>
          <cell r="F1353"/>
          <cell r="G1353"/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D1354"/>
          <cell r="E1354"/>
          <cell r="F1354"/>
          <cell r="G1354"/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D1355"/>
          <cell r="E1355"/>
          <cell r="F1355"/>
          <cell r="G1355"/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D1356"/>
          <cell r="E1356"/>
          <cell r="F1356"/>
          <cell r="G1356"/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D1357"/>
          <cell r="E1357"/>
          <cell r="F1357"/>
          <cell r="G1357"/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D1358"/>
          <cell r="E1358"/>
          <cell r="F1358"/>
          <cell r="G1358"/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D1359"/>
          <cell r="E1359"/>
          <cell r="F1359"/>
          <cell r="G1359"/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D1360"/>
          <cell r="E1360"/>
          <cell r="F1360"/>
          <cell r="G1360"/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D1361"/>
          <cell r="E1361"/>
          <cell r="F1361"/>
          <cell r="G1361"/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D1362"/>
          <cell r="E1362"/>
          <cell r="F1362"/>
          <cell r="G1362"/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D1363"/>
          <cell r="E1363"/>
          <cell r="F1363"/>
          <cell r="G1363"/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D1364"/>
          <cell r="E1364"/>
          <cell r="F1364"/>
          <cell r="G1364"/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D1365"/>
          <cell r="E1365"/>
          <cell r="F1365"/>
          <cell r="G1365"/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D1366"/>
          <cell r="E1366"/>
          <cell r="F1366"/>
          <cell r="G1366"/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D1367"/>
          <cell r="E1367"/>
          <cell r="F1367"/>
          <cell r="G1367"/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D1368"/>
          <cell r="E1368"/>
          <cell r="F1368"/>
          <cell r="G1368"/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D1369"/>
          <cell r="E1369"/>
          <cell r="F1369"/>
          <cell r="G1369"/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D1370"/>
          <cell r="E1370"/>
          <cell r="F1370"/>
          <cell r="G1370"/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D1371"/>
          <cell r="E1371"/>
          <cell r="F1371"/>
          <cell r="G1371"/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D1372"/>
          <cell r="E1372"/>
          <cell r="F1372"/>
          <cell r="G1372"/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D1373"/>
          <cell r="E1373"/>
          <cell r="F1373"/>
          <cell r="G1373"/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D1374"/>
          <cell r="E1374"/>
          <cell r="F1374"/>
          <cell r="G1374"/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D1375"/>
          <cell r="E1375"/>
          <cell r="F1375"/>
          <cell r="G1375"/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D1376"/>
          <cell r="E1376"/>
          <cell r="F1376"/>
          <cell r="G1376"/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D1377"/>
          <cell r="E1377"/>
          <cell r="F1377"/>
          <cell r="G1377"/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D1378"/>
          <cell r="E1378"/>
          <cell r="F1378"/>
          <cell r="G1378"/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D1379"/>
          <cell r="E1379"/>
          <cell r="F1379"/>
          <cell r="G1379"/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D1380"/>
          <cell r="E1380"/>
          <cell r="F1380"/>
          <cell r="G1380"/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D1381"/>
          <cell r="E1381"/>
          <cell r="F1381"/>
          <cell r="G1381"/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D1382"/>
          <cell r="E1382"/>
          <cell r="F1382"/>
          <cell r="G1382"/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D1383"/>
          <cell r="E1383"/>
          <cell r="F1383"/>
          <cell r="G1383"/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D1384"/>
          <cell r="E1384"/>
          <cell r="F1384"/>
          <cell r="G1384"/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D1385"/>
          <cell r="E1385"/>
          <cell r="F1385"/>
          <cell r="G1385"/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D1386"/>
          <cell r="E1386"/>
          <cell r="F1386"/>
          <cell r="G1386"/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D1387"/>
          <cell r="E1387"/>
          <cell r="F1387"/>
          <cell r="G1387"/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D1388"/>
          <cell r="E1388"/>
          <cell r="F1388"/>
          <cell r="G1388"/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D1393"/>
          <cell r="E1393"/>
          <cell r="F1393"/>
          <cell r="G1393"/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D1394"/>
          <cell r="E1394"/>
          <cell r="F1394"/>
          <cell r="G1394"/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D1395"/>
          <cell r="E1395"/>
          <cell r="F1395"/>
          <cell r="G1395"/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D1396"/>
          <cell r="E1396"/>
          <cell r="F1396"/>
          <cell r="G1396"/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D1397"/>
          <cell r="E1397"/>
          <cell r="F1397"/>
          <cell r="G1397"/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D1398"/>
          <cell r="E1398"/>
          <cell r="F1398"/>
          <cell r="G1398"/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D1399"/>
          <cell r="E1399"/>
          <cell r="F1399"/>
          <cell r="G1399"/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  <cell r="K1400" t="str">
            <v>attack</v>
          </cell>
          <cell r="L1400" t="str">
            <v>攻撃タイプ</v>
          </cell>
          <cell r="M1400" t="str">
            <v>academia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  <cell r="K1401" t="str">
            <v>attack</v>
          </cell>
          <cell r="L1401" t="str">
            <v>攻撃タイプ</v>
          </cell>
          <cell r="M1401" t="str">
            <v>academia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  <cell r="K1402" t="str">
            <v>limitbreak</v>
          </cell>
          <cell r="L1402" t="str">
            <v>限界突破素材</v>
          </cell>
          <cell r="M1402" t="str">
            <v>unknown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  <cell r="K1403" t="str">
            <v>limitbreak</v>
          </cell>
          <cell r="L1403" t="str">
            <v>限界突破素材</v>
          </cell>
          <cell r="M1403" t="str">
            <v>unknown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  <cell r="K1404" t="str">
            <v>limitbreak</v>
          </cell>
          <cell r="L1404" t="str">
            <v>限界突破素材</v>
          </cell>
          <cell r="M1404" t="str">
            <v>unknown</v>
          </cell>
        </row>
        <row r="1405">
          <cell r="A1405">
            <v>1452</v>
          </cell>
          <cell r="B1405" t="str">
            <v>ja</v>
          </cell>
          <cell r="C1405" t="str">
            <v>メルセンヌR5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yellow</v>
          </cell>
          <cell r="I1405">
            <v>5</v>
          </cell>
          <cell r="J1405" t="str">
            <v>PremiumSSS</v>
          </cell>
          <cell r="K1405" t="str">
            <v>hp</v>
          </cell>
          <cell r="L1405" t="str">
            <v>体力タイプ</v>
          </cell>
          <cell r="M1405" t="str">
            <v>academia</v>
          </cell>
        </row>
        <row r="1406">
          <cell r="A1406">
            <v>1453</v>
          </cell>
          <cell r="B1406" t="str">
            <v>ja</v>
          </cell>
          <cell r="C1406" t="str">
            <v>メルセンヌR6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yellow</v>
          </cell>
          <cell r="I1406">
            <v>6</v>
          </cell>
          <cell r="J1406" t="str">
            <v>PremiumSSS</v>
          </cell>
          <cell r="K1406" t="str">
            <v>hp</v>
          </cell>
          <cell r="L1406" t="str">
            <v>体力タイプ</v>
          </cell>
          <cell r="M1406" t="str">
            <v>academia</v>
          </cell>
        </row>
        <row r="1407">
          <cell r="A1407">
            <v>1454</v>
          </cell>
          <cell r="B1407" t="str">
            <v>ja</v>
          </cell>
          <cell r="C1407" t="str">
            <v>ストレングス</v>
          </cell>
          <cell r="D1407" t="str">
            <v>未定</v>
          </cell>
          <cell r="E1407" t="str">
            <v>アリス</v>
          </cell>
          <cell r="F1407" t="str">
            <v>世界観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PremiumSSS</v>
          </cell>
          <cell r="K1407" t="str">
            <v>balance</v>
          </cell>
          <cell r="L1407" t="str">
            <v>バランスタイプ</v>
          </cell>
          <cell r="M1407" t="str">
            <v>god</v>
          </cell>
        </row>
        <row r="1408">
          <cell r="A1408">
            <v>1455</v>
          </cell>
          <cell r="B1408" t="str">
            <v>ja</v>
          </cell>
          <cell r="C1408" t="str">
            <v>豪毅なる征獣師 ストレングス</v>
          </cell>
          <cell r="D1408" t="str">
            <v>未定</v>
          </cell>
          <cell r="E1408" t="str">
            <v>アリス</v>
          </cell>
          <cell r="F1408" t="str">
            <v>世界観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PremiumSSS</v>
          </cell>
          <cell r="K1408" t="str">
            <v>balance</v>
          </cell>
          <cell r="L1408" t="str">
            <v>バランスタイプ</v>
          </cell>
          <cell r="M1408" t="str">
            <v>god</v>
          </cell>
        </row>
        <row r="1409">
          <cell r="A1409">
            <v>1456</v>
          </cell>
          <cell r="B1409" t="str">
            <v>ja</v>
          </cell>
          <cell r="C1409" t="str">
            <v>ネセバル</v>
          </cell>
          <cell r="D1409"/>
          <cell r="E1409"/>
          <cell r="F1409"/>
          <cell r="G1409"/>
          <cell r="H1409" t="str">
            <v>blue</v>
          </cell>
          <cell r="I1409">
            <v>5</v>
          </cell>
          <cell r="J1409" t="str">
            <v>PremiumSSw</v>
          </cell>
          <cell r="K1409" t="str">
            <v>attack</v>
          </cell>
          <cell r="L1409" t="str">
            <v>攻撃タイプ</v>
          </cell>
          <cell r="M1409" t="str">
            <v>hero</v>
          </cell>
        </row>
        <row r="1410">
          <cell r="A1410">
            <v>1457</v>
          </cell>
          <cell r="B1410" t="str">
            <v>ja</v>
          </cell>
          <cell r="C1410" t="str">
            <v>碧影の聖跡 ネセバル</v>
          </cell>
          <cell r="D1410"/>
          <cell r="E1410"/>
          <cell r="F1410"/>
          <cell r="G1410"/>
          <cell r="H1410" t="str">
            <v>blue</v>
          </cell>
          <cell r="I1410">
            <v>6</v>
          </cell>
          <cell r="J1410" t="str">
            <v>PremiumSSw</v>
          </cell>
          <cell r="K1410" t="str">
            <v>attack</v>
          </cell>
          <cell r="L1410" t="str">
            <v>攻撃タイプ</v>
          </cell>
          <cell r="M1410" t="str">
            <v>hero</v>
          </cell>
        </row>
        <row r="1411">
          <cell r="A1411">
            <v>1458</v>
          </cell>
          <cell r="B1411" t="str">
            <v>ja</v>
          </cell>
          <cell r="C1411" t="str">
            <v>diamond01</v>
          </cell>
          <cell r="D1411"/>
          <cell r="E1411"/>
          <cell r="F1411"/>
          <cell r="G1411"/>
          <cell r="H1411" t="str">
            <v>red</v>
          </cell>
          <cell r="I1411">
            <v>5</v>
          </cell>
          <cell r="J1411" t="str">
            <v>PremiumSS</v>
          </cell>
          <cell r="K1411" t="str">
            <v>attack</v>
          </cell>
          <cell r="L1411" t="str">
            <v>攻撃タイプ</v>
          </cell>
          <cell r="M1411" t="str">
            <v>human</v>
          </cell>
        </row>
        <row r="1412">
          <cell r="A1412">
            <v>1459</v>
          </cell>
          <cell r="B1412" t="str">
            <v>ja</v>
          </cell>
          <cell r="C1412" t="str">
            <v>diamond02</v>
          </cell>
          <cell r="D1412"/>
          <cell r="E1412"/>
          <cell r="F1412"/>
          <cell r="G1412"/>
          <cell r="H1412" t="str">
            <v>red</v>
          </cell>
          <cell r="I1412">
            <v>6</v>
          </cell>
          <cell r="J1412" t="str">
            <v>PremiumSS</v>
          </cell>
          <cell r="K1412" t="str">
            <v>attack</v>
          </cell>
          <cell r="L1412" t="str">
            <v>攻撃タイプ</v>
          </cell>
          <cell r="M1412" t="str">
            <v>human</v>
          </cell>
        </row>
        <row r="1413">
          <cell r="A1413">
            <v>1460</v>
          </cell>
          <cell r="B1413" t="str">
            <v>ja</v>
          </cell>
          <cell r="C1413" t="str">
            <v>opal01</v>
          </cell>
          <cell r="D1413"/>
          <cell r="E1413"/>
          <cell r="F1413"/>
          <cell r="G1413"/>
          <cell r="H1413" t="str">
            <v>blue</v>
          </cell>
          <cell r="I1413">
            <v>4</v>
          </cell>
          <cell r="J1413" t="str">
            <v>PremiumS</v>
          </cell>
          <cell r="K1413" t="str">
            <v>balance</v>
          </cell>
          <cell r="L1413" t="str">
            <v>バランスタイプ</v>
          </cell>
          <cell r="M1413" t="str">
            <v>human</v>
          </cell>
        </row>
        <row r="1414">
          <cell r="A1414">
            <v>1461</v>
          </cell>
          <cell r="B1414" t="str">
            <v>ja</v>
          </cell>
          <cell r="C1414" t="str">
            <v>opal02</v>
          </cell>
          <cell r="D1414"/>
          <cell r="E1414"/>
          <cell r="F1414"/>
          <cell r="G1414"/>
          <cell r="H1414" t="str">
            <v>blue</v>
          </cell>
          <cell r="I1414">
            <v>5</v>
          </cell>
          <cell r="J1414" t="str">
            <v>PremiumS</v>
          </cell>
          <cell r="K1414" t="str">
            <v>balance</v>
          </cell>
          <cell r="L1414" t="str">
            <v>バランスタイプ</v>
          </cell>
          <cell r="M1414" t="str">
            <v>human</v>
          </cell>
        </row>
        <row r="1415">
          <cell r="A1415">
            <v>1462</v>
          </cell>
          <cell r="B1415" t="str">
            <v>ja</v>
          </cell>
          <cell r="C1415" t="str">
            <v>ruby01</v>
          </cell>
          <cell r="D1415"/>
          <cell r="E1415"/>
          <cell r="F1415"/>
          <cell r="G1415"/>
          <cell r="H1415" t="str">
            <v>yellow</v>
          </cell>
          <cell r="I1415">
            <v>5</v>
          </cell>
          <cell r="J1415" t="str">
            <v>PremiumSS</v>
          </cell>
          <cell r="K1415" t="str">
            <v>technical</v>
          </cell>
          <cell r="L1415" t="str">
            <v>テクニカルタイプ</v>
          </cell>
          <cell r="M1415" t="str">
            <v>human</v>
          </cell>
        </row>
        <row r="1416">
          <cell r="A1416">
            <v>1463</v>
          </cell>
          <cell r="B1416" t="str">
            <v>ja</v>
          </cell>
          <cell r="C1416" t="str">
            <v>ruby02</v>
          </cell>
          <cell r="D1416"/>
          <cell r="E1416"/>
          <cell r="F1416"/>
          <cell r="G1416"/>
          <cell r="H1416" t="str">
            <v>yellow</v>
          </cell>
          <cell r="I1416">
            <v>6</v>
          </cell>
          <cell r="J1416" t="str">
            <v>PremiumSS</v>
          </cell>
          <cell r="K1416" t="str">
            <v>technical</v>
          </cell>
          <cell r="L1416" t="str">
            <v>テクニカルタイプ</v>
          </cell>
          <cell r="M1416" t="str">
            <v>human</v>
          </cell>
        </row>
        <row r="1417">
          <cell r="A1417">
            <v>1464</v>
          </cell>
          <cell r="B1417" t="str">
            <v>ja</v>
          </cell>
          <cell r="C1417" t="str">
            <v>garnet01</v>
          </cell>
          <cell r="D1417"/>
          <cell r="E1417"/>
          <cell r="F1417"/>
          <cell r="G1417"/>
          <cell r="H1417" t="str">
            <v>yellow</v>
          </cell>
          <cell r="I1417">
            <v>5</v>
          </cell>
          <cell r="J1417" t="str">
            <v>PremiumSS</v>
          </cell>
          <cell r="K1417" t="str">
            <v>hp</v>
          </cell>
          <cell r="L1417" t="str">
            <v>体力タイプ</v>
          </cell>
          <cell r="M1417" t="str">
            <v>human</v>
          </cell>
        </row>
        <row r="1418">
          <cell r="A1418">
            <v>1465</v>
          </cell>
          <cell r="B1418" t="str">
            <v>ja</v>
          </cell>
          <cell r="C1418" t="str">
            <v>garnet02</v>
          </cell>
          <cell r="D1418"/>
          <cell r="E1418"/>
          <cell r="F1418"/>
          <cell r="G1418"/>
          <cell r="H1418" t="str">
            <v>yellow</v>
          </cell>
          <cell r="I1418">
            <v>6</v>
          </cell>
          <cell r="J1418" t="str">
            <v>PremiumSS</v>
          </cell>
          <cell r="K1418" t="str">
            <v>hp</v>
          </cell>
          <cell r="L1418" t="str">
            <v>体力タイプ</v>
          </cell>
          <cell r="M1418" t="str">
            <v>human</v>
          </cell>
        </row>
        <row r="1419">
          <cell r="A1419">
            <v>1466</v>
          </cell>
          <cell r="B1419" t="str">
            <v>ja</v>
          </cell>
          <cell r="C1419" t="str">
            <v>sapphire01</v>
          </cell>
          <cell r="D1419"/>
          <cell r="E1419"/>
          <cell r="F1419"/>
          <cell r="G1419"/>
          <cell r="H1419" t="str">
            <v>blue</v>
          </cell>
          <cell r="I1419">
            <v>5</v>
          </cell>
          <cell r="J1419" t="str">
            <v>DropWizS</v>
          </cell>
          <cell r="K1419" t="str">
            <v>attack</v>
          </cell>
          <cell r="L1419" t="str">
            <v>攻撃タイプ</v>
          </cell>
          <cell r="M1419" t="str">
            <v>human</v>
          </cell>
        </row>
        <row r="1420">
          <cell r="A1420">
            <v>1467</v>
          </cell>
          <cell r="B1420" t="str">
            <v>ja</v>
          </cell>
          <cell r="C1420" t="str">
            <v>sapphire02</v>
          </cell>
          <cell r="D1420"/>
          <cell r="E1420"/>
          <cell r="F1420"/>
          <cell r="G1420"/>
          <cell r="H1420" t="str">
            <v>blue</v>
          </cell>
          <cell r="I1420">
            <v>6</v>
          </cell>
          <cell r="J1420" t="str">
            <v>DropWizS</v>
          </cell>
          <cell r="K1420" t="str">
            <v>attack</v>
          </cell>
          <cell r="L1420" t="str">
            <v>攻撃タイプ</v>
          </cell>
          <cell r="M1420" t="str">
            <v>human</v>
          </cell>
        </row>
        <row r="1421">
          <cell r="A1421">
            <v>1468</v>
          </cell>
          <cell r="B1421" t="str">
            <v>ja</v>
          </cell>
          <cell r="C1421" t="str">
            <v>emerald01</v>
          </cell>
          <cell r="D1421"/>
          <cell r="E1421"/>
          <cell r="F1421"/>
          <cell r="G1421"/>
          <cell r="H1421" t="str">
            <v>green</v>
          </cell>
          <cell r="I1421">
            <v>5</v>
          </cell>
          <cell r="J1421" t="str">
            <v>Drop2N</v>
          </cell>
          <cell r="K1421" t="str">
            <v>attack</v>
          </cell>
          <cell r="L1421" t="str">
            <v>攻撃タイプ</v>
          </cell>
          <cell r="M1421" t="str">
            <v>unknown</v>
          </cell>
        </row>
        <row r="1422">
          <cell r="A1422">
            <v>1469</v>
          </cell>
          <cell r="B1422" t="str">
            <v>ja</v>
          </cell>
          <cell r="C1422" t="str">
            <v>aquamarine01</v>
          </cell>
          <cell r="D1422"/>
          <cell r="E1422"/>
          <cell r="F1422"/>
          <cell r="G1422"/>
          <cell r="H1422" t="str">
            <v>yellow</v>
          </cell>
          <cell r="I1422">
            <v>5</v>
          </cell>
          <cell r="J1422" t="str">
            <v>Drop2N</v>
          </cell>
          <cell r="K1422" t="str">
            <v>technical</v>
          </cell>
          <cell r="L1422" t="str">
            <v>テクニカルタイプ</v>
          </cell>
          <cell r="M1422" t="str">
            <v>unknown</v>
          </cell>
        </row>
        <row r="1423">
          <cell r="A1423">
            <v>1470</v>
          </cell>
          <cell r="B1423" t="str">
            <v>ja</v>
          </cell>
          <cell r="C1423" t="str">
            <v>amethyst01</v>
          </cell>
          <cell r="D1423"/>
          <cell r="E1423"/>
          <cell r="F1423"/>
          <cell r="G1423"/>
          <cell r="H1423" t="str">
            <v>red</v>
          </cell>
          <cell r="I1423">
            <v>5</v>
          </cell>
          <cell r="J1423" t="str">
            <v>Drop2N</v>
          </cell>
          <cell r="K1423" t="str">
            <v>balance</v>
          </cell>
          <cell r="L1423" t="str">
            <v>バランスタイプ</v>
          </cell>
          <cell r="M1423" t="str">
            <v>unknown</v>
          </cell>
        </row>
        <row r="1424">
          <cell r="A1424">
            <v>1488</v>
          </cell>
          <cell r="B1424" t="str">
            <v>ja</v>
          </cell>
          <cell r="C1424" t="str">
            <v>バクR5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green</v>
          </cell>
          <cell r="I1424">
            <v>5</v>
          </cell>
          <cell r="J1424" t="str">
            <v>PremiumSSS</v>
          </cell>
          <cell r="K1424" t="str">
            <v>attack</v>
          </cell>
          <cell r="L1424" t="str">
            <v>攻撃タイプ</v>
          </cell>
          <cell r="M1424" t="str">
            <v>academia</v>
          </cell>
        </row>
        <row r="1425">
          <cell r="A1425">
            <v>1489</v>
          </cell>
          <cell r="B1425" t="str">
            <v>ja</v>
          </cell>
          <cell r="C1425" t="str">
            <v>バクR6</v>
          </cell>
          <cell r="D1425" t="str">
            <v>未定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green</v>
          </cell>
          <cell r="I1425">
            <v>6</v>
          </cell>
          <cell r="J1425" t="str">
            <v>PremiumSSS</v>
          </cell>
          <cell r="K1425" t="str">
            <v>attack</v>
          </cell>
          <cell r="L1425" t="str">
            <v>攻撃タイプ</v>
          </cell>
          <cell r="M1425" t="str">
            <v>academia</v>
          </cell>
        </row>
        <row r="1426">
          <cell r="A1426">
            <v>1504</v>
          </cell>
          <cell r="B1426" t="str">
            <v>ja</v>
          </cell>
          <cell r="C1426" t="str">
            <v>magenta01</v>
          </cell>
          <cell r="D1426"/>
          <cell r="E1426"/>
          <cell r="F1426"/>
          <cell r="G1426"/>
          <cell r="H1426" t="str">
            <v>red</v>
          </cell>
          <cell r="I1426">
            <v>1</v>
          </cell>
          <cell r="J1426" t="str">
            <v>Drop1T</v>
          </cell>
          <cell r="K1426" t="str">
            <v>balance</v>
          </cell>
          <cell r="L1426" t="str">
            <v>バランスタイプ</v>
          </cell>
          <cell r="M1426" t="str">
            <v>unknown</v>
          </cell>
        </row>
        <row r="1427">
          <cell r="A1427">
            <v>1505</v>
          </cell>
          <cell r="B1427" t="str">
            <v>ja</v>
          </cell>
          <cell r="C1427" t="str">
            <v>amber01</v>
          </cell>
          <cell r="D1427"/>
          <cell r="E1427"/>
          <cell r="F1427"/>
          <cell r="G1427"/>
          <cell r="H1427" t="str">
            <v>green</v>
          </cell>
          <cell r="I1427">
            <v>1</v>
          </cell>
          <cell r="J1427" t="str">
            <v>Drop1T</v>
          </cell>
          <cell r="K1427" t="str">
            <v>hp</v>
          </cell>
          <cell r="L1427" t="str">
            <v>体力タイプ</v>
          </cell>
          <cell r="M1427" t="str">
            <v>unknown</v>
          </cell>
        </row>
        <row r="1428">
          <cell r="A1428">
            <v>1506</v>
          </cell>
          <cell r="B1428" t="str">
            <v>ja</v>
          </cell>
          <cell r="C1428" t="str">
            <v>pumpkin01</v>
          </cell>
          <cell r="D1428"/>
          <cell r="E1428"/>
          <cell r="F1428"/>
          <cell r="G1428"/>
          <cell r="H1428" t="str">
            <v>yellow</v>
          </cell>
          <cell r="I1428">
            <v>2</v>
          </cell>
          <cell r="J1428" t="str">
            <v>Drop1S</v>
          </cell>
          <cell r="K1428" t="str">
            <v>attack</v>
          </cell>
          <cell r="L1428" t="str">
            <v>攻撃タイプ</v>
          </cell>
          <cell r="M1428" t="str">
            <v>unknown</v>
          </cell>
        </row>
        <row r="1429">
          <cell r="A1429">
            <v>1507</v>
          </cell>
          <cell r="B1429" t="str">
            <v>ja</v>
          </cell>
          <cell r="C1429" t="str">
            <v>rose01</v>
          </cell>
          <cell r="D1429"/>
          <cell r="E1429"/>
          <cell r="F1429"/>
          <cell r="G1429"/>
          <cell r="H1429" t="str">
            <v>blue</v>
          </cell>
          <cell r="I1429">
            <v>3</v>
          </cell>
          <cell r="J1429" t="str">
            <v>Drop2N</v>
          </cell>
          <cell r="K1429" t="str">
            <v>technical</v>
          </cell>
          <cell r="L1429" t="str">
            <v>テクニカルタイプ</v>
          </cell>
          <cell r="M1429" t="str">
            <v>unknown</v>
          </cell>
        </row>
        <row r="1430">
          <cell r="A1430">
            <v>1508</v>
          </cell>
          <cell r="B1430" t="str">
            <v>ja</v>
          </cell>
          <cell r="C1430" t="str">
            <v>burgundy01</v>
          </cell>
          <cell r="D1430"/>
          <cell r="E1430"/>
          <cell r="F1430"/>
          <cell r="G1430"/>
          <cell r="H1430" t="str">
            <v>red</v>
          </cell>
          <cell r="I1430">
            <v>4</v>
          </cell>
          <cell r="J1430" t="str">
            <v>Drop2N</v>
          </cell>
          <cell r="K1430" t="str">
            <v>balance</v>
          </cell>
          <cell r="L1430" t="str">
            <v>バランスタイプ</v>
          </cell>
          <cell r="M1430" t="str">
            <v>unknown</v>
          </cell>
        </row>
        <row r="1431">
          <cell r="A1431">
            <v>1509</v>
          </cell>
          <cell r="B1431" t="str">
            <v>ja</v>
          </cell>
          <cell r="C1431" t="str">
            <v>cyan01</v>
          </cell>
          <cell r="D1431"/>
          <cell r="E1431"/>
          <cell r="F1431"/>
          <cell r="G1431"/>
          <cell r="H1431" t="str">
            <v>green</v>
          </cell>
          <cell r="I1431">
            <v>5</v>
          </cell>
          <cell r="J1431" t="str">
            <v>Drop2N</v>
          </cell>
          <cell r="K1431" t="str">
            <v>hp</v>
          </cell>
          <cell r="L1431" t="str">
            <v>体力タイプ</v>
          </cell>
          <cell r="M1431" t="str">
            <v>god</v>
          </cell>
        </row>
        <row r="1432">
          <cell r="A1432">
            <v>1510</v>
          </cell>
          <cell r="B1432" t="str">
            <v>ja</v>
          </cell>
          <cell r="C1432" t="str">
            <v>scarlet01</v>
          </cell>
          <cell r="D1432"/>
          <cell r="E1432"/>
          <cell r="F1432"/>
          <cell r="G1432"/>
          <cell r="H1432" t="str">
            <v>yellow</v>
          </cell>
          <cell r="I1432">
            <v>4</v>
          </cell>
          <cell r="J1432" t="str">
            <v>DropWizS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1511</v>
          </cell>
          <cell r="B1433" t="str">
            <v>ja</v>
          </cell>
          <cell r="C1433" t="str">
            <v>scarlet02</v>
          </cell>
          <cell r="D1433"/>
          <cell r="E1433"/>
          <cell r="F1433"/>
          <cell r="G1433"/>
          <cell r="H1433" t="str">
            <v>yellow</v>
          </cell>
          <cell r="I1433">
            <v>5</v>
          </cell>
          <cell r="J1433" t="str">
            <v>DropWizS</v>
          </cell>
          <cell r="K1433" t="str">
            <v>balance</v>
          </cell>
          <cell r="L1433" t="str">
            <v>バランスタイプ</v>
          </cell>
          <cell r="M1433" t="str">
            <v>god</v>
          </cell>
        </row>
        <row r="1434">
          <cell r="A1434">
            <v>1512</v>
          </cell>
          <cell r="B1434" t="str">
            <v>ja</v>
          </cell>
          <cell r="C1434" t="str">
            <v>scarlet03</v>
          </cell>
          <cell r="D1434"/>
          <cell r="E1434"/>
          <cell r="F1434"/>
          <cell r="G1434"/>
          <cell r="H1434" t="str">
            <v>yellow</v>
          </cell>
          <cell r="I1434">
            <v>6</v>
          </cell>
          <cell r="J1434" t="str">
            <v>DropWizS</v>
          </cell>
          <cell r="K1434" t="str">
            <v>balance</v>
          </cell>
          <cell r="L1434" t="str">
            <v>バランスタイプ</v>
          </cell>
          <cell r="M1434" t="str">
            <v>god</v>
          </cell>
        </row>
        <row r="1435">
          <cell r="A1435">
            <v>1513</v>
          </cell>
          <cell r="B1435" t="str">
            <v>ja</v>
          </cell>
          <cell r="C1435" t="str">
            <v>gold01</v>
          </cell>
          <cell r="D1435"/>
          <cell r="E1435"/>
          <cell r="F1435"/>
          <cell r="G1435"/>
          <cell r="H1435" t="str">
            <v>yellow</v>
          </cell>
          <cell r="I1435">
            <v>4</v>
          </cell>
          <cell r="J1435" t="str">
            <v>Material</v>
          </cell>
          <cell r="K1435" t="str">
            <v>coin</v>
          </cell>
          <cell r="L1435" t="str">
            <v>コインタイプ</v>
          </cell>
          <cell r="M1435" t="str">
            <v>unknown</v>
          </cell>
        </row>
        <row r="1436">
          <cell r="A1436">
            <v>1514</v>
          </cell>
          <cell r="B1436" t="str">
            <v>ja</v>
          </cell>
          <cell r="C1436" t="str">
            <v>gold02</v>
          </cell>
          <cell r="D1436"/>
          <cell r="E1436"/>
          <cell r="F1436"/>
          <cell r="G1436"/>
          <cell r="H1436" t="str">
            <v>yellow</v>
          </cell>
          <cell r="I1436">
            <v>5</v>
          </cell>
          <cell r="J1436" t="str">
            <v>Material</v>
          </cell>
          <cell r="K1436" t="str">
            <v>coin</v>
          </cell>
          <cell r="L1436" t="str">
            <v>コインタイプ</v>
          </cell>
          <cell r="M1436" t="str">
            <v>unknown</v>
          </cell>
        </row>
        <row r="1437">
          <cell r="A1437">
            <v>1515</v>
          </cell>
          <cell r="B1437" t="str">
            <v>ja</v>
          </cell>
          <cell r="C1437" t="str">
            <v>red01</v>
          </cell>
          <cell r="D1437"/>
          <cell r="E1437"/>
          <cell r="F1437"/>
          <cell r="G1437"/>
          <cell r="H1437" t="str">
            <v>red</v>
          </cell>
          <cell r="I1437">
            <v>4</v>
          </cell>
          <cell r="J1437" t="str">
            <v>Material</v>
          </cell>
          <cell r="K1437" t="str">
            <v>exp</v>
          </cell>
          <cell r="L1437" t="str">
            <v>強化素材タイプ</v>
          </cell>
          <cell r="M1437" t="str">
            <v>unknown</v>
          </cell>
        </row>
        <row r="1438">
          <cell r="A1438">
            <v>1516</v>
          </cell>
          <cell r="B1438" t="str">
            <v>ja</v>
          </cell>
          <cell r="C1438" t="str">
            <v>red02</v>
          </cell>
          <cell r="D1438"/>
          <cell r="E1438"/>
          <cell r="F1438"/>
          <cell r="G1438"/>
          <cell r="H1438" t="str">
            <v>red</v>
          </cell>
          <cell r="I1438">
            <v>5</v>
          </cell>
          <cell r="J1438" t="str">
            <v>Material</v>
          </cell>
          <cell r="K1438" t="str">
            <v>exp</v>
          </cell>
          <cell r="L1438" t="str">
            <v>強化素材タイプ</v>
          </cell>
          <cell r="M1438" t="str">
            <v>unknown</v>
          </cell>
        </row>
        <row r="1439">
          <cell r="A1439">
            <v>1517</v>
          </cell>
          <cell r="B1439" t="str">
            <v>ja</v>
          </cell>
          <cell r="C1439" t="str">
            <v>blue01</v>
          </cell>
          <cell r="D1439"/>
          <cell r="E1439"/>
          <cell r="F1439"/>
          <cell r="G1439"/>
          <cell r="H1439" t="str">
            <v>blue</v>
          </cell>
          <cell r="I1439">
            <v>4</v>
          </cell>
          <cell r="J1439" t="str">
            <v>Material</v>
          </cell>
          <cell r="K1439" t="str">
            <v>exp</v>
          </cell>
          <cell r="L1439" t="str">
            <v>強化素材タイプ</v>
          </cell>
          <cell r="M1439" t="str">
            <v>unknown</v>
          </cell>
        </row>
        <row r="1440">
          <cell r="A1440">
            <v>1518</v>
          </cell>
          <cell r="B1440" t="str">
            <v>ja</v>
          </cell>
          <cell r="C1440" t="str">
            <v>blue02</v>
          </cell>
          <cell r="D1440"/>
          <cell r="E1440"/>
          <cell r="F1440"/>
          <cell r="G1440"/>
          <cell r="H1440" t="str">
            <v>blue</v>
          </cell>
          <cell r="I1440">
            <v>5</v>
          </cell>
          <cell r="J1440" t="str">
            <v>Material</v>
          </cell>
          <cell r="K1440" t="str">
            <v>exp</v>
          </cell>
          <cell r="L1440" t="str">
            <v>強化素材タイプ</v>
          </cell>
          <cell r="M1440" t="str">
            <v>unknown</v>
          </cell>
        </row>
        <row r="1441">
          <cell r="A1441">
            <v>1519</v>
          </cell>
          <cell r="B1441" t="str">
            <v>ja</v>
          </cell>
          <cell r="C1441" t="str">
            <v>green01</v>
          </cell>
          <cell r="D1441"/>
          <cell r="E1441"/>
          <cell r="F1441"/>
          <cell r="G1441"/>
          <cell r="H1441" t="str">
            <v>green</v>
          </cell>
          <cell r="I1441">
            <v>4</v>
          </cell>
          <cell r="J1441" t="str">
            <v>Material</v>
          </cell>
          <cell r="K1441" t="str">
            <v>exp</v>
          </cell>
          <cell r="L1441" t="str">
            <v>強化素材タイプ</v>
          </cell>
          <cell r="M1441" t="str">
            <v>unknown</v>
          </cell>
        </row>
        <row r="1442">
          <cell r="A1442">
            <v>1520</v>
          </cell>
          <cell r="B1442" t="str">
            <v>ja</v>
          </cell>
          <cell r="C1442" t="str">
            <v>green02</v>
          </cell>
          <cell r="D1442"/>
          <cell r="E1442"/>
          <cell r="F1442"/>
          <cell r="G1442"/>
          <cell r="H1442" t="str">
            <v>green</v>
          </cell>
          <cell r="I1442">
            <v>5</v>
          </cell>
          <cell r="J1442" t="str">
            <v>Material</v>
          </cell>
          <cell r="K1442" t="str">
            <v>exp</v>
          </cell>
          <cell r="L1442" t="str">
            <v>強化素材タイプ</v>
          </cell>
          <cell r="M1442" t="str">
            <v>unknown</v>
          </cell>
        </row>
        <row r="1443">
          <cell r="A1443">
            <v>1521</v>
          </cell>
          <cell r="B1443" t="str">
            <v>ja</v>
          </cell>
          <cell r="C1443" t="str">
            <v>yellow01</v>
          </cell>
          <cell r="D1443"/>
          <cell r="E1443"/>
          <cell r="F1443"/>
          <cell r="G1443"/>
          <cell r="H1443" t="str">
            <v>yellow</v>
          </cell>
          <cell r="I1443">
            <v>4</v>
          </cell>
          <cell r="J1443" t="str">
            <v>Material</v>
          </cell>
          <cell r="K1443" t="str">
            <v>exp</v>
          </cell>
          <cell r="L1443" t="str">
            <v>強化素材タイプ</v>
          </cell>
          <cell r="M1443" t="str">
            <v>unknown</v>
          </cell>
        </row>
        <row r="1444">
          <cell r="A1444">
            <v>1522</v>
          </cell>
          <cell r="B1444" t="str">
            <v>ja</v>
          </cell>
          <cell r="C1444" t="str">
            <v>yellow02</v>
          </cell>
          <cell r="D1444"/>
          <cell r="E1444"/>
          <cell r="F1444"/>
          <cell r="G1444"/>
          <cell r="H1444" t="str">
            <v>yellow</v>
          </cell>
          <cell r="I1444">
            <v>5</v>
          </cell>
          <cell r="J1444" t="str">
            <v>Material</v>
          </cell>
          <cell r="K1444" t="str">
            <v>exp</v>
          </cell>
          <cell r="L1444" t="str">
            <v>強化素材タイプ</v>
          </cell>
          <cell r="M1444" t="str">
            <v>unknown</v>
          </cell>
        </row>
        <row r="1445">
          <cell r="A1445">
            <v>1523</v>
          </cell>
          <cell r="B1445" t="str">
            <v>ja</v>
          </cell>
          <cell r="C1445" t="str">
            <v>olive01</v>
          </cell>
          <cell r="D1445"/>
          <cell r="E1445"/>
          <cell r="F1445"/>
          <cell r="G1445"/>
          <cell r="H1445" t="str">
            <v>blue</v>
          </cell>
          <cell r="I1445">
            <v>5</v>
          </cell>
          <cell r="J1445" t="str">
            <v>DropWizS</v>
          </cell>
          <cell r="K1445" t="str">
            <v>technical</v>
          </cell>
          <cell r="L1445" t="str">
            <v>テクニカルタイプ</v>
          </cell>
          <cell r="M1445" t="str">
            <v>animal</v>
          </cell>
        </row>
        <row r="1446">
          <cell r="A1446">
            <v>1524</v>
          </cell>
          <cell r="B1446" t="str">
            <v>ja</v>
          </cell>
          <cell r="C1446" t="str">
            <v>olive02</v>
          </cell>
          <cell r="D1446"/>
          <cell r="E1446"/>
          <cell r="F1446"/>
          <cell r="G1446"/>
          <cell r="H1446" t="str">
            <v>blue</v>
          </cell>
          <cell r="I1446">
            <v>6</v>
          </cell>
          <cell r="J1446" t="str">
            <v>DropWizS</v>
          </cell>
          <cell r="K1446" t="str">
            <v>technical</v>
          </cell>
          <cell r="L1446" t="str">
            <v>テクニカルタイプ</v>
          </cell>
          <cell r="M1446" t="str">
            <v>animal</v>
          </cell>
        </row>
        <row r="1447">
          <cell r="A1447">
            <v>1525</v>
          </cell>
          <cell r="B1447" t="str">
            <v>ja</v>
          </cell>
          <cell r="C1447" t="str">
            <v>white01</v>
          </cell>
          <cell r="D1447"/>
          <cell r="E1447"/>
          <cell r="F1447"/>
          <cell r="G1447"/>
          <cell r="H1447" t="str">
            <v>red</v>
          </cell>
          <cell r="I1447">
            <v>5</v>
          </cell>
          <cell r="J1447" t="str">
            <v>DropWizSS</v>
          </cell>
          <cell r="K1447" t="str">
            <v>attack</v>
          </cell>
          <cell r="L1447" t="str">
            <v>攻撃タイプ</v>
          </cell>
          <cell r="M1447" t="str">
            <v>animal</v>
          </cell>
        </row>
        <row r="1448">
          <cell r="A1448">
            <v>1526</v>
          </cell>
          <cell r="B1448" t="str">
            <v>ja</v>
          </cell>
          <cell r="C1448" t="str">
            <v>white02</v>
          </cell>
          <cell r="D1448"/>
          <cell r="E1448"/>
          <cell r="F1448"/>
          <cell r="G1448"/>
          <cell r="H1448" t="str">
            <v>red</v>
          </cell>
          <cell r="I1448">
            <v>6</v>
          </cell>
          <cell r="J1448" t="str">
            <v>DropWizSS</v>
          </cell>
          <cell r="K1448" t="str">
            <v>attack</v>
          </cell>
          <cell r="L1448" t="str">
            <v>攻撃タイプ</v>
          </cell>
          <cell r="M1448" t="str">
            <v>animal</v>
          </cell>
        </row>
        <row r="1449">
          <cell r="A1449">
            <v>1527</v>
          </cell>
          <cell r="B1449" t="str">
            <v>ja</v>
          </cell>
          <cell r="C1449" t="str">
            <v>violet01</v>
          </cell>
          <cell r="D1449"/>
          <cell r="E1449"/>
          <cell r="F1449"/>
          <cell r="G1449"/>
          <cell r="H1449" t="str">
            <v>red</v>
          </cell>
          <cell r="I1449">
            <v>4</v>
          </cell>
          <cell r="J1449" t="str">
            <v>PremiumS</v>
          </cell>
          <cell r="K1449" t="str">
            <v>attack</v>
          </cell>
          <cell r="L1449" t="str">
            <v>攻撃タイプ</v>
          </cell>
          <cell r="M1449" t="str">
            <v>animal</v>
          </cell>
        </row>
        <row r="1450">
          <cell r="A1450">
            <v>1528</v>
          </cell>
          <cell r="B1450" t="str">
            <v>ja</v>
          </cell>
          <cell r="C1450" t="str">
            <v>violet02</v>
          </cell>
          <cell r="D1450"/>
          <cell r="E1450"/>
          <cell r="F1450"/>
          <cell r="G1450"/>
          <cell r="H1450" t="str">
            <v>red</v>
          </cell>
          <cell r="I1450">
            <v>5</v>
          </cell>
          <cell r="J1450" t="str">
            <v>PremiumS</v>
          </cell>
          <cell r="K1450" t="str">
            <v>attack</v>
          </cell>
          <cell r="L1450" t="str">
            <v>攻撃タイプ</v>
          </cell>
          <cell r="M1450" t="str">
            <v>animal</v>
          </cell>
        </row>
        <row r="1451">
          <cell r="A1451">
            <v>1529</v>
          </cell>
          <cell r="B1451" t="str">
            <v>ja</v>
          </cell>
          <cell r="C1451" t="str">
            <v>mint01</v>
          </cell>
          <cell r="D1451"/>
          <cell r="E1451"/>
          <cell r="F1451"/>
          <cell r="G1451"/>
          <cell r="H1451" t="str">
            <v>blue</v>
          </cell>
          <cell r="I1451">
            <v>4</v>
          </cell>
          <cell r="J1451" t="str">
            <v>PremiumS</v>
          </cell>
          <cell r="K1451" t="str">
            <v>balance</v>
          </cell>
          <cell r="L1451" t="str">
            <v>バランスタイプ</v>
          </cell>
          <cell r="M1451" t="str">
            <v>unknown</v>
          </cell>
        </row>
        <row r="1452">
          <cell r="A1452">
            <v>1530</v>
          </cell>
          <cell r="B1452" t="str">
            <v>ja</v>
          </cell>
          <cell r="C1452" t="str">
            <v>mint02</v>
          </cell>
          <cell r="D1452"/>
          <cell r="E1452"/>
          <cell r="F1452"/>
          <cell r="G1452"/>
          <cell r="H1452" t="str">
            <v>blue</v>
          </cell>
          <cell r="I1452">
            <v>5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unknown</v>
          </cell>
        </row>
        <row r="1453">
          <cell r="A1453">
            <v>1531</v>
          </cell>
          <cell r="B1453" t="str">
            <v>ja</v>
          </cell>
          <cell r="C1453" t="str">
            <v>gray01</v>
          </cell>
          <cell r="D1453"/>
          <cell r="E1453"/>
          <cell r="F1453"/>
          <cell r="G1453"/>
          <cell r="H1453" t="str">
            <v>green</v>
          </cell>
          <cell r="I1453">
            <v>4</v>
          </cell>
          <cell r="J1453" t="str">
            <v>PremiumS</v>
          </cell>
          <cell r="K1453" t="str">
            <v>technical</v>
          </cell>
          <cell r="L1453" t="str">
            <v>テクニカルタイプ</v>
          </cell>
          <cell r="M1453" t="str">
            <v>animal</v>
          </cell>
        </row>
        <row r="1454">
          <cell r="A1454">
            <v>1532</v>
          </cell>
          <cell r="B1454" t="str">
            <v>ja</v>
          </cell>
          <cell r="C1454" t="str">
            <v>gray02</v>
          </cell>
          <cell r="D1454"/>
          <cell r="E1454"/>
          <cell r="F1454"/>
          <cell r="G1454"/>
          <cell r="H1454" t="str">
            <v>green</v>
          </cell>
          <cell r="I1454">
            <v>5</v>
          </cell>
          <cell r="J1454" t="str">
            <v>PremiumS</v>
          </cell>
          <cell r="K1454" t="str">
            <v>technical</v>
          </cell>
          <cell r="L1454" t="str">
            <v>テクニカルタイプ</v>
          </cell>
          <cell r="M1454" t="str">
            <v>animal</v>
          </cell>
        </row>
        <row r="1455">
          <cell r="A1455">
            <v>1533</v>
          </cell>
          <cell r="B1455" t="str">
            <v>ja</v>
          </cell>
          <cell r="C1455" t="str">
            <v>maroon01</v>
          </cell>
          <cell r="D1455"/>
          <cell r="E1455"/>
          <cell r="F1455"/>
          <cell r="G1455"/>
          <cell r="H1455" t="str">
            <v>yellow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animal</v>
          </cell>
        </row>
        <row r="1456">
          <cell r="A1456">
            <v>1534</v>
          </cell>
          <cell r="B1456" t="str">
            <v>ja</v>
          </cell>
          <cell r="C1456" t="str">
            <v>maroon02</v>
          </cell>
          <cell r="D1456"/>
          <cell r="E1456"/>
          <cell r="F1456"/>
          <cell r="G1456"/>
          <cell r="H1456" t="str">
            <v>yellow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animal</v>
          </cell>
        </row>
        <row r="1457">
          <cell r="A1457">
            <v>1535</v>
          </cell>
          <cell r="B1457" t="str">
            <v>ja</v>
          </cell>
          <cell r="C1457" t="str">
            <v>pink01</v>
          </cell>
          <cell r="D1457"/>
          <cell r="E1457"/>
          <cell r="F1457"/>
          <cell r="G1457"/>
          <cell r="H1457" t="str">
            <v>red</v>
          </cell>
          <cell r="I1457">
            <v>5</v>
          </cell>
          <cell r="J1457" t="str">
            <v>PremiumSS</v>
          </cell>
          <cell r="K1457" t="str">
            <v>technical</v>
          </cell>
          <cell r="L1457" t="str">
            <v>テクニカルタイプ</v>
          </cell>
          <cell r="M1457" t="str">
            <v>god</v>
          </cell>
        </row>
        <row r="1458">
          <cell r="A1458">
            <v>1536</v>
          </cell>
          <cell r="B1458" t="str">
            <v>ja</v>
          </cell>
          <cell r="C1458" t="str">
            <v>pink02</v>
          </cell>
          <cell r="D1458"/>
          <cell r="E1458"/>
          <cell r="F1458"/>
          <cell r="G1458"/>
          <cell r="H1458" t="str">
            <v>red</v>
          </cell>
          <cell r="I1458">
            <v>6</v>
          </cell>
          <cell r="J1458" t="str">
            <v>PremiumSS</v>
          </cell>
          <cell r="K1458" t="str">
            <v>technical</v>
          </cell>
          <cell r="L1458" t="str">
            <v>テクニカルタイプ</v>
          </cell>
          <cell r="M1458" t="str">
            <v>god</v>
          </cell>
        </row>
        <row r="1459">
          <cell r="A1459">
            <v>1537</v>
          </cell>
          <cell r="B1459" t="str">
            <v>ja</v>
          </cell>
          <cell r="C1459" t="str">
            <v>black01</v>
          </cell>
          <cell r="D1459"/>
          <cell r="E1459"/>
          <cell r="F1459"/>
          <cell r="G1459"/>
          <cell r="H1459" t="str">
            <v>blue</v>
          </cell>
          <cell r="I1459">
            <v>5</v>
          </cell>
          <cell r="J1459" t="str">
            <v>PremiumSSS</v>
          </cell>
          <cell r="K1459" t="str">
            <v>attack</v>
          </cell>
          <cell r="L1459" t="str">
            <v>攻撃タイプ</v>
          </cell>
          <cell r="M1459" t="str">
            <v>unknown</v>
          </cell>
        </row>
        <row r="1460">
          <cell r="A1460">
            <v>1538</v>
          </cell>
          <cell r="B1460" t="str">
            <v>ja</v>
          </cell>
          <cell r="C1460" t="str">
            <v>black02</v>
          </cell>
          <cell r="D1460"/>
          <cell r="E1460"/>
          <cell r="F1460"/>
          <cell r="G1460"/>
          <cell r="H1460" t="str">
            <v>blue</v>
          </cell>
          <cell r="I1460">
            <v>6</v>
          </cell>
          <cell r="J1460" t="str">
            <v>PremiumSSS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1539</v>
          </cell>
          <cell r="B1461" t="str">
            <v>ja</v>
          </cell>
          <cell r="C1461" t="str">
            <v>brown01</v>
          </cell>
          <cell r="D1461"/>
          <cell r="E1461"/>
          <cell r="F1461"/>
          <cell r="G1461"/>
          <cell r="H1461" t="str">
            <v>yellow</v>
          </cell>
          <cell r="I1461">
            <v>5</v>
          </cell>
          <cell r="J1461" t="str">
            <v>PremiumSS</v>
          </cell>
          <cell r="K1461" t="str">
            <v>attack</v>
          </cell>
          <cell r="L1461" t="str">
            <v>攻撃タイプ</v>
          </cell>
          <cell r="M1461" t="str">
            <v>god</v>
          </cell>
        </row>
        <row r="1462">
          <cell r="A1462">
            <v>1540</v>
          </cell>
          <cell r="B1462" t="str">
            <v>ja</v>
          </cell>
          <cell r="C1462" t="str">
            <v>brown02</v>
          </cell>
          <cell r="D1462"/>
          <cell r="E1462"/>
          <cell r="F1462"/>
          <cell r="G1462"/>
          <cell r="H1462" t="str">
            <v>yellow</v>
          </cell>
          <cell r="I1462">
            <v>6</v>
          </cell>
          <cell r="J1462" t="str">
            <v>PremiumSS</v>
          </cell>
          <cell r="K1462" t="str">
            <v>attack</v>
          </cell>
          <cell r="L1462" t="str">
            <v>攻撃タイプ</v>
          </cell>
          <cell r="M1462" t="str">
            <v>god</v>
          </cell>
        </row>
        <row r="1463">
          <cell r="A1463">
            <v>1541</v>
          </cell>
          <cell r="B1463" t="str">
            <v>ja</v>
          </cell>
          <cell r="C1463" t="str">
            <v>purple01</v>
          </cell>
          <cell r="D1463"/>
          <cell r="E1463"/>
          <cell r="F1463"/>
          <cell r="G1463"/>
          <cell r="H1463" t="str">
            <v>red</v>
          </cell>
          <cell r="I1463">
            <v>5</v>
          </cell>
          <cell r="J1463" t="str">
            <v>PremiumSSS</v>
          </cell>
          <cell r="K1463" t="str">
            <v>technical</v>
          </cell>
          <cell r="L1463" t="str">
            <v>テクニカルタイプ</v>
          </cell>
          <cell r="M1463" t="str">
            <v>god</v>
          </cell>
        </row>
        <row r="1464">
          <cell r="A1464">
            <v>1542</v>
          </cell>
          <cell r="B1464" t="str">
            <v>ja</v>
          </cell>
          <cell r="C1464" t="str">
            <v>purple02</v>
          </cell>
          <cell r="D1464"/>
          <cell r="E1464"/>
          <cell r="F1464"/>
          <cell r="G1464"/>
          <cell r="H1464" t="str">
            <v>red</v>
          </cell>
          <cell r="I1464">
            <v>6</v>
          </cell>
          <cell r="J1464" t="str">
            <v>PremiumSSS</v>
          </cell>
          <cell r="K1464" t="str">
            <v>technical</v>
          </cell>
          <cell r="L1464" t="str">
            <v>テクニカルタイプ</v>
          </cell>
          <cell r="M1464" t="str">
            <v>god</v>
          </cell>
        </row>
        <row r="1465">
          <cell r="A1465">
            <v>1543</v>
          </cell>
          <cell r="B1465" t="str">
            <v>ja</v>
          </cell>
          <cell r="C1465" t="str">
            <v>vanilla01</v>
          </cell>
          <cell r="D1465"/>
          <cell r="E1465"/>
          <cell r="F1465"/>
          <cell r="G1465"/>
          <cell r="H1465" t="str">
            <v>red</v>
          </cell>
          <cell r="I1465">
            <v>5</v>
          </cell>
          <cell r="J1465" t="str">
            <v>PremiumSS</v>
          </cell>
          <cell r="K1465" t="str">
            <v>balance</v>
          </cell>
          <cell r="L1465" t="str">
            <v>バランスタイプ</v>
          </cell>
          <cell r="M1465" t="str">
            <v>hero</v>
          </cell>
        </row>
        <row r="1466">
          <cell r="A1466">
            <v>1544</v>
          </cell>
          <cell r="B1466" t="str">
            <v>ja</v>
          </cell>
          <cell r="C1466" t="str">
            <v>vanilla02</v>
          </cell>
          <cell r="D1466"/>
          <cell r="E1466"/>
          <cell r="F1466"/>
          <cell r="G1466"/>
          <cell r="H1466" t="str">
            <v>red</v>
          </cell>
          <cell r="I1466">
            <v>6</v>
          </cell>
          <cell r="J1466" t="str">
            <v>PremiumSS</v>
          </cell>
          <cell r="K1466" t="str">
            <v>balance</v>
          </cell>
          <cell r="L1466" t="str">
            <v>バランスタイプ</v>
          </cell>
          <cell r="M1466" t="str">
            <v>hero</v>
          </cell>
        </row>
        <row r="1467">
          <cell r="A1467">
            <v>1545</v>
          </cell>
          <cell r="B1467" t="str">
            <v>ja</v>
          </cell>
          <cell r="C1467" t="str">
            <v>silver01</v>
          </cell>
          <cell r="D1467"/>
          <cell r="E1467"/>
          <cell r="F1467"/>
          <cell r="G1467"/>
          <cell r="H1467" t="str">
            <v>green</v>
          </cell>
          <cell r="I1467">
            <v>5</v>
          </cell>
          <cell r="J1467" t="str">
            <v>PremiumSS</v>
          </cell>
          <cell r="K1467" t="str">
            <v>hp</v>
          </cell>
          <cell r="L1467" t="str">
            <v>体力タイプ</v>
          </cell>
          <cell r="M1467" t="str">
            <v>unknown</v>
          </cell>
        </row>
        <row r="1468">
          <cell r="A1468">
            <v>1546</v>
          </cell>
          <cell r="B1468" t="str">
            <v>ja</v>
          </cell>
          <cell r="C1468" t="str">
            <v>silver02</v>
          </cell>
          <cell r="D1468"/>
          <cell r="E1468"/>
          <cell r="F1468"/>
          <cell r="G1468"/>
          <cell r="H1468" t="str">
            <v>green</v>
          </cell>
          <cell r="I1468">
            <v>6</v>
          </cell>
          <cell r="J1468" t="str">
            <v>PremiumSS</v>
          </cell>
          <cell r="K1468" t="str">
            <v>hp</v>
          </cell>
          <cell r="L1468" t="str">
            <v>体力タイプ</v>
          </cell>
          <cell r="M1468" t="str">
            <v>unknown</v>
          </cell>
        </row>
        <row r="1469">
          <cell r="A1469">
            <v>1547</v>
          </cell>
          <cell r="B1469" t="str">
            <v>ja</v>
          </cell>
          <cell r="C1469" t="str">
            <v>mauve01</v>
          </cell>
          <cell r="D1469"/>
          <cell r="E1469"/>
          <cell r="F1469"/>
          <cell r="G1469"/>
          <cell r="H1469" t="str">
            <v>green</v>
          </cell>
          <cell r="I1469">
            <v>4</v>
          </cell>
          <cell r="J1469" t="str">
            <v>Drop2N</v>
          </cell>
          <cell r="K1469" t="str">
            <v>hp</v>
          </cell>
          <cell r="L1469" t="str">
            <v>体力タイプ</v>
          </cell>
          <cell r="M1469" t="str">
            <v>animal</v>
          </cell>
        </row>
        <row r="1470">
          <cell r="A1470">
            <v>1548</v>
          </cell>
          <cell r="B1470" t="str">
            <v>ja</v>
          </cell>
          <cell r="C1470" t="str">
            <v>mauve02</v>
          </cell>
          <cell r="D1470"/>
          <cell r="E1470"/>
          <cell r="F1470"/>
          <cell r="G1470"/>
          <cell r="H1470" t="str">
            <v>green</v>
          </cell>
          <cell r="I1470">
            <v>5</v>
          </cell>
          <cell r="J1470" t="str">
            <v>Drop2N</v>
          </cell>
          <cell r="K1470" t="str">
            <v>hp</v>
          </cell>
          <cell r="L1470" t="str">
            <v>体力タイプ</v>
          </cell>
          <cell r="M1470" t="str">
            <v>animal</v>
          </cell>
        </row>
        <row r="1471">
          <cell r="A1471">
            <v>1549</v>
          </cell>
          <cell r="B1471" t="str">
            <v>ja</v>
          </cell>
          <cell r="C1471" t="str">
            <v>ochre01</v>
          </cell>
          <cell r="D1471"/>
          <cell r="E1471"/>
          <cell r="F1471"/>
          <cell r="G1471"/>
          <cell r="H1471" t="str">
            <v>green</v>
          </cell>
          <cell r="I1471">
            <v>5</v>
          </cell>
          <cell r="J1471" t="str">
            <v>DropWizS</v>
          </cell>
          <cell r="K1471" t="str">
            <v>balance</v>
          </cell>
          <cell r="L1471" t="str">
            <v>バランスタイプ</v>
          </cell>
          <cell r="M1471" t="str">
            <v>unknown</v>
          </cell>
        </row>
        <row r="1472">
          <cell r="A1472">
            <v>1550</v>
          </cell>
          <cell r="B1472" t="str">
            <v>ja</v>
          </cell>
          <cell r="C1472" t="str">
            <v>ochre02</v>
          </cell>
          <cell r="D1472"/>
          <cell r="E1472"/>
          <cell r="F1472"/>
          <cell r="G1472"/>
          <cell r="H1472" t="str">
            <v>green</v>
          </cell>
          <cell r="I1472">
            <v>6</v>
          </cell>
          <cell r="J1472" t="str">
            <v>DropWizS</v>
          </cell>
          <cell r="K1472" t="str">
            <v>balance</v>
          </cell>
          <cell r="L1472" t="str">
            <v>バランスタイプ</v>
          </cell>
          <cell r="M1472" t="str">
            <v>unknown</v>
          </cell>
        </row>
        <row r="1473">
          <cell r="A1473">
            <v>5001</v>
          </cell>
          <cell r="B1473" t="str">
            <v>ja</v>
          </cell>
          <cell r="C1473" t="str">
            <v>ガルーダ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red</v>
          </cell>
          <cell r="I1473">
            <v>5</v>
          </cell>
          <cell r="J1473" t="str">
            <v>PremiumSSw</v>
          </cell>
          <cell r="K1473" t="str">
            <v>attack</v>
          </cell>
          <cell r="L1473" t="str">
            <v>攻撃タイプ</v>
          </cell>
          <cell r="M1473" t="str">
            <v>god</v>
          </cell>
        </row>
        <row r="1474">
          <cell r="A1474">
            <v>5002</v>
          </cell>
          <cell r="B1474" t="str">
            <v>ja</v>
          </cell>
          <cell r="C1474" t="str">
            <v>ガルーダ★６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red</v>
          </cell>
          <cell r="I1474">
            <v>6</v>
          </cell>
          <cell r="J1474" t="str">
            <v>PremiumSSw</v>
          </cell>
          <cell r="K1474" t="str">
            <v>attack</v>
          </cell>
          <cell r="L1474" t="str">
            <v>攻撃タイプ</v>
          </cell>
          <cell r="M1474" t="str">
            <v>god</v>
          </cell>
        </row>
        <row r="1475">
          <cell r="A1475">
            <v>5003</v>
          </cell>
          <cell r="B1475" t="str">
            <v>ja</v>
          </cell>
          <cell r="C1475" t="str">
            <v>ナーガ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green</v>
          </cell>
          <cell r="I1475">
            <v>5</v>
          </cell>
          <cell r="J1475" t="str">
            <v>DropWizS</v>
          </cell>
          <cell r="K1475" t="str">
            <v>technical</v>
          </cell>
          <cell r="L1475" t="str">
            <v>テクニカルタイプ</v>
          </cell>
          <cell r="M1475" t="str">
            <v>animal</v>
          </cell>
        </row>
        <row r="1476">
          <cell r="A1476">
            <v>5004</v>
          </cell>
          <cell r="B1476" t="str">
            <v>ja</v>
          </cell>
          <cell r="C1476" t="str">
            <v>ナーガ★６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green</v>
          </cell>
          <cell r="I1476">
            <v>6</v>
          </cell>
          <cell r="J1476" t="str">
            <v>DropWizS</v>
          </cell>
          <cell r="K1476" t="str">
            <v>technical</v>
          </cell>
          <cell r="L1476" t="str">
            <v>テクニカルタイプ</v>
          </cell>
          <cell r="M1476" t="str">
            <v>animal</v>
          </cell>
        </row>
        <row r="1477">
          <cell r="A1477">
            <v>5005</v>
          </cell>
          <cell r="B1477" t="str">
            <v>ja</v>
          </cell>
          <cell r="C1477" t="str">
            <v>カーミラ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green</v>
          </cell>
          <cell r="I1477">
            <v>5</v>
          </cell>
          <cell r="J1477" t="str">
            <v>PremiumSSw</v>
          </cell>
          <cell r="K1477" t="str">
            <v>balance</v>
          </cell>
          <cell r="L1477" t="str">
            <v>バランスタイプ</v>
          </cell>
          <cell r="M1477" t="str">
            <v>demon</v>
          </cell>
        </row>
        <row r="1478">
          <cell r="A1478">
            <v>5006</v>
          </cell>
          <cell r="B1478" t="str">
            <v>ja</v>
          </cell>
          <cell r="C1478" t="str">
            <v>カーミラ★６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green</v>
          </cell>
          <cell r="I1478">
            <v>6</v>
          </cell>
          <cell r="J1478" t="str">
            <v>PremiumSSw</v>
          </cell>
          <cell r="K1478" t="str">
            <v>balance</v>
          </cell>
          <cell r="L1478" t="str">
            <v>バランスタイプ</v>
          </cell>
          <cell r="M1478" t="str">
            <v>demon</v>
          </cell>
        </row>
        <row r="1479">
          <cell r="A1479">
            <v>5007</v>
          </cell>
          <cell r="B1479" t="str">
            <v>ja</v>
          </cell>
          <cell r="C1479" t="str">
            <v>ヘルシング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yellow</v>
          </cell>
          <cell r="I1479">
            <v>5</v>
          </cell>
          <cell r="J1479" t="str">
            <v>DropWizS</v>
          </cell>
          <cell r="K1479" t="str">
            <v>technical</v>
          </cell>
          <cell r="L1479" t="str">
            <v>テクニカルタイプ</v>
          </cell>
          <cell r="M1479" t="str">
            <v>human</v>
          </cell>
        </row>
        <row r="1480">
          <cell r="A1480">
            <v>5008</v>
          </cell>
          <cell r="B1480" t="str">
            <v>ja</v>
          </cell>
          <cell r="C1480" t="str">
            <v>ヘルシング★６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yellow</v>
          </cell>
          <cell r="I1480">
            <v>6</v>
          </cell>
          <cell r="J1480" t="str">
            <v>DropWizS</v>
          </cell>
          <cell r="K1480" t="str">
            <v>technical</v>
          </cell>
          <cell r="L1480" t="str">
            <v>テクニカルタイプ</v>
          </cell>
          <cell r="M1480" t="str">
            <v>human</v>
          </cell>
        </row>
        <row r="1481">
          <cell r="A1481">
            <v>6001</v>
          </cell>
          <cell r="B1481" t="str">
            <v>ja</v>
          </cell>
          <cell r="C1481" t="str">
            <v>ジェリー</v>
          </cell>
          <cell r="D1481" t="str">
            <v>ノーマルクエスト</v>
          </cell>
          <cell r="E1481" t="str">
            <v>QoH</v>
          </cell>
          <cell r="F1481" t="str">
            <v>世界観</v>
          </cell>
          <cell r="G1481" t="str">
            <v>不明</v>
          </cell>
          <cell r="H1481" t="str">
            <v>red</v>
          </cell>
          <cell r="I1481">
            <v>1</v>
          </cell>
          <cell r="J1481" t="str">
            <v>Drop1T</v>
          </cell>
          <cell r="K1481" t="str">
            <v>ra</v>
          </cell>
          <cell r="L1481" t="str">
            <v>ラグランジュチャレンジ</v>
          </cell>
          <cell r="M1481" t="str">
            <v>unknown</v>
          </cell>
        </row>
        <row r="1482">
          <cell r="A1482">
            <v>6002</v>
          </cell>
          <cell r="B1482" t="str">
            <v>ja</v>
          </cell>
          <cell r="C1482" t="str">
            <v>ヨシタカ</v>
          </cell>
          <cell r="D1482" t="str">
            <v>ノーマルクエスト</v>
          </cell>
          <cell r="E1482" t="str">
            <v>アバター</v>
          </cell>
          <cell r="F1482" t="str">
            <v>世界観</v>
          </cell>
          <cell r="G1482" t="str">
            <v>男性</v>
          </cell>
          <cell r="H1482" t="str">
            <v>red</v>
          </cell>
          <cell r="I1482">
            <v>2</v>
          </cell>
          <cell r="J1482" t="str">
            <v>Drop1N</v>
          </cell>
          <cell r="K1482" t="str">
            <v>ra</v>
          </cell>
          <cell r="L1482" t="str">
            <v>ラグランジュチャレンジ</v>
          </cell>
          <cell r="M1482" t="str">
            <v>human</v>
          </cell>
        </row>
        <row r="1483">
          <cell r="A1483">
            <v>6003</v>
          </cell>
          <cell r="B1483" t="str">
            <v>ja</v>
          </cell>
          <cell r="C1483" t="str">
            <v>朱雀</v>
          </cell>
          <cell r="D1483" t="str">
            <v>リンクガチャ:4神</v>
          </cell>
          <cell r="E1483" t="str">
            <v>守護神</v>
          </cell>
          <cell r="F1483" t="str">
            <v>格好いい</v>
          </cell>
          <cell r="G1483" t="str">
            <v>不明</v>
          </cell>
          <cell r="H1483" t="str">
            <v>red</v>
          </cell>
          <cell r="I1483">
            <v>3</v>
          </cell>
          <cell r="J1483" t="str">
            <v>Drop2N</v>
          </cell>
          <cell r="K1483" t="str">
            <v>ra</v>
          </cell>
          <cell r="L1483" t="str">
            <v>ラグランジュチャレンジ</v>
          </cell>
          <cell r="M1483" t="str">
            <v>animal</v>
          </cell>
        </row>
        <row r="1484">
          <cell r="A1484">
            <v>6004</v>
          </cell>
          <cell r="B1484" t="str">
            <v>ja</v>
          </cell>
          <cell r="C1484" t="str">
            <v>ブレット</v>
          </cell>
          <cell r="D1484" t="str">
            <v>ノーマルクエスト</v>
          </cell>
          <cell r="E1484" t="str">
            <v>アバター</v>
          </cell>
          <cell r="F1484" t="str">
            <v>世界観</v>
          </cell>
          <cell r="G1484" t="str">
            <v>不明</v>
          </cell>
          <cell r="H1484" t="str">
            <v>red</v>
          </cell>
          <cell r="I1484">
            <v>1</v>
          </cell>
          <cell r="J1484" t="str">
            <v>Drop1W</v>
          </cell>
          <cell r="K1484" t="str">
            <v>ra</v>
          </cell>
          <cell r="L1484" t="str">
            <v>ラグランジュチャレンジ</v>
          </cell>
          <cell r="M1484" t="str">
            <v>animal</v>
          </cell>
        </row>
        <row r="1485">
          <cell r="A1485">
            <v>6005</v>
          </cell>
          <cell r="B1485" t="str">
            <v>ja</v>
          </cell>
          <cell r="C1485" t="str">
            <v>孤神 テティス</v>
          </cell>
          <cell r="D1485" t="str">
            <v>初期ガチャ</v>
          </cell>
          <cell r="E1485" t="str">
            <v>管理者</v>
          </cell>
          <cell r="F1485" t="str">
            <v>美しい</v>
          </cell>
          <cell r="G1485" t="str">
            <v>女性</v>
          </cell>
          <cell r="H1485" t="str">
            <v>blue</v>
          </cell>
          <cell r="I1485">
            <v>4</v>
          </cell>
          <cell r="J1485" t="str">
            <v>PremiumN</v>
          </cell>
          <cell r="K1485" t="str">
            <v>ra</v>
          </cell>
          <cell r="L1485" t="str">
            <v>ラグランジュチャレンジ</v>
          </cell>
          <cell r="M1485" t="str">
            <v>god</v>
          </cell>
        </row>
        <row r="1486">
          <cell r="A1486">
            <v>6006</v>
          </cell>
          <cell r="B1486" t="str">
            <v>ja</v>
          </cell>
          <cell r="C1486" t="str">
            <v>海底の孤高神 テティス</v>
          </cell>
          <cell r="D1486" t="str">
            <v>初期ガチャ</v>
          </cell>
          <cell r="E1486" t="str">
            <v>管理者</v>
          </cell>
          <cell r="F1486" t="str">
            <v>美しい</v>
          </cell>
          <cell r="G1486" t="str">
            <v>女性</v>
          </cell>
          <cell r="H1486" t="str">
            <v>blue</v>
          </cell>
          <cell r="I1486">
            <v>5</v>
          </cell>
          <cell r="J1486" t="str">
            <v>PremiumN</v>
          </cell>
          <cell r="K1486" t="str">
            <v>ra</v>
          </cell>
          <cell r="L1486" t="str">
            <v>ラグランジュチャレンジ</v>
          </cell>
          <cell r="M1486" t="str">
            <v>god</v>
          </cell>
        </row>
        <row r="1487">
          <cell r="A1487">
            <v>6007</v>
          </cell>
          <cell r="B1487" t="str">
            <v>ja</v>
          </cell>
          <cell r="C1487" t="str">
            <v>番犬 ケルベロス</v>
          </cell>
          <cell r="D1487" t="str">
            <v>初期ガチャ</v>
          </cell>
          <cell r="E1487" t="str">
            <v>破界者</v>
          </cell>
          <cell r="F1487" t="str">
            <v>可愛い</v>
          </cell>
          <cell r="G1487" t="str">
            <v>女性</v>
          </cell>
          <cell r="H1487" t="str">
            <v>red</v>
          </cell>
          <cell r="I1487">
            <v>4</v>
          </cell>
          <cell r="J1487" t="str">
            <v>PremiumN</v>
          </cell>
          <cell r="K1487" t="str">
            <v>ra</v>
          </cell>
          <cell r="L1487" t="str">
            <v>ラグランジュチャレンジ</v>
          </cell>
          <cell r="M1487" t="str">
            <v>animal</v>
          </cell>
        </row>
        <row r="1488">
          <cell r="A1488">
            <v>6008</v>
          </cell>
          <cell r="B1488" t="str">
            <v>ja</v>
          </cell>
          <cell r="C1488" t="str">
            <v>焔神 プロメテウス</v>
          </cell>
          <cell r="D1488" t="str">
            <v>初期ガチャ</v>
          </cell>
          <cell r="E1488" t="str">
            <v>管理者</v>
          </cell>
          <cell r="F1488" t="str">
            <v>格好いい</v>
          </cell>
          <cell r="G1488" t="str">
            <v>男性</v>
          </cell>
          <cell r="H1488" t="str">
            <v>red</v>
          </cell>
          <cell r="I1488">
            <v>4</v>
          </cell>
          <cell r="J1488" t="str">
            <v>PremiumN</v>
          </cell>
          <cell r="K1488" t="str">
            <v>ra</v>
          </cell>
          <cell r="L1488" t="str">
            <v>ラグランジュチャレンジ</v>
          </cell>
          <cell r="M1488" t="str">
            <v>god</v>
          </cell>
        </row>
        <row r="1489">
          <cell r="A1489">
            <v>6009</v>
          </cell>
          <cell r="B1489" t="str">
            <v>ja</v>
          </cell>
          <cell r="C1489" t="str">
            <v>超越自我 ラグランジュ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女性</v>
          </cell>
          <cell r="H1489" t="str">
            <v>red</v>
          </cell>
          <cell r="I1489">
            <v>5</v>
          </cell>
          <cell r="J1489" t="str">
            <v>PremiumSSS</v>
          </cell>
          <cell r="K1489" t="str">
            <v>ra</v>
          </cell>
          <cell r="L1489" t="str">
            <v>ラグランジュチャレンジ</v>
          </cell>
          <cell r="M1489" t="str">
            <v>human</v>
          </cell>
        </row>
        <row r="1490">
          <cell r="A1490">
            <v>6010</v>
          </cell>
          <cell r="B1490" t="str">
            <v>ja</v>
          </cell>
          <cell r="C1490" t="str">
            <v>超越凌駕 ラグランジュ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女性</v>
          </cell>
          <cell r="H1490" t="str">
            <v>red</v>
          </cell>
          <cell r="I1490">
            <v>6</v>
          </cell>
          <cell r="J1490" t="str">
            <v>PremiumSSS</v>
          </cell>
          <cell r="K1490" t="str">
            <v>ra</v>
          </cell>
          <cell r="L1490" t="str">
            <v>ラグランジュチャレンジ</v>
          </cell>
          <cell r="M1490" t="str">
            <v>human</v>
          </cell>
        </row>
        <row r="1491">
          <cell r="A1491">
            <v>6011</v>
          </cell>
          <cell r="B1491" t="str">
            <v>ja</v>
          </cell>
          <cell r="C1491" t="str">
            <v>パトドッグリーダー ポチ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2</v>
          </cell>
          <cell r="J1491" t="str">
            <v>Drop1T</v>
          </cell>
          <cell r="K1491" t="str">
            <v>ra002</v>
          </cell>
          <cell r="L1491" t="str">
            <v>ユークリッドチャレンジ</v>
          </cell>
          <cell r="M1491" t="str">
            <v>unknown</v>
          </cell>
        </row>
        <row r="1492">
          <cell r="A1492">
            <v>6012</v>
          </cell>
          <cell r="B1492" t="str">
            <v>ja</v>
          </cell>
          <cell r="C1492" t="str">
            <v>ミミ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yellow</v>
          </cell>
          <cell r="I1492">
            <v>1</v>
          </cell>
          <cell r="J1492" t="str">
            <v>Drop1W</v>
          </cell>
          <cell r="K1492" t="str">
            <v>ra002</v>
          </cell>
          <cell r="L1492" t="str">
            <v>ユークリッドチャレンジ</v>
          </cell>
          <cell r="M1492" t="str">
            <v>animal</v>
          </cell>
        </row>
        <row r="1493">
          <cell r="A1493">
            <v>6013</v>
          </cell>
          <cell r="B1493" t="str">
            <v>ja</v>
          </cell>
          <cell r="C1493" t="str">
            <v>護衛機人 スケアクロウ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2</v>
          </cell>
          <cell r="J1493" t="str">
            <v>Drop1N</v>
          </cell>
          <cell r="K1493" t="str">
            <v>ra002</v>
          </cell>
          <cell r="L1493" t="str">
            <v>ユークリッドチャレンジ</v>
          </cell>
          <cell r="M1493" t="str">
            <v>machine</v>
          </cell>
        </row>
        <row r="1494">
          <cell r="A1494">
            <v>6014</v>
          </cell>
          <cell r="B1494" t="str">
            <v>ja</v>
          </cell>
          <cell r="C1494" t="str">
            <v>月下の人狼 ローレンス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blue</v>
          </cell>
          <cell r="I1494">
            <v>4</v>
          </cell>
          <cell r="J1494" t="str">
            <v>PremiumW</v>
          </cell>
          <cell r="K1494" t="str">
            <v>ra002</v>
          </cell>
          <cell r="L1494" t="str">
            <v>ユークリッドチャレンジ</v>
          </cell>
          <cell r="M1494" t="str">
            <v>animal</v>
          </cell>
        </row>
        <row r="1495">
          <cell r="A1495">
            <v>6015</v>
          </cell>
          <cell r="B1495" t="str">
            <v>ja</v>
          </cell>
          <cell r="C1495" t="str">
            <v>フレイヤ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blue</v>
          </cell>
          <cell r="I1495">
            <v>4</v>
          </cell>
          <cell r="J1495" t="str">
            <v>PremiumSS</v>
          </cell>
          <cell r="K1495" t="str">
            <v>ra002</v>
          </cell>
          <cell r="L1495" t="str">
            <v>ユークリッドチャレンジ</v>
          </cell>
          <cell r="M1495" t="str">
            <v>animal</v>
          </cell>
        </row>
        <row r="1496">
          <cell r="A1496">
            <v>6016</v>
          </cell>
          <cell r="B1496" t="str">
            <v>ja</v>
          </cell>
          <cell r="C1496" t="str">
            <v>根原論理 ユークリッド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5</v>
          </cell>
          <cell r="J1496" t="str">
            <v>PremiumSSS</v>
          </cell>
          <cell r="K1496" t="str">
            <v>ra002</v>
          </cell>
          <cell r="L1496" t="str">
            <v>ユークリッドチャレンジ</v>
          </cell>
          <cell r="M1496" t="str">
            <v>human</v>
          </cell>
        </row>
        <row r="1497">
          <cell r="A1497">
            <v>6017</v>
          </cell>
          <cell r="B1497" t="str">
            <v>ja</v>
          </cell>
          <cell r="C1497" t="str">
            <v>不朽の極論 ユークリッド</v>
          </cell>
          <cell r="D1497" t="str">
            <v>ガチャ:フィーバーフェス02</v>
          </cell>
          <cell r="E1497" t="str">
            <v>執行者</v>
          </cell>
          <cell r="F1497" t="str">
            <v>格好いい</v>
          </cell>
          <cell r="G1497" t="str">
            <v>男性</v>
          </cell>
          <cell r="H1497" t="str">
            <v>blue</v>
          </cell>
          <cell r="I1497">
            <v>6</v>
          </cell>
          <cell r="J1497" t="str">
            <v>PremiumSSS</v>
          </cell>
          <cell r="K1497" t="str">
            <v>ra002</v>
          </cell>
          <cell r="L1497" t="str">
            <v>ユークリッドチャレンジ</v>
          </cell>
          <cell r="M1497" t="str">
            <v>human</v>
          </cell>
        </row>
        <row r="1498">
          <cell r="A1498">
            <v>6018</v>
          </cell>
          <cell r="B1498" t="str">
            <v>ja</v>
          </cell>
          <cell r="C1498" t="str">
            <v>ハヅル</v>
          </cell>
          <cell r="D1498" t="str">
            <v>ガチャ:フィーバーフェス02</v>
          </cell>
          <cell r="E1498" t="str">
            <v>執行者</v>
          </cell>
          <cell r="F1498" t="str">
            <v>格好いい</v>
          </cell>
          <cell r="G1498" t="str">
            <v>男性</v>
          </cell>
          <cell r="H1498" t="str">
            <v>red</v>
          </cell>
          <cell r="I1498">
            <v>4</v>
          </cell>
          <cell r="J1498" t="str">
            <v>PremiumSS</v>
          </cell>
          <cell r="K1498" t="str">
            <v>ra002</v>
          </cell>
          <cell r="L1498" t="str">
            <v>ユークリッドチャレンジ</v>
          </cell>
          <cell r="M1498" t="str">
            <v>animal</v>
          </cell>
        </row>
        <row r="1499">
          <cell r="A1499">
            <v>6019</v>
          </cell>
          <cell r="B1499" t="str">
            <v>ja</v>
          </cell>
          <cell r="C1499" t="str">
            <v>天織羽鶴 ハヅル</v>
          </cell>
          <cell r="D1499" t="str">
            <v>ガチャ:フィーバーフェス02</v>
          </cell>
          <cell r="E1499" t="str">
            <v>執行者</v>
          </cell>
          <cell r="F1499" t="str">
            <v>格好いい</v>
          </cell>
          <cell r="G1499" t="str">
            <v>男性</v>
          </cell>
          <cell r="H1499" t="str">
            <v>red</v>
          </cell>
          <cell r="I1499">
            <v>5</v>
          </cell>
          <cell r="J1499" t="str">
            <v>PremiumSS</v>
          </cell>
          <cell r="K1499" t="str">
            <v>ra002</v>
          </cell>
          <cell r="L1499" t="str">
            <v>ユークリッドチャレンジ</v>
          </cell>
          <cell r="M1499" t="str">
            <v>animal</v>
          </cell>
        </row>
        <row r="1500">
          <cell r="A1500">
            <v>6020</v>
          </cell>
          <cell r="B1500" t="str">
            <v>ja</v>
          </cell>
          <cell r="C1500" t="str">
            <v>ミズチ</v>
          </cell>
          <cell r="D1500" t="str">
            <v>ガチャ:フィーバーフェス02</v>
          </cell>
          <cell r="E1500" t="str">
            <v>執行者</v>
          </cell>
          <cell r="F1500" t="str">
            <v>格好いい</v>
          </cell>
          <cell r="G1500" t="str">
            <v>男性</v>
          </cell>
          <cell r="H1500" t="str">
            <v>blue</v>
          </cell>
          <cell r="I1500">
            <v>4</v>
          </cell>
          <cell r="J1500" t="str">
            <v>PremiumS</v>
          </cell>
          <cell r="K1500" t="str">
            <v>ra002</v>
          </cell>
          <cell r="L1500" t="str">
            <v>ユークリッドチャレンジ</v>
          </cell>
          <cell r="M1500" t="str">
            <v>dragon</v>
          </cell>
        </row>
        <row r="1501">
          <cell r="A1501">
            <v>8001</v>
          </cell>
          <cell r="B1501" t="str">
            <v>ja</v>
          </cell>
          <cell r="C1501" t="str">
            <v>媽祖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yellow</v>
          </cell>
          <cell r="I1501">
            <v>5</v>
          </cell>
          <cell r="J1501" t="str">
            <v>PremiumSS</v>
          </cell>
          <cell r="K1501" t="str">
            <v>attack</v>
          </cell>
          <cell r="L1501" t="str">
            <v>攻撃タイプ</v>
          </cell>
          <cell r="M1501" t="str">
            <v>god</v>
          </cell>
        </row>
        <row r="1502">
          <cell r="A1502">
            <v>8002</v>
          </cell>
          <cell r="B1502" t="str">
            <v>ja</v>
          </cell>
          <cell r="C1502" t="str">
            <v>宣導する天海妃 媽祖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yellow</v>
          </cell>
          <cell r="I1502">
            <v>6</v>
          </cell>
          <cell r="J1502" t="str">
            <v>PremiumSS</v>
          </cell>
          <cell r="K1502" t="str">
            <v>attack</v>
          </cell>
          <cell r="L1502" t="str">
            <v>攻撃タイプ</v>
          </cell>
          <cell r="M1502" t="str">
            <v>god</v>
          </cell>
        </row>
        <row r="1503">
          <cell r="A1503">
            <v>8003</v>
          </cell>
          <cell r="B1503" t="str">
            <v>ja</v>
          </cell>
          <cell r="C1503" t="str">
            <v>蛟龍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blue</v>
          </cell>
          <cell r="I1503">
            <v>5</v>
          </cell>
          <cell r="J1503" t="str">
            <v>DropWizS</v>
          </cell>
          <cell r="K1503" t="str">
            <v>hp</v>
          </cell>
          <cell r="L1503" t="str">
            <v>体力タイプ</v>
          </cell>
          <cell r="M1503" t="str">
            <v>dragon</v>
          </cell>
        </row>
        <row r="1504">
          <cell r="A1504">
            <v>8004</v>
          </cell>
          <cell r="B1504" t="str">
            <v>ja</v>
          </cell>
          <cell r="C1504" t="str">
            <v>呼嵐の蒼棲龍 蛟龍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blue</v>
          </cell>
          <cell r="I1504">
            <v>6</v>
          </cell>
          <cell r="J1504" t="str">
            <v>DropWizS</v>
          </cell>
          <cell r="K1504" t="str">
            <v>hp</v>
          </cell>
          <cell r="L1504" t="str">
            <v>体力タイプ</v>
          </cell>
          <cell r="M1504" t="str">
            <v>dragon</v>
          </cell>
        </row>
        <row r="1505">
          <cell r="A1505">
            <v>8005</v>
          </cell>
          <cell r="B1505" t="str">
            <v>ja</v>
          </cell>
          <cell r="C1505" t="str">
            <v>三蔵法師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blue</v>
          </cell>
          <cell r="I1505">
            <v>5</v>
          </cell>
          <cell r="J1505" t="str">
            <v>PremiumSS</v>
          </cell>
          <cell r="K1505" t="str">
            <v>balance</v>
          </cell>
          <cell r="L1505" t="str">
            <v>バランスタイプ</v>
          </cell>
          <cell r="M1505" t="str">
            <v>human</v>
          </cell>
        </row>
        <row r="1506">
          <cell r="A1506">
            <v>8006</v>
          </cell>
          <cell r="B1506" t="str">
            <v>ja</v>
          </cell>
          <cell r="C1506" t="str">
            <v>慈戒の呪封使 三蔵法師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blue</v>
          </cell>
          <cell r="I1506">
            <v>6</v>
          </cell>
          <cell r="J1506" t="str">
            <v>PremiumSS</v>
          </cell>
          <cell r="K1506" t="str">
            <v>balance</v>
          </cell>
          <cell r="L1506" t="str">
            <v>バランスタイプ</v>
          </cell>
          <cell r="M1506" t="str">
            <v>human</v>
          </cell>
        </row>
        <row r="1507">
          <cell r="A1507">
            <v>8007</v>
          </cell>
          <cell r="B1507" t="str">
            <v>ja</v>
          </cell>
          <cell r="C1507" t="str">
            <v>孫悟空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不明</v>
          </cell>
          <cell r="H1507" t="str">
            <v>red</v>
          </cell>
          <cell r="I1507">
            <v>5</v>
          </cell>
          <cell r="J1507" t="str">
            <v>DropWizS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8008</v>
          </cell>
          <cell r="B1508" t="str">
            <v>ja</v>
          </cell>
          <cell r="C1508" t="str">
            <v>花果の天猿仙人 孫悟空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不明</v>
          </cell>
          <cell r="H1508" t="str">
            <v>red</v>
          </cell>
          <cell r="I1508">
            <v>6</v>
          </cell>
          <cell r="J1508" t="str">
            <v>DropWizS</v>
          </cell>
          <cell r="K1508" t="str">
            <v>attack</v>
          </cell>
          <cell r="L1508" t="str">
            <v>攻撃タイプ</v>
          </cell>
          <cell r="M1508" t="str">
            <v>animal</v>
          </cell>
        </row>
        <row r="1509">
          <cell r="A1509">
            <v>8009</v>
          </cell>
          <cell r="B1509" t="str">
            <v>ja</v>
          </cell>
          <cell r="C1509" t="str">
            <v>西王娘娘</v>
          </cell>
          <cell r="D1509" t="str">
            <v>イベント:ミクコラボ01</v>
          </cell>
          <cell r="E1509" t="str">
            <v>執行者</v>
          </cell>
          <cell r="F1509" t="str">
            <v>格好いい</v>
          </cell>
          <cell r="G1509" t="str">
            <v>不明</v>
          </cell>
          <cell r="H1509" t="str">
            <v>green</v>
          </cell>
          <cell r="I1509">
            <v>5</v>
          </cell>
          <cell r="J1509" t="str">
            <v>PremiumSS</v>
          </cell>
          <cell r="K1509" t="str">
            <v>attack</v>
          </cell>
          <cell r="L1509" t="str">
            <v>攻撃タイプ</v>
          </cell>
          <cell r="M1509" t="str">
            <v>god</v>
          </cell>
        </row>
        <row r="1510">
          <cell r="A1510">
            <v>8010</v>
          </cell>
          <cell r="B1510" t="str">
            <v>ja</v>
          </cell>
          <cell r="C1510" t="str">
            <v>極楽瑶池の聖母 西王娘娘</v>
          </cell>
          <cell r="D1510" t="str">
            <v>イベント:ミクコラボ01</v>
          </cell>
          <cell r="E1510" t="str">
            <v>執行者</v>
          </cell>
          <cell r="F1510" t="str">
            <v>格好いい</v>
          </cell>
          <cell r="G1510" t="str">
            <v>不明</v>
          </cell>
          <cell r="H1510" t="str">
            <v>green</v>
          </cell>
          <cell r="I1510">
            <v>6</v>
          </cell>
          <cell r="J1510" t="str">
            <v>PremiumSS</v>
          </cell>
          <cell r="K1510" t="str">
            <v>attack</v>
          </cell>
          <cell r="L1510" t="str">
            <v>攻撃タイプ</v>
          </cell>
          <cell r="M1510" t="str">
            <v>god</v>
          </cell>
        </row>
        <row r="1511">
          <cell r="A1511">
            <v>8011</v>
          </cell>
          <cell r="B1511" t="str">
            <v>ja</v>
          </cell>
          <cell r="C1511" t="str">
            <v>月下老人</v>
          </cell>
          <cell r="D1511" t="str">
            <v>イベント:ミクコラボ01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yellow</v>
          </cell>
          <cell r="I1511">
            <v>5</v>
          </cell>
          <cell r="J1511" t="str">
            <v>DropWizS</v>
          </cell>
          <cell r="K1511" t="str">
            <v>balance</v>
          </cell>
          <cell r="L1511" t="str">
            <v>バランスタイプ</v>
          </cell>
          <cell r="M1511" t="str">
            <v>god</v>
          </cell>
        </row>
        <row r="1512">
          <cell r="A1512">
            <v>8012</v>
          </cell>
          <cell r="B1512" t="str">
            <v>ja</v>
          </cell>
          <cell r="C1512" t="str">
            <v>破戀斬る縁剣 月下老人</v>
          </cell>
          <cell r="D1512" t="str">
            <v>イベント:ミクコラボ01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yellow</v>
          </cell>
          <cell r="I1512">
            <v>6</v>
          </cell>
          <cell r="J1512" t="str">
            <v>DropWizS</v>
          </cell>
          <cell r="K1512" t="str">
            <v>balance</v>
          </cell>
          <cell r="L1512" t="str">
            <v>バランスタイプ</v>
          </cell>
          <cell r="M1512" t="str">
            <v>god</v>
          </cell>
        </row>
        <row r="1513">
          <cell r="A1513">
            <v>8013</v>
          </cell>
          <cell r="B1513" t="str">
            <v>ja</v>
          </cell>
          <cell r="C1513" t="str">
            <v>初音ミクV3</v>
          </cell>
          <cell r="D1513" t="str">
            <v>初音ミクV3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yellow</v>
          </cell>
          <cell r="I1513">
            <v>4</v>
          </cell>
          <cell r="J1513" t="str">
            <v>DropWizS</v>
          </cell>
          <cell r="K1513" t="str">
            <v>balance</v>
          </cell>
          <cell r="L1513" t="str">
            <v>バランスタイプ</v>
          </cell>
          <cell r="M1513" t="str">
            <v>unknown</v>
          </cell>
        </row>
        <row r="1514">
          <cell r="A1514">
            <v>8014</v>
          </cell>
          <cell r="B1514" t="str">
            <v>ja</v>
          </cell>
          <cell r="C1514" t="str">
            <v>初音ミクV3</v>
          </cell>
          <cell r="D1514" t="str">
            <v>初音ミクV3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yellow</v>
          </cell>
          <cell r="I1514">
            <v>5</v>
          </cell>
          <cell r="J1514" t="str">
            <v>DropWizS</v>
          </cell>
          <cell r="K1514" t="str">
            <v>balance</v>
          </cell>
          <cell r="L1514" t="str">
            <v>バランスタイプ</v>
          </cell>
          <cell r="M1514" t="str">
            <v>unknown</v>
          </cell>
        </row>
        <row r="1515">
          <cell r="A1515">
            <v>8015</v>
          </cell>
          <cell r="B1515" t="str">
            <v>ja</v>
          </cell>
          <cell r="C1515" t="str">
            <v>初音ミク・アペンド</v>
          </cell>
          <cell r="D1515" t="str">
            <v>初音ミク・アペンド</v>
          </cell>
          <cell r="E1515" t="str">
            <v>執行者</v>
          </cell>
          <cell r="F1515" t="str">
            <v>格好いい</v>
          </cell>
          <cell r="G1515" t="str">
            <v>女性</v>
          </cell>
          <cell r="H1515" t="str">
            <v>green</v>
          </cell>
          <cell r="I1515">
            <v>4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unknown</v>
          </cell>
        </row>
        <row r="1516">
          <cell r="A1516">
            <v>8016</v>
          </cell>
          <cell r="B1516" t="str">
            <v>ja</v>
          </cell>
          <cell r="C1516" t="str">
            <v>初音ミク・アペンド</v>
          </cell>
          <cell r="D1516" t="str">
            <v>初音ミク・アペンド</v>
          </cell>
          <cell r="E1516" t="str">
            <v>執行者</v>
          </cell>
          <cell r="F1516" t="str">
            <v>格好いい</v>
          </cell>
          <cell r="G1516" t="str">
            <v>女性</v>
          </cell>
          <cell r="H1516" t="str">
            <v>green</v>
          </cell>
          <cell r="I1516">
            <v>5</v>
          </cell>
          <cell r="J1516" t="str">
            <v>PremiumSSS</v>
          </cell>
          <cell r="K1516" t="str">
            <v>technical</v>
          </cell>
          <cell r="L1516" t="str">
            <v>テクニカルタイプ</v>
          </cell>
          <cell r="M1516" t="str">
            <v>unknown</v>
          </cell>
        </row>
        <row r="1517">
          <cell r="A1517">
            <v>8017</v>
          </cell>
          <cell r="B1517" t="str">
            <v>ja</v>
          </cell>
          <cell r="C1517" t="str">
            <v>初音ミク</v>
          </cell>
          <cell r="D1517" t="str">
            <v>初音ミク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green</v>
          </cell>
          <cell r="I1517">
            <v>4</v>
          </cell>
          <cell r="J1517" t="str">
            <v>PremiumSSS</v>
          </cell>
          <cell r="K1517" t="str">
            <v>balance</v>
          </cell>
          <cell r="L1517" t="str">
            <v>バランスタイプ</v>
          </cell>
          <cell r="M1517" t="str">
            <v>unknown</v>
          </cell>
        </row>
        <row r="1518">
          <cell r="A1518">
            <v>8018</v>
          </cell>
          <cell r="B1518" t="str">
            <v>ja</v>
          </cell>
          <cell r="C1518" t="str">
            <v>初音ミク</v>
          </cell>
          <cell r="D1518" t="str">
            <v>初音ミク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green</v>
          </cell>
          <cell r="I1518">
            <v>5</v>
          </cell>
          <cell r="J1518" t="str">
            <v>PremiumSSS</v>
          </cell>
          <cell r="K1518" t="str">
            <v>balance</v>
          </cell>
          <cell r="L1518" t="str">
            <v>バランスタイプ</v>
          </cell>
          <cell r="M1518" t="str">
            <v>unknown</v>
          </cell>
        </row>
        <row r="1519">
          <cell r="A1519">
            <v>8019</v>
          </cell>
          <cell r="B1519" t="str">
            <v>ja</v>
          </cell>
          <cell r="C1519" t="str">
            <v>鏡音リン</v>
          </cell>
          <cell r="D1519" t="str">
            <v>鏡音リン</v>
          </cell>
          <cell r="E1519" t="str">
            <v>執行者</v>
          </cell>
          <cell r="F1519" t="str">
            <v>格好いい</v>
          </cell>
          <cell r="G1519" t="str">
            <v>男性</v>
          </cell>
          <cell r="H1519" t="str">
            <v>yellow</v>
          </cell>
          <cell r="I1519">
            <v>4</v>
          </cell>
          <cell r="J1519" t="str">
            <v>PremiumSS</v>
          </cell>
          <cell r="K1519" t="str">
            <v>balance</v>
          </cell>
          <cell r="L1519" t="str">
            <v>バランスタイプ</v>
          </cell>
          <cell r="M1519" t="str">
            <v>unknown</v>
          </cell>
        </row>
        <row r="1520">
          <cell r="A1520">
            <v>8020</v>
          </cell>
          <cell r="B1520" t="str">
            <v>ja</v>
          </cell>
          <cell r="C1520" t="str">
            <v>鏡音リン</v>
          </cell>
          <cell r="D1520" t="str">
            <v>鏡音リン</v>
          </cell>
          <cell r="E1520" t="str">
            <v>執行者</v>
          </cell>
          <cell r="F1520" t="str">
            <v>格好いい</v>
          </cell>
          <cell r="G1520" t="str">
            <v>男性</v>
          </cell>
          <cell r="H1520" t="str">
            <v>yellow</v>
          </cell>
          <cell r="I1520">
            <v>5</v>
          </cell>
          <cell r="J1520" t="str">
            <v>PremiumSS</v>
          </cell>
          <cell r="K1520" t="str">
            <v>balance</v>
          </cell>
          <cell r="L1520" t="str">
            <v>バランスタイプ</v>
          </cell>
          <cell r="M1520" t="str">
            <v>unknown</v>
          </cell>
        </row>
        <row r="1521">
          <cell r="A1521">
            <v>8021</v>
          </cell>
          <cell r="B1521" t="str">
            <v>ja</v>
          </cell>
          <cell r="C1521" t="str">
            <v>鏡音レン</v>
          </cell>
          <cell r="D1521" t="str">
            <v>鏡音レン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yellow</v>
          </cell>
          <cell r="I1521">
            <v>4</v>
          </cell>
          <cell r="J1521" t="str">
            <v>PremiumSS</v>
          </cell>
          <cell r="K1521" t="str">
            <v>heal</v>
          </cell>
          <cell r="L1521" t="str">
            <v>回復タイプ</v>
          </cell>
          <cell r="M1521" t="str">
            <v>unknown</v>
          </cell>
        </row>
        <row r="1522">
          <cell r="A1522">
            <v>8022</v>
          </cell>
          <cell r="B1522" t="str">
            <v>ja</v>
          </cell>
          <cell r="C1522" t="str">
            <v>鏡音レン</v>
          </cell>
          <cell r="D1522" t="str">
            <v>鏡音レン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yellow</v>
          </cell>
          <cell r="I1522">
            <v>5</v>
          </cell>
          <cell r="J1522" t="str">
            <v>PremiumSS</v>
          </cell>
          <cell r="K1522" t="str">
            <v>heal</v>
          </cell>
          <cell r="L1522" t="str">
            <v>回復タイプ</v>
          </cell>
          <cell r="M1522" t="str">
            <v>unknown</v>
          </cell>
        </row>
        <row r="1523">
          <cell r="A1523">
            <v>8023</v>
          </cell>
          <cell r="B1523" t="str">
            <v>ja</v>
          </cell>
          <cell r="C1523" t="str">
            <v>巡音ルカ</v>
          </cell>
          <cell r="D1523" t="str">
            <v>巡音ルカ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red</v>
          </cell>
          <cell r="I1523">
            <v>3</v>
          </cell>
          <cell r="J1523" t="str">
            <v>PremiumS</v>
          </cell>
          <cell r="K1523" t="str">
            <v>attack</v>
          </cell>
          <cell r="L1523" t="str">
            <v>攻撃タイプ</v>
          </cell>
          <cell r="M1523" t="str">
            <v>unknown</v>
          </cell>
        </row>
        <row r="1524">
          <cell r="A1524">
            <v>8024</v>
          </cell>
          <cell r="B1524" t="str">
            <v>ja</v>
          </cell>
          <cell r="C1524" t="str">
            <v>巡音ルカ</v>
          </cell>
          <cell r="D1524" t="str">
            <v>巡音ルカ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red</v>
          </cell>
          <cell r="I1524">
            <v>4</v>
          </cell>
          <cell r="J1524" t="str">
            <v>PremiumS</v>
          </cell>
          <cell r="K1524" t="str">
            <v>attack</v>
          </cell>
          <cell r="L1524" t="str">
            <v>攻撃タイプ</v>
          </cell>
          <cell r="M1524" t="str">
            <v>unknown</v>
          </cell>
        </row>
        <row r="1525">
          <cell r="A1525">
            <v>8025</v>
          </cell>
          <cell r="B1525" t="str">
            <v>ja</v>
          </cell>
          <cell r="C1525" t="str">
            <v>MEIKO</v>
          </cell>
          <cell r="D1525" t="str">
            <v>MEIKO</v>
          </cell>
          <cell r="E1525" t="str">
            <v>執行者</v>
          </cell>
          <cell r="F1525" t="str">
            <v>格好いい</v>
          </cell>
          <cell r="G1525" t="str">
            <v>男性</v>
          </cell>
          <cell r="H1525" t="str">
            <v>red</v>
          </cell>
          <cell r="I1525">
            <v>3</v>
          </cell>
          <cell r="J1525" t="str">
            <v>PremiumS</v>
          </cell>
          <cell r="K1525" t="str">
            <v>hp</v>
          </cell>
          <cell r="L1525" t="str">
            <v>体力タイプ</v>
          </cell>
          <cell r="M1525" t="str">
            <v>unknown</v>
          </cell>
        </row>
        <row r="1526">
          <cell r="A1526">
            <v>8026</v>
          </cell>
          <cell r="B1526" t="str">
            <v>ja</v>
          </cell>
          <cell r="C1526" t="str">
            <v>MEIKO</v>
          </cell>
          <cell r="D1526" t="str">
            <v>MEIKO</v>
          </cell>
          <cell r="E1526" t="str">
            <v>執行者</v>
          </cell>
          <cell r="F1526" t="str">
            <v>格好いい</v>
          </cell>
          <cell r="G1526" t="str">
            <v>男性</v>
          </cell>
          <cell r="H1526" t="str">
            <v>red</v>
          </cell>
          <cell r="I1526">
            <v>4</v>
          </cell>
          <cell r="J1526" t="str">
            <v>PremiumS</v>
          </cell>
          <cell r="K1526" t="str">
            <v>hp</v>
          </cell>
          <cell r="L1526" t="str">
            <v>体力タイプ</v>
          </cell>
          <cell r="M1526" t="str">
            <v>unknown</v>
          </cell>
        </row>
        <row r="1527">
          <cell r="A1527">
            <v>8027</v>
          </cell>
          <cell r="B1527" t="str">
            <v>ja</v>
          </cell>
          <cell r="C1527" t="str">
            <v>KAITO</v>
          </cell>
          <cell r="D1527" t="str">
            <v>KAITO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blue</v>
          </cell>
          <cell r="I1527">
            <v>3</v>
          </cell>
          <cell r="J1527" t="str">
            <v>PremiumS</v>
          </cell>
          <cell r="K1527" t="str">
            <v>technical</v>
          </cell>
          <cell r="L1527" t="str">
            <v>テクニカルタイプ</v>
          </cell>
          <cell r="M1527" t="str">
            <v>unknown</v>
          </cell>
        </row>
        <row r="1528">
          <cell r="A1528">
            <v>8028</v>
          </cell>
          <cell r="B1528" t="str">
            <v>ja</v>
          </cell>
          <cell r="C1528" t="str">
            <v>KAITO</v>
          </cell>
          <cell r="D1528" t="str">
            <v>KAITO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blue</v>
          </cell>
          <cell r="I1528">
            <v>4</v>
          </cell>
          <cell r="J1528" t="str">
            <v>PremiumS</v>
          </cell>
          <cell r="K1528" t="str">
            <v>technical</v>
          </cell>
          <cell r="L1528" t="str">
            <v>テクニカルタイプ</v>
          </cell>
          <cell r="M1528" t="str">
            <v>unknown</v>
          </cell>
        </row>
        <row r="1529">
          <cell r="A1529">
            <v>8029</v>
          </cell>
          <cell r="B1529" t="str">
            <v>ja</v>
          </cell>
          <cell r="C1529" t="str">
            <v>Expoミク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blue</v>
          </cell>
          <cell r="I1529">
            <v>4</v>
          </cell>
          <cell r="J1529" t="str">
            <v>Drop2N</v>
          </cell>
          <cell r="K1529" t="str">
            <v>heal</v>
          </cell>
          <cell r="L1529" t="str">
            <v>回復タイプ</v>
          </cell>
          <cell r="M1529" t="str">
            <v>unknown</v>
          </cell>
        </row>
        <row r="1530">
          <cell r="A1530">
            <v>8030</v>
          </cell>
          <cell r="B1530" t="str">
            <v>ja</v>
          </cell>
          <cell r="C1530" t="str">
            <v>Expoミク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blue</v>
          </cell>
          <cell r="I1530">
            <v>5</v>
          </cell>
          <cell r="J1530" t="str">
            <v>Drop2N</v>
          </cell>
          <cell r="K1530" t="str">
            <v>heal</v>
          </cell>
          <cell r="L1530" t="str">
            <v>回復タイプ</v>
          </cell>
          <cell r="M1530" t="str">
            <v>unknown</v>
          </cell>
        </row>
        <row r="1531">
          <cell r="A1531">
            <v>8031</v>
          </cell>
          <cell r="B1531" t="str">
            <v>ja</v>
          </cell>
          <cell r="C1531" t="str">
            <v>閻羅王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red</v>
          </cell>
          <cell r="I1531">
            <v>5</v>
          </cell>
          <cell r="J1531" t="str">
            <v>PremiumSS</v>
          </cell>
          <cell r="K1531" t="str">
            <v>balance</v>
          </cell>
          <cell r="L1531" t="str">
            <v>バランスタイプ</v>
          </cell>
          <cell r="M1531" t="str">
            <v>god</v>
          </cell>
        </row>
        <row r="1532">
          <cell r="A1532">
            <v>8032</v>
          </cell>
          <cell r="B1532" t="str">
            <v>ja</v>
          </cell>
          <cell r="C1532" t="str">
            <v>六道輪廻の絶獄 閻羅王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red</v>
          </cell>
          <cell r="I1532">
            <v>6</v>
          </cell>
          <cell r="J1532" t="str">
            <v>PremiumSS</v>
          </cell>
          <cell r="K1532" t="str">
            <v>balance</v>
          </cell>
          <cell r="L1532" t="str">
            <v>バランスタイプ</v>
          </cell>
          <cell r="M1532" t="str">
            <v>god</v>
          </cell>
        </row>
        <row r="1533">
          <cell r="A1533">
            <v>8033</v>
          </cell>
          <cell r="B1533" t="str">
            <v>ja</v>
          </cell>
          <cell r="C1533" t="str">
            <v>牛頭馬面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green</v>
          </cell>
          <cell r="I1533">
            <v>5</v>
          </cell>
          <cell r="J1533" t="str">
            <v>DropWizS</v>
          </cell>
          <cell r="K1533" t="str">
            <v>attack</v>
          </cell>
          <cell r="L1533" t="str">
            <v>攻撃タイプ</v>
          </cell>
          <cell r="M1533" t="str">
            <v>god</v>
          </cell>
        </row>
        <row r="1534">
          <cell r="A1534">
            <v>8034</v>
          </cell>
          <cell r="B1534" t="str">
            <v>ja</v>
          </cell>
          <cell r="C1534" t="str">
            <v>冥府狩る魂使 牛頭馬面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green</v>
          </cell>
          <cell r="I1534">
            <v>6</v>
          </cell>
          <cell r="J1534" t="str">
            <v>DropWizS</v>
          </cell>
          <cell r="K1534" t="str">
            <v>attack</v>
          </cell>
          <cell r="L1534" t="str">
            <v>攻撃タイプ</v>
          </cell>
          <cell r="M1534" t="str">
            <v>god</v>
          </cell>
        </row>
        <row r="1535">
          <cell r="A1535">
            <v>8035</v>
          </cell>
          <cell r="B1535" t="str">
            <v>ja</v>
          </cell>
          <cell r="C1535" t="str">
            <v>飛衛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blue</v>
          </cell>
          <cell r="I1535">
            <v>5</v>
          </cell>
          <cell r="J1535" t="str">
            <v>PremiumSS</v>
          </cell>
          <cell r="K1535" t="str">
            <v>heal</v>
          </cell>
          <cell r="L1535" t="str">
            <v>回復タイプ</v>
          </cell>
          <cell r="M1535" t="str">
            <v>human</v>
          </cell>
        </row>
        <row r="1536">
          <cell r="A1536">
            <v>8036</v>
          </cell>
          <cell r="B1536" t="str">
            <v>ja</v>
          </cell>
          <cell r="C1536" t="str">
            <v>レア６飛衛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blue</v>
          </cell>
          <cell r="I1536">
            <v>6</v>
          </cell>
          <cell r="J1536" t="str">
            <v>PremiumSS</v>
          </cell>
          <cell r="K1536" t="str">
            <v>heal</v>
          </cell>
          <cell r="L1536" t="str">
            <v>回復タイプ</v>
          </cell>
          <cell r="M1536" t="str">
            <v>human</v>
          </cell>
        </row>
        <row r="1537">
          <cell r="A1537">
            <v>8037</v>
          </cell>
          <cell r="B1537" t="str">
            <v>ja</v>
          </cell>
          <cell r="C1537" t="str">
            <v>紀昌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red</v>
          </cell>
          <cell r="I1537">
            <v>5</v>
          </cell>
          <cell r="J1537" t="str">
            <v>DropWizS</v>
          </cell>
          <cell r="K1537" t="str">
            <v>attack</v>
          </cell>
          <cell r="L1537" t="str">
            <v>攻撃タイプ</v>
          </cell>
          <cell r="M1537" t="str">
            <v>human</v>
          </cell>
        </row>
        <row r="1538">
          <cell r="A1538">
            <v>8038</v>
          </cell>
          <cell r="B1538" t="str">
            <v>ja</v>
          </cell>
          <cell r="C1538" t="str">
            <v>レア６紀昌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red</v>
          </cell>
          <cell r="I1538">
            <v>6</v>
          </cell>
          <cell r="J1538" t="str">
            <v>DropWizS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8039</v>
          </cell>
          <cell r="B1539" t="str">
            <v>ja</v>
          </cell>
          <cell r="C1539" t="str">
            <v>何仙姑</v>
          </cell>
          <cell r="D1539" t="str">
            <v>Expoミク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yellow</v>
          </cell>
          <cell r="I1539">
            <v>5</v>
          </cell>
          <cell r="J1539" t="str">
            <v>PremiumSSw</v>
          </cell>
          <cell r="K1539" t="str">
            <v>hp</v>
          </cell>
          <cell r="L1539" t="str">
            <v>体力タイプ</v>
          </cell>
          <cell r="M1539" t="str">
            <v>god</v>
          </cell>
        </row>
        <row r="1540">
          <cell r="A1540">
            <v>8040</v>
          </cell>
          <cell r="B1540" t="str">
            <v>ja</v>
          </cell>
          <cell r="C1540" t="str">
            <v>レア６何仙姑</v>
          </cell>
          <cell r="D1540" t="str">
            <v>Expoミク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yellow</v>
          </cell>
          <cell r="I1540">
            <v>6</v>
          </cell>
          <cell r="J1540" t="str">
            <v>PremiumSSw</v>
          </cell>
          <cell r="K1540" t="str">
            <v>hp</v>
          </cell>
          <cell r="L1540" t="str">
            <v>体力タイプ</v>
          </cell>
          <cell r="M1540" t="str">
            <v>god</v>
          </cell>
        </row>
        <row r="1541">
          <cell r="A1541">
            <v>8041</v>
          </cell>
          <cell r="B1541" t="str">
            <v>ja</v>
          </cell>
          <cell r="C1541" t="str">
            <v>藍采和</v>
          </cell>
          <cell r="D1541" t="str">
            <v>Expoミク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blue</v>
          </cell>
          <cell r="I1541">
            <v>5</v>
          </cell>
          <cell r="J1541" t="str">
            <v>DropWizS</v>
          </cell>
          <cell r="K1541" t="str">
            <v>balance</v>
          </cell>
          <cell r="L1541" t="str">
            <v>バランスタイプ</v>
          </cell>
          <cell r="M1541" t="str">
            <v>god</v>
          </cell>
        </row>
        <row r="1542">
          <cell r="A1542">
            <v>8042</v>
          </cell>
          <cell r="B1542" t="str">
            <v>ja</v>
          </cell>
          <cell r="C1542" t="str">
            <v>レア６藍采和</v>
          </cell>
          <cell r="D1542" t="str">
            <v>Expoミク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blue</v>
          </cell>
          <cell r="I1542">
            <v>6</v>
          </cell>
          <cell r="J1542" t="str">
            <v>DropWizS</v>
          </cell>
          <cell r="K1542" t="str">
            <v>balance</v>
          </cell>
          <cell r="L1542" t="str">
            <v>バランスタイプ</v>
          </cell>
          <cell r="M1542" t="str">
            <v>god</v>
          </cell>
        </row>
        <row r="1543">
          <cell r="A1543">
            <v>8043</v>
          </cell>
          <cell r="B1543" t="str">
            <v>ja</v>
          </cell>
          <cell r="C1543" t="str">
            <v>サンリオキャラ大集合+アザゼル</v>
          </cell>
          <cell r="D1543" t="str">
            <v>サンリオキャラ大集合+アザゼル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green</v>
          </cell>
          <cell r="I1543">
            <v>5</v>
          </cell>
          <cell r="J1543" t="str">
            <v>DropWizS</v>
          </cell>
          <cell r="K1543" t="str">
            <v>technical</v>
          </cell>
          <cell r="L1543" t="str">
            <v>テクニカルタイプ</v>
          </cell>
          <cell r="M1543" t="str">
            <v>ss</v>
          </cell>
        </row>
        <row r="1544">
          <cell r="A1544">
            <v>8044</v>
          </cell>
          <cell r="B1544" t="str">
            <v>ja</v>
          </cell>
          <cell r="C1544" t="str">
            <v>サンリオキャラ大集合+アザゼル</v>
          </cell>
          <cell r="D1544" t="str">
            <v>サンリオキャラ大集合+アザゼル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green</v>
          </cell>
          <cell r="I1544">
            <v>6</v>
          </cell>
          <cell r="J1544" t="str">
            <v>DropWizS</v>
          </cell>
          <cell r="K1544" t="str">
            <v>technical</v>
          </cell>
          <cell r="L1544" t="str">
            <v>テクニカルタイプ</v>
          </cell>
          <cell r="M1544" t="str">
            <v>ss</v>
          </cell>
        </row>
        <row r="1545">
          <cell r="A1545">
            <v>8045</v>
          </cell>
          <cell r="B1545" t="str">
            <v>ja</v>
          </cell>
          <cell r="C1545" t="str">
            <v>ニムダ_サンリオキャラ混じり</v>
          </cell>
          <cell r="D1545" t="str">
            <v>ニムダ_サンリオキャラ混じり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yellow</v>
          </cell>
          <cell r="I1545">
            <v>4</v>
          </cell>
          <cell r="J1545" t="str">
            <v>Drop2N</v>
          </cell>
          <cell r="K1545" t="str">
            <v>technical</v>
          </cell>
          <cell r="L1545" t="str">
            <v>テクニカルタイプ</v>
          </cell>
          <cell r="M1545" t="str">
            <v>ss</v>
          </cell>
        </row>
        <row r="1546">
          <cell r="A1546">
            <v>8046</v>
          </cell>
          <cell r="B1546" t="str">
            <v>ja</v>
          </cell>
          <cell r="C1546" t="str">
            <v>ニムダ_サンリオキャラ混じり</v>
          </cell>
          <cell r="D1546" t="str">
            <v>ニムダ_サンリオキャラ混じり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yellow</v>
          </cell>
          <cell r="I1546">
            <v>5</v>
          </cell>
          <cell r="J1546" t="str">
            <v>Drop2N</v>
          </cell>
          <cell r="K1546" t="str">
            <v>technical</v>
          </cell>
          <cell r="L1546" t="str">
            <v>テクニカルタイプ</v>
          </cell>
          <cell r="M1546" t="str">
            <v>ss</v>
          </cell>
        </row>
        <row r="1547">
          <cell r="A1547">
            <v>8047</v>
          </cell>
          <cell r="B1547" t="str">
            <v>ja</v>
          </cell>
          <cell r="C1547" t="str">
            <v>ハローキティ</v>
          </cell>
          <cell r="D1547" t="str">
            <v>ハローキティ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4</v>
          </cell>
          <cell r="J1547" t="str">
            <v>Drop2N</v>
          </cell>
          <cell r="K1547" t="str">
            <v>balance</v>
          </cell>
          <cell r="L1547" t="str">
            <v>バランスタイプ</v>
          </cell>
          <cell r="M1547" t="str">
            <v>ss</v>
          </cell>
        </row>
        <row r="1548">
          <cell r="A1548">
            <v>8048</v>
          </cell>
          <cell r="B1548" t="str">
            <v>ja</v>
          </cell>
          <cell r="C1548" t="str">
            <v>ハローキティ</v>
          </cell>
          <cell r="D1548" t="str">
            <v>ハローキティ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5</v>
          </cell>
          <cell r="J1548" t="str">
            <v>Drop2N</v>
          </cell>
          <cell r="K1548" t="str">
            <v>balance</v>
          </cell>
          <cell r="L1548" t="str">
            <v>バランスタイプ</v>
          </cell>
          <cell r="M1548" t="str">
            <v>ss</v>
          </cell>
        </row>
        <row r="1549">
          <cell r="A1549">
            <v>8049</v>
          </cell>
          <cell r="B1549" t="str">
            <v>ja</v>
          </cell>
          <cell r="C1549" t="str">
            <v>KIRIMIちゃん</v>
          </cell>
          <cell r="D1549" t="str">
            <v>KIRIMIちゃん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4</v>
          </cell>
          <cell r="J1549" t="str">
            <v>Drop2N</v>
          </cell>
          <cell r="K1549" t="str">
            <v>hp</v>
          </cell>
          <cell r="L1549" t="str">
            <v>体力タイプ</v>
          </cell>
          <cell r="M1549" t="str">
            <v>ss</v>
          </cell>
        </row>
        <row r="1550">
          <cell r="A1550">
            <v>8050</v>
          </cell>
          <cell r="B1550" t="str">
            <v>ja</v>
          </cell>
          <cell r="C1550" t="str">
            <v>KIRIMIちゃん</v>
          </cell>
          <cell r="D1550" t="str">
            <v>KIRIMIちゃん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5</v>
          </cell>
          <cell r="J1550" t="str">
            <v>Drop2N</v>
          </cell>
          <cell r="K1550" t="str">
            <v>hp</v>
          </cell>
          <cell r="L1550" t="str">
            <v>体力タイプ</v>
          </cell>
          <cell r="M1550" t="str">
            <v>ss</v>
          </cell>
        </row>
        <row r="1551">
          <cell r="A1551">
            <v>8051</v>
          </cell>
          <cell r="B1551" t="str">
            <v>ja</v>
          </cell>
          <cell r="C1551" t="str">
            <v>ハローキティのリボン</v>
          </cell>
          <cell r="D1551" t="str">
            <v>ハローキティのリボン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5</v>
          </cell>
          <cell r="J1551" t="str">
            <v>Drop2N</v>
          </cell>
          <cell r="K1551" t="str">
            <v>evolution</v>
          </cell>
          <cell r="L1551" t="str">
            <v>覚醒素材タイプ</v>
          </cell>
          <cell r="M1551" t="str">
            <v>ss</v>
          </cell>
        </row>
        <row r="1552">
          <cell r="A1552">
            <v>8052</v>
          </cell>
          <cell r="B1552" t="str">
            <v>ja</v>
          </cell>
          <cell r="C1552" t="str">
            <v>ママの作ったアップルパイ</v>
          </cell>
          <cell r="D1552" t="str">
            <v>ママの作ったアップルパイ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4</v>
          </cell>
          <cell r="J1552" t="str">
            <v>Drop2N</v>
          </cell>
          <cell r="K1552" t="str">
            <v>evolution</v>
          </cell>
          <cell r="L1552" t="str">
            <v>覚醒素材タイプ</v>
          </cell>
          <cell r="M1552" t="str">
            <v>ss</v>
          </cell>
        </row>
        <row r="1553">
          <cell r="A1553">
            <v>8053</v>
          </cell>
          <cell r="B1553" t="str">
            <v>ja</v>
          </cell>
          <cell r="C1553" t="str">
            <v>D.R.T.H__キティコスプレ</v>
          </cell>
          <cell r="D1553" t="str">
            <v>D.R.T.H__キティコスプレ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red</v>
          </cell>
          <cell r="I1553">
            <v>5</v>
          </cell>
          <cell r="J1553" t="str">
            <v>PremiumSS</v>
          </cell>
          <cell r="K1553" t="str">
            <v>balance</v>
          </cell>
          <cell r="L1553" t="str">
            <v>バランスタイプ</v>
          </cell>
          <cell r="M1553" t="str">
            <v>ss</v>
          </cell>
        </row>
        <row r="1554">
          <cell r="A1554">
            <v>8054</v>
          </cell>
          <cell r="B1554" t="str">
            <v>ja</v>
          </cell>
          <cell r="C1554" t="str">
            <v>D.R.T.H__キティコスプレ</v>
          </cell>
          <cell r="D1554" t="str">
            <v>D.R.T.H__キティコスプレ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red</v>
          </cell>
          <cell r="I1554">
            <v>6</v>
          </cell>
          <cell r="J1554" t="str">
            <v>PremiumSS</v>
          </cell>
          <cell r="K1554" t="str">
            <v>balance</v>
          </cell>
          <cell r="L1554" t="str">
            <v>バランスタイプ</v>
          </cell>
          <cell r="M1554" t="str">
            <v>ss</v>
          </cell>
        </row>
        <row r="1555">
          <cell r="A1555">
            <v>8055</v>
          </cell>
          <cell r="B1555" t="str">
            <v>ja</v>
          </cell>
          <cell r="C1555" t="str">
            <v>マイメロディ</v>
          </cell>
          <cell r="D1555" t="str">
            <v>マイメロディ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red</v>
          </cell>
          <cell r="I1555">
            <v>4</v>
          </cell>
          <cell r="J1555" t="str">
            <v>PremiumS</v>
          </cell>
          <cell r="K1555" t="str">
            <v>attack</v>
          </cell>
          <cell r="L1555" t="str">
            <v>攻撃タイプ</v>
          </cell>
          <cell r="M1555" t="str">
            <v>ss</v>
          </cell>
        </row>
        <row r="1556">
          <cell r="A1556">
            <v>8056</v>
          </cell>
          <cell r="B1556" t="str">
            <v>ja</v>
          </cell>
          <cell r="C1556" t="str">
            <v>マイメロディ</v>
          </cell>
          <cell r="D1556" t="str">
            <v>マイメロディ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red</v>
          </cell>
          <cell r="I1556">
            <v>5</v>
          </cell>
          <cell r="J1556" t="str">
            <v>PremiumS</v>
          </cell>
          <cell r="K1556" t="str">
            <v>attack</v>
          </cell>
          <cell r="L1556" t="str">
            <v>攻撃タイプ</v>
          </cell>
          <cell r="M1556" t="str">
            <v>ss</v>
          </cell>
        </row>
        <row r="1557">
          <cell r="A1557">
            <v>8057</v>
          </cell>
          <cell r="B1557" t="str">
            <v>ja</v>
          </cell>
          <cell r="C1557" t="str">
            <v>ニーベルゲン_シナモロールコスプレ</v>
          </cell>
          <cell r="D1557" t="str">
            <v>ニーベルゲン_シナモロールコスプレ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4</v>
          </cell>
          <cell r="J1557" t="str">
            <v>PremiumS</v>
          </cell>
          <cell r="K1557" t="str">
            <v>balance</v>
          </cell>
          <cell r="L1557" t="str">
            <v>バランスタイプ</v>
          </cell>
          <cell r="M1557" t="str">
            <v>ss</v>
          </cell>
        </row>
        <row r="1558">
          <cell r="A1558">
            <v>8058</v>
          </cell>
          <cell r="B1558" t="str">
            <v>ja</v>
          </cell>
          <cell r="C1558" t="str">
            <v>ニーベルゲン_シナモロールコスプレ</v>
          </cell>
          <cell r="D1558" t="str">
            <v>ニーベルゲン_シナモロールコスプレ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5</v>
          </cell>
          <cell r="J1558" t="str">
            <v>PremiumS</v>
          </cell>
          <cell r="K1558" t="str">
            <v>balance</v>
          </cell>
          <cell r="L1558" t="str">
            <v>バランスタイプ</v>
          </cell>
          <cell r="M1558" t="str">
            <v>ss</v>
          </cell>
        </row>
        <row r="1559">
          <cell r="A1559">
            <v>8059</v>
          </cell>
          <cell r="B1559" t="str">
            <v>ja</v>
          </cell>
          <cell r="C1559" t="str">
            <v>カカシ_マイメロディコスプレ</v>
          </cell>
          <cell r="D1559" t="str">
            <v>カカシ_マイメロディコスプレ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green</v>
          </cell>
          <cell r="I1559">
            <v>4</v>
          </cell>
          <cell r="J1559" t="str">
            <v>PremiumS</v>
          </cell>
          <cell r="K1559" t="str">
            <v>technical</v>
          </cell>
          <cell r="L1559" t="str">
            <v>テクニカルタイプ</v>
          </cell>
          <cell r="M1559" t="str">
            <v>ss</v>
          </cell>
        </row>
        <row r="1560">
          <cell r="A1560">
            <v>8060</v>
          </cell>
          <cell r="B1560" t="str">
            <v>ja</v>
          </cell>
          <cell r="C1560" t="str">
            <v>カカシ_マイメロディコスプレ</v>
          </cell>
          <cell r="D1560" t="str">
            <v>カカシ_マイメロディコスプレ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green</v>
          </cell>
          <cell r="I1560">
            <v>5</v>
          </cell>
          <cell r="J1560" t="str">
            <v>PremiumS</v>
          </cell>
          <cell r="K1560" t="str">
            <v>technical</v>
          </cell>
          <cell r="L1560" t="str">
            <v>テクニカルタイプ</v>
          </cell>
          <cell r="M1560" t="str">
            <v>ss</v>
          </cell>
        </row>
        <row r="1561">
          <cell r="A1561">
            <v>8061</v>
          </cell>
          <cell r="B1561" t="str">
            <v>ja</v>
          </cell>
          <cell r="C1561" t="str">
            <v>ケロケロけろっぴ</v>
          </cell>
          <cell r="D1561" t="str">
            <v>ケロケロけろっぴ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green</v>
          </cell>
          <cell r="I1561">
            <v>3</v>
          </cell>
          <cell r="J1561" t="str">
            <v>PremiumS</v>
          </cell>
          <cell r="K1561" t="str">
            <v>balance</v>
          </cell>
          <cell r="L1561" t="str">
            <v>バランスタイプ</v>
          </cell>
          <cell r="M1561" t="str">
            <v>ss</v>
          </cell>
        </row>
        <row r="1562">
          <cell r="A1562">
            <v>8062</v>
          </cell>
          <cell r="B1562" t="str">
            <v>ja</v>
          </cell>
          <cell r="C1562" t="str">
            <v>ケロケロけろっぴ</v>
          </cell>
          <cell r="D1562" t="str">
            <v>ケロケロけろっぴ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green</v>
          </cell>
          <cell r="I1562">
            <v>4</v>
          </cell>
          <cell r="J1562" t="str">
            <v>PremiumS</v>
          </cell>
          <cell r="K1562" t="str">
            <v>balance</v>
          </cell>
          <cell r="L1562" t="str">
            <v>バランスタイプ</v>
          </cell>
          <cell r="M1562" t="str">
            <v>ss</v>
          </cell>
        </row>
        <row r="1563">
          <cell r="A1563">
            <v>8063</v>
          </cell>
          <cell r="B1563" t="str">
            <v>ja</v>
          </cell>
          <cell r="C1563" t="str">
            <v>モルドレッド_ポムポムプリンコスプレ</v>
          </cell>
          <cell r="D1563" t="str">
            <v>モルドレッド_ポムポムプリンコスプレ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5</v>
          </cell>
          <cell r="J1563" t="str">
            <v>PremiumSS</v>
          </cell>
          <cell r="K1563" t="str">
            <v>heal</v>
          </cell>
          <cell r="L1563" t="str">
            <v>回復タイプ</v>
          </cell>
          <cell r="M1563" t="str">
            <v>ss</v>
          </cell>
        </row>
        <row r="1564">
          <cell r="A1564">
            <v>8064</v>
          </cell>
          <cell r="B1564" t="str">
            <v>ja</v>
          </cell>
          <cell r="C1564" t="str">
            <v>モルドレッド_ポムポムプリンコスプレ</v>
          </cell>
          <cell r="D1564" t="str">
            <v>モルドレッド_ポムポムプリンコスプレ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6</v>
          </cell>
          <cell r="J1564" t="str">
            <v>PremiumSS</v>
          </cell>
          <cell r="K1564" t="str">
            <v>heal</v>
          </cell>
          <cell r="L1564" t="str">
            <v>回復タイプ</v>
          </cell>
          <cell r="M1564" t="str">
            <v>ss</v>
          </cell>
        </row>
        <row r="1565">
          <cell r="A1565">
            <v>8065</v>
          </cell>
          <cell r="B1565" t="str">
            <v>ja</v>
          </cell>
          <cell r="C1565" t="str">
            <v>クロミ</v>
          </cell>
          <cell r="D1565" t="str">
            <v>クロミ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blue</v>
          </cell>
          <cell r="I1565">
            <v>3</v>
          </cell>
          <cell r="J1565" t="str">
            <v>PremiumS</v>
          </cell>
          <cell r="K1565" t="str">
            <v>technical</v>
          </cell>
          <cell r="L1565" t="str">
            <v>テクニカルタイプ</v>
          </cell>
          <cell r="M1565" t="str">
            <v>ss</v>
          </cell>
        </row>
        <row r="1566">
          <cell r="A1566">
            <v>8066</v>
          </cell>
          <cell r="B1566" t="str">
            <v>ja</v>
          </cell>
          <cell r="C1566" t="str">
            <v>クロミ</v>
          </cell>
          <cell r="D1566" t="str">
            <v>クロミ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blue</v>
          </cell>
          <cell r="I1566">
            <v>4</v>
          </cell>
          <cell r="J1566" t="str">
            <v>PremiumS</v>
          </cell>
          <cell r="K1566" t="str">
            <v>technical</v>
          </cell>
          <cell r="L1566" t="str">
            <v>テクニカルタイプ</v>
          </cell>
          <cell r="M1566" t="str">
            <v>ss</v>
          </cell>
        </row>
        <row r="1567">
          <cell r="A1567">
            <v>8067</v>
          </cell>
          <cell r="B1567" t="str">
            <v>ja</v>
          </cell>
          <cell r="C1567" t="str">
            <v>バッドばつ丸</v>
          </cell>
          <cell r="D1567" t="str">
            <v>バッドばつ丸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blue</v>
          </cell>
          <cell r="I1567">
            <v>3</v>
          </cell>
          <cell r="J1567" t="str">
            <v>PremiumS</v>
          </cell>
          <cell r="K1567" t="str">
            <v>attack</v>
          </cell>
          <cell r="L1567" t="str">
            <v>攻撃タイプ</v>
          </cell>
          <cell r="M1567" t="str">
            <v>ss</v>
          </cell>
        </row>
        <row r="1568">
          <cell r="A1568">
            <v>8068</v>
          </cell>
          <cell r="B1568" t="str">
            <v>ja</v>
          </cell>
          <cell r="C1568" t="str">
            <v>バッドばつ丸</v>
          </cell>
          <cell r="D1568" t="str">
            <v>バッドばつ丸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blue</v>
          </cell>
          <cell r="I1568">
            <v>4</v>
          </cell>
          <cell r="J1568" t="str">
            <v>PremiumS</v>
          </cell>
          <cell r="K1568" t="str">
            <v>attack</v>
          </cell>
          <cell r="L1568" t="str">
            <v>攻撃タイプ</v>
          </cell>
          <cell r="M1568" t="str">
            <v>ss</v>
          </cell>
        </row>
        <row r="1569">
          <cell r="A1569">
            <v>8069</v>
          </cell>
          <cell r="B1569" t="str">
            <v>ja</v>
          </cell>
          <cell r="C1569" t="str">
            <v>シナモロール</v>
          </cell>
          <cell r="D1569" t="str">
            <v>シナモロール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4</v>
          </cell>
          <cell r="J1569" t="str">
            <v>PremiumS</v>
          </cell>
          <cell r="K1569" t="str">
            <v>heal</v>
          </cell>
          <cell r="L1569" t="str">
            <v>回復タイプ</v>
          </cell>
          <cell r="M1569" t="str">
            <v>ss</v>
          </cell>
        </row>
        <row r="1570">
          <cell r="A1570">
            <v>8070</v>
          </cell>
          <cell r="B1570" t="str">
            <v>ja</v>
          </cell>
          <cell r="C1570" t="str">
            <v>シナモロール</v>
          </cell>
          <cell r="D1570" t="str">
            <v>シナモロール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yellow</v>
          </cell>
          <cell r="I1570">
            <v>5</v>
          </cell>
          <cell r="J1570" t="str">
            <v>PremiumS</v>
          </cell>
          <cell r="K1570" t="str">
            <v>heal</v>
          </cell>
          <cell r="L1570" t="str">
            <v>回復タイプ</v>
          </cell>
          <cell r="M1570" t="str">
            <v>ss</v>
          </cell>
        </row>
        <row r="1571">
          <cell r="A1571">
            <v>8071</v>
          </cell>
          <cell r="B1571" t="str">
            <v>ja</v>
          </cell>
          <cell r="C1571" t="str">
            <v>ポムポムプリン</v>
          </cell>
          <cell r="D1571" t="str">
            <v>ポムポムプリン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yellow</v>
          </cell>
          <cell r="I1571">
            <v>3</v>
          </cell>
          <cell r="J1571" t="str">
            <v>PremiumS</v>
          </cell>
          <cell r="K1571" t="str">
            <v>hp</v>
          </cell>
          <cell r="L1571" t="str">
            <v>体力タイプ</v>
          </cell>
          <cell r="M1571" t="str">
            <v>ss</v>
          </cell>
        </row>
        <row r="1572">
          <cell r="A1572">
            <v>8072</v>
          </cell>
          <cell r="B1572" t="str">
            <v>ja</v>
          </cell>
          <cell r="C1572" t="str">
            <v>ポムポムプリン</v>
          </cell>
          <cell r="D1572" t="str">
            <v>ポムポムプリン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yellow</v>
          </cell>
          <cell r="I1572">
            <v>4</v>
          </cell>
          <cell r="J1572" t="str">
            <v>PremiumS</v>
          </cell>
          <cell r="K1572" t="str">
            <v>hp</v>
          </cell>
          <cell r="L1572" t="str">
            <v>体力タイプ</v>
          </cell>
          <cell r="M1572" t="str">
            <v>ss</v>
          </cell>
        </row>
        <row r="1573">
          <cell r="A1573">
            <v>8073</v>
          </cell>
          <cell r="B1573" t="str">
            <v>ja</v>
          </cell>
          <cell r="C1573" t="str">
            <v>星海祈る天光妃 媽祖</v>
          </cell>
          <cell r="D1573" t="str">
            <v>Expoミク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</row>
        <row r="1574">
          <cell r="A1574">
            <v>8074</v>
          </cell>
          <cell r="B1574" t="str">
            <v>ja</v>
          </cell>
          <cell r="C1574" t="str">
            <v>海戀の絶龍姫 蛟龍</v>
          </cell>
          <cell r="D1574" t="str">
            <v>Expoミク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DropWizS</v>
          </cell>
          <cell r="K1574" t="str">
            <v>hp</v>
          </cell>
          <cell r="L1574" t="str">
            <v>体力タイプ</v>
          </cell>
          <cell r="M1574" t="str">
            <v>dragon</v>
          </cell>
        </row>
        <row r="1575">
          <cell r="A1575">
            <v>8075</v>
          </cell>
          <cell r="B1575" t="str">
            <v>ja</v>
          </cell>
          <cell r="C1575" t="str">
            <v>三蔵法師_超覚醒</v>
          </cell>
          <cell r="D1575" t="str">
            <v>Expoミク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blue</v>
          </cell>
          <cell r="I1575">
            <v>6</v>
          </cell>
          <cell r="J1575" t="str">
            <v>PremiumSS</v>
          </cell>
          <cell r="K1575" t="str">
            <v>balance</v>
          </cell>
          <cell r="L1575" t="str">
            <v>バランスタイプ</v>
          </cell>
          <cell r="M1575" t="str">
            <v>god</v>
          </cell>
        </row>
        <row r="1576">
          <cell r="A1576">
            <v>8076</v>
          </cell>
          <cell r="B1576" t="str">
            <v>ja</v>
          </cell>
          <cell r="C1576" t="str">
            <v>孫悟空_超覚醒</v>
          </cell>
          <cell r="D1576" t="str">
            <v>Expoミク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  <cell r="K1576" t="str">
            <v>attack</v>
          </cell>
          <cell r="L1576" t="str">
            <v>攻撃タイプ</v>
          </cell>
          <cell r="M1576" t="str">
            <v>unknown</v>
          </cell>
        </row>
        <row r="1577">
          <cell r="A1577">
            <v>8077</v>
          </cell>
          <cell r="B1577" t="str">
            <v>ja</v>
          </cell>
          <cell r="C1577" t="str">
            <v>鄭成功</v>
          </cell>
          <cell r="D1577" t="str">
            <v>ポムポムプリン</v>
          </cell>
          <cell r="E1577" t="str">
            <v>執行者</v>
          </cell>
          <cell r="F1577" t="str">
            <v>格好いい</v>
          </cell>
          <cell r="G1577" t="str">
            <v>女性</v>
          </cell>
          <cell r="H1577" t="str">
            <v>blue</v>
          </cell>
          <cell r="I1577">
            <v>5</v>
          </cell>
          <cell r="J1577" t="str">
            <v>PremiumSS</v>
          </cell>
          <cell r="K1577" t="str">
            <v>attack</v>
          </cell>
          <cell r="L1577" t="str">
            <v>攻撃タイプ</v>
          </cell>
          <cell r="M1577" t="str">
            <v>human</v>
          </cell>
        </row>
        <row r="1578">
          <cell r="A1578">
            <v>8078</v>
          </cell>
          <cell r="B1578" t="str">
            <v>ja</v>
          </cell>
          <cell r="C1578" t="str">
            <v>レア６鄭成功</v>
          </cell>
          <cell r="D1578" t="str">
            <v>ポムポムプリン</v>
          </cell>
          <cell r="E1578" t="str">
            <v>執行者</v>
          </cell>
          <cell r="F1578" t="str">
            <v>格好いい</v>
          </cell>
          <cell r="G1578" t="str">
            <v>女性</v>
          </cell>
          <cell r="H1578" t="str">
            <v>blue</v>
          </cell>
          <cell r="I1578">
            <v>6</v>
          </cell>
          <cell r="J1578" t="str">
            <v>PremiumSS</v>
          </cell>
          <cell r="K1578" t="str">
            <v>attack</v>
          </cell>
          <cell r="L1578" t="str">
            <v>攻撃タイプ</v>
          </cell>
          <cell r="M1578" t="str">
            <v>human</v>
          </cell>
        </row>
        <row r="1579">
          <cell r="A1579">
            <v>8079</v>
          </cell>
          <cell r="B1579" t="str">
            <v>ja</v>
          </cell>
          <cell r="C1579" t="str">
            <v>赤鬼</v>
          </cell>
          <cell r="D1579" t="str">
            <v>ポムポムプリン</v>
          </cell>
          <cell r="E1579" t="str">
            <v>執行者</v>
          </cell>
          <cell r="F1579" t="str">
            <v>格好いい</v>
          </cell>
          <cell r="G1579" t="str">
            <v>女性</v>
          </cell>
          <cell r="H1579" t="str">
            <v>red</v>
          </cell>
          <cell r="I1579">
            <v>5</v>
          </cell>
          <cell r="J1579" t="str">
            <v>DropWizS</v>
          </cell>
          <cell r="K1579" t="str">
            <v>hp</v>
          </cell>
          <cell r="L1579" t="str">
            <v>体力タイプ</v>
          </cell>
          <cell r="M1579" t="str">
            <v>dragon</v>
          </cell>
        </row>
        <row r="1580">
          <cell r="A1580">
            <v>8080</v>
          </cell>
          <cell r="B1580" t="str">
            <v>ja</v>
          </cell>
          <cell r="C1580" t="str">
            <v>レア６赤鬼</v>
          </cell>
          <cell r="D1580" t="str">
            <v>ポムポムプリン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6</v>
          </cell>
          <cell r="J1580" t="str">
            <v>DropWizS</v>
          </cell>
          <cell r="K1580" t="str">
            <v>hp</v>
          </cell>
          <cell r="L1580" t="str">
            <v>体力タイプ</v>
          </cell>
          <cell r="M1580" t="str">
            <v>dragon</v>
          </cell>
        </row>
        <row r="1581">
          <cell r="A1581">
            <v>8081</v>
          </cell>
          <cell r="B1581" t="str">
            <v>ja</v>
          </cell>
          <cell r="C1581" t="str">
            <v>関羽</v>
          </cell>
          <cell r="D1581"/>
          <cell r="E1581"/>
          <cell r="F1581"/>
          <cell r="G1581"/>
          <cell r="H1581" t="str">
            <v>green</v>
          </cell>
          <cell r="I1581">
            <v>5</v>
          </cell>
          <cell r="J1581" t="str">
            <v>PremiumSSS</v>
          </cell>
          <cell r="K1581" t="str">
            <v>balance</v>
          </cell>
          <cell r="L1581" t="str">
            <v>バランスタイプ</v>
          </cell>
          <cell r="M1581" t="str">
            <v>samurai</v>
          </cell>
        </row>
        <row r="1582">
          <cell r="A1582">
            <v>8082</v>
          </cell>
          <cell r="B1582" t="str">
            <v>ja</v>
          </cell>
          <cell r="C1582" t="str">
            <v>★６関羽</v>
          </cell>
          <cell r="D1582"/>
          <cell r="E1582"/>
          <cell r="F1582"/>
          <cell r="G1582"/>
          <cell r="H1582" t="str">
            <v>green</v>
          </cell>
          <cell r="I1582">
            <v>6</v>
          </cell>
          <cell r="J1582" t="str">
            <v>PremiumSSS</v>
          </cell>
          <cell r="K1582" t="str">
            <v>balance</v>
          </cell>
          <cell r="L1582" t="str">
            <v>バランスタイプ</v>
          </cell>
          <cell r="M1582" t="str">
            <v>samurai</v>
          </cell>
        </row>
        <row r="1583">
          <cell r="A1583">
            <v>8083</v>
          </cell>
          <cell r="B1583" t="str">
            <v>ja</v>
          </cell>
          <cell r="C1583" t="str">
            <v>曹操</v>
          </cell>
          <cell r="D1583"/>
          <cell r="E1583"/>
          <cell r="F1583"/>
          <cell r="G1583"/>
          <cell r="H1583" t="str">
            <v>yellow</v>
          </cell>
          <cell r="I1583">
            <v>5</v>
          </cell>
          <cell r="J1583" t="str">
            <v>DropWizSS</v>
          </cell>
          <cell r="K1583" t="str">
            <v>technical</v>
          </cell>
          <cell r="L1583" t="str">
            <v>テクニカルタイプ</v>
          </cell>
          <cell r="M1583" t="str">
            <v>samurai</v>
          </cell>
        </row>
        <row r="1584">
          <cell r="A1584">
            <v>8084</v>
          </cell>
          <cell r="B1584" t="str">
            <v>ja</v>
          </cell>
          <cell r="C1584" t="str">
            <v>★６曹操</v>
          </cell>
          <cell r="D1584"/>
          <cell r="E1584"/>
          <cell r="F1584"/>
          <cell r="G1584"/>
          <cell r="H1584" t="str">
            <v>yellow</v>
          </cell>
          <cell r="I1584">
            <v>6</v>
          </cell>
          <cell r="J1584" t="str">
            <v>DropWizSS</v>
          </cell>
          <cell r="K1584" t="str">
            <v>technical</v>
          </cell>
          <cell r="L1584" t="str">
            <v>テクニカルタイプ</v>
          </cell>
          <cell r="M1584" t="str">
            <v>samurai</v>
          </cell>
        </row>
        <row r="1585">
          <cell r="A1585">
            <v>8087</v>
          </cell>
          <cell r="B1585" t="str">
            <v>ja</v>
          </cell>
          <cell r="C1585" t="str">
            <v>財神</v>
          </cell>
          <cell r="D1585"/>
          <cell r="E1585"/>
          <cell r="F1585"/>
          <cell r="G1585"/>
          <cell r="H1585" t="str">
            <v>red</v>
          </cell>
          <cell r="I1585">
            <v>5</v>
          </cell>
          <cell r="J1585" t="str">
            <v>PremiumSSS</v>
          </cell>
          <cell r="K1585" t="str">
            <v>technical</v>
          </cell>
          <cell r="L1585" t="str">
            <v>テクニカルタイプ</v>
          </cell>
          <cell r="M1585" t="str">
            <v>god</v>
          </cell>
        </row>
        <row r="1586">
          <cell r="A1586">
            <v>8088</v>
          </cell>
          <cell r="B1586" t="str">
            <v>ja</v>
          </cell>
          <cell r="C1586" t="str">
            <v>★６財神</v>
          </cell>
          <cell r="D1586"/>
          <cell r="E1586"/>
          <cell r="F1586"/>
          <cell r="G1586"/>
          <cell r="H1586" t="str">
            <v>red</v>
          </cell>
          <cell r="I1586">
            <v>6</v>
          </cell>
          <cell r="J1586" t="str">
            <v>PremiumSSS</v>
          </cell>
          <cell r="K1586" t="str">
            <v>technical</v>
          </cell>
          <cell r="L1586" t="str">
            <v>テクニカルタイプ</v>
          </cell>
          <cell r="M1586" t="str">
            <v>god</v>
          </cell>
        </row>
        <row r="1587">
          <cell r="A1587">
            <v>8089</v>
          </cell>
          <cell r="B1587" t="str">
            <v>ja</v>
          </cell>
          <cell r="C1587" t="str">
            <v>年獣</v>
          </cell>
          <cell r="D1587"/>
          <cell r="E1587"/>
          <cell r="F1587"/>
          <cell r="G1587"/>
          <cell r="H1587" t="str">
            <v>green</v>
          </cell>
          <cell r="I1587">
            <v>5</v>
          </cell>
          <cell r="J1587" t="str">
            <v>DropWizS</v>
          </cell>
          <cell r="K1587" t="str">
            <v>attack</v>
          </cell>
          <cell r="L1587" t="str">
            <v>攻撃タイプ</v>
          </cell>
          <cell r="M1587" t="str">
            <v>animal</v>
          </cell>
        </row>
        <row r="1588">
          <cell r="A1588">
            <v>8090</v>
          </cell>
          <cell r="B1588" t="str">
            <v>ja</v>
          </cell>
          <cell r="C1588" t="str">
            <v>★６年獣</v>
          </cell>
          <cell r="D1588"/>
          <cell r="E1588"/>
          <cell r="F1588"/>
          <cell r="G1588"/>
          <cell r="H1588" t="str">
            <v>green</v>
          </cell>
          <cell r="I1588">
            <v>6</v>
          </cell>
          <cell r="J1588" t="str">
            <v>DropWizS</v>
          </cell>
          <cell r="K1588" t="str">
            <v>attack</v>
          </cell>
          <cell r="L1588" t="str">
            <v>攻撃タイプ</v>
          </cell>
          <cell r="M1588" t="str">
            <v>animal</v>
          </cell>
        </row>
        <row r="1589">
          <cell r="A1589">
            <v>8095</v>
          </cell>
          <cell r="B1589" t="str">
            <v>ja</v>
          </cell>
          <cell r="C1589" t="str">
            <v>バハムートダック赤</v>
          </cell>
          <cell r="D1589" t="str">
            <v>ポムポムプリン</v>
          </cell>
          <cell r="E1589" t="str">
            <v>執行者</v>
          </cell>
          <cell r="F1589" t="str">
            <v>格好いい</v>
          </cell>
          <cell r="G1589" t="str">
            <v>女性</v>
          </cell>
          <cell r="H1589" t="str">
            <v>red</v>
          </cell>
          <cell r="I1589">
            <v>6</v>
          </cell>
          <cell r="J1589" t="str">
            <v>Material</v>
          </cell>
          <cell r="K1589" t="str">
            <v>exp</v>
          </cell>
          <cell r="L1589" t="str">
            <v>強化素材タイプ</v>
          </cell>
          <cell r="M1589" t="str">
            <v>unknown</v>
          </cell>
        </row>
        <row r="1590">
          <cell r="A1590">
            <v>8096</v>
          </cell>
          <cell r="B1590" t="str">
            <v>ja</v>
          </cell>
          <cell r="C1590" t="str">
            <v>バハムートダック緑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green</v>
          </cell>
          <cell r="I1590">
            <v>6</v>
          </cell>
          <cell r="J1590" t="str">
            <v>Material</v>
          </cell>
          <cell r="K1590" t="str">
            <v>exp</v>
          </cell>
          <cell r="L1590" t="str">
            <v>強化素材タイプ</v>
          </cell>
          <cell r="M1590" t="str">
            <v>unknown</v>
          </cell>
        </row>
        <row r="1591">
          <cell r="A1591">
            <v>8097</v>
          </cell>
          <cell r="B1591" t="str">
            <v>ja</v>
          </cell>
          <cell r="C1591" t="str">
            <v>バハムートダック青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blue</v>
          </cell>
          <cell r="I1591">
            <v>6</v>
          </cell>
          <cell r="J1591" t="str">
            <v>Material</v>
          </cell>
          <cell r="K1591" t="str">
            <v>exp</v>
          </cell>
          <cell r="L1591" t="str">
            <v>強化素材タイプ</v>
          </cell>
          <cell r="M1591" t="str">
            <v>unknown</v>
          </cell>
        </row>
        <row r="1592">
          <cell r="A1592">
            <v>8098</v>
          </cell>
          <cell r="B1592" t="str">
            <v>ja</v>
          </cell>
          <cell r="C1592" t="str">
            <v>バハムートダック黄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yellow</v>
          </cell>
          <cell r="I1592">
            <v>6</v>
          </cell>
          <cell r="J1592" t="str">
            <v>Material</v>
          </cell>
          <cell r="K1592" t="str">
            <v>exp</v>
          </cell>
          <cell r="L1592" t="str">
            <v>強化素材タイプ</v>
          </cell>
          <cell r="M1592" t="str">
            <v>unknown</v>
          </cell>
        </row>
        <row r="1593">
          <cell r="A1593">
            <v>8099</v>
          </cell>
          <cell r="B1593" t="str">
            <v>ja</v>
          </cell>
          <cell r="C1593" t="str">
            <v>リトルハンプティ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Material</v>
          </cell>
          <cell r="K1593" t="str">
            <v>evolution</v>
          </cell>
          <cell r="L1593" t="str">
            <v>覚醒素材タイプ</v>
          </cell>
          <cell r="M1593" t="str">
            <v>unknown</v>
          </cell>
        </row>
        <row r="1594">
          <cell r="A1594">
            <v>9001</v>
          </cell>
          <cell r="B1594" t="str">
            <v>ja</v>
          </cell>
          <cell r="C1594" t="str">
            <v>春香</v>
          </cell>
          <cell r="D1594" t="str">
            <v>ポムポムプリン</v>
          </cell>
          <cell r="E1594" t="str">
            <v>執行者</v>
          </cell>
          <cell r="F1594" t="str">
            <v>格好いい</v>
          </cell>
          <cell r="G1594" t="str">
            <v>女性</v>
          </cell>
          <cell r="H1594" t="str">
            <v>red</v>
          </cell>
          <cell r="I1594">
            <v>5</v>
          </cell>
          <cell r="J1594" t="str">
            <v>PremiumSSw</v>
          </cell>
          <cell r="K1594" t="str">
            <v>attack</v>
          </cell>
          <cell r="L1594" t="str">
            <v>攻撃タイプ</v>
          </cell>
          <cell r="M1594" t="str">
            <v>human</v>
          </cell>
        </row>
        <row r="1595">
          <cell r="A1595">
            <v>9002</v>
          </cell>
          <cell r="B1595" t="str">
            <v>ja</v>
          </cell>
          <cell r="C1595" t="str">
            <v>春香★６</v>
          </cell>
          <cell r="D1595" t="str">
            <v>ポムポムプリン</v>
          </cell>
          <cell r="E1595" t="str">
            <v>執行者</v>
          </cell>
          <cell r="F1595" t="str">
            <v>格好いい</v>
          </cell>
          <cell r="G1595" t="str">
            <v>女性</v>
          </cell>
          <cell r="H1595" t="str">
            <v>red</v>
          </cell>
          <cell r="I1595">
            <v>6</v>
          </cell>
          <cell r="J1595" t="str">
            <v>PremiumSSw</v>
          </cell>
          <cell r="K1595" t="str">
            <v>attack</v>
          </cell>
          <cell r="L1595" t="str">
            <v>攻撃タイプ</v>
          </cell>
          <cell r="M1595" t="str">
            <v>human</v>
          </cell>
        </row>
        <row r="1596">
          <cell r="A1596">
            <v>9003</v>
          </cell>
          <cell r="B1596" t="str">
            <v>ja</v>
          </cell>
          <cell r="C1596" t="str">
            <v>夢龍</v>
          </cell>
          <cell r="D1596" t="str">
            <v>ポムポムプリン</v>
          </cell>
          <cell r="E1596" t="str">
            <v>執行者</v>
          </cell>
          <cell r="F1596" t="str">
            <v>格好いい</v>
          </cell>
          <cell r="G1596" t="str">
            <v>女性</v>
          </cell>
          <cell r="H1596" t="str">
            <v>green</v>
          </cell>
          <cell r="I1596">
            <v>5</v>
          </cell>
          <cell r="J1596" t="str">
            <v>DropWizS</v>
          </cell>
          <cell r="K1596" t="str">
            <v>technical</v>
          </cell>
          <cell r="L1596" t="str">
            <v>テクニカルタイプ</v>
          </cell>
          <cell r="M1596" t="str">
            <v>human</v>
          </cell>
        </row>
        <row r="1597">
          <cell r="A1597">
            <v>9004</v>
          </cell>
          <cell r="B1597" t="str">
            <v>ja</v>
          </cell>
          <cell r="C1597" t="str">
            <v>夢龍★６</v>
          </cell>
          <cell r="D1597" t="str">
            <v>各属性相性良3・黄・R455</v>
          </cell>
          <cell r="E1597" t="str">
            <v>執行者</v>
          </cell>
          <cell r="F1597" t="str">
            <v>格好いい</v>
          </cell>
          <cell r="G1597" t="str">
            <v>男性</v>
          </cell>
          <cell r="H1597" t="str">
            <v>green</v>
          </cell>
          <cell r="I1597">
            <v>6</v>
          </cell>
          <cell r="J1597" t="str">
            <v>DropWizS</v>
          </cell>
          <cell r="K1597" t="str">
            <v>technical</v>
          </cell>
          <cell r="L1597" t="str">
            <v>テクニカルタイプ</v>
          </cell>
          <cell r="M1597" t="str">
            <v>human</v>
          </cell>
        </row>
        <row r="1598">
          <cell r="A1598">
            <v>10001</v>
          </cell>
          <cell r="B1598" t="str">
            <v>ja</v>
          </cell>
          <cell r="C1598" t="str">
            <v>テストユニット01</v>
          </cell>
          <cell r="D1598"/>
          <cell r="E1598"/>
          <cell r="F1598"/>
          <cell r="G1598"/>
          <cell r="H1598" t="str">
            <v>yellow</v>
          </cell>
          <cell r="I1598">
            <v>6</v>
          </cell>
          <cell r="J1598" t="str">
            <v>PremiumSS</v>
          </cell>
          <cell r="K1598" t="str">
            <v>balance</v>
          </cell>
          <cell r="L1598" t="str">
            <v>バランスタイプ</v>
          </cell>
          <cell r="M1598" t="str">
            <v>god</v>
          </cell>
        </row>
        <row r="1599">
          <cell r="A1599">
            <v>10002</v>
          </cell>
          <cell r="B1599" t="str">
            <v>ja</v>
          </cell>
          <cell r="C1599" t="str">
            <v>テストユニット02</v>
          </cell>
          <cell r="D1599"/>
          <cell r="E1599"/>
          <cell r="F1599"/>
          <cell r="G1599"/>
          <cell r="H1599" t="str">
            <v>yellow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demon</v>
          </cell>
        </row>
        <row r="1600">
          <cell r="A1600">
            <v>10003</v>
          </cell>
          <cell r="B1600" t="str">
            <v>ja</v>
          </cell>
          <cell r="C1600" t="str">
            <v>テストユニット03</v>
          </cell>
          <cell r="D1600"/>
          <cell r="E1600"/>
          <cell r="F1600"/>
          <cell r="G1600"/>
          <cell r="H1600" t="str">
            <v>red</v>
          </cell>
          <cell r="I1600">
            <v>5</v>
          </cell>
          <cell r="J1600" t="str">
            <v>PremiumSSS</v>
          </cell>
          <cell r="K1600" t="str">
            <v>technical</v>
          </cell>
          <cell r="L1600" t="str">
            <v>テクニカルタイプ</v>
          </cell>
          <cell r="M1600" t="str">
            <v>academia</v>
          </cell>
        </row>
        <row r="1601">
          <cell r="A1601">
            <v>10004</v>
          </cell>
          <cell r="B1601" t="str">
            <v>ja</v>
          </cell>
          <cell r="C1601" t="str">
            <v>テストユニット04</v>
          </cell>
          <cell r="D1601"/>
          <cell r="E1601"/>
          <cell r="F1601"/>
          <cell r="G1601"/>
          <cell r="H1601" t="str">
            <v>red</v>
          </cell>
          <cell r="I1601">
            <v>6</v>
          </cell>
          <cell r="J1601" t="str">
            <v>PremiumSSS</v>
          </cell>
          <cell r="K1601" t="str">
            <v>technical</v>
          </cell>
          <cell r="L1601" t="str">
            <v>テクニカルタイプ</v>
          </cell>
          <cell r="M1601" t="str">
            <v>academia</v>
          </cell>
        </row>
        <row r="1602">
          <cell r="A1602">
            <v>10005</v>
          </cell>
          <cell r="B1602" t="str">
            <v>ja</v>
          </cell>
          <cell r="C1602" t="str">
            <v>テストユニット05</v>
          </cell>
          <cell r="D1602"/>
          <cell r="E1602"/>
          <cell r="F1602"/>
          <cell r="G1602"/>
          <cell r="H1602" t="str">
            <v>green</v>
          </cell>
          <cell r="I1602">
            <v>5</v>
          </cell>
          <cell r="J1602" t="str">
            <v>PremiumSSS</v>
          </cell>
          <cell r="K1602" t="str">
            <v>hp</v>
          </cell>
          <cell r="L1602" t="str">
            <v>体力タイプ</v>
          </cell>
          <cell r="M1602" t="str">
            <v>god</v>
          </cell>
        </row>
        <row r="1603">
          <cell r="A1603">
            <v>10006</v>
          </cell>
          <cell r="B1603" t="str">
            <v>ja</v>
          </cell>
          <cell r="C1603" t="str">
            <v>テストユニット06</v>
          </cell>
          <cell r="D1603"/>
          <cell r="E1603"/>
          <cell r="F1603"/>
          <cell r="G1603"/>
          <cell r="H1603" t="str">
            <v>green</v>
          </cell>
          <cell r="I1603">
            <v>6</v>
          </cell>
          <cell r="J1603" t="str">
            <v>PremiumSSS</v>
          </cell>
          <cell r="K1603" t="str">
            <v>hp</v>
          </cell>
          <cell r="L1603" t="str">
            <v>体力タイプ</v>
          </cell>
          <cell r="M1603" t="str">
            <v>god</v>
          </cell>
        </row>
        <row r="1604">
          <cell r="A1604">
            <v>10007</v>
          </cell>
          <cell r="B1604" t="str">
            <v>ja</v>
          </cell>
          <cell r="C1604" t="str">
            <v>テストユニット07</v>
          </cell>
          <cell r="D1604"/>
          <cell r="E1604"/>
          <cell r="F1604"/>
          <cell r="G1604"/>
          <cell r="H1604" t="str">
            <v>yellow</v>
          </cell>
          <cell r="I1604">
            <v>5</v>
          </cell>
          <cell r="J1604" t="str">
            <v>PremiumSSS</v>
          </cell>
          <cell r="K1604" t="str">
            <v>technical</v>
          </cell>
          <cell r="L1604" t="str">
            <v>テクニカルタイプ</v>
          </cell>
          <cell r="M1604" t="str">
            <v>machine</v>
          </cell>
        </row>
        <row r="1605">
          <cell r="A1605">
            <v>10008</v>
          </cell>
          <cell r="B1605" t="str">
            <v>ja</v>
          </cell>
          <cell r="C1605" t="str">
            <v>テストユニット08</v>
          </cell>
          <cell r="D1605"/>
          <cell r="E1605"/>
          <cell r="F1605"/>
          <cell r="G1605"/>
          <cell r="H1605" t="str">
            <v>yellow</v>
          </cell>
          <cell r="I1605">
            <v>6</v>
          </cell>
          <cell r="J1605" t="str">
            <v>PremiumSSS</v>
          </cell>
          <cell r="K1605" t="str">
            <v>technical</v>
          </cell>
          <cell r="L1605" t="str">
            <v>テクニカルタイプ</v>
          </cell>
          <cell r="M1605" t="str">
            <v>machine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42" customWidth="1"/>
    <col min="2" max="16384" width="13" style="42"/>
  </cols>
  <sheetData>
    <row r="1" spans="1:13" x14ac:dyDescent="0.15">
      <c r="A1" s="42" t="s">
        <v>78</v>
      </c>
      <c r="B1" s="42" t="s">
        <v>79</v>
      </c>
    </row>
    <row r="2" spans="1:13" x14ac:dyDescent="0.15">
      <c r="A2" s="42" t="s">
        <v>80</v>
      </c>
      <c r="B2" s="42" t="s">
        <v>81</v>
      </c>
      <c r="C2" s="42" t="s">
        <v>82</v>
      </c>
      <c r="D2" s="42" t="s">
        <v>83</v>
      </c>
      <c r="E2" s="42" t="s">
        <v>84</v>
      </c>
      <c r="F2" s="42" t="s">
        <v>85</v>
      </c>
      <c r="G2" s="42" t="s">
        <v>86</v>
      </c>
      <c r="H2" s="42" t="s">
        <v>87</v>
      </c>
    </row>
    <row r="3" spans="1:13" x14ac:dyDescent="0.15">
      <c r="A3" s="42">
        <v>3</v>
      </c>
      <c r="B3" s="43" t="s">
        <v>88</v>
      </c>
      <c r="C3" s="43" t="s">
        <v>89</v>
      </c>
      <c r="D3" s="42">
        <v>0</v>
      </c>
      <c r="E3" s="43" t="s">
        <v>90</v>
      </c>
      <c r="F3" s="42">
        <v>0</v>
      </c>
      <c r="G3" s="42">
        <v>0</v>
      </c>
      <c r="H3" s="44">
        <v>0.5</v>
      </c>
    </row>
    <row r="4" spans="1:13" x14ac:dyDescent="0.15">
      <c r="A4" s="42">
        <v>4</v>
      </c>
      <c r="B4" s="43" t="s">
        <v>91</v>
      </c>
      <c r="C4" s="43" t="s">
        <v>92</v>
      </c>
      <c r="D4" s="43" t="s">
        <v>93</v>
      </c>
      <c r="E4" s="43" t="s">
        <v>94</v>
      </c>
      <c r="F4" s="43" t="s">
        <v>95</v>
      </c>
      <c r="G4" s="42">
        <v>0</v>
      </c>
      <c r="H4" s="44">
        <v>0.45</v>
      </c>
    </row>
    <row r="5" spans="1:13" x14ac:dyDescent="0.15">
      <c r="A5" s="42">
        <v>5</v>
      </c>
      <c r="B5" s="45">
        <v>0</v>
      </c>
      <c r="C5" s="43" t="s">
        <v>96</v>
      </c>
      <c r="D5" s="43" t="s">
        <v>97</v>
      </c>
      <c r="E5" s="43" t="s">
        <v>98</v>
      </c>
      <c r="F5" s="43" t="s">
        <v>99</v>
      </c>
      <c r="G5" s="43" t="s">
        <v>100</v>
      </c>
      <c r="H5" s="44">
        <v>0.05</v>
      </c>
    </row>
    <row r="6" spans="1:13" x14ac:dyDescent="0.15">
      <c r="B6" s="44" t="s">
        <v>101</v>
      </c>
      <c r="C6" s="44" t="s">
        <v>101</v>
      </c>
      <c r="D6" s="44" t="s">
        <v>102</v>
      </c>
      <c r="E6" s="44" t="s">
        <v>101</v>
      </c>
      <c r="F6" s="44" t="s">
        <v>101</v>
      </c>
      <c r="G6" s="46" t="s">
        <v>103</v>
      </c>
      <c r="H6" s="44">
        <v>1</v>
      </c>
    </row>
    <row r="7" spans="1:13" x14ac:dyDescent="0.15">
      <c r="B7" s="44"/>
      <c r="C7" s="44"/>
      <c r="D7" s="44"/>
      <c r="E7" s="44"/>
      <c r="F7" s="44"/>
      <c r="G7" s="46"/>
      <c r="H7" s="44"/>
    </row>
    <row r="8" spans="1:13" x14ac:dyDescent="0.15">
      <c r="A8" s="42" t="s">
        <v>104</v>
      </c>
      <c r="B8" s="44"/>
      <c r="C8" s="44"/>
      <c r="D8" s="44"/>
      <c r="E8" s="44"/>
      <c r="F8" s="44"/>
      <c r="G8" s="46"/>
      <c r="H8" s="44"/>
    </row>
    <row r="9" spans="1:13" x14ac:dyDescent="0.15">
      <c r="A9" s="42" t="s">
        <v>105</v>
      </c>
      <c r="B9" s="44"/>
      <c r="C9" s="44"/>
      <c r="D9" s="44"/>
      <c r="E9" s="44"/>
      <c r="F9" s="44"/>
      <c r="G9" s="46"/>
      <c r="H9" s="44"/>
    </row>
    <row r="10" spans="1:13" x14ac:dyDescent="0.15">
      <c r="A10" s="42" t="s">
        <v>106</v>
      </c>
      <c r="B10" s="44"/>
      <c r="C10" s="44"/>
      <c r="D10" s="44"/>
      <c r="E10" s="44"/>
      <c r="F10" s="44"/>
      <c r="G10" s="46"/>
      <c r="H10" s="44"/>
    </row>
    <row r="11" spans="1:13" x14ac:dyDescent="0.15">
      <c r="A11" s="42" t="s">
        <v>107</v>
      </c>
      <c r="B11" s="44"/>
      <c r="C11" s="44"/>
      <c r="D11" s="44"/>
      <c r="E11" s="44"/>
      <c r="F11" s="44"/>
      <c r="G11" s="46"/>
      <c r="H11" s="44"/>
    </row>
    <row r="12" spans="1:13" x14ac:dyDescent="0.15">
      <c r="A12" s="42" t="s">
        <v>100</v>
      </c>
      <c r="B12" s="44" t="s">
        <v>108</v>
      </c>
      <c r="C12" s="44" t="s">
        <v>109</v>
      </c>
      <c r="D12" s="44"/>
      <c r="E12" s="44"/>
      <c r="F12" s="44"/>
      <c r="G12" s="46"/>
      <c r="H12" s="44"/>
    </row>
    <row r="13" spans="1:13" x14ac:dyDescent="0.15">
      <c r="A13" s="42" t="s">
        <v>110</v>
      </c>
      <c r="B13" s="42" t="s">
        <v>111</v>
      </c>
      <c r="C13" s="42" t="s">
        <v>112</v>
      </c>
    </row>
    <row r="14" spans="1:13" x14ac:dyDescent="0.15">
      <c r="A14" s="42" t="s">
        <v>113</v>
      </c>
      <c r="B14" s="42" t="s">
        <v>108</v>
      </c>
      <c r="C14" s="45" t="s">
        <v>114</v>
      </c>
      <c r="E14" s="45"/>
      <c r="F14" s="45"/>
      <c r="M14" s="44"/>
    </row>
    <row r="15" spans="1:13" x14ac:dyDescent="0.15">
      <c r="A15" s="42" t="s">
        <v>90</v>
      </c>
      <c r="B15" s="44" t="s">
        <v>108</v>
      </c>
      <c r="C15" s="44" t="s">
        <v>115</v>
      </c>
      <c r="H15" s="47"/>
      <c r="M15" s="44"/>
    </row>
    <row r="16" spans="1:13" x14ac:dyDescent="0.15">
      <c r="A16" s="42" t="s">
        <v>94</v>
      </c>
      <c r="B16" s="44" t="s">
        <v>108</v>
      </c>
      <c r="C16" s="44" t="s">
        <v>116</v>
      </c>
      <c r="M16" s="44"/>
    </row>
    <row r="17" spans="1:13" x14ac:dyDescent="0.15">
      <c r="A17" s="42" t="s">
        <v>117</v>
      </c>
      <c r="B17" s="44" t="s">
        <v>108</v>
      </c>
      <c r="C17" s="44" t="s">
        <v>118</v>
      </c>
      <c r="M17" s="44"/>
    </row>
    <row r="18" spans="1:13" x14ac:dyDescent="0.15">
      <c r="B18" s="44"/>
      <c r="C18" s="44"/>
    </row>
    <row r="19" spans="1:13" x14ac:dyDescent="0.15">
      <c r="A19" s="42" t="s">
        <v>119</v>
      </c>
    </row>
    <row r="20" spans="1:13" x14ac:dyDescent="0.15">
      <c r="A20" s="42" t="s">
        <v>120</v>
      </c>
      <c r="B20" s="44"/>
      <c r="C20" s="44"/>
    </row>
    <row r="21" spans="1:13" x14ac:dyDescent="0.15">
      <c r="A21" s="42" t="s">
        <v>121</v>
      </c>
      <c r="B21" s="44" t="s">
        <v>122</v>
      </c>
      <c r="C21" s="44" t="s">
        <v>123</v>
      </c>
      <c r="D21" s="42" t="s">
        <v>124</v>
      </c>
    </row>
    <row r="22" spans="1:13" x14ac:dyDescent="0.15">
      <c r="A22" s="42" t="s">
        <v>125</v>
      </c>
      <c r="B22" s="44" t="s">
        <v>108</v>
      </c>
      <c r="C22" s="44" t="s">
        <v>126</v>
      </c>
      <c r="D22" s="42" t="s">
        <v>127</v>
      </c>
    </row>
    <row r="23" spans="1:13" x14ac:dyDescent="0.15">
      <c r="A23" s="42" t="s">
        <v>128</v>
      </c>
      <c r="B23" s="44" t="s">
        <v>108</v>
      </c>
      <c r="C23" s="42" t="s">
        <v>129</v>
      </c>
      <c r="D23" s="42" t="s">
        <v>130</v>
      </c>
    </row>
    <row r="24" spans="1:13" x14ac:dyDescent="0.15">
      <c r="A24" s="42" t="s">
        <v>131</v>
      </c>
      <c r="B24" s="44" t="s">
        <v>108</v>
      </c>
      <c r="C24" s="44" t="s">
        <v>132</v>
      </c>
      <c r="D24" s="42" t="s">
        <v>133</v>
      </c>
    </row>
    <row r="25" spans="1:13" x14ac:dyDescent="0.15">
      <c r="A25" s="42" t="s">
        <v>134</v>
      </c>
      <c r="B25" s="44" t="s">
        <v>108</v>
      </c>
      <c r="C25" s="44" t="s">
        <v>135</v>
      </c>
      <c r="D25" s="42" t="s">
        <v>136</v>
      </c>
    </row>
    <row r="26" spans="1:13" x14ac:dyDescent="0.15">
      <c r="A26" s="42" t="s">
        <v>137</v>
      </c>
      <c r="B26" s="44" t="s">
        <v>108</v>
      </c>
      <c r="C26" s="44" t="s">
        <v>138</v>
      </c>
      <c r="D26" s="42" t="s">
        <v>139</v>
      </c>
    </row>
    <row r="27" spans="1:13" x14ac:dyDescent="0.15">
      <c r="A27" s="42" t="s">
        <v>140</v>
      </c>
      <c r="B27" s="44" t="s">
        <v>108</v>
      </c>
      <c r="C27" s="44" t="s">
        <v>102</v>
      </c>
      <c r="D27" s="42" t="s">
        <v>141</v>
      </c>
      <c r="E27" s="42" t="s">
        <v>142</v>
      </c>
    </row>
    <row r="28" spans="1:13" x14ac:dyDescent="0.15">
      <c r="A28" s="42" t="s">
        <v>89</v>
      </c>
      <c r="B28" s="44" t="s">
        <v>108</v>
      </c>
      <c r="C28" s="44" t="s">
        <v>143</v>
      </c>
      <c r="E28" s="42" t="s">
        <v>144</v>
      </c>
    </row>
    <row r="29" spans="1:13" x14ac:dyDescent="0.15">
      <c r="A29" s="42" t="s">
        <v>92</v>
      </c>
      <c r="B29" s="44" t="s">
        <v>108</v>
      </c>
      <c r="C29" s="44" t="s">
        <v>145</v>
      </c>
    </row>
    <row r="30" spans="1:13" x14ac:dyDescent="0.15">
      <c r="B30" s="44"/>
    </row>
    <row r="31" spans="1:13" x14ac:dyDescent="0.15">
      <c r="A31" s="42" t="s">
        <v>146</v>
      </c>
    </row>
    <row r="32" spans="1:13" x14ac:dyDescent="0.15">
      <c r="A32" s="42" t="s">
        <v>147</v>
      </c>
      <c r="B32" s="44" t="s">
        <v>108</v>
      </c>
      <c r="C32" s="44" t="s">
        <v>148</v>
      </c>
    </row>
    <row r="33" spans="1:3" x14ac:dyDescent="0.15">
      <c r="A33" s="42" t="s">
        <v>92</v>
      </c>
      <c r="B33" s="44" t="s">
        <v>108</v>
      </c>
      <c r="C33" s="44" t="s">
        <v>149</v>
      </c>
    </row>
    <row r="34" spans="1:3" x14ac:dyDescent="0.15">
      <c r="A34" s="42" t="s">
        <v>89</v>
      </c>
      <c r="B34" s="44" t="s">
        <v>108</v>
      </c>
      <c r="C34" s="44" t="s">
        <v>150</v>
      </c>
    </row>
    <row r="35" spans="1:3" x14ac:dyDescent="0.15">
      <c r="A35" s="42" t="s">
        <v>88</v>
      </c>
      <c r="B35" s="44" t="s">
        <v>108</v>
      </c>
      <c r="C35" s="44" t="s">
        <v>151</v>
      </c>
    </row>
    <row r="36" spans="1:3" x14ac:dyDescent="0.15">
      <c r="A36" s="42" t="s">
        <v>91</v>
      </c>
      <c r="B36" s="44" t="s">
        <v>108</v>
      </c>
      <c r="C36" s="44" t="s">
        <v>152</v>
      </c>
    </row>
    <row r="37" spans="1:3" x14ac:dyDescent="0.15">
      <c r="A37" s="42" t="s">
        <v>97</v>
      </c>
      <c r="B37" s="44" t="s">
        <v>108</v>
      </c>
      <c r="C37" s="44" t="s">
        <v>153</v>
      </c>
    </row>
    <row r="38" spans="1:3" x14ac:dyDescent="0.15">
      <c r="A38" s="42" t="s">
        <v>93</v>
      </c>
      <c r="B38" s="44" t="s">
        <v>108</v>
      </c>
      <c r="C38" s="44" t="s">
        <v>154</v>
      </c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59</v>
      </c>
    </row>
    <row r="2" spans="1:1" x14ac:dyDescent="0.15">
      <c r="A2" t="s">
        <v>60</v>
      </c>
    </row>
    <row r="3" spans="1:1" x14ac:dyDescent="0.15">
      <c r="A3" t="s">
        <v>61</v>
      </c>
    </row>
    <row r="4" spans="1:1" x14ac:dyDescent="0.15">
      <c r="A4" t="s">
        <v>62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F3" sqref="F3"/>
    </sheetView>
  </sheetViews>
  <sheetFormatPr baseColWidth="12" defaultRowHeight="15" x14ac:dyDescent="0.15"/>
  <cols>
    <col min="1" max="1" width="13" style="16"/>
    <col min="2" max="2" width="14.796875" style="16" bestFit="1" customWidth="1"/>
    <col min="3" max="4" width="13" style="16"/>
    <col min="5" max="5" width="17.59765625" style="16" bestFit="1" customWidth="1"/>
    <col min="6" max="6" width="22.19921875" style="16" bestFit="1" customWidth="1"/>
    <col min="7" max="16384" width="13" style="16"/>
  </cols>
  <sheetData>
    <row r="1" spans="1:21" x14ac:dyDescent="0.15">
      <c r="A1" s="26" t="s">
        <v>51</v>
      </c>
      <c r="B1" s="14" t="s">
        <v>39</v>
      </c>
      <c r="C1" s="14" t="s">
        <v>40</v>
      </c>
      <c r="D1" s="14" t="s">
        <v>41</v>
      </c>
      <c r="E1" s="14" t="s">
        <v>42</v>
      </c>
      <c r="F1" s="14" t="s">
        <v>43</v>
      </c>
      <c r="G1" s="14" t="s">
        <v>44</v>
      </c>
      <c r="H1" s="14"/>
      <c r="I1" s="14"/>
      <c r="J1" s="14"/>
      <c r="K1" s="14"/>
      <c r="L1" s="15"/>
      <c r="M1" s="15"/>
      <c r="N1" s="15"/>
      <c r="O1" s="15"/>
    </row>
    <row r="2" spans="1:21" x14ac:dyDescent="0.15">
      <c r="A2" s="53" t="s">
        <v>169</v>
      </c>
      <c r="B2" s="41" t="s">
        <v>77</v>
      </c>
      <c r="C2" s="36" t="str">
        <f>RIGHT(F2,3)</f>
        <v>215</v>
      </c>
      <c r="D2" s="17" t="s">
        <v>45</v>
      </c>
      <c r="E2" s="15" t="str">
        <f t="shared" ref="E2:E6" si="0">B2&amp;C2&amp;D2</f>
        <v>gacha_select_tables_215.tmp</v>
      </c>
      <c r="F2" s="54" t="s">
        <v>170</v>
      </c>
      <c r="G2" s="35" t="s">
        <v>64</v>
      </c>
      <c r="H2" s="20" t="s">
        <v>0</v>
      </c>
      <c r="I2" s="20" t="s">
        <v>3</v>
      </c>
      <c r="J2" s="20" t="s">
        <v>4</v>
      </c>
      <c r="K2" s="20" t="s">
        <v>5</v>
      </c>
      <c r="L2" s="20" t="s">
        <v>6</v>
      </c>
      <c r="M2" s="20" t="s">
        <v>7</v>
      </c>
      <c r="N2" s="20" t="s">
        <v>8</v>
      </c>
      <c r="O2" s="20" t="s">
        <v>9</v>
      </c>
    </row>
    <row r="3" spans="1:21" x14ac:dyDescent="0.15">
      <c r="A3" s="49" t="s">
        <v>158</v>
      </c>
      <c r="B3" s="41" t="s">
        <v>77</v>
      </c>
      <c r="C3" s="36" t="str">
        <f>RIGHT(F3,6)</f>
        <v>339100</v>
      </c>
      <c r="D3" s="17" t="s">
        <v>45</v>
      </c>
      <c r="E3" s="15" t="str">
        <f t="shared" si="0"/>
        <v>gacha_select_tables_339100.tmp</v>
      </c>
      <c r="F3" s="48" t="s">
        <v>157</v>
      </c>
      <c r="G3" s="35" t="s">
        <v>64</v>
      </c>
      <c r="H3" s="20" t="s">
        <v>0</v>
      </c>
      <c r="I3" s="20" t="s">
        <v>3</v>
      </c>
      <c r="J3" s="20" t="s">
        <v>4</v>
      </c>
      <c r="K3" s="20" t="s">
        <v>5</v>
      </c>
      <c r="L3" s="20" t="s">
        <v>6</v>
      </c>
      <c r="M3" s="20" t="s">
        <v>7</v>
      </c>
      <c r="N3" s="20" t="s">
        <v>8</v>
      </c>
      <c r="O3" s="20" t="s">
        <v>9</v>
      </c>
    </row>
    <row r="4" spans="1:21" x14ac:dyDescent="0.15">
      <c r="A4" s="29" t="s">
        <v>53</v>
      </c>
      <c r="B4" s="25" t="s">
        <v>50</v>
      </c>
      <c r="C4" s="30" t="s">
        <v>54</v>
      </c>
      <c r="D4" s="17" t="s">
        <v>46</v>
      </c>
      <c r="E4" s="15" t="str">
        <f t="shared" si="0"/>
        <v>gacha_bonus_tables_hogehoge.tmp</v>
      </c>
      <c r="F4" s="17" t="s">
        <v>47</v>
      </c>
      <c r="G4" s="19" t="s">
        <v>11</v>
      </c>
      <c r="H4" s="21" t="s">
        <v>14</v>
      </c>
      <c r="I4" s="19" t="s">
        <v>12</v>
      </c>
      <c r="J4" s="18"/>
      <c r="K4" s="18"/>
      <c r="L4" s="18"/>
      <c r="M4" s="18"/>
      <c r="N4" s="18"/>
      <c r="O4" s="18"/>
    </row>
    <row r="5" spans="1:21" x14ac:dyDescent="0.15">
      <c r="A5" s="29" t="s">
        <v>53</v>
      </c>
      <c r="B5" s="17" t="s">
        <v>48</v>
      </c>
      <c r="C5" s="30" t="s">
        <v>54</v>
      </c>
      <c r="D5" s="17" t="s">
        <v>46</v>
      </c>
      <c r="E5" s="15" t="str">
        <f t="shared" si="0"/>
        <v>gifts_tmp_hogehoge.tmp</v>
      </c>
      <c r="F5" s="17" t="s">
        <v>47</v>
      </c>
      <c r="G5" s="21" t="s">
        <v>22</v>
      </c>
      <c r="H5" s="22" t="s">
        <v>30</v>
      </c>
      <c r="I5" s="21" t="s">
        <v>23</v>
      </c>
      <c r="J5" s="21" t="s">
        <v>24</v>
      </c>
      <c r="K5" s="21" t="s">
        <v>24</v>
      </c>
      <c r="L5" s="21" t="s">
        <v>25</v>
      </c>
      <c r="M5" s="21" t="s">
        <v>25</v>
      </c>
      <c r="N5" s="21" t="s">
        <v>25</v>
      </c>
      <c r="O5" s="37" t="s">
        <v>7</v>
      </c>
      <c r="P5" s="37" t="s">
        <v>9</v>
      </c>
      <c r="Q5" s="37" t="s">
        <v>6</v>
      </c>
      <c r="R5" s="37" t="s">
        <v>65</v>
      </c>
      <c r="S5" s="37" t="s">
        <v>8</v>
      </c>
      <c r="T5" s="37" t="s">
        <v>66</v>
      </c>
      <c r="U5" s="37" t="s">
        <v>5</v>
      </c>
    </row>
    <row r="6" spans="1:21" x14ac:dyDescent="0.15">
      <c r="A6" s="29" t="s">
        <v>53</v>
      </c>
      <c r="B6" s="17" t="s">
        <v>49</v>
      </c>
      <c r="C6" s="30" t="s">
        <v>54</v>
      </c>
      <c r="D6" s="17" t="s">
        <v>46</v>
      </c>
      <c r="E6" s="15" t="str">
        <f t="shared" si="0"/>
        <v>gifts_i18n_hogehoge.tmp</v>
      </c>
      <c r="F6" s="17" t="s">
        <v>47</v>
      </c>
      <c r="G6" s="21" t="s">
        <v>13</v>
      </c>
      <c r="H6" s="23" t="s">
        <v>26</v>
      </c>
      <c r="I6" s="23" t="s">
        <v>27</v>
      </c>
      <c r="J6" s="23" t="s">
        <v>28</v>
      </c>
      <c r="K6" s="23" t="s">
        <v>29</v>
      </c>
      <c r="L6" s="24"/>
      <c r="M6" s="21"/>
      <c r="N6" s="21"/>
      <c r="O6" s="17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63"/>
  <sheetViews>
    <sheetView showGridLines="0" tabSelected="1" workbookViewId="0">
      <pane ySplit="1" topLeftCell="A2" activePane="bottomLeft" state="frozen"/>
      <selection activeCell="M28" sqref="M28"/>
      <selection pane="bottomLeft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63</v>
      </c>
      <c r="B1" s="13" t="s">
        <v>1</v>
      </c>
      <c r="C1" s="3" t="s">
        <v>31</v>
      </c>
      <c r="D1" s="3" t="s">
        <v>75</v>
      </c>
      <c r="E1" s="3" t="s">
        <v>155</v>
      </c>
      <c r="F1" s="3" t="s">
        <v>156</v>
      </c>
      <c r="G1" s="3" t="s">
        <v>76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55</v>
      </c>
      <c r="O1" s="13" t="s">
        <v>2</v>
      </c>
      <c r="P1" s="3" t="s">
        <v>57</v>
      </c>
      <c r="Q1" s="13" t="s">
        <v>38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2">
        <v>215</v>
      </c>
      <c r="B2" s="6">
        <v>1</v>
      </c>
      <c r="C2" s="7" t="str">
        <f t="shared" ref="C2:C30" si="0">D2&amp;J2&amp;E2&amp;F2&amp;G2</f>
        <v>Premium1R3less</v>
      </c>
      <c r="D2" s="7" t="str">
        <f t="shared" ref="D2:D30" si="1">IF(I2="PremiumSS",I2,IF(I2="PremiumSSS",I2,IF(I2="PremiumW",I2,"Premium")))</f>
        <v>Premium</v>
      </c>
      <c r="E2" s="7" t="str">
        <f>IF(COUNTIF('R6追加前'!A:A,B2)=0,IF(I2="PremiumSS","R5only","R3less"),"")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ジェリー</v>
      </c>
      <c r="I2" s="7" t="str">
        <f>VLOOKUP(B2,[1]characters!$A:$J,10,FALSE)</f>
        <v>Drop1T</v>
      </c>
      <c r="J2" s="7">
        <f>VLOOKUP(B2,[1]characters!$A:$I,9,FALSE)</f>
        <v>1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unknown</v>
      </c>
      <c r="N2" s="7" t="str">
        <f>VLOOKUP(B2,[1]characters!$A:$G,7,FALSE)</f>
        <v>不明</v>
      </c>
      <c r="O2" s="5">
        <v>200</v>
      </c>
      <c r="P2" s="34">
        <f>O2/SUM(O:O)</f>
        <v>2E-3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  <row r="3" spans="1:22" ht="21" customHeight="1" x14ac:dyDescent="0.15">
      <c r="A3" s="2">
        <v>215</v>
      </c>
      <c r="B3" s="6">
        <v>3</v>
      </c>
      <c r="C3" s="7" t="str">
        <f t="shared" si="0"/>
        <v>Premium1R3less</v>
      </c>
      <c r="D3" s="7" t="str">
        <f t="shared" si="1"/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エージェント ジョー</v>
      </c>
      <c r="I3" s="7" t="str">
        <f>VLOOKUP(B3,[1]characters!$A:$J,10,FALSE)</f>
        <v>Drop1T</v>
      </c>
      <c r="J3" s="7">
        <f>VLOOKUP(B3,[1]characters!$A:$I,9,FALSE)</f>
        <v>1</v>
      </c>
      <c r="K3" s="7" t="str">
        <f>VLOOKUP(B3,[1]characters!$A:$H,8,FALSE)</f>
        <v>green</v>
      </c>
      <c r="L3" s="7" t="str">
        <f>VLOOKUP(B3,[1]characters!$A:$K,11,FALSE)</f>
        <v>balance</v>
      </c>
      <c r="M3" s="7" t="str">
        <f>VLOOKUP(B3,[1]characters!$A:$M,13,FALSE)</f>
        <v>unknown</v>
      </c>
      <c r="N3" s="7" t="str">
        <f>VLOOKUP(B3,[1]characters!$A:$G,7,FALSE)</f>
        <v>不明</v>
      </c>
      <c r="O3" s="5">
        <v>200</v>
      </c>
      <c r="P3" s="34">
        <f>O3/SUM(O:O)</f>
        <v>2E-3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1</v>
      </c>
    </row>
    <row r="4" spans="1:22" ht="21" customHeight="1" x14ac:dyDescent="0.15">
      <c r="A4" s="2">
        <v>215</v>
      </c>
      <c r="B4" s="6">
        <v>5</v>
      </c>
      <c r="C4" s="7" t="str">
        <f t="shared" si="0"/>
        <v>Premium1R3less</v>
      </c>
      <c r="D4" s="7" t="str">
        <f t="shared" si="1"/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パトドッグ ポチ</v>
      </c>
      <c r="I4" s="7" t="str">
        <f>VLOOKUP(B4,[1]characters!$A:$J,10,FALSE)</f>
        <v>Drop1T</v>
      </c>
      <c r="J4" s="7">
        <f>VLOOKUP(B4,[1]characters!$A:$I,9,FALSE)</f>
        <v>1</v>
      </c>
      <c r="K4" s="7" t="str">
        <f>VLOOKUP(B4,[1]characters!$A:$H,8,FALSE)</f>
        <v>blue</v>
      </c>
      <c r="L4" s="7" t="str">
        <f>VLOOKUP(B4,[1]characters!$A:$K,11,FALSE)</f>
        <v>heal</v>
      </c>
      <c r="M4" s="7" t="str">
        <f>VLOOKUP(B4,[1]characters!$A:$M,13,FALSE)</f>
        <v>unknown</v>
      </c>
      <c r="N4" s="7" t="str">
        <f>VLOOKUP(B4,[1]characters!$A:$G,7,FALSE)</f>
        <v>不明</v>
      </c>
      <c r="O4" s="5">
        <v>200</v>
      </c>
      <c r="P4" s="34">
        <f>O4/SUM(O:O)</f>
        <v>2E-3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1</v>
      </c>
    </row>
    <row r="5" spans="1:22" ht="21" customHeight="1" x14ac:dyDescent="0.15">
      <c r="A5" s="2">
        <v>215</v>
      </c>
      <c r="B5" s="6">
        <v>7</v>
      </c>
      <c r="C5" s="7" t="str">
        <f t="shared" si="0"/>
        <v>Premium1R3less</v>
      </c>
      <c r="D5" s="7" t="str">
        <f t="shared" si="1"/>
        <v>Premium</v>
      </c>
      <c r="E5" s="7" t="str">
        <f>IF(COUNTIF('R6追加前'!A:A,B5)=0,IF(I5="PremiumSS","R5only","R3less"),"")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エレキポット</v>
      </c>
      <c r="I5" s="7" t="str">
        <f>VLOOKUP(B5,[1]characters!$A:$J,10,FALSE)</f>
        <v>Drop1T</v>
      </c>
      <c r="J5" s="7">
        <f>VLOOKUP(B5,[1]characters!$A:$I,9,FALSE)</f>
        <v>1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unknown</v>
      </c>
      <c r="N5" s="7" t="str">
        <f>VLOOKUP(B5,[1]characters!$A:$G,7,FALSE)</f>
        <v>不明</v>
      </c>
      <c r="O5" s="5">
        <v>200</v>
      </c>
      <c r="P5" s="34">
        <f>O5/SUM(O:O)</f>
        <v>2E-3</v>
      </c>
      <c r="Q5" s="28">
        <v>1</v>
      </c>
      <c r="R5" s="28">
        <v>0</v>
      </c>
      <c r="S5" s="28">
        <v>0</v>
      </c>
      <c r="T5" s="28">
        <v>0</v>
      </c>
      <c r="U5" s="28">
        <v>0</v>
      </c>
      <c r="V5" s="28">
        <v>1</v>
      </c>
    </row>
    <row r="6" spans="1:22" ht="21" customHeight="1" x14ac:dyDescent="0.15">
      <c r="A6" s="2">
        <v>215</v>
      </c>
      <c r="B6" s="6">
        <v>9</v>
      </c>
      <c r="C6" s="7" t="str">
        <f t="shared" si="0"/>
        <v>Premium1R3less</v>
      </c>
      <c r="D6" s="7" t="str">
        <f t="shared" si="1"/>
        <v>Premium</v>
      </c>
      <c r="E6" s="7" t="str">
        <f>IF(COUNTIF('R6追加前'!A:A,B6)=0,IF(I6="PremiumSS","R5only","R3less"),"")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ブレット</v>
      </c>
      <c r="I6" s="7" t="str">
        <f>VLOOKUP(B6,[1]characters!$A:$J,10,FALSE)</f>
        <v>Drop1W</v>
      </c>
      <c r="J6" s="7">
        <f>VLOOKUP(B6,[1]characters!$A:$I,9,FALSE)</f>
        <v>1</v>
      </c>
      <c r="K6" s="7" t="str">
        <f>VLOOKUP(B6,[1]characters!$A:$H,8,FALSE)</f>
        <v>red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5">
        <v>200</v>
      </c>
      <c r="P6" s="34">
        <f>O6/SUM(O:O)</f>
        <v>2E-3</v>
      </c>
      <c r="Q6" s="28">
        <v>1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</row>
    <row r="7" spans="1:22" ht="21" customHeight="1" x14ac:dyDescent="0.15">
      <c r="A7" s="2">
        <v>215</v>
      </c>
      <c r="B7" s="6">
        <v>11</v>
      </c>
      <c r="C7" s="7" t="str">
        <f t="shared" si="0"/>
        <v>Premium1R3less</v>
      </c>
      <c r="D7" s="7" t="str">
        <f t="shared" si="1"/>
        <v>Premium</v>
      </c>
      <c r="E7" s="7" t="str">
        <f>IF(COUNTIF('R6追加前'!A:A,B7)=0,IF(I7="PremiumSS","R5only","R3less"),"")</f>
        <v>R3less</v>
      </c>
      <c r="F7" s="7" t="str">
        <f>IF(COUNTIF('R6開放'!A:A,B7)&gt;0,"R6release","")</f>
        <v/>
      </c>
      <c r="G7" s="7"/>
      <c r="H7" s="7" t="str">
        <f>VLOOKUP(B7,[1]characters!$A:$C,3,FALSE)</f>
        <v>マグリット</v>
      </c>
      <c r="I7" s="7" t="str">
        <f>VLOOKUP(B7,[1]characters!$A:$J,10,FALSE)</f>
        <v>Drop1W</v>
      </c>
      <c r="J7" s="7">
        <f>VLOOKUP(B7,[1]characters!$A:$I,9,FALSE)</f>
        <v>1</v>
      </c>
      <c r="K7" s="7" t="str">
        <f>VLOOKUP(B7,[1]characters!$A:$H,8,FALSE)</f>
        <v>green</v>
      </c>
      <c r="L7" s="7" t="str">
        <f>VLOOKUP(B7,[1]characters!$A:$K,11,FALSE)</f>
        <v>heal</v>
      </c>
      <c r="M7" s="7" t="str">
        <f>VLOOKUP(B7,[1]characters!$A:$M,13,FALSE)</f>
        <v>animal</v>
      </c>
      <c r="N7" s="7" t="str">
        <f>VLOOKUP(B7,[1]characters!$A:$G,7,FALSE)</f>
        <v>不明</v>
      </c>
      <c r="O7" s="5">
        <v>200</v>
      </c>
      <c r="P7" s="34">
        <f>O7/SUM(O:O)</f>
        <v>2E-3</v>
      </c>
      <c r="Q7" s="28">
        <v>1</v>
      </c>
      <c r="R7" s="28">
        <v>0</v>
      </c>
      <c r="S7" s="28">
        <v>0</v>
      </c>
      <c r="T7" s="28">
        <v>0</v>
      </c>
      <c r="U7" s="28">
        <v>0</v>
      </c>
      <c r="V7" s="28">
        <v>1</v>
      </c>
    </row>
    <row r="8" spans="1:22" ht="21" customHeight="1" x14ac:dyDescent="0.15">
      <c r="A8" s="2">
        <v>215</v>
      </c>
      <c r="B8" s="6">
        <v>13</v>
      </c>
      <c r="C8" s="7" t="str">
        <f t="shared" si="0"/>
        <v>Premium1R3less</v>
      </c>
      <c r="D8" s="7" t="str">
        <f t="shared" si="1"/>
        <v>Premium</v>
      </c>
      <c r="E8" s="7" t="str">
        <f>IF(COUNTIF('R6追加前'!A:A,B8)=0,IF(I8="PremiumSS","R5only","R3less"),"")</f>
        <v>R3less</v>
      </c>
      <c r="F8" s="7" t="str">
        <f>IF(COUNTIF('R6開放'!A:A,B8)&gt;0,"R6release","")</f>
        <v/>
      </c>
      <c r="G8" s="7"/>
      <c r="H8" s="7" t="str">
        <f>VLOOKUP(B8,[1]characters!$A:$C,3,FALSE)</f>
        <v>ミミ</v>
      </c>
      <c r="I8" s="7" t="str">
        <f>VLOOKUP(B8,[1]characters!$A:$J,10,FALSE)</f>
        <v>Drop1W</v>
      </c>
      <c r="J8" s="7">
        <f>VLOOKUP(B8,[1]characters!$A:$I,9,FALSE)</f>
        <v>1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animal</v>
      </c>
      <c r="N8" s="7" t="str">
        <f>VLOOKUP(B8,[1]characters!$A:$G,7,FALSE)</f>
        <v>不明</v>
      </c>
      <c r="O8" s="5">
        <v>200</v>
      </c>
      <c r="P8" s="34">
        <f>O8/SUM(O:O)</f>
        <v>2E-3</v>
      </c>
      <c r="Q8" s="28">
        <v>1</v>
      </c>
      <c r="R8" s="28">
        <v>0</v>
      </c>
      <c r="S8" s="28">
        <v>0</v>
      </c>
      <c r="T8" s="28">
        <v>0</v>
      </c>
      <c r="U8" s="28">
        <v>0</v>
      </c>
      <c r="V8" s="28">
        <v>1</v>
      </c>
    </row>
    <row r="9" spans="1:22" ht="21" customHeight="1" x14ac:dyDescent="0.15">
      <c r="A9" s="2">
        <v>215</v>
      </c>
      <c r="B9" s="6">
        <v>15</v>
      </c>
      <c r="C9" s="7" t="str">
        <f t="shared" si="0"/>
        <v>Premium1R3less</v>
      </c>
      <c r="D9" s="7" t="str">
        <f t="shared" si="1"/>
        <v>Premium</v>
      </c>
      <c r="E9" s="7" t="str">
        <f>IF(COUNTIF('R6追加前'!A:A,B9)=0,IF(I9="PremiumSS","R5only","R3less"),"")</f>
        <v>R3less</v>
      </c>
      <c r="F9" s="7" t="str">
        <f>IF(COUNTIF('R6開放'!A:A,B9)&gt;0,"R6release","")</f>
        <v/>
      </c>
      <c r="G9" s="7"/>
      <c r="H9" s="7" t="str">
        <f>VLOOKUP(B9,[1]characters!$A:$C,3,FALSE)</f>
        <v>アカネ</v>
      </c>
      <c r="I9" s="7" t="str">
        <f>VLOOKUP(B9,[1]characters!$A:$J,10,FALSE)</f>
        <v>Drop1W</v>
      </c>
      <c r="J9" s="7">
        <f>VLOOKUP(B9,[1]characters!$A:$I,9,FALSE)</f>
        <v>1</v>
      </c>
      <c r="K9" s="7" t="str">
        <f>VLOOKUP(B9,[1]characters!$A:$H,8,FALSE)</f>
        <v>red</v>
      </c>
      <c r="L9" s="7" t="str">
        <f>VLOOKUP(B9,[1]characters!$A:$K,11,FALSE)</f>
        <v>balance</v>
      </c>
      <c r="M9" s="7" t="str">
        <f>VLOOKUP(B9,[1]characters!$A:$M,13,FALSE)</f>
        <v>human</v>
      </c>
      <c r="N9" s="7" t="str">
        <f>VLOOKUP(B9,[1]characters!$A:$G,7,FALSE)</f>
        <v>女性</v>
      </c>
      <c r="O9" s="5">
        <v>200</v>
      </c>
      <c r="P9" s="34">
        <f>O9/SUM(O:O)</f>
        <v>2E-3</v>
      </c>
      <c r="Q9" s="28">
        <v>1</v>
      </c>
      <c r="R9" s="28">
        <v>0</v>
      </c>
      <c r="S9" s="28">
        <v>0</v>
      </c>
      <c r="T9" s="28">
        <v>0</v>
      </c>
      <c r="U9" s="28">
        <v>0</v>
      </c>
      <c r="V9" s="28">
        <v>1</v>
      </c>
    </row>
    <row r="10" spans="1:22" ht="21" customHeight="1" x14ac:dyDescent="0.15">
      <c r="A10" s="2">
        <v>215</v>
      </c>
      <c r="B10" s="6">
        <v>17</v>
      </c>
      <c r="C10" s="7" t="str">
        <f t="shared" si="0"/>
        <v>Premium1R3less</v>
      </c>
      <c r="D10" s="7" t="str">
        <f t="shared" si="1"/>
        <v>Premium</v>
      </c>
      <c r="E10" s="7" t="str">
        <f>IF(COUNTIF('R6追加前'!A:A,B10)=0,IF(I10="PremiumSS","R5only","R3less"),"")</f>
        <v>R3less</v>
      </c>
      <c r="F10" s="7" t="str">
        <f>IF(COUNTIF('R6開放'!A:A,B10)&gt;0,"R6release","")</f>
        <v/>
      </c>
      <c r="G10" s="7"/>
      <c r="H10" s="7" t="str">
        <f>VLOOKUP(B10,[1]characters!$A:$C,3,FALSE)</f>
        <v>リム</v>
      </c>
      <c r="I10" s="7" t="str">
        <f>VLOOKUP(B10,[1]characters!$A:$J,10,FALSE)</f>
        <v>Drop1W</v>
      </c>
      <c r="J10" s="7">
        <f>VLOOKUP(B10,[1]characters!$A:$I,9,FALSE)</f>
        <v>1</v>
      </c>
      <c r="K10" s="7" t="str">
        <f>VLOOKUP(B10,[1]characters!$A:$H,8,FALSE)</f>
        <v>blue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5">
        <v>200</v>
      </c>
      <c r="P10" s="34">
        <f>O10/SUM(O:O)</f>
        <v>2E-3</v>
      </c>
      <c r="Q10" s="28">
        <v>1</v>
      </c>
      <c r="R10" s="28">
        <v>0</v>
      </c>
      <c r="S10" s="28">
        <v>0</v>
      </c>
      <c r="T10" s="28">
        <v>0</v>
      </c>
      <c r="U10" s="28">
        <v>0</v>
      </c>
      <c r="V10" s="28">
        <v>1</v>
      </c>
    </row>
    <row r="11" spans="1:22" ht="21" customHeight="1" x14ac:dyDescent="0.15">
      <c r="A11" s="2">
        <v>215</v>
      </c>
      <c r="B11" s="6">
        <v>19</v>
      </c>
      <c r="C11" s="7" t="str">
        <f t="shared" si="0"/>
        <v>Premium1R3less</v>
      </c>
      <c r="D11" s="7" t="str">
        <f t="shared" si="1"/>
        <v>Premium</v>
      </c>
      <c r="E11" s="7" t="str">
        <f>IF(COUNTIF('R6追加前'!A:A,B11)=0,IF(I11="PremiumSS","R5only","R3less"),"")</f>
        <v>R3less</v>
      </c>
      <c r="F11" s="7" t="str">
        <f>IF(COUNTIF('R6開放'!A:A,B11)&gt;0,"R6release","")</f>
        <v/>
      </c>
      <c r="G11" s="7"/>
      <c r="H11" s="7" t="str">
        <f>VLOOKUP(B11,[1]characters!$A:$C,3,FALSE)</f>
        <v>ティンク</v>
      </c>
      <c r="I11" s="7" t="str">
        <f>VLOOKUP(B11,[1]characters!$A:$J,10,FALSE)</f>
        <v>Drop1W</v>
      </c>
      <c r="J11" s="7">
        <f>VLOOKUP(B11,[1]characters!$A:$I,9,FALSE)</f>
        <v>1</v>
      </c>
      <c r="K11" s="7" t="str">
        <f>VLOOKUP(B11,[1]characters!$A:$H,8,FALSE)</f>
        <v>yellow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5">
        <v>200</v>
      </c>
      <c r="P11" s="34">
        <f>O11/SUM(O:O)</f>
        <v>2E-3</v>
      </c>
      <c r="Q11" s="28">
        <v>1</v>
      </c>
      <c r="R11" s="28">
        <v>0</v>
      </c>
      <c r="S11" s="28">
        <v>0</v>
      </c>
      <c r="T11" s="28">
        <v>0</v>
      </c>
      <c r="U11" s="28">
        <v>0</v>
      </c>
      <c r="V11" s="28">
        <v>1</v>
      </c>
    </row>
    <row r="12" spans="1:22" ht="21" customHeight="1" x14ac:dyDescent="0.15">
      <c r="A12" s="2">
        <v>215</v>
      </c>
      <c r="B12" s="6">
        <v>21</v>
      </c>
      <c r="C12" s="7" t="str">
        <f t="shared" si="0"/>
        <v>Premium1R3less</v>
      </c>
      <c r="D12" s="7" t="str">
        <f t="shared" si="1"/>
        <v>Premium</v>
      </c>
      <c r="E12" s="7" t="str">
        <f>IF(COUNTIF('R6追加前'!A:A,B12)=0,IF(I12="PremiumSS","R5only","R3less"),"")</f>
        <v>R3less</v>
      </c>
      <c r="F12" s="7" t="str">
        <f>IF(COUNTIF('R6開放'!A:A,B12)&gt;0,"R6release","")</f>
        <v/>
      </c>
      <c r="G12" s="7"/>
      <c r="H12" s="7" t="str">
        <f>VLOOKUP(B12,[1]characters!$A:$C,3,FALSE)</f>
        <v>ヴェロキー</v>
      </c>
      <c r="I12" s="7" t="str">
        <f>VLOOKUP(B12,[1]characters!$A:$J,10,FALSE)</f>
        <v>Drop1N</v>
      </c>
      <c r="J12" s="7">
        <f>VLOOKUP(B12,[1]characters!$A:$I,9,FALSE)</f>
        <v>1</v>
      </c>
      <c r="K12" s="7" t="str">
        <f>VLOOKUP(B12,[1]characters!$A:$H,8,FALSE)</f>
        <v>red</v>
      </c>
      <c r="L12" s="7" t="str">
        <f>VLOOKUP(B12,[1]characters!$A:$K,11,FALSE)</f>
        <v>hp</v>
      </c>
      <c r="M12" s="7" t="str">
        <f>VLOOKUP(B12,[1]characters!$A:$M,13,FALSE)</f>
        <v>dragon</v>
      </c>
      <c r="N12" s="7" t="str">
        <f>VLOOKUP(B12,[1]characters!$A:$G,7,FALSE)</f>
        <v>不明</v>
      </c>
      <c r="O12" s="5">
        <v>200</v>
      </c>
      <c r="P12" s="34">
        <f>O12/SUM(O:O)</f>
        <v>2E-3</v>
      </c>
      <c r="Q12" s="28">
        <v>1</v>
      </c>
      <c r="R12" s="28">
        <v>0</v>
      </c>
      <c r="S12" s="28">
        <v>0</v>
      </c>
      <c r="T12" s="28">
        <v>0</v>
      </c>
      <c r="U12" s="28">
        <v>0</v>
      </c>
      <c r="V12" s="28">
        <v>1</v>
      </c>
    </row>
    <row r="13" spans="1:22" ht="21" customHeight="1" x14ac:dyDescent="0.15">
      <c r="A13" s="2">
        <v>215</v>
      </c>
      <c r="B13" s="6">
        <v>23</v>
      </c>
      <c r="C13" s="7" t="str">
        <f t="shared" si="0"/>
        <v>Premium1R3less</v>
      </c>
      <c r="D13" s="7" t="str">
        <f t="shared" si="1"/>
        <v>Premium</v>
      </c>
      <c r="E13" s="7" t="str">
        <f>IF(COUNTIF('R6追加前'!A:A,B13)=0,IF(I13="PremiumSS","R5only","R3less"),"")</f>
        <v>R3less</v>
      </c>
      <c r="F13" s="7" t="str">
        <f>IF(COUNTIF('R6開放'!A:A,B13)&gt;0,"R6release","")</f>
        <v/>
      </c>
      <c r="G13" s="7"/>
      <c r="H13" s="7" t="str">
        <f>VLOOKUP(B13,[1]characters!$A:$C,3,FALSE)</f>
        <v>ミール</v>
      </c>
      <c r="I13" s="7" t="str">
        <f>VLOOKUP(B13,[1]characters!$A:$J,10,FALSE)</f>
        <v>Drop1N</v>
      </c>
      <c r="J13" s="7">
        <f>VLOOKUP(B13,[1]characters!$A:$I,9,FALSE)</f>
        <v>1</v>
      </c>
      <c r="K13" s="7" t="str">
        <f>VLOOKUP(B13,[1]characters!$A:$H,8,FALSE)</f>
        <v>green</v>
      </c>
      <c r="L13" s="7" t="str">
        <f>VLOOKUP(B13,[1]characters!$A:$K,11,FALSE)</f>
        <v>hp</v>
      </c>
      <c r="M13" s="7" t="str">
        <f>VLOOKUP(B13,[1]characters!$A:$M,13,FALSE)</f>
        <v>animal</v>
      </c>
      <c r="N13" s="7" t="str">
        <f>VLOOKUP(B13,[1]characters!$A:$G,7,FALSE)</f>
        <v>不明</v>
      </c>
      <c r="O13" s="5">
        <v>200</v>
      </c>
      <c r="P13" s="34">
        <f>O13/SUM(O:O)</f>
        <v>2E-3</v>
      </c>
      <c r="Q13" s="28">
        <v>1</v>
      </c>
      <c r="R13" s="28">
        <v>0</v>
      </c>
      <c r="S13" s="28">
        <v>0</v>
      </c>
      <c r="T13" s="28">
        <v>0</v>
      </c>
      <c r="U13" s="28">
        <v>0</v>
      </c>
      <c r="V13" s="28">
        <v>1</v>
      </c>
    </row>
    <row r="14" spans="1:22" ht="21" customHeight="1" x14ac:dyDescent="0.15">
      <c r="A14" s="2">
        <v>215</v>
      </c>
      <c r="B14" s="6">
        <v>25</v>
      </c>
      <c r="C14" s="7" t="str">
        <f t="shared" si="0"/>
        <v>Premium1R3less</v>
      </c>
      <c r="D14" s="7" t="str">
        <f t="shared" si="1"/>
        <v>Premium</v>
      </c>
      <c r="E14" s="7" t="str">
        <f>IF(COUNTIF('R6追加前'!A:A,B14)=0,IF(I14="PremiumSS","R5only","R3less"),"")</f>
        <v>R3less</v>
      </c>
      <c r="F14" s="7" t="str">
        <f>IF(COUNTIF('R6開放'!A:A,B14)&gt;0,"R6release","")</f>
        <v/>
      </c>
      <c r="G14" s="7"/>
      <c r="H14" s="7" t="str">
        <f>VLOOKUP(B14,[1]characters!$A:$C,3,FALSE)</f>
        <v>ハチ</v>
      </c>
      <c r="I14" s="7" t="str">
        <f>VLOOKUP(B14,[1]characters!$A:$J,10,FALSE)</f>
        <v>Drop1N</v>
      </c>
      <c r="J14" s="7">
        <f>VLOOKUP(B14,[1]characters!$A:$I,9,FALSE)</f>
        <v>1</v>
      </c>
      <c r="K14" s="7" t="str">
        <f>VLOOKUP(B14,[1]characters!$A:$H,8,FALSE)</f>
        <v>blue</v>
      </c>
      <c r="L14" s="7" t="str">
        <f>VLOOKUP(B14,[1]characters!$A:$K,11,FALSE)</f>
        <v>hp</v>
      </c>
      <c r="M14" s="7" t="str">
        <f>VLOOKUP(B14,[1]characters!$A:$M,13,FALSE)</f>
        <v>animal</v>
      </c>
      <c r="N14" s="7" t="str">
        <f>VLOOKUP(B14,[1]characters!$A:$G,7,FALSE)</f>
        <v>不明</v>
      </c>
      <c r="O14" s="5">
        <v>200</v>
      </c>
      <c r="P14" s="34">
        <f>O14/SUM(O:O)</f>
        <v>2E-3</v>
      </c>
      <c r="Q14" s="28">
        <v>1</v>
      </c>
      <c r="R14" s="28">
        <v>0</v>
      </c>
      <c r="S14" s="28">
        <v>0</v>
      </c>
      <c r="T14" s="28">
        <v>0</v>
      </c>
      <c r="U14" s="28">
        <v>0</v>
      </c>
      <c r="V14" s="28">
        <v>1</v>
      </c>
    </row>
    <row r="15" spans="1:22" ht="21" customHeight="1" x14ac:dyDescent="0.15">
      <c r="A15" s="2">
        <v>215</v>
      </c>
      <c r="B15" s="6">
        <v>27</v>
      </c>
      <c r="C15" s="7" t="str">
        <f t="shared" si="0"/>
        <v>Premium1R3less</v>
      </c>
      <c r="D15" s="7" t="str">
        <f t="shared" si="1"/>
        <v>Premium</v>
      </c>
      <c r="E15" s="7" t="str">
        <f>IF(COUNTIF('R6追加前'!A:A,B15)=0,IF(I15="PremiumSS","R5only","R3less"),"")</f>
        <v>R3less</v>
      </c>
      <c r="F15" s="7" t="str">
        <f>IF(COUNTIF('R6開放'!A:A,B15)&gt;0,"R6release","")</f>
        <v/>
      </c>
      <c r="G15" s="7"/>
      <c r="H15" s="7" t="str">
        <f>VLOOKUP(B15,[1]characters!$A:$C,3,FALSE)</f>
        <v>パトライン</v>
      </c>
      <c r="I15" s="7" t="str">
        <f>VLOOKUP(B15,[1]characters!$A:$J,10,FALSE)</f>
        <v>Drop1N</v>
      </c>
      <c r="J15" s="7">
        <f>VLOOKUP(B15,[1]characters!$A:$I,9,FALSE)</f>
        <v>1</v>
      </c>
      <c r="K15" s="7" t="str">
        <f>VLOOKUP(B15,[1]characters!$A:$H,8,FALSE)</f>
        <v>green</v>
      </c>
      <c r="L15" s="7" t="str">
        <f>VLOOKUP(B15,[1]characters!$A:$K,11,FALSE)</f>
        <v>heal</v>
      </c>
      <c r="M15" s="7" t="str">
        <f>VLOOKUP(B15,[1]characters!$A:$M,13,FALSE)</f>
        <v>machine</v>
      </c>
      <c r="N15" s="7" t="str">
        <f>VLOOKUP(B15,[1]characters!$A:$G,7,FALSE)</f>
        <v>不明</v>
      </c>
      <c r="O15" s="5">
        <v>200</v>
      </c>
      <c r="P15" s="34">
        <f>O15/SUM(O:O)</f>
        <v>2E-3</v>
      </c>
      <c r="Q15" s="28">
        <v>1</v>
      </c>
      <c r="R15" s="28">
        <v>0</v>
      </c>
      <c r="S15" s="28">
        <v>0</v>
      </c>
      <c r="T15" s="28">
        <v>0</v>
      </c>
      <c r="U15" s="28">
        <v>0</v>
      </c>
      <c r="V15" s="28">
        <v>1</v>
      </c>
    </row>
    <row r="16" spans="1:22" ht="21" customHeight="1" x14ac:dyDescent="0.15">
      <c r="A16" s="2">
        <v>215</v>
      </c>
      <c r="B16" s="6">
        <v>29</v>
      </c>
      <c r="C16" s="7" t="str">
        <f t="shared" si="0"/>
        <v>Premium1R3less</v>
      </c>
      <c r="D16" s="7" t="str">
        <f t="shared" si="1"/>
        <v>Premium</v>
      </c>
      <c r="E16" s="7" t="str">
        <f>IF(COUNTIF('R6追加前'!A:A,B16)=0,IF(I16="PremiumSS","R5only","R3less"),"")</f>
        <v>R3less</v>
      </c>
      <c r="F16" s="7" t="str">
        <f>IF(COUNTIF('R6開放'!A:A,B16)&gt;0,"R6release","")</f>
        <v/>
      </c>
      <c r="G16" s="7"/>
      <c r="H16" s="7" t="str">
        <f>VLOOKUP(B16,[1]characters!$A:$C,3,FALSE)</f>
        <v>スケアクロウ</v>
      </c>
      <c r="I16" s="7" t="str">
        <f>VLOOKUP(B16,[1]characters!$A:$J,10,FALSE)</f>
        <v>Drop1N</v>
      </c>
      <c r="J16" s="7">
        <f>VLOOKUP(B16,[1]characters!$A:$I,9,FALSE)</f>
        <v>1</v>
      </c>
      <c r="K16" s="7" t="str">
        <f>VLOOKUP(B16,[1]characters!$A:$H,8,FALSE)</f>
        <v>blue</v>
      </c>
      <c r="L16" s="7" t="str">
        <f>VLOOKUP(B16,[1]characters!$A:$K,11,FALSE)</f>
        <v>heal</v>
      </c>
      <c r="M16" s="7" t="str">
        <f>VLOOKUP(B16,[1]characters!$A:$M,13,FALSE)</f>
        <v>machine</v>
      </c>
      <c r="N16" s="7" t="str">
        <f>VLOOKUP(B16,[1]characters!$A:$G,7,FALSE)</f>
        <v>不明</v>
      </c>
      <c r="O16" s="5">
        <v>200</v>
      </c>
      <c r="P16" s="34">
        <f>O16/SUM(O:O)</f>
        <v>2E-3</v>
      </c>
      <c r="Q16" s="28">
        <v>1</v>
      </c>
      <c r="R16" s="28">
        <v>0</v>
      </c>
      <c r="S16" s="28">
        <v>0</v>
      </c>
      <c r="T16" s="28">
        <v>0</v>
      </c>
      <c r="U16" s="28">
        <v>0</v>
      </c>
      <c r="V16" s="28">
        <v>1</v>
      </c>
    </row>
    <row r="17" spans="1:22" ht="21" customHeight="1" x14ac:dyDescent="0.15">
      <c r="A17" s="2">
        <v>215</v>
      </c>
      <c r="B17" s="6">
        <v>31</v>
      </c>
      <c r="C17" s="7" t="str">
        <f t="shared" si="0"/>
        <v>Premium1R3less</v>
      </c>
      <c r="D17" s="7" t="str">
        <f t="shared" si="1"/>
        <v>Premium</v>
      </c>
      <c r="E17" s="7" t="str">
        <f>IF(COUNTIF('R6追加前'!A:A,B17)=0,IF(I17="PremiumSS","R5only","R3less"),"")</f>
        <v>R3less</v>
      </c>
      <c r="F17" s="7" t="str">
        <f>IF(COUNTIF('R6開放'!A:A,B17)&gt;0,"R6release","")</f>
        <v/>
      </c>
      <c r="G17" s="7"/>
      <c r="H17" s="7" t="str">
        <f>VLOOKUP(B17,[1]characters!$A:$C,3,FALSE)</f>
        <v>マービー</v>
      </c>
      <c r="I17" s="7" t="str">
        <f>VLOOKUP(B17,[1]characters!$A:$J,10,FALSE)</f>
        <v>Drop1N</v>
      </c>
      <c r="J17" s="7">
        <f>VLOOKUP(B17,[1]characters!$A:$I,9,FALSE)</f>
        <v>1</v>
      </c>
      <c r="K17" s="7" t="str">
        <f>VLOOKUP(B17,[1]characters!$A:$H,8,FALSE)</f>
        <v>yellow</v>
      </c>
      <c r="L17" s="7" t="str">
        <f>VLOOKUP(B17,[1]characters!$A:$K,11,FALSE)</f>
        <v>technical</v>
      </c>
      <c r="M17" s="7" t="str">
        <f>VLOOKUP(B17,[1]characters!$A:$M,13,FALSE)</f>
        <v>machine</v>
      </c>
      <c r="N17" s="7" t="str">
        <f>VLOOKUP(B17,[1]characters!$A:$G,7,FALSE)</f>
        <v>不明</v>
      </c>
      <c r="O17" s="5">
        <v>200</v>
      </c>
      <c r="P17" s="34">
        <f>O17/SUM(O:O)</f>
        <v>2E-3</v>
      </c>
      <c r="Q17" s="28">
        <v>1</v>
      </c>
      <c r="R17" s="28">
        <v>0</v>
      </c>
      <c r="S17" s="28">
        <v>0</v>
      </c>
      <c r="T17" s="28">
        <v>0</v>
      </c>
      <c r="U17" s="28">
        <v>0</v>
      </c>
      <c r="V17" s="28">
        <v>1</v>
      </c>
    </row>
    <row r="18" spans="1:22" ht="21" customHeight="1" x14ac:dyDescent="0.15">
      <c r="A18" s="2">
        <v>215</v>
      </c>
      <c r="B18" s="6">
        <v>33</v>
      </c>
      <c r="C18" s="7" t="str">
        <f t="shared" si="0"/>
        <v>Premium2R3less</v>
      </c>
      <c r="D18" s="7" t="str">
        <f t="shared" si="1"/>
        <v>Premium</v>
      </c>
      <c r="E18" s="7" t="str">
        <f>IF(COUNTIF('R6追加前'!A:A,B18)=0,IF(I18="PremiumSS","R5only","R3less"),"")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ゴクウ</v>
      </c>
      <c r="I18" s="7" t="str">
        <f>VLOOKUP(B18,[1]characters!$A:$J,10,FALSE)</f>
        <v>Drop1S</v>
      </c>
      <c r="J18" s="7">
        <f>VLOOKUP(B18,[1]characters!$A:$I,9,FALSE)</f>
        <v>2</v>
      </c>
      <c r="K18" s="7" t="str">
        <f>VLOOKUP(B18,[1]characters!$A:$H,8,FALSE)</f>
        <v>red</v>
      </c>
      <c r="L18" s="7" t="str">
        <f>VLOOKUP(B18,[1]characters!$A:$K,11,FALSE)</f>
        <v>attack</v>
      </c>
      <c r="M18" s="7" t="str">
        <f>VLOOKUP(B18,[1]characters!$A:$M,13,FALSE)</f>
        <v>animal</v>
      </c>
      <c r="N18" s="7" t="str">
        <f>VLOOKUP(B18,[1]characters!$A:$G,7,FALSE)</f>
        <v>男性</v>
      </c>
      <c r="O18" s="5">
        <v>200</v>
      </c>
      <c r="P18" s="34">
        <f>O18/SUM(O:O)</f>
        <v>2E-3</v>
      </c>
      <c r="Q18" s="28">
        <v>1</v>
      </c>
      <c r="R18" s="28">
        <v>0</v>
      </c>
      <c r="S18" s="28">
        <v>0</v>
      </c>
      <c r="T18" s="28">
        <v>0</v>
      </c>
      <c r="U18" s="28">
        <v>0</v>
      </c>
      <c r="V18" s="28">
        <v>1</v>
      </c>
    </row>
    <row r="19" spans="1:22" ht="21" customHeight="1" x14ac:dyDescent="0.15">
      <c r="A19" s="2">
        <v>215</v>
      </c>
      <c r="B19" s="6">
        <v>35</v>
      </c>
      <c r="C19" s="7" t="str">
        <f t="shared" si="0"/>
        <v>Premium2R3less</v>
      </c>
      <c r="D19" s="7" t="str">
        <f t="shared" si="1"/>
        <v>Premium</v>
      </c>
      <c r="E19" s="7" t="str">
        <f>IF(COUNTIF('R6追加前'!A:A,B19)=0,IF(I19="PremiumSS","R5only","R3less"),"")</f>
        <v>R3less</v>
      </c>
      <c r="F19" s="7" t="str">
        <f>IF(COUNTIF('R6開放'!A:A,B19)&gt;0,"R6release","")</f>
        <v/>
      </c>
      <c r="G19" s="7"/>
      <c r="H19" s="7" t="str">
        <f>VLOOKUP(B19,[1]characters!$A:$C,3,FALSE)</f>
        <v>F2</v>
      </c>
      <c r="I19" s="7" t="str">
        <f>VLOOKUP(B19,[1]characters!$A:$J,10,FALSE)</f>
        <v>Drop1S</v>
      </c>
      <c r="J19" s="7">
        <f>VLOOKUP(B19,[1]characters!$A:$I,9,FALSE)</f>
        <v>2</v>
      </c>
      <c r="K19" s="7" t="str">
        <f>VLOOKUP(B19,[1]characters!$A:$H,8,FALSE)</f>
        <v>green</v>
      </c>
      <c r="L19" s="7" t="str">
        <f>VLOOKUP(B19,[1]characters!$A:$K,11,FALSE)</f>
        <v>technical</v>
      </c>
      <c r="M19" s="7" t="str">
        <f>VLOOKUP(B19,[1]characters!$A:$M,13,FALSE)</f>
        <v>machine</v>
      </c>
      <c r="N19" s="7" t="str">
        <f>VLOOKUP(B19,[1]characters!$A:$G,7,FALSE)</f>
        <v>不明</v>
      </c>
      <c r="O19" s="5">
        <v>200</v>
      </c>
      <c r="P19" s="34">
        <f>O19/SUM(O:O)</f>
        <v>2E-3</v>
      </c>
      <c r="Q19" s="28">
        <v>1</v>
      </c>
      <c r="R19" s="28">
        <v>0</v>
      </c>
      <c r="S19" s="28">
        <v>0</v>
      </c>
      <c r="T19" s="28">
        <v>0</v>
      </c>
      <c r="U19" s="28">
        <v>0</v>
      </c>
      <c r="V19" s="28">
        <v>1</v>
      </c>
    </row>
    <row r="20" spans="1:22" ht="21" customHeight="1" x14ac:dyDescent="0.15">
      <c r="A20" s="2">
        <v>215</v>
      </c>
      <c r="B20" s="6">
        <v>37</v>
      </c>
      <c r="C20" s="7" t="str">
        <f t="shared" si="0"/>
        <v>Premium2R3less</v>
      </c>
      <c r="D20" s="7" t="str">
        <f t="shared" si="1"/>
        <v>Premium</v>
      </c>
      <c r="E20" s="7" t="str">
        <f>IF(COUNTIF('R6追加前'!A:A,B20)=0,IF(I20="PremiumSS","R5only","R3less"),"")</f>
        <v>R3less</v>
      </c>
      <c r="F20" s="7" t="str">
        <f>IF(COUNTIF('R6開放'!A:A,B20)&gt;0,"R6release","")</f>
        <v/>
      </c>
      <c r="G20" s="7"/>
      <c r="H20" s="7" t="str">
        <f>VLOOKUP(B20,[1]characters!$A:$C,3,FALSE)</f>
        <v>ガイル</v>
      </c>
      <c r="I20" s="7" t="str">
        <f>VLOOKUP(B20,[1]characters!$A:$J,10,FALSE)</f>
        <v>Drop1S</v>
      </c>
      <c r="J20" s="7">
        <f>VLOOKUP(B20,[1]characters!$A:$I,9,FALSE)</f>
        <v>2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animal</v>
      </c>
      <c r="N20" s="7" t="str">
        <f>VLOOKUP(B20,[1]characters!$A:$G,7,FALSE)</f>
        <v>男性</v>
      </c>
      <c r="O20" s="5">
        <v>200</v>
      </c>
      <c r="P20" s="34">
        <f>O20/SUM(O:O)</f>
        <v>2E-3</v>
      </c>
      <c r="Q20" s="28">
        <v>1</v>
      </c>
      <c r="R20" s="28">
        <v>0</v>
      </c>
      <c r="S20" s="28">
        <v>0</v>
      </c>
      <c r="T20" s="28">
        <v>0</v>
      </c>
      <c r="U20" s="28">
        <v>0</v>
      </c>
      <c r="V20" s="28">
        <v>1</v>
      </c>
    </row>
    <row r="21" spans="1:22" ht="21" customHeight="1" x14ac:dyDescent="0.15">
      <c r="A21" s="2">
        <v>215</v>
      </c>
      <c r="B21" s="6">
        <v>39</v>
      </c>
      <c r="C21" s="7" t="str">
        <f t="shared" si="0"/>
        <v>Premium2R3less</v>
      </c>
      <c r="D21" s="7" t="str">
        <f t="shared" si="1"/>
        <v>Premium</v>
      </c>
      <c r="E21" s="7" t="str">
        <f>IF(COUNTIF('R6追加前'!A:A,B21)=0,IF(I21="PremiumSS","R5only","R3less"),"")</f>
        <v>R3less</v>
      </c>
      <c r="F21" s="7" t="str">
        <f>IF(COUNTIF('R6開放'!A:A,B21)&gt;0,"R6release","")</f>
        <v/>
      </c>
      <c r="G21" s="7"/>
      <c r="H21" s="7" t="str">
        <f>VLOOKUP(B21,[1]characters!$A:$C,3,FALSE)</f>
        <v>マーロン</v>
      </c>
      <c r="I21" s="7" t="str">
        <f>VLOOKUP(B21,[1]characters!$A:$J,10,FALSE)</f>
        <v>Drop1S</v>
      </c>
      <c r="J21" s="7">
        <f>VLOOKUP(B21,[1]characters!$A:$I,9,FALSE)</f>
        <v>2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5">
        <v>200</v>
      </c>
      <c r="P21" s="34">
        <f>O21/SUM(O:O)</f>
        <v>2E-3</v>
      </c>
      <c r="Q21" s="28">
        <v>1</v>
      </c>
      <c r="R21" s="28">
        <v>0</v>
      </c>
      <c r="S21" s="28">
        <v>0</v>
      </c>
      <c r="T21" s="28">
        <v>0</v>
      </c>
      <c r="U21" s="28">
        <v>0</v>
      </c>
      <c r="V21" s="28">
        <v>1</v>
      </c>
    </row>
    <row r="22" spans="1:22" ht="21" customHeight="1" x14ac:dyDescent="0.15">
      <c r="A22" s="2">
        <v>215</v>
      </c>
      <c r="B22" s="6">
        <v>41</v>
      </c>
      <c r="C22" s="7" t="str">
        <f t="shared" si="0"/>
        <v>Premium2R3less</v>
      </c>
      <c r="D22" s="7" t="str">
        <f t="shared" si="1"/>
        <v>Premium</v>
      </c>
      <c r="E22" s="7" t="str">
        <f>IF(COUNTIF('R6追加前'!A:A,B22)=0,IF(I22="PremiumSS","R5only","R3less"),"")</f>
        <v>R3less</v>
      </c>
      <c r="F22" s="7" t="str">
        <f>IF(COUNTIF('R6開放'!A:A,B22)&gt;0,"R6release","")</f>
        <v/>
      </c>
      <c r="G22" s="7"/>
      <c r="H22" s="7" t="str">
        <f>VLOOKUP(B22,[1]characters!$A:$C,3,FALSE)</f>
        <v>ヒュウガ</v>
      </c>
      <c r="I22" s="7" t="str">
        <f>VLOOKUP(B22,[1]characters!$A:$J,10,FALSE)</f>
        <v>Drop1N</v>
      </c>
      <c r="J22" s="7">
        <f>VLOOKUP(B22,[1]characters!$A:$I,9,FALSE)</f>
        <v>2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dragon</v>
      </c>
      <c r="N22" s="7" t="str">
        <f>VLOOKUP(B22,[1]characters!$A:$G,7,FALSE)</f>
        <v>不明</v>
      </c>
      <c r="O22" s="5">
        <v>200</v>
      </c>
      <c r="P22" s="34">
        <f>O22/SUM(O:O)</f>
        <v>2E-3</v>
      </c>
      <c r="Q22" s="28">
        <v>1</v>
      </c>
      <c r="R22" s="28">
        <v>0</v>
      </c>
      <c r="S22" s="28">
        <v>0</v>
      </c>
      <c r="T22" s="28">
        <v>0</v>
      </c>
      <c r="U22" s="28">
        <v>0</v>
      </c>
      <c r="V22" s="28">
        <v>1</v>
      </c>
    </row>
    <row r="23" spans="1:22" ht="21" customHeight="1" x14ac:dyDescent="0.15">
      <c r="A23" s="2">
        <v>215</v>
      </c>
      <c r="B23" s="6">
        <v>43</v>
      </c>
      <c r="C23" s="7" t="str">
        <f t="shared" si="0"/>
        <v>Premium2R3less</v>
      </c>
      <c r="D23" s="7" t="str">
        <f t="shared" si="1"/>
        <v>Premium</v>
      </c>
      <c r="E23" s="7" t="str">
        <f>IF(COUNTIF('R6追加前'!A:A,B23)=0,IF(I23="PremiumSS","R5only","R3less"),"")</f>
        <v>R3less</v>
      </c>
      <c r="F23" s="7" t="str">
        <f>IF(COUNTIF('R6開放'!A:A,B23)&gt;0,"R6release","")</f>
        <v/>
      </c>
      <c r="G23" s="7"/>
      <c r="H23" s="7" t="str">
        <f>VLOOKUP(B23,[1]characters!$A:$C,3,FALSE)</f>
        <v>ムゥ</v>
      </c>
      <c r="I23" s="7" t="str">
        <f>VLOOKUP(B23,[1]characters!$A:$J,10,FALSE)</f>
        <v>Drop1N</v>
      </c>
      <c r="J23" s="7">
        <f>VLOOKUP(B23,[1]characters!$A:$I,9,FALSE)</f>
        <v>2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5">
        <v>200</v>
      </c>
      <c r="P23" s="34">
        <f>O23/SUM(O:O)</f>
        <v>2E-3</v>
      </c>
      <c r="Q23" s="28">
        <v>1</v>
      </c>
      <c r="R23" s="28">
        <v>0</v>
      </c>
      <c r="S23" s="28">
        <v>0</v>
      </c>
      <c r="T23" s="28">
        <v>0</v>
      </c>
      <c r="U23" s="28">
        <v>0</v>
      </c>
      <c r="V23" s="28">
        <v>1</v>
      </c>
    </row>
    <row r="24" spans="1:22" ht="21" customHeight="1" x14ac:dyDescent="0.15">
      <c r="A24" s="2">
        <v>215</v>
      </c>
      <c r="B24" s="6">
        <v>45</v>
      </c>
      <c r="C24" s="7" t="str">
        <f t="shared" si="0"/>
        <v>Premium2R3less</v>
      </c>
      <c r="D24" s="7" t="str">
        <f t="shared" si="1"/>
        <v>Premium</v>
      </c>
      <c r="E24" s="7" t="str">
        <f>IF(COUNTIF('R6追加前'!A:A,B24)=0,IF(I24="PremiumSS","R5only","R3less"),"")</f>
        <v>R3less</v>
      </c>
      <c r="F24" s="7" t="str">
        <f>IF(COUNTIF('R6開放'!A:A,B24)&gt;0,"R6release","")</f>
        <v/>
      </c>
      <c r="G24" s="7"/>
      <c r="H24" s="7" t="str">
        <f>VLOOKUP(B24,[1]characters!$A:$C,3,FALSE)</f>
        <v>ショウイン</v>
      </c>
      <c r="I24" s="7" t="str">
        <f>VLOOKUP(B24,[1]characters!$A:$J,10,FALSE)</f>
        <v>Drop1N</v>
      </c>
      <c r="J24" s="7">
        <f>VLOOKUP(B24,[1]characters!$A:$I,9,FALSE)</f>
        <v>2</v>
      </c>
      <c r="K24" s="7" t="str">
        <f>VLOOKUP(B24,[1]characters!$A:$H,8,FALSE)</f>
        <v>blue</v>
      </c>
      <c r="L24" s="7" t="str">
        <f>VLOOKUP(B24,[1]characters!$A:$K,11,FALSE)</f>
        <v>hp</v>
      </c>
      <c r="M24" s="7" t="str">
        <f>VLOOKUP(B24,[1]characters!$A:$M,13,FALSE)</f>
        <v>animal</v>
      </c>
      <c r="N24" s="7" t="str">
        <f>VLOOKUP(B24,[1]characters!$A:$G,7,FALSE)</f>
        <v>不明</v>
      </c>
      <c r="O24" s="5">
        <v>200</v>
      </c>
      <c r="P24" s="34">
        <f>O24/SUM(O:O)</f>
        <v>2E-3</v>
      </c>
      <c r="Q24" s="28">
        <v>1</v>
      </c>
      <c r="R24" s="28">
        <v>0</v>
      </c>
      <c r="S24" s="28">
        <v>0</v>
      </c>
      <c r="T24" s="28">
        <v>0</v>
      </c>
      <c r="U24" s="28">
        <v>0</v>
      </c>
      <c r="V24" s="28">
        <v>1</v>
      </c>
    </row>
    <row r="25" spans="1:22" ht="21" customHeight="1" x14ac:dyDescent="0.15">
      <c r="A25" s="2">
        <v>215</v>
      </c>
      <c r="B25" s="6">
        <v>47</v>
      </c>
      <c r="C25" s="7" t="str">
        <f t="shared" si="0"/>
        <v>Premium2R3less</v>
      </c>
      <c r="D25" s="7" t="str">
        <f t="shared" si="1"/>
        <v>Premium</v>
      </c>
      <c r="E25" s="7" t="str">
        <f>IF(COUNTIF('R6追加前'!A:A,B25)=0,IF(I25="PremiumSS","R5only","R3less"),"")</f>
        <v>R3less</v>
      </c>
      <c r="F25" s="7" t="str">
        <f>IF(COUNTIF('R6開放'!A:A,B25)&gt;0,"R6release","")</f>
        <v/>
      </c>
      <c r="G25" s="7"/>
      <c r="H25" s="7" t="str">
        <f>VLOOKUP(B25,[1]characters!$A:$C,3,FALSE)</f>
        <v>ヒロ</v>
      </c>
      <c r="I25" s="7" t="str">
        <f>VLOOKUP(B25,[1]characters!$A:$J,10,FALSE)</f>
        <v>Drop1N</v>
      </c>
      <c r="J25" s="7">
        <f>VLOOKUP(B25,[1]characters!$A:$I,9,FALSE)</f>
        <v>2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animal</v>
      </c>
      <c r="N25" s="7" t="str">
        <f>VLOOKUP(B25,[1]characters!$A:$G,7,FALSE)</f>
        <v>不明</v>
      </c>
      <c r="O25" s="5">
        <v>200</v>
      </c>
      <c r="P25" s="34">
        <f>O25/SUM(O:O)</f>
        <v>2E-3</v>
      </c>
      <c r="Q25" s="28">
        <v>1</v>
      </c>
      <c r="R25" s="28">
        <v>0</v>
      </c>
      <c r="S25" s="28">
        <v>0</v>
      </c>
      <c r="T25" s="28">
        <v>0</v>
      </c>
      <c r="U25" s="28">
        <v>0</v>
      </c>
      <c r="V25" s="28">
        <v>1</v>
      </c>
    </row>
    <row r="26" spans="1:22" ht="21" customHeight="1" x14ac:dyDescent="0.15">
      <c r="A26" s="2">
        <v>215</v>
      </c>
      <c r="B26" s="6">
        <v>49</v>
      </c>
      <c r="C26" s="7" t="str">
        <f t="shared" si="0"/>
        <v>Premium2R3less</v>
      </c>
      <c r="D26" s="7" t="str">
        <f t="shared" si="1"/>
        <v>Premium</v>
      </c>
      <c r="E26" s="7" t="str">
        <f>IF(COUNTIF('R6追加前'!A:A,B26)=0,IF(I26="PremiumSS","R5only","R3less"),"")</f>
        <v>R3less</v>
      </c>
      <c r="F26" s="7" t="str">
        <f>IF(COUNTIF('R6開放'!A:A,B26)&gt;0,"R6release","")</f>
        <v/>
      </c>
      <c r="G26" s="7"/>
      <c r="H26" s="7" t="str">
        <f>VLOOKUP(B26,[1]characters!$A:$C,3,FALSE)</f>
        <v>ヨシタカ</v>
      </c>
      <c r="I26" s="7" t="str">
        <f>VLOOKUP(B26,[1]characters!$A:$J,10,FALSE)</f>
        <v>Drop1N</v>
      </c>
      <c r="J26" s="7">
        <f>VLOOKUP(B26,[1]characters!$A:$I,9,FALSE)</f>
        <v>2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human</v>
      </c>
      <c r="N26" s="7" t="str">
        <f>VLOOKUP(B26,[1]characters!$A:$G,7,FALSE)</f>
        <v>男性</v>
      </c>
      <c r="O26" s="5">
        <v>200</v>
      </c>
      <c r="P26" s="34">
        <f>O26/SUM(O:O)</f>
        <v>2E-3</v>
      </c>
      <c r="Q26" s="28">
        <v>1</v>
      </c>
      <c r="R26" s="28">
        <v>0</v>
      </c>
      <c r="S26" s="28">
        <v>0</v>
      </c>
      <c r="T26" s="28">
        <v>0</v>
      </c>
      <c r="U26" s="28">
        <v>0</v>
      </c>
      <c r="V26" s="28">
        <v>1</v>
      </c>
    </row>
    <row r="27" spans="1:22" ht="21" customHeight="1" x14ac:dyDescent="0.15">
      <c r="A27" s="2">
        <v>215</v>
      </c>
      <c r="B27" s="6">
        <v>51</v>
      </c>
      <c r="C27" s="7" t="str">
        <f t="shared" si="0"/>
        <v>Premium2R3less</v>
      </c>
      <c r="D27" s="7" t="str">
        <f t="shared" si="1"/>
        <v>Premium</v>
      </c>
      <c r="E27" s="7" t="str">
        <f>IF(COUNTIF('R6追加前'!A:A,B27)=0,IF(I27="PremiumSS","R5only","R3less"),"")</f>
        <v>R3less</v>
      </c>
      <c r="F27" s="7" t="str">
        <f>IF(COUNTIF('R6開放'!A:A,B27)&gt;0,"R6release","")</f>
        <v/>
      </c>
      <c r="G27" s="7"/>
      <c r="H27" s="7" t="str">
        <f>VLOOKUP(B27,[1]characters!$A:$C,3,FALSE)</f>
        <v>マイ</v>
      </c>
      <c r="I27" s="7" t="str">
        <f>VLOOKUP(B27,[1]characters!$A:$J,10,FALSE)</f>
        <v>Drop1N</v>
      </c>
      <c r="J27" s="7">
        <f>VLOOKUP(B27,[1]characters!$A:$I,9,FALSE)</f>
        <v>2</v>
      </c>
      <c r="K27" s="7" t="str">
        <f>VLOOKUP(B27,[1]characters!$A:$H,8,FALSE)</f>
        <v>green</v>
      </c>
      <c r="L27" s="7" t="str">
        <f>VLOOKUP(B27,[1]characters!$A:$K,11,FALSE)</f>
        <v>attack</v>
      </c>
      <c r="M27" s="7" t="str">
        <f>VLOOKUP(B27,[1]characters!$A:$M,13,FALSE)</f>
        <v>human</v>
      </c>
      <c r="N27" s="7" t="str">
        <f>VLOOKUP(B27,[1]characters!$A:$G,7,FALSE)</f>
        <v>女性</v>
      </c>
      <c r="O27" s="5">
        <v>200</v>
      </c>
      <c r="P27" s="34">
        <f>O27/SUM(O:O)</f>
        <v>2E-3</v>
      </c>
      <c r="Q27" s="28">
        <v>1</v>
      </c>
      <c r="R27" s="28">
        <v>0</v>
      </c>
      <c r="S27" s="28">
        <v>0</v>
      </c>
      <c r="T27" s="28">
        <v>0</v>
      </c>
      <c r="U27" s="28">
        <v>0</v>
      </c>
      <c r="V27" s="28">
        <v>1</v>
      </c>
    </row>
    <row r="28" spans="1:22" ht="21" customHeight="1" x14ac:dyDescent="0.15">
      <c r="A28" s="2">
        <v>215</v>
      </c>
      <c r="B28" s="6">
        <v>53</v>
      </c>
      <c r="C28" s="7" t="str">
        <f t="shared" si="0"/>
        <v>Premium2R3less</v>
      </c>
      <c r="D28" s="7" t="str">
        <f t="shared" si="1"/>
        <v>Premium</v>
      </c>
      <c r="E28" s="7" t="str">
        <f>IF(COUNTIF('R6追加前'!A:A,B28)=0,IF(I28="PremiumSS","R5only","R3less"),"")</f>
        <v>R3less</v>
      </c>
      <c r="F28" s="7" t="str">
        <f>IF(COUNTIF('R6開放'!A:A,B28)&gt;0,"R6release","")</f>
        <v/>
      </c>
      <c r="G28" s="7"/>
      <c r="H28" s="7" t="str">
        <f>VLOOKUP(B28,[1]characters!$A:$C,3,FALSE)</f>
        <v>ケンジ</v>
      </c>
      <c r="I28" s="7" t="str">
        <f>VLOOKUP(B28,[1]characters!$A:$J,10,FALSE)</f>
        <v>Drop1N</v>
      </c>
      <c r="J28" s="7">
        <f>VLOOKUP(B28,[1]characters!$A:$I,9,FALSE)</f>
        <v>2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human</v>
      </c>
      <c r="N28" s="7" t="str">
        <f>VLOOKUP(B28,[1]characters!$A:$G,7,FALSE)</f>
        <v>男性</v>
      </c>
      <c r="O28" s="5">
        <v>200</v>
      </c>
      <c r="P28" s="34">
        <f>O28/SUM(O:O)</f>
        <v>2E-3</v>
      </c>
      <c r="Q28" s="28">
        <v>1</v>
      </c>
      <c r="R28" s="28">
        <v>0</v>
      </c>
      <c r="S28" s="28">
        <v>0</v>
      </c>
      <c r="T28" s="28">
        <v>0</v>
      </c>
      <c r="U28" s="28">
        <v>0</v>
      </c>
      <c r="V28" s="28">
        <v>1</v>
      </c>
    </row>
    <row r="29" spans="1:22" ht="21" customHeight="1" x14ac:dyDescent="0.15">
      <c r="A29" s="2">
        <v>215</v>
      </c>
      <c r="B29" s="6">
        <v>55</v>
      </c>
      <c r="C29" s="7" t="str">
        <f t="shared" si="0"/>
        <v>Premium2R3less</v>
      </c>
      <c r="D29" s="7" t="str">
        <f t="shared" si="1"/>
        <v>Premium</v>
      </c>
      <c r="E29" s="7" t="str">
        <f>IF(COUNTIF('R6追加前'!A:A,B29)=0,IF(I29="PremiumSS","R5only","R3less"),"")</f>
        <v>R3less</v>
      </c>
      <c r="F29" s="7" t="str">
        <f>IF(COUNTIF('R6開放'!A:A,B29)&gt;0,"R6release","")</f>
        <v/>
      </c>
      <c r="G29" s="7"/>
      <c r="H29" s="7" t="str">
        <f>VLOOKUP(B29,[1]characters!$A:$C,3,FALSE)</f>
        <v>マミコ</v>
      </c>
      <c r="I29" s="7" t="str">
        <f>VLOOKUP(B29,[1]characters!$A:$J,10,FALSE)</f>
        <v>Drop1N</v>
      </c>
      <c r="J29" s="7">
        <f>VLOOKUP(B29,[1]characters!$A:$I,9,FALSE)</f>
        <v>2</v>
      </c>
      <c r="K29" s="7" t="str">
        <f>VLOOKUP(B29,[1]characters!$A:$H,8,FALSE)</f>
        <v>yellow</v>
      </c>
      <c r="L29" s="7" t="str">
        <f>VLOOKUP(B29,[1]characters!$A:$K,11,FALSE)</f>
        <v>balance</v>
      </c>
      <c r="M29" s="7" t="str">
        <f>VLOOKUP(B29,[1]characters!$A:$M,13,FALSE)</f>
        <v>human</v>
      </c>
      <c r="N29" s="7" t="str">
        <f>VLOOKUP(B29,[1]characters!$A:$G,7,FALSE)</f>
        <v>女性</v>
      </c>
      <c r="O29" s="5">
        <v>200</v>
      </c>
      <c r="P29" s="34">
        <f>O29/SUM(O:O)</f>
        <v>2E-3</v>
      </c>
      <c r="Q29" s="28">
        <v>1</v>
      </c>
      <c r="R29" s="28">
        <v>0</v>
      </c>
      <c r="S29" s="28">
        <v>0</v>
      </c>
      <c r="T29" s="28">
        <v>0</v>
      </c>
      <c r="U29" s="28">
        <v>0</v>
      </c>
      <c r="V29" s="28">
        <v>1</v>
      </c>
    </row>
    <row r="30" spans="1:22" ht="21" customHeight="1" x14ac:dyDescent="0.15">
      <c r="A30" s="2">
        <v>215</v>
      </c>
      <c r="B30" s="6">
        <v>57</v>
      </c>
      <c r="C30" s="7" t="str">
        <f t="shared" si="0"/>
        <v>Premium2R3less</v>
      </c>
      <c r="D30" s="7" t="str">
        <f t="shared" si="1"/>
        <v>Premium</v>
      </c>
      <c r="E30" s="7" t="str">
        <f>IF(COUNTIF('R6追加前'!A:A,B30)=0,IF(I30="PremiumSS","R5only","R3less"),"")</f>
        <v>R3less</v>
      </c>
      <c r="F30" s="7" t="str">
        <f>IF(COUNTIF('R6開放'!A:A,B30)&gt;0,"R6release","")</f>
        <v/>
      </c>
      <c r="G30" s="7"/>
      <c r="H30" s="7" t="str">
        <f>VLOOKUP(B30,[1]characters!$A:$C,3,FALSE)</f>
        <v>チェン・リー</v>
      </c>
      <c r="I30" s="7" t="str">
        <f>VLOOKUP(B30,[1]characters!$A:$J,10,FALSE)</f>
        <v>Drop1N</v>
      </c>
      <c r="J30" s="7">
        <f>VLOOKUP(B30,[1]characters!$A:$I,9,FALSE)</f>
        <v>2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animal</v>
      </c>
      <c r="N30" s="7" t="str">
        <f>VLOOKUP(B30,[1]characters!$A:$G,7,FALSE)</f>
        <v>男性</v>
      </c>
      <c r="O30" s="5">
        <v>200</v>
      </c>
      <c r="P30" s="34">
        <f>O30/SUM(O:O)</f>
        <v>2E-3</v>
      </c>
      <c r="Q30" s="28">
        <v>1</v>
      </c>
      <c r="R30" s="28">
        <v>0</v>
      </c>
      <c r="S30" s="28">
        <v>0</v>
      </c>
      <c r="T30" s="28">
        <v>0</v>
      </c>
      <c r="U30" s="28">
        <v>0</v>
      </c>
      <c r="V30" s="28">
        <v>1</v>
      </c>
    </row>
    <row r="31" spans="1:22" ht="21" customHeight="1" x14ac:dyDescent="0.15">
      <c r="A31" s="2">
        <v>215</v>
      </c>
      <c r="B31" s="6">
        <v>59</v>
      </c>
      <c r="C31" s="7" t="str">
        <f t="shared" ref="C31:C63" si="2">D31&amp;J31&amp;E31&amp;F31&amp;G31</f>
        <v>Premium2R3less</v>
      </c>
      <c r="D31" s="7" t="str">
        <f t="shared" ref="D31:D63" si="3">IF(I31="PremiumSS",I31,IF(I31="PremiumSSS",I31,IF(I31="PremiumW",I31,"Premium")))</f>
        <v>Premium</v>
      </c>
      <c r="E31" s="7" t="str">
        <f>IF(COUNTIF('R6追加前'!A:A,B31)=0,IF(I31="PremiumSS","R5only","R3less"),"")</f>
        <v>R3less</v>
      </c>
      <c r="F31" s="7" t="str">
        <f>IF(COUNTIF('R6開放'!A:A,B31)&gt;0,"R6release","")</f>
        <v/>
      </c>
      <c r="G31" s="7"/>
      <c r="H31" s="7" t="str">
        <f>VLOOKUP(B31,[1]characters!$A:$C,3,FALSE)</f>
        <v>マーチ</v>
      </c>
      <c r="I31" s="7" t="str">
        <f>VLOOKUP(B31,[1]characters!$A:$J,10,FALSE)</f>
        <v>Drop1N</v>
      </c>
      <c r="J31" s="7">
        <f>VLOOKUP(B31,[1]characters!$A:$I,9,FALSE)</f>
        <v>2</v>
      </c>
      <c r="K31" s="7" t="str">
        <f>VLOOKUP(B31,[1]characters!$A:$H,8,FALSE)</f>
        <v>green</v>
      </c>
      <c r="L31" s="7" t="str">
        <f>VLOOKUP(B31,[1]characters!$A:$K,11,FALSE)</f>
        <v>heal</v>
      </c>
      <c r="M31" s="7" t="str">
        <f>VLOOKUP(B31,[1]characters!$A:$M,13,FALSE)</f>
        <v>animal</v>
      </c>
      <c r="N31" s="7" t="str">
        <f>VLOOKUP(B31,[1]characters!$A:$G,7,FALSE)</f>
        <v>男性</v>
      </c>
      <c r="O31" s="5">
        <v>200</v>
      </c>
      <c r="P31" s="34">
        <f>O31/SUM(O:O)</f>
        <v>2E-3</v>
      </c>
      <c r="Q31" s="28">
        <v>1</v>
      </c>
      <c r="R31" s="28">
        <v>0</v>
      </c>
      <c r="S31" s="28">
        <v>0</v>
      </c>
      <c r="T31" s="28">
        <v>0</v>
      </c>
      <c r="U31" s="28">
        <v>0</v>
      </c>
      <c r="V31" s="28">
        <v>1</v>
      </c>
    </row>
    <row r="32" spans="1:22" ht="21" customHeight="1" x14ac:dyDescent="0.15">
      <c r="A32" s="2">
        <v>215</v>
      </c>
      <c r="B32" s="6">
        <v>61</v>
      </c>
      <c r="C32" s="7" t="str">
        <f t="shared" si="2"/>
        <v>Premium2R3less</v>
      </c>
      <c r="D32" s="7" t="str">
        <f t="shared" si="3"/>
        <v>Premium</v>
      </c>
      <c r="E32" s="7" t="str">
        <f>IF(COUNTIF('R6追加前'!A:A,B32)=0,IF(I32="PremiumSS","R5only","R3less"),"")</f>
        <v>R3less</v>
      </c>
      <c r="F32" s="7" t="str">
        <f>IF(COUNTIF('R6開放'!A:A,B32)&gt;0,"R6release","")</f>
        <v/>
      </c>
      <c r="G32" s="7"/>
      <c r="H32" s="7" t="str">
        <f>VLOOKUP(B32,[1]characters!$A:$C,3,FALSE)</f>
        <v>クロウ</v>
      </c>
      <c r="I32" s="7" t="str">
        <f>VLOOKUP(B32,[1]characters!$A:$J,10,FALSE)</f>
        <v>Drop1N</v>
      </c>
      <c r="J32" s="7">
        <f>VLOOKUP(B32,[1]characters!$A:$I,9,FALSE)</f>
        <v>2</v>
      </c>
      <c r="K32" s="7" t="str">
        <f>VLOOKUP(B32,[1]characters!$A:$H,8,FALSE)</f>
        <v>blue</v>
      </c>
      <c r="L32" s="7" t="str">
        <f>VLOOKUP(B32,[1]characters!$A:$K,11,FALSE)</f>
        <v>heal</v>
      </c>
      <c r="M32" s="7" t="str">
        <f>VLOOKUP(B32,[1]characters!$A:$M,13,FALSE)</f>
        <v>animal</v>
      </c>
      <c r="N32" s="7" t="str">
        <f>VLOOKUP(B32,[1]characters!$A:$G,7,FALSE)</f>
        <v>男性</v>
      </c>
      <c r="O32" s="5">
        <v>200</v>
      </c>
      <c r="P32" s="34">
        <f>O32/SUM(O:O)</f>
        <v>2E-3</v>
      </c>
      <c r="Q32" s="28">
        <v>1</v>
      </c>
      <c r="R32" s="28">
        <v>0</v>
      </c>
      <c r="S32" s="28">
        <v>0</v>
      </c>
      <c r="T32" s="28">
        <v>0</v>
      </c>
      <c r="U32" s="28">
        <v>0</v>
      </c>
      <c r="V32" s="28">
        <v>1</v>
      </c>
    </row>
    <row r="33" spans="1:22" ht="21" customHeight="1" x14ac:dyDescent="0.15">
      <c r="A33" s="2">
        <v>215</v>
      </c>
      <c r="B33" s="6">
        <v>63</v>
      </c>
      <c r="C33" s="7" t="str">
        <f t="shared" si="2"/>
        <v>Premium2R3less</v>
      </c>
      <c r="D33" s="7" t="str">
        <f t="shared" si="3"/>
        <v>Premium</v>
      </c>
      <c r="E33" s="7" t="str">
        <f>IF(COUNTIF('R6追加前'!A:A,B33)=0,IF(I33="PremiumSS","R5only","R3less"),"")</f>
        <v>R3less</v>
      </c>
      <c r="F33" s="7" t="str">
        <f>IF(COUNTIF('R6開放'!A:A,B33)&gt;0,"R6release","")</f>
        <v/>
      </c>
      <c r="G33" s="7"/>
      <c r="H33" s="7" t="str">
        <f>VLOOKUP(B33,[1]characters!$A:$C,3,FALSE)</f>
        <v>トニー</v>
      </c>
      <c r="I33" s="7" t="str">
        <f>VLOOKUP(B33,[1]characters!$A:$J,10,FALSE)</f>
        <v>Drop1N</v>
      </c>
      <c r="J33" s="7">
        <f>VLOOKUP(B33,[1]characters!$A:$I,9,FALSE)</f>
        <v>2</v>
      </c>
      <c r="K33" s="7" t="str">
        <f>VLOOKUP(B33,[1]characters!$A:$H,8,FALSE)</f>
        <v>yellow</v>
      </c>
      <c r="L33" s="7" t="str">
        <f>VLOOKUP(B33,[1]characters!$A:$K,11,FALSE)</f>
        <v>technical</v>
      </c>
      <c r="M33" s="7" t="str">
        <f>VLOOKUP(B33,[1]characters!$A:$M,13,FALSE)</f>
        <v>animal</v>
      </c>
      <c r="N33" s="7" t="str">
        <f>VLOOKUP(B33,[1]characters!$A:$G,7,FALSE)</f>
        <v>男性</v>
      </c>
      <c r="O33" s="5">
        <v>200</v>
      </c>
      <c r="P33" s="34">
        <f>O33/SUM(O:O)</f>
        <v>2E-3</v>
      </c>
      <c r="Q33" s="28">
        <v>1</v>
      </c>
      <c r="R33" s="28">
        <v>0</v>
      </c>
      <c r="S33" s="28">
        <v>0</v>
      </c>
      <c r="T33" s="28">
        <v>0</v>
      </c>
      <c r="U33" s="28">
        <v>0</v>
      </c>
      <c r="V33" s="28">
        <v>1</v>
      </c>
    </row>
    <row r="34" spans="1:22" ht="21" customHeight="1" x14ac:dyDescent="0.15">
      <c r="A34" s="2">
        <v>215</v>
      </c>
      <c r="B34" s="6">
        <v>65</v>
      </c>
      <c r="C34" s="7" t="str">
        <f t="shared" si="2"/>
        <v>Premium2R3less</v>
      </c>
      <c r="D34" s="7" t="str">
        <f t="shared" si="3"/>
        <v>Premium</v>
      </c>
      <c r="E34" s="7" t="str">
        <f>IF(COUNTIF('R6追加前'!A:A,B34)=0,IF(I34="PremiumSS","R5only","R3less"),"")</f>
        <v>R3less</v>
      </c>
      <c r="F34" s="7" t="str">
        <f>IF(COUNTIF('R6開放'!A:A,B34)&gt;0,"R6release","")</f>
        <v/>
      </c>
      <c r="G34" s="7"/>
      <c r="H34" s="7" t="str">
        <f>VLOOKUP(B34,[1]characters!$A:$C,3,FALSE)</f>
        <v>ファイアフォックス</v>
      </c>
      <c r="I34" s="7" t="str">
        <f>VLOOKUP(B34,[1]characters!$A:$J,10,FALSE)</f>
        <v>Drop1S</v>
      </c>
      <c r="J34" s="7">
        <f>VLOOKUP(B34,[1]characters!$A:$I,9,FALSE)</f>
        <v>2</v>
      </c>
      <c r="K34" s="7" t="str">
        <f>VLOOKUP(B34,[1]characters!$A:$H,8,FALSE)</f>
        <v>red</v>
      </c>
      <c r="L34" s="7" t="str">
        <f>VLOOKUP(B34,[1]characters!$A:$K,11,FALSE)</f>
        <v>attack</v>
      </c>
      <c r="M34" s="7" t="str">
        <f>VLOOKUP(B34,[1]characters!$A:$M,13,FALSE)</f>
        <v>animal</v>
      </c>
      <c r="N34" s="7" t="str">
        <f>VLOOKUP(B34,[1]characters!$A:$G,7,FALSE)</f>
        <v>男性</v>
      </c>
      <c r="O34" s="5">
        <v>200</v>
      </c>
      <c r="P34" s="34">
        <f>O34/SUM(O:O)</f>
        <v>2E-3</v>
      </c>
      <c r="Q34" s="28">
        <v>1</v>
      </c>
      <c r="R34" s="28">
        <v>0</v>
      </c>
      <c r="S34" s="28">
        <v>0</v>
      </c>
      <c r="T34" s="28">
        <v>0</v>
      </c>
      <c r="U34" s="28">
        <v>0</v>
      </c>
      <c r="V34" s="28">
        <v>1</v>
      </c>
    </row>
    <row r="35" spans="1:22" ht="21" customHeight="1" x14ac:dyDescent="0.15">
      <c r="A35" s="2">
        <v>215</v>
      </c>
      <c r="B35" s="6">
        <v>68</v>
      </c>
      <c r="C35" s="7" t="str">
        <f t="shared" si="2"/>
        <v>Premium2R3less</v>
      </c>
      <c r="D35" s="7" t="str">
        <f t="shared" si="3"/>
        <v>Premium</v>
      </c>
      <c r="E35" s="7" t="str">
        <f>IF(COUNTIF('R6追加前'!A:A,B35)=0,IF(I35="PremiumSS","R5only","R3less"),"")</f>
        <v>R3less</v>
      </c>
      <c r="F35" s="7" t="str">
        <f>IF(COUNTIF('R6開放'!A:A,B35)&gt;0,"R6release","")</f>
        <v/>
      </c>
      <c r="G35" s="7"/>
      <c r="H35" s="7" t="str">
        <f>VLOOKUP(B35,[1]characters!$A:$C,3,FALSE)</f>
        <v>ストール</v>
      </c>
      <c r="I35" s="7" t="str">
        <f>VLOOKUP(B35,[1]characters!$A:$J,10,FALSE)</f>
        <v>Drop1S</v>
      </c>
      <c r="J35" s="7">
        <f>VLOOKUP(B35,[1]characters!$A:$I,9,FALSE)</f>
        <v>2</v>
      </c>
      <c r="K35" s="7" t="str">
        <f>VLOOKUP(B35,[1]characters!$A:$H,8,FALSE)</f>
        <v>green</v>
      </c>
      <c r="L35" s="7" t="str">
        <f>VLOOKUP(B35,[1]characters!$A:$K,11,FALSE)</f>
        <v>hp</v>
      </c>
      <c r="M35" s="7" t="str">
        <f>VLOOKUP(B35,[1]characters!$A:$M,13,FALSE)</f>
        <v>animal</v>
      </c>
      <c r="N35" s="7" t="str">
        <f>VLOOKUP(B35,[1]characters!$A:$G,7,FALSE)</f>
        <v>男性</v>
      </c>
      <c r="O35" s="5">
        <v>200</v>
      </c>
      <c r="P35" s="34">
        <f>O35/SUM(O:O)</f>
        <v>2E-3</v>
      </c>
      <c r="Q35" s="28">
        <v>1</v>
      </c>
      <c r="R35" s="28">
        <v>0</v>
      </c>
      <c r="S35" s="28">
        <v>0</v>
      </c>
      <c r="T35" s="28">
        <v>0</v>
      </c>
      <c r="U35" s="28">
        <v>0</v>
      </c>
      <c r="V35" s="28">
        <v>1</v>
      </c>
    </row>
    <row r="36" spans="1:22" ht="21" customHeight="1" x14ac:dyDescent="0.15">
      <c r="A36" s="2">
        <v>215</v>
      </c>
      <c r="B36" s="6">
        <v>71</v>
      </c>
      <c r="C36" s="7" t="str">
        <f t="shared" si="2"/>
        <v>Premium2R3less</v>
      </c>
      <c r="D36" s="7" t="str">
        <f t="shared" si="3"/>
        <v>Premium</v>
      </c>
      <c r="E36" s="7" t="str">
        <f>IF(COUNTIF('R6追加前'!A:A,B36)=0,IF(I36="PremiumSS","R5only","R3less"),"")</f>
        <v>R3less</v>
      </c>
      <c r="F36" s="7" t="str">
        <f>IF(COUNTIF('R6開放'!A:A,B36)&gt;0,"R6release","")</f>
        <v/>
      </c>
      <c r="G36" s="7"/>
      <c r="H36" s="7" t="str">
        <f>VLOOKUP(B36,[1]characters!$A:$C,3,FALSE)</f>
        <v>ダックス</v>
      </c>
      <c r="I36" s="7" t="str">
        <f>VLOOKUP(B36,[1]characters!$A:$J,10,FALSE)</f>
        <v>Drop1S</v>
      </c>
      <c r="J36" s="7">
        <f>VLOOKUP(B36,[1]characters!$A:$I,9,FALSE)</f>
        <v>2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animal</v>
      </c>
      <c r="N36" s="7" t="str">
        <f>VLOOKUP(B36,[1]characters!$A:$G,7,FALSE)</f>
        <v>男性</v>
      </c>
      <c r="O36" s="5">
        <v>200</v>
      </c>
      <c r="P36" s="34">
        <f>O36/SUM(O:O)</f>
        <v>2E-3</v>
      </c>
      <c r="Q36" s="28">
        <v>1</v>
      </c>
      <c r="R36" s="28">
        <v>0</v>
      </c>
      <c r="S36" s="28">
        <v>0</v>
      </c>
      <c r="T36" s="28">
        <v>0</v>
      </c>
      <c r="U36" s="28">
        <v>0</v>
      </c>
      <c r="V36" s="28">
        <v>1</v>
      </c>
    </row>
    <row r="37" spans="1:22" ht="21" customHeight="1" x14ac:dyDescent="0.15">
      <c r="A37" s="2">
        <v>215</v>
      </c>
      <c r="B37" s="6">
        <v>77</v>
      </c>
      <c r="C37" s="7" t="str">
        <f t="shared" si="2"/>
        <v>PremiumW3R3less</v>
      </c>
      <c r="D37" s="7" t="str">
        <f t="shared" si="3"/>
        <v>PremiumW</v>
      </c>
      <c r="E37" s="7" t="str">
        <f>IF(COUNTIF('R6追加前'!A:A,B37)=0,IF(I37="PremiumSS","R5only","R3less"),"")</f>
        <v>R3less</v>
      </c>
      <c r="F37" s="7" t="str">
        <f>IF(COUNTIF('R6開放'!A:A,B37)&gt;0,"R6release","")</f>
        <v/>
      </c>
      <c r="G37" s="7"/>
      <c r="H37" s="7" t="str">
        <f>VLOOKUP(B37,[1]characters!$A:$C,3,FALSE)</f>
        <v>潜伏型メリッサ</v>
      </c>
      <c r="I37" s="7" t="str">
        <f>VLOOKUP(B37,[1]characters!$A:$J,10,FALSE)</f>
        <v>PremiumW</v>
      </c>
      <c r="J37" s="7">
        <f>VLOOKUP(B37,[1]characters!$A:$I,9,FALSE)</f>
        <v>3</v>
      </c>
      <c r="K37" s="7" t="str">
        <f>VLOOKUP(B37,[1]characters!$A:$H,8,FALSE)</f>
        <v>red</v>
      </c>
      <c r="L37" s="7" t="str">
        <f>VLOOKUP(B37,[1]characters!$A:$K,11,FALSE)</f>
        <v>technical</v>
      </c>
      <c r="M37" s="7" t="str">
        <f>VLOOKUP(B37,[1]characters!$A:$M,13,FALSE)</f>
        <v>unknown</v>
      </c>
      <c r="N37" s="7" t="str">
        <f>VLOOKUP(B37,[1]characters!$A:$G,7,FALSE)</f>
        <v>女性</v>
      </c>
      <c r="O37" s="5">
        <v>1000</v>
      </c>
      <c r="P37" s="34">
        <f>O37/SUM(O:O)</f>
        <v>0.01</v>
      </c>
      <c r="Q37" s="28">
        <v>1</v>
      </c>
      <c r="R37" s="28">
        <v>0</v>
      </c>
      <c r="S37" s="28">
        <v>0</v>
      </c>
      <c r="T37" s="28">
        <v>0</v>
      </c>
      <c r="U37" s="28">
        <v>0</v>
      </c>
      <c r="V37" s="28">
        <v>1</v>
      </c>
    </row>
    <row r="38" spans="1:22" ht="21" customHeight="1" x14ac:dyDescent="0.15">
      <c r="A38" s="2">
        <v>215</v>
      </c>
      <c r="B38" s="6">
        <v>79</v>
      </c>
      <c r="C38" s="7" t="str">
        <f t="shared" si="2"/>
        <v>PremiumW3R3less</v>
      </c>
      <c r="D38" s="7" t="str">
        <f t="shared" si="3"/>
        <v>PremiumW</v>
      </c>
      <c r="E38" s="7" t="str">
        <f>IF(COUNTIF('R6追加前'!A:A,B38)=0,IF(I38="PremiumSS","R5only","R3less"),"")</f>
        <v>R3less</v>
      </c>
      <c r="F38" s="7" t="str">
        <f>IF(COUNTIF('R6開放'!A:A,B38)&gt;0,"R6release","")</f>
        <v/>
      </c>
      <c r="G38" s="7"/>
      <c r="H38" s="7" t="str">
        <f>VLOOKUP(B38,[1]characters!$A:$C,3,FALSE)</f>
        <v>ハッピー100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green</v>
      </c>
      <c r="L38" s="7" t="str">
        <f>VLOOKUP(B38,[1]characters!$A:$K,11,FALSE)</f>
        <v>heal</v>
      </c>
      <c r="M38" s="7" t="str">
        <f>VLOOKUP(B38,[1]characters!$A:$M,13,FALSE)</f>
        <v>unknown</v>
      </c>
      <c r="N38" s="7" t="str">
        <f>VLOOKUP(B38,[1]characters!$A:$G,7,FALSE)</f>
        <v>女性</v>
      </c>
      <c r="O38" s="5">
        <v>1000</v>
      </c>
      <c r="P38" s="34">
        <f>O38/SUM(O:O)</f>
        <v>0.01</v>
      </c>
      <c r="Q38" s="28">
        <v>1</v>
      </c>
      <c r="R38" s="28">
        <v>0</v>
      </c>
      <c r="S38" s="28">
        <v>0</v>
      </c>
      <c r="T38" s="28">
        <v>0</v>
      </c>
      <c r="U38" s="28">
        <v>0</v>
      </c>
      <c r="V38" s="28">
        <v>1</v>
      </c>
    </row>
    <row r="39" spans="1:22" ht="21" customHeight="1" x14ac:dyDescent="0.15">
      <c r="A39" s="2">
        <v>215</v>
      </c>
      <c r="B39" s="6">
        <v>81</v>
      </c>
      <c r="C39" s="7" t="str">
        <f t="shared" si="2"/>
        <v>PremiumW3R3less</v>
      </c>
      <c r="D39" s="7" t="str">
        <f t="shared" si="3"/>
        <v>PremiumW</v>
      </c>
      <c r="E39" s="7" t="str">
        <f>IF(COUNTIF('R6追加前'!A:A,B39)=0,IF(I39="PremiumSS","R5only","R3less"),"")</f>
        <v>R3less</v>
      </c>
      <c r="F39" s="7" t="str">
        <f>IF(COUNTIF('R6開放'!A:A,B39)&gt;0,"R6release","")</f>
        <v/>
      </c>
      <c r="G39" s="7"/>
      <c r="H39" s="7" t="str">
        <f>VLOOKUP(B39,[1]characters!$A:$C,3,FALSE)</f>
        <v>増幅型モリス</v>
      </c>
      <c r="I39" s="7" t="str">
        <f>VLOOKUP(B39,[1]characters!$A:$J,10,FALSE)</f>
        <v>PremiumW</v>
      </c>
      <c r="J39" s="7">
        <f>VLOOKUP(B39,[1]characters!$A:$I,9,FALSE)</f>
        <v>3</v>
      </c>
      <c r="K39" s="7" t="str">
        <f>VLOOKUP(B39,[1]characters!$A:$H,8,FALSE)</f>
        <v>blue</v>
      </c>
      <c r="L39" s="7" t="str">
        <f>VLOOKUP(B39,[1]characters!$A:$K,11,FALSE)</f>
        <v>balance</v>
      </c>
      <c r="M39" s="7" t="str">
        <f>VLOOKUP(B39,[1]characters!$A:$M,13,FALSE)</f>
        <v>unknown</v>
      </c>
      <c r="N39" s="7" t="str">
        <f>VLOOKUP(B39,[1]characters!$A:$G,7,FALSE)</f>
        <v>男性</v>
      </c>
      <c r="O39" s="5">
        <v>1000</v>
      </c>
      <c r="P39" s="34">
        <f>O39/SUM(O:O)</f>
        <v>0.01</v>
      </c>
      <c r="Q39" s="28">
        <v>1</v>
      </c>
      <c r="R39" s="28">
        <v>0</v>
      </c>
      <c r="S39" s="28">
        <v>0</v>
      </c>
      <c r="T39" s="28">
        <v>0</v>
      </c>
      <c r="U39" s="28">
        <v>0</v>
      </c>
      <c r="V39" s="28">
        <v>1</v>
      </c>
    </row>
    <row r="40" spans="1:22" ht="21" customHeight="1" x14ac:dyDescent="0.15">
      <c r="A40" s="2">
        <v>215</v>
      </c>
      <c r="B40" s="6">
        <v>83</v>
      </c>
      <c r="C40" s="7" t="str">
        <f t="shared" si="2"/>
        <v>PremiumW3R3less</v>
      </c>
      <c r="D40" s="7" t="str">
        <f t="shared" si="3"/>
        <v>PremiumW</v>
      </c>
      <c r="E40" s="7" t="str">
        <f>IF(COUNTIF('R6追加前'!A:A,B40)=0,IF(I40="PremiumSS","R5only","R3less"),"")</f>
        <v>R3less</v>
      </c>
      <c r="F40" s="7" t="str">
        <f>IF(COUNTIF('R6開放'!A:A,B40)&gt;0,"R6release","")</f>
        <v/>
      </c>
      <c r="G40" s="7"/>
      <c r="H40" s="7" t="str">
        <f>VLOOKUP(B40,[1]characters!$A:$C,3,FALSE)</f>
        <v>拡散性ニムダ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heal</v>
      </c>
      <c r="M40" s="7" t="str">
        <f>VLOOKUP(B40,[1]characters!$A:$M,13,FALSE)</f>
        <v>unknown</v>
      </c>
      <c r="N40" s="7" t="str">
        <f>VLOOKUP(B40,[1]characters!$A:$G,7,FALSE)</f>
        <v>不明</v>
      </c>
      <c r="O40" s="5">
        <v>1000</v>
      </c>
      <c r="P40" s="34">
        <f>O40/SUM(O:O)</f>
        <v>0.01</v>
      </c>
      <c r="Q40" s="28">
        <v>1</v>
      </c>
      <c r="R40" s="28">
        <v>0</v>
      </c>
      <c r="S40" s="28">
        <v>0</v>
      </c>
      <c r="T40" s="28">
        <v>0</v>
      </c>
      <c r="U40" s="28">
        <v>0</v>
      </c>
      <c r="V40" s="28">
        <v>1</v>
      </c>
    </row>
    <row r="41" spans="1:22" ht="21" customHeight="1" x14ac:dyDescent="0.15">
      <c r="A41" s="2">
        <v>215</v>
      </c>
      <c r="B41" s="6">
        <v>85</v>
      </c>
      <c r="C41" s="7" t="str">
        <f t="shared" si="2"/>
        <v>Premium3R3less</v>
      </c>
      <c r="D41" s="7" t="str">
        <f t="shared" si="3"/>
        <v>Premium</v>
      </c>
      <c r="E41" s="7" t="str">
        <f>IF(COUNTIF('R6追加前'!A:A,B41)=0,IF(I41="PremiumSS","R5only","R3less"),"")</f>
        <v>R3less</v>
      </c>
      <c r="F41" s="7" t="str">
        <f>IF(COUNTIF('R6開放'!A:A,B41)&gt;0,"R6release","")</f>
        <v/>
      </c>
      <c r="G41" s="7"/>
      <c r="H41" s="7" t="str">
        <f>VLOOKUP(B41,[1]characters!$A:$C,3,FALSE)</f>
        <v>朱雀</v>
      </c>
      <c r="I41" s="7" t="str">
        <f>VLOOKUP(B41,[1]characters!$A:$J,10,FALSE)</f>
        <v>Drop2N</v>
      </c>
      <c r="J41" s="7">
        <f>VLOOKUP(B41,[1]characters!$A:$I,9,FALSE)</f>
        <v>3</v>
      </c>
      <c r="K41" s="7" t="str">
        <f>VLOOKUP(B41,[1]characters!$A:$H,8,FALSE)</f>
        <v>red</v>
      </c>
      <c r="L41" s="7" t="str">
        <f>VLOOKUP(B41,[1]characters!$A:$K,11,FALSE)</f>
        <v>balance</v>
      </c>
      <c r="M41" s="7" t="str">
        <f>VLOOKUP(B41,[1]characters!$A:$M,13,FALSE)</f>
        <v>animal</v>
      </c>
      <c r="N41" s="7" t="str">
        <f>VLOOKUP(B41,[1]characters!$A:$G,7,FALSE)</f>
        <v>不明</v>
      </c>
      <c r="O41" s="5">
        <v>1500</v>
      </c>
      <c r="P41" s="34">
        <f>O41/SUM(O:O)</f>
        <v>1.4999999999999999E-2</v>
      </c>
      <c r="Q41" s="28">
        <v>1</v>
      </c>
      <c r="R41" s="28">
        <v>0</v>
      </c>
      <c r="S41" s="28">
        <v>0</v>
      </c>
      <c r="T41" s="28">
        <v>0</v>
      </c>
      <c r="U41" s="28">
        <v>0</v>
      </c>
      <c r="V41" s="28">
        <v>1</v>
      </c>
    </row>
    <row r="42" spans="1:22" ht="21" customHeight="1" x14ac:dyDescent="0.15">
      <c r="A42" s="2">
        <v>215</v>
      </c>
      <c r="B42" s="6">
        <v>88</v>
      </c>
      <c r="C42" s="7" t="str">
        <f t="shared" si="2"/>
        <v>Premium3R3less</v>
      </c>
      <c r="D42" s="7" t="str">
        <f t="shared" si="3"/>
        <v>Premium</v>
      </c>
      <c r="E42" s="7" t="str">
        <f>IF(COUNTIF('R6追加前'!A:A,B42)=0,IF(I42="PremiumSS","R5only","R3less"),"")</f>
        <v>R3less</v>
      </c>
      <c r="F42" s="7" t="str">
        <f>IF(COUNTIF('R6開放'!A:A,B42)&gt;0,"R6release","")</f>
        <v/>
      </c>
      <c r="G42" s="7"/>
      <c r="H42" s="7" t="str">
        <f>VLOOKUP(B42,[1]characters!$A:$C,3,FALSE)</f>
        <v>玄武</v>
      </c>
      <c r="I42" s="7" t="str">
        <f>VLOOKUP(B42,[1]characters!$A:$J,10,FALSE)</f>
        <v>Drop2N</v>
      </c>
      <c r="J42" s="7">
        <f>VLOOKUP(B42,[1]characters!$A:$I,9,FALSE)</f>
        <v>3</v>
      </c>
      <c r="K42" s="7" t="str">
        <f>VLOOKUP(B42,[1]characters!$A:$H,8,FALSE)</f>
        <v>green</v>
      </c>
      <c r="L42" s="7" t="str">
        <f>VLOOKUP(B42,[1]characters!$A:$K,11,FALSE)</f>
        <v>technical</v>
      </c>
      <c r="M42" s="7" t="str">
        <f>VLOOKUP(B42,[1]characters!$A:$M,13,FALSE)</f>
        <v>dragon</v>
      </c>
      <c r="N42" s="7" t="str">
        <f>VLOOKUP(B42,[1]characters!$A:$G,7,FALSE)</f>
        <v>不明</v>
      </c>
      <c r="O42" s="5">
        <v>1500</v>
      </c>
      <c r="P42" s="34">
        <f>O42/SUM(O:O)</f>
        <v>1.4999999999999999E-2</v>
      </c>
      <c r="Q42" s="28">
        <v>1</v>
      </c>
      <c r="R42" s="28">
        <v>0</v>
      </c>
      <c r="S42" s="28">
        <v>0</v>
      </c>
      <c r="T42" s="28">
        <v>0</v>
      </c>
      <c r="U42" s="28">
        <v>0</v>
      </c>
      <c r="V42" s="28">
        <v>1</v>
      </c>
    </row>
    <row r="43" spans="1:22" ht="21" customHeight="1" x14ac:dyDescent="0.15">
      <c r="A43" s="2">
        <v>215</v>
      </c>
      <c r="B43" s="6">
        <v>91</v>
      </c>
      <c r="C43" s="7" t="str">
        <f t="shared" si="2"/>
        <v>Premium3R3less</v>
      </c>
      <c r="D43" s="7" t="str">
        <f t="shared" si="3"/>
        <v>Premium</v>
      </c>
      <c r="E43" s="7" t="str">
        <f>IF(COUNTIF('R6追加前'!A:A,B43)=0,IF(I43="PremiumSS","R5only","R3less"),"")</f>
        <v>R3less</v>
      </c>
      <c r="F43" s="7" t="str">
        <f>IF(COUNTIF('R6開放'!A:A,B43)&gt;0,"R6release","")</f>
        <v/>
      </c>
      <c r="G43" s="7"/>
      <c r="H43" s="7" t="str">
        <f>VLOOKUP(B43,[1]characters!$A:$C,3,FALSE)</f>
        <v>青龍</v>
      </c>
      <c r="I43" s="7" t="str">
        <f>VLOOKUP(B43,[1]characters!$A:$J,10,FALSE)</f>
        <v>Drop2N</v>
      </c>
      <c r="J43" s="7">
        <f>VLOOKUP(B43,[1]characters!$A:$I,9,FALSE)</f>
        <v>3</v>
      </c>
      <c r="K43" s="7" t="str">
        <f>VLOOKUP(B43,[1]characters!$A:$H,8,FALSE)</f>
        <v>blue</v>
      </c>
      <c r="L43" s="7" t="str">
        <f>VLOOKUP(B43,[1]characters!$A:$K,11,FALSE)</f>
        <v>balance</v>
      </c>
      <c r="M43" s="7" t="str">
        <f>VLOOKUP(B43,[1]characters!$A:$M,13,FALSE)</f>
        <v>dragon</v>
      </c>
      <c r="N43" s="7" t="str">
        <f>VLOOKUP(B43,[1]characters!$A:$G,7,FALSE)</f>
        <v>不明</v>
      </c>
      <c r="O43" s="5">
        <v>1500</v>
      </c>
      <c r="P43" s="34">
        <f>O43/SUM(O:O)</f>
        <v>1.4999999999999999E-2</v>
      </c>
      <c r="Q43" s="28">
        <v>1</v>
      </c>
      <c r="R43" s="28">
        <v>0</v>
      </c>
      <c r="S43" s="28">
        <v>0</v>
      </c>
      <c r="T43" s="28">
        <v>0</v>
      </c>
      <c r="U43" s="28">
        <v>0</v>
      </c>
      <c r="V43" s="28">
        <v>1</v>
      </c>
    </row>
    <row r="44" spans="1:22" ht="21" customHeight="1" x14ac:dyDescent="0.15">
      <c r="A44" s="2">
        <v>215</v>
      </c>
      <c r="B44" s="6">
        <v>94</v>
      </c>
      <c r="C44" s="7" t="str">
        <f t="shared" si="2"/>
        <v>Premium3R3less</v>
      </c>
      <c r="D44" s="7" t="str">
        <f t="shared" si="3"/>
        <v>Premium</v>
      </c>
      <c r="E44" s="7" t="str">
        <f>IF(COUNTIF('R6追加前'!A:A,B44)=0,IF(I44="PremiumSS","R5only","R3less"),"")</f>
        <v>R3less</v>
      </c>
      <c r="F44" s="7" t="str">
        <f>IF(COUNTIF('R6開放'!A:A,B44)&gt;0,"R6release","")</f>
        <v/>
      </c>
      <c r="G44" s="7"/>
      <c r="H44" s="7" t="str">
        <f>VLOOKUP(B44,[1]characters!$A:$C,3,FALSE)</f>
        <v>白虎</v>
      </c>
      <c r="I44" s="7" t="str">
        <f>VLOOKUP(B44,[1]characters!$A:$J,10,FALSE)</f>
        <v>Drop2N</v>
      </c>
      <c r="J44" s="7">
        <f>VLOOKUP(B44,[1]characters!$A:$I,9,FALSE)</f>
        <v>3</v>
      </c>
      <c r="K44" s="7" t="str">
        <f>VLOOKUP(B44,[1]characters!$A:$H,8,FALSE)</f>
        <v>yellow</v>
      </c>
      <c r="L44" s="7" t="str">
        <f>VLOOKUP(B44,[1]characters!$A:$K,11,FALSE)</f>
        <v>attack</v>
      </c>
      <c r="M44" s="7" t="str">
        <f>VLOOKUP(B44,[1]characters!$A:$M,13,FALSE)</f>
        <v>animal</v>
      </c>
      <c r="N44" s="7" t="str">
        <f>VLOOKUP(B44,[1]characters!$A:$G,7,FALSE)</f>
        <v>不明</v>
      </c>
      <c r="O44" s="5">
        <v>1500</v>
      </c>
      <c r="P44" s="34">
        <f>O44/SUM(O:O)</f>
        <v>1.4999999999999999E-2</v>
      </c>
      <c r="Q44" s="28">
        <v>1</v>
      </c>
      <c r="R44" s="28">
        <v>0</v>
      </c>
      <c r="S44" s="28">
        <v>0</v>
      </c>
      <c r="T44" s="28">
        <v>0</v>
      </c>
      <c r="U44" s="28">
        <v>0</v>
      </c>
      <c r="V44" s="28">
        <v>1</v>
      </c>
    </row>
    <row r="45" spans="1:22" ht="21" customHeight="1" x14ac:dyDescent="0.15">
      <c r="A45" s="2">
        <v>215</v>
      </c>
      <c r="B45" s="6">
        <v>332</v>
      </c>
      <c r="C45" s="7" t="str">
        <f t="shared" si="2"/>
        <v>Premium3R3less</v>
      </c>
      <c r="D45" s="7" t="str">
        <f t="shared" si="3"/>
        <v>Premium</v>
      </c>
      <c r="E45" s="7" t="str">
        <f>IF(COUNTIF('R6追加前'!A:A,B45)=0,IF(I45="PremiumSS","R5only","R3less"),"")</f>
        <v>R3less</v>
      </c>
      <c r="F45" s="7" t="str">
        <f>IF(COUNTIF('R6開放'!A:A,B45)&gt;0,"R6release","")</f>
        <v/>
      </c>
      <c r="G45" s="7"/>
      <c r="H45" s="7" t="str">
        <f>VLOOKUP(B45,[1]characters!$A:$C,3,FALSE)</f>
        <v>炎のメタルピヨピヨ</v>
      </c>
      <c r="I45" s="7" t="str">
        <f>VLOOKUP(B45,[1]characters!$A:$J,10,FALSE)</f>
        <v>Material</v>
      </c>
      <c r="J45" s="7">
        <f>VLOOKUP(B45,[1]characters!$A:$I,9,FALSE)</f>
        <v>3</v>
      </c>
      <c r="K45" s="7" t="str">
        <f>VLOOKUP(B45,[1]characters!$A:$H,8,FALSE)</f>
        <v>red</v>
      </c>
      <c r="L45" s="7" t="str">
        <f>VLOOKUP(B45,[1]characters!$A:$K,11,FALSE)</f>
        <v>exp</v>
      </c>
      <c r="M45" s="7" t="str">
        <f>VLOOKUP(B45,[1]characters!$A:$M,13,FALSE)</f>
        <v>unknown</v>
      </c>
      <c r="N45" s="7" t="str">
        <f>VLOOKUP(B45,[1]characters!$A:$G,7,FALSE)</f>
        <v>不明</v>
      </c>
      <c r="O45" s="5">
        <v>1000</v>
      </c>
      <c r="P45" s="34">
        <f>O45/SUM(O:O)</f>
        <v>0.01</v>
      </c>
      <c r="Q45" s="28">
        <v>1</v>
      </c>
      <c r="R45" s="28">
        <v>0</v>
      </c>
      <c r="S45" s="28">
        <v>0</v>
      </c>
      <c r="T45" s="28">
        <v>0</v>
      </c>
      <c r="U45" s="28">
        <v>0</v>
      </c>
      <c r="V45" s="28">
        <v>1</v>
      </c>
    </row>
    <row r="46" spans="1:22" ht="21" customHeight="1" x14ac:dyDescent="0.15">
      <c r="A46" s="2">
        <v>215</v>
      </c>
      <c r="B46" s="6">
        <v>336</v>
      </c>
      <c r="C46" s="7" t="str">
        <f t="shared" si="2"/>
        <v>Premium3R3less</v>
      </c>
      <c r="D46" s="7" t="str">
        <f t="shared" si="3"/>
        <v>Premium</v>
      </c>
      <c r="E46" s="7" t="str">
        <f>IF(COUNTIF('R6追加前'!A:A,B46)=0,IF(I46="PremiumSS","R5only","R3less"),"")</f>
        <v>R3less</v>
      </c>
      <c r="F46" s="7" t="str">
        <f>IF(COUNTIF('R6開放'!A:A,B46)&gt;0,"R6release","")</f>
        <v/>
      </c>
      <c r="G46" s="7"/>
      <c r="H46" s="7" t="str">
        <f>VLOOKUP(B46,[1]characters!$A:$C,3,FALSE)</f>
        <v>森のメタルピヨピヨ</v>
      </c>
      <c r="I46" s="7" t="str">
        <f>VLOOKUP(B46,[1]characters!$A:$J,10,FALSE)</f>
        <v>Material</v>
      </c>
      <c r="J46" s="7">
        <f>VLOOKUP(B46,[1]characters!$A:$I,9,FALSE)</f>
        <v>3</v>
      </c>
      <c r="K46" s="7" t="str">
        <f>VLOOKUP(B46,[1]characters!$A:$H,8,FALSE)</f>
        <v>green</v>
      </c>
      <c r="L46" s="7" t="str">
        <f>VLOOKUP(B46,[1]characters!$A:$K,11,FALSE)</f>
        <v>exp</v>
      </c>
      <c r="M46" s="7" t="str">
        <f>VLOOKUP(B46,[1]characters!$A:$M,13,FALSE)</f>
        <v>unknown</v>
      </c>
      <c r="N46" s="7" t="str">
        <f>VLOOKUP(B46,[1]characters!$A:$G,7,FALSE)</f>
        <v>不明</v>
      </c>
      <c r="O46" s="5">
        <v>1000</v>
      </c>
      <c r="P46" s="34">
        <f>O46/SUM(O:O)</f>
        <v>0.01</v>
      </c>
      <c r="Q46" s="28">
        <v>1</v>
      </c>
      <c r="R46" s="28">
        <v>0</v>
      </c>
      <c r="S46" s="28">
        <v>0</v>
      </c>
      <c r="T46" s="28">
        <v>0</v>
      </c>
      <c r="U46" s="28">
        <v>0</v>
      </c>
      <c r="V46" s="28">
        <v>1</v>
      </c>
    </row>
    <row r="47" spans="1:22" ht="21" customHeight="1" x14ac:dyDescent="0.15">
      <c r="A47" s="2">
        <v>215</v>
      </c>
      <c r="B47" s="6">
        <v>340</v>
      </c>
      <c r="C47" s="7" t="str">
        <f t="shared" si="2"/>
        <v>Premium3R3less</v>
      </c>
      <c r="D47" s="7" t="str">
        <f t="shared" si="3"/>
        <v>Premium</v>
      </c>
      <c r="E47" s="7" t="str">
        <f>IF(COUNTIF('R6追加前'!A:A,B47)=0,IF(I47="PremiumSS","R5only","R3less"),"")</f>
        <v>R3less</v>
      </c>
      <c r="F47" s="7" t="str">
        <f>IF(COUNTIF('R6開放'!A:A,B47)&gt;0,"R6release","")</f>
        <v/>
      </c>
      <c r="G47" s="7"/>
      <c r="H47" s="7" t="str">
        <f>VLOOKUP(B47,[1]characters!$A:$C,3,FALSE)</f>
        <v>水のメタルピヨピヨ</v>
      </c>
      <c r="I47" s="7" t="str">
        <f>VLOOKUP(B47,[1]characters!$A:$J,10,FALSE)</f>
        <v>Material</v>
      </c>
      <c r="J47" s="7">
        <f>VLOOKUP(B47,[1]characters!$A:$I,9,FALSE)</f>
        <v>3</v>
      </c>
      <c r="K47" s="7" t="str">
        <f>VLOOKUP(B47,[1]characters!$A:$H,8,FALSE)</f>
        <v>blue</v>
      </c>
      <c r="L47" s="7" t="str">
        <f>VLOOKUP(B47,[1]characters!$A:$K,11,FALSE)</f>
        <v>exp</v>
      </c>
      <c r="M47" s="7" t="str">
        <f>VLOOKUP(B47,[1]characters!$A:$M,13,FALSE)</f>
        <v>unknown</v>
      </c>
      <c r="N47" s="7" t="str">
        <f>VLOOKUP(B47,[1]characters!$A:$G,7,FALSE)</f>
        <v>不明</v>
      </c>
      <c r="O47" s="5">
        <v>1000</v>
      </c>
      <c r="P47" s="34">
        <f>O47/SUM(O:O)</f>
        <v>0.01</v>
      </c>
      <c r="Q47" s="28">
        <v>1</v>
      </c>
      <c r="R47" s="28">
        <v>0</v>
      </c>
      <c r="S47" s="28">
        <v>0</v>
      </c>
      <c r="T47" s="28">
        <v>0</v>
      </c>
      <c r="U47" s="28">
        <v>0</v>
      </c>
      <c r="V47" s="28">
        <v>1</v>
      </c>
    </row>
    <row r="48" spans="1:22" ht="21" customHeight="1" x14ac:dyDescent="0.15">
      <c r="A48" s="2">
        <v>215</v>
      </c>
      <c r="B48" s="6">
        <v>344</v>
      </c>
      <c r="C48" s="7" t="str">
        <f t="shared" si="2"/>
        <v>Premium3R3less</v>
      </c>
      <c r="D48" s="7" t="str">
        <f t="shared" si="3"/>
        <v>Premium</v>
      </c>
      <c r="E48" s="7" t="str">
        <f>IF(COUNTIF('R6追加前'!A:A,B48)=0,IF(I48="PremiumSS","R5only","R3less"),"")</f>
        <v>R3less</v>
      </c>
      <c r="F48" s="7" t="str">
        <f>IF(COUNTIF('R6開放'!A:A,B48)&gt;0,"R6release","")</f>
        <v/>
      </c>
      <c r="G48" s="7"/>
      <c r="H48" s="7" t="str">
        <f>VLOOKUP(B48,[1]characters!$A:$C,3,FALSE)</f>
        <v>雷のメタルピヨピヨ</v>
      </c>
      <c r="I48" s="7" t="str">
        <f>VLOOKUP(B48,[1]characters!$A:$J,10,FALSE)</f>
        <v>Material</v>
      </c>
      <c r="J48" s="7">
        <f>VLOOKUP(B48,[1]characters!$A:$I,9,FALSE)</f>
        <v>3</v>
      </c>
      <c r="K48" s="7" t="str">
        <f>VLOOKUP(B48,[1]characters!$A:$H,8,FALSE)</f>
        <v>yellow</v>
      </c>
      <c r="L48" s="7" t="str">
        <f>VLOOKUP(B48,[1]characters!$A:$K,11,FALSE)</f>
        <v>exp</v>
      </c>
      <c r="M48" s="7" t="str">
        <f>VLOOKUP(B48,[1]characters!$A:$M,13,FALSE)</f>
        <v>unknown</v>
      </c>
      <c r="N48" s="7" t="str">
        <f>VLOOKUP(B48,[1]characters!$A:$G,7,FALSE)</f>
        <v>不明</v>
      </c>
      <c r="O48" s="5">
        <v>1000</v>
      </c>
      <c r="P48" s="34">
        <f>O48/SUM(O:O)</f>
        <v>0.01</v>
      </c>
      <c r="Q48" s="28">
        <v>1</v>
      </c>
      <c r="R48" s="28">
        <v>0</v>
      </c>
      <c r="S48" s="28">
        <v>0</v>
      </c>
      <c r="T48" s="28">
        <v>0</v>
      </c>
      <c r="U48" s="28">
        <v>0</v>
      </c>
      <c r="V48" s="28">
        <v>1</v>
      </c>
    </row>
    <row r="49" spans="1:22" ht="21" customHeight="1" x14ac:dyDescent="0.15">
      <c r="A49" s="2">
        <v>215</v>
      </c>
      <c r="B49" s="6">
        <v>333</v>
      </c>
      <c r="C49" s="7" t="str">
        <f t="shared" si="2"/>
        <v>Premium4R3less</v>
      </c>
      <c r="D49" s="7" t="str">
        <f t="shared" si="3"/>
        <v>Premium</v>
      </c>
      <c r="E49" s="7" t="str">
        <f>IF(COUNTIF('R6追加前'!A:A,B49)=0,IF(I49="PremiumSS","R5only","R3less"),"")</f>
        <v>R3less</v>
      </c>
      <c r="F49" s="7" t="str">
        <f>IF(COUNTIF('R6開放'!A:A,B49)&gt;0,"R6release","")</f>
        <v/>
      </c>
      <c r="G49" s="7"/>
      <c r="H49" s="7" t="str">
        <f>VLOOKUP(B49,[1]characters!$A:$C,3,FALSE)</f>
        <v>炎のメタルチック</v>
      </c>
      <c r="I49" s="7" t="str">
        <f>VLOOKUP(B49,[1]characters!$A:$J,10,FALSE)</f>
        <v>Material</v>
      </c>
      <c r="J49" s="7">
        <f>VLOOKUP(B49,[1]characters!$A:$I,9,FALSE)</f>
        <v>4</v>
      </c>
      <c r="K49" s="7" t="str">
        <f>VLOOKUP(B49,[1]characters!$A:$H,8,FALSE)</f>
        <v>red</v>
      </c>
      <c r="L49" s="7" t="str">
        <f>VLOOKUP(B49,[1]characters!$A:$K,11,FALSE)</f>
        <v>exp</v>
      </c>
      <c r="M49" s="7" t="str">
        <f>VLOOKUP(B49,[1]characters!$A:$M,13,FALSE)</f>
        <v>unknown</v>
      </c>
      <c r="N49" s="7" t="str">
        <f>VLOOKUP(B49,[1]characters!$A:$G,7,FALSE)</f>
        <v>不明</v>
      </c>
      <c r="O49" s="5">
        <v>3000</v>
      </c>
      <c r="P49" s="34">
        <f>O49/SUM(O:O)</f>
        <v>0.03</v>
      </c>
      <c r="Q49" s="28">
        <v>1</v>
      </c>
      <c r="R49" s="28">
        <v>0</v>
      </c>
      <c r="S49" s="28">
        <v>0</v>
      </c>
      <c r="T49" s="28">
        <v>0</v>
      </c>
      <c r="U49" s="28">
        <v>0</v>
      </c>
      <c r="V49" s="28">
        <v>1</v>
      </c>
    </row>
    <row r="50" spans="1:22" ht="21" customHeight="1" x14ac:dyDescent="0.15">
      <c r="A50" s="2">
        <v>215</v>
      </c>
      <c r="B50" s="6">
        <v>337</v>
      </c>
      <c r="C50" s="7" t="str">
        <f t="shared" si="2"/>
        <v>Premium4R3less</v>
      </c>
      <c r="D50" s="7" t="str">
        <f t="shared" si="3"/>
        <v>Premium</v>
      </c>
      <c r="E50" s="7" t="str">
        <f>IF(COUNTIF('R6追加前'!A:A,B50)=0,IF(I50="PremiumSS","R5only","R3less"),"")</f>
        <v>R3less</v>
      </c>
      <c r="F50" s="7" t="str">
        <f>IF(COUNTIF('R6開放'!A:A,B50)&gt;0,"R6release","")</f>
        <v/>
      </c>
      <c r="G50" s="7"/>
      <c r="H50" s="7" t="str">
        <f>VLOOKUP(B50,[1]characters!$A:$C,3,FALSE)</f>
        <v>森のメタルチック</v>
      </c>
      <c r="I50" s="7" t="str">
        <f>VLOOKUP(B50,[1]characters!$A:$J,10,FALSE)</f>
        <v>Material</v>
      </c>
      <c r="J50" s="7">
        <f>VLOOKUP(B50,[1]characters!$A:$I,9,FALSE)</f>
        <v>4</v>
      </c>
      <c r="K50" s="7" t="str">
        <f>VLOOKUP(B50,[1]characters!$A:$H,8,FALSE)</f>
        <v>green</v>
      </c>
      <c r="L50" s="7" t="str">
        <f>VLOOKUP(B50,[1]characters!$A:$K,11,FALSE)</f>
        <v>exp</v>
      </c>
      <c r="M50" s="7" t="str">
        <f>VLOOKUP(B50,[1]characters!$A:$M,13,FALSE)</f>
        <v>unknown</v>
      </c>
      <c r="N50" s="7" t="str">
        <f>VLOOKUP(B50,[1]characters!$A:$G,7,FALSE)</f>
        <v>不明</v>
      </c>
      <c r="O50" s="5">
        <v>3000</v>
      </c>
      <c r="P50" s="34">
        <f>O50/SUM(O:O)</f>
        <v>0.03</v>
      </c>
      <c r="Q50" s="28">
        <v>1</v>
      </c>
      <c r="R50" s="28">
        <v>0</v>
      </c>
      <c r="S50" s="28">
        <v>0</v>
      </c>
      <c r="T50" s="28">
        <v>0</v>
      </c>
      <c r="U50" s="28">
        <v>0</v>
      </c>
      <c r="V50" s="28">
        <v>1</v>
      </c>
    </row>
    <row r="51" spans="1:22" ht="21" customHeight="1" x14ac:dyDescent="0.15">
      <c r="A51" s="2">
        <v>215</v>
      </c>
      <c r="B51" s="6">
        <v>341</v>
      </c>
      <c r="C51" s="7" t="str">
        <f t="shared" si="2"/>
        <v>Premium4R3less</v>
      </c>
      <c r="D51" s="7" t="str">
        <f t="shared" si="3"/>
        <v>Premium</v>
      </c>
      <c r="E51" s="7" t="str">
        <f>IF(COUNTIF('R6追加前'!A:A,B51)=0,IF(I51="PremiumSS","R5only","R3less"),"")</f>
        <v>R3less</v>
      </c>
      <c r="F51" s="7" t="str">
        <f>IF(COUNTIF('R6開放'!A:A,B51)&gt;0,"R6release","")</f>
        <v/>
      </c>
      <c r="G51" s="7"/>
      <c r="H51" s="7" t="str">
        <f>VLOOKUP(B51,[1]characters!$A:$C,3,FALSE)</f>
        <v>水のメタルチック</v>
      </c>
      <c r="I51" s="7" t="str">
        <f>VLOOKUP(B51,[1]characters!$A:$J,10,FALSE)</f>
        <v>Material</v>
      </c>
      <c r="J51" s="7">
        <f>VLOOKUP(B51,[1]characters!$A:$I,9,FALSE)</f>
        <v>4</v>
      </c>
      <c r="K51" s="7" t="str">
        <f>VLOOKUP(B51,[1]characters!$A:$H,8,FALSE)</f>
        <v>blue</v>
      </c>
      <c r="L51" s="7" t="str">
        <f>VLOOKUP(B51,[1]characters!$A:$K,11,FALSE)</f>
        <v>exp</v>
      </c>
      <c r="M51" s="7" t="str">
        <f>VLOOKUP(B51,[1]characters!$A:$M,13,FALSE)</f>
        <v>unknown</v>
      </c>
      <c r="N51" s="7" t="str">
        <f>VLOOKUP(B51,[1]characters!$A:$G,7,FALSE)</f>
        <v>不明</v>
      </c>
      <c r="O51" s="5">
        <v>3000</v>
      </c>
      <c r="P51" s="34">
        <f>O51/SUM(O:O)</f>
        <v>0.03</v>
      </c>
      <c r="Q51" s="28">
        <v>1</v>
      </c>
      <c r="R51" s="28">
        <v>0</v>
      </c>
      <c r="S51" s="28">
        <v>0</v>
      </c>
      <c r="T51" s="28">
        <v>0</v>
      </c>
      <c r="U51" s="28">
        <v>0</v>
      </c>
      <c r="V51" s="28">
        <v>1</v>
      </c>
    </row>
    <row r="52" spans="1:22" ht="21" customHeight="1" x14ac:dyDescent="0.15">
      <c r="A52" s="2">
        <v>215</v>
      </c>
      <c r="B52" s="6">
        <v>345</v>
      </c>
      <c r="C52" s="7" t="str">
        <f t="shared" si="2"/>
        <v>Premium4R3less</v>
      </c>
      <c r="D52" s="7" t="str">
        <f t="shared" si="3"/>
        <v>Premium</v>
      </c>
      <c r="E52" s="7" t="str">
        <f>IF(COUNTIF('R6追加前'!A:A,B52)=0,IF(I52="PremiumSS","R5only","R3less"),"")</f>
        <v>R3less</v>
      </c>
      <c r="F52" s="7" t="str">
        <f>IF(COUNTIF('R6開放'!A:A,B52)&gt;0,"R6release","")</f>
        <v/>
      </c>
      <c r="G52" s="7"/>
      <c r="H52" s="7" t="str">
        <f>VLOOKUP(B52,[1]characters!$A:$C,3,FALSE)</f>
        <v>雷のメタルチック</v>
      </c>
      <c r="I52" s="7" t="str">
        <f>VLOOKUP(B52,[1]characters!$A:$J,10,FALSE)</f>
        <v>Material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exp</v>
      </c>
      <c r="M52" s="7" t="str">
        <f>VLOOKUP(B52,[1]characters!$A:$M,13,FALSE)</f>
        <v>unknown</v>
      </c>
      <c r="N52" s="7" t="str">
        <f>VLOOKUP(B52,[1]characters!$A:$G,7,FALSE)</f>
        <v>不明</v>
      </c>
      <c r="O52" s="5">
        <v>3000</v>
      </c>
      <c r="P52" s="34">
        <f>O52/SUM(O:O)</f>
        <v>0.03</v>
      </c>
      <c r="Q52" s="28">
        <v>1</v>
      </c>
      <c r="R52" s="28">
        <v>0</v>
      </c>
      <c r="S52" s="28">
        <v>0</v>
      </c>
      <c r="T52" s="28">
        <v>0</v>
      </c>
      <c r="U52" s="28">
        <v>0</v>
      </c>
      <c r="V52" s="28">
        <v>1</v>
      </c>
    </row>
    <row r="53" spans="1:22" ht="21" customHeight="1" x14ac:dyDescent="0.15">
      <c r="A53" s="2">
        <v>215</v>
      </c>
      <c r="B53" s="6">
        <v>334</v>
      </c>
      <c r="C53" s="7" t="str">
        <f t="shared" si="2"/>
        <v>Premium5R3less</v>
      </c>
      <c r="D53" s="7" t="str">
        <f t="shared" si="3"/>
        <v>Premium</v>
      </c>
      <c r="E53" s="7" t="str">
        <f>IF(COUNTIF('R6追加前'!A:A,B53)=0,IF(I53="PremiumSS","R5only","R3less"),"")</f>
        <v>R3less</v>
      </c>
      <c r="F53" s="7" t="str">
        <f>IF(COUNTIF('R6開放'!A:A,B53)&gt;0,"R6release","")</f>
        <v/>
      </c>
      <c r="G53" s="7"/>
      <c r="H53" s="7" t="str">
        <f>VLOOKUP(B53,[1]characters!$A:$C,3,FALSE)</f>
        <v>炎のメタルダック</v>
      </c>
      <c r="I53" s="7" t="str">
        <f>VLOOKUP(B53,[1]characters!$A:$J,10,FALSE)</f>
        <v>Material</v>
      </c>
      <c r="J53" s="7">
        <f>VLOOKUP(B53,[1]characters!$A:$I,9,FALSE)</f>
        <v>5</v>
      </c>
      <c r="K53" s="7" t="str">
        <f>VLOOKUP(B53,[1]characters!$A:$H,8,FALSE)</f>
        <v>red</v>
      </c>
      <c r="L53" s="7" t="str">
        <f>VLOOKUP(B53,[1]characters!$A:$K,11,FALSE)</f>
        <v>exp</v>
      </c>
      <c r="M53" s="7" t="str">
        <f>VLOOKUP(B53,[1]characters!$A:$M,13,FALSE)</f>
        <v>unknown</v>
      </c>
      <c r="N53" s="7" t="str">
        <f>VLOOKUP(B53,[1]characters!$A:$G,7,FALSE)</f>
        <v>不明</v>
      </c>
      <c r="O53" s="5">
        <v>5000</v>
      </c>
      <c r="P53" s="34">
        <f>O53/SUM(O:O)</f>
        <v>0.05</v>
      </c>
      <c r="Q53" s="28">
        <v>1</v>
      </c>
      <c r="R53" s="28">
        <v>0</v>
      </c>
      <c r="S53" s="28">
        <v>0</v>
      </c>
      <c r="T53" s="28">
        <v>0</v>
      </c>
      <c r="U53" s="28">
        <v>0</v>
      </c>
      <c r="V53" s="28">
        <v>1</v>
      </c>
    </row>
    <row r="54" spans="1:22" ht="21" customHeight="1" x14ac:dyDescent="0.15">
      <c r="A54" s="2">
        <v>215</v>
      </c>
      <c r="B54" s="6">
        <v>338</v>
      </c>
      <c r="C54" s="7" t="str">
        <f t="shared" si="2"/>
        <v>Premium5R3less</v>
      </c>
      <c r="D54" s="7" t="str">
        <f t="shared" si="3"/>
        <v>Premium</v>
      </c>
      <c r="E54" s="7" t="str">
        <f>IF(COUNTIF('R6追加前'!A:A,B54)=0,IF(I54="PremiumSS","R5only","R3less"),"")</f>
        <v>R3less</v>
      </c>
      <c r="F54" s="7" t="str">
        <f>IF(COUNTIF('R6開放'!A:A,B54)&gt;0,"R6release","")</f>
        <v/>
      </c>
      <c r="G54" s="7"/>
      <c r="H54" s="7" t="str">
        <f>VLOOKUP(B54,[1]characters!$A:$C,3,FALSE)</f>
        <v>森のメタルダック</v>
      </c>
      <c r="I54" s="7" t="str">
        <f>VLOOKUP(B54,[1]characters!$A:$J,10,FALSE)</f>
        <v>Material</v>
      </c>
      <c r="J54" s="7">
        <f>VLOOKUP(B54,[1]characters!$A:$I,9,FALSE)</f>
        <v>5</v>
      </c>
      <c r="K54" s="7" t="str">
        <f>VLOOKUP(B54,[1]characters!$A:$H,8,FALSE)</f>
        <v>green</v>
      </c>
      <c r="L54" s="7" t="str">
        <f>VLOOKUP(B54,[1]characters!$A:$K,11,FALSE)</f>
        <v>exp</v>
      </c>
      <c r="M54" s="7" t="str">
        <f>VLOOKUP(B54,[1]characters!$A:$M,13,FALSE)</f>
        <v>unknown</v>
      </c>
      <c r="N54" s="7" t="str">
        <f>VLOOKUP(B54,[1]characters!$A:$G,7,FALSE)</f>
        <v>不明</v>
      </c>
      <c r="O54" s="5">
        <v>5000</v>
      </c>
      <c r="P54" s="34">
        <f>O54/SUM(O:O)</f>
        <v>0.05</v>
      </c>
      <c r="Q54" s="28">
        <v>1</v>
      </c>
      <c r="R54" s="28">
        <v>0</v>
      </c>
      <c r="S54" s="28">
        <v>0</v>
      </c>
      <c r="T54" s="28">
        <v>0</v>
      </c>
      <c r="U54" s="28">
        <v>0</v>
      </c>
      <c r="V54" s="28">
        <v>1</v>
      </c>
    </row>
    <row r="55" spans="1:22" ht="21" customHeight="1" x14ac:dyDescent="0.15">
      <c r="A55" s="2">
        <v>215</v>
      </c>
      <c r="B55" s="6">
        <v>342</v>
      </c>
      <c r="C55" s="7" t="str">
        <f t="shared" si="2"/>
        <v>Premium5R3less</v>
      </c>
      <c r="D55" s="7" t="str">
        <f t="shared" si="3"/>
        <v>Premium</v>
      </c>
      <c r="E55" s="7" t="str">
        <f>IF(COUNTIF('R6追加前'!A:A,B55)=0,IF(I55="PremiumSS","R5only","R3less"),"")</f>
        <v>R3less</v>
      </c>
      <c r="F55" s="7" t="str">
        <f>IF(COUNTIF('R6開放'!A:A,B55)&gt;0,"R6release","")</f>
        <v/>
      </c>
      <c r="G55" s="7"/>
      <c r="H55" s="7" t="str">
        <f>VLOOKUP(B55,[1]characters!$A:$C,3,FALSE)</f>
        <v>水のメタルダック</v>
      </c>
      <c r="I55" s="7" t="str">
        <f>VLOOKUP(B55,[1]characters!$A:$J,10,FALSE)</f>
        <v>Material</v>
      </c>
      <c r="J55" s="7">
        <f>VLOOKUP(B55,[1]characters!$A:$I,9,FALSE)</f>
        <v>5</v>
      </c>
      <c r="K55" s="7" t="str">
        <f>VLOOKUP(B55,[1]characters!$A:$H,8,FALSE)</f>
        <v>blue</v>
      </c>
      <c r="L55" s="7" t="str">
        <f>VLOOKUP(B55,[1]characters!$A:$K,11,FALSE)</f>
        <v>exp</v>
      </c>
      <c r="M55" s="7" t="str">
        <f>VLOOKUP(B55,[1]characters!$A:$M,13,FALSE)</f>
        <v>unknown</v>
      </c>
      <c r="N55" s="7" t="str">
        <f>VLOOKUP(B55,[1]characters!$A:$G,7,FALSE)</f>
        <v>不明</v>
      </c>
      <c r="O55" s="5">
        <v>5000</v>
      </c>
      <c r="P55" s="34">
        <f>O55/SUM(O:O)</f>
        <v>0.05</v>
      </c>
      <c r="Q55" s="28">
        <v>1</v>
      </c>
      <c r="R55" s="28">
        <v>0</v>
      </c>
      <c r="S55" s="28">
        <v>0</v>
      </c>
      <c r="T55" s="28">
        <v>0</v>
      </c>
      <c r="U55" s="28">
        <v>0</v>
      </c>
      <c r="V55" s="28">
        <v>1</v>
      </c>
    </row>
    <row r="56" spans="1:22" ht="21" customHeight="1" x14ac:dyDescent="0.15">
      <c r="A56" s="2">
        <v>215</v>
      </c>
      <c r="B56" s="6">
        <v>346</v>
      </c>
      <c r="C56" s="7" t="str">
        <f t="shared" si="2"/>
        <v>Premium5R3less</v>
      </c>
      <c r="D56" s="7" t="str">
        <f t="shared" si="3"/>
        <v>Premium</v>
      </c>
      <c r="E56" s="7" t="str">
        <f>IF(COUNTIF('R6追加前'!A:A,B56)=0,IF(I56="PremiumSS","R5only","R3less"),"")</f>
        <v>R3less</v>
      </c>
      <c r="F56" s="7" t="str">
        <f>IF(COUNTIF('R6開放'!A:A,B56)&gt;0,"R6release","")</f>
        <v/>
      </c>
      <c r="G56" s="7"/>
      <c r="H56" s="7" t="str">
        <f>VLOOKUP(B56,[1]characters!$A:$C,3,FALSE)</f>
        <v>雷のメタルダック</v>
      </c>
      <c r="I56" s="7" t="str">
        <f>VLOOKUP(B56,[1]characters!$A:$J,10,FALSE)</f>
        <v>Material</v>
      </c>
      <c r="J56" s="7">
        <f>VLOOKUP(B56,[1]characters!$A:$I,9,FALSE)</f>
        <v>5</v>
      </c>
      <c r="K56" s="7" t="str">
        <f>VLOOKUP(B56,[1]characters!$A:$H,8,FALSE)</f>
        <v>yellow</v>
      </c>
      <c r="L56" s="7" t="str">
        <f>VLOOKUP(B56,[1]characters!$A:$K,11,FALSE)</f>
        <v>exp</v>
      </c>
      <c r="M56" s="7" t="str">
        <f>VLOOKUP(B56,[1]characters!$A:$M,13,FALSE)</f>
        <v>unknown</v>
      </c>
      <c r="N56" s="7" t="str">
        <f>VLOOKUP(B56,[1]characters!$A:$G,7,FALSE)</f>
        <v>不明</v>
      </c>
      <c r="O56" s="5">
        <v>5000</v>
      </c>
      <c r="P56" s="34">
        <f>O56/SUM(O:O)</f>
        <v>0.05</v>
      </c>
      <c r="Q56" s="28">
        <v>1</v>
      </c>
      <c r="R56" s="28">
        <v>0</v>
      </c>
      <c r="S56" s="28">
        <v>0</v>
      </c>
      <c r="T56" s="28">
        <v>0</v>
      </c>
      <c r="U56" s="28">
        <v>0</v>
      </c>
      <c r="V56" s="28">
        <v>1</v>
      </c>
    </row>
    <row r="57" spans="1:22" ht="21" customHeight="1" x14ac:dyDescent="0.15">
      <c r="A57" s="2">
        <v>215</v>
      </c>
      <c r="B57" s="6">
        <v>117</v>
      </c>
      <c r="C57" s="7" t="str">
        <f t="shared" si="2"/>
        <v>Premium3R3less</v>
      </c>
      <c r="D57" s="7" t="str">
        <f t="shared" si="3"/>
        <v>Premium</v>
      </c>
      <c r="E57" s="7" t="str">
        <f>IF(COUNTIF('R6追加前'!A:A,B57)=0,IF(I57="PremiumSS","R5only","R3less"),"")</f>
        <v>R3less</v>
      </c>
      <c r="F57" s="7" t="str">
        <f>IF(COUNTIF('R6開放'!A:A,B57)&gt;0,"R6release","")</f>
        <v/>
      </c>
      <c r="G57" s="7"/>
      <c r="H57" s="7" t="str">
        <f>VLOOKUP(B57,[1]characters!$A:$C,3,FALSE)</f>
        <v>ゴールドピヨピヨ</v>
      </c>
      <c r="I57" s="7" t="str">
        <f>VLOOKUP(B57,[1]characters!$A:$J,10,FALSE)</f>
        <v>Material</v>
      </c>
      <c r="J57" s="7">
        <f>VLOOKUP(B57,[1]characters!$A:$I,9,FALSE)</f>
        <v>3</v>
      </c>
      <c r="K57" s="7" t="str">
        <f>VLOOKUP(B57,[1]characters!$A:$H,8,FALSE)</f>
        <v>yellow</v>
      </c>
      <c r="L57" s="7" t="str">
        <f>VLOOKUP(B57,[1]characters!$A:$K,11,FALSE)</f>
        <v>coin</v>
      </c>
      <c r="M57" s="7" t="str">
        <f>VLOOKUP(B57,[1]characters!$A:$M,13,FALSE)</f>
        <v>unknown</v>
      </c>
      <c r="N57" s="7" t="str">
        <f>VLOOKUP(B57,[1]characters!$A:$G,7,FALSE)</f>
        <v>不明</v>
      </c>
      <c r="O57" s="5">
        <v>3000</v>
      </c>
      <c r="P57" s="34">
        <f>O57/SUM(O:O)</f>
        <v>0.03</v>
      </c>
      <c r="Q57" s="28">
        <v>1</v>
      </c>
      <c r="R57" s="28">
        <v>0</v>
      </c>
      <c r="S57" s="28">
        <v>0</v>
      </c>
      <c r="T57" s="28">
        <v>0</v>
      </c>
      <c r="U57" s="28">
        <v>0</v>
      </c>
      <c r="V57" s="28">
        <v>1</v>
      </c>
    </row>
    <row r="58" spans="1:22" ht="21" customHeight="1" x14ac:dyDescent="0.15">
      <c r="A58" s="2">
        <v>215</v>
      </c>
      <c r="B58" s="6">
        <v>118</v>
      </c>
      <c r="C58" s="7" t="str">
        <f t="shared" si="2"/>
        <v>Premium4R3less</v>
      </c>
      <c r="D58" s="7" t="str">
        <f t="shared" si="3"/>
        <v>Premium</v>
      </c>
      <c r="E58" s="7" t="str">
        <f>IF(COUNTIF('R6追加前'!A:A,B58)=0,IF(I58="PremiumSS","R5only","R3less"),"")</f>
        <v>R3less</v>
      </c>
      <c r="F58" s="7" t="str">
        <f>IF(COUNTIF('R6開放'!A:A,B58)&gt;0,"R6release","")</f>
        <v/>
      </c>
      <c r="G58" s="7"/>
      <c r="H58" s="7" t="str">
        <f>VLOOKUP(B58,[1]characters!$A:$C,3,FALSE)</f>
        <v>ゴールドチック</v>
      </c>
      <c r="I58" s="7" t="str">
        <f>VLOOKUP(B58,[1]characters!$A:$J,10,FALSE)</f>
        <v>Material</v>
      </c>
      <c r="J58" s="7">
        <f>VLOOKUP(B58,[1]characters!$A:$I,9,FALSE)</f>
        <v>4</v>
      </c>
      <c r="K58" s="7" t="str">
        <f>VLOOKUP(B58,[1]characters!$A:$H,8,FALSE)</f>
        <v>yellow</v>
      </c>
      <c r="L58" s="7" t="str">
        <f>VLOOKUP(B58,[1]characters!$A:$K,11,FALSE)</f>
        <v>coin</v>
      </c>
      <c r="M58" s="7" t="str">
        <f>VLOOKUP(B58,[1]characters!$A:$M,13,FALSE)</f>
        <v>unknown</v>
      </c>
      <c r="N58" s="7" t="str">
        <f>VLOOKUP(B58,[1]characters!$A:$G,7,FALSE)</f>
        <v>不明</v>
      </c>
      <c r="O58" s="5">
        <v>5000</v>
      </c>
      <c r="P58" s="34">
        <f>O58/SUM(O:O)</f>
        <v>0.05</v>
      </c>
      <c r="Q58" s="28">
        <v>1</v>
      </c>
      <c r="R58" s="28">
        <v>0</v>
      </c>
      <c r="S58" s="28">
        <v>0</v>
      </c>
      <c r="T58" s="28">
        <v>0</v>
      </c>
      <c r="U58" s="28">
        <v>0</v>
      </c>
      <c r="V58" s="28">
        <v>1</v>
      </c>
    </row>
    <row r="59" spans="1:22" ht="21" customHeight="1" x14ac:dyDescent="0.15">
      <c r="A59" s="2">
        <v>215</v>
      </c>
      <c r="B59" s="6">
        <v>119</v>
      </c>
      <c r="C59" s="7" t="str">
        <f t="shared" si="2"/>
        <v>Premium5R3less</v>
      </c>
      <c r="D59" s="7" t="str">
        <f t="shared" si="3"/>
        <v>Premium</v>
      </c>
      <c r="E59" s="7" t="str">
        <f>IF(COUNTIF('R6追加前'!A:A,B59)=0,IF(I59="PremiumSS","R5only","R3less"),"")</f>
        <v>R3less</v>
      </c>
      <c r="F59" s="7" t="str">
        <f>IF(COUNTIF('R6開放'!A:A,B59)&gt;0,"R6release","")</f>
        <v/>
      </c>
      <c r="G59" s="7"/>
      <c r="H59" s="7" t="str">
        <f>VLOOKUP(B59,[1]characters!$A:$C,3,FALSE)</f>
        <v>ゴールドダック</v>
      </c>
      <c r="I59" s="7" t="str">
        <f>VLOOKUP(B59,[1]characters!$A:$J,10,FALSE)</f>
        <v>Material</v>
      </c>
      <c r="J59" s="7">
        <f>VLOOKUP(B59,[1]characters!$A:$I,9,FALSE)</f>
        <v>5</v>
      </c>
      <c r="K59" s="7" t="str">
        <f>VLOOKUP(B59,[1]characters!$A:$H,8,FALSE)</f>
        <v>yellow</v>
      </c>
      <c r="L59" s="7" t="str">
        <f>VLOOKUP(B59,[1]characters!$A:$K,11,FALSE)</f>
        <v>coin</v>
      </c>
      <c r="M59" s="7" t="str">
        <f>VLOOKUP(B59,[1]characters!$A:$M,13,FALSE)</f>
        <v>unknown</v>
      </c>
      <c r="N59" s="7" t="str">
        <f>VLOOKUP(B59,[1]characters!$A:$G,7,FALSE)</f>
        <v>不明</v>
      </c>
      <c r="O59" s="5">
        <v>15000</v>
      </c>
      <c r="P59" s="34">
        <f>O59/SUM(O:O)</f>
        <v>0.15</v>
      </c>
      <c r="Q59" s="28">
        <v>1</v>
      </c>
      <c r="R59" s="28">
        <v>0</v>
      </c>
      <c r="S59" s="28">
        <v>0</v>
      </c>
      <c r="T59" s="28">
        <v>0</v>
      </c>
      <c r="U59" s="28">
        <v>0</v>
      </c>
      <c r="V59" s="28">
        <v>1</v>
      </c>
    </row>
    <row r="60" spans="1:22" ht="21" customHeight="1" x14ac:dyDescent="0.15">
      <c r="A60" s="2">
        <v>215</v>
      </c>
      <c r="B60" s="6">
        <v>121</v>
      </c>
      <c r="C60" s="7" t="str">
        <f t="shared" si="2"/>
        <v>Premium3R3less</v>
      </c>
      <c r="D60" s="7" t="str">
        <f t="shared" si="3"/>
        <v>Premium</v>
      </c>
      <c r="E60" s="7" t="str">
        <f>IF(COUNTIF('R6追加前'!A:A,B60)=0,IF(I60="PremiumSS","R5only","R3less"),"")</f>
        <v>R3less</v>
      </c>
      <c r="F60" s="7" t="str">
        <f>IF(COUNTIF('R6開放'!A:A,B60)&gt;0,"R6release","")</f>
        <v/>
      </c>
      <c r="G60" s="7"/>
      <c r="H60" s="7" t="str">
        <f>VLOOKUP(B60,[1]characters!$A:$C,3,FALSE)</f>
        <v>攻めの果実</v>
      </c>
      <c r="I60" s="7" t="str">
        <f>VLOOKUP(B60,[1]characters!$A:$J,10,FALSE)</f>
        <v>Material</v>
      </c>
      <c r="J60" s="7">
        <f>VLOOKUP(B60,[1]characters!$A:$I,9,FALSE)</f>
        <v>3</v>
      </c>
      <c r="K60" s="7" t="str">
        <f>VLOOKUP(B60,[1]characters!$A:$H,8,FALSE)</f>
        <v>red</v>
      </c>
      <c r="L60" s="7" t="str">
        <f>VLOOKUP(B60,[1]characters!$A:$K,11,FALSE)</f>
        <v>limitbreak</v>
      </c>
      <c r="M60" s="7" t="str">
        <f>VLOOKUP(B60,[1]characters!$A:$M,13,FALSE)</f>
        <v>unknown</v>
      </c>
      <c r="N60" s="7" t="str">
        <f>VLOOKUP(B60,[1]characters!$A:$G,7,FALSE)</f>
        <v>不明</v>
      </c>
      <c r="O60" s="5">
        <v>7000</v>
      </c>
      <c r="P60" s="34">
        <f>O60/SUM(O:O)</f>
        <v>7.0000000000000007E-2</v>
      </c>
      <c r="Q60" s="28">
        <v>1</v>
      </c>
      <c r="R60" s="28">
        <v>0</v>
      </c>
      <c r="S60" s="28">
        <v>0</v>
      </c>
      <c r="T60" s="28">
        <v>0</v>
      </c>
      <c r="U60" s="28">
        <v>0</v>
      </c>
      <c r="V60" s="28">
        <v>1</v>
      </c>
    </row>
    <row r="61" spans="1:22" ht="21" customHeight="1" x14ac:dyDescent="0.15">
      <c r="A61" s="2">
        <v>215</v>
      </c>
      <c r="B61" s="6">
        <v>122</v>
      </c>
      <c r="C61" s="7" t="str">
        <f t="shared" si="2"/>
        <v>Premium3R3less</v>
      </c>
      <c r="D61" s="7" t="str">
        <f t="shared" si="3"/>
        <v>Premium</v>
      </c>
      <c r="E61" s="7" t="str">
        <f>IF(COUNTIF('R6追加前'!A:A,B61)=0,IF(I61="PremiumSS","R5only","R3less"),"")</f>
        <v>R3less</v>
      </c>
      <c r="F61" s="7" t="str">
        <f>IF(COUNTIF('R6開放'!A:A,B61)&gt;0,"R6release","")</f>
        <v/>
      </c>
      <c r="G61" s="7"/>
      <c r="H61" s="7" t="str">
        <f>VLOOKUP(B61,[1]characters!$A:$C,3,FALSE)</f>
        <v>生命の果実</v>
      </c>
      <c r="I61" s="7" t="str">
        <f>VLOOKUP(B61,[1]characters!$A:$J,10,FALSE)</f>
        <v>Material</v>
      </c>
      <c r="J61" s="7">
        <f>VLOOKUP(B61,[1]characters!$A:$I,9,FALSE)</f>
        <v>3</v>
      </c>
      <c r="K61" s="7" t="str">
        <f>VLOOKUP(B61,[1]characters!$A:$H,8,FALSE)</f>
        <v>green</v>
      </c>
      <c r="L61" s="7" t="str">
        <f>VLOOKUP(B61,[1]characters!$A:$K,11,FALSE)</f>
        <v>limitbreak</v>
      </c>
      <c r="M61" s="7" t="str">
        <f>VLOOKUP(B61,[1]characters!$A:$M,13,FALSE)</f>
        <v>unknown</v>
      </c>
      <c r="N61" s="7" t="str">
        <f>VLOOKUP(B61,[1]characters!$A:$G,7,FALSE)</f>
        <v>不明</v>
      </c>
      <c r="O61" s="5">
        <v>7000</v>
      </c>
      <c r="P61" s="34">
        <f>O61/SUM(O:O)</f>
        <v>7.0000000000000007E-2</v>
      </c>
      <c r="Q61" s="28">
        <v>1</v>
      </c>
      <c r="R61" s="28">
        <v>0</v>
      </c>
      <c r="S61" s="28">
        <v>0</v>
      </c>
      <c r="T61" s="28">
        <v>0</v>
      </c>
      <c r="U61" s="28">
        <v>0</v>
      </c>
      <c r="V61" s="28">
        <v>1</v>
      </c>
    </row>
    <row r="62" spans="1:22" ht="21" customHeight="1" x14ac:dyDescent="0.15">
      <c r="A62" s="2">
        <v>215</v>
      </c>
      <c r="B62" s="6">
        <v>123</v>
      </c>
      <c r="C62" s="7" t="str">
        <f t="shared" si="2"/>
        <v>Premium3R3less</v>
      </c>
      <c r="D62" s="7" t="str">
        <f t="shared" si="3"/>
        <v>Premium</v>
      </c>
      <c r="E62" s="7" t="str">
        <f>IF(COUNTIF('R6追加前'!A:A,B62)=0,IF(I62="PremiumSS","R5only","R3less"),"")</f>
        <v>R3less</v>
      </c>
      <c r="F62" s="7" t="str">
        <f>IF(COUNTIF('R6開放'!A:A,B62)&gt;0,"R6release","")</f>
        <v/>
      </c>
      <c r="G62" s="7"/>
      <c r="H62" s="7" t="str">
        <f>VLOOKUP(B62,[1]characters!$A:$C,3,FALSE)</f>
        <v>癒しの果実</v>
      </c>
      <c r="I62" s="7" t="str">
        <f>VLOOKUP(B62,[1]characters!$A:$J,10,FALSE)</f>
        <v>Material</v>
      </c>
      <c r="J62" s="7">
        <f>VLOOKUP(B62,[1]characters!$A:$I,9,FALSE)</f>
        <v>3</v>
      </c>
      <c r="K62" s="7" t="str">
        <f>VLOOKUP(B62,[1]characters!$A:$H,8,FALSE)</f>
        <v>blue</v>
      </c>
      <c r="L62" s="7" t="str">
        <f>VLOOKUP(B62,[1]characters!$A:$K,11,FALSE)</f>
        <v>limitbreak</v>
      </c>
      <c r="M62" s="7" t="str">
        <f>VLOOKUP(B62,[1]characters!$A:$M,13,FALSE)</f>
        <v>unknown</v>
      </c>
      <c r="N62" s="7" t="str">
        <f>VLOOKUP(B62,[1]characters!$A:$G,7,FALSE)</f>
        <v>不明</v>
      </c>
      <c r="O62" s="5">
        <v>7000</v>
      </c>
      <c r="P62" s="34">
        <f>O62/SUM(O:O)</f>
        <v>7.0000000000000007E-2</v>
      </c>
      <c r="Q62" s="28">
        <v>1</v>
      </c>
      <c r="R62" s="28">
        <v>0</v>
      </c>
      <c r="S62" s="28">
        <v>0</v>
      </c>
      <c r="T62" s="28">
        <v>0</v>
      </c>
      <c r="U62" s="28">
        <v>0</v>
      </c>
      <c r="V62" s="28">
        <v>1</v>
      </c>
    </row>
    <row r="63" spans="1:22" ht="21" customHeight="1" x14ac:dyDescent="0.15">
      <c r="A63" s="2">
        <v>215</v>
      </c>
      <c r="B63" s="6">
        <v>125</v>
      </c>
      <c r="C63" s="7" t="str">
        <f t="shared" si="2"/>
        <v>Premium3R3less</v>
      </c>
      <c r="D63" s="7" t="str">
        <f t="shared" si="3"/>
        <v>Premium</v>
      </c>
      <c r="E63" s="7" t="str">
        <f>IF(COUNTIF('R6追加前'!A:A,B63)=0,IF(I63="PremiumSS","R5only","R3less"),"")</f>
        <v>R3less</v>
      </c>
      <c r="F63" s="7" t="str">
        <f>IF(COUNTIF('R6開放'!A:A,B63)&gt;0,"R6release","")</f>
        <v/>
      </c>
      <c r="G63" s="7"/>
      <c r="H63" s="7" t="str">
        <f>VLOOKUP(B63,[1]characters!$A:$C,3,FALSE)</f>
        <v>秘術の果実</v>
      </c>
      <c r="I63" s="7" t="str">
        <f>VLOOKUP(B63,[1]characters!$A:$J,10,FALSE)</f>
        <v>Material</v>
      </c>
      <c r="J63" s="7">
        <f>VLOOKUP(B63,[1]characters!$A:$I,9,FALSE)</f>
        <v>3</v>
      </c>
      <c r="K63" s="7" t="str">
        <f>VLOOKUP(B63,[1]characters!$A:$H,8,FALSE)</f>
        <v>blue</v>
      </c>
      <c r="L63" s="7" t="str">
        <f>VLOOKUP(B63,[1]characters!$A:$K,11,FALSE)</f>
        <v>skilllevel</v>
      </c>
      <c r="M63" s="7" t="str">
        <f>VLOOKUP(B63,[1]characters!$A:$M,13,FALSE)</f>
        <v>unknown</v>
      </c>
      <c r="N63" s="7" t="str">
        <f>VLOOKUP(B63,[1]characters!$A:$G,7,FALSE)</f>
        <v>不明</v>
      </c>
      <c r="O63" s="5">
        <v>3000</v>
      </c>
      <c r="P63" s="34">
        <f>O63/SUM(O:O)</f>
        <v>0.03</v>
      </c>
      <c r="Q63" s="28">
        <v>1</v>
      </c>
      <c r="R63" s="28">
        <v>0</v>
      </c>
      <c r="S63" s="28">
        <v>0</v>
      </c>
      <c r="T63" s="28">
        <v>0</v>
      </c>
      <c r="U63" s="28">
        <v>0</v>
      </c>
      <c r="V63" s="28">
        <v>1</v>
      </c>
    </row>
  </sheetData>
  <autoFilter ref="A1:V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G2" sqref="G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1" t="s">
        <v>10</v>
      </c>
      <c r="B1" s="21" t="s">
        <v>13</v>
      </c>
      <c r="C1" s="12" t="s">
        <v>15</v>
      </c>
      <c r="D1" s="12" t="s">
        <v>16</v>
      </c>
      <c r="E1" s="12" t="s">
        <v>17</v>
      </c>
      <c r="F1" s="11" t="s">
        <v>2</v>
      </c>
      <c r="G1" s="38" t="s">
        <v>67</v>
      </c>
      <c r="H1" s="38" t="s">
        <v>68</v>
      </c>
      <c r="I1" s="39" t="s">
        <v>69</v>
      </c>
      <c r="J1" s="39" t="s">
        <v>70</v>
      </c>
      <c r="K1" s="39" t="s">
        <v>71</v>
      </c>
      <c r="L1" s="39" t="s">
        <v>72</v>
      </c>
      <c r="M1" s="39" t="s">
        <v>73</v>
      </c>
      <c r="N1" s="11" t="s">
        <v>18</v>
      </c>
      <c r="O1" s="11" t="s">
        <v>19</v>
      </c>
      <c r="P1" s="11" t="s">
        <v>20</v>
      </c>
      <c r="Q1" s="11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74</v>
      </c>
    </row>
  </sheetData>
  <autoFilter ref="A1:F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3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ロキ</v>
      </c>
    </row>
    <row r="202" spans="1:2" x14ac:dyDescent="0.15">
      <c r="A202" s="6">
        <v>480</v>
      </c>
      <c r="B202" s="7" t="str">
        <f>VLOOKUP(A202,[1]characters!$A:$C,3,FALSE)</f>
        <v>華麗なるサディスト ロキ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断決の鋭鋏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40">
        <v>668</v>
      </c>
      <c r="B246" s="7" t="str">
        <f>VLOOKUP(A246,[1]characters!$A:$C,3,FALSE)</f>
        <v>アグニ</v>
      </c>
    </row>
    <row r="247" spans="1:2" x14ac:dyDescent="0.15">
      <c r="A247" s="40">
        <v>669</v>
      </c>
      <c r="B247" s="7" t="str">
        <f>VLOOKUP(A247,[1]characters!$A:$C,3,FALSE)</f>
        <v>天地の仲界 アグニ</v>
      </c>
    </row>
    <row r="248" spans="1:2" x14ac:dyDescent="0.15">
      <c r="A248" s="40">
        <v>670</v>
      </c>
      <c r="B248" s="7" t="str">
        <f>VLOOKUP(A248,[1]characters!$A:$C,3,FALSE)</f>
        <v>陽天の噴煙 アグニ</v>
      </c>
    </row>
    <row r="249" spans="1:2" x14ac:dyDescent="0.15">
      <c r="A249" s="40">
        <v>671</v>
      </c>
      <c r="B249" s="7" t="str">
        <f>VLOOKUP(A249,[1]characters!$A:$C,3,FALSE)</f>
        <v>ハヌマーン</v>
      </c>
    </row>
    <row r="250" spans="1:2" x14ac:dyDescent="0.15">
      <c r="A250" s="40">
        <v>672</v>
      </c>
      <c r="B250" s="7" t="str">
        <f>VLOOKUP(A250,[1]characters!$A:$C,3,FALSE)</f>
        <v>西遊韋駄天 ハヌマーン</v>
      </c>
    </row>
    <row r="251" spans="1:2" x14ac:dyDescent="0.15">
      <c r="A251" s="40">
        <v>673</v>
      </c>
      <c r="B251" s="7" t="str">
        <f>VLOOKUP(A251,[1]characters!$A:$C,3,FALSE)</f>
        <v>変幻自在の猿王 ハヌマーン</v>
      </c>
    </row>
    <row r="252" spans="1:2" x14ac:dyDescent="0.15">
      <c r="A252" s="40">
        <v>674</v>
      </c>
      <c r="B252" s="7" t="str">
        <f>VLOOKUP(A252,[1]characters!$A:$C,3,FALSE)</f>
        <v>サラスヴァティ</v>
      </c>
    </row>
    <row r="253" spans="1:2" x14ac:dyDescent="0.15">
      <c r="A253" s="40">
        <v>675</v>
      </c>
      <c r="B253" s="7" t="str">
        <f>VLOOKUP(A253,[1]characters!$A:$C,3,FALSE)</f>
        <v>芸楽の奔流 サラスヴァティ</v>
      </c>
    </row>
    <row r="254" spans="1:2" x14ac:dyDescent="0.15">
      <c r="A254" s="40">
        <v>676</v>
      </c>
      <c r="B254" s="7" t="str">
        <f>VLOOKUP(A254,[1]characters!$A:$C,3,FALSE)</f>
        <v>ヴィシュヌ</v>
      </c>
    </row>
    <row r="255" spans="1:2" x14ac:dyDescent="0.15">
      <c r="A255" s="40">
        <v>677</v>
      </c>
      <c r="B255" s="7" t="str">
        <f>VLOOKUP(A255,[1]characters!$A:$C,3,FALSE)</f>
        <v>武遊闊歩 ヴィシュヌ</v>
      </c>
    </row>
    <row r="256" spans="1:2" x14ac:dyDescent="0.15">
      <c r="A256" s="40">
        <v>770</v>
      </c>
      <c r="B256" s="7" t="str">
        <f>VLOOKUP(A256,[1]characters!$A:$C,3,FALSE)</f>
        <v>ハヅル</v>
      </c>
    </row>
    <row r="257" spans="1:2" x14ac:dyDescent="0.15">
      <c r="A257" s="40">
        <v>771</v>
      </c>
      <c r="B257" s="7" t="str">
        <f>VLOOKUP(A257,[1]characters!$A:$C,3,FALSE)</f>
        <v>天織羽鶴 ハヅル</v>
      </c>
    </row>
    <row r="258" spans="1:2" x14ac:dyDescent="0.15">
      <c r="A258" s="40">
        <v>772</v>
      </c>
      <c r="B258" s="7" t="str">
        <f>VLOOKUP(A258,[1]characters!$A:$C,3,FALSE)</f>
        <v>イナバ</v>
      </c>
    </row>
    <row r="259" spans="1:2" x14ac:dyDescent="0.15">
      <c r="A259" s="40">
        <v>773</v>
      </c>
      <c r="B259" s="7" t="str">
        <f>VLOOKUP(A259,[1]characters!$A:$C,3,FALSE)</f>
        <v>浮跳天兎 イナバ</v>
      </c>
    </row>
    <row r="260" spans="1:2" x14ac:dyDescent="0.15">
      <c r="A260" s="40">
        <v>774</v>
      </c>
      <c r="B260" s="7" t="str">
        <f>VLOOKUP(A260,[1]characters!$A:$C,3,FALSE)</f>
        <v>ミズチ</v>
      </c>
    </row>
    <row r="261" spans="1:2" x14ac:dyDescent="0.15">
      <c r="A261" s="40">
        <v>775</v>
      </c>
      <c r="B261" s="7" t="str">
        <f>VLOOKUP(A261,[1]characters!$A:$C,3,FALSE)</f>
        <v>水底霊竜 ミズチ</v>
      </c>
    </row>
    <row r="262" spans="1:2" x14ac:dyDescent="0.15">
      <c r="A262" s="40">
        <v>776</v>
      </c>
      <c r="B262" s="7" t="str">
        <f>VLOOKUP(A262,[1]characters!$A:$C,3,FALSE)</f>
        <v>水竜底主 ミズチ</v>
      </c>
    </row>
    <row r="263" spans="1:2" x14ac:dyDescent="0.15">
      <c r="A263" s="40">
        <v>777</v>
      </c>
      <c r="B263" s="7" t="str">
        <f>VLOOKUP(A263,[1]characters!$A:$C,3,FALSE)</f>
        <v>ガメック</v>
      </c>
    </row>
    <row r="264" spans="1:2" x14ac:dyDescent="0.15">
      <c r="A264" s="40">
        <v>778</v>
      </c>
      <c r="B264" s="7" t="str">
        <f>VLOOKUP(A264,[1]characters!$A:$C,3,FALSE)</f>
        <v>一亀懸明 ガメック</v>
      </c>
    </row>
    <row r="265" spans="1:2" x14ac:dyDescent="0.15">
      <c r="A265" s="40">
        <v>779</v>
      </c>
      <c r="B265" s="7" t="str">
        <f>VLOOKUP(A265,[1]characters!$A:$C,3,FALSE)</f>
        <v>頑堅咬亀 ガメック</v>
      </c>
    </row>
    <row r="266" spans="1:2" x14ac:dyDescent="0.15">
      <c r="A266" s="40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3" t="s">
        <v>56</v>
      </c>
      <c r="B1" s="33"/>
    </row>
    <row r="2" spans="1:2" x14ac:dyDescent="0.15">
      <c r="A2" s="31" t="s">
        <v>1</v>
      </c>
      <c r="B2" s="32" t="s">
        <v>58</v>
      </c>
    </row>
    <row r="3" spans="1:2" x14ac:dyDescent="0.15">
      <c r="A3" s="6">
        <v>166</v>
      </c>
      <c r="B3" s="32" t="str">
        <f>VLOOKUP(A3,[1]characters!$A:$C,3,FALSE)</f>
        <v>ベリアル</v>
      </c>
    </row>
    <row r="4" spans="1:2" x14ac:dyDescent="0.15">
      <c r="A4" s="6">
        <v>167</v>
      </c>
      <c r="B4" s="32" t="str">
        <f>VLOOKUP(A4,[1]characters!$A:$C,3,FALSE)</f>
        <v>逆徒 ベリアル</v>
      </c>
    </row>
    <row r="5" spans="1:2" x14ac:dyDescent="0.15">
      <c r="A5" s="6">
        <v>168</v>
      </c>
      <c r="B5" s="32" t="str">
        <f>VLOOKUP(A5,[1]characters!$A:$C,3,FALSE)</f>
        <v>猛進の大逆者 ベリアル</v>
      </c>
    </row>
    <row r="6" spans="1:2" x14ac:dyDescent="0.15">
      <c r="A6" s="31">
        <v>169</v>
      </c>
      <c r="B6" s="32" t="str">
        <f>VLOOKUP(A6,[1]characters!$A:$C,3,FALSE)</f>
        <v>オセ</v>
      </c>
    </row>
    <row r="7" spans="1:2" x14ac:dyDescent="0.15">
      <c r="A7" s="31">
        <v>170</v>
      </c>
      <c r="B7" s="32" t="str">
        <f>VLOOKUP(A7,[1]characters!$A:$C,3,FALSE)</f>
        <v>識徒 オセ</v>
      </c>
    </row>
    <row r="8" spans="1:2" x14ac:dyDescent="0.15">
      <c r="A8" s="31">
        <v>171</v>
      </c>
      <c r="B8" s="32" t="str">
        <f>VLOOKUP(A8,[1]characters!$A:$C,3,FALSE)</f>
        <v>精解の預知者 オセ</v>
      </c>
    </row>
    <row r="9" spans="1:2" x14ac:dyDescent="0.15">
      <c r="A9" s="31">
        <v>172</v>
      </c>
      <c r="B9" s="32" t="str">
        <f>VLOOKUP(A9,[1]characters!$A:$C,3,FALSE)</f>
        <v>フォルネウス</v>
      </c>
    </row>
    <row r="10" spans="1:2" x14ac:dyDescent="0.15">
      <c r="A10" s="31">
        <v>173</v>
      </c>
      <c r="B10" s="32" t="str">
        <f>VLOOKUP(A10,[1]characters!$A:$C,3,FALSE)</f>
        <v>公爵 フォルネウス</v>
      </c>
    </row>
    <row r="11" spans="1:2" x14ac:dyDescent="0.15">
      <c r="A11" s="31">
        <v>174</v>
      </c>
      <c r="B11" s="32" t="str">
        <f>VLOOKUP(A11,[1]characters!$A:$C,3,FALSE)</f>
        <v>偽愛の大公爵 フォルネウス</v>
      </c>
    </row>
    <row r="12" spans="1:2" x14ac:dyDescent="0.15">
      <c r="A12" s="31">
        <v>235</v>
      </c>
      <c r="B12" s="32" t="str">
        <f>VLOOKUP(A12,[1]characters!$A:$C,3,FALSE)</f>
        <v>イザナミ</v>
      </c>
    </row>
    <row r="13" spans="1:2" x14ac:dyDescent="0.15">
      <c r="A13" s="31">
        <v>236</v>
      </c>
      <c r="B13" s="32" t="str">
        <f>VLOOKUP(A13,[1]characters!$A:$C,3,FALSE)</f>
        <v>神産 イザナミ</v>
      </c>
    </row>
    <row r="14" spans="1:2" x14ac:dyDescent="0.15">
      <c r="A14" s="31">
        <v>237</v>
      </c>
      <c r="B14" s="32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D15"/>
  <sheetViews>
    <sheetView topLeftCell="A5" workbookViewId="0">
      <selection activeCell="F9" sqref="F9"/>
    </sheetView>
  </sheetViews>
  <sheetFormatPr baseColWidth="12" defaultRowHeight="14" x14ac:dyDescent="0.15"/>
  <sheetData>
    <row r="1" spans="1:4" ht="15" x14ac:dyDescent="0.15">
      <c r="A1" s="50" t="s">
        <v>167</v>
      </c>
      <c r="B1" s="50"/>
      <c r="C1" s="50"/>
      <c r="D1" s="50"/>
    </row>
    <row r="2" spans="1:4" ht="15" x14ac:dyDescent="0.15">
      <c r="A2" s="50" t="s">
        <v>163</v>
      </c>
      <c r="B2" s="50" t="s">
        <v>164</v>
      </c>
      <c r="C2" s="50" t="s">
        <v>165</v>
      </c>
      <c r="D2" s="50" t="s">
        <v>166</v>
      </c>
    </row>
    <row r="3" spans="1:4" ht="15" x14ac:dyDescent="0.15">
      <c r="A3" s="50" t="s">
        <v>159</v>
      </c>
      <c r="B3" s="51">
        <v>1500</v>
      </c>
      <c r="C3" s="52">
        <v>0.25</v>
      </c>
      <c r="D3" s="50">
        <f>B3*C3</f>
        <v>375</v>
      </c>
    </row>
    <row r="4" spans="1:4" ht="15" x14ac:dyDescent="0.15">
      <c r="A4" s="50" t="s">
        <v>160</v>
      </c>
      <c r="B4" s="51">
        <v>5000</v>
      </c>
      <c r="C4" s="52">
        <v>0.4</v>
      </c>
      <c r="D4" s="50">
        <f t="shared" ref="D4:D6" si="0">B4*C4</f>
        <v>2000</v>
      </c>
    </row>
    <row r="5" spans="1:4" ht="15" x14ac:dyDescent="0.15">
      <c r="A5" s="50" t="s">
        <v>161</v>
      </c>
      <c r="B5" s="51">
        <v>20000</v>
      </c>
      <c r="C5" s="52">
        <v>0.3</v>
      </c>
      <c r="D5" s="50">
        <f t="shared" si="0"/>
        <v>6000</v>
      </c>
    </row>
    <row r="6" spans="1:4" ht="15" x14ac:dyDescent="0.15">
      <c r="A6" s="50" t="s">
        <v>162</v>
      </c>
      <c r="B6" s="51">
        <v>65000</v>
      </c>
      <c r="C6" s="52">
        <v>0.05</v>
      </c>
      <c r="D6" s="50">
        <f t="shared" si="0"/>
        <v>3250</v>
      </c>
    </row>
    <row r="7" spans="1:4" ht="15" x14ac:dyDescent="0.15">
      <c r="A7" s="50"/>
      <c r="B7" s="50"/>
      <c r="C7" s="50"/>
      <c r="D7" s="50">
        <f>SUM(D3:D6)</f>
        <v>11625</v>
      </c>
    </row>
    <row r="8" spans="1:4" ht="15" x14ac:dyDescent="0.15">
      <c r="A8" s="50"/>
      <c r="B8" s="50"/>
      <c r="C8" s="50"/>
      <c r="D8" s="50"/>
    </row>
    <row r="9" spans="1:4" ht="15" x14ac:dyDescent="0.15">
      <c r="A9" s="50" t="s">
        <v>168</v>
      </c>
      <c r="B9" s="50"/>
      <c r="C9" s="50"/>
      <c r="D9" s="50"/>
    </row>
    <row r="10" spans="1:4" ht="15" x14ac:dyDescent="0.15">
      <c r="A10" s="50" t="s">
        <v>163</v>
      </c>
      <c r="B10" s="50" t="s">
        <v>164</v>
      </c>
      <c r="C10" s="50" t="s">
        <v>165</v>
      </c>
      <c r="D10" s="50" t="s">
        <v>166</v>
      </c>
    </row>
    <row r="11" spans="1:4" ht="15" x14ac:dyDescent="0.15">
      <c r="A11" s="50" t="s">
        <v>159</v>
      </c>
      <c r="B11" s="51">
        <v>1500</v>
      </c>
      <c r="C11" s="52">
        <v>0.1</v>
      </c>
      <c r="D11" s="50">
        <f>B11*C11</f>
        <v>150</v>
      </c>
    </row>
    <row r="12" spans="1:4" ht="15" x14ac:dyDescent="0.15">
      <c r="A12" s="50" t="s">
        <v>160</v>
      </c>
      <c r="B12" s="51">
        <v>5000</v>
      </c>
      <c r="C12" s="52">
        <v>0.45</v>
      </c>
      <c r="D12" s="50">
        <f t="shared" ref="D12:D14" si="1">B12*C12</f>
        <v>2250</v>
      </c>
    </row>
    <row r="13" spans="1:4" ht="15" x14ac:dyDescent="0.15">
      <c r="A13" s="50" t="s">
        <v>161</v>
      </c>
      <c r="B13" s="51">
        <v>20000</v>
      </c>
      <c r="C13" s="52">
        <v>0.43</v>
      </c>
      <c r="D13" s="50">
        <f t="shared" si="1"/>
        <v>8600</v>
      </c>
    </row>
    <row r="14" spans="1:4" ht="15" x14ac:dyDescent="0.15">
      <c r="A14" s="50" t="s">
        <v>162</v>
      </c>
      <c r="B14" s="51">
        <v>65000</v>
      </c>
      <c r="C14" s="52">
        <v>0.02</v>
      </c>
      <c r="D14" s="50">
        <f t="shared" si="1"/>
        <v>1300</v>
      </c>
    </row>
    <row r="15" spans="1:4" ht="15" x14ac:dyDescent="0.15">
      <c r="A15" s="50"/>
      <c r="B15" s="50"/>
      <c r="C15" s="50"/>
      <c r="D15" s="50">
        <f>SUM(D11:D14)</f>
        <v>12300</v>
      </c>
    </row>
  </sheetData>
  <phoneticPr fontId="19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確率の考え方</vt:lpstr>
      <vt:lpstr>Sheet1</vt:lpstr>
      <vt:lpstr>output</vt:lpstr>
      <vt:lpstr>tables_215</vt:lpstr>
      <vt:lpstr>gacha_bonus_tables</vt:lpstr>
      <vt:lpstr>R6追加前</vt:lpstr>
      <vt:lpstr>R6開放</vt:lpstr>
      <vt:lpstr>前回メタルとの比較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2017-03-13T02:48:13Z</dcterms:modified>
</cp:coreProperties>
</file>