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4080" yWindow="640" windowWidth="25200" windowHeight="16260" tabRatio="740" firstSheet="1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stage_hints_failure!$B$1:$M$11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5" i="18" l="1"/>
  <c r="C15" i="18"/>
  <c r="A14" i="18"/>
  <c r="C14" i="18"/>
  <c r="A13" i="18"/>
  <c r="C13" i="18"/>
  <c r="B2" i="22"/>
  <c r="N2" i="22"/>
  <c r="G2" i="22"/>
  <c r="F2" i="22"/>
  <c r="D2" i="22"/>
  <c r="C2" i="22"/>
  <c r="A2" i="22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7" i="21"/>
  <c r="I7" i="21"/>
  <c r="J7" i="21"/>
  <c r="G7" i="21"/>
  <c r="F7" i="21"/>
  <c r="D7" i="21"/>
  <c r="C7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B2" i="21"/>
  <c r="I2" i="21"/>
  <c r="J2" i="21"/>
  <c r="G2" i="21"/>
  <c r="F2" i="21"/>
  <c r="D2" i="21"/>
  <c r="C2" i="21"/>
  <c r="J38" i="11"/>
  <c r="O38" i="9"/>
  <c r="N38" i="9"/>
  <c r="M38" i="9"/>
  <c r="L38" i="9"/>
  <c r="K38" i="9"/>
  <c r="J38" i="9"/>
  <c r="I38" i="9"/>
  <c r="H38" i="9"/>
  <c r="G38" i="9"/>
  <c r="E38" i="9"/>
  <c r="D38" i="9"/>
  <c r="A38" i="9"/>
  <c r="J34" i="11"/>
  <c r="O34" i="9"/>
  <c r="N34" i="9"/>
  <c r="M34" i="9"/>
  <c r="L34" i="9"/>
  <c r="K34" i="9"/>
  <c r="J34" i="9"/>
  <c r="I34" i="9"/>
  <c r="H34" i="9"/>
  <c r="G34" i="9"/>
  <c r="E34" i="9"/>
  <c r="D34" i="9"/>
  <c r="A34" i="9"/>
  <c r="J33" i="11"/>
  <c r="M36" i="10"/>
  <c r="T36" i="10"/>
  <c r="W36" i="10"/>
  <c r="V36" i="10"/>
  <c r="X36" i="10"/>
  <c r="U36" i="10"/>
  <c r="Y36" i="10"/>
  <c r="M41" i="10"/>
  <c r="N41" i="10"/>
  <c r="Q41" i="10"/>
  <c r="P41" i="10"/>
  <c r="R41" i="10"/>
  <c r="O41" i="10"/>
  <c r="S41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2" i="10"/>
  <c r="T32" i="10"/>
  <c r="W32" i="10"/>
  <c r="V32" i="10"/>
  <c r="X32" i="10"/>
  <c r="U32" i="10"/>
  <c r="Y32" i="10"/>
  <c r="M37" i="10"/>
  <c r="N37" i="10"/>
  <c r="Q37" i="10"/>
  <c r="P37" i="10"/>
  <c r="R37" i="10"/>
  <c r="O37" i="10"/>
  <c r="S37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J7" i="11"/>
  <c r="O7" i="9"/>
  <c r="N7" i="9"/>
  <c r="M7" i="9"/>
  <c r="L7" i="9"/>
  <c r="K7" i="9"/>
  <c r="J7" i="9"/>
  <c r="I7" i="9"/>
  <c r="H7" i="9"/>
  <c r="G7" i="9"/>
  <c r="E7" i="9"/>
  <c r="D7" i="9"/>
  <c r="A7" i="9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J54" i="11"/>
  <c r="O54" i="9"/>
  <c r="N54" i="9"/>
  <c r="M54" i="9"/>
  <c r="L54" i="9"/>
  <c r="K54" i="9"/>
  <c r="J54" i="9"/>
  <c r="I54" i="9"/>
  <c r="H54" i="9"/>
  <c r="G54" i="9"/>
  <c r="E54" i="9"/>
  <c r="D54" i="9"/>
  <c r="A54" i="9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A3" i="18"/>
  <c r="C3" i="18"/>
  <c r="A4" i="18"/>
  <c r="C4" i="18"/>
  <c r="A5" i="18"/>
  <c r="C5" i="18"/>
  <c r="A6" i="18"/>
  <c r="C6" i="18"/>
  <c r="A7" i="18"/>
  <c r="C7" i="18"/>
  <c r="A8" i="18"/>
  <c r="C8" i="18"/>
  <c r="A9" i="18"/>
  <c r="C9" i="18"/>
  <c r="A10" i="18"/>
  <c r="C10" i="18"/>
  <c r="A11" i="18"/>
  <c r="C11" i="18"/>
  <c r="A12" i="18"/>
  <c r="C12" i="18"/>
  <c r="A2" i="18"/>
  <c r="C2" i="18"/>
  <c r="B11" i="21"/>
  <c r="D16" i="9"/>
  <c r="J53" i="11"/>
  <c r="O53" i="9"/>
  <c r="N53" i="9"/>
  <c r="M53" i="9"/>
  <c r="L53" i="9"/>
  <c r="K53" i="9"/>
  <c r="J53" i="9"/>
  <c r="I53" i="9"/>
  <c r="H53" i="9"/>
  <c r="G53" i="9"/>
  <c r="E53" i="9"/>
  <c r="D53" i="9"/>
  <c r="A53" i="9"/>
  <c r="J51" i="11"/>
  <c r="O51" i="9"/>
  <c r="N51" i="9"/>
  <c r="M51" i="9"/>
  <c r="L51" i="9"/>
  <c r="K51" i="9"/>
  <c r="J51" i="9"/>
  <c r="I51" i="9"/>
  <c r="H51" i="9"/>
  <c r="G51" i="9"/>
  <c r="E51" i="9"/>
  <c r="D51" i="9"/>
  <c r="A51" i="9"/>
  <c r="J29" i="11"/>
  <c r="J31" i="11"/>
  <c r="O31" i="9"/>
  <c r="N31" i="9"/>
  <c r="M31" i="9"/>
  <c r="L31" i="9"/>
  <c r="K31" i="9"/>
  <c r="J31" i="9"/>
  <c r="I31" i="9"/>
  <c r="H31" i="9"/>
  <c r="G31" i="9"/>
  <c r="E31" i="9"/>
  <c r="D31" i="9"/>
  <c r="A31" i="9"/>
  <c r="J28" i="11"/>
  <c r="O29" i="9"/>
  <c r="N29" i="9"/>
  <c r="M29" i="9"/>
  <c r="L29" i="9"/>
  <c r="K29" i="9"/>
  <c r="J29" i="9"/>
  <c r="I29" i="9"/>
  <c r="H29" i="9"/>
  <c r="G29" i="9"/>
  <c r="E29" i="9"/>
  <c r="D29" i="9"/>
  <c r="A29" i="9"/>
  <c r="J45" i="11"/>
  <c r="J49" i="11"/>
  <c r="J48" i="11"/>
  <c r="J47" i="11"/>
  <c r="J46" i="11"/>
  <c r="J41" i="11"/>
  <c r="J40" i="11"/>
  <c r="J36" i="11"/>
  <c r="J37" i="11"/>
  <c r="G2" i="9"/>
  <c r="J27" i="11"/>
  <c r="O28" i="9"/>
  <c r="N28" i="9"/>
  <c r="M28" i="9"/>
  <c r="L28" i="9"/>
  <c r="K28" i="9"/>
  <c r="J28" i="9"/>
  <c r="I28" i="9"/>
  <c r="H28" i="9"/>
  <c r="G28" i="9"/>
  <c r="E28" i="9"/>
  <c r="D28" i="9"/>
  <c r="A28" i="9"/>
  <c r="J30" i="11"/>
  <c r="O30" i="9"/>
  <c r="N30" i="9"/>
  <c r="M30" i="9"/>
  <c r="L30" i="9"/>
  <c r="K30" i="9"/>
  <c r="J30" i="9"/>
  <c r="I30" i="9"/>
  <c r="H30" i="9"/>
  <c r="G30" i="9"/>
  <c r="E30" i="9"/>
  <c r="D30" i="9"/>
  <c r="A30" i="9"/>
  <c r="J32" i="11"/>
  <c r="O32" i="9"/>
  <c r="N32" i="9"/>
  <c r="M32" i="9"/>
  <c r="L32" i="9"/>
  <c r="K32" i="9"/>
  <c r="J32" i="9"/>
  <c r="I32" i="9"/>
  <c r="H32" i="9"/>
  <c r="G32" i="9"/>
  <c r="E32" i="9"/>
  <c r="D32" i="9"/>
  <c r="A32" i="9"/>
  <c r="J52" i="11"/>
  <c r="J50" i="11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29" i="10"/>
  <c r="T29" i="10"/>
  <c r="W29" i="10"/>
  <c r="V29" i="10"/>
  <c r="X29" i="10"/>
  <c r="U29" i="10"/>
  <c r="Y29" i="10"/>
  <c r="M35" i="10"/>
  <c r="M40" i="10"/>
  <c r="N40" i="10"/>
  <c r="Q40" i="10"/>
  <c r="P40" i="10"/>
  <c r="R40" i="10"/>
  <c r="O40" i="10"/>
  <c r="S40" i="10"/>
  <c r="N35" i="10"/>
  <c r="Q35" i="10"/>
  <c r="P35" i="10"/>
  <c r="R35" i="10"/>
  <c r="O35" i="10"/>
  <c r="S35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E41" i="9"/>
  <c r="E37" i="9"/>
  <c r="E42" i="9"/>
  <c r="Y5" i="7"/>
  <c r="Y4" i="7"/>
  <c r="E14" i="9"/>
  <c r="E18" i="9"/>
  <c r="Y3" i="7"/>
  <c r="E8" i="9"/>
  <c r="E11" i="9"/>
  <c r="Y2" i="7"/>
  <c r="X5" i="1"/>
  <c r="X4" i="1"/>
  <c r="E2" i="9"/>
  <c r="X3" i="1"/>
  <c r="X2" i="1"/>
  <c r="O52" i="9"/>
  <c r="N52" i="9"/>
  <c r="M52" i="9"/>
  <c r="L52" i="9"/>
  <c r="K52" i="9"/>
  <c r="J52" i="9"/>
  <c r="I52" i="9"/>
  <c r="H52" i="9"/>
  <c r="G52" i="9"/>
  <c r="E52" i="9"/>
  <c r="D52" i="9"/>
  <c r="A52" i="9"/>
  <c r="O50" i="9"/>
  <c r="N50" i="9"/>
  <c r="M50" i="9"/>
  <c r="L50" i="9"/>
  <c r="K50" i="9"/>
  <c r="J50" i="9"/>
  <c r="I50" i="9"/>
  <c r="H50" i="9"/>
  <c r="G50" i="9"/>
  <c r="E50" i="9"/>
  <c r="D50" i="9"/>
  <c r="A50" i="9"/>
  <c r="O49" i="9"/>
  <c r="N49" i="9"/>
  <c r="M49" i="9"/>
  <c r="L49" i="9"/>
  <c r="K49" i="9"/>
  <c r="J49" i="9"/>
  <c r="I49" i="9"/>
  <c r="H49" i="9"/>
  <c r="G49" i="9"/>
  <c r="E49" i="9"/>
  <c r="D49" i="9"/>
  <c r="A49" i="9"/>
  <c r="O48" i="9"/>
  <c r="N48" i="9"/>
  <c r="M48" i="9"/>
  <c r="L48" i="9"/>
  <c r="K48" i="9"/>
  <c r="J48" i="9"/>
  <c r="I48" i="9"/>
  <c r="H48" i="9"/>
  <c r="G48" i="9"/>
  <c r="E48" i="9"/>
  <c r="D48" i="9"/>
  <c r="A48" i="9"/>
  <c r="O47" i="9"/>
  <c r="N47" i="9"/>
  <c r="M47" i="9"/>
  <c r="L47" i="9"/>
  <c r="K47" i="9"/>
  <c r="J47" i="9"/>
  <c r="I47" i="9"/>
  <c r="H47" i="9"/>
  <c r="G47" i="9"/>
  <c r="E47" i="9"/>
  <c r="D47" i="9"/>
  <c r="A47" i="9"/>
  <c r="J44" i="11"/>
  <c r="O46" i="9"/>
  <c r="N46" i="9"/>
  <c r="M46" i="9"/>
  <c r="L46" i="9"/>
  <c r="K46" i="9"/>
  <c r="J46" i="9"/>
  <c r="I46" i="9"/>
  <c r="H46" i="9"/>
  <c r="G46" i="9"/>
  <c r="E46" i="9"/>
  <c r="D46" i="9"/>
  <c r="A46" i="9"/>
  <c r="J43" i="11"/>
  <c r="O45" i="9"/>
  <c r="N45" i="9"/>
  <c r="M45" i="9"/>
  <c r="L45" i="9"/>
  <c r="K45" i="9"/>
  <c r="J45" i="9"/>
  <c r="I45" i="9"/>
  <c r="H45" i="9"/>
  <c r="G45" i="9"/>
  <c r="E45" i="9"/>
  <c r="D45" i="9"/>
  <c r="A45" i="9"/>
  <c r="J42" i="11"/>
  <c r="O44" i="9"/>
  <c r="N44" i="9"/>
  <c r="M44" i="9"/>
  <c r="L44" i="9"/>
  <c r="K44" i="9"/>
  <c r="J44" i="9"/>
  <c r="I44" i="9"/>
  <c r="H44" i="9"/>
  <c r="G44" i="9"/>
  <c r="E44" i="9"/>
  <c r="D44" i="9"/>
  <c r="A44" i="9"/>
  <c r="O43" i="9"/>
  <c r="N43" i="9"/>
  <c r="M43" i="9"/>
  <c r="L43" i="9"/>
  <c r="K43" i="9"/>
  <c r="J43" i="9"/>
  <c r="I43" i="9"/>
  <c r="H43" i="9"/>
  <c r="G43" i="9"/>
  <c r="E43" i="9"/>
  <c r="D43" i="9"/>
  <c r="A43" i="9"/>
  <c r="O42" i="9"/>
  <c r="N42" i="9"/>
  <c r="M42" i="9"/>
  <c r="L42" i="9"/>
  <c r="K42" i="9"/>
  <c r="J42" i="9"/>
  <c r="I42" i="9"/>
  <c r="H42" i="9"/>
  <c r="G42" i="9"/>
  <c r="D42" i="9"/>
  <c r="A42" i="9"/>
  <c r="J39" i="11"/>
  <c r="O41" i="9"/>
  <c r="N41" i="9"/>
  <c r="M41" i="9"/>
  <c r="L41" i="9"/>
  <c r="K41" i="9"/>
  <c r="J41" i="9"/>
  <c r="I41" i="9"/>
  <c r="H41" i="9"/>
  <c r="G41" i="9"/>
  <c r="D41" i="9"/>
  <c r="A41" i="9"/>
  <c r="J35" i="11"/>
  <c r="O40" i="9"/>
  <c r="N40" i="9"/>
  <c r="M40" i="9"/>
  <c r="L40" i="9"/>
  <c r="K40" i="9"/>
  <c r="J40" i="9"/>
  <c r="I40" i="9"/>
  <c r="H40" i="9"/>
  <c r="G40" i="9"/>
  <c r="E40" i="9"/>
  <c r="D40" i="9"/>
  <c r="A40" i="9"/>
  <c r="O39" i="9"/>
  <c r="N39" i="9"/>
  <c r="M39" i="9"/>
  <c r="L39" i="9"/>
  <c r="K39" i="9"/>
  <c r="J39" i="9"/>
  <c r="I39" i="9"/>
  <c r="H39" i="9"/>
  <c r="G39" i="9"/>
  <c r="E39" i="9"/>
  <c r="D39" i="9"/>
  <c r="A39" i="9"/>
  <c r="O37" i="9"/>
  <c r="N37" i="9"/>
  <c r="M37" i="9"/>
  <c r="L37" i="9"/>
  <c r="K37" i="9"/>
  <c r="J37" i="9"/>
  <c r="I37" i="9"/>
  <c r="H37" i="9"/>
  <c r="G37" i="9"/>
  <c r="D37" i="9"/>
  <c r="A37" i="9"/>
  <c r="O36" i="9"/>
  <c r="N36" i="9"/>
  <c r="M36" i="9"/>
  <c r="L36" i="9"/>
  <c r="K36" i="9"/>
  <c r="J36" i="9"/>
  <c r="I36" i="9"/>
  <c r="H36" i="9"/>
  <c r="G36" i="9"/>
  <c r="E36" i="9"/>
  <c r="D36" i="9"/>
  <c r="A36" i="9"/>
  <c r="O35" i="9"/>
  <c r="N35" i="9"/>
  <c r="M35" i="9"/>
  <c r="L35" i="9"/>
  <c r="K35" i="9"/>
  <c r="J35" i="9"/>
  <c r="I35" i="9"/>
  <c r="H35" i="9"/>
  <c r="G35" i="9"/>
  <c r="E35" i="9"/>
  <c r="D35" i="9"/>
  <c r="A35" i="9"/>
  <c r="O33" i="9"/>
  <c r="N33" i="9"/>
  <c r="M33" i="9"/>
  <c r="L33" i="9"/>
  <c r="K33" i="9"/>
  <c r="J33" i="9"/>
  <c r="I33" i="9"/>
  <c r="H33" i="9"/>
  <c r="G33" i="9"/>
  <c r="E33" i="9"/>
  <c r="D33" i="9"/>
  <c r="A33" i="9"/>
  <c r="J26" i="11"/>
  <c r="O27" i="9"/>
  <c r="N27" i="9"/>
  <c r="M27" i="9"/>
  <c r="L27" i="9"/>
  <c r="K27" i="9"/>
  <c r="J27" i="9"/>
  <c r="I27" i="9"/>
  <c r="H27" i="9"/>
  <c r="G27" i="9"/>
  <c r="E27" i="9"/>
  <c r="D27" i="9"/>
  <c r="A27" i="9"/>
  <c r="J25" i="11"/>
  <c r="O26" i="9"/>
  <c r="N26" i="9"/>
  <c r="M26" i="9"/>
  <c r="L26" i="9"/>
  <c r="K26" i="9"/>
  <c r="J26" i="9"/>
  <c r="I26" i="9"/>
  <c r="H26" i="9"/>
  <c r="G26" i="9"/>
  <c r="E26" i="9"/>
  <c r="D26" i="9"/>
  <c r="A26" i="9"/>
  <c r="J24" i="11"/>
  <c r="O25" i="9"/>
  <c r="N25" i="9"/>
  <c r="M25" i="9"/>
  <c r="L25" i="9"/>
  <c r="K25" i="9"/>
  <c r="J25" i="9"/>
  <c r="I25" i="9"/>
  <c r="H25" i="9"/>
  <c r="G25" i="9"/>
  <c r="E25" i="9"/>
  <c r="D25" i="9"/>
  <c r="A25" i="9"/>
  <c r="J23" i="11"/>
  <c r="O24" i="9"/>
  <c r="N24" i="9"/>
  <c r="M24" i="9"/>
  <c r="L24" i="9"/>
  <c r="K24" i="9"/>
  <c r="J24" i="9"/>
  <c r="I24" i="9"/>
  <c r="H24" i="9"/>
  <c r="G24" i="9"/>
  <c r="E24" i="9"/>
  <c r="D24" i="9"/>
  <c r="A24" i="9"/>
  <c r="J22" i="11"/>
  <c r="O23" i="9"/>
  <c r="N23" i="9"/>
  <c r="M23" i="9"/>
  <c r="L23" i="9"/>
  <c r="K23" i="9"/>
  <c r="J23" i="9"/>
  <c r="I23" i="9"/>
  <c r="H23" i="9"/>
  <c r="G23" i="9"/>
  <c r="E23" i="9"/>
  <c r="D23" i="9"/>
  <c r="A23" i="9"/>
  <c r="J21" i="11"/>
  <c r="O22" i="9"/>
  <c r="N22" i="9"/>
  <c r="M22" i="9"/>
  <c r="L22" i="9"/>
  <c r="K22" i="9"/>
  <c r="J22" i="9"/>
  <c r="I22" i="9"/>
  <c r="H22" i="9"/>
  <c r="G22" i="9"/>
  <c r="E22" i="9"/>
  <c r="D22" i="9"/>
  <c r="A22" i="9"/>
  <c r="J20" i="11"/>
  <c r="O21" i="9"/>
  <c r="N21" i="9"/>
  <c r="M21" i="9"/>
  <c r="L21" i="9"/>
  <c r="K21" i="9"/>
  <c r="J21" i="9"/>
  <c r="I21" i="9"/>
  <c r="H21" i="9"/>
  <c r="G21" i="9"/>
  <c r="E21" i="9"/>
  <c r="D21" i="9"/>
  <c r="A21" i="9"/>
  <c r="J19" i="11"/>
  <c r="O20" i="9"/>
  <c r="N20" i="9"/>
  <c r="M20" i="9"/>
  <c r="L20" i="9"/>
  <c r="K20" i="9"/>
  <c r="J20" i="9"/>
  <c r="I20" i="9"/>
  <c r="H20" i="9"/>
  <c r="G20" i="9"/>
  <c r="E20" i="9"/>
  <c r="D20" i="9"/>
  <c r="A20" i="9"/>
  <c r="J18" i="11"/>
  <c r="O19" i="9"/>
  <c r="N19" i="9"/>
  <c r="M19" i="9"/>
  <c r="L19" i="9"/>
  <c r="K19" i="9"/>
  <c r="J19" i="9"/>
  <c r="I19" i="9"/>
  <c r="H19" i="9"/>
  <c r="G19" i="9"/>
  <c r="E19" i="9"/>
  <c r="D19" i="9"/>
  <c r="A19" i="9"/>
  <c r="J17" i="11"/>
  <c r="O18" i="9"/>
  <c r="N18" i="9"/>
  <c r="M18" i="9"/>
  <c r="L18" i="9"/>
  <c r="K18" i="9"/>
  <c r="J18" i="9"/>
  <c r="I18" i="9"/>
  <c r="H18" i="9"/>
  <c r="G18" i="9"/>
  <c r="D18" i="9"/>
  <c r="A18" i="9"/>
  <c r="J16" i="11"/>
  <c r="O17" i="9"/>
  <c r="N17" i="9"/>
  <c r="M17" i="9"/>
  <c r="L17" i="9"/>
  <c r="K17" i="9"/>
  <c r="J17" i="9"/>
  <c r="I17" i="9"/>
  <c r="H17" i="9"/>
  <c r="G17" i="9"/>
  <c r="E17" i="9"/>
  <c r="D17" i="9"/>
  <c r="A17" i="9"/>
  <c r="J15" i="11"/>
  <c r="O16" i="9"/>
  <c r="N16" i="9"/>
  <c r="M16" i="9"/>
  <c r="L16" i="9"/>
  <c r="K16" i="9"/>
  <c r="J16" i="9"/>
  <c r="I16" i="9"/>
  <c r="H16" i="9"/>
  <c r="G16" i="9"/>
  <c r="E16" i="9"/>
  <c r="A16" i="9"/>
  <c r="J14" i="11"/>
  <c r="O15" i="9"/>
  <c r="N15" i="9"/>
  <c r="M15" i="9"/>
  <c r="L15" i="9"/>
  <c r="K15" i="9"/>
  <c r="J15" i="9"/>
  <c r="I15" i="9"/>
  <c r="H15" i="9"/>
  <c r="G15" i="9"/>
  <c r="E15" i="9"/>
  <c r="D15" i="9"/>
  <c r="A15" i="9"/>
  <c r="J13" i="11"/>
  <c r="O14" i="9"/>
  <c r="N14" i="9"/>
  <c r="M14" i="9"/>
  <c r="L14" i="9"/>
  <c r="K14" i="9"/>
  <c r="J14" i="9"/>
  <c r="I14" i="9"/>
  <c r="H14" i="9"/>
  <c r="G14" i="9"/>
  <c r="D14" i="9"/>
  <c r="A14" i="9"/>
  <c r="J12" i="11"/>
  <c r="O13" i="9"/>
  <c r="N13" i="9"/>
  <c r="M13" i="9"/>
  <c r="L13" i="9"/>
  <c r="K13" i="9"/>
  <c r="J13" i="9"/>
  <c r="I13" i="9"/>
  <c r="H13" i="9"/>
  <c r="G13" i="9"/>
  <c r="E13" i="9"/>
  <c r="D13" i="9"/>
  <c r="A13" i="9"/>
  <c r="J11" i="11"/>
  <c r="O12" i="9"/>
  <c r="N12" i="9"/>
  <c r="M12" i="9"/>
  <c r="L12" i="9"/>
  <c r="K12" i="9"/>
  <c r="J12" i="9"/>
  <c r="I12" i="9"/>
  <c r="H12" i="9"/>
  <c r="G12" i="9"/>
  <c r="E12" i="9"/>
  <c r="D12" i="9"/>
  <c r="A12" i="9"/>
  <c r="J10" i="11"/>
  <c r="O11" i="9"/>
  <c r="N11" i="9"/>
  <c r="M11" i="9"/>
  <c r="L11" i="9"/>
  <c r="K11" i="9"/>
  <c r="J11" i="9"/>
  <c r="I11" i="9"/>
  <c r="H11" i="9"/>
  <c r="G11" i="9"/>
  <c r="D11" i="9"/>
  <c r="A11" i="9"/>
  <c r="J9" i="11"/>
  <c r="O10" i="9"/>
  <c r="N10" i="9"/>
  <c r="M10" i="9"/>
  <c r="L10" i="9"/>
  <c r="K10" i="9"/>
  <c r="J10" i="9"/>
  <c r="I10" i="9"/>
  <c r="H10" i="9"/>
  <c r="G10" i="9"/>
  <c r="E10" i="9"/>
  <c r="D10" i="9"/>
  <c r="A10" i="9"/>
  <c r="J8" i="11"/>
  <c r="O9" i="9"/>
  <c r="N9" i="9"/>
  <c r="M9" i="9"/>
  <c r="L9" i="9"/>
  <c r="K9" i="9"/>
  <c r="J9" i="9"/>
  <c r="I9" i="9"/>
  <c r="H9" i="9"/>
  <c r="G9" i="9"/>
  <c r="E9" i="9"/>
  <c r="D9" i="9"/>
  <c r="A9" i="9"/>
  <c r="J6" i="11"/>
  <c r="O8" i="9"/>
  <c r="N8" i="9"/>
  <c r="M8" i="9"/>
  <c r="L8" i="9"/>
  <c r="K8" i="9"/>
  <c r="J8" i="9"/>
  <c r="I8" i="9"/>
  <c r="H8" i="9"/>
  <c r="G8" i="9"/>
  <c r="D8" i="9"/>
  <c r="A8" i="9"/>
  <c r="J5" i="11"/>
  <c r="O6" i="9"/>
  <c r="N6" i="9"/>
  <c r="M6" i="9"/>
  <c r="L6" i="9"/>
  <c r="K6" i="9"/>
  <c r="J6" i="9"/>
  <c r="I6" i="9"/>
  <c r="H6" i="9"/>
  <c r="G6" i="9"/>
  <c r="E6" i="9"/>
  <c r="D6" i="9"/>
  <c r="A6" i="9"/>
  <c r="J4" i="11"/>
  <c r="O5" i="9"/>
  <c r="N5" i="9"/>
  <c r="M5" i="9"/>
  <c r="L5" i="9"/>
  <c r="K5" i="9"/>
  <c r="J5" i="9"/>
  <c r="I5" i="9"/>
  <c r="H5" i="9"/>
  <c r="G5" i="9"/>
  <c r="E5" i="9"/>
  <c r="D5" i="9"/>
  <c r="A5" i="9"/>
  <c r="J3" i="11"/>
  <c r="O4" i="9"/>
  <c r="N4" i="9"/>
  <c r="M4" i="9"/>
  <c r="L4" i="9"/>
  <c r="K4" i="9"/>
  <c r="J4" i="9"/>
  <c r="I4" i="9"/>
  <c r="H4" i="9"/>
  <c r="G4" i="9"/>
  <c r="E4" i="9"/>
  <c r="D4" i="9"/>
  <c r="A4" i="9"/>
  <c r="J2" i="11"/>
  <c r="O3" i="9"/>
  <c r="N3" i="9"/>
  <c r="M3" i="9"/>
  <c r="L3" i="9"/>
  <c r="K3" i="9"/>
  <c r="J3" i="9"/>
  <c r="I3" i="9"/>
  <c r="H3" i="9"/>
  <c r="G3" i="9"/>
  <c r="E3" i="9"/>
  <c r="D3" i="9"/>
  <c r="A3" i="9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T41" i="10"/>
  <c r="W41" i="10"/>
  <c r="V41" i="10"/>
  <c r="X41" i="10"/>
  <c r="U41" i="10"/>
  <c r="Y41" i="10"/>
  <c r="G41" i="10"/>
  <c r="J41" i="10"/>
  <c r="I41" i="10"/>
  <c r="K41" i="10"/>
  <c r="H41" i="10"/>
  <c r="L41" i="10"/>
  <c r="T40" i="10"/>
  <c r="W40" i="10"/>
  <c r="V40" i="10"/>
  <c r="X40" i="10"/>
  <c r="U40" i="10"/>
  <c r="Y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T37" i="10"/>
  <c r="W37" i="10"/>
  <c r="V37" i="10"/>
  <c r="X37" i="10"/>
  <c r="U37" i="10"/>
  <c r="Y37" i="10"/>
  <c r="G37" i="10"/>
  <c r="J37" i="10"/>
  <c r="I37" i="10"/>
  <c r="K37" i="10"/>
  <c r="H37" i="10"/>
  <c r="L37" i="10"/>
  <c r="T35" i="10"/>
  <c r="W35" i="10"/>
  <c r="V35" i="10"/>
  <c r="X35" i="10"/>
  <c r="U35" i="10"/>
  <c r="Y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W5" i="7"/>
  <c r="U5" i="7"/>
  <c r="R5" i="7"/>
  <c r="Q5" i="7"/>
  <c r="P5" i="7"/>
  <c r="O5" i="7"/>
  <c r="N5" i="7"/>
  <c r="H5" i="7"/>
  <c r="G2" i="2"/>
  <c r="A2" i="2"/>
  <c r="G3" i="2"/>
  <c r="A3" i="2"/>
  <c r="G4" i="2"/>
  <c r="A4" i="2"/>
  <c r="G5" i="2"/>
  <c r="A5" i="2"/>
  <c r="J5" i="7"/>
  <c r="I5" i="7"/>
  <c r="D5" i="7"/>
  <c r="F5" i="7"/>
  <c r="E5" i="7"/>
  <c r="A5" i="7"/>
  <c r="W4" i="7"/>
  <c r="U4" i="7"/>
  <c r="R4" i="7"/>
  <c r="Q4" i="7"/>
  <c r="P4" i="7"/>
  <c r="O4" i="7"/>
  <c r="N4" i="7"/>
  <c r="H4" i="7"/>
  <c r="J4" i="7"/>
  <c r="I4" i="7"/>
  <c r="D4" i="7"/>
  <c r="F4" i="7"/>
  <c r="E4" i="7"/>
  <c r="A4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AD5" i="1"/>
  <c r="AF5" i="1"/>
  <c r="AI5" i="1"/>
  <c r="AG5" i="1"/>
  <c r="AE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D4" i="1"/>
  <c r="AF4" i="1"/>
  <c r="AI4" i="1"/>
  <c r="AG4" i="1"/>
  <c r="AE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AD3" i="1"/>
  <c r="AF3" i="1"/>
  <c r="AI3" i="1"/>
  <c r="AG3" i="1"/>
  <c r="AE3" i="1"/>
  <c r="V3" i="1"/>
  <c r="T3" i="1"/>
  <c r="Q3" i="1"/>
  <c r="P3" i="1"/>
  <c r="O3" i="1"/>
  <c r="N3" i="1"/>
  <c r="M3" i="1"/>
  <c r="H3" i="1"/>
  <c r="J3" i="1"/>
  <c r="I3" i="1"/>
  <c r="D3" i="1"/>
  <c r="F3" i="1"/>
  <c r="E3" i="1"/>
  <c r="A3" i="1"/>
  <c r="H5" i="2"/>
  <c r="E5" i="2"/>
  <c r="D5" i="2"/>
  <c r="H2" i="1"/>
  <c r="B5" i="2"/>
  <c r="H4" i="2"/>
  <c r="E4" i="2"/>
  <c r="D4" i="2"/>
  <c r="B4" i="2"/>
  <c r="H3" i="2"/>
  <c r="E3" i="2"/>
  <c r="D3" i="2"/>
  <c r="B3" i="2"/>
  <c r="W2" i="7"/>
  <c r="U2" i="7"/>
  <c r="V2" i="1"/>
  <c r="T2" i="1"/>
  <c r="E13" i="16"/>
  <c r="I11" i="21"/>
  <c r="J11" i="21"/>
  <c r="G11" i="21"/>
  <c r="F11" i="21"/>
  <c r="D11" i="21"/>
  <c r="C11" i="21"/>
  <c r="E12" i="16"/>
  <c r="E11" i="16"/>
  <c r="E10" i="16"/>
  <c r="O2" i="9"/>
  <c r="N2" i="9"/>
  <c r="M2" i="9"/>
  <c r="L2" i="9"/>
  <c r="K2" i="9"/>
  <c r="J2" i="9"/>
  <c r="I2" i="9"/>
  <c r="H2" i="9"/>
  <c r="D2" i="9"/>
  <c r="E9" i="16"/>
  <c r="R2" i="7"/>
  <c r="Q2" i="7"/>
  <c r="P2" i="7"/>
  <c r="O2" i="7"/>
  <c r="N2" i="7"/>
  <c r="AD2" i="1"/>
  <c r="AG2" i="1"/>
  <c r="AF2" i="1"/>
  <c r="AE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H2" i="7"/>
  <c r="J2" i="7"/>
  <c r="E8" i="16"/>
  <c r="E7" i="16"/>
  <c r="E6" i="16"/>
  <c r="E5" i="16"/>
  <c r="E4" i="16"/>
  <c r="E3" i="16"/>
  <c r="E2" i="16"/>
  <c r="A2" i="1"/>
  <c r="A2" i="9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<sst xmlns="http://schemas.openxmlformats.org/spreadsheetml/2006/main" count="928" uniqueCount="407">
  <si>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</si>
  <si>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</si>
  <si>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</si>
  <si>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</si>
  <si>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</si>
  <si>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</si>
  <si>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</si>
  <si>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</si>
  <si>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</si>
  <si>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</si>
  <si>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</si>
  <si>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</si>
  <si>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</si>
  <si>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</si>
  <si>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</si>
  <si>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</si>
  <si>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</si>
  <si>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</si>
  <si>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</si>
  <si>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</si>
  <si>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</si>
  <si>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</si>
  <si>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</si>
  <si>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</si>
  <si>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</si>
  <si>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</si>
  <si>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</si>
  <si>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</si>
  <si>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</si>
  <si>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</si>
  <si>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</si>
  <si>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</si>
  <si>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</si>
  <si>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</si>
  <si>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</si>
  <si>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</si>
  <si>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</si>
  <si>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</si>
  <si>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</si>
  <si>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</si>
  <si>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</si>
  <si>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</si>
  <si>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</si>
  <si>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</si>
  <si>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</si>
  <si>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</si>
  <si>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</si>
  <si>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</si>
  <si>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</si>
  <si>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</si>
  <si>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</si>
  <si>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</si>
  <si>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</si>
  <si>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</si>
  <si>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</si>
  <si>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</si>
  <si>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</si>
  <si>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</si>
  <si>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</si>
  <si>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</si>
  <si>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</si>
  <si>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</si>
  <si>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</si>
  <si>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</si>
  <si>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</si>
  <si>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</si>
  <si>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</si>
  <si>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</si>
  <si>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</si>
  <si>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</si>
  <si>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</si>
  <si>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</si>
  <si>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</si>
  <si>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</si>
  <si>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</si>
  <si>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</si>
  <si>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</si>
  <si>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</si>
  <si>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</si>
  <si>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</si>
  <si>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</si>
  <si>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</si>
  <si>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</si>
  <si>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</si>
  <si>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</si>
  <si>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</si>
  <si>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</si>
  <si>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</si>
  <si>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</si>
  <si>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</si>
  <si>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</si>
  <si>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</si>
  <si>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</si>
  <si>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</si>
  <si>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</si>
  <si>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</si>
  <si>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</si>
  <si>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</si>
  <si>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</si>
  <si>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</si>
  <si>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</si>
  <si>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</si>
  <si>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</si>
  <si>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</si>
  <si>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</si>
  <si>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</si>
  <si>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</si>
  <si>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</si>
  <si>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</si>
  <si>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</si>
  <si>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</si>
  <si>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</si>
  <si>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</si>
  <si>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</si>
  <si>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</si>
  <si>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</si>
  <si>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</si>
  <si>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</si>
  <si>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</si>
  <si>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</si>
  <si>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</si>
  <si>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</si>
  <si>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</si>
  <si>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</si>
  <si>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</si>
  <si>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</si>
  <si>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</si>
  <si>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</si>
  <si>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</si>
  <si>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</si>
  <si>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</si>
  <si>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</si>
  <si>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</si>
  <si>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</si>
  <si>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</si>
  <si>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</si>
  <si>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</si>
  <si>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</si>
  <si>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</si>
  <si>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</si>
  <si>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</si>
  <si>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</si>
  <si>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</si>
  <si>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</si>
  <si>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</si>
  <si>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</si>
  <si>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</si>
  <si>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</si>
  <si>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</si>
  <si>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</si>
  <si>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</si>
  <si>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</si>
  <si>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</si>
  <si>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</si>
  <si>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</si>
  <si>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</si>
  <si>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</si>
  <si>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</si>
  <si>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</si>
  <si>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</si>
  <si>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</si>
  <si>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</si>
  <si>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</si>
  <si>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</si>
  <si>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</si>
  <si>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</si>
  <si>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</si>
  <si>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</si>
  <si>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</si>
  <si>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</si>
  <si>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</si>
  <si>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</si>
  <si>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</si>
  <si>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</si>
  <si>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</si>
  <si>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</si>
  <si>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</si>
  <si>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</si>
  <si>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</si>
  <si>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</si>
  <si>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</si>
  <si>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</si>
  <si>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</si>
  <si>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</si>
  <si>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</si>
  <si>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</si>
  <si>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</si>
  <si>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</si>
  <si>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</si>
  <si>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</si>
  <si>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</si>
  <si>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</si>
  <si>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</si>
  <si>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</si>
  <si>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</si>
  <si>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</si>
  <si>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</si>
  <si>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</si>
  <si>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</si>
  <si>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</si>
  <si>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</si>
  <si>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</si>
  <si>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</si>
  <si>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</si>
  <si>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</si>
  <si>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</si>
  <si>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</si>
  <si>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</si>
  <si>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</si>
  <si>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</si>
  <si>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</si>
  <si>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</si>
  <si>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</si>
  <si>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</si>
  <si>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</si>
  <si>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</si>
  <si>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</si>
  <si>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</si>
  <si>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</si>
  <si>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</si>
  <si>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</si>
  <si>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</si>
  <si>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</si>
  <si>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</si>
  <si>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</si>
  <si>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</si>
  <si>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</si>
  <si>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</si>
  <si>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</si>
  <si>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</si>
  <si>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</si>
  <si>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</si>
  <si>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</si>
  <si>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</si>
  <si>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</si>
  <si>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</si>
  <si>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</si>
  <si>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</si>
  <si>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</si>
  <si>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</si>
  <si>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</si>
  <si>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</si>
  <si>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</si>
  <si>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</si>
  <si>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</si>
  <si>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</si>
  <si>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</si>
  <si>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</si>
  <si>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</si>
  <si>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old</t>
    <phoneticPr fontId="5"/>
  </si>
  <si>
    <t>状態異常耐性</t>
    <rPh sb="0" eb="6">
      <t>ｊｙ</t>
    </rPh>
    <phoneticPr fontId="5"/>
  </si>
  <si>
    <t>null</t>
    <phoneticPr fontId="5"/>
  </si>
  <si>
    <t>[effect:damage_abnormal, target:unit_one, val:1.2, status:dark, turn:2, rate:1, animation:enemy_dark]</t>
    <phoneticPr fontId="5"/>
  </si>
  <si>
    <t>[effect:damage_anti_abnormal, target:unit_one, target_effect01:dark, val1:1.5, val2:1]</t>
    <phoneticPr fontId="5"/>
  </si>
  <si>
    <t>[effect:damage_abnormal, target:unit_one, val:1.2, status:dark, turn:2, rate:1, animation:enemy_dark]</t>
    <phoneticPr fontId="5"/>
  </si>
  <si>
    <t>[effect:rush, count:4, val:0.35]</t>
    <phoneticPr fontId="5"/>
  </si>
  <si>
    <t>everyone</t>
  </si>
  <si>
    <t>unit</t>
  </si>
  <si>
    <t>old</t>
  </si>
  <si>
    <t>万里を駆ける暴兎</t>
    <phoneticPr fontId="5"/>
  </si>
  <si>
    <t>赤兎式フルスロットル</t>
    <phoneticPr fontId="5"/>
  </si>
  <si>
    <t>…ご無沙汰しております</t>
    <phoneticPr fontId="5"/>
  </si>
  <si>
    <t>ここであなたを止められれば…！</t>
    <phoneticPr fontId="5"/>
  </si>
  <si>
    <t>玉石の舞</t>
    <phoneticPr fontId="5"/>
  </si>
  <si>
    <t>搾り取ってあげましょう</t>
    <phoneticPr fontId="5"/>
  </si>
  <si>
    <t>全て吸い出してさしあげます</t>
    <phoneticPr fontId="5"/>
  </si>
  <si>
    <t>[effect:break_attack_fix, target:unit_one, val:3500, lowest_val:10000, count:-1, color:blue, block01:jammer]</t>
    <phoneticPr fontId="5"/>
  </si>
  <si>
    <t>[effect:break_attack_fix, target:unit_one, val:1300, lowest_val:8500, count:-1, color:yellow, block01:jammer]</t>
    <phoneticPr fontId="5"/>
  </si>
  <si>
    <t>おやおや？また貴方ですかァ？</t>
    <phoneticPr fontId="5"/>
  </si>
  <si>
    <t>伏したまえ…！</t>
    <phoneticPr fontId="5"/>
  </si>
  <si>
    <t>苦しむ顔を見せなさい…</t>
    <phoneticPr fontId="5"/>
  </si>
  <si>
    <t>相変わらず小賢しいですねェ…！</t>
    <phoneticPr fontId="5"/>
  </si>
  <si>
    <t>悲鳴を聞かせなさい…</t>
    <phoneticPr fontId="5"/>
  </si>
  <si>
    <t>八つ裂きの刑です…</t>
    <phoneticPr fontId="5"/>
  </si>
  <si>
    <t>ハハッ！痛いですかァ？</t>
    <phoneticPr fontId="5"/>
  </si>
  <si>
    <t>動かないで下さいね？</t>
    <phoneticPr fontId="5"/>
  </si>
  <si>
    <t>足掻いても無駄なんですよ！</t>
    <phoneticPr fontId="5"/>
  </si>
  <si>
    <t>残念ですが手遅れですよ</t>
    <phoneticPr fontId="5"/>
  </si>
  <si>
    <t>もっと鳴きなさい…！</t>
    <phoneticPr fontId="5"/>
  </si>
  <si>
    <t>どうですかァ？苦しいですかァ？</t>
    <phoneticPr fontId="5"/>
  </si>
  <si>
    <t>私の策に狂いは許されません</t>
    <phoneticPr fontId="5"/>
  </si>
  <si>
    <t>帰れ！！</t>
    <phoneticPr fontId="5"/>
  </si>
  <si>
    <t>なかなか楽しめた…</t>
    <phoneticPr fontId="5"/>
  </si>
  <si>
    <t>4回連続攻撃</t>
    <rPh sb="2" eb="4">
      <t>レンゾｋ</t>
    </rPh>
    <rPh sb="4" eb="6">
      <t>コウゲｋ</t>
    </rPh>
    <phoneticPr fontId="5"/>
  </si>
  <si>
    <t>暗闇状態のユニットに大ダメージ</t>
    <phoneticPr fontId="5"/>
  </si>
  <si>
    <t>解除するまでウィルス</t>
    <phoneticPr fontId="5"/>
  </si>
  <si>
    <t>お邪魔パネルを吸収して攻撃</t>
    <phoneticPr fontId="5"/>
  </si>
  <si>
    <t>状態異常耐性+青属性に変化</t>
    <rPh sb="0" eb="6">
      <t>ｊｙ</t>
    </rPh>
    <rPh sb="7" eb="10">
      <t>ア</t>
    </rPh>
    <rPh sb="11" eb="13">
      <t>ヘｎ</t>
    </rPh>
    <phoneticPr fontId="5"/>
  </si>
  <si>
    <t>お邪魔パネルを5個生成+単体攻撃</t>
    <phoneticPr fontId="5"/>
  </si>
  <si>
    <t>お邪魔パネルを吸収して攻撃</t>
    <phoneticPr fontId="5"/>
  </si>
  <si>
    <t>状態異常耐性+フィーバーゲージ減少</t>
    <rPh sb="0" eb="4">
      <t>ｊｙ</t>
    </rPh>
    <rPh sb="4" eb="6">
      <t>タイセ</t>
    </rPh>
    <phoneticPr fontId="5"/>
  </si>
  <si>
    <t>2ターンウィルス+クリティカル！</t>
    <phoneticPr fontId="5"/>
  </si>
  <si>
    <t>バランスタイプのユニットに大ダメージの全体攻撃</t>
    <phoneticPr fontId="5"/>
  </si>
  <si>
    <t>ウィルス状態のユニットに大ダメージの全体攻撃</t>
    <phoneticPr fontId="5"/>
  </si>
  <si>
    <t>状態異常耐性+自身の防御力UP</t>
    <rPh sb="0" eb="6">
      <t>ｊｙ</t>
    </rPh>
    <rPh sb="10" eb="13">
      <t>ボ</t>
    </rPh>
    <phoneticPr fontId="5"/>
  </si>
  <si>
    <t>ダメージパネルを4個生成</t>
    <phoneticPr fontId="5"/>
  </si>
  <si>
    <t>1ターンウィルス+クリティカル！</t>
    <phoneticPr fontId="5"/>
  </si>
  <si>
    <t>自身の攻撃力UP</t>
    <rPh sb="3" eb="6">
      <t>コウゲｋ</t>
    </rPh>
    <phoneticPr fontId="5"/>
  </si>
  <si>
    <t>克伐怨欲</t>
    <phoneticPr fontId="5"/>
  </si>
  <si>
    <t>克伐怨欲</t>
    <phoneticPr fontId="5"/>
  </si>
  <si>
    <t>complete</t>
  </si>
  <si>
    <t>貴様が噂のギルガメッシュか…？</t>
    <phoneticPr fontId="5"/>
  </si>
  <si>
    <t>赤兎馬は逃げ出した！</t>
    <phoneticPr fontId="5"/>
  </si>
  <si>
    <t>暴兎式トラベルファスト</t>
    <phoneticPr fontId="5"/>
  </si>
  <si>
    <t>貴様に受け切れるか？</t>
    <phoneticPr fontId="5"/>
  </si>
  <si>
    <t>ほぅ…　なかなか楽しめそうだな…！</t>
    <phoneticPr fontId="5"/>
  </si>
  <si>
    <t>行くぞ！赤兎馬！</t>
    <phoneticPr fontId="5"/>
  </si>
  <si>
    <t>命を捨てる覚悟はできたか…？</t>
    <phoneticPr fontId="5"/>
  </si>
  <si>
    <t>ぐふっ…　やるな…</t>
    <phoneticPr fontId="5"/>
  </si>
  <si>
    <t>まさか…　この我が…</t>
    <phoneticPr fontId="5"/>
  </si>
  <si>
    <t>凡夫に我が相手は務まらぬ！</t>
    <phoneticPr fontId="5"/>
  </si>
  <si>
    <t>我が一撃　耐えてみせろ！</t>
    <phoneticPr fontId="5"/>
  </si>
  <si>
    <t>我を失望させてくれるなよ？</t>
    <phoneticPr fontId="5"/>
  </si>
  <si>
    <t>赤流方天戟</t>
    <phoneticPr fontId="5"/>
  </si>
  <si>
    <t>10ターン赤パネル無効</t>
    <phoneticPr fontId="5"/>
  </si>
  <si>
    <t>10ターン青パネル無効</t>
    <phoneticPr fontId="5"/>
  </si>
  <si>
    <t>10ターン黄パネル無効</t>
    <phoneticPr fontId="5"/>
  </si>
  <si>
    <t>10ターン緑パネル無効</t>
    <phoneticPr fontId="5"/>
  </si>
  <si>
    <t>[effect:dis_panel, target:block_yellow, turn:10, animation:enemy_dis_yellow]</t>
    <phoneticPr fontId="5"/>
  </si>
  <si>
    <t>[effect:dis_panel, target:block_blue, turn:10, animation:enemy_dis_blue]</t>
    <phoneticPr fontId="5"/>
  </si>
  <si>
    <t>[effect:dis_panel, target:block_red, turn:10, animation:enemy_dis_red]</t>
    <phoneticPr fontId="5"/>
  </si>
  <si>
    <t>[effect:damage_anti_abnormal, target:unit_all, target_effect01:virus, val1:1.5, val2:0.25]</t>
    <phoneticPr fontId="5"/>
  </si>
  <si>
    <t>[effect:damage_anti_abnormal, target:unit_all, target_effect01:virus, val1:1.5, val2:0.25]</t>
    <phoneticPr fontId="5"/>
  </si>
  <si>
    <t>フフ…　許しませんよ…</t>
    <phoneticPr fontId="5"/>
  </si>
  <si>
    <t>5ターンハートパネル無効</t>
    <phoneticPr fontId="5"/>
  </si>
  <si>
    <t>[effect:damage_abnormal, target:unit_one, val:1.2, status:virus, turn:2, rate:1, val_abnormal:4, animation:enemy_virus]</t>
    <phoneticPr fontId="5"/>
  </si>
  <si>
    <t>ダメージパネルを6個生成</t>
    <phoneticPr fontId="5"/>
  </si>
  <si>
    <t>failure</t>
  </si>
  <si>
    <t>呂布が生成する緑属性のダメージパネルは
1つあたりのダメージが大きくなっています</t>
    <phoneticPr fontId="5"/>
  </si>
  <si>
    <t>董卓はバランスタイプのユニットに対して
キラー攻撃を行います
パーティ編成に注意しましょう</t>
    <phoneticPr fontId="5"/>
  </si>
  <si>
    <t>董卓はウィルス攻撃を行います
ウィルス対策を万全にして挑みましょう</t>
    <phoneticPr fontId="5"/>
  </si>
  <si>
    <t>董卓は1ゲージ目と2ゲージ目のはじめに
フィーバーゲージを下げてきます</t>
    <phoneticPr fontId="5"/>
  </si>
  <si>
    <t>貂蝉の2ゲージ目は攻撃頻度が早く強力です
1ゲージ目ではスキルを溜めておきましょう</t>
    <phoneticPr fontId="5"/>
  </si>
  <si>
    <t>赤兎馬は3回目攻撃時にユニット全体へ
強力なウィルスを付与してきます</t>
    <phoneticPr fontId="5"/>
  </si>
  <si>
    <t>呂布はふとした瞬間に憂いを見せる
貂蝉の事をいつも気にかけていました</t>
    <phoneticPr fontId="5"/>
  </si>
  <si>
    <t>呂布は董卓の最後の切り札として
あらゆる作戦の要となっていました</t>
    <phoneticPr fontId="5"/>
  </si>
  <si>
    <t>呂布はあなたの活躍で停止しました
これにより最大戦力を失った董卓の勢力は
沈黙を余儀なくされ
事態は収束に向かい始めています</t>
    <phoneticPr fontId="5"/>
  </si>
  <si>
    <t>貂蝉への配慮</t>
    <phoneticPr fontId="5"/>
  </si>
  <si>
    <t>old</t>
    <phoneticPr fontId="5"/>
  </si>
  <si>
    <t>old</t>
    <phoneticPr fontId="7"/>
  </si>
  <si>
    <t>暴君脱落</t>
    <phoneticPr fontId="5"/>
  </si>
  <si>
    <t>一騎当千の巨凶</t>
    <phoneticPr fontId="5"/>
  </si>
  <si>
    <t>赤き相棒</t>
    <phoneticPr fontId="5"/>
  </si>
  <si>
    <t>呂布は部下である赤兎馬の力を
高く評価しており
共闘する事も多かったようです</t>
    <phoneticPr fontId="5"/>
  </si>
  <si>
    <t>[effect:damage_abnormal, target:unit_one, val:1.2, status:virus, turn:2, rate:1, val_abnormal:4, animation:enemy_virus]</t>
    <phoneticPr fontId="5"/>
  </si>
  <si>
    <t>everyone</t>
    <phoneticPr fontId="5"/>
  </si>
  <si>
    <t>full_member</t>
  </si>
  <si>
    <t>unit</t>
    <phoneticPr fontId="5"/>
  </si>
  <si>
    <t>2016-5-27 0:00:00</t>
    <phoneticPr fontId="5"/>
  </si>
  <si>
    <t>2970-01-01 09:00:00</t>
    <phoneticPr fontId="5"/>
  </si>
  <si>
    <t>ダメージパネルを3個生成+単体攻撃</t>
    <phoneticPr fontId="5"/>
  </si>
  <si>
    <t>『リョフ！一緒に暴れようぜ！！』</t>
    <phoneticPr fontId="5"/>
  </si>
  <si>
    <t>[effect:enemy_message, val1:1.2, val2:2],[effect:dis_panel, target:block_green, turn:10, animation:enemy_dis_green]</t>
    <phoneticPr fontId="5"/>
  </si>
  <si>
    <t>翠玉后石打</t>
    <phoneticPr fontId="5"/>
  </si>
  <si>
    <t>呂布は1ゲージ目と2ゲージ目に
赤兎馬と連携した暗闇攻撃や赤属性の
ダメージパネル生成攻撃を行います</t>
    <phoneticPr fontId="5"/>
  </si>
  <si>
    <t>呂布の3ゲージ目の「赤流方天戟」は
残りHPが少なくなると威力が上がります</t>
    <phoneticPr fontId="5"/>
  </si>
  <si>
    <t>[effect:damage_abnormal, target:unit_one, val:1.2, status:virus, turn:1, rate:1, val_abnormal:4, animation:enemy_virus]</t>
    <phoneticPr fontId="5"/>
  </si>
  <si>
    <t>[effect:damage_abnormal, target:unit_one, val:1.2, status:virus, turn:1, rate:1, val_abnormal:4, animation:enemy_virus]</t>
    <phoneticPr fontId="5"/>
  </si>
  <si>
    <t>[effect:damage_abnormal, target:unit_one, val:1.3, status:virus, turn:1, rate:1, val_abnormal:4, animation:enemy_virus]</t>
    <phoneticPr fontId="5"/>
  </si>
  <si>
    <t>1ターンウィルス+クリティカル！</t>
    <phoneticPr fontId="5"/>
  </si>
  <si>
    <t>[effect:damage_abnormal, target:unit_one, val:1.4, status:virus, turn:1, rate:1, val_abnormal:4, animation:enemy_virus]</t>
    <phoneticPr fontId="5"/>
  </si>
  <si>
    <t>[effect:damage_abnormal, target:unit_one, val:1.5, status:virus, turn:1, rate:1, val_abnormal:4, animation:enemy_virus]</t>
    <phoneticPr fontId="5"/>
  </si>
  <si>
    <t>緑属性のユニットに大ダメージの全体攻撃</t>
    <phoneticPr fontId="5"/>
  </si>
  <si>
    <t>緑属性のユニットに大ダメージの全体攻撃</t>
    <phoneticPr fontId="5"/>
  </si>
  <si>
    <t>平凡な戦いに興味は無いぞ！</t>
    <phoneticPr fontId="5"/>
  </si>
  <si>
    <t>[effect:damage_anti_color, target:unit_all, color:green, val1:1.1, val2:0.25]</t>
  </si>
  <si>
    <t>[effect:damage_anti_color, target:unit_all, color:green, val1:1.1, val2:0.25]</t>
    <phoneticPr fontId="5"/>
  </si>
  <si>
    <t>[effect:virus, turn:-1, rate:1, val:4, animation:enemy_virus]</t>
    <phoneticPr fontId="5"/>
  </si>
  <si>
    <t>[effect:damage_anti_type, target:unit_all, type:balance, val1:1.1, val2:0.25]</t>
    <phoneticPr fontId="5"/>
  </si>
  <si>
    <t>[effect:damage_anti_type, target:unit_all, type:balance, val1:1.1, val2:0.25]</t>
    <phoneticPr fontId="5"/>
  </si>
  <si>
    <t>呂布は緑属性のユニットに対して
キラー攻撃を行います
パーティ編成に注意しましょう</t>
    <phoneticPr fontId="5"/>
  </si>
  <si>
    <t>null</t>
    <phoneticPr fontId="5"/>
  </si>
  <si>
    <t>オマエ！見覚えがあるぞ！</t>
    <phoneticPr fontId="5"/>
  </si>
  <si>
    <t>このスピードについてきてみろ！</t>
    <phoneticPr fontId="5"/>
  </si>
  <si>
    <t>[effect:enemy_message, val1:1.2, val2:2],[effect:rush, count:4, val:0.35]</t>
    <phoneticPr fontId="5"/>
  </si>
  <si>
    <t>[effect:enemy_message, val1:1.4, val2:2],[effect:fix_speed, target:myself, turn:1],[effect:tolerance, target:myself, turn:-1, count:-1, tolerance_effect:all, animation:enemy_tolerance],[effect:change_attribute, target:myself, turn:-1, color:blue, animation:change_attribute_blue]</t>
    <phoneticPr fontId="5"/>
  </si>
  <si>
    <t>[effect:enemy_message, val1:1.2, val2:2],[effect:fix_speed, target:myself, turn:2],[effect:tolerance, target:myself, turn:-1, count:-1, tolerance_effect:all, animation:enemy_tolerance]</t>
    <phoneticPr fontId="5"/>
  </si>
  <si>
    <t>[effect:enemy_message, val1:1.4, val2:2],[effect:fix_speed, target:myself, turn:2],[effect:tolerance, target:myself, turn:-1, count:-1, tolerance_effect:all, animation:enemy_tolerance],[effect:degrade_fever, val:1000, animation:fevergauge_down]</t>
    <phoneticPr fontId="5"/>
  </si>
  <si>
    <t>[effect:enemy_message, val1:1.4, val2:2],[effect:fix_speed, target:myself, turn:1],[effect:tolerance, target:myself, turn:-1, count:-1, tolerance_effect:all, animation:enemy_tolerance],[effect:degrade_fever, val:1000, animation:fevergauge_down]</t>
    <phoneticPr fontId="5"/>
  </si>
  <si>
    <t>[effect:enemy_message, val1:1.4, val2:2],[effect:fix_speed, target:myself, turn:2],[effect:tolerance, target:myself, turn:-1, count:-1, tolerance_effect:all, animation:enemy_tolerance]</t>
    <phoneticPr fontId="5"/>
  </si>
  <si>
    <t>話に聞いた目障りな奴とは…　貴様か</t>
    <phoneticPr fontId="5"/>
  </si>
  <si>
    <t>[effect:enemy_message, val1:1.4, val2:2],[effect:fix_speed, target:myself, turn:1],[effect:tolerance, target:myself, turn:-1, count:-1, tolerance_effect:all, animation:enemy_tolerance],[effect:enhance_enemy, target:myself, turn:-1, status:defense, val:5000, calc:add, animation:enemy_enhance_defense]</t>
    <phoneticPr fontId="5"/>
  </si>
  <si>
    <t>『リョフ！オイラが援護するぜ！！』</t>
    <phoneticPr fontId="5"/>
  </si>
  <si>
    <t>[effect:enemy_message, val1:1.2, val2:2],[effect:fix_speed, target:myself, turn:1],[effect:tolerance, target:myself, turn:-1, count:-1, tolerance_effect:all, animation:enemy_tolerance],[effect:enhance_enemy, target:myself, turn:-1, status:defense, val:5000, calc:add, animation:enemy_enhance_defense]</t>
    <phoneticPr fontId="5"/>
  </si>
  <si>
    <t>[effect:enemy_message, val1:1.2, val2:2],[effect:enhance_enemy, target:myself, turn:-1, status:attack, val:2, calc:mul, animation:enemy_enhance_attack]</t>
    <phoneticPr fontId="5"/>
  </si>
  <si>
    <t>董卓…　これは何の冗談だ？</t>
    <phoneticPr fontId="5"/>
  </si>
  <si>
    <t>[effect:enemy_message, val1:1.2, val2:2.4]</t>
    <phoneticPr fontId="5"/>
  </si>
  <si>
    <t>よもや貴様に足元を掬われるとは…
我の腕も鈍ったという事か…</t>
    <phoneticPr fontId="5"/>
  </si>
  <si>
    <t>[effect:enemy_message, val1:1.2, val2:2.8]</t>
    <phoneticPr fontId="5"/>
  </si>
  <si>
    <t>[effect:enemy_message, val1:1.2, val2:3, dead_type:escape]</t>
    <phoneticPr fontId="5"/>
  </si>
  <si>
    <t>貴様の強さに免じ　此度は手を引こう
いつの日かまた死合おうぞ…！</t>
    <phoneticPr fontId="5"/>
  </si>
  <si>
    <t>お邪魔パネルを2個生成
+赤属性のユニットに大ダメージ
+緑属性のユニットに大ダメージ</t>
    <phoneticPr fontId="5"/>
  </si>
  <si>
    <t>貴様のような小僧に敗けるとはな…　…不覚</t>
    <phoneticPr fontId="5"/>
  </si>
  <si>
    <t>[effect:enemy_message, val1:1.2, val2:2.4],[effect:fix_speed, target:myself, turn:2]</t>
    <phoneticPr fontId="5"/>
  </si>
  <si>
    <t>オイラに追いつけたヤツはなかなか居ないからな！</t>
    <phoneticPr fontId="5"/>
  </si>
  <si>
    <t>くっそー！今に見てろよオマエ！</t>
    <phoneticPr fontId="5"/>
  </si>
  <si>
    <t>[effect:enemy_message, val1:1.4, val2:2.2, dead_type:escape]</t>
    <phoneticPr fontId="5"/>
  </si>
  <si>
    <t>[effect:dis_heart, turn:5, animation:enemy_dis_heart]</t>
    <phoneticPr fontId="5"/>
  </si>
  <si>
    <t>2ターン単体に暗闇+クリティカル！</t>
    <rPh sb="7" eb="9">
      <t>クラヤｍ</t>
    </rPh>
    <phoneticPr fontId="5"/>
  </si>
  <si>
    <t>2ターン単体に暗闇+クリティカル</t>
    <phoneticPr fontId="5"/>
  </si>
  <si>
    <t>[effect:enemy_message, val1:1, val2:3.4],[effect:force_change_block, new_block:jammer, target:block_all, ignore01:crash, ignore02:crack_bomb, ignore03:color_break, ignore04:jammer, ignore05:magnet, count:2, val:0, animation:change_block],[effect:damage_anti_color, target:unit_one, color:red, val1:0.6, val2:0.35],[effect:damage_anti_color, target:unit_one, color:green, val1:1.1, val2:0.35]</t>
    <phoneticPr fontId="5"/>
  </si>
  <si>
    <t>[effect:force_change_block, new_block:jammer, target:block_all, ignore01:crash, ignore02:crack_bomb, ignore03:color_break, ignore04:jammer, ignore05:magnet, count:5, val:0, animation:change_block],[effect:critical, val:0.7]</t>
    <phoneticPr fontId="5"/>
  </si>
  <si>
    <t>[effect:enemy_message, val1:1.2, val2:2],[effect:force_change_block, new_block:damage, target:block_all, ignore01:crash, ignore02:crack_bomb, ignore03:color_break, ignore04:jammer, ignore05:damage, ignore06:magnet, color:block_red, count:6, val:0.09, animation:change_block]</t>
    <phoneticPr fontId="5"/>
  </si>
  <si>
    <t>[effect:enemy_message, val1:1.2, val2:2],[effect:force_change_block, new_block:damage, target:block_all, ignore01:crash, ignore02:crack_bomb, ignore03:color_break, ignore04:jammer, ignore05:damage, ignore06:magnet, color:block_red, count:3, val:0.09, animation:change_block],[effect:critical, val:0.5]</t>
    <phoneticPr fontId="5"/>
  </si>
  <si>
    <t>[effect:force_change_block, new_block:damage, target:block_all, ignore01:crash, ignore02:crack_bomb, ignore03:color_break, ignore04:jammer, ignore05:damage, ignore06:magnet, color:block_green, count:4, val:0.15, animation:change_block]</t>
    <phoneticPr fontId="5"/>
  </si>
  <si>
    <t>[effect:force_change_block, new_block:damage, target:block_all, ignore01:crash, ignore02:crack_bomb, ignore03:color_break, ignore04:jammer, ignore05:damage, ignore06:magnet, color:block_green, count:4, val:0.15, animation:change_block]</t>
    <phoneticPr fontId="5"/>
  </si>
  <si>
    <t>null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</si>
</sst>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08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6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27" fillId="0" borderId="7" xfId="0" applyFont="1" applyBorder="1"/>
    <xf numFmtId="0" fontId="27" fillId="0" borderId="10" xfId="0" applyFont="1" applyBorder="1"/>
    <xf numFmtId="0" fontId="27" fillId="0" borderId="23" xfId="0" applyFont="1" applyBorder="1"/>
    <xf numFmtId="38" fontId="16" fillId="0" borderId="7" xfId="628" applyFont="1" applyFill="1" applyBorder="1" applyAlignment="1">
      <alignment wrapText="1"/>
    </xf>
    <xf numFmtId="0" fontId="13" fillId="7" borderId="0" xfId="0" applyFont="1" applyFill="1" applyAlignment="1">
      <alignment horizontal="left" indent="1"/>
    </xf>
    <xf numFmtId="0" fontId="4" fillId="32" borderId="7" xfId="0" applyFont="1" applyFill="1" applyBorder="1" applyAlignment="1">
      <alignment horizontal="right" vertical="center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39001</v>
          </cell>
        </row>
        <row r="184">
          <cell r="A184">
            <v>39002</v>
          </cell>
        </row>
        <row r="185">
          <cell r="A185">
            <v>39003</v>
          </cell>
        </row>
        <row r="186">
          <cell r="A186">
            <v>39004</v>
          </cell>
        </row>
        <row r="187">
          <cell r="A187">
            <v>39005</v>
          </cell>
        </row>
        <row r="188">
          <cell r="A188">
            <v>39006</v>
          </cell>
        </row>
        <row r="189">
          <cell r="A189">
            <v>39007</v>
          </cell>
        </row>
        <row r="190">
          <cell r="A190">
            <v>39008</v>
          </cell>
        </row>
        <row r="191">
          <cell r="A191">
            <v>39009</v>
          </cell>
        </row>
        <row r="192">
          <cell r="A192">
            <v>39010</v>
          </cell>
        </row>
        <row r="193">
          <cell r="A193">
            <v>39011</v>
          </cell>
        </row>
        <row r="194">
          <cell r="A194">
            <v>39012</v>
          </cell>
        </row>
        <row r="195">
          <cell r="A195">
            <v>39013</v>
          </cell>
        </row>
        <row r="196">
          <cell r="A196">
            <v>39014</v>
          </cell>
        </row>
        <row r="197">
          <cell r="A197">
            <v>40001</v>
          </cell>
        </row>
        <row r="198">
          <cell r="A198">
            <v>40002</v>
          </cell>
        </row>
        <row r="199">
          <cell r="A199">
            <v>40003</v>
          </cell>
        </row>
        <row r="200">
          <cell r="A200">
            <v>40004</v>
          </cell>
        </row>
        <row r="201">
          <cell r="A201">
            <v>40005</v>
          </cell>
        </row>
        <row r="202">
          <cell r="A202">
            <v>40006</v>
          </cell>
        </row>
        <row r="203">
          <cell r="A203">
            <v>40007</v>
          </cell>
        </row>
        <row r="204">
          <cell r="A204">
            <v>40008</v>
          </cell>
        </row>
        <row r="205">
          <cell r="A205">
            <v>40009</v>
          </cell>
        </row>
        <row r="206">
          <cell r="A206">
            <v>40010</v>
          </cell>
        </row>
        <row r="207">
          <cell r="A207">
            <v>40011</v>
          </cell>
        </row>
        <row r="208">
          <cell r="A208">
            <v>40012</v>
          </cell>
        </row>
        <row r="209">
          <cell r="A209">
            <v>40013</v>
          </cell>
        </row>
        <row r="210">
          <cell r="A210">
            <v>40014</v>
          </cell>
        </row>
        <row r="211">
          <cell r="A211">
            <v>40015</v>
          </cell>
        </row>
        <row r="212">
          <cell r="A212">
            <v>40016</v>
          </cell>
        </row>
        <row r="213">
          <cell r="A213">
            <v>40017</v>
          </cell>
        </row>
        <row r="214">
          <cell r="A214">
            <v>40018</v>
          </cell>
        </row>
        <row r="215">
          <cell r="A215">
            <v>40019</v>
          </cell>
        </row>
        <row r="216">
          <cell r="A216">
            <v>40021</v>
          </cell>
        </row>
        <row r="217">
          <cell r="A217">
            <v>40022</v>
          </cell>
        </row>
        <row r="218">
          <cell r="A218">
            <v>40023</v>
          </cell>
        </row>
        <row r="219">
          <cell r="A219">
            <v>40024</v>
          </cell>
        </row>
        <row r="220">
          <cell r="A220">
            <v>40025</v>
          </cell>
        </row>
        <row r="221">
          <cell r="A221">
            <v>40026</v>
          </cell>
        </row>
        <row r="222">
          <cell r="A222">
            <v>40027</v>
          </cell>
        </row>
        <row r="223">
          <cell r="A223">
            <v>40028</v>
          </cell>
        </row>
        <row r="224">
          <cell r="A224">
            <v>40029</v>
          </cell>
        </row>
        <row r="225">
          <cell r="A225">
            <v>40030</v>
          </cell>
        </row>
        <row r="226">
          <cell r="A226">
            <v>40031</v>
          </cell>
        </row>
        <row r="227">
          <cell r="A227">
            <v>40032</v>
          </cell>
        </row>
        <row r="228">
          <cell r="A228">
            <v>40033</v>
          </cell>
        </row>
        <row r="229">
          <cell r="A229">
            <v>40034</v>
          </cell>
        </row>
        <row r="230">
          <cell r="A230">
            <v>40035</v>
          </cell>
        </row>
        <row r="231">
          <cell r="A231">
            <v>40036</v>
          </cell>
        </row>
        <row r="232">
          <cell r="A232">
            <v>40037</v>
          </cell>
        </row>
        <row r="233">
          <cell r="A233">
            <v>40038</v>
          </cell>
        </row>
        <row r="234">
          <cell r="A234">
            <v>40039</v>
          </cell>
        </row>
        <row r="235">
          <cell r="A235">
            <v>40040</v>
          </cell>
        </row>
        <row r="236">
          <cell r="A236">
            <v>40041</v>
          </cell>
        </row>
        <row r="237">
          <cell r="A237">
            <v>40042</v>
          </cell>
        </row>
        <row r="238">
          <cell r="A238">
            <v>40043</v>
          </cell>
        </row>
        <row r="239">
          <cell r="A239">
            <v>40044</v>
          </cell>
        </row>
        <row r="240">
          <cell r="A240">
            <v>40045</v>
          </cell>
        </row>
        <row r="241">
          <cell r="A241">
            <v>40046</v>
          </cell>
        </row>
        <row r="242">
          <cell r="A242">
            <v>48001</v>
          </cell>
        </row>
        <row r="243">
          <cell r="A243">
            <v>48002</v>
          </cell>
        </row>
        <row r="244">
          <cell r="A244">
            <v>48003</v>
          </cell>
        </row>
        <row r="245">
          <cell r="A245">
            <v>48004</v>
          </cell>
        </row>
        <row r="246">
          <cell r="A246">
            <v>48005</v>
          </cell>
        </row>
        <row r="247">
          <cell r="A247">
            <v>48006</v>
          </cell>
        </row>
        <row r="248">
          <cell r="A248">
            <v>48007</v>
          </cell>
        </row>
        <row r="249">
          <cell r="A249">
            <v>48008</v>
          </cell>
        </row>
        <row r="250">
          <cell r="A250">
            <v>48009</v>
          </cell>
        </row>
        <row r="251">
          <cell r="A251">
            <v>48010</v>
          </cell>
        </row>
        <row r="252">
          <cell r="A252">
            <v>48011</v>
          </cell>
        </row>
        <row r="253">
          <cell r="A253">
            <v>48012</v>
          </cell>
        </row>
        <row r="254">
          <cell r="A254">
            <v>48013</v>
          </cell>
        </row>
        <row r="255">
          <cell r="A255">
            <v>48014</v>
          </cell>
        </row>
        <row r="256">
          <cell r="A256">
            <v>48501</v>
          </cell>
        </row>
        <row r="257">
          <cell r="A257">
            <v>48502</v>
          </cell>
        </row>
        <row r="258">
          <cell r="A258">
            <v>48503</v>
          </cell>
        </row>
        <row r="259">
          <cell r="A259">
            <v>48701</v>
          </cell>
        </row>
        <row r="260">
          <cell r="A260">
            <v>48702</v>
          </cell>
        </row>
        <row r="261">
          <cell r="A261">
            <v>41001</v>
          </cell>
        </row>
        <row r="262">
          <cell r="A262">
            <v>41002</v>
          </cell>
        </row>
        <row r="263">
          <cell r="A263">
            <v>41003</v>
          </cell>
        </row>
        <row r="264">
          <cell r="A264">
            <v>41004</v>
          </cell>
        </row>
        <row r="265">
          <cell r="A265">
            <v>41005</v>
          </cell>
        </row>
        <row r="266">
          <cell r="A266">
            <v>41006</v>
          </cell>
        </row>
        <row r="267">
          <cell r="A267">
            <v>41007</v>
          </cell>
        </row>
        <row r="268">
          <cell r="A268">
            <v>41008</v>
          </cell>
        </row>
        <row r="269">
          <cell r="A269">
            <v>41009</v>
          </cell>
        </row>
        <row r="270">
          <cell r="A270">
            <v>41010</v>
          </cell>
        </row>
        <row r="271">
          <cell r="A271">
            <v>41011</v>
          </cell>
        </row>
        <row r="272">
          <cell r="A272">
            <v>41012</v>
          </cell>
        </row>
        <row r="273">
          <cell r="A273">
            <v>41013</v>
          </cell>
        </row>
        <row r="274">
          <cell r="A274">
            <v>41014</v>
          </cell>
        </row>
        <row r="275">
          <cell r="A275">
            <v>41015</v>
          </cell>
        </row>
        <row r="276">
          <cell r="A276">
            <v>47001</v>
          </cell>
        </row>
        <row r="277">
          <cell r="A277">
            <v>47002</v>
          </cell>
        </row>
        <row r="278">
          <cell r="A278">
            <v>47003</v>
          </cell>
        </row>
        <row r="279">
          <cell r="A279">
            <v>47004</v>
          </cell>
        </row>
        <row r="280">
          <cell r="A280">
            <v>47005</v>
          </cell>
        </row>
        <row r="281">
          <cell r="A281">
            <v>47006</v>
          </cell>
        </row>
        <row r="282">
          <cell r="A282">
            <v>47007</v>
          </cell>
        </row>
        <row r="283">
          <cell r="A283">
            <v>47008</v>
          </cell>
        </row>
        <row r="284">
          <cell r="A284">
            <v>47009</v>
          </cell>
        </row>
        <row r="285">
          <cell r="A285">
            <v>47010</v>
          </cell>
        </row>
        <row r="286">
          <cell r="A286">
            <v>47011</v>
          </cell>
        </row>
        <row r="287">
          <cell r="A287">
            <v>47012</v>
          </cell>
        </row>
        <row r="288">
          <cell r="A288">
            <v>47013</v>
          </cell>
        </row>
        <row r="289">
          <cell r="A289">
            <v>49001</v>
          </cell>
        </row>
        <row r="290">
          <cell r="A290">
            <v>49002</v>
          </cell>
        </row>
        <row r="291">
          <cell r="A291">
            <v>49003</v>
          </cell>
        </row>
        <row r="292">
          <cell r="A292">
            <v>49004</v>
          </cell>
        </row>
        <row r="293">
          <cell r="A293">
            <v>49005</v>
          </cell>
        </row>
        <row r="294">
          <cell r="A294">
            <v>49006</v>
          </cell>
        </row>
        <row r="295">
          <cell r="A295">
            <v>49007</v>
          </cell>
        </row>
        <row r="296">
          <cell r="A296">
            <v>49008</v>
          </cell>
        </row>
        <row r="297">
          <cell r="A297">
            <v>49009</v>
          </cell>
        </row>
        <row r="298">
          <cell r="A298">
            <v>49010</v>
          </cell>
        </row>
        <row r="299">
          <cell r="A299">
            <v>49011</v>
          </cell>
        </row>
        <row r="300">
          <cell r="A300">
            <v>49012</v>
          </cell>
        </row>
        <row r="301">
          <cell r="A301">
            <v>49013</v>
          </cell>
        </row>
        <row r="302">
          <cell r="A302">
            <v>49014</v>
          </cell>
        </row>
        <row r="303">
          <cell r="A303">
            <v>49015</v>
          </cell>
        </row>
        <row r="304">
          <cell r="A304">
            <v>49016</v>
          </cell>
        </row>
        <row r="305">
          <cell r="A305">
            <v>50001</v>
          </cell>
        </row>
        <row r="306">
          <cell r="A306">
            <v>50002</v>
          </cell>
        </row>
        <row r="307">
          <cell r="A307">
            <v>50003</v>
          </cell>
        </row>
        <row r="308">
          <cell r="A308">
            <v>50004</v>
          </cell>
        </row>
        <row r="309">
          <cell r="A309">
            <v>50005</v>
          </cell>
        </row>
        <row r="310">
          <cell r="A310">
            <v>50006</v>
          </cell>
        </row>
        <row r="311">
          <cell r="A311">
            <v>50007</v>
          </cell>
        </row>
        <row r="312">
          <cell r="A312">
            <v>50008</v>
          </cell>
        </row>
        <row r="313">
          <cell r="A313">
            <v>50009</v>
          </cell>
        </row>
        <row r="314">
          <cell r="A314">
            <v>50010</v>
          </cell>
        </row>
        <row r="315">
          <cell r="A315">
            <v>50011</v>
          </cell>
        </row>
        <row r="316">
          <cell r="A316">
            <v>50012</v>
          </cell>
        </row>
        <row r="317">
          <cell r="A317">
            <v>50013</v>
          </cell>
        </row>
        <row r="318">
          <cell r="A318">
            <v>50014</v>
          </cell>
        </row>
        <row r="319">
          <cell r="A319">
            <v>50015</v>
          </cell>
        </row>
        <row r="320">
          <cell r="A320">
            <v>50016</v>
          </cell>
        </row>
        <row r="321">
          <cell r="A321">
            <v>51001</v>
          </cell>
        </row>
        <row r="322">
          <cell r="A322">
            <v>51002</v>
          </cell>
        </row>
        <row r="323">
          <cell r="A323">
            <v>58001</v>
          </cell>
        </row>
        <row r="324">
          <cell r="A324">
            <v>58002</v>
          </cell>
        </row>
        <row r="325">
          <cell r="A325">
            <v>59001</v>
          </cell>
        </row>
        <row r="326">
          <cell r="A326">
            <v>59002</v>
          </cell>
        </row>
        <row r="327">
          <cell r="A327">
            <v>59003</v>
          </cell>
        </row>
        <row r="328">
          <cell r="A328">
            <v>60001</v>
          </cell>
        </row>
        <row r="329">
          <cell r="A329">
            <v>60002</v>
          </cell>
        </row>
        <row r="330">
          <cell r="A330">
            <v>60003</v>
          </cell>
        </row>
        <row r="331">
          <cell r="A331">
            <v>60004</v>
          </cell>
        </row>
        <row r="332">
          <cell r="A332">
            <v>60005</v>
          </cell>
        </row>
        <row r="333">
          <cell r="A333">
            <v>60006</v>
          </cell>
        </row>
        <row r="334">
          <cell r="A334">
            <v>60007</v>
          </cell>
        </row>
        <row r="335">
          <cell r="A335">
            <v>60010</v>
          </cell>
        </row>
        <row r="336">
          <cell r="A336">
            <v>60011</v>
          </cell>
        </row>
        <row r="337">
          <cell r="A337">
            <v>61011</v>
          </cell>
        </row>
        <row r="338">
          <cell r="A338">
            <v>60012</v>
          </cell>
        </row>
        <row r="339">
          <cell r="A339">
            <v>60013</v>
          </cell>
        </row>
        <row r="340">
          <cell r="A340">
            <v>60014</v>
          </cell>
        </row>
        <row r="341">
          <cell r="A341">
            <v>60015</v>
          </cell>
        </row>
        <row r="342">
          <cell r="A342">
            <v>60016</v>
          </cell>
        </row>
        <row r="343">
          <cell r="A343">
            <v>60017</v>
          </cell>
        </row>
        <row r="344">
          <cell r="A344">
            <v>60018</v>
          </cell>
        </row>
        <row r="345">
          <cell r="A345">
            <v>60019</v>
          </cell>
        </row>
        <row r="346">
          <cell r="A346">
            <v>60020</v>
          </cell>
        </row>
        <row r="347">
          <cell r="A347">
            <v>60025</v>
          </cell>
        </row>
        <row r="348">
          <cell r="A348">
            <v>60026</v>
          </cell>
        </row>
        <row r="349">
          <cell r="A349">
            <v>60027</v>
          </cell>
        </row>
        <row r="350">
          <cell r="A350">
            <v>60028</v>
          </cell>
        </row>
        <row r="351">
          <cell r="A351">
            <v>60029</v>
          </cell>
        </row>
        <row r="352">
          <cell r="A352">
            <v>60030</v>
          </cell>
        </row>
        <row r="353">
          <cell r="A353">
            <v>60031</v>
          </cell>
        </row>
        <row r="354">
          <cell r="A354">
            <v>65523</v>
          </cell>
        </row>
        <row r="355">
          <cell r="A355">
            <v>65524</v>
          </cell>
        </row>
        <row r="356">
          <cell r="A356">
            <v>65525</v>
          </cell>
        </row>
        <row r="357">
          <cell r="A357">
            <v>65526</v>
          </cell>
        </row>
        <row r="358">
          <cell r="A358">
            <v>65527</v>
          </cell>
        </row>
        <row r="359">
          <cell r="A359">
            <v>65528</v>
          </cell>
        </row>
        <row r="360">
          <cell r="A360">
            <v>65529</v>
          </cell>
        </row>
        <row r="361">
          <cell r="A361">
            <v>65530</v>
          </cell>
        </row>
        <row r="362">
          <cell r="A362">
            <v>65531</v>
          </cell>
        </row>
        <row r="363">
          <cell r="A363">
            <v>65532</v>
          </cell>
        </row>
        <row r="364">
          <cell r="A364">
            <v>65533</v>
          </cell>
        </row>
        <row r="365">
          <cell r="A365">
            <v>65534</v>
          </cell>
        </row>
        <row r="366">
          <cell r="A366">
            <v>65535</v>
          </cell>
        </row>
        <row r="367">
          <cell r="A367">
            <v>60021</v>
          </cell>
        </row>
        <row r="368">
          <cell r="A368">
            <v>60022</v>
          </cell>
        </row>
        <row r="369">
          <cell r="A369">
            <v>60023</v>
          </cell>
        </row>
        <row r="370">
          <cell r="A370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39001_1</v>
          </cell>
        </row>
        <row r="668">
          <cell r="A668" t="str">
            <v>39001_2</v>
          </cell>
        </row>
        <row r="669">
          <cell r="A669" t="str">
            <v>39001_3</v>
          </cell>
        </row>
        <row r="670">
          <cell r="A670" t="str">
            <v>39001_4</v>
          </cell>
        </row>
        <row r="671">
          <cell r="A671" t="str">
            <v>39001_5</v>
          </cell>
        </row>
        <row r="672">
          <cell r="A672" t="str">
            <v>39002_1</v>
          </cell>
        </row>
        <row r="673">
          <cell r="A673" t="str">
            <v>39002_2</v>
          </cell>
        </row>
        <row r="674">
          <cell r="A674" t="str">
            <v>39002_3</v>
          </cell>
        </row>
        <row r="675">
          <cell r="A675" t="str">
            <v>39002_4</v>
          </cell>
        </row>
        <row r="676">
          <cell r="A676" t="str">
            <v>39003_1</v>
          </cell>
        </row>
        <row r="677">
          <cell r="A677" t="str">
            <v>39003_2</v>
          </cell>
        </row>
        <row r="678">
          <cell r="A678" t="str">
            <v>39003_3</v>
          </cell>
        </row>
        <row r="679">
          <cell r="A679" t="str">
            <v>39003_4</v>
          </cell>
        </row>
        <row r="680">
          <cell r="A680" t="str">
            <v>39004_1</v>
          </cell>
        </row>
        <row r="681">
          <cell r="A681" t="str">
            <v>39004_2</v>
          </cell>
        </row>
        <row r="682">
          <cell r="A682" t="str">
            <v>39004_3</v>
          </cell>
        </row>
        <row r="683">
          <cell r="A683" t="str">
            <v>39004_4</v>
          </cell>
        </row>
        <row r="684">
          <cell r="A684" t="str">
            <v>39005_1</v>
          </cell>
        </row>
        <row r="685">
          <cell r="A685" t="str">
            <v>39005_2</v>
          </cell>
        </row>
        <row r="686">
          <cell r="A686" t="str">
            <v>39005_3</v>
          </cell>
        </row>
        <row r="687">
          <cell r="A687" t="str">
            <v>39005_4</v>
          </cell>
        </row>
        <row r="688">
          <cell r="A688" t="str">
            <v>39005_5</v>
          </cell>
        </row>
        <row r="689">
          <cell r="A689" t="str">
            <v>39006_1</v>
          </cell>
        </row>
        <row r="690">
          <cell r="A690" t="str">
            <v>39006_2</v>
          </cell>
        </row>
        <row r="691">
          <cell r="A691" t="str">
            <v>39006_3</v>
          </cell>
        </row>
        <row r="692">
          <cell r="A692" t="str">
            <v>39006_4</v>
          </cell>
        </row>
        <row r="693">
          <cell r="A693" t="str">
            <v>39007_1</v>
          </cell>
        </row>
        <row r="694">
          <cell r="A694" t="str">
            <v>39007_2</v>
          </cell>
        </row>
        <row r="695">
          <cell r="A695" t="str">
            <v>39007_3</v>
          </cell>
        </row>
        <row r="696">
          <cell r="A696" t="str">
            <v>39007_4</v>
          </cell>
        </row>
        <row r="697">
          <cell r="A697" t="str">
            <v>39008_1</v>
          </cell>
        </row>
        <row r="698">
          <cell r="A698" t="str">
            <v>39008_2</v>
          </cell>
        </row>
        <row r="699">
          <cell r="A699" t="str">
            <v>39008_3</v>
          </cell>
        </row>
        <row r="700">
          <cell r="A700" t="str">
            <v>39008_4</v>
          </cell>
        </row>
        <row r="701">
          <cell r="A701" t="str">
            <v>39008_5</v>
          </cell>
        </row>
        <row r="702">
          <cell r="A702" t="str">
            <v>39009_1</v>
          </cell>
        </row>
        <row r="703">
          <cell r="A703" t="str">
            <v>39009_2</v>
          </cell>
        </row>
        <row r="704">
          <cell r="A704" t="str">
            <v>39009_3</v>
          </cell>
        </row>
        <row r="705">
          <cell r="A705" t="str">
            <v>39009_4</v>
          </cell>
        </row>
        <row r="706">
          <cell r="A706" t="str">
            <v>39009_5</v>
          </cell>
        </row>
        <row r="707">
          <cell r="A707" t="str">
            <v>39010_1</v>
          </cell>
        </row>
        <row r="708">
          <cell r="A708" t="str">
            <v>39010_2</v>
          </cell>
        </row>
        <row r="709">
          <cell r="A709" t="str">
            <v>39010_3</v>
          </cell>
        </row>
        <row r="710">
          <cell r="A710" t="str">
            <v>39010_4</v>
          </cell>
        </row>
        <row r="711">
          <cell r="A711" t="str">
            <v>39011_1</v>
          </cell>
        </row>
        <row r="712">
          <cell r="A712" t="str">
            <v>39011_2</v>
          </cell>
        </row>
        <row r="713">
          <cell r="A713" t="str">
            <v>39011_3</v>
          </cell>
        </row>
        <row r="714">
          <cell r="A714" t="str">
            <v>39011_4</v>
          </cell>
        </row>
        <row r="715">
          <cell r="A715" t="str">
            <v>39012_1</v>
          </cell>
        </row>
        <row r="716">
          <cell r="A716" t="str">
            <v>39012_2</v>
          </cell>
        </row>
        <row r="717">
          <cell r="A717" t="str">
            <v>39012_3</v>
          </cell>
        </row>
        <row r="718">
          <cell r="A718" t="str">
            <v>39012_4</v>
          </cell>
        </row>
        <row r="719">
          <cell r="A719" t="str">
            <v>39012_5</v>
          </cell>
        </row>
        <row r="720">
          <cell r="A720" t="str">
            <v>39013_1</v>
          </cell>
        </row>
        <row r="721">
          <cell r="A721" t="str">
            <v>39013_2</v>
          </cell>
        </row>
        <row r="722">
          <cell r="A722" t="str">
            <v>39013_3</v>
          </cell>
        </row>
        <row r="723">
          <cell r="A723" t="str">
            <v>39013_4</v>
          </cell>
        </row>
        <row r="724">
          <cell r="A724" t="str">
            <v>39014_1</v>
          </cell>
        </row>
        <row r="725">
          <cell r="A725" t="str">
            <v>40001_1</v>
          </cell>
        </row>
        <row r="726">
          <cell r="A726" t="str">
            <v>40002_1</v>
          </cell>
        </row>
        <row r="727">
          <cell r="A727" t="str">
            <v>40002_2</v>
          </cell>
        </row>
        <row r="728">
          <cell r="A728" t="str">
            <v>40002_3</v>
          </cell>
        </row>
        <row r="729">
          <cell r="A729" t="str">
            <v>40003_1</v>
          </cell>
        </row>
        <row r="730">
          <cell r="A730" t="str">
            <v>40004_1</v>
          </cell>
        </row>
        <row r="731">
          <cell r="A731" t="str">
            <v>40005_1</v>
          </cell>
        </row>
        <row r="732">
          <cell r="A732" t="str">
            <v>40006_1</v>
          </cell>
        </row>
        <row r="733">
          <cell r="A733" t="str">
            <v>40007_1</v>
          </cell>
        </row>
        <row r="734">
          <cell r="A734" t="str">
            <v>40008_1</v>
          </cell>
        </row>
        <row r="735">
          <cell r="A735" t="str">
            <v>40009_1</v>
          </cell>
        </row>
        <row r="736">
          <cell r="A736" t="str">
            <v>40010_1</v>
          </cell>
        </row>
        <row r="737">
          <cell r="A737" t="str">
            <v>40011_1</v>
          </cell>
        </row>
        <row r="738">
          <cell r="A738" t="str">
            <v>40012_1</v>
          </cell>
        </row>
        <row r="739">
          <cell r="A739" t="str">
            <v>40013_1</v>
          </cell>
        </row>
        <row r="740">
          <cell r="A740" t="str">
            <v>40014_1</v>
          </cell>
        </row>
        <row r="741">
          <cell r="A741" t="str">
            <v>40015_1</v>
          </cell>
        </row>
        <row r="742">
          <cell r="A742" t="str">
            <v>40016_1</v>
          </cell>
        </row>
        <row r="743">
          <cell r="A743" t="str">
            <v>40016_2</v>
          </cell>
        </row>
        <row r="744">
          <cell r="A744" t="str">
            <v>40017_1</v>
          </cell>
        </row>
        <row r="745">
          <cell r="A745" t="str">
            <v>40017_2</v>
          </cell>
        </row>
        <row r="746">
          <cell r="A746" t="str">
            <v>40017_3</v>
          </cell>
        </row>
        <row r="747">
          <cell r="A747" t="str">
            <v>40018_1</v>
          </cell>
        </row>
        <row r="748">
          <cell r="A748" t="str">
            <v>40018_2</v>
          </cell>
        </row>
        <row r="749">
          <cell r="A749" t="str">
            <v>40018_3</v>
          </cell>
        </row>
        <row r="750">
          <cell r="A750" t="str">
            <v>40019_1</v>
          </cell>
        </row>
        <row r="751">
          <cell r="A751" t="str">
            <v>40019_2</v>
          </cell>
        </row>
        <row r="752">
          <cell r="A752" t="str">
            <v>40019_3</v>
          </cell>
        </row>
        <row r="753">
          <cell r="A753" t="str">
            <v>40021_1</v>
          </cell>
        </row>
        <row r="754">
          <cell r="A754" t="str">
            <v>40021_2</v>
          </cell>
        </row>
        <row r="755">
          <cell r="A755" t="str">
            <v>40022_1</v>
          </cell>
        </row>
        <row r="756">
          <cell r="A756" t="str">
            <v>40022_2</v>
          </cell>
        </row>
        <row r="757">
          <cell r="A757" t="str">
            <v>40023_1</v>
          </cell>
        </row>
        <row r="758">
          <cell r="A758" t="str">
            <v>40023_2</v>
          </cell>
        </row>
        <row r="759">
          <cell r="A759" t="str">
            <v>40024_1</v>
          </cell>
        </row>
        <row r="760">
          <cell r="A760" t="str">
            <v>40024_2</v>
          </cell>
        </row>
        <row r="761">
          <cell r="A761" t="str">
            <v>40025_1</v>
          </cell>
        </row>
        <row r="762">
          <cell r="A762" t="str">
            <v>40025_2</v>
          </cell>
        </row>
        <row r="763">
          <cell r="A763" t="str">
            <v>40026_1</v>
          </cell>
        </row>
        <row r="764">
          <cell r="A764" t="str">
            <v>40026_2</v>
          </cell>
        </row>
        <row r="765">
          <cell r="A765" t="str">
            <v>40027_1</v>
          </cell>
        </row>
        <row r="766">
          <cell r="A766" t="str">
            <v>40027_2</v>
          </cell>
        </row>
        <row r="767">
          <cell r="A767" t="str">
            <v>40028_1</v>
          </cell>
        </row>
        <row r="768">
          <cell r="A768" t="str">
            <v>40028_2</v>
          </cell>
        </row>
        <row r="769">
          <cell r="A769" t="str">
            <v>40029_1</v>
          </cell>
        </row>
        <row r="770">
          <cell r="A770" t="str">
            <v>40029_2</v>
          </cell>
        </row>
        <row r="771">
          <cell r="A771" t="str">
            <v>40030_1</v>
          </cell>
        </row>
        <row r="772">
          <cell r="A772" t="str">
            <v>40030_2</v>
          </cell>
        </row>
        <row r="773">
          <cell r="A773" t="str">
            <v>40031_1</v>
          </cell>
        </row>
        <row r="774">
          <cell r="A774" t="str">
            <v>40031_2</v>
          </cell>
        </row>
        <row r="775">
          <cell r="A775" t="str">
            <v>40032_1</v>
          </cell>
        </row>
        <row r="776">
          <cell r="A776" t="str">
            <v>40032_2</v>
          </cell>
        </row>
        <row r="777">
          <cell r="A777" t="str">
            <v>40033_1</v>
          </cell>
        </row>
        <row r="778">
          <cell r="A778" t="str">
            <v>40033_2</v>
          </cell>
        </row>
        <row r="779">
          <cell r="A779" t="str">
            <v>40034_1</v>
          </cell>
        </row>
        <row r="780">
          <cell r="A780" t="str">
            <v>40034_2</v>
          </cell>
        </row>
        <row r="781">
          <cell r="A781" t="str">
            <v>40035_1</v>
          </cell>
        </row>
        <row r="782">
          <cell r="A782" t="str">
            <v>40035_2</v>
          </cell>
        </row>
        <row r="783">
          <cell r="A783" t="str">
            <v>40036_1</v>
          </cell>
        </row>
        <row r="784">
          <cell r="A784" t="str">
            <v>40036_2</v>
          </cell>
        </row>
        <row r="785">
          <cell r="A785" t="str">
            <v>40037_1</v>
          </cell>
        </row>
        <row r="786">
          <cell r="A786" t="str">
            <v>40037_2</v>
          </cell>
        </row>
        <row r="787">
          <cell r="A787" t="str">
            <v>40038_1</v>
          </cell>
        </row>
        <row r="788">
          <cell r="A788" t="str">
            <v>40038_2</v>
          </cell>
        </row>
        <row r="789">
          <cell r="A789" t="str">
            <v>40039_1</v>
          </cell>
        </row>
        <row r="790">
          <cell r="A790" t="str">
            <v>40039_2</v>
          </cell>
        </row>
        <row r="791">
          <cell r="A791" t="str">
            <v>40040_1</v>
          </cell>
        </row>
        <row r="792">
          <cell r="A792" t="str">
            <v>40040_2</v>
          </cell>
        </row>
        <row r="793">
          <cell r="A793" t="str">
            <v>40041_1</v>
          </cell>
        </row>
        <row r="794">
          <cell r="A794" t="str">
            <v>40041_2</v>
          </cell>
        </row>
        <row r="795">
          <cell r="A795" t="str">
            <v>40042_1</v>
          </cell>
        </row>
        <row r="796">
          <cell r="A796" t="str">
            <v>40042_2</v>
          </cell>
        </row>
        <row r="797">
          <cell r="A797" t="str">
            <v>40043_1</v>
          </cell>
        </row>
        <row r="798">
          <cell r="A798" t="str">
            <v>40043_2</v>
          </cell>
        </row>
        <row r="799">
          <cell r="A799" t="str">
            <v>40044_1</v>
          </cell>
        </row>
        <row r="800">
          <cell r="A800" t="str">
            <v>40044_2</v>
          </cell>
        </row>
        <row r="801">
          <cell r="A801" t="str">
            <v>40045_1</v>
          </cell>
        </row>
        <row r="802">
          <cell r="A802" t="str">
            <v>40045_2</v>
          </cell>
        </row>
        <row r="803">
          <cell r="A803" t="str">
            <v>40046_1</v>
          </cell>
        </row>
        <row r="804">
          <cell r="A804" t="str">
            <v>40046_2</v>
          </cell>
        </row>
        <row r="805">
          <cell r="A805" t="str">
            <v>41001_1</v>
          </cell>
        </row>
        <row r="806">
          <cell r="A806" t="str">
            <v>41001_2</v>
          </cell>
        </row>
        <row r="807">
          <cell r="A807" t="str">
            <v>41001_3</v>
          </cell>
        </row>
        <row r="808">
          <cell r="A808" t="str">
            <v>41002_1</v>
          </cell>
        </row>
        <row r="809">
          <cell r="A809" t="str">
            <v>41002_2</v>
          </cell>
        </row>
        <row r="810">
          <cell r="A810" t="str">
            <v>41002_3</v>
          </cell>
        </row>
        <row r="811">
          <cell r="A811" t="str">
            <v>41003_1</v>
          </cell>
        </row>
        <row r="812">
          <cell r="A812" t="str">
            <v>41003_2</v>
          </cell>
        </row>
        <row r="813">
          <cell r="A813" t="str">
            <v>41003_3</v>
          </cell>
        </row>
        <row r="814">
          <cell r="A814" t="str">
            <v>41004_1</v>
          </cell>
        </row>
        <row r="815">
          <cell r="A815" t="str">
            <v>41004_2</v>
          </cell>
        </row>
        <row r="816">
          <cell r="A816" t="str">
            <v>41004_3</v>
          </cell>
        </row>
        <row r="817">
          <cell r="A817" t="str">
            <v>41005_1</v>
          </cell>
        </row>
        <row r="818">
          <cell r="A818" t="str">
            <v>41005_2</v>
          </cell>
        </row>
        <row r="819">
          <cell r="A819" t="str">
            <v>41005_3</v>
          </cell>
        </row>
        <row r="820">
          <cell r="A820" t="str">
            <v>41006_1</v>
          </cell>
        </row>
        <row r="821">
          <cell r="A821" t="str">
            <v>41006_2</v>
          </cell>
        </row>
        <row r="822">
          <cell r="A822" t="str">
            <v>41006_3</v>
          </cell>
        </row>
        <row r="823">
          <cell r="A823" t="str">
            <v>41007_1</v>
          </cell>
        </row>
        <row r="824">
          <cell r="A824" t="str">
            <v>41007_2</v>
          </cell>
        </row>
        <row r="825">
          <cell r="A825" t="str">
            <v>41007_3</v>
          </cell>
        </row>
        <row r="826">
          <cell r="A826" t="str">
            <v>41008_1</v>
          </cell>
        </row>
        <row r="827">
          <cell r="A827" t="str">
            <v>41008_2</v>
          </cell>
        </row>
        <row r="828">
          <cell r="A828" t="str">
            <v>41008_3</v>
          </cell>
        </row>
        <row r="829">
          <cell r="A829" t="str">
            <v>41009_1</v>
          </cell>
        </row>
        <row r="830">
          <cell r="A830" t="str">
            <v>41009_2</v>
          </cell>
        </row>
        <row r="831">
          <cell r="A831" t="str">
            <v>41009_3</v>
          </cell>
        </row>
        <row r="832">
          <cell r="A832" t="str">
            <v>41010_1</v>
          </cell>
        </row>
        <row r="833">
          <cell r="A833" t="str">
            <v>41010_2</v>
          </cell>
        </row>
        <row r="834">
          <cell r="A834" t="str">
            <v>41010_3</v>
          </cell>
        </row>
        <row r="835">
          <cell r="A835" t="str">
            <v>41011_1</v>
          </cell>
        </row>
        <row r="836">
          <cell r="A836" t="str">
            <v>41011_2</v>
          </cell>
        </row>
        <row r="837">
          <cell r="A837" t="str">
            <v>41012_1</v>
          </cell>
        </row>
        <row r="838">
          <cell r="A838" t="str">
            <v>41012_2</v>
          </cell>
        </row>
        <row r="839">
          <cell r="A839" t="str">
            <v>41013_1</v>
          </cell>
        </row>
        <row r="840">
          <cell r="A840" t="str">
            <v>41013_2</v>
          </cell>
        </row>
        <row r="841">
          <cell r="A841" t="str">
            <v>41014_1</v>
          </cell>
        </row>
        <row r="842">
          <cell r="A842" t="str">
            <v>41014_2</v>
          </cell>
        </row>
        <row r="843">
          <cell r="A843" t="str">
            <v>41015_1</v>
          </cell>
        </row>
        <row r="844">
          <cell r="A844" t="str">
            <v>41015_2</v>
          </cell>
        </row>
        <row r="845">
          <cell r="A845" t="str">
            <v>47001_1</v>
          </cell>
        </row>
        <row r="846">
          <cell r="A846" t="str">
            <v>47001_2</v>
          </cell>
        </row>
        <row r="847">
          <cell r="A847" t="str">
            <v>47002_1</v>
          </cell>
        </row>
        <row r="848">
          <cell r="A848" t="str">
            <v>47002_2</v>
          </cell>
        </row>
        <row r="849">
          <cell r="A849" t="str">
            <v>47003_1</v>
          </cell>
        </row>
        <row r="850">
          <cell r="A850" t="str">
            <v>47003_2</v>
          </cell>
        </row>
        <row r="851">
          <cell r="A851" t="str">
            <v>47003_3</v>
          </cell>
        </row>
        <row r="852">
          <cell r="A852" t="str">
            <v>47003_4</v>
          </cell>
        </row>
        <row r="853">
          <cell r="A853" t="str">
            <v>47004_1</v>
          </cell>
        </row>
        <row r="854">
          <cell r="A854" t="str">
            <v>47004_2</v>
          </cell>
        </row>
        <row r="855">
          <cell r="A855" t="str">
            <v>47004_3</v>
          </cell>
        </row>
        <row r="856">
          <cell r="A856" t="str">
            <v>47004_4</v>
          </cell>
        </row>
        <row r="857">
          <cell r="A857" t="str">
            <v>47005_1</v>
          </cell>
        </row>
        <row r="858">
          <cell r="A858" t="str">
            <v>47006_1</v>
          </cell>
        </row>
        <row r="859">
          <cell r="A859" t="str">
            <v>47006_2</v>
          </cell>
        </row>
        <row r="860">
          <cell r="A860" t="str">
            <v>47007_1</v>
          </cell>
        </row>
        <row r="861">
          <cell r="A861" t="str">
            <v>47007_2</v>
          </cell>
        </row>
        <row r="862">
          <cell r="A862" t="str">
            <v>47008_1</v>
          </cell>
        </row>
        <row r="863">
          <cell r="A863" t="str">
            <v>47008_2</v>
          </cell>
        </row>
        <row r="864">
          <cell r="A864" t="str">
            <v>47009_1</v>
          </cell>
        </row>
        <row r="865">
          <cell r="A865" t="str">
            <v>47009_2</v>
          </cell>
        </row>
        <row r="866">
          <cell r="A866" t="str">
            <v>47010_1</v>
          </cell>
        </row>
        <row r="867">
          <cell r="A867" t="str">
            <v>47010_2</v>
          </cell>
        </row>
        <row r="868">
          <cell r="A868" t="str">
            <v>47011_1</v>
          </cell>
        </row>
        <row r="869">
          <cell r="A869" t="str">
            <v>47012_1</v>
          </cell>
        </row>
        <row r="870">
          <cell r="A870" t="str">
            <v>47012_2</v>
          </cell>
        </row>
        <row r="871">
          <cell r="A871" t="str">
            <v>47013_1</v>
          </cell>
        </row>
        <row r="872">
          <cell r="A872" t="str">
            <v>47013_2</v>
          </cell>
        </row>
        <row r="873">
          <cell r="A873" t="str">
            <v>47013_3</v>
          </cell>
        </row>
        <row r="874">
          <cell r="A874" t="str">
            <v>47013_4</v>
          </cell>
        </row>
        <row r="875">
          <cell r="A875" t="str">
            <v>48001_1</v>
          </cell>
        </row>
        <row r="876">
          <cell r="A876" t="str">
            <v>48002_1</v>
          </cell>
        </row>
        <row r="877">
          <cell r="A877" t="str">
            <v>48002_2</v>
          </cell>
        </row>
        <row r="878">
          <cell r="A878" t="str">
            <v>48002_3</v>
          </cell>
        </row>
        <row r="879">
          <cell r="A879" t="str">
            <v>48003_1</v>
          </cell>
        </row>
        <row r="880">
          <cell r="A880" t="str">
            <v>48003_2</v>
          </cell>
        </row>
        <row r="881">
          <cell r="A881" t="str">
            <v>48004_1</v>
          </cell>
        </row>
        <row r="882">
          <cell r="A882" t="str">
            <v>48004_2</v>
          </cell>
        </row>
        <row r="883">
          <cell r="A883" t="str">
            <v>48005_1</v>
          </cell>
        </row>
        <row r="884">
          <cell r="A884" t="str">
            <v>48005_2</v>
          </cell>
        </row>
        <row r="885">
          <cell r="A885" t="str">
            <v>48006_1</v>
          </cell>
        </row>
        <row r="886">
          <cell r="A886" t="str">
            <v>48006_2</v>
          </cell>
        </row>
        <row r="887">
          <cell r="A887" t="str">
            <v>48007_1</v>
          </cell>
        </row>
        <row r="888">
          <cell r="A888" t="str">
            <v>48007_2</v>
          </cell>
        </row>
        <row r="889">
          <cell r="A889" t="str">
            <v>48008_1</v>
          </cell>
        </row>
        <row r="890">
          <cell r="A890" t="str">
            <v>48008_2</v>
          </cell>
        </row>
        <row r="891">
          <cell r="A891" t="str">
            <v>48009_1</v>
          </cell>
        </row>
        <row r="892">
          <cell r="A892" t="str">
            <v>48009_2</v>
          </cell>
        </row>
        <row r="893">
          <cell r="A893" t="str">
            <v>48010_1</v>
          </cell>
        </row>
        <row r="894">
          <cell r="A894" t="str">
            <v>48011_1</v>
          </cell>
        </row>
        <row r="895">
          <cell r="A895" t="str">
            <v>48011_2</v>
          </cell>
        </row>
        <row r="896">
          <cell r="A896" t="str">
            <v>48012_1</v>
          </cell>
        </row>
        <row r="897">
          <cell r="A897" t="str">
            <v>48012_2</v>
          </cell>
        </row>
        <row r="898">
          <cell r="A898" t="str">
            <v>48013_1</v>
          </cell>
        </row>
        <row r="899">
          <cell r="A899" t="str">
            <v>48013_2</v>
          </cell>
        </row>
        <row r="900">
          <cell r="A900" t="str">
            <v>48014_1</v>
          </cell>
        </row>
        <row r="901">
          <cell r="A901" t="str">
            <v>48014_2</v>
          </cell>
        </row>
        <row r="902">
          <cell r="A902" t="str">
            <v>48501_1</v>
          </cell>
        </row>
        <row r="903">
          <cell r="A903" t="str">
            <v>48501_2</v>
          </cell>
        </row>
        <row r="904">
          <cell r="A904" t="str">
            <v>48502_1</v>
          </cell>
        </row>
        <row r="905">
          <cell r="A905" t="str">
            <v>48502_2</v>
          </cell>
        </row>
        <row r="906">
          <cell r="A906" t="str">
            <v>48503_1</v>
          </cell>
        </row>
        <row r="907">
          <cell r="A907" t="str">
            <v>48503_2</v>
          </cell>
        </row>
        <row r="908">
          <cell r="A908" t="str">
            <v>48701_1</v>
          </cell>
        </row>
        <row r="909">
          <cell r="A909" t="str">
            <v>48701_2</v>
          </cell>
        </row>
        <row r="910">
          <cell r="A910" t="str">
            <v>48702_1</v>
          </cell>
        </row>
        <row r="911">
          <cell r="A911" t="str">
            <v>48702_2</v>
          </cell>
        </row>
        <row r="912">
          <cell r="A912" t="str">
            <v>49001_1</v>
          </cell>
        </row>
        <row r="913">
          <cell r="A913" t="str">
            <v>49002_1</v>
          </cell>
        </row>
        <row r="914">
          <cell r="A914" t="str">
            <v>49002_2</v>
          </cell>
        </row>
        <row r="915">
          <cell r="A915" t="str">
            <v>49003_1</v>
          </cell>
        </row>
        <row r="916">
          <cell r="A916" t="str">
            <v>49003_2</v>
          </cell>
        </row>
        <row r="917">
          <cell r="A917" t="str">
            <v>49004_1</v>
          </cell>
        </row>
        <row r="918">
          <cell r="A918" t="str">
            <v>49004_2</v>
          </cell>
        </row>
        <row r="919">
          <cell r="A919" t="str">
            <v>49004_3</v>
          </cell>
        </row>
        <row r="920">
          <cell r="A920" t="str">
            <v>49005_1</v>
          </cell>
        </row>
        <row r="921">
          <cell r="A921" t="str">
            <v>49006_1</v>
          </cell>
        </row>
        <row r="922">
          <cell r="A922" t="str">
            <v>49006_2</v>
          </cell>
        </row>
        <row r="923">
          <cell r="A923" t="str">
            <v>49007_1</v>
          </cell>
        </row>
        <row r="924">
          <cell r="A924" t="str">
            <v>49007_2</v>
          </cell>
        </row>
        <row r="925">
          <cell r="A925" t="str">
            <v>49007_3</v>
          </cell>
        </row>
        <row r="926">
          <cell r="A926" t="str">
            <v>49008_1</v>
          </cell>
        </row>
        <row r="927">
          <cell r="A927" t="str">
            <v>49009_1</v>
          </cell>
        </row>
        <row r="928">
          <cell r="A928" t="str">
            <v>49010_1</v>
          </cell>
        </row>
        <row r="929">
          <cell r="A929" t="str">
            <v>49011_1</v>
          </cell>
        </row>
        <row r="930">
          <cell r="A930" t="str">
            <v>49012_1</v>
          </cell>
        </row>
        <row r="931">
          <cell r="A931" t="str">
            <v>49013_1</v>
          </cell>
        </row>
        <row r="932">
          <cell r="A932" t="str">
            <v>49014_1</v>
          </cell>
        </row>
        <row r="933">
          <cell r="A933" t="str">
            <v>49014_2</v>
          </cell>
        </row>
        <row r="934">
          <cell r="A934" t="str">
            <v>49015_1</v>
          </cell>
        </row>
        <row r="935">
          <cell r="A935" t="str">
            <v>49015_2</v>
          </cell>
        </row>
        <row r="936">
          <cell r="A936" t="str">
            <v>49015_3</v>
          </cell>
        </row>
        <row r="937">
          <cell r="A937" t="str">
            <v>49016_1</v>
          </cell>
        </row>
        <row r="938">
          <cell r="A938" t="str">
            <v>49016_2</v>
          </cell>
        </row>
        <row r="939">
          <cell r="A939" t="str">
            <v>50001_1</v>
          </cell>
        </row>
        <row r="940">
          <cell r="A940" t="str">
            <v>50002_1</v>
          </cell>
        </row>
        <row r="941">
          <cell r="A941" t="str">
            <v>50003_1</v>
          </cell>
        </row>
        <row r="942">
          <cell r="A942" t="str">
            <v>50004_1</v>
          </cell>
        </row>
        <row r="943">
          <cell r="A943" t="str">
            <v>50005_1</v>
          </cell>
        </row>
        <row r="944">
          <cell r="A944" t="str">
            <v>50006_1</v>
          </cell>
        </row>
        <row r="945">
          <cell r="A945" t="str">
            <v>50007_1</v>
          </cell>
        </row>
        <row r="946">
          <cell r="A946" t="str">
            <v>50008_1</v>
          </cell>
        </row>
        <row r="947">
          <cell r="A947" t="str">
            <v>50009_1</v>
          </cell>
        </row>
        <row r="948">
          <cell r="A948" t="str">
            <v>50010_1</v>
          </cell>
        </row>
        <row r="949">
          <cell r="A949" t="str">
            <v>50011_1</v>
          </cell>
        </row>
        <row r="950">
          <cell r="A950" t="str">
            <v>50012_1</v>
          </cell>
        </row>
        <row r="951">
          <cell r="A951" t="str">
            <v>50013_1</v>
          </cell>
        </row>
        <row r="952">
          <cell r="A952" t="str">
            <v>50014_1</v>
          </cell>
        </row>
        <row r="953">
          <cell r="A953" t="str">
            <v>50015_1</v>
          </cell>
        </row>
        <row r="954">
          <cell r="A954" t="str">
            <v>50016_1</v>
          </cell>
        </row>
        <row r="955">
          <cell r="A955" t="str">
            <v>51001_1</v>
          </cell>
        </row>
        <row r="956">
          <cell r="A956" t="str">
            <v>51002_1</v>
          </cell>
        </row>
        <row r="957">
          <cell r="A957" t="str">
            <v>58001_1</v>
          </cell>
        </row>
        <row r="958">
          <cell r="A958" t="str">
            <v>58002_1</v>
          </cell>
        </row>
        <row r="959">
          <cell r="A959" t="str">
            <v>59001_1</v>
          </cell>
        </row>
        <row r="960">
          <cell r="A960" t="str">
            <v>59002_1</v>
          </cell>
        </row>
        <row r="961">
          <cell r="A961" t="str">
            <v>59003_1</v>
          </cell>
        </row>
        <row r="962">
          <cell r="A962" t="str">
            <v>59003_2</v>
          </cell>
        </row>
        <row r="963">
          <cell r="A963" t="str">
            <v>60001_1</v>
          </cell>
        </row>
        <row r="964">
          <cell r="A964" t="str">
            <v>60002_1</v>
          </cell>
        </row>
        <row r="965">
          <cell r="A965" t="str">
            <v>60002_2</v>
          </cell>
        </row>
        <row r="966">
          <cell r="A966" t="str">
            <v>60003_1</v>
          </cell>
        </row>
        <row r="967">
          <cell r="A967" t="str">
            <v>60003_2</v>
          </cell>
        </row>
        <row r="968">
          <cell r="A968" t="str">
            <v>60003_3</v>
          </cell>
        </row>
        <row r="969">
          <cell r="A969" t="str">
            <v>60004_1</v>
          </cell>
        </row>
        <row r="970">
          <cell r="A970" t="str">
            <v>60005_1</v>
          </cell>
        </row>
        <row r="971">
          <cell r="A971" t="str">
            <v>60006_1</v>
          </cell>
        </row>
        <row r="972">
          <cell r="A972" t="str">
            <v>60006_2</v>
          </cell>
        </row>
        <row r="973">
          <cell r="A973" t="str">
            <v>60006_3</v>
          </cell>
        </row>
        <row r="974">
          <cell r="A974" t="str">
            <v>60007_1</v>
          </cell>
        </row>
        <row r="975">
          <cell r="A975" t="str">
            <v>60007_2</v>
          </cell>
        </row>
        <row r="976">
          <cell r="A976" t="str">
            <v>60007_3</v>
          </cell>
        </row>
        <row r="977">
          <cell r="A977" t="str">
            <v>60010_1</v>
          </cell>
        </row>
        <row r="978">
          <cell r="A978" t="str">
            <v>60011_1</v>
          </cell>
        </row>
        <row r="979">
          <cell r="A979" t="str">
            <v>60011_2</v>
          </cell>
        </row>
        <row r="980">
          <cell r="A980" t="str">
            <v>60012_1</v>
          </cell>
        </row>
        <row r="981">
          <cell r="A981" t="str">
            <v>60013_1</v>
          </cell>
        </row>
        <row r="982">
          <cell r="A982" t="str">
            <v>60013_2</v>
          </cell>
        </row>
        <row r="983">
          <cell r="A983" t="str">
            <v>60013_3</v>
          </cell>
        </row>
        <row r="984">
          <cell r="A984" t="str">
            <v>60014_1</v>
          </cell>
        </row>
        <row r="985">
          <cell r="A985" t="str">
            <v>60015_1</v>
          </cell>
        </row>
        <row r="986">
          <cell r="A986" t="str">
            <v>60016_1</v>
          </cell>
        </row>
        <row r="987">
          <cell r="A987" t="str">
            <v>60017_1</v>
          </cell>
        </row>
        <row r="988">
          <cell r="A988" t="str">
            <v>60018_1</v>
          </cell>
        </row>
        <row r="989">
          <cell r="A989" t="str">
            <v>60019_1</v>
          </cell>
        </row>
        <row r="990">
          <cell r="A990" t="str">
            <v>60020_1</v>
          </cell>
        </row>
        <row r="991">
          <cell r="A991" t="str">
            <v>60021_3</v>
          </cell>
        </row>
        <row r="992">
          <cell r="A992" t="str">
            <v>60022_3</v>
          </cell>
        </row>
        <row r="993">
          <cell r="A993" t="str">
            <v>60023_3</v>
          </cell>
        </row>
        <row r="994">
          <cell r="A994" t="str">
            <v>60024_3</v>
          </cell>
        </row>
        <row r="995">
          <cell r="A995" t="str">
            <v>60025_1</v>
          </cell>
        </row>
        <row r="996">
          <cell r="A996" t="str">
            <v>60026_1</v>
          </cell>
        </row>
        <row r="997">
          <cell r="A997" t="str">
            <v>61011_1</v>
          </cell>
        </row>
        <row r="998">
          <cell r="A998" t="str">
            <v>60027_1</v>
          </cell>
        </row>
        <row r="999">
          <cell r="A999" t="str">
            <v>60028_1</v>
          </cell>
        </row>
        <row r="1000">
          <cell r="A1000" t="str">
            <v>60029_1</v>
          </cell>
        </row>
        <row r="1001">
          <cell r="A1001" t="str">
            <v>60030_1</v>
          </cell>
        </row>
        <row r="1002">
          <cell r="A1002" t="str">
            <v>60031_1</v>
          </cell>
        </row>
        <row r="1003">
          <cell r="A1003" t="str">
            <v>65523_1</v>
          </cell>
        </row>
        <row r="1004">
          <cell r="A1004" t="str">
            <v>65523_2</v>
          </cell>
        </row>
        <row r="1005">
          <cell r="A1005" t="str">
            <v>65523_3</v>
          </cell>
        </row>
        <row r="1006">
          <cell r="A1006" t="str">
            <v>65524_1</v>
          </cell>
        </row>
        <row r="1007">
          <cell r="A1007" t="str">
            <v>65524_2</v>
          </cell>
        </row>
        <row r="1008">
          <cell r="A1008" t="str">
            <v>65525_1</v>
          </cell>
        </row>
        <row r="1009">
          <cell r="A1009" t="str">
            <v>65526_1</v>
          </cell>
        </row>
        <row r="1010">
          <cell r="A1010" t="str">
            <v>65526_2</v>
          </cell>
        </row>
        <row r="1011">
          <cell r="A1011" t="str">
            <v>65527_1</v>
          </cell>
        </row>
        <row r="1012">
          <cell r="A1012" t="str">
            <v>65528_1</v>
          </cell>
        </row>
        <row r="1013">
          <cell r="A1013" t="str">
            <v>65529_1</v>
          </cell>
        </row>
        <row r="1014">
          <cell r="A1014" t="str">
            <v>65530_1</v>
          </cell>
        </row>
        <row r="1015">
          <cell r="A1015" t="str">
            <v>65531_1</v>
          </cell>
        </row>
        <row r="1016">
          <cell r="A1016" t="str">
            <v>65531_2</v>
          </cell>
        </row>
        <row r="1017">
          <cell r="A1017" t="str">
            <v>65532_1</v>
          </cell>
        </row>
        <row r="1018">
          <cell r="A1018" t="str">
            <v>65532_2</v>
          </cell>
        </row>
        <row r="1019">
          <cell r="A1019" t="str">
            <v>65533_1</v>
          </cell>
        </row>
        <row r="1020">
          <cell r="A1020" t="str">
            <v>65533_2</v>
          </cell>
        </row>
        <row r="1021">
          <cell r="A1021" t="str">
            <v>65534_1</v>
          </cell>
        </row>
        <row r="1022">
          <cell r="A1022" t="str">
            <v>65534_2</v>
          </cell>
        </row>
        <row r="1023">
          <cell r="A1023" t="str">
            <v>65535_1</v>
          </cell>
        </row>
        <row r="1024">
          <cell r="A1024" t="str">
            <v>65535_2</v>
          </cell>
        </row>
        <row r="1025">
          <cell r="A1025" t="str">
            <v>65535_3</v>
          </cell>
        </row>
        <row r="1026">
          <cell r="A1026" t="str">
            <v>65535_4</v>
          </cell>
        </row>
        <row r="1027">
          <cell r="A1027" t="str">
            <v>65535_5</v>
          </cell>
        </row>
        <row r="1028">
          <cell r="A1028" t="str">
            <v>65535_6</v>
          </cell>
        </row>
        <row r="1029">
          <cell r="A1029" t="str">
            <v>65535_7</v>
          </cell>
        </row>
        <row r="1030">
          <cell r="A1030" t="str">
            <v>65535_8</v>
          </cell>
        </row>
        <row r="1031">
          <cell r="A1031" t="str">
            <v>65535_9</v>
          </cell>
        </row>
        <row r="1032">
          <cell r="A1032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1373</v>
          </cell>
        </row>
        <row r="1337">
          <cell r="A1337">
            <v>1374</v>
          </cell>
        </row>
        <row r="1338">
          <cell r="A1338">
            <v>1375</v>
          </cell>
        </row>
        <row r="1339">
          <cell r="A1339">
            <v>1376</v>
          </cell>
        </row>
        <row r="1340">
          <cell r="A1340">
            <v>1379</v>
          </cell>
        </row>
        <row r="1341">
          <cell r="A1341">
            <v>1380</v>
          </cell>
        </row>
        <row r="1342">
          <cell r="A1342">
            <v>1405</v>
          </cell>
        </row>
        <row r="1343">
          <cell r="A1343">
            <v>1407</v>
          </cell>
        </row>
        <row r="1344">
          <cell r="A1344">
            <v>1408</v>
          </cell>
        </row>
        <row r="1345">
          <cell r="A1345">
            <v>1409</v>
          </cell>
        </row>
        <row r="1346">
          <cell r="A1346">
            <v>1410</v>
          </cell>
        </row>
        <row r="1347">
          <cell r="A1347">
            <v>1431</v>
          </cell>
        </row>
        <row r="1348">
          <cell r="A1348">
            <v>1432</v>
          </cell>
        </row>
        <row r="1349">
          <cell r="A1349">
            <v>1436</v>
          </cell>
        </row>
        <row r="1350">
          <cell r="A1350">
            <v>1437</v>
          </cell>
        </row>
        <row r="1351">
          <cell r="A1351">
            <v>1438</v>
          </cell>
        </row>
        <row r="1352">
          <cell r="A1352">
            <v>1439</v>
          </cell>
        </row>
        <row r="1353">
          <cell r="A1353">
            <v>1440</v>
          </cell>
        </row>
        <row r="1354">
          <cell r="A1354">
            <v>1441</v>
          </cell>
        </row>
        <row r="1355">
          <cell r="A1355">
            <v>1442</v>
          </cell>
        </row>
        <row r="1356">
          <cell r="A1356">
            <v>1443</v>
          </cell>
        </row>
        <row r="1357">
          <cell r="A1357">
            <v>1444</v>
          </cell>
        </row>
        <row r="1358">
          <cell r="A1358">
            <v>1445</v>
          </cell>
        </row>
        <row r="1359">
          <cell r="A1359">
            <v>1446</v>
          </cell>
        </row>
        <row r="1360">
          <cell r="A1360">
            <v>1447</v>
          </cell>
        </row>
        <row r="1361">
          <cell r="A1361">
            <v>1448</v>
          </cell>
        </row>
        <row r="1362">
          <cell r="A1362">
            <v>1449</v>
          </cell>
        </row>
        <row r="1363">
          <cell r="A1363">
            <v>1450</v>
          </cell>
        </row>
        <row r="1364">
          <cell r="A1364">
            <v>1451</v>
          </cell>
        </row>
        <row r="1365">
          <cell r="A1365">
            <v>1466</v>
          </cell>
        </row>
        <row r="1366">
          <cell r="A1366">
            <v>1467</v>
          </cell>
        </row>
        <row r="1367">
          <cell r="A1367">
            <v>1468</v>
          </cell>
        </row>
        <row r="1368">
          <cell r="A1368">
            <v>1469</v>
          </cell>
        </row>
        <row r="1369">
          <cell r="A1369">
            <v>1470</v>
          </cell>
        </row>
        <row r="1370">
          <cell r="A1370">
            <v>1471</v>
          </cell>
        </row>
        <row r="1371">
          <cell r="A1371">
            <v>1495</v>
          </cell>
        </row>
        <row r="1372">
          <cell r="A1372">
            <v>1496</v>
          </cell>
        </row>
        <row r="1373">
          <cell r="A1373">
            <v>1497</v>
          </cell>
        </row>
        <row r="1374">
          <cell r="A1374">
            <v>1498</v>
          </cell>
        </row>
        <row r="1375">
          <cell r="A1375">
            <v>1499</v>
          </cell>
        </row>
        <row r="1376">
          <cell r="A1376">
            <v>1500</v>
          </cell>
        </row>
        <row r="1377">
          <cell r="A1377">
            <v>1501</v>
          </cell>
        </row>
        <row r="1378">
          <cell r="A1378">
            <v>1502</v>
          </cell>
        </row>
        <row r="1379">
          <cell r="A1379">
            <v>1503</v>
          </cell>
        </row>
        <row r="1380">
          <cell r="A1380">
            <v>1504</v>
          </cell>
        </row>
        <row r="1381">
          <cell r="A1381">
            <v>1505</v>
          </cell>
        </row>
        <row r="1382">
          <cell r="A1382">
            <v>1506</v>
          </cell>
        </row>
        <row r="1383">
          <cell r="A1383">
            <v>1507</v>
          </cell>
        </row>
        <row r="1384">
          <cell r="A1384">
            <v>1508</v>
          </cell>
        </row>
        <row r="1385">
          <cell r="A1385">
            <v>1509</v>
          </cell>
        </row>
        <row r="1386">
          <cell r="A1386">
            <v>1510</v>
          </cell>
        </row>
        <row r="1387">
          <cell r="A1387">
            <v>1511</v>
          </cell>
        </row>
        <row r="1388">
          <cell r="A1388">
            <v>1512</v>
          </cell>
        </row>
        <row r="1389">
          <cell r="A1389">
            <v>1523</v>
          </cell>
        </row>
        <row r="1390">
          <cell r="A1390">
            <v>1524</v>
          </cell>
        </row>
        <row r="1391">
          <cell r="A1391">
            <v>1525</v>
          </cell>
        </row>
        <row r="1392">
          <cell r="A1392">
            <v>1526</v>
          </cell>
        </row>
        <row r="1393">
          <cell r="A1393">
            <v>1551</v>
          </cell>
        </row>
        <row r="1394">
          <cell r="A1394">
            <v>1552</v>
          </cell>
        </row>
        <row r="1395">
          <cell r="A1395">
            <v>1553</v>
          </cell>
        </row>
        <row r="1396">
          <cell r="A1396">
            <v>1554</v>
          </cell>
        </row>
        <row r="1397">
          <cell r="A1397">
            <v>1555</v>
          </cell>
        </row>
        <row r="1398">
          <cell r="A1398">
            <v>1556</v>
          </cell>
        </row>
        <row r="1399">
          <cell r="A1399">
            <v>1557</v>
          </cell>
        </row>
        <row r="1400">
          <cell r="A1400">
            <v>1558</v>
          </cell>
        </row>
        <row r="1401">
          <cell r="A1401">
            <v>1559</v>
          </cell>
        </row>
        <row r="1402">
          <cell r="A1402">
            <v>1560</v>
          </cell>
        </row>
        <row r="1403">
          <cell r="A1403">
            <v>1561</v>
          </cell>
        </row>
        <row r="1404">
          <cell r="A1404">
            <v>1562</v>
          </cell>
        </row>
        <row r="1405">
          <cell r="A1405">
            <v>1563</v>
          </cell>
        </row>
        <row r="1406">
          <cell r="A1406">
            <v>1564</v>
          </cell>
        </row>
        <row r="1407">
          <cell r="A1407">
            <v>1565</v>
          </cell>
        </row>
        <row r="1408">
          <cell r="A1408">
            <v>1566</v>
          </cell>
        </row>
        <row r="1409">
          <cell r="A1409">
            <v>1567</v>
          </cell>
        </row>
        <row r="1410">
          <cell r="A1410">
            <v>1568</v>
          </cell>
        </row>
        <row r="1411">
          <cell r="A1411">
            <v>1569</v>
          </cell>
        </row>
        <row r="1412">
          <cell r="A1412">
            <v>1570</v>
          </cell>
        </row>
        <row r="1413">
          <cell r="A1413">
            <v>1571</v>
          </cell>
        </row>
        <row r="1414">
          <cell r="A1414">
            <v>1572</v>
          </cell>
        </row>
        <row r="1415">
          <cell r="A1415">
            <v>1573</v>
          </cell>
        </row>
        <row r="1416">
          <cell r="A1416">
            <v>1574</v>
          </cell>
        </row>
        <row r="1417">
          <cell r="A1417">
            <v>1575</v>
          </cell>
        </row>
        <row r="1418">
          <cell r="A1418">
            <v>1576</v>
          </cell>
        </row>
        <row r="1419">
          <cell r="A1419">
            <v>1577</v>
          </cell>
        </row>
        <row r="1420">
          <cell r="A1420">
            <v>1578</v>
          </cell>
        </row>
        <row r="1421">
          <cell r="A1421">
            <v>1579</v>
          </cell>
        </row>
        <row r="1422">
          <cell r="A1422">
            <v>1580</v>
          </cell>
        </row>
        <row r="1423">
          <cell r="A1423">
            <v>1581</v>
          </cell>
        </row>
        <row r="1424">
          <cell r="A1424">
            <v>1582</v>
          </cell>
        </row>
        <row r="1425">
          <cell r="A1425">
            <v>1583</v>
          </cell>
        </row>
        <row r="1426">
          <cell r="A1426">
            <v>1584</v>
          </cell>
        </row>
        <row r="1427">
          <cell r="A1427">
            <v>1585</v>
          </cell>
        </row>
        <row r="1428">
          <cell r="A1428">
            <v>1586</v>
          </cell>
        </row>
        <row r="1429">
          <cell r="A1429">
            <v>1587</v>
          </cell>
        </row>
        <row r="1430">
          <cell r="A1430">
            <v>1588</v>
          </cell>
        </row>
        <row r="1431">
          <cell r="A1431">
            <v>5001</v>
          </cell>
        </row>
        <row r="1432">
          <cell r="A1432">
            <v>5002</v>
          </cell>
        </row>
        <row r="1433">
          <cell r="A1433">
            <v>5003</v>
          </cell>
        </row>
        <row r="1434">
          <cell r="A1434">
            <v>5004</v>
          </cell>
        </row>
        <row r="1435">
          <cell r="A1435">
            <v>5005</v>
          </cell>
        </row>
        <row r="1436">
          <cell r="A1436">
            <v>5006</v>
          </cell>
        </row>
        <row r="1437">
          <cell r="A1437">
            <v>5007</v>
          </cell>
        </row>
        <row r="1438">
          <cell r="A1438">
            <v>5008</v>
          </cell>
        </row>
        <row r="1439">
          <cell r="A1439">
            <v>6001</v>
          </cell>
        </row>
        <row r="1440">
          <cell r="A1440">
            <v>6002</v>
          </cell>
        </row>
        <row r="1441">
          <cell r="A1441">
            <v>6003</v>
          </cell>
        </row>
        <row r="1442">
          <cell r="A1442">
            <v>6004</v>
          </cell>
        </row>
        <row r="1443">
          <cell r="A1443">
            <v>6005</v>
          </cell>
        </row>
        <row r="1444">
          <cell r="A1444">
            <v>6006</v>
          </cell>
        </row>
        <row r="1445">
          <cell r="A1445">
            <v>6007</v>
          </cell>
        </row>
        <row r="1446">
          <cell r="A1446">
            <v>6008</v>
          </cell>
        </row>
        <row r="1447">
          <cell r="A1447">
            <v>6009</v>
          </cell>
        </row>
        <row r="1448">
          <cell r="A1448">
            <v>6010</v>
          </cell>
        </row>
        <row r="1449">
          <cell r="A1449">
            <v>6011</v>
          </cell>
        </row>
        <row r="1450">
          <cell r="A1450">
            <v>6012</v>
          </cell>
        </row>
        <row r="1451">
          <cell r="A1451">
            <v>6013</v>
          </cell>
        </row>
        <row r="1452">
          <cell r="A1452">
            <v>6014</v>
          </cell>
        </row>
        <row r="1453">
          <cell r="A1453">
            <v>6015</v>
          </cell>
        </row>
        <row r="1454">
          <cell r="A1454">
            <v>6016</v>
          </cell>
        </row>
        <row r="1455">
          <cell r="A1455">
            <v>6017</v>
          </cell>
        </row>
        <row r="1456">
          <cell r="A1456">
            <v>6018</v>
          </cell>
        </row>
        <row r="1457">
          <cell r="A1457">
            <v>6019</v>
          </cell>
        </row>
        <row r="1458">
          <cell r="A1458">
            <v>6020</v>
          </cell>
        </row>
        <row r="1459">
          <cell r="A1459">
            <v>8001</v>
          </cell>
        </row>
        <row r="1460">
          <cell r="A1460">
            <v>8002</v>
          </cell>
        </row>
        <row r="1461">
          <cell r="A1461">
            <v>8003</v>
          </cell>
        </row>
        <row r="1462">
          <cell r="A1462">
            <v>8004</v>
          </cell>
        </row>
        <row r="1463">
          <cell r="A1463">
            <v>8005</v>
          </cell>
        </row>
        <row r="1464">
          <cell r="A1464">
            <v>8006</v>
          </cell>
        </row>
        <row r="1465">
          <cell r="A1465">
            <v>8007</v>
          </cell>
        </row>
        <row r="1466">
          <cell r="A1466">
            <v>8008</v>
          </cell>
        </row>
        <row r="1467">
          <cell r="A1467">
            <v>8009</v>
          </cell>
        </row>
        <row r="1468">
          <cell r="A1468">
            <v>8010</v>
          </cell>
        </row>
        <row r="1469">
          <cell r="A1469">
            <v>8011</v>
          </cell>
        </row>
        <row r="1470">
          <cell r="A1470">
            <v>8012</v>
          </cell>
        </row>
        <row r="1471">
          <cell r="A1471">
            <v>8013</v>
          </cell>
        </row>
        <row r="1472">
          <cell r="A1472">
            <v>8014</v>
          </cell>
        </row>
        <row r="1473">
          <cell r="A1473">
            <v>8015</v>
          </cell>
        </row>
        <row r="1474">
          <cell r="A1474">
            <v>8016</v>
          </cell>
        </row>
        <row r="1475">
          <cell r="A1475">
            <v>8017</v>
          </cell>
        </row>
        <row r="1476">
          <cell r="A1476">
            <v>8018</v>
          </cell>
        </row>
        <row r="1477">
          <cell r="A1477">
            <v>8019</v>
          </cell>
        </row>
        <row r="1478">
          <cell r="A1478">
            <v>8020</v>
          </cell>
        </row>
        <row r="1479">
          <cell r="A1479">
            <v>8021</v>
          </cell>
        </row>
        <row r="1480">
          <cell r="A1480">
            <v>8022</v>
          </cell>
        </row>
        <row r="1481">
          <cell r="A1481">
            <v>8023</v>
          </cell>
        </row>
        <row r="1482">
          <cell r="A1482">
            <v>8024</v>
          </cell>
        </row>
        <row r="1483">
          <cell r="A1483">
            <v>8025</v>
          </cell>
        </row>
        <row r="1484">
          <cell r="A1484">
            <v>8026</v>
          </cell>
        </row>
        <row r="1485">
          <cell r="A1485">
            <v>8027</v>
          </cell>
        </row>
        <row r="1486">
          <cell r="A1486">
            <v>8028</v>
          </cell>
        </row>
        <row r="1487">
          <cell r="A1487">
            <v>8029</v>
          </cell>
        </row>
        <row r="1488">
          <cell r="A1488">
            <v>8030</v>
          </cell>
        </row>
        <row r="1489">
          <cell r="A1489">
            <v>8031</v>
          </cell>
        </row>
        <row r="1490">
          <cell r="A1490">
            <v>8032</v>
          </cell>
        </row>
        <row r="1491">
          <cell r="A1491">
            <v>8033</v>
          </cell>
        </row>
        <row r="1492">
          <cell r="A1492">
            <v>8034</v>
          </cell>
        </row>
        <row r="1493">
          <cell r="A1493">
            <v>8035</v>
          </cell>
        </row>
        <row r="1494">
          <cell r="A1494">
            <v>8036</v>
          </cell>
        </row>
        <row r="1495">
          <cell r="A1495">
            <v>8037</v>
          </cell>
        </row>
        <row r="1496">
          <cell r="A1496">
            <v>8038</v>
          </cell>
        </row>
        <row r="1497">
          <cell r="A1497">
            <v>8039</v>
          </cell>
        </row>
        <row r="1498">
          <cell r="A1498">
            <v>8040</v>
          </cell>
        </row>
        <row r="1499">
          <cell r="A1499">
            <v>8041</v>
          </cell>
        </row>
        <row r="1500">
          <cell r="A1500">
            <v>8042</v>
          </cell>
        </row>
        <row r="1501">
          <cell r="A1501">
            <v>8043</v>
          </cell>
        </row>
        <row r="1502">
          <cell r="A1502">
            <v>8044</v>
          </cell>
        </row>
        <row r="1503">
          <cell r="A1503">
            <v>8045</v>
          </cell>
        </row>
        <row r="1504">
          <cell r="A1504">
            <v>8046</v>
          </cell>
        </row>
        <row r="1505">
          <cell r="A1505">
            <v>8047</v>
          </cell>
        </row>
        <row r="1506">
          <cell r="A1506">
            <v>8048</v>
          </cell>
        </row>
        <row r="1507">
          <cell r="A1507">
            <v>8049</v>
          </cell>
        </row>
        <row r="1508">
          <cell r="A1508">
            <v>8050</v>
          </cell>
        </row>
        <row r="1509">
          <cell r="A1509">
            <v>8051</v>
          </cell>
        </row>
        <row r="1510">
          <cell r="A1510">
            <v>8052</v>
          </cell>
        </row>
        <row r="1511">
          <cell r="A1511">
            <v>8053</v>
          </cell>
        </row>
        <row r="1512">
          <cell r="A1512">
            <v>8054</v>
          </cell>
        </row>
        <row r="1513">
          <cell r="A1513">
            <v>8055</v>
          </cell>
        </row>
        <row r="1514">
          <cell r="A1514">
            <v>8056</v>
          </cell>
        </row>
        <row r="1515">
          <cell r="A1515">
            <v>8057</v>
          </cell>
        </row>
        <row r="1516">
          <cell r="A1516">
            <v>8058</v>
          </cell>
        </row>
        <row r="1517">
          <cell r="A1517">
            <v>8059</v>
          </cell>
        </row>
        <row r="1518">
          <cell r="A1518">
            <v>8060</v>
          </cell>
        </row>
        <row r="1519">
          <cell r="A1519">
            <v>8061</v>
          </cell>
        </row>
        <row r="1520">
          <cell r="A1520">
            <v>8062</v>
          </cell>
        </row>
        <row r="1521">
          <cell r="A1521">
            <v>8063</v>
          </cell>
        </row>
        <row r="1522">
          <cell r="A1522">
            <v>8064</v>
          </cell>
        </row>
        <row r="1523">
          <cell r="A1523">
            <v>8065</v>
          </cell>
        </row>
        <row r="1524">
          <cell r="A1524">
            <v>8066</v>
          </cell>
        </row>
        <row r="1525">
          <cell r="A1525">
            <v>8067</v>
          </cell>
        </row>
        <row r="1526">
          <cell r="A1526">
            <v>8068</v>
          </cell>
        </row>
        <row r="1527">
          <cell r="A1527">
            <v>8069</v>
          </cell>
        </row>
        <row r="1528">
          <cell r="A1528">
            <v>8070</v>
          </cell>
        </row>
        <row r="1529">
          <cell r="A1529">
            <v>8071</v>
          </cell>
        </row>
        <row r="1530">
          <cell r="A1530">
            <v>8072</v>
          </cell>
        </row>
        <row r="1531">
          <cell r="A1531">
            <v>8073</v>
          </cell>
        </row>
        <row r="1532">
          <cell r="A1532">
            <v>8074</v>
          </cell>
        </row>
        <row r="1533">
          <cell r="A1533">
            <v>8077</v>
          </cell>
        </row>
        <row r="1534">
          <cell r="A1534">
            <v>8078</v>
          </cell>
        </row>
        <row r="1535">
          <cell r="A1535">
            <v>8079</v>
          </cell>
        </row>
        <row r="1536">
          <cell r="A1536">
            <v>8080</v>
          </cell>
        </row>
        <row r="1537">
          <cell r="A1537">
            <v>8081</v>
          </cell>
        </row>
        <row r="1538">
          <cell r="A1538">
            <v>8082</v>
          </cell>
        </row>
        <row r="1539">
          <cell r="A1539">
            <v>8083</v>
          </cell>
        </row>
        <row r="1540">
          <cell r="A1540">
            <v>8084</v>
          </cell>
        </row>
        <row r="1541">
          <cell r="A1541">
            <v>8085</v>
          </cell>
        </row>
        <row r="1542">
          <cell r="A1542">
            <v>8086</v>
          </cell>
        </row>
        <row r="1543">
          <cell r="A1543">
            <v>8087</v>
          </cell>
        </row>
        <row r="1544">
          <cell r="A1544">
            <v>8088</v>
          </cell>
        </row>
        <row r="1545">
          <cell r="A1545">
            <v>8089</v>
          </cell>
        </row>
        <row r="1546">
          <cell r="A1546">
            <v>8090</v>
          </cell>
        </row>
        <row r="1547">
          <cell r="A1547">
            <v>8095</v>
          </cell>
        </row>
        <row r="1548">
          <cell r="A1548">
            <v>8096</v>
          </cell>
        </row>
        <row r="1549">
          <cell r="A1549">
            <v>8097</v>
          </cell>
        </row>
        <row r="1550">
          <cell r="A1550">
            <v>8098</v>
          </cell>
        </row>
        <row r="1551">
          <cell r="A1551">
            <v>8099</v>
          </cell>
        </row>
        <row r="1552">
          <cell r="A1552">
            <v>8100</v>
          </cell>
        </row>
        <row r="1553">
          <cell r="A1553">
            <v>8101</v>
          </cell>
        </row>
        <row r="1554">
          <cell r="A1554">
            <v>8102</v>
          </cell>
        </row>
        <row r="1555">
          <cell r="A1555">
            <v>8103</v>
          </cell>
        </row>
        <row r="1556">
          <cell r="A1556">
            <v>8104</v>
          </cell>
        </row>
        <row r="1557">
          <cell r="A1557">
            <v>8105</v>
          </cell>
        </row>
        <row r="1558">
          <cell r="A1558">
            <v>8106</v>
          </cell>
        </row>
        <row r="1559">
          <cell r="A1559">
            <v>8111</v>
          </cell>
        </row>
        <row r="1560">
          <cell r="A1560">
            <v>8112</v>
          </cell>
        </row>
        <row r="1561">
          <cell r="A1561">
            <v>8113</v>
          </cell>
        </row>
        <row r="1562">
          <cell r="A1562">
            <v>8114</v>
          </cell>
        </row>
        <row r="1563">
          <cell r="A1563">
            <v>8115</v>
          </cell>
        </row>
        <row r="1564">
          <cell r="A1564">
            <v>8116</v>
          </cell>
        </row>
        <row r="1565">
          <cell r="A1565">
            <v>8117</v>
          </cell>
        </row>
        <row r="1566">
          <cell r="A1566">
            <v>8118</v>
          </cell>
        </row>
        <row r="1567">
          <cell r="A1567">
            <v>8119</v>
          </cell>
        </row>
        <row r="1568">
          <cell r="A1568">
            <v>8120</v>
          </cell>
        </row>
        <row r="1569">
          <cell r="A1569">
            <v>8121</v>
          </cell>
        </row>
        <row r="1570">
          <cell r="A1570">
            <v>8122</v>
          </cell>
        </row>
        <row r="1571">
          <cell r="A1571">
            <v>9001</v>
          </cell>
        </row>
        <row r="1572">
          <cell r="A1572">
            <v>9002</v>
          </cell>
        </row>
        <row r="1573">
          <cell r="A1573">
            <v>9003</v>
          </cell>
        </row>
        <row r="1574">
          <cell r="A1574">
            <v>9004</v>
          </cell>
        </row>
        <row r="1575">
          <cell r="A1575">
            <v>9005</v>
          </cell>
        </row>
        <row r="1576">
          <cell r="A1576">
            <v>9006</v>
          </cell>
        </row>
        <row r="1577">
          <cell r="A1577">
            <v>9007</v>
          </cell>
        </row>
        <row r="1578">
          <cell r="A1578">
            <v>9008</v>
          </cell>
        </row>
        <row r="1579">
          <cell r="A1579">
            <v>10101</v>
          </cell>
        </row>
        <row r="1580">
          <cell r="A1580">
            <v>10102</v>
          </cell>
        </row>
        <row r="1581">
          <cell r="A1581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1613</v>
          </cell>
        </row>
        <row r="1563">
          <cell r="A1563">
            <v>1614</v>
          </cell>
        </row>
        <row r="1564">
          <cell r="A1564">
            <v>5001</v>
          </cell>
        </row>
        <row r="1565">
          <cell r="A1565">
            <v>5002</v>
          </cell>
        </row>
        <row r="1566">
          <cell r="A1566">
            <v>5003</v>
          </cell>
        </row>
        <row r="1567">
          <cell r="A1567">
            <v>5004</v>
          </cell>
        </row>
        <row r="1568">
          <cell r="A1568">
            <v>5005</v>
          </cell>
        </row>
        <row r="1569">
          <cell r="A1569">
            <v>5006</v>
          </cell>
        </row>
        <row r="1570">
          <cell r="A1570">
            <v>5007</v>
          </cell>
        </row>
        <row r="1571">
          <cell r="A1571">
            <v>5008</v>
          </cell>
        </row>
        <row r="1572">
          <cell r="A1572">
            <v>6001</v>
          </cell>
        </row>
        <row r="1573">
          <cell r="A1573">
            <v>6002</v>
          </cell>
        </row>
        <row r="1574">
          <cell r="A1574">
            <v>6003</v>
          </cell>
        </row>
        <row r="1575">
          <cell r="A1575">
            <v>6004</v>
          </cell>
        </row>
        <row r="1576">
          <cell r="A1576">
            <v>6005</v>
          </cell>
        </row>
        <row r="1577">
          <cell r="A1577">
            <v>6006</v>
          </cell>
        </row>
        <row r="1578">
          <cell r="A1578">
            <v>6007</v>
          </cell>
        </row>
        <row r="1579">
          <cell r="A1579">
            <v>6008</v>
          </cell>
        </row>
        <row r="1580">
          <cell r="A1580">
            <v>6009</v>
          </cell>
        </row>
        <row r="1581">
          <cell r="A1581">
            <v>6010</v>
          </cell>
        </row>
        <row r="1582">
          <cell r="A1582">
            <v>6011</v>
          </cell>
        </row>
        <row r="1583">
          <cell r="A1583">
            <v>6012</v>
          </cell>
        </row>
        <row r="1584">
          <cell r="A1584">
            <v>6013</v>
          </cell>
        </row>
        <row r="1585">
          <cell r="A1585">
            <v>6014</v>
          </cell>
        </row>
        <row r="1586">
          <cell r="A1586">
            <v>6015</v>
          </cell>
        </row>
        <row r="1587">
          <cell r="A1587">
            <v>6016</v>
          </cell>
        </row>
        <row r="1588">
          <cell r="A1588">
            <v>6017</v>
          </cell>
        </row>
        <row r="1589">
          <cell r="A1589">
            <v>6018</v>
          </cell>
        </row>
        <row r="1590">
          <cell r="A1590">
            <v>6019</v>
          </cell>
        </row>
        <row r="1591">
          <cell r="A1591">
            <v>6020</v>
          </cell>
        </row>
        <row r="1592">
          <cell r="A1592">
            <v>8001</v>
          </cell>
        </row>
        <row r="1593">
          <cell r="A1593">
            <v>8002</v>
          </cell>
        </row>
        <row r="1594">
          <cell r="A1594">
            <v>8003</v>
          </cell>
        </row>
        <row r="1595">
          <cell r="A1595">
            <v>8004</v>
          </cell>
        </row>
        <row r="1596">
          <cell r="A1596">
            <v>8005</v>
          </cell>
        </row>
        <row r="1597">
          <cell r="A1597">
            <v>8006</v>
          </cell>
        </row>
        <row r="1598">
          <cell r="A1598">
            <v>8007</v>
          </cell>
        </row>
        <row r="1599">
          <cell r="A1599">
            <v>8008</v>
          </cell>
        </row>
        <row r="1600">
          <cell r="A1600">
            <v>8009</v>
          </cell>
        </row>
        <row r="1601">
          <cell r="A1601">
            <v>8010</v>
          </cell>
        </row>
        <row r="1602">
          <cell r="A1602">
            <v>8011</v>
          </cell>
        </row>
        <row r="1603">
          <cell r="A1603">
            <v>8012</v>
          </cell>
        </row>
        <row r="1604">
          <cell r="A1604">
            <v>8013</v>
          </cell>
        </row>
        <row r="1605">
          <cell r="A1605">
            <v>8014</v>
          </cell>
        </row>
        <row r="1606">
          <cell r="A1606">
            <v>8015</v>
          </cell>
        </row>
        <row r="1607">
          <cell r="A1607">
            <v>8016</v>
          </cell>
        </row>
        <row r="1608">
          <cell r="A1608">
            <v>8017</v>
          </cell>
        </row>
        <row r="1609">
          <cell r="A1609">
            <v>8018</v>
          </cell>
        </row>
        <row r="1610">
          <cell r="A1610">
            <v>8019</v>
          </cell>
        </row>
        <row r="1611">
          <cell r="A1611">
            <v>8020</v>
          </cell>
        </row>
        <row r="1612">
          <cell r="A1612">
            <v>8021</v>
          </cell>
        </row>
        <row r="1613">
          <cell r="A1613">
            <v>8022</v>
          </cell>
        </row>
        <row r="1614">
          <cell r="A1614">
            <v>8023</v>
          </cell>
        </row>
        <row r="1615">
          <cell r="A1615">
            <v>8024</v>
          </cell>
        </row>
        <row r="1616">
          <cell r="A1616">
            <v>8025</v>
          </cell>
        </row>
        <row r="1617">
          <cell r="A1617">
            <v>8026</v>
          </cell>
        </row>
        <row r="1618">
          <cell r="A1618">
            <v>8027</v>
          </cell>
        </row>
        <row r="1619">
          <cell r="A1619">
            <v>8028</v>
          </cell>
        </row>
        <row r="1620">
          <cell r="A1620">
            <v>8029</v>
          </cell>
        </row>
        <row r="1621">
          <cell r="A1621">
            <v>8030</v>
          </cell>
        </row>
        <row r="1622">
          <cell r="A1622">
            <v>8031</v>
          </cell>
        </row>
        <row r="1623">
          <cell r="A1623">
            <v>8032</v>
          </cell>
        </row>
        <row r="1624">
          <cell r="A1624">
            <v>8033</v>
          </cell>
        </row>
        <row r="1625">
          <cell r="A1625">
            <v>8034</v>
          </cell>
        </row>
        <row r="1626">
          <cell r="A1626">
            <v>8035</v>
          </cell>
        </row>
        <row r="1627">
          <cell r="A1627">
            <v>8036</v>
          </cell>
        </row>
        <row r="1628">
          <cell r="A1628">
            <v>8037</v>
          </cell>
        </row>
        <row r="1629">
          <cell r="A1629">
            <v>8038</v>
          </cell>
        </row>
        <row r="1630">
          <cell r="A1630">
            <v>8039</v>
          </cell>
        </row>
        <row r="1631">
          <cell r="A1631">
            <v>8040</v>
          </cell>
        </row>
        <row r="1632">
          <cell r="A1632">
            <v>8041</v>
          </cell>
        </row>
        <row r="1633">
          <cell r="A1633">
            <v>8042</v>
          </cell>
        </row>
        <row r="1634">
          <cell r="A1634">
            <v>8043</v>
          </cell>
        </row>
        <row r="1635">
          <cell r="A1635">
            <v>8044</v>
          </cell>
        </row>
        <row r="1636">
          <cell r="A1636">
            <v>8045</v>
          </cell>
        </row>
        <row r="1637">
          <cell r="A1637">
            <v>8046</v>
          </cell>
        </row>
        <row r="1638">
          <cell r="A1638">
            <v>8047</v>
          </cell>
        </row>
        <row r="1639">
          <cell r="A1639">
            <v>8048</v>
          </cell>
        </row>
        <row r="1640">
          <cell r="A1640">
            <v>8049</v>
          </cell>
        </row>
        <row r="1641">
          <cell r="A1641">
            <v>8050</v>
          </cell>
        </row>
        <row r="1642">
          <cell r="A1642">
            <v>8051</v>
          </cell>
        </row>
        <row r="1643">
          <cell r="A1643">
            <v>8052</v>
          </cell>
        </row>
        <row r="1644">
          <cell r="A1644">
            <v>8053</v>
          </cell>
        </row>
        <row r="1645">
          <cell r="A1645">
            <v>8054</v>
          </cell>
        </row>
        <row r="1646">
          <cell r="A1646">
            <v>8055</v>
          </cell>
        </row>
        <row r="1647">
          <cell r="A1647">
            <v>8056</v>
          </cell>
        </row>
        <row r="1648">
          <cell r="A1648">
            <v>8057</v>
          </cell>
        </row>
        <row r="1649">
          <cell r="A1649">
            <v>8058</v>
          </cell>
        </row>
        <row r="1650">
          <cell r="A1650">
            <v>8059</v>
          </cell>
        </row>
        <row r="1651">
          <cell r="A1651">
            <v>8060</v>
          </cell>
        </row>
        <row r="1652">
          <cell r="A1652">
            <v>8061</v>
          </cell>
        </row>
        <row r="1653">
          <cell r="A1653">
            <v>8062</v>
          </cell>
        </row>
        <row r="1654">
          <cell r="A1654">
            <v>8063</v>
          </cell>
        </row>
        <row r="1655">
          <cell r="A1655">
            <v>8064</v>
          </cell>
        </row>
        <row r="1656">
          <cell r="A1656">
            <v>8065</v>
          </cell>
        </row>
        <row r="1657">
          <cell r="A1657">
            <v>8066</v>
          </cell>
        </row>
        <row r="1658">
          <cell r="A1658">
            <v>8067</v>
          </cell>
        </row>
        <row r="1659">
          <cell r="A1659">
            <v>8068</v>
          </cell>
        </row>
        <row r="1660">
          <cell r="A1660">
            <v>8069</v>
          </cell>
        </row>
        <row r="1661">
          <cell r="A1661">
            <v>8070</v>
          </cell>
        </row>
        <row r="1662">
          <cell r="A1662">
            <v>8071</v>
          </cell>
        </row>
        <row r="1663">
          <cell r="A1663">
            <v>8072</v>
          </cell>
        </row>
        <row r="1664">
          <cell r="A1664">
            <v>8073</v>
          </cell>
        </row>
        <row r="1665">
          <cell r="A1665">
            <v>8074</v>
          </cell>
        </row>
        <row r="1666">
          <cell r="A1666">
            <v>8075</v>
          </cell>
        </row>
        <row r="1667">
          <cell r="A1667">
            <v>8076</v>
          </cell>
        </row>
        <row r="1668">
          <cell r="A1668">
            <v>8077</v>
          </cell>
        </row>
        <row r="1669">
          <cell r="A1669">
            <v>8078</v>
          </cell>
        </row>
        <row r="1670">
          <cell r="A1670">
            <v>8079</v>
          </cell>
        </row>
        <row r="1671">
          <cell r="A1671">
            <v>8080</v>
          </cell>
        </row>
        <row r="1672">
          <cell r="A1672">
            <v>8081</v>
          </cell>
        </row>
        <row r="1673">
          <cell r="A1673">
            <v>8082</v>
          </cell>
        </row>
        <row r="1674">
          <cell r="A1674">
            <v>8083</v>
          </cell>
        </row>
        <row r="1675">
          <cell r="A1675">
            <v>8084</v>
          </cell>
        </row>
        <row r="1676">
          <cell r="A1676">
            <v>8085</v>
          </cell>
        </row>
        <row r="1677">
          <cell r="A1677">
            <v>8086</v>
          </cell>
        </row>
        <row r="1678">
          <cell r="A1678">
            <v>8087</v>
          </cell>
        </row>
        <row r="1679">
          <cell r="A1679">
            <v>8088</v>
          </cell>
        </row>
        <row r="1680">
          <cell r="A1680">
            <v>8089</v>
          </cell>
        </row>
        <row r="1681">
          <cell r="A1681">
            <v>8090</v>
          </cell>
        </row>
        <row r="1682">
          <cell r="A1682">
            <v>8095</v>
          </cell>
        </row>
        <row r="1683">
          <cell r="A1683">
            <v>8096</v>
          </cell>
        </row>
        <row r="1684">
          <cell r="A1684">
            <v>8097</v>
          </cell>
        </row>
        <row r="1685">
          <cell r="A1685">
            <v>8098</v>
          </cell>
        </row>
        <row r="1686">
          <cell r="A1686">
            <v>8099</v>
          </cell>
        </row>
        <row r="1687">
          <cell r="A1687">
            <v>8100</v>
          </cell>
        </row>
        <row r="1688">
          <cell r="A1688">
            <v>8101</v>
          </cell>
        </row>
        <row r="1689">
          <cell r="A1689">
            <v>8102</v>
          </cell>
        </row>
        <row r="1690">
          <cell r="A1690">
            <v>8103</v>
          </cell>
        </row>
        <row r="1691">
          <cell r="A1691">
            <v>8104</v>
          </cell>
        </row>
        <row r="1692">
          <cell r="A1692">
            <v>8105</v>
          </cell>
        </row>
        <row r="1693">
          <cell r="A1693">
            <v>8106</v>
          </cell>
        </row>
        <row r="1694">
          <cell r="A1694">
            <v>8111</v>
          </cell>
        </row>
        <row r="1695">
          <cell r="A1695">
            <v>8112</v>
          </cell>
        </row>
        <row r="1696">
          <cell r="A1696">
            <v>8113</v>
          </cell>
        </row>
        <row r="1697">
          <cell r="A1697">
            <v>8114</v>
          </cell>
        </row>
        <row r="1698">
          <cell r="A1698">
            <v>8115</v>
          </cell>
        </row>
        <row r="1699">
          <cell r="A1699">
            <v>8116</v>
          </cell>
        </row>
        <row r="1700">
          <cell r="A1700">
            <v>8117</v>
          </cell>
        </row>
        <row r="1701">
          <cell r="A1701">
            <v>8118</v>
          </cell>
        </row>
        <row r="1702">
          <cell r="A1702">
            <v>8119</v>
          </cell>
        </row>
        <row r="1703">
          <cell r="A1703">
            <v>8120</v>
          </cell>
        </row>
        <row r="1704">
          <cell r="A1704">
            <v>8121</v>
          </cell>
        </row>
        <row r="1705">
          <cell r="A1705">
            <v>8122</v>
          </cell>
        </row>
        <row r="1706">
          <cell r="A1706">
            <v>9001</v>
          </cell>
        </row>
        <row r="1707">
          <cell r="A1707">
            <v>9002</v>
          </cell>
        </row>
        <row r="1708">
          <cell r="A1708">
            <v>9003</v>
          </cell>
        </row>
        <row r="1709">
          <cell r="A1709">
            <v>9004</v>
          </cell>
        </row>
        <row r="1710">
          <cell r="A1710">
            <v>9005</v>
          </cell>
        </row>
        <row r="1711">
          <cell r="A1711">
            <v>9006</v>
          </cell>
        </row>
        <row r="1712">
          <cell r="A1712">
            <v>9007</v>
          </cell>
        </row>
        <row r="1713">
          <cell r="A1713">
            <v>9008</v>
          </cell>
        </row>
        <row r="1714">
          <cell r="A1714">
            <v>10001</v>
          </cell>
        </row>
        <row r="1715">
          <cell r="A1715">
            <v>10002</v>
          </cell>
        </row>
        <row r="1716">
          <cell r="A1716">
            <v>10003</v>
          </cell>
        </row>
        <row r="1717">
          <cell r="A1717">
            <v>10004</v>
          </cell>
        </row>
        <row r="1718">
          <cell r="A1718">
            <v>10005</v>
          </cell>
        </row>
        <row r="1719">
          <cell r="A1719">
            <v>10006</v>
          </cell>
        </row>
        <row r="1720">
          <cell r="A1720">
            <v>10007</v>
          </cell>
        </row>
        <row r="1721">
          <cell r="A1721">
            <v>10008</v>
          </cell>
        </row>
        <row r="1722">
          <cell r="A1722">
            <v>10009</v>
          </cell>
        </row>
        <row r="1723">
          <cell r="A1723">
            <v>10010</v>
          </cell>
        </row>
        <row r="1724">
          <cell r="A1724">
            <v>10011</v>
          </cell>
        </row>
        <row r="1725">
          <cell r="A1725">
            <v>10012</v>
          </cell>
        </row>
        <row r="1726">
          <cell r="A1726">
            <v>10013</v>
          </cell>
        </row>
        <row r="1727">
          <cell r="A1727">
            <v>10014</v>
          </cell>
        </row>
        <row r="1728">
          <cell r="A1728">
            <v>10015</v>
          </cell>
        </row>
        <row r="1729">
          <cell r="A1729">
            <v>10016</v>
          </cell>
        </row>
        <row r="1730">
          <cell r="A1730">
            <v>10017</v>
          </cell>
        </row>
        <row r="1731">
          <cell r="A1731">
            <v>10018</v>
          </cell>
        </row>
        <row r="1732">
          <cell r="A1732">
            <v>10019</v>
          </cell>
        </row>
        <row r="1733">
          <cell r="A1733">
            <v>10020</v>
          </cell>
        </row>
        <row r="1734">
          <cell r="A1734">
            <v>10021</v>
          </cell>
        </row>
        <row r="1735">
          <cell r="A1735">
            <v>10022</v>
          </cell>
        </row>
        <row r="1736">
          <cell r="A1736">
            <v>10023</v>
          </cell>
        </row>
        <row r="1737">
          <cell r="A1737">
            <v>10024</v>
          </cell>
        </row>
        <row r="1738">
          <cell r="A1738">
            <v>10025</v>
          </cell>
        </row>
        <row r="1739">
          <cell r="A1739">
            <v>10026</v>
          </cell>
        </row>
        <row r="1740">
          <cell r="A1740">
            <v>10027</v>
          </cell>
        </row>
        <row r="1741">
          <cell r="A1741">
            <v>10028</v>
          </cell>
        </row>
        <row r="1742">
          <cell r="A1742">
            <v>10029</v>
          </cell>
        </row>
        <row r="1743">
          <cell r="A1743">
            <v>10030</v>
          </cell>
        </row>
        <row r="1744">
          <cell r="A1744">
            <v>10031</v>
          </cell>
        </row>
        <row r="1745">
          <cell r="A1745">
            <v>10032</v>
          </cell>
        </row>
        <row r="1746">
          <cell r="A1746">
            <v>10033</v>
          </cell>
        </row>
        <row r="1747">
          <cell r="A1747">
            <v>10034</v>
          </cell>
        </row>
        <row r="1748">
          <cell r="A1748">
            <v>10035</v>
          </cell>
        </row>
        <row r="1749">
          <cell r="A1749">
            <v>10036</v>
          </cell>
        </row>
        <row r="1750">
          <cell r="A1750">
            <v>10037</v>
          </cell>
        </row>
        <row r="1751">
          <cell r="A1751">
            <v>10038</v>
          </cell>
        </row>
        <row r="1752">
          <cell r="A1752">
            <v>10039</v>
          </cell>
        </row>
        <row r="1753">
          <cell r="A1753">
            <v>10040</v>
          </cell>
        </row>
        <row r="1754">
          <cell r="A1754">
            <v>10041</v>
          </cell>
        </row>
        <row r="1755">
          <cell r="A1755">
            <v>10042</v>
          </cell>
        </row>
        <row r="1756">
          <cell r="A1756">
            <v>10043</v>
          </cell>
        </row>
        <row r="1757">
          <cell r="A1757">
            <v>10044</v>
          </cell>
        </row>
        <row r="1758">
          <cell r="A1758">
            <v>10045</v>
          </cell>
        </row>
        <row r="1759">
          <cell r="A1759">
            <v>10046</v>
          </cell>
        </row>
        <row r="1760">
          <cell r="A1760">
            <v>10047</v>
          </cell>
        </row>
        <row r="1761">
          <cell r="A1761">
            <v>10048</v>
          </cell>
        </row>
        <row r="1762">
          <cell r="A1762">
            <v>10049</v>
          </cell>
        </row>
        <row r="1763">
          <cell r="A1763">
            <v>10050</v>
          </cell>
        </row>
        <row r="1764">
          <cell r="A1764">
            <v>10051</v>
          </cell>
        </row>
        <row r="1765">
          <cell r="A1765">
            <v>10052</v>
          </cell>
        </row>
        <row r="1766">
          <cell r="A1766">
            <v>10053</v>
          </cell>
        </row>
        <row r="1767">
          <cell r="A1767">
            <v>10054</v>
          </cell>
        </row>
        <row r="1768">
          <cell r="A1768">
            <v>10055</v>
          </cell>
        </row>
        <row r="1769">
          <cell r="A1769">
            <v>10056</v>
          </cell>
        </row>
        <row r="1770">
          <cell r="A1770">
            <v>10057</v>
          </cell>
        </row>
        <row r="1771">
          <cell r="A1771">
            <v>10058</v>
          </cell>
        </row>
        <row r="1772">
          <cell r="A1772">
            <v>10059</v>
          </cell>
        </row>
        <row r="1773">
          <cell r="A1773">
            <v>10060</v>
          </cell>
        </row>
        <row r="1774">
          <cell r="A1774">
            <v>10061</v>
          </cell>
        </row>
        <row r="1775">
          <cell r="A1775">
            <v>10062</v>
          </cell>
        </row>
        <row r="1776">
          <cell r="A1776">
            <v>10063</v>
          </cell>
        </row>
        <row r="1777">
          <cell r="A1777">
            <v>10064</v>
          </cell>
        </row>
        <row r="1778">
          <cell r="A1778">
            <v>10065</v>
          </cell>
        </row>
        <row r="1779">
          <cell r="A1779">
            <v>10066</v>
          </cell>
        </row>
        <row r="1780">
          <cell r="A1780">
            <v>10067</v>
          </cell>
        </row>
        <row r="1781">
          <cell r="A1781">
            <v>10068</v>
          </cell>
        </row>
        <row r="1782">
          <cell r="A1782">
            <v>10069</v>
          </cell>
        </row>
        <row r="1783">
          <cell r="A1783">
            <v>10070</v>
          </cell>
        </row>
        <row r="1784">
          <cell r="A1784">
            <v>10071</v>
          </cell>
        </row>
        <row r="1785">
          <cell r="A1785">
            <v>10072</v>
          </cell>
        </row>
        <row r="1786">
          <cell r="A1786">
            <v>10073</v>
          </cell>
        </row>
        <row r="1787">
          <cell r="A1787">
            <v>10074</v>
          </cell>
        </row>
        <row r="1788">
          <cell r="A1788">
            <v>10075</v>
          </cell>
        </row>
        <row r="1789">
          <cell r="A1789">
            <v>10076</v>
          </cell>
        </row>
        <row r="1790">
          <cell r="A1790">
            <v>10077</v>
          </cell>
        </row>
        <row r="1791">
          <cell r="A1791">
            <v>10078</v>
          </cell>
        </row>
        <row r="1792">
          <cell r="A1792">
            <v>10079</v>
          </cell>
        </row>
        <row r="1793">
          <cell r="A1793">
            <v>10080</v>
          </cell>
        </row>
        <row r="1794">
          <cell r="A1794">
            <v>10081</v>
          </cell>
        </row>
        <row r="1795">
          <cell r="A1795">
            <v>10082</v>
          </cell>
        </row>
        <row r="1796">
          <cell r="A1796">
            <v>10083</v>
          </cell>
        </row>
        <row r="1797">
          <cell r="A1797">
            <v>10084</v>
          </cell>
        </row>
        <row r="1798">
          <cell r="A1798">
            <v>10085</v>
          </cell>
        </row>
        <row r="1799">
          <cell r="A1799">
            <v>10086</v>
          </cell>
        </row>
        <row r="1800">
          <cell r="A1800">
            <v>10087</v>
          </cell>
        </row>
        <row r="1801">
          <cell r="A1801">
            <v>10088</v>
          </cell>
        </row>
        <row r="1802">
          <cell r="A1802">
            <v>10089</v>
          </cell>
        </row>
        <row r="1803">
          <cell r="A1803">
            <v>10090</v>
          </cell>
        </row>
        <row r="1804">
          <cell r="A1804">
            <v>10101</v>
          </cell>
        </row>
        <row r="1805">
          <cell r="A1805">
            <v>10102</v>
          </cell>
        </row>
        <row r="1806">
          <cell r="A1806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A13" sqref="A13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9" t="s">
        <v>131</v>
      </c>
      <c r="B1" s="54" t="s">
        <v>101</v>
      </c>
      <c r="C1" s="54" t="s">
        <v>102</v>
      </c>
      <c r="D1" s="54" t="s">
        <v>103</v>
      </c>
      <c r="E1" s="54" t="s">
        <v>104</v>
      </c>
      <c r="F1" s="54" t="s">
        <v>105</v>
      </c>
      <c r="G1" s="54" t="s">
        <v>106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</row>
    <row r="2" spans="1:30" x14ac:dyDescent="0.15">
      <c r="A2" s="60" t="s">
        <v>249</v>
      </c>
      <c r="B2" s="56" t="s">
        <v>107</v>
      </c>
      <c r="C2" s="61">
        <v>50008</v>
      </c>
      <c r="D2" s="56" t="s">
        <v>108</v>
      </c>
      <c r="E2" s="55" t="str">
        <f>B2&amp;C2&amp;D2</f>
        <v>floors_50008.tmp</v>
      </c>
      <c r="F2" s="56" t="s">
        <v>109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</row>
    <row r="3" spans="1:30" x14ac:dyDescent="0.15">
      <c r="A3" s="60" t="s">
        <v>249</v>
      </c>
      <c r="B3" s="56" t="s">
        <v>110</v>
      </c>
      <c r="C3" s="61">
        <v>50008</v>
      </c>
      <c r="D3" s="56" t="s">
        <v>108</v>
      </c>
      <c r="E3" s="55" t="str">
        <f>B3&amp;C3&amp;D3</f>
        <v>enemy_habitats_50008.tmp</v>
      </c>
      <c r="F3" s="56" t="s">
        <v>111</v>
      </c>
      <c r="G3" s="57" t="s">
        <v>0</v>
      </c>
      <c r="H3" s="57" t="s">
        <v>1</v>
      </c>
      <c r="I3" s="57" t="s">
        <v>13</v>
      </c>
      <c r="J3" s="57" t="s">
        <v>2</v>
      </c>
      <c r="K3" s="57" t="s">
        <v>3</v>
      </c>
      <c r="L3" s="57" t="s">
        <v>47</v>
      </c>
      <c r="M3" s="57" t="s">
        <v>49</v>
      </c>
      <c r="N3" s="57" t="s">
        <v>51</v>
      </c>
      <c r="O3" s="57" t="s">
        <v>22</v>
      </c>
      <c r="P3" s="57" t="s">
        <v>5</v>
      </c>
      <c r="Q3" s="57" t="s">
        <v>6</v>
      </c>
      <c r="R3" s="57" t="s">
        <v>7</v>
      </c>
      <c r="S3" s="57" t="s">
        <v>8</v>
      </c>
      <c r="T3" s="57" t="s">
        <v>9</v>
      </c>
      <c r="U3" s="57" t="s">
        <v>10</v>
      </c>
      <c r="V3" s="57" t="s">
        <v>11</v>
      </c>
      <c r="W3" s="57" t="s">
        <v>12</v>
      </c>
      <c r="X3" s="57" t="s">
        <v>37</v>
      </c>
      <c r="Y3" s="57" t="s">
        <v>39</v>
      </c>
      <c r="Z3" s="57" t="s">
        <v>41</v>
      </c>
      <c r="AA3" s="57" t="s">
        <v>43</v>
      </c>
      <c r="AB3" s="57" t="s">
        <v>45</v>
      </c>
      <c r="AC3" s="57" t="s">
        <v>54</v>
      </c>
      <c r="AD3" s="57" t="s">
        <v>179</v>
      </c>
    </row>
    <row r="4" spans="1:30" x14ac:dyDescent="0.15">
      <c r="A4" s="60" t="s">
        <v>249</v>
      </c>
      <c r="B4" s="56" t="s">
        <v>112</v>
      </c>
      <c r="C4" s="61">
        <v>50008</v>
      </c>
      <c r="D4" s="56" t="s">
        <v>108</v>
      </c>
      <c r="E4" s="55" t="str">
        <f>B4&amp;C4&amp;D4</f>
        <v>enemy_habitat_S_50008.tmp</v>
      </c>
      <c r="F4" s="56" t="s">
        <v>113</v>
      </c>
      <c r="G4" s="57" t="s">
        <v>0</v>
      </c>
      <c r="H4" s="57" t="s">
        <v>1</v>
      </c>
      <c r="I4" s="57" t="s">
        <v>13</v>
      </c>
      <c r="J4" s="57" t="s">
        <v>54</v>
      </c>
      <c r="K4" s="57" t="s">
        <v>55</v>
      </c>
      <c r="L4" s="57" t="s">
        <v>56</v>
      </c>
      <c r="M4" s="57" t="s">
        <v>57</v>
      </c>
      <c r="N4" s="57" t="s">
        <v>58</v>
      </c>
      <c r="O4" s="57" t="s">
        <v>59</v>
      </c>
      <c r="P4" s="57" t="s">
        <v>48</v>
      </c>
      <c r="Q4" s="57" t="s">
        <v>50</v>
      </c>
      <c r="R4" s="57" t="s">
        <v>52</v>
      </c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</row>
    <row r="5" spans="1:30" x14ac:dyDescent="0.15">
      <c r="A5" s="60" t="s">
        <v>249</v>
      </c>
      <c r="B5" s="56" t="s">
        <v>114</v>
      </c>
      <c r="C5" s="61">
        <v>50008</v>
      </c>
      <c r="D5" s="56" t="s">
        <v>108</v>
      </c>
      <c r="E5" s="55" t="str">
        <f>B5&amp;C5&amp;D5</f>
        <v>enemy_skill_sets_50008.tmp</v>
      </c>
      <c r="F5" s="56" t="s">
        <v>115</v>
      </c>
      <c r="G5" s="58" t="s">
        <v>22</v>
      </c>
      <c r="H5" s="58" t="s">
        <v>100</v>
      </c>
      <c r="I5" s="58" t="s">
        <v>95</v>
      </c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</row>
    <row r="6" spans="1:30" x14ac:dyDescent="0.15">
      <c r="A6" s="60" t="s">
        <v>249</v>
      </c>
      <c r="B6" s="56" t="s">
        <v>116</v>
      </c>
      <c r="C6" s="61">
        <v>50008</v>
      </c>
      <c r="D6" s="56" t="s">
        <v>117</v>
      </c>
      <c r="E6" s="55" t="str">
        <f t="shared" ref="E6:E10" si="0">B6&amp;C6&amp;D6</f>
        <v>enemy_skills_tmp_50008.tmp</v>
      </c>
      <c r="F6" s="56" t="s">
        <v>91</v>
      </c>
      <c r="G6" s="57" t="s">
        <v>79</v>
      </c>
      <c r="H6" s="57" t="s">
        <v>80</v>
      </c>
      <c r="I6" s="57" t="s">
        <v>81</v>
      </c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</row>
    <row r="7" spans="1:30" x14ac:dyDescent="0.15">
      <c r="A7" s="60" t="s">
        <v>249</v>
      </c>
      <c r="B7" s="56" t="s">
        <v>118</v>
      </c>
      <c r="C7" s="61">
        <v>50008</v>
      </c>
      <c r="D7" s="56" t="s">
        <v>108</v>
      </c>
      <c r="E7" s="55" t="str">
        <f>B7&amp;C7&amp;D7</f>
        <v>enemy_skills_i18n_50008.tmp</v>
      </c>
      <c r="F7" s="56" t="s">
        <v>119</v>
      </c>
      <c r="G7" s="57" t="s">
        <v>79</v>
      </c>
      <c r="H7" s="57" t="s">
        <v>92</v>
      </c>
      <c r="I7" s="57" t="s">
        <v>93</v>
      </c>
      <c r="J7" s="57" t="s">
        <v>94</v>
      </c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</row>
    <row r="8" spans="1:30" x14ac:dyDescent="0.15">
      <c r="A8" s="60" t="s">
        <v>249</v>
      </c>
      <c r="B8" s="56" t="s">
        <v>120</v>
      </c>
      <c r="C8" s="61">
        <v>50008</v>
      </c>
      <c r="D8" s="56" t="s">
        <v>121</v>
      </c>
      <c r="E8" s="55" t="str">
        <f t="shared" si="0"/>
        <v>enemy_skill_triggers_50008.tmp</v>
      </c>
      <c r="F8" s="56" t="s">
        <v>122</v>
      </c>
      <c r="G8" s="57" t="s">
        <v>95</v>
      </c>
      <c r="H8" s="57" t="s">
        <v>96</v>
      </c>
      <c r="I8" s="57" t="s">
        <v>97</v>
      </c>
      <c r="J8" s="57" t="s">
        <v>98</v>
      </c>
      <c r="K8" s="57" t="s">
        <v>123</v>
      </c>
      <c r="L8" s="57" t="s">
        <v>99</v>
      </c>
      <c r="M8" s="57" t="s">
        <v>124</v>
      </c>
      <c r="N8" s="57" t="s">
        <v>125</v>
      </c>
      <c r="O8" s="57" t="s">
        <v>126</v>
      </c>
      <c r="P8" s="57" t="s">
        <v>67</v>
      </c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</row>
    <row r="9" spans="1:30" x14ac:dyDescent="0.15">
      <c r="A9" s="60" t="s">
        <v>258</v>
      </c>
      <c r="B9" s="66" t="s">
        <v>178</v>
      </c>
      <c r="C9" s="61">
        <v>50008</v>
      </c>
      <c r="D9" s="66" t="s">
        <v>172</v>
      </c>
      <c r="E9" s="67" t="str">
        <f t="shared" si="0"/>
        <v>stage_bug_bonuses_50008.tmp</v>
      </c>
      <c r="F9" s="66" t="s">
        <v>173</v>
      </c>
      <c r="G9" s="63" t="s">
        <v>151</v>
      </c>
      <c r="H9" s="63" t="s">
        <v>174</v>
      </c>
      <c r="I9" s="63" t="s">
        <v>175</v>
      </c>
      <c r="J9" s="65" t="s">
        <v>176</v>
      </c>
      <c r="K9" s="63" t="s">
        <v>177</v>
      </c>
      <c r="L9" s="63" t="s">
        <v>157</v>
      </c>
      <c r="M9" s="63" t="s">
        <v>158</v>
      </c>
      <c r="N9" s="63" t="s">
        <v>159</v>
      </c>
      <c r="O9" s="63" t="s">
        <v>160</v>
      </c>
      <c r="P9" s="63" t="s">
        <v>161</v>
      </c>
      <c r="Q9" s="63" t="s">
        <v>162</v>
      </c>
      <c r="R9" s="63" t="s">
        <v>163</v>
      </c>
      <c r="S9" s="63" t="s">
        <v>164</v>
      </c>
      <c r="T9" s="63" t="s">
        <v>165</v>
      </c>
      <c r="U9" s="63" t="s">
        <v>166</v>
      </c>
      <c r="V9" s="63" t="s">
        <v>167</v>
      </c>
      <c r="W9" s="63" t="s">
        <v>168</v>
      </c>
      <c r="X9" s="56"/>
      <c r="Y9" s="56"/>
      <c r="Z9" s="56"/>
      <c r="AA9" s="56"/>
      <c r="AB9" s="56"/>
      <c r="AC9" s="56"/>
      <c r="AD9" s="56"/>
    </row>
    <row r="10" spans="1:30" s="73" customFormat="1" x14ac:dyDescent="0.15">
      <c r="A10" s="60" t="s">
        <v>188</v>
      </c>
      <c r="B10" s="66" t="s">
        <v>201</v>
      </c>
      <c r="C10" s="61">
        <v>50008</v>
      </c>
      <c r="D10" s="66" t="s">
        <v>181</v>
      </c>
      <c r="E10" s="67" t="str">
        <f t="shared" si="0"/>
        <v>stage_hints_data_c_50008.tmp</v>
      </c>
      <c r="F10" s="66" t="s">
        <v>209</v>
      </c>
      <c r="G10" s="71" t="s">
        <v>182</v>
      </c>
      <c r="H10" s="71" t="s">
        <v>174</v>
      </c>
      <c r="I10" s="72" t="s">
        <v>183</v>
      </c>
      <c r="J10" s="65" t="s">
        <v>184</v>
      </c>
      <c r="K10" s="65" t="s">
        <v>185</v>
      </c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</row>
    <row r="11" spans="1:30" s="73" customFormat="1" x14ac:dyDescent="0.15">
      <c r="A11" s="60" t="s">
        <v>338</v>
      </c>
      <c r="B11" s="66" t="s">
        <v>202</v>
      </c>
      <c r="C11" s="61">
        <v>50008</v>
      </c>
      <c r="D11" s="66" t="s">
        <v>172</v>
      </c>
      <c r="E11" s="67" t="str">
        <f t="shared" ref="E11:E13" si="1">B11&amp;C11&amp;D11</f>
        <v>stage_hints_data_f_50008.tmp</v>
      </c>
      <c r="F11" s="66" t="s">
        <v>210</v>
      </c>
      <c r="G11" s="71" t="s">
        <v>182</v>
      </c>
      <c r="H11" s="71" t="s">
        <v>174</v>
      </c>
      <c r="I11" s="72" t="s">
        <v>183</v>
      </c>
      <c r="J11" s="65" t="s">
        <v>184</v>
      </c>
      <c r="K11" s="65" t="s">
        <v>185</v>
      </c>
      <c r="L11" s="94"/>
      <c r="M11" s="94"/>
      <c r="N11" s="94"/>
      <c r="O11" s="94"/>
      <c r="P11" s="94"/>
      <c r="Q11" s="94"/>
      <c r="R11" s="94"/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</row>
    <row r="12" spans="1:30" s="73" customFormat="1" x14ac:dyDescent="0.15">
      <c r="A12" s="66" t="s">
        <v>339</v>
      </c>
      <c r="B12" s="66" t="s">
        <v>203</v>
      </c>
      <c r="C12" s="61">
        <v>50008</v>
      </c>
      <c r="D12" s="66" t="s">
        <v>172</v>
      </c>
      <c r="E12" s="67" t="str">
        <f t="shared" si="1"/>
        <v>stage_hints_i18n_50008.tmp</v>
      </c>
      <c r="F12" s="66" t="s">
        <v>211</v>
      </c>
      <c r="G12" s="72" t="s">
        <v>204</v>
      </c>
      <c r="H12" s="91" t="s">
        <v>205</v>
      </c>
      <c r="I12" s="71" t="s">
        <v>206</v>
      </c>
      <c r="J12" s="95" t="s">
        <v>207</v>
      </c>
      <c r="K12" s="65" t="s">
        <v>208</v>
      </c>
      <c r="L12" s="94"/>
      <c r="M12" s="94"/>
      <c r="N12" s="94"/>
      <c r="O12" s="94"/>
      <c r="P12" s="94"/>
      <c r="Q12" s="94"/>
      <c r="R12" s="94"/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</row>
    <row r="13" spans="1:30" s="73" customFormat="1" x14ac:dyDescent="0.15">
      <c r="A13" s="66" t="s">
        <v>339</v>
      </c>
      <c r="B13" s="66" t="s">
        <v>246</v>
      </c>
      <c r="C13" s="61">
        <v>50008</v>
      </c>
      <c r="D13" s="66" t="s">
        <v>227</v>
      </c>
      <c r="E13" s="67" t="str">
        <f t="shared" si="1"/>
        <v>stage_bonuses_50008.tmp</v>
      </c>
      <c r="F13" s="66" t="s">
        <v>226</v>
      </c>
      <c r="G13" s="71" t="s">
        <v>228</v>
      </c>
      <c r="H13" s="71" t="s">
        <v>229</v>
      </c>
      <c r="I13" s="71" t="s">
        <v>230</v>
      </c>
      <c r="J13" s="71" t="s">
        <v>231</v>
      </c>
      <c r="K13" s="71" t="s">
        <v>232</v>
      </c>
      <c r="L13" s="71" t="s">
        <v>233</v>
      </c>
      <c r="M13" s="71" t="s">
        <v>234</v>
      </c>
      <c r="N13" s="71" t="s">
        <v>235</v>
      </c>
      <c r="O13" s="71" t="s">
        <v>236</v>
      </c>
      <c r="P13" s="71" t="s">
        <v>237</v>
      </c>
      <c r="Q13" s="71" t="s">
        <v>238</v>
      </c>
      <c r="R13" s="71" t="s">
        <v>239</v>
      </c>
      <c r="S13" s="71" t="s">
        <v>240</v>
      </c>
      <c r="T13" s="71" t="s">
        <v>241</v>
      </c>
      <c r="U13" s="71" t="s">
        <v>242</v>
      </c>
      <c r="V13" s="71" t="s">
        <v>243</v>
      </c>
      <c r="W13" s="71" t="s">
        <v>244</v>
      </c>
      <c r="X13" s="71" t="s">
        <v>245</v>
      </c>
      <c r="Y13" s="94"/>
      <c r="Z13" s="94"/>
      <c r="AA13" s="94"/>
      <c r="AB13" s="94"/>
      <c r="AC13" s="94"/>
      <c r="AD13" s="94"/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5"/>
  <sheetViews>
    <sheetView showGridLines="0" workbookViewId="0">
      <pane ySplit="1" topLeftCell="A2" activePane="bottomLeft" state="frozen"/>
      <selection activeCell="V2" sqref="V2:X34"/>
      <selection pane="bottomLeft" activeCell="H7" sqref="H7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2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50008_1-1</v>
      </c>
      <c r="B2" s="16" t="str">
        <f>IF(COUNTIF(enemy_habitats!$H:$H,A2),"OK","NG")</f>
        <v>OK</v>
      </c>
      <c r="C2" s="7">
        <v>50008</v>
      </c>
      <c r="D2" s="11" t="str">
        <f ca="1">VLOOKUP($C2,OFFSET([2]quests!$A$1,0,0,COUNTA([2]quests!$A:$A),MATCH(D$1,[2]quests!$1:$1,0)-MATCH($C$1,[2]quests!$1:$1,0)+1),MATCH(D$1,[2]quests!$1:$1,0)-MATCH($C$1,[2]quests!$1:$1,0)+1,FALSE)</f>
        <v>呂布襲来！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超降臨8</v>
      </c>
      <c r="F2" s="21">
        <v>1</v>
      </c>
      <c r="G2" s="22" t="str">
        <f>C2&amp;"_"&amp;F2</f>
        <v>50008_1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【超ウィザード級】呂布襲来</v>
      </c>
      <c r="I2" s="21">
        <v>1</v>
      </c>
      <c r="J2" s="12">
        <v>30</v>
      </c>
      <c r="K2" s="12">
        <v>30</v>
      </c>
    </row>
    <row r="3" spans="1:11" ht="21" customHeight="1" x14ac:dyDescent="0.15">
      <c r="A3" s="16" t="str">
        <f t="shared" ref="A3:A5" si="0">G3&amp;"-"&amp;I3</f>
        <v>50008_1-2</v>
      </c>
      <c r="B3" s="16" t="str">
        <f>IF(COUNTIF(enemy_habitats!$H:$H,A3),"OK","NG")</f>
        <v>OK</v>
      </c>
      <c r="C3" s="7">
        <v>50008</v>
      </c>
      <c r="D3" s="11" t="str">
        <f ca="1">VLOOKUP($C3,OFFSET([2]quests!$A$1,0,0,COUNTA([2]quests!$A:$A),MATCH(D$1,[2]quests!$1:$1,0)-MATCH($C$1,[2]quests!$1:$1,0)+1),MATCH(D$1,[2]quests!$1:$1,0)-MATCH($C$1,[2]quests!$1:$1,0)+1,FALSE)</f>
        <v>呂布襲来！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超降臨8</v>
      </c>
      <c r="F3" s="21">
        <v>1</v>
      </c>
      <c r="G3" s="22" t="str">
        <f t="shared" ref="G3:G5" si="1">C3&amp;"_"&amp;F3</f>
        <v>50008_1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【超ウィザード級】呂布襲来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50008_1-3</v>
      </c>
      <c r="B4" s="16" t="str">
        <f>IF(COUNTIF(enemy_habitats!$H:$H,A4),"OK","NG")</f>
        <v>OK</v>
      </c>
      <c r="C4" s="7">
        <v>50008</v>
      </c>
      <c r="D4" s="11" t="str">
        <f ca="1">VLOOKUP($C4,OFFSET([2]quests!$A$1,0,0,COUNTA([2]quests!$A:$A),MATCH(D$1,[2]quests!$1:$1,0)-MATCH($C$1,[2]quests!$1:$1,0)+1),MATCH(D$1,[2]quests!$1:$1,0)-MATCH($C$1,[2]quests!$1:$1,0)+1,FALSE)</f>
        <v>呂布襲来！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超降臨8</v>
      </c>
      <c r="F4" s="21">
        <v>1</v>
      </c>
      <c r="G4" s="22" t="str">
        <f t="shared" si="1"/>
        <v>50008_1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【超ウィザード級】呂布襲来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50008_1-4</v>
      </c>
      <c r="B5" s="16" t="str">
        <f>IF(COUNTIF(enemy_habitats!$H:$H,A5),"OK","NG")</f>
        <v>OK</v>
      </c>
      <c r="C5" s="7">
        <v>50008</v>
      </c>
      <c r="D5" s="11" t="str">
        <f ca="1">VLOOKUP($C5,OFFSET([2]quests!$A$1,0,0,COUNTA([2]quests!$A:$A),MATCH(D$1,[2]quests!$1:$1,0)-MATCH($C$1,[2]quests!$1:$1,0)+1),MATCH(D$1,[2]quests!$1:$1,0)-MATCH($C$1,[2]quests!$1:$1,0)+1,FALSE)</f>
        <v>呂布襲来！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超降臨8</v>
      </c>
      <c r="F5" s="21">
        <v>1</v>
      </c>
      <c r="G5" s="22" t="str">
        <f t="shared" si="1"/>
        <v>50008_1</v>
      </c>
      <c r="H5" s="15" t="str">
        <f ca="1">VLOOKUP($G5,OFFSET([2]stages!$A$1,0,0,COUNTA([2]stages!$A:$A),MATCH(H$1,[2]stages!$2:$2,0)-MATCH($G$1,[2]stages!$2:$2,0)+1),MATCH(H$1,[2]stages!$2:$2,0)-MATCH($G$1,[2]stages!$2:$2,0)+1,FALSE)</f>
        <v>【超ウィザード級】呂布襲来</v>
      </c>
      <c r="I5" s="21">
        <v>4</v>
      </c>
      <c r="J5" s="12">
        <v>60</v>
      </c>
      <c r="K5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5"/>
  <sheetViews>
    <sheetView showGridLines="0" tabSelected="1" zoomScale="75" zoomScaleNormal="75" zoomScalePageLayoutView="75" workbookViewId="0">
      <pane xSplit="17" ySplit="1" topLeftCell="AB2" activePane="bottomRight" state="frozen"/>
      <selection pane="topRight" activeCell="N1" sqref="N1"/>
      <selection pane="bottomLeft" activeCell="A2" sqref="A2"/>
      <selection pane="bottomRight" activeCell="AC23" sqref="AC23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98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20</v>
      </c>
      <c r="F1" s="29" t="s">
        <v>20</v>
      </c>
      <c r="G1" s="27" t="s">
        <v>19</v>
      </c>
      <c r="H1" s="28" t="s">
        <v>35</v>
      </c>
      <c r="I1" s="28" t="s">
        <v>14</v>
      </c>
      <c r="J1" s="28" t="s">
        <v>15</v>
      </c>
      <c r="K1" s="35" t="s">
        <v>54</v>
      </c>
      <c r="L1" s="36" t="s">
        <v>2</v>
      </c>
      <c r="M1" s="30" t="s">
        <v>21</v>
      </c>
      <c r="N1" s="28" t="s">
        <v>24</v>
      </c>
      <c r="O1" s="28" t="s">
        <v>23</v>
      </c>
      <c r="P1" s="31" t="s">
        <v>26</v>
      </c>
      <c r="Q1" s="29" t="s">
        <v>25</v>
      </c>
      <c r="R1" s="27" t="s">
        <v>3</v>
      </c>
      <c r="S1" s="25" t="s">
        <v>48</v>
      </c>
      <c r="T1" s="96" t="s">
        <v>247</v>
      </c>
      <c r="U1" s="25" t="s">
        <v>50</v>
      </c>
      <c r="V1" s="96" t="s">
        <v>248</v>
      </c>
      <c r="W1" s="25" t="s">
        <v>52</v>
      </c>
      <c r="X1" s="28" t="s">
        <v>31</v>
      </c>
      <c r="Y1" s="27" t="s">
        <v>4</v>
      </c>
      <c r="Z1" s="27" t="s">
        <v>5</v>
      </c>
      <c r="AA1" s="27" t="s">
        <v>6</v>
      </c>
      <c r="AB1" s="27" t="s">
        <v>7</v>
      </c>
      <c r="AC1" s="27" t="s">
        <v>8</v>
      </c>
      <c r="AD1" s="32" t="s">
        <v>9</v>
      </c>
      <c r="AE1" s="33" t="s">
        <v>16</v>
      </c>
      <c r="AF1" s="33" t="s">
        <v>17</v>
      </c>
      <c r="AG1" s="33" t="s">
        <v>27</v>
      </c>
      <c r="AH1" s="32" t="s">
        <v>10</v>
      </c>
      <c r="AI1" s="27" t="s">
        <v>11</v>
      </c>
      <c r="AJ1" s="27" t="s">
        <v>12</v>
      </c>
      <c r="AK1" s="27" t="s">
        <v>38</v>
      </c>
      <c r="AL1" s="27" t="s">
        <v>40</v>
      </c>
      <c r="AM1" s="27" t="s">
        <v>42</v>
      </c>
      <c r="AN1" s="27" t="s">
        <v>44</v>
      </c>
      <c r="AO1" s="27" t="s">
        <v>46</v>
      </c>
      <c r="AP1" s="35" t="s">
        <v>180</v>
      </c>
    </row>
    <row r="2" spans="1:42" ht="21" customHeight="1" x14ac:dyDescent="0.15">
      <c r="A2" s="16" t="str">
        <f>B2&amp;"_"&amp;C2&amp;"-"&amp;G2&amp;"/"&amp;L2&amp;"&lt;lv"&amp;R2&amp;"&gt;s"&amp;AC2</f>
        <v>50008_1-1/1129&lt;lv80&gt;s2</v>
      </c>
      <c r="B2" s="7">
        <v>50008</v>
      </c>
      <c r="C2" s="21">
        <v>1</v>
      </c>
      <c r="D2" s="2" t="str">
        <f>B2&amp;"_"&amp;C2</f>
        <v>50008_1</v>
      </c>
      <c r="E2" s="4" t="str">
        <f ca="1">VLOOKUP($B2,OFFSET([2]quests!$A$1,0,0,COUNTA([2]quests!$A:$A),MATCH(E$1,[2]quests!$1:$1,0)-MATCH($B$1,[2]quests!$1:$1,0)+1),MATCH(E$1,[2]quests!$1:$1,0)-MATCH($B$1,[2]quests!$1:$1,0)+1,FALSE)</f>
        <v>呂布襲来！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【超ウィザード級】呂布襲来</v>
      </c>
      <c r="G2" s="21">
        <v>1</v>
      </c>
      <c r="H2" s="15" t="str">
        <f>B2&amp;"_"&amp;C2&amp;"-"&amp;G2</f>
        <v>50008_1-1</v>
      </c>
      <c r="I2" s="4">
        <f ca="1">VLOOKUP($H2,OFFSET(floors!$A$1,0,0,COUNTA(floors!$A:$A),MATCH(I$1,floors!$1:$1,0)-MATCH($H$1,floors!$1:$1,0)+1),MATCH(I$1,floors!$1:$1,0)-MATCH($H$1,floors!$1:$1,0)+1,FALSE)</f>
        <v>30</v>
      </c>
      <c r="J2" s="4">
        <f ca="1">VLOOKUP($H2,OFFSET(floors!$A$1,0,0,COUNTA(floors!$A:$A),MATCH(J$1,floors!$1:$1,0)-MATCH($H$1,floors!$1:$1,0)+1),MATCH(J$1,floors!$1:$1,0)-MATCH($H$1,floors!$1:$1,0)+1,FALSE)</f>
        <v>30</v>
      </c>
      <c r="K2" s="37" t="s">
        <v>53</v>
      </c>
      <c r="L2" s="20">
        <v>1129</v>
      </c>
      <c r="M2" s="17" t="str">
        <f ca="1">VLOOKUP($L2,OFFSET([3]enemies!$A$1,0,0,COUNTA([3]enemies!$A:$A),MATCH(M$1,[3]enemies!$1:$1,0)-MATCH($L$1,[3]enemies!$1:$1,0)+1),MATCH(M$1,[3]enemies!$1:$1,0)-MATCH($L$1,[3]enemies!$1:$1,0)+1,FALSE)</f>
        <v>赤兎馬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Drop2N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7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80</v>
      </c>
      <c r="S2" s="24">
        <v>2.6</v>
      </c>
      <c r="T2" s="97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360230</v>
      </c>
      <c r="U2" s="24">
        <v>1.1000000000000001</v>
      </c>
      <c r="V2" s="97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10984.6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オイラに追いつけたヤツはなかなか居ないからな！</v>
      </c>
      <c r="Y2" s="46">
        <v>50008001</v>
      </c>
      <c r="Z2" s="6">
        <v>1</v>
      </c>
      <c r="AA2" s="6">
        <v>100</v>
      </c>
      <c r="AB2" s="6">
        <v>1</v>
      </c>
      <c r="AC2" s="17">
        <v>2</v>
      </c>
      <c r="AD2" s="23">
        <f>L2</f>
        <v>1129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赤兎馬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4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Drop2N</v>
      </c>
      <c r="AH2" s="7">
        <v>1</v>
      </c>
      <c r="AI2" s="23">
        <f ca="1">AF2</f>
        <v>4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8">
        <v>1</v>
      </c>
    </row>
    <row r="3" spans="1:42" ht="21" customHeight="1" x14ac:dyDescent="0.15">
      <c r="A3" s="16" t="str">
        <f t="shared" ref="A3:A5" si="0">B3&amp;"_"&amp;C3&amp;"-"&amp;G3&amp;"/"&amp;L3&amp;"&lt;lv"&amp;R3&amp;"&gt;s"&amp;AC3</f>
        <v>50008_1-2/1133&lt;lv80&gt;s2</v>
      </c>
      <c r="B3" s="7">
        <v>50008</v>
      </c>
      <c r="C3" s="21">
        <v>1</v>
      </c>
      <c r="D3" s="2" t="str">
        <f t="shared" ref="D3:D5" si="1">B3&amp;"_"&amp;C3</f>
        <v>50008_1</v>
      </c>
      <c r="E3" s="4" t="str">
        <f ca="1">VLOOKUP($B3,OFFSET([2]quests!$A$1,0,0,COUNTA([2]quests!$A:$A),MATCH(E$1,[2]quests!$1:$1,0)-MATCH($B$1,[2]quests!$1:$1,0)+1),MATCH(E$1,[2]quests!$1:$1,0)-MATCH($B$1,[2]quests!$1:$1,0)+1,FALSE)</f>
        <v>呂布襲来！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【超ウィザード級】呂布襲来</v>
      </c>
      <c r="G3" s="21">
        <v>2</v>
      </c>
      <c r="H3" s="15" t="str">
        <f t="shared" ref="H3:H5" si="2">B3&amp;"_"&amp;C3&amp;"-"&amp;G3</f>
        <v>50008_1-2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>
        <v>1</v>
      </c>
      <c r="L3" s="20">
        <v>1133</v>
      </c>
      <c r="M3" s="17" t="str">
        <f ca="1">VLOOKUP($L3,OFFSET([3]enemies!$A$1,0,0,COUNTA([3]enemies!$A:$A),MATCH(M$1,[3]enemies!$1:$1,0)-MATCH($L$1,[3]enemies!$1:$1,0)+1),MATCH(M$1,[3]enemies!$1:$1,0)-MATCH($L$1,[3]enemies!$1:$1,0)+1,FALSE)</f>
        <v>貂蝉</v>
      </c>
      <c r="N3" s="17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DropWizS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7">
        <f ca="1">VLOOKUP($L3,OFFSET([3]enemies!$A$1,0,0,COUNTA([3]enemies!$A:$A),MATCH(Q$1,[3]enemies!$1:$1,0)-MATCH($L$1,[3]enemies!$1:$1,0)+1),MATCH(Q$1,[3]enemies!$1:$1,0)-MATCH($L$1,[3]enemies!$1:$1,0)+1,FALSE)</f>
        <v>60</v>
      </c>
      <c r="R3" s="5">
        <v>80</v>
      </c>
      <c r="S3" s="24">
        <v>5.5</v>
      </c>
      <c r="T3" s="97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701976</v>
      </c>
      <c r="U3" s="24">
        <v>1.3</v>
      </c>
      <c r="V3" s="97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15386.800000000001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3" s="46">
        <v>50008002</v>
      </c>
      <c r="Z3" s="6">
        <v>1</v>
      </c>
      <c r="AA3" s="6">
        <v>100</v>
      </c>
      <c r="AB3" s="6">
        <v>1</v>
      </c>
      <c r="AC3" s="17">
        <v>2</v>
      </c>
      <c r="AD3" s="23">
        <f t="shared" ref="AD3:AD5" si="3">L3</f>
        <v>1133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貂蝉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5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3" s="7">
        <v>1</v>
      </c>
      <c r="AI3" s="23">
        <f t="shared" ref="AI3:AI5" ca="1" si="4">AF3</f>
        <v>5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8">
        <v>1</v>
      </c>
    </row>
    <row r="4" spans="1:42" ht="21" customHeight="1" x14ac:dyDescent="0.15">
      <c r="A4" s="16" t="str">
        <f t="shared" si="0"/>
        <v>50008_1-3/1131&lt;lv80&gt;s2</v>
      </c>
      <c r="B4" s="7">
        <v>50008</v>
      </c>
      <c r="C4" s="21">
        <v>1</v>
      </c>
      <c r="D4" s="2" t="str">
        <f t="shared" si="1"/>
        <v>50008_1</v>
      </c>
      <c r="E4" s="4" t="str">
        <f ca="1">VLOOKUP($B4,OFFSET([2]quests!$A$1,0,0,COUNTA([2]quests!$A:$A),MATCH(E$1,[2]quests!$1:$1,0)-MATCH($B$1,[2]quests!$1:$1,0)+1),MATCH(E$1,[2]quests!$1:$1,0)-MATCH($B$1,[2]quests!$1:$1,0)+1,FALSE)</f>
        <v>呂布襲来！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【超ウィザード級】呂布襲来</v>
      </c>
      <c r="G4" s="21">
        <v>3</v>
      </c>
      <c r="H4" s="15" t="str">
        <f t="shared" si="2"/>
        <v>50008_1-3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7">
        <v>2</v>
      </c>
      <c r="L4" s="20">
        <v>1131</v>
      </c>
      <c r="M4" s="17" t="str">
        <f ca="1">VLOOKUP($L4,OFFSET([3]enemies!$A$1,0,0,COUNTA([3]enemies!$A:$A),MATCH(M$1,[3]enemies!$1:$1,0)-MATCH($L$1,[3]enemies!$1:$1,0)+1),MATCH(M$1,[3]enemies!$1:$1,0)-MATCH($L$1,[3]enemies!$1:$1,0)+1,FALSE)</f>
        <v>董卓</v>
      </c>
      <c r="N4" s="17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DropWizS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samurai</v>
      </c>
      <c r="Q4" s="17">
        <f ca="1">VLOOKUP($L4,OFFSET([3]enemies!$A$1,0,0,COUNTA([3]enemies!$A:$A),MATCH(Q$1,[3]enemies!$1:$1,0)-MATCH($L$1,[3]enemies!$1:$1,0)+1),MATCH(Q$1,[3]enemies!$1:$1,0)-MATCH($L$1,[3]enemies!$1:$1,0)+1,FALSE)</f>
        <v>60</v>
      </c>
      <c r="R4" s="5">
        <v>80</v>
      </c>
      <c r="S4" s="24">
        <v>4</v>
      </c>
      <c r="T4" s="97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508756</v>
      </c>
      <c r="U4" s="24">
        <v>1.7</v>
      </c>
      <c r="V4" s="97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13345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状態異常耐性+フィーバーゲージ減少</v>
      </c>
      <c r="Y4" s="46">
        <v>50008004</v>
      </c>
      <c r="Z4" s="6">
        <v>1</v>
      </c>
      <c r="AA4" s="6">
        <v>100</v>
      </c>
      <c r="AB4" s="6">
        <v>1</v>
      </c>
      <c r="AC4" s="17">
        <v>2</v>
      </c>
      <c r="AD4" s="23">
        <f t="shared" si="3"/>
        <v>1131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董卓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5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4" s="7">
        <v>1</v>
      </c>
      <c r="AI4" s="23">
        <f t="shared" ca="1" si="4"/>
        <v>5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8">
        <v>1</v>
      </c>
    </row>
    <row r="5" spans="1:42" ht="21" customHeight="1" x14ac:dyDescent="0.15">
      <c r="A5" s="16" t="str">
        <f t="shared" si="0"/>
        <v>50008_1-4/1135&lt;lv80&gt;s2</v>
      </c>
      <c r="B5" s="7">
        <v>50008</v>
      </c>
      <c r="C5" s="21">
        <v>1</v>
      </c>
      <c r="D5" s="2" t="str">
        <f t="shared" si="1"/>
        <v>50008_1</v>
      </c>
      <c r="E5" s="4" t="str">
        <f ca="1">VLOOKUP($B5,OFFSET([2]quests!$A$1,0,0,COUNTA([2]quests!$A:$A),MATCH(E$1,[2]quests!$1:$1,0)-MATCH($B$1,[2]quests!$1:$1,0)+1),MATCH(E$1,[2]quests!$1:$1,0)-MATCH($B$1,[2]quests!$1:$1,0)+1,FALSE)</f>
        <v>呂布襲来！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【超ウィザード級】呂布襲来</v>
      </c>
      <c r="G5" s="21">
        <v>4</v>
      </c>
      <c r="H5" s="15" t="str">
        <f t="shared" si="2"/>
        <v>50008_1-4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7">
        <v>3</v>
      </c>
      <c r="L5" s="20">
        <v>1135</v>
      </c>
      <c r="M5" s="17" t="str">
        <f ca="1">VLOOKUP($L5,OFFSET([3]enemies!$A$1,0,0,COUNTA([3]enemies!$A:$A),MATCH(M$1,[3]enemies!$1:$1,0)-MATCH($L$1,[3]enemies!$1:$1,0)+1),MATCH(M$1,[3]enemies!$1:$1,0)-MATCH($L$1,[3]enemies!$1:$1,0)+1,FALSE)</f>
        <v>呂布</v>
      </c>
      <c r="N5" s="17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DropWizSS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samurai</v>
      </c>
      <c r="Q5" s="17">
        <f ca="1">VLOOKUP($L5,OFFSET([3]enemies!$A$1,0,0,COUNTA([3]enemies!$A:$A),MATCH(Q$1,[3]enemies!$1:$1,0)-MATCH($L$1,[3]enemies!$1:$1,0)+1),MATCH(Q$1,[3]enemies!$1:$1,0)-MATCH($L$1,[3]enemies!$1:$1,0)+1,FALSE)</f>
        <v>60</v>
      </c>
      <c r="R5" s="5">
        <v>80</v>
      </c>
      <c r="S5" s="24">
        <v>5</v>
      </c>
      <c r="T5" s="97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706605</v>
      </c>
      <c r="U5" s="24">
        <v>1.3</v>
      </c>
      <c r="V5" s="97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15080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5" s="46">
        <v>50008006</v>
      </c>
      <c r="Z5" s="6">
        <v>1</v>
      </c>
      <c r="AA5" s="6">
        <v>100</v>
      </c>
      <c r="AB5" s="6">
        <v>1</v>
      </c>
      <c r="AC5" s="17">
        <v>2</v>
      </c>
      <c r="AD5" s="23">
        <f t="shared" si="3"/>
        <v>1135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呂布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5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DropWizSS</v>
      </c>
      <c r="AH5" s="7">
        <v>1</v>
      </c>
      <c r="AI5" s="23">
        <f t="shared" ca="1" si="4"/>
        <v>5</v>
      </c>
      <c r="AJ5" s="8">
        <v>85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8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5"/>
  <sheetViews>
    <sheetView showGridLines="0" zoomScale="75" zoomScaleNormal="75" zoomScalePageLayoutView="75" workbookViewId="0">
      <pane xSplit="18" ySplit="1" topLeftCell="U2" activePane="bottomRight" state="frozen"/>
      <selection activeCell="E25" sqref="E25"/>
      <selection pane="topRight" activeCell="E25" sqref="E25"/>
      <selection pane="bottomLeft" activeCell="E25" sqref="E25"/>
      <selection pane="bottomRight" activeCell="A6" sqref="A6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16</v>
      </c>
      <c r="F1" s="29" t="s">
        <v>16</v>
      </c>
      <c r="G1" s="27" t="s">
        <v>19</v>
      </c>
      <c r="H1" s="28" t="s">
        <v>30</v>
      </c>
      <c r="I1" s="28" t="s">
        <v>14</v>
      </c>
      <c r="J1" s="28" t="s">
        <v>15</v>
      </c>
      <c r="K1" s="35" t="s">
        <v>54</v>
      </c>
      <c r="L1" s="35" t="s">
        <v>55</v>
      </c>
      <c r="M1" s="36" t="s">
        <v>2</v>
      </c>
      <c r="N1" s="30" t="s">
        <v>16</v>
      </c>
      <c r="O1" s="28" t="s">
        <v>24</v>
      </c>
      <c r="P1" s="28" t="s">
        <v>23</v>
      </c>
      <c r="Q1" s="31" t="s">
        <v>26</v>
      </c>
      <c r="R1" s="29" t="s">
        <v>25</v>
      </c>
      <c r="S1" s="27" t="s">
        <v>3</v>
      </c>
      <c r="T1" s="25" t="s">
        <v>48</v>
      </c>
      <c r="U1" s="96" t="s">
        <v>247</v>
      </c>
      <c r="V1" s="25" t="s">
        <v>50</v>
      </c>
      <c r="W1" s="96" t="s">
        <v>248</v>
      </c>
      <c r="X1" s="25" t="s">
        <v>52</v>
      </c>
      <c r="Y1" s="27" t="s">
        <v>130</v>
      </c>
      <c r="Z1" s="28" t="s">
        <v>129</v>
      </c>
      <c r="AA1" s="27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50008_1-2/1134&lt;lv80&gt;sq1st2</v>
      </c>
      <c r="B2" s="7">
        <v>50008</v>
      </c>
      <c r="C2" s="21">
        <v>1</v>
      </c>
      <c r="D2" s="2" t="str">
        <f>B2&amp;"_"&amp;C2</f>
        <v>50008_1</v>
      </c>
      <c r="E2" s="4" t="str">
        <f ca="1">VLOOKUP($B2,OFFSET([2]quests!$A$1,0,0,COUNTA([2]quests!$A:$A),MATCH(E$1,[2]quests!$1:$1,0)-MATCH($B$1,[2]quests!$1:$1,0)+1),MATCH(E$1,[2]quests!$1:$1,0)-MATCH($B$1,[2]quests!$1:$1,0)+1,FALSE)</f>
        <v>呂布襲来！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【超ウィザード級】呂布襲来</v>
      </c>
      <c r="G2" s="21">
        <v>2</v>
      </c>
      <c r="H2" s="15" t="str">
        <f>B2&amp;"_"&amp;C2&amp;"-"&amp;G2</f>
        <v>50008_1-2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>
        <v>1</v>
      </c>
      <c r="L2" s="37">
        <v>2</v>
      </c>
      <c r="M2" s="20">
        <v>1134</v>
      </c>
      <c r="N2" s="17" t="str">
        <f ca="1">VLOOKUP($M2,OFFSET([3]enemies!$A$1,0,0,COUNTA([3]enemies!$A:$A),MATCH(N$1,[3]enemies!$1:$1,0)-MATCH($M$1,[3]enemies!$1:$1,0)+1),MATCH(N$1,[3]enemies!$1:$1,0)-MATCH($M$1,[3]enemies!$1:$1,0)+1,FALSE)</f>
        <v>月隠れの美麗酔 貂蝉</v>
      </c>
      <c r="O2" s="17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80</v>
      </c>
      <c r="T2" s="24">
        <v>4.8</v>
      </c>
      <c r="U2" s="97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612633.59999999998</v>
      </c>
      <c r="V2" s="24">
        <v>1.4</v>
      </c>
      <c r="W2" s="97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16570.399999999998</v>
      </c>
      <c r="X2" s="5">
        <v>0</v>
      </c>
      <c r="Y2" s="4" t="str">
        <f ca="1">VLOOKUP($Z2,OFFSET(enemy_skill_sets!$B$1,0,0,COUNTA(enemy_skill_sets!$B:$B),MATCH(N$1,enemy_skill_sets!$1:$1,0)-MATCH($Z$1,enemy_skill_sets!$1:$1,0)+2),MATCH(N$1,enemy_skill_sets!$1:$1,0)-MATCH($Z$1,enemy_skill_sets!$1:$1,0)+2,FALSE)</f>
        <v>状態異常耐性+青属性に変化</v>
      </c>
      <c r="Z2" s="46">
        <v>50008003</v>
      </c>
      <c r="AA2" s="69">
        <v>1</v>
      </c>
    </row>
    <row r="3" spans="1:27" ht="21" customHeight="1" x14ac:dyDescent="0.15">
      <c r="A3" s="16" t="str">
        <f t="shared" ref="A3:A5" si="0">B3&amp;"_"&amp;C3&amp;"-"&amp;G3&amp;"/"&amp;M3&amp;"&lt;lv"&amp;S3&amp;"&gt;sq"&amp;K3&amp;"st"&amp;L3</f>
        <v>50008_1-3/1132&lt;lv80&gt;sq2st2</v>
      </c>
      <c r="B3" s="7">
        <v>50008</v>
      </c>
      <c r="C3" s="21">
        <v>1</v>
      </c>
      <c r="D3" s="2" t="str">
        <f t="shared" ref="D3:D5" si="1">B3&amp;"_"&amp;C3</f>
        <v>50008_1</v>
      </c>
      <c r="E3" s="4" t="str">
        <f ca="1">VLOOKUP($B3,OFFSET([2]quests!$A$1,0,0,COUNTA([2]quests!$A:$A),MATCH(E$1,[2]quests!$1:$1,0)-MATCH($B$1,[2]quests!$1:$1,0)+1),MATCH(E$1,[2]quests!$1:$1,0)-MATCH($B$1,[2]quests!$1:$1,0)+1,FALSE)</f>
        <v>呂布襲来！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【超ウィザード級】呂布襲来</v>
      </c>
      <c r="G3" s="21">
        <v>3</v>
      </c>
      <c r="H3" s="15" t="str">
        <f t="shared" ref="H3:H5" si="2">B3&amp;"_"&amp;C3&amp;"-"&amp;G3</f>
        <v>50008_1-3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>
        <v>2</v>
      </c>
      <c r="L3" s="37">
        <v>2</v>
      </c>
      <c r="M3" s="20">
        <v>1132</v>
      </c>
      <c r="N3" s="17" t="str">
        <f ca="1">VLOOKUP($M3,OFFSET([3]enemies!$A$1,0,0,COUNTA([3]enemies!$A:$A),MATCH(N$1,[3]enemies!$1:$1,0)-MATCH($M$1,[3]enemies!$1:$1,0)+1),MATCH(N$1,[3]enemies!$1:$1,0)-MATCH($M$1,[3]enemies!$1:$1,0)+1,FALSE)</f>
        <v>偏執なる狂騒君 董卓</v>
      </c>
      <c r="O3" s="17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samurai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80</v>
      </c>
      <c r="T3" s="24">
        <v>4</v>
      </c>
      <c r="U3" s="97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508756</v>
      </c>
      <c r="V3" s="24">
        <v>2</v>
      </c>
      <c r="W3" s="97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15700</v>
      </c>
      <c r="X3" s="5">
        <v>0</v>
      </c>
      <c r="Y3" s="4" t="str">
        <f ca="1">VLOOKUP($Z3,OFFSET(enemy_skill_sets!$B$1,0,0,COUNTA(enemy_skill_sets!$B:$B),MATCH(N$1,enemy_skill_sets!$1:$1,0)-MATCH($Z$1,enemy_skill_sets!$1:$1,0)+2),MATCH(N$1,enemy_skill_sets!$1:$1,0)-MATCH($Z$1,enemy_skill_sets!$1:$1,0)+2,FALSE)</f>
        <v>状態異常耐性+フィーバーゲージ減少</v>
      </c>
      <c r="Z3" s="46">
        <v>50008005</v>
      </c>
      <c r="AA3" s="69">
        <v>1</v>
      </c>
    </row>
    <row r="4" spans="1:27" ht="21" customHeight="1" x14ac:dyDescent="0.15">
      <c r="A4" s="16" t="str">
        <f t="shared" si="0"/>
        <v>50008_1-4/1135&lt;lv80&gt;sq3st2</v>
      </c>
      <c r="B4" s="7">
        <v>50008</v>
      </c>
      <c r="C4" s="21">
        <v>1</v>
      </c>
      <c r="D4" s="2" t="str">
        <f t="shared" si="1"/>
        <v>50008_1</v>
      </c>
      <c r="E4" s="4" t="str">
        <f ca="1">VLOOKUP($B4,OFFSET([2]quests!$A$1,0,0,COUNTA([2]quests!$A:$A),MATCH(E$1,[2]quests!$1:$1,0)-MATCH($B$1,[2]quests!$1:$1,0)+1),MATCH(E$1,[2]quests!$1:$1,0)-MATCH($B$1,[2]quests!$1:$1,0)+1,FALSE)</f>
        <v>呂布襲来！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【超ウィザード級】呂布襲来</v>
      </c>
      <c r="G4" s="21">
        <v>4</v>
      </c>
      <c r="H4" s="15" t="str">
        <f t="shared" si="2"/>
        <v>50008_1-4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7">
        <v>3</v>
      </c>
      <c r="L4" s="37">
        <v>2</v>
      </c>
      <c r="M4" s="20">
        <v>1135</v>
      </c>
      <c r="N4" s="17" t="str">
        <f ca="1">VLOOKUP($M4,OFFSET([3]enemies!$A$1,0,0,COUNTA([3]enemies!$A:$A),MATCH(N$1,[3]enemies!$1:$1,0)-MATCH($M$1,[3]enemies!$1:$1,0)+1),MATCH(N$1,[3]enemies!$1:$1,0)-MATCH($M$1,[3]enemies!$1:$1,0)+1,FALSE)</f>
        <v>呂布</v>
      </c>
      <c r="O4" s="17" t="str">
        <f ca="1">VLOOKUP($M4,OFFSET([3]enemies!$A$1,0,0,COUNTA([3]enemies!$A:$A),MATCH(O$1,[3]enemies!$1:$1,0)-MATCH($M$1,[3]enemies!$1:$1,0)+1),MATCH(O$1,[3]enemies!$1:$1,0)-MATCH($M$1,[3]enemies!$1:$1,0)+1,FALSE)</f>
        <v>green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samurai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80</v>
      </c>
      <c r="T4" s="24">
        <v>5.7</v>
      </c>
      <c r="U4" s="97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805529.70000000007</v>
      </c>
      <c r="V4" s="24">
        <v>1.3</v>
      </c>
      <c r="W4" s="97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15080</v>
      </c>
      <c r="X4" s="5">
        <v>0</v>
      </c>
      <c r="Y4" s="4" t="str">
        <f ca="1">VLOOKUP($Z4,OFFSET(enemy_skill_sets!$B$1,0,0,COUNTA(enemy_skill_sets!$B:$B),MATCH(N$1,enemy_skill_sets!$1:$1,0)-MATCH($Z$1,enemy_skill_sets!$1:$1,0)+2),MATCH(N$1,enemy_skill_sets!$1:$1,0)-MATCH($Z$1,enemy_skill_sets!$1:$1,0)+2,FALSE)</f>
        <v>状態異常耐性+自身の防御力UP</v>
      </c>
      <c r="Z4" s="46">
        <v>50008007</v>
      </c>
      <c r="AA4" s="69">
        <v>1</v>
      </c>
    </row>
    <row r="5" spans="1:27" ht="21" customHeight="1" x14ac:dyDescent="0.15">
      <c r="A5" s="16" t="str">
        <f t="shared" si="0"/>
        <v>50008_1-4/1136&lt;lv80&gt;sq3st3</v>
      </c>
      <c r="B5" s="7">
        <v>50008</v>
      </c>
      <c r="C5" s="21">
        <v>1</v>
      </c>
      <c r="D5" s="2" t="str">
        <f t="shared" si="1"/>
        <v>50008_1</v>
      </c>
      <c r="E5" s="4" t="str">
        <f ca="1">VLOOKUP($B5,OFFSET([2]quests!$A$1,0,0,COUNTA([2]quests!$A:$A),MATCH(E$1,[2]quests!$1:$1,0)-MATCH($B$1,[2]quests!$1:$1,0)+1),MATCH(E$1,[2]quests!$1:$1,0)-MATCH($B$1,[2]quests!$1:$1,0)+1,FALSE)</f>
        <v>呂布襲来！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【超ウィザード級】呂布襲来</v>
      </c>
      <c r="G5" s="21">
        <v>4</v>
      </c>
      <c r="H5" s="15" t="str">
        <f t="shared" si="2"/>
        <v>50008_1-4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7">
        <v>3</v>
      </c>
      <c r="L5" s="37">
        <v>3</v>
      </c>
      <c r="M5" s="20">
        <v>1136</v>
      </c>
      <c r="N5" s="17" t="str">
        <f ca="1">VLOOKUP($M5,OFFSET([3]enemies!$A$1,0,0,COUNTA([3]enemies!$A:$A),MATCH(N$1,[3]enemies!$1:$1,0)-MATCH($M$1,[3]enemies!$1:$1,0)+1),MATCH(N$1,[3]enemies!$1:$1,0)-MATCH($M$1,[3]enemies!$1:$1,0)+1,FALSE)</f>
        <v>豪拳烈創の激将 呂布</v>
      </c>
      <c r="O5" s="17" t="str">
        <f ca="1">VLOOKUP($M5,OFFSET([3]enemies!$A$1,0,0,COUNTA([3]enemies!$A:$A),MATCH(O$1,[3]enemies!$1:$1,0)-MATCH($M$1,[3]enemies!$1:$1,0)+1),MATCH(O$1,[3]enemies!$1:$1,0)-MATCH($M$1,[3]enemies!$1:$1,0)+1,FALSE)</f>
        <v>green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DropWizSS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samurai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80</v>
      </c>
      <c r="T5" s="24">
        <v>5.7</v>
      </c>
      <c r="U5" s="97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805529.70000000007</v>
      </c>
      <c r="V5" s="24">
        <v>1.5</v>
      </c>
      <c r="W5" s="97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17400</v>
      </c>
      <c r="X5" s="5">
        <v>0</v>
      </c>
      <c r="Y5" s="4" t="str">
        <f ca="1">VLOOKUP($Z5,OFFSET(enemy_skill_sets!$B$1,0,0,COUNTA(enemy_skill_sets!$B:$B),MATCH(N$1,enemy_skill_sets!$1:$1,0)-MATCH($Z$1,enemy_skill_sets!$1:$1,0)+2),MATCH(N$1,enemy_skill_sets!$1:$1,0)-MATCH($Z$1,enemy_skill_sets!$1:$1,0)+2,FALSE)</f>
        <v>状態異常耐性+自身の防御力UP</v>
      </c>
      <c r="Z5" s="46">
        <v>50008008</v>
      </c>
      <c r="AA5" s="69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50"/>
  <sheetViews>
    <sheetView showGridLines="0" zoomScale="110" zoomScaleNormal="110" zoomScalePageLayoutView="110" workbookViewId="0">
      <pane ySplit="1" topLeftCell="A22" activePane="bottomLeft" state="frozenSplit"/>
      <selection pane="bottomLeft" activeCell="C41" sqref="C41"/>
    </sheetView>
  </sheetViews>
  <sheetFormatPr baseColWidth="12" defaultColWidth="12.83203125" defaultRowHeight="21" customHeight="1" outlineLevelCol="1" x14ac:dyDescent="0.15"/>
  <cols>
    <col min="1" max="1" width="12.83203125" style="48"/>
    <col min="2" max="2" width="67.1640625" style="48" customWidth="1"/>
    <col min="3" max="4" width="12.83203125" style="48"/>
    <col min="5" max="5" width="23.6640625" style="48" bestFit="1" customWidth="1"/>
    <col min="6" max="6" width="44.1640625" style="48" bestFit="1" customWidth="1"/>
    <col min="7" max="7" width="52" style="48" hidden="1" customWidth="1" outlineLevel="1"/>
    <col min="8" max="8" width="18.33203125" style="48" hidden="1" customWidth="1" outlineLevel="1"/>
    <col min="9" max="11" width="18.6640625" style="48" hidden="1" customWidth="1" outlineLevel="1"/>
    <col min="12" max="12" width="23.6640625" style="48" customWidth="1" collapsed="1"/>
    <col min="13" max="18" width="23.6640625" style="48" hidden="1" customWidth="1" outlineLevel="1"/>
    <col min="19" max="19" width="23.6640625" style="48" customWidth="1" collapsed="1"/>
    <col min="20" max="24" width="23.6640625" style="48" hidden="1" customWidth="1" outlineLevel="1"/>
    <col min="25" max="25" width="23.6640625" style="48" customWidth="1" collapsed="1"/>
    <col min="26" max="27" width="12.83203125" style="48"/>
    <col min="28" max="28" width="44.5" style="48" customWidth="1"/>
    <col min="29" max="16384" width="12.83203125" style="48"/>
  </cols>
  <sheetData>
    <row r="1" spans="1:28" ht="21" customHeight="1" x14ac:dyDescent="0.15">
      <c r="A1" s="39" t="s">
        <v>79</v>
      </c>
      <c r="B1" s="39" t="s">
        <v>80</v>
      </c>
      <c r="C1" s="39" t="s">
        <v>81</v>
      </c>
      <c r="D1" s="39" t="s">
        <v>127</v>
      </c>
      <c r="E1" s="39" t="s">
        <v>82</v>
      </c>
      <c r="F1" s="39" t="s">
        <v>83</v>
      </c>
      <c r="G1" s="40" t="s">
        <v>133</v>
      </c>
      <c r="H1" s="40" t="s">
        <v>139</v>
      </c>
      <c r="I1" s="40" t="s">
        <v>141</v>
      </c>
      <c r="J1" s="40" t="s">
        <v>140</v>
      </c>
      <c r="K1" s="40" t="s">
        <v>142</v>
      </c>
      <c r="L1" s="40" t="s">
        <v>134</v>
      </c>
      <c r="M1" s="40" t="s">
        <v>132</v>
      </c>
      <c r="N1" s="40" t="s">
        <v>135</v>
      </c>
      <c r="O1" s="40" t="s">
        <v>143</v>
      </c>
      <c r="P1" s="40" t="s">
        <v>144</v>
      </c>
      <c r="Q1" s="40" t="s">
        <v>145</v>
      </c>
      <c r="R1" s="40" t="s">
        <v>146</v>
      </c>
      <c r="S1" s="40" t="s">
        <v>136</v>
      </c>
      <c r="T1" s="40" t="s">
        <v>137</v>
      </c>
      <c r="U1" s="40" t="s">
        <v>147</v>
      </c>
      <c r="V1" s="40" t="s">
        <v>148</v>
      </c>
      <c r="W1" s="40" t="s">
        <v>149</v>
      </c>
      <c r="X1" s="40" t="s">
        <v>150</v>
      </c>
      <c r="Y1" s="40" t="s">
        <v>138</v>
      </c>
      <c r="Z1" s="40" t="s">
        <v>76</v>
      </c>
      <c r="AA1" s="40" t="s">
        <v>77</v>
      </c>
      <c r="AB1" s="40" t="s">
        <v>78</v>
      </c>
    </row>
    <row r="2" spans="1:28" ht="21" customHeight="1" x14ac:dyDescent="0.15">
      <c r="A2" s="46">
        <v>50008001</v>
      </c>
      <c r="B2" s="46" t="s">
        <v>393</v>
      </c>
      <c r="C2" s="49">
        <v>3</v>
      </c>
      <c r="D2" s="49" t="s">
        <v>128</v>
      </c>
      <c r="E2" s="50" t="s">
        <v>372</v>
      </c>
      <c r="F2" s="50" t="s">
        <v>394</v>
      </c>
      <c r="G2" s="62" t="str">
        <f>IFERROR(LEFT(B2,FIND("],",B2)),B2)</f>
        <v>[effect:enemy_message, val1:1.2, val2:2.4]</v>
      </c>
      <c r="H2" s="62">
        <f>FIND("effect:",G2)+7</f>
        <v>9</v>
      </c>
      <c r="I2" s="62">
        <f>IFERROR(FIND(",",G2),LEN(G2))</f>
        <v>22</v>
      </c>
      <c r="J2" s="62" t="e">
        <f>FIND("target:",G2)+7</f>
        <v>#VALUE!</v>
      </c>
      <c r="K2" s="62">
        <f>FIND(",",G2,I2+1)</f>
        <v>32</v>
      </c>
      <c r="L2" s="62" t="str">
        <f>IFERROR(VLOOKUP(MID(G2,J2,K2-J2),[5]skilldef!$C:$D,2,FALSE),"-") &amp; " / " &amp; IFERROR(VLOOKUP(MID(G2,H2,I2-H2),[5]skilldef!$A:$B,2,FALSE),"-")</f>
        <v>- / -</v>
      </c>
      <c r="M2" s="62" t="str">
        <f>IFERROR(RIGHT(B2,LEN(B2)-FIND("],",B2)-1),"none")</f>
        <v>[effect:fix_speed, target:myself, turn:2]</v>
      </c>
      <c r="N2" s="47" t="str">
        <f>IFERROR(LEFT(M2,FIND("],",M2)+S8),M2)</f>
        <v>[effect:fix_speed, target:myself, turn:2]</v>
      </c>
      <c r="O2" s="62">
        <f>FIND("effect:",N2)+7</f>
        <v>9</v>
      </c>
      <c r="P2" s="62">
        <f>IFERROR(FIND(",",N2),LEN(N2))</f>
        <v>18</v>
      </c>
      <c r="Q2" s="62">
        <f>FIND("target:",N2)+7</f>
        <v>27</v>
      </c>
      <c r="R2" s="62">
        <f>FIND(",",N2,P2+1)</f>
        <v>33</v>
      </c>
      <c r="S2" s="62" t="str">
        <f>IFERROR(VLOOKUP(MID(N2,Q2,R2-Q2),[5]skilldef!$C:$D,2,FALSE),"-") &amp; " / " &amp; IFERROR(VLOOKUP(MID(N2,O2,P2-O2),[5]skilldef!$A:$B,2,FALSE),"-")</f>
        <v>自分自身に / 行動値設定</v>
      </c>
      <c r="T2" s="47" t="str">
        <f>IFERROR(RIGHT(M2,LEN(M2)-FIND("],",M2)-1),"none")</f>
        <v>none</v>
      </c>
      <c r="U2" s="62" t="e">
        <f>FIND("effect:",T2)+7</f>
        <v>#VALUE!</v>
      </c>
      <c r="V2" s="62">
        <f>IFERROR(FIND(",",T2),LEN(T2))</f>
        <v>4</v>
      </c>
      <c r="W2" s="62" t="e">
        <f>FIND("target:",T2)+7</f>
        <v>#VALUE!</v>
      </c>
      <c r="X2" s="62" t="e">
        <f>FIND(",",T2,V2+1)</f>
        <v>#VALUE!</v>
      </c>
      <c r="Y2" s="62" t="str">
        <f>IFERROR(VLOOKUP(MID(T2,W2,X2-W2),[5]skilldef!$C:$D,2,FALSE),"-") &amp; " / " &amp; IFERROR(VLOOKUP(MID(T2,U2,V2-U2),[5]skilldef!$A:$B,2,FALSE),"-")</f>
        <v>- / -</v>
      </c>
      <c r="Z2" s="49"/>
      <c r="AA2" s="51"/>
      <c r="AB2" s="49"/>
    </row>
    <row r="3" spans="1:28" ht="21" customHeight="1" x14ac:dyDescent="0.15">
      <c r="A3" s="46">
        <v>50008002</v>
      </c>
      <c r="B3" s="46" t="s">
        <v>252</v>
      </c>
      <c r="C3" s="49">
        <v>3</v>
      </c>
      <c r="D3" s="49" t="s">
        <v>128</v>
      </c>
      <c r="E3" s="50" t="s">
        <v>259</v>
      </c>
      <c r="F3" s="50" t="s">
        <v>398</v>
      </c>
      <c r="G3" s="62" t="str">
        <f t="shared" ref="G3:G26" si="0">IFERROR(LEFT(B3,FIND("],",B3)),B3)</f>
        <v>[effect:damage_abnormal, target:unit_one, val:1.2, status:dark, turn:2, rate:1, animation:enemy_dark]</v>
      </c>
      <c r="H3" s="62">
        <f t="shared" ref="H3:H38" si="1">FIND("effect:",G3)+7</f>
        <v>9</v>
      </c>
      <c r="I3" s="62">
        <f t="shared" ref="I3:I26" si="2">IFERROR(FIND(",",G3),LEN(G3))</f>
        <v>24</v>
      </c>
      <c r="J3" s="62">
        <f t="shared" ref="J3:J26" si="3">FIND("target:",G3)+7</f>
        <v>33</v>
      </c>
      <c r="K3" s="62">
        <f t="shared" ref="K3:K26" si="4">FIND(",",G3,I3+1)</f>
        <v>41</v>
      </c>
      <c r="L3" s="62" t="str">
        <f>IFERROR(VLOOKUP(MID(G3,J3,K3-J3),[5]skilldef!$C:$D,2,FALSE),"-") &amp; " / " &amp; IFERROR(VLOOKUP(MID(G3,H3,I3-H3),[5]skilldef!$A:$B,2,FALSE),"-")</f>
        <v>味方単体に / -</v>
      </c>
      <c r="M3" s="62" t="str">
        <f t="shared" ref="M3:M26" si="5">IFERROR(RIGHT(B3,LEN(B3)-FIND("],",B3)-1),"none")</f>
        <v>none</v>
      </c>
      <c r="N3" s="47" t="str">
        <f>IFERROR(LEFT(M3,FIND("],",M3)+S9),M3)</f>
        <v>none</v>
      </c>
      <c r="O3" s="62" t="e">
        <f t="shared" ref="O3:O38" si="6">FIND("effect:",N3)+7</f>
        <v>#VALUE!</v>
      </c>
      <c r="P3" s="62">
        <f t="shared" ref="P3:P26" si="7">IFERROR(FIND(",",N3),LEN(N3))</f>
        <v>4</v>
      </c>
      <c r="Q3" s="62" t="e">
        <f t="shared" ref="Q3:Q26" si="8">FIND("target:",N3)+7</f>
        <v>#VALUE!</v>
      </c>
      <c r="R3" s="62" t="e">
        <f t="shared" ref="R3:R26" si="9">FIND(",",N3,P3+1)</f>
        <v>#VALUE!</v>
      </c>
      <c r="S3" s="62" t="str">
        <f>IFERROR(VLOOKUP(MID(N3,Q3,R3-Q3),[5]skilldef!$C:$D,2,FALSE),"-") &amp; " / " &amp; IFERROR(VLOOKUP(MID(N3,O3,P3-O3),[5]skilldef!$A:$B,2,FALSE),"-")</f>
        <v>- / -</v>
      </c>
      <c r="T3" s="47" t="str">
        <f t="shared" ref="T3:T26" si="10">IFERROR(RIGHT(M3,LEN(M3)-FIND("],",M3)-1),"none")</f>
        <v>none</v>
      </c>
      <c r="U3" s="62" t="e">
        <f t="shared" ref="U3:U38" si="11">FIND("effect:",T3)+7</f>
        <v>#VALUE!</v>
      </c>
      <c r="V3" s="62">
        <f t="shared" ref="V3:V26" si="12">IFERROR(FIND(",",T3),LEN(T3))</f>
        <v>4</v>
      </c>
      <c r="W3" s="62" t="e">
        <f t="shared" ref="W3:W26" si="13">FIND("target:",T3)+7</f>
        <v>#VALUE!</v>
      </c>
      <c r="X3" s="62" t="e">
        <f t="shared" ref="X3:X26" si="14">FIND(",",T3,V3+1)</f>
        <v>#VALUE!</v>
      </c>
      <c r="Y3" s="62" t="str">
        <f>IFERROR(VLOOKUP(MID(T3,W3,X3-W3),[5]skilldef!$C:$D,2,FALSE),"-") &amp; " / " &amp; IFERROR(VLOOKUP(MID(T3,U3,V3-U3),[5]skilldef!$A:$B,2,FALSE),"-")</f>
        <v>- / -</v>
      </c>
      <c r="Z3" s="49"/>
      <c r="AA3" s="51"/>
      <c r="AB3" s="49"/>
    </row>
    <row r="4" spans="1:28" ht="21" customHeight="1" x14ac:dyDescent="0.15">
      <c r="A4" s="46">
        <v>50008003</v>
      </c>
      <c r="B4" s="46" t="s">
        <v>374</v>
      </c>
      <c r="C4" s="49">
        <v>3</v>
      </c>
      <c r="D4" s="49" t="s">
        <v>128</v>
      </c>
      <c r="E4" s="50" t="s">
        <v>373</v>
      </c>
      <c r="F4" s="50" t="s">
        <v>283</v>
      </c>
      <c r="G4" s="62" t="str">
        <f t="shared" si="0"/>
        <v>[effect:enemy_message, val1:1.2, val2:2]</v>
      </c>
      <c r="H4" s="62">
        <f t="shared" si="1"/>
        <v>9</v>
      </c>
      <c r="I4" s="62">
        <f t="shared" si="2"/>
        <v>22</v>
      </c>
      <c r="J4" s="62" t="e">
        <f t="shared" si="3"/>
        <v>#VALUE!</v>
      </c>
      <c r="K4" s="62">
        <f t="shared" si="4"/>
        <v>32</v>
      </c>
      <c r="L4" s="62" t="str">
        <f>IFERROR(VLOOKUP(MID(G4,J4,K4-J4),[5]skilldef!$C:$D,2,FALSE),"-") &amp; " / " &amp; IFERROR(VLOOKUP(MID(G4,H4,I4-H4),[5]skilldef!$A:$B,2,FALSE),"-")</f>
        <v>- / -</v>
      </c>
      <c r="M4" s="62" t="str">
        <f t="shared" si="5"/>
        <v>[effect:rush, count:4, val:0.35]</v>
      </c>
      <c r="N4" s="47" t="str">
        <f>IFERROR(LEFT(M4,FIND("],",M4)+S10),M4)</f>
        <v>[effect:rush, count:4, val:0.35]</v>
      </c>
      <c r="O4" s="62">
        <f t="shared" si="6"/>
        <v>9</v>
      </c>
      <c r="P4" s="62">
        <f t="shared" si="7"/>
        <v>13</v>
      </c>
      <c r="Q4" s="62" t="e">
        <f t="shared" si="8"/>
        <v>#VALUE!</v>
      </c>
      <c r="R4" s="62">
        <f t="shared" si="9"/>
        <v>22</v>
      </c>
      <c r="S4" s="62" t="str">
        <f>IFERROR(VLOOKUP(MID(N4,Q4,R4-Q4),[5]skilldef!$C:$D,2,FALSE),"-") &amp; " / " &amp; IFERROR(VLOOKUP(MID(N4,O4,P4-O4),[5]skilldef!$A:$B,2,FALSE),"-")</f>
        <v>- / 連続攻撃</v>
      </c>
      <c r="T4" s="47" t="str">
        <f t="shared" si="10"/>
        <v>none</v>
      </c>
      <c r="U4" s="62" t="e">
        <f t="shared" si="11"/>
        <v>#VALUE!</v>
      </c>
      <c r="V4" s="62">
        <f t="shared" si="12"/>
        <v>4</v>
      </c>
      <c r="W4" s="62" t="e">
        <f t="shared" si="13"/>
        <v>#VALUE!</v>
      </c>
      <c r="X4" s="62" t="e">
        <f t="shared" si="14"/>
        <v>#VALUE!</v>
      </c>
      <c r="Y4" s="62" t="str">
        <f>IFERROR(VLOOKUP(MID(T4,W4,X4-W4),[5]skilldef!$C:$D,2,FALSE),"-") &amp; " / " &amp; IFERROR(VLOOKUP(MID(T4,U4,V4-U4),[5]skilldef!$A:$B,2,FALSE),"-")</f>
        <v>- / -</v>
      </c>
      <c r="Z4" s="49"/>
      <c r="AA4" s="51"/>
      <c r="AB4" s="49"/>
    </row>
    <row r="5" spans="1:28" ht="21" customHeight="1" x14ac:dyDescent="0.15">
      <c r="A5" s="46">
        <v>50008004</v>
      </c>
      <c r="B5" s="46" t="s">
        <v>253</v>
      </c>
      <c r="C5" s="49">
        <v>3</v>
      </c>
      <c r="D5" s="49" t="s">
        <v>128</v>
      </c>
      <c r="E5" s="50" t="s">
        <v>260</v>
      </c>
      <c r="F5" s="50" t="s">
        <v>284</v>
      </c>
      <c r="G5" s="62" t="str">
        <f t="shared" si="0"/>
        <v>[effect:damage_anti_abnormal, target:unit_one, target_effect01:dark, val1:1.5, val2:1]</v>
      </c>
      <c r="H5" s="62">
        <f t="shared" si="1"/>
        <v>9</v>
      </c>
      <c r="I5" s="62">
        <f t="shared" si="2"/>
        <v>29</v>
      </c>
      <c r="J5" s="62">
        <f t="shared" si="3"/>
        <v>38</v>
      </c>
      <c r="K5" s="62">
        <f t="shared" si="4"/>
        <v>46</v>
      </c>
      <c r="L5" s="62" t="str">
        <f>IFERROR(VLOOKUP(MID(G5,J5,K5-J5),[5]skilldef!$C:$D,2,FALSE),"-") &amp; " / " &amp; IFERROR(VLOOKUP(MID(G5,H5,I5-H5),[5]skilldef!$A:$B,2,FALSE),"-")</f>
        <v>味方単体に / -</v>
      </c>
      <c r="M5" s="62" t="str">
        <f t="shared" si="5"/>
        <v>none</v>
      </c>
      <c r="N5" s="47" t="str">
        <f>IFERROR(LEFT(M5,FIND("],",M5)+#REF!),M5)</f>
        <v>none</v>
      </c>
      <c r="O5" s="62" t="e">
        <f t="shared" si="6"/>
        <v>#VALUE!</v>
      </c>
      <c r="P5" s="62">
        <f t="shared" si="7"/>
        <v>4</v>
      </c>
      <c r="Q5" s="62" t="e">
        <f t="shared" si="8"/>
        <v>#VALUE!</v>
      </c>
      <c r="R5" s="62" t="e">
        <f t="shared" si="9"/>
        <v>#VALUE!</v>
      </c>
      <c r="S5" s="62" t="str">
        <f>IFERROR(VLOOKUP(MID(N5,Q5,R5-Q5),[5]skilldef!$C:$D,2,FALSE),"-") &amp; " / " &amp; IFERROR(VLOOKUP(MID(N5,O5,P5-O5),[5]skilldef!$A:$B,2,FALSE),"-")</f>
        <v>- / -</v>
      </c>
      <c r="T5" s="47" t="str">
        <f t="shared" si="10"/>
        <v>none</v>
      </c>
      <c r="U5" s="62" t="e">
        <f t="shared" si="11"/>
        <v>#VALUE!</v>
      </c>
      <c r="V5" s="62">
        <f t="shared" si="12"/>
        <v>4</v>
      </c>
      <c r="W5" s="62" t="e">
        <f t="shared" si="13"/>
        <v>#VALUE!</v>
      </c>
      <c r="X5" s="62" t="e">
        <f t="shared" si="14"/>
        <v>#VALUE!</v>
      </c>
      <c r="Y5" s="62" t="str">
        <f>IFERROR(VLOOKUP(MID(T5,W5,X5-W5),[5]skilldef!$C:$D,2,FALSE),"-") &amp; " / " &amp; IFERROR(VLOOKUP(MID(T5,U5,V5-U5),[5]skilldef!$A:$B,2,FALSE),"-")</f>
        <v>- / -</v>
      </c>
      <c r="Z5" s="49"/>
      <c r="AA5" s="51"/>
      <c r="AB5" s="49"/>
    </row>
    <row r="6" spans="1:28" ht="21" customHeight="1" x14ac:dyDescent="0.15">
      <c r="A6" s="46">
        <v>50008005</v>
      </c>
      <c r="B6" s="46" t="s">
        <v>367</v>
      </c>
      <c r="C6" s="49">
        <v>3</v>
      </c>
      <c r="D6" s="49" t="s">
        <v>128</v>
      </c>
      <c r="E6" s="50" t="s">
        <v>281</v>
      </c>
      <c r="F6" s="50" t="s">
        <v>285</v>
      </c>
      <c r="G6" s="62" t="str">
        <f t="shared" si="0"/>
        <v>[effect:virus, turn:-1, rate:1, val:4, animation:enemy_virus]</v>
      </c>
      <c r="H6" s="62">
        <f t="shared" si="1"/>
        <v>9</v>
      </c>
      <c r="I6" s="62">
        <f t="shared" si="2"/>
        <v>14</v>
      </c>
      <c r="J6" s="62" t="e">
        <f t="shared" si="3"/>
        <v>#VALUE!</v>
      </c>
      <c r="K6" s="62">
        <f t="shared" si="4"/>
        <v>23</v>
      </c>
      <c r="L6" s="62" t="str">
        <f>IFERROR(VLOOKUP(MID(G6,J6,K6-J6),[5]skilldef!$C:$D,2,FALSE),"-") &amp; " / " &amp; IFERROR(VLOOKUP(MID(G6,H6,I6-H6),[5]skilldef!$A:$B,2,FALSE),"-")</f>
        <v>- / ウィルス</v>
      </c>
      <c r="M6" s="62" t="str">
        <f t="shared" si="5"/>
        <v>none</v>
      </c>
      <c r="N6" s="47" t="str">
        <f>IFERROR(LEFT(M6,FIND("],",M6)+#REF!),M6)</f>
        <v>none</v>
      </c>
      <c r="O6" s="62" t="e">
        <f t="shared" si="6"/>
        <v>#VALUE!</v>
      </c>
      <c r="P6" s="62">
        <f t="shared" si="7"/>
        <v>4</v>
      </c>
      <c r="Q6" s="62" t="e">
        <f t="shared" si="8"/>
        <v>#VALUE!</v>
      </c>
      <c r="R6" s="62" t="e">
        <f t="shared" si="9"/>
        <v>#VALUE!</v>
      </c>
      <c r="S6" s="62" t="str">
        <f>IFERROR(VLOOKUP(MID(N6,Q6,R6-Q6),[5]skilldef!$C:$D,2,FALSE),"-") &amp; " / " &amp; IFERROR(VLOOKUP(MID(N6,O6,P6-O6),[5]skilldef!$A:$B,2,FALSE),"-")</f>
        <v>- / -</v>
      </c>
      <c r="T6" s="47" t="str">
        <f t="shared" si="10"/>
        <v>none</v>
      </c>
      <c r="U6" s="62" t="e">
        <f t="shared" si="11"/>
        <v>#VALUE!</v>
      </c>
      <c r="V6" s="62">
        <f t="shared" si="12"/>
        <v>4</v>
      </c>
      <c r="W6" s="62" t="e">
        <f t="shared" si="13"/>
        <v>#VALUE!</v>
      </c>
      <c r="X6" s="62" t="e">
        <f t="shared" si="14"/>
        <v>#VALUE!</v>
      </c>
      <c r="Y6" s="62" t="str">
        <f>IFERROR(VLOOKUP(MID(T6,W6,X6-W6),[5]skilldef!$C:$D,2,FALSE),"-") &amp; " / " &amp; IFERROR(VLOOKUP(MID(T6,U6,V6-U6),[5]skilldef!$A:$B,2,FALSE),"-")</f>
        <v>- / -</v>
      </c>
      <c r="Z6" s="49"/>
      <c r="AA6" s="51"/>
      <c r="AB6" s="49"/>
    </row>
    <row r="7" spans="1:28" ht="21" customHeight="1" x14ac:dyDescent="0.15">
      <c r="A7" s="46">
        <v>50008006</v>
      </c>
      <c r="B7" s="46" t="s">
        <v>396</v>
      </c>
      <c r="C7" s="49">
        <v>3</v>
      </c>
      <c r="D7" s="49" t="s">
        <v>128</v>
      </c>
      <c r="E7" s="50" t="s">
        <v>395</v>
      </c>
      <c r="F7" s="50" t="s">
        <v>302</v>
      </c>
      <c r="G7" s="62" t="str">
        <f>IFERROR(LEFT(B7,FIND("],",B7)),B7)</f>
        <v>[effect:enemy_message, val1:1.4, val2:2.2, dead_type:escape]</v>
      </c>
      <c r="H7" s="62">
        <f>FIND("effect:",G7)+7</f>
        <v>9</v>
      </c>
      <c r="I7" s="62">
        <f>IFERROR(FIND(",",G7),LEN(G7))</f>
        <v>22</v>
      </c>
      <c r="J7" s="62" t="e">
        <f>FIND("target:",G7)+7</f>
        <v>#VALUE!</v>
      </c>
      <c r="K7" s="62">
        <f>FIND(",",G7,I7+1)</f>
        <v>32</v>
      </c>
      <c r="L7" s="62" t="str">
        <f>IFERROR(VLOOKUP(MID(G7,J7,K7-J7),[5]skilldef!$C:$D,2,FALSE),"-") &amp; " / " &amp; IFERROR(VLOOKUP(MID(G7,H7,I7-H7),[5]skilldef!$A:$B,2,FALSE),"-")</f>
        <v>- / -</v>
      </c>
      <c r="M7" s="62" t="str">
        <f>IFERROR(RIGHT(B7,LEN(B7)-FIND("],",B7)-1),"none")</f>
        <v>none</v>
      </c>
      <c r="N7" s="47" t="str">
        <f>IFERROR(LEFT(M7,FIND("],",M7)+#REF!),M7)</f>
        <v>none</v>
      </c>
      <c r="O7" s="62" t="e">
        <f>FIND("effect:",N7)+7</f>
        <v>#VALUE!</v>
      </c>
      <c r="P7" s="62">
        <f>IFERROR(FIND(",",N7),LEN(N7))</f>
        <v>4</v>
      </c>
      <c r="Q7" s="62" t="e">
        <f>FIND("target:",N7)+7</f>
        <v>#VALUE!</v>
      </c>
      <c r="R7" s="62" t="e">
        <f>FIND(",",N7,P7+1)</f>
        <v>#VALUE!</v>
      </c>
      <c r="S7" s="62" t="str">
        <f>IFERROR(VLOOKUP(MID(N7,Q7,R7-Q7),[5]skilldef!$C:$D,2,FALSE),"-") &amp; " / " &amp; IFERROR(VLOOKUP(MID(N7,O7,P7-O7),[5]skilldef!$A:$B,2,FALSE),"-")</f>
        <v>- / -</v>
      </c>
      <c r="T7" s="47" t="str">
        <f>IFERROR(RIGHT(M7,LEN(M7)-FIND("],",M7)-1),"none")</f>
        <v>none</v>
      </c>
      <c r="U7" s="62" t="e">
        <f>FIND("effect:",T7)+7</f>
        <v>#VALUE!</v>
      </c>
      <c r="V7" s="62">
        <f>IFERROR(FIND(",",T7),LEN(T7))</f>
        <v>4</v>
      </c>
      <c r="W7" s="62" t="e">
        <f>FIND("target:",T7)+7</f>
        <v>#VALUE!</v>
      </c>
      <c r="X7" s="62" t="e">
        <f>FIND(",",T7,V7+1)</f>
        <v>#VALUE!</v>
      </c>
      <c r="Y7" s="62" t="str">
        <f>IFERROR(VLOOKUP(MID(T7,W7,X7-W7),[5]skilldef!$C:$D,2,FALSE),"-") &amp; " / " &amp; IFERROR(VLOOKUP(MID(T7,U7,V7-U7),[5]skilldef!$A:$B,2,FALSE),"-")</f>
        <v>- / -</v>
      </c>
      <c r="Z7" s="49"/>
      <c r="AA7" s="51"/>
      <c r="AB7" s="49"/>
    </row>
    <row r="8" spans="1:28" ht="21" customHeight="1" x14ac:dyDescent="0.15">
      <c r="A8" s="46">
        <v>50008007</v>
      </c>
      <c r="B8" s="46" t="s">
        <v>376</v>
      </c>
      <c r="C8" s="49">
        <v>3</v>
      </c>
      <c r="D8" s="49" t="s">
        <v>128</v>
      </c>
      <c r="E8" s="50" t="s">
        <v>261</v>
      </c>
      <c r="F8" s="50" t="s">
        <v>250</v>
      </c>
      <c r="G8" s="62" t="str">
        <f t="shared" si="0"/>
        <v>[effect:enemy_message, val1:1.2, val2:2]</v>
      </c>
      <c r="H8" s="62">
        <f t="shared" si="1"/>
        <v>9</v>
      </c>
      <c r="I8" s="62">
        <f t="shared" si="2"/>
        <v>22</v>
      </c>
      <c r="J8" s="62" t="e">
        <f t="shared" si="3"/>
        <v>#VALUE!</v>
      </c>
      <c r="K8" s="62">
        <f t="shared" si="4"/>
        <v>32</v>
      </c>
      <c r="L8" s="62" t="str">
        <f>IFERROR(VLOOKUP(MID(G8,J8,K8-J8),[5]skilldef!$C:$D,2,FALSE),"-") &amp; " / " &amp; IFERROR(VLOOKUP(MID(G8,H8,I8-H8),[5]skilldef!$A:$B,2,FALSE),"-")</f>
        <v>- / -</v>
      </c>
      <c r="M8" s="62" t="str">
        <f t="shared" si="5"/>
        <v>[effect:fix_speed, target:myself, turn:2],[effect:tolerance, target:myself, turn:-1, count:-1, tolerance_effect:all, animation:enemy_tolerance]</v>
      </c>
      <c r="N8" s="47" t="str">
        <f t="shared" ref="N8:N13" si="15">IFERROR(LEFT(M8,FIND("],",M8)+S11),M8)</f>
        <v>[effect:fix_speed, target:myself, turn:2],[effect:tolerance, target:myself, turn:-1, count:-1, tolerance_effect:all, animation:enemy_tolerance]</v>
      </c>
      <c r="O8" s="62">
        <f t="shared" si="6"/>
        <v>9</v>
      </c>
      <c r="P8" s="62">
        <f t="shared" si="7"/>
        <v>18</v>
      </c>
      <c r="Q8" s="62">
        <f t="shared" si="8"/>
        <v>27</v>
      </c>
      <c r="R8" s="62">
        <f t="shared" si="9"/>
        <v>33</v>
      </c>
      <c r="S8" s="62" t="str">
        <f>IFERROR(VLOOKUP(MID(N8,Q8,R8-Q8),[5]skilldef!$C:$D,2,FALSE),"-") &amp; " / " &amp; IFERROR(VLOOKUP(MID(N8,O8,P8-O8),[5]skilldef!$A:$B,2,FALSE),"-")</f>
        <v>自分自身に / 行動値設定</v>
      </c>
      <c r="T8" s="47" t="str">
        <f t="shared" si="10"/>
        <v>[effect:tolerance, target:myself, turn:-1, count:-1, tolerance_effect:all, animation:enemy_tolerance]</v>
      </c>
      <c r="U8" s="62">
        <f t="shared" si="11"/>
        <v>9</v>
      </c>
      <c r="V8" s="62">
        <f t="shared" si="12"/>
        <v>18</v>
      </c>
      <c r="W8" s="62">
        <f t="shared" si="13"/>
        <v>27</v>
      </c>
      <c r="X8" s="62">
        <f t="shared" si="14"/>
        <v>33</v>
      </c>
      <c r="Y8" s="62" t="str">
        <f>IFERROR(VLOOKUP(MID(T8,W8,X8-W8),[5]skilldef!$C:$D,2,FALSE),"-") &amp; " / " &amp; IFERROR(VLOOKUP(MID(T8,U8,V8-U8),[5]skilldef!$A:$B,2,FALSE),"-")</f>
        <v>自分自身に / 状態異常耐性</v>
      </c>
      <c r="Z8" s="49"/>
      <c r="AA8" s="51"/>
      <c r="AB8" s="49"/>
    </row>
    <row r="9" spans="1:28" ht="21" customHeight="1" x14ac:dyDescent="0.15">
      <c r="A9" s="46">
        <v>50008008</v>
      </c>
      <c r="B9" s="46" t="s">
        <v>401</v>
      </c>
      <c r="C9" s="49">
        <v>3</v>
      </c>
      <c r="D9" s="49" t="s">
        <v>128</v>
      </c>
      <c r="E9" s="50" t="s">
        <v>263</v>
      </c>
      <c r="F9" s="50" t="s">
        <v>288</v>
      </c>
      <c r="G9" s="62" t="str">
        <f t="shared" si="0"/>
        <v>[effect:force_change_block, new_block:jammer, target:block_all, ignore01:crash, ignore02:crack_bomb, ignore03:color_break, ignore04:jammer, ignore05:magnet, count:5, val:0, animation:change_block]</v>
      </c>
      <c r="H9" s="62">
        <f t="shared" si="1"/>
        <v>9</v>
      </c>
      <c r="I9" s="62">
        <f t="shared" si="2"/>
        <v>27</v>
      </c>
      <c r="J9" s="62">
        <f t="shared" si="3"/>
        <v>54</v>
      </c>
      <c r="K9" s="62">
        <f t="shared" si="4"/>
        <v>45</v>
      </c>
      <c r="L9" s="62" t="str">
        <f>IFERROR(VLOOKUP(MID(G9,J9,K9-J9),[5]skilldef!$C:$D,2,FALSE),"-") &amp; " / " &amp; IFERROR(VLOOKUP(MID(G9,H9,I9-H9),[5]skilldef!$A:$B,2,FALSE),"-")</f>
        <v>- / -</v>
      </c>
      <c r="M9" s="62" t="str">
        <f t="shared" si="5"/>
        <v>[effect:critical, val:0.7]</v>
      </c>
      <c r="N9" s="47" t="str">
        <f t="shared" si="15"/>
        <v>[effect:critical, val:0.7]</v>
      </c>
      <c r="O9" s="62">
        <f t="shared" si="6"/>
        <v>9</v>
      </c>
      <c r="P9" s="62">
        <f t="shared" si="7"/>
        <v>17</v>
      </c>
      <c r="Q9" s="62" t="e">
        <f t="shared" si="8"/>
        <v>#VALUE!</v>
      </c>
      <c r="R9" s="62" t="e">
        <f t="shared" si="9"/>
        <v>#VALUE!</v>
      </c>
      <c r="S9" s="62" t="str">
        <f>IFERROR(VLOOKUP(MID(N9,Q9,R9-Q9),[5]skilldef!$C:$D,2,FALSE),"-") &amp; " / " &amp; IFERROR(VLOOKUP(MID(N9,O9,P9-O9),[5]skilldef!$A:$B,2,FALSE),"-")</f>
        <v>- / 大攻撃</v>
      </c>
      <c r="T9" s="47" t="str">
        <f t="shared" si="10"/>
        <v>none</v>
      </c>
      <c r="U9" s="62" t="e">
        <f t="shared" si="11"/>
        <v>#VALUE!</v>
      </c>
      <c r="V9" s="62">
        <f t="shared" si="12"/>
        <v>4</v>
      </c>
      <c r="W9" s="62" t="e">
        <f t="shared" si="13"/>
        <v>#VALUE!</v>
      </c>
      <c r="X9" s="62" t="e">
        <f t="shared" si="14"/>
        <v>#VALUE!</v>
      </c>
      <c r="Y9" s="62" t="str">
        <f>IFERROR(VLOOKUP(MID(T9,W9,X9-W9),[5]skilldef!$C:$D,2,FALSE),"-") &amp; " / " &amp; IFERROR(VLOOKUP(MID(T9,U9,V9-U9),[5]skilldef!$A:$B,2,FALSE),"-")</f>
        <v>- / -</v>
      </c>
      <c r="Z9" s="49"/>
      <c r="AA9" s="51"/>
      <c r="AB9" s="49"/>
    </row>
    <row r="10" spans="1:28" ht="21" customHeight="1" x14ac:dyDescent="0.15">
      <c r="A10" s="46">
        <v>50008009</v>
      </c>
      <c r="B10" s="46" t="s">
        <v>267</v>
      </c>
      <c r="C10" s="49">
        <v>3</v>
      </c>
      <c r="D10" s="49" t="s">
        <v>128</v>
      </c>
      <c r="E10" s="50" t="s">
        <v>264</v>
      </c>
      <c r="F10" s="50" t="s">
        <v>289</v>
      </c>
      <c r="G10" s="62" t="str">
        <f t="shared" si="0"/>
        <v>[effect:break_attack_fix, target:unit_one, val:1300, lowest_val:8500, count:-1, color:yellow, block01:jammer]</v>
      </c>
      <c r="H10" s="62">
        <f t="shared" si="1"/>
        <v>9</v>
      </c>
      <c r="I10" s="62">
        <f t="shared" si="2"/>
        <v>25</v>
      </c>
      <c r="J10" s="62">
        <f t="shared" si="3"/>
        <v>34</v>
      </c>
      <c r="K10" s="62">
        <f t="shared" si="4"/>
        <v>42</v>
      </c>
      <c r="L10" s="62" t="str">
        <f>IFERROR(VLOOKUP(MID(G10,J10,K10-J10),[5]skilldef!$C:$D,2,FALSE),"-") &amp; " / " &amp; IFERROR(VLOOKUP(MID(G10,H10,I10-H10),[5]skilldef!$A:$B,2,FALSE),"-")</f>
        <v>味方単体に / -</v>
      </c>
      <c r="M10" s="62" t="str">
        <f t="shared" si="5"/>
        <v>none</v>
      </c>
      <c r="N10" s="47" t="str">
        <f t="shared" si="15"/>
        <v>none</v>
      </c>
      <c r="O10" s="62" t="e">
        <f t="shared" si="6"/>
        <v>#VALUE!</v>
      </c>
      <c r="P10" s="62">
        <f t="shared" si="7"/>
        <v>4</v>
      </c>
      <c r="Q10" s="62" t="e">
        <f t="shared" si="8"/>
        <v>#VALUE!</v>
      </c>
      <c r="R10" s="62" t="e">
        <f t="shared" si="9"/>
        <v>#VALUE!</v>
      </c>
      <c r="S10" s="62" t="str">
        <f>IFERROR(VLOOKUP(MID(N10,Q10,R10-Q10),[5]skilldef!$C:$D,2,FALSE),"-") &amp; " / " &amp; IFERROR(VLOOKUP(MID(N10,O10,P10-O10),[5]skilldef!$A:$B,2,FALSE),"-")</f>
        <v>- / -</v>
      </c>
      <c r="T10" s="47" t="str">
        <f t="shared" si="10"/>
        <v>none</v>
      </c>
      <c r="U10" s="62" t="e">
        <f t="shared" si="11"/>
        <v>#VALUE!</v>
      </c>
      <c r="V10" s="62">
        <f t="shared" si="12"/>
        <v>4</v>
      </c>
      <c r="W10" s="62" t="e">
        <f t="shared" si="13"/>
        <v>#VALUE!</v>
      </c>
      <c r="X10" s="62" t="e">
        <f t="shared" si="14"/>
        <v>#VALUE!</v>
      </c>
      <c r="Y10" s="62" t="str">
        <f>IFERROR(VLOOKUP(MID(T10,W10,X10-W10),[5]skilldef!$C:$D,2,FALSE),"-") &amp; " / " &amp; IFERROR(VLOOKUP(MID(T10,U10,V10-U10),[5]skilldef!$A:$B,2,FALSE),"-")</f>
        <v>- / -</v>
      </c>
      <c r="Z10" s="49"/>
      <c r="AA10" s="51"/>
      <c r="AB10" s="49"/>
    </row>
    <row r="11" spans="1:28" ht="21" customHeight="1" x14ac:dyDescent="0.15">
      <c r="A11" s="46">
        <v>50008010</v>
      </c>
      <c r="B11" s="46" t="s">
        <v>375</v>
      </c>
      <c r="C11" s="49">
        <v>3</v>
      </c>
      <c r="D11" s="49" t="s">
        <v>128</v>
      </c>
      <c r="E11" s="50" t="s">
        <v>262</v>
      </c>
      <c r="F11" s="50" t="s">
        <v>287</v>
      </c>
      <c r="G11" s="62" t="str">
        <f t="shared" si="0"/>
        <v>[effect:enemy_message, val1:1.4, val2:2]</v>
      </c>
      <c r="H11" s="62">
        <f t="shared" si="1"/>
        <v>9</v>
      </c>
      <c r="I11" s="62">
        <f t="shared" si="2"/>
        <v>22</v>
      </c>
      <c r="J11" s="62" t="e">
        <f t="shared" si="3"/>
        <v>#VALUE!</v>
      </c>
      <c r="K11" s="62">
        <f t="shared" si="4"/>
        <v>32</v>
      </c>
      <c r="L11" s="62" t="str">
        <f>IFERROR(VLOOKUP(MID(G11,J11,K11-J11),[5]skilldef!$C:$D,2,FALSE),"-") &amp; " / " &amp; IFERROR(VLOOKUP(MID(G11,H11,I11-H11),[5]skilldef!$A:$B,2,FALSE),"-")</f>
        <v>- / -</v>
      </c>
      <c r="M11" s="62" t="str">
        <f t="shared" si="5"/>
        <v>[effect:fix_speed, target:myself, turn:1],[effect:tolerance, target:myself, turn:-1, count:-1, tolerance_effect:all, animation:enemy_tolerance],[effect:change_attribute, target:myself, turn:-1, color:blue, animation:change_attribute_blue]</v>
      </c>
      <c r="N11" s="47" t="str">
        <f t="shared" si="15"/>
        <v>[effect:fix_speed, target:myself, turn:1],[effect:tolerance, target:myself, turn:-1, count:-1, tolerance_effect:all, animation:enemy_tolerance],[effect:change_attribute, target:myself, turn:-1, color:blue, animation:change_attribute_blue]</v>
      </c>
      <c r="O11" s="62">
        <f t="shared" si="6"/>
        <v>9</v>
      </c>
      <c r="P11" s="62">
        <f t="shared" si="7"/>
        <v>18</v>
      </c>
      <c r="Q11" s="62">
        <f t="shared" si="8"/>
        <v>27</v>
      </c>
      <c r="R11" s="62">
        <f t="shared" si="9"/>
        <v>33</v>
      </c>
      <c r="S11" s="62" t="str">
        <f>IFERROR(VLOOKUP(MID(N11,Q11,R11-Q11),[5]skilldef!$C:$D,2,FALSE),"-") &amp; " / " &amp; IFERROR(VLOOKUP(MID(N11,O11,P11-O11),[5]skilldef!$A:$B,2,FALSE),"-")</f>
        <v>自分自身に / 行動値設定</v>
      </c>
      <c r="T11" s="47" t="str">
        <f t="shared" si="10"/>
        <v>[effect:tolerance, target:myself, turn:-1, count:-1, tolerance_effect:all, animation:enemy_tolerance],[effect:change_attribute, target:myself, turn:-1, color:blue, animation:change_attribute_blue]</v>
      </c>
      <c r="U11" s="62">
        <f t="shared" si="11"/>
        <v>9</v>
      </c>
      <c r="V11" s="62">
        <f t="shared" si="12"/>
        <v>18</v>
      </c>
      <c r="W11" s="62">
        <f t="shared" si="13"/>
        <v>27</v>
      </c>
      <c r="X11" s="62">
        <f t="shared" si="14"/>
        <v>33</v>
      </c>
      <c r="Y11" s="62" t="str">
        <f>IFERROR(VLOOKUP(MID(T11,W11,X11-W11),[5]skilldef!$C:$D,2,FALSE),"-") &amp; " / " &amp; IFERROR(VLOOKUP(MID(T11,U11,V11-U11),[5]skilldef!$A:$B,2,FALSE),"-")</f>
        <v>自分自身に / 状態異常耐性</v>
      </c>
      <c r="Z11" s="49"/>
      <c r="AA11" s="51"/>
      <c r="AB11" s="49"/>
    </row>
    <row r="12" spans="1:28" ht="21" customHeight="1" x14ac:dyDescent="0.15">
      <c r="A12" s="46">
        <v>50008011</v>
      </c>
      <c r="B12" s="46" t="s">
        <v>400</v>
      </c>
      <c r="C12" s="49">
        <v>3</v>
      </c>
      <c r="D12" s="49" t="s">
        <v>128</v>
      </c>
      <c r="E12" s="50" t="s">
        <v>353</v>
      </c>
      <c r="F12" s="50" t="s">
        <v>391</v>
      </c>
      <c r="G12" s="62" t="str">
        <f t="shared" si="0"/>
        <v>[effect:enemy_message, val1:1, val2:3.4]</v>
      </c>
      <c r="H12" s="62">
        <f t="shared" si="1"/>
        <v>9</v>
      </c>
      <c r="I12" s="62">
        <f t="shared" si="2"/>
        <v>22</v>
      </c>
      <c r="J12" s="62" t="e">
        <f t="shared" si="3"/>
        <v>#VALUE!</v>
      </c>
      <c r="K12" s="62">
        <f t="shared" si="4"/>
        <v>30</v>
      </c>
      <c r="L12" s="62" t="str">
        <f>IFERROR(VLOOKUP(MID(G12,J12,K12-J12),[5]skilldef!$C:$D,2,FALSE),"-") &amp; " / " &amp; IFERROR(VLOOKUP(MID(G12,H12,I12-H12),[5]skilldef!$A:$B,2,FALSE),"-")</f>
        <v>- / -</v>
      </c>
      <c r="M12" s="62" t="str">
        <f t="shared" si="5"/>
        <v>[effect:force_change_block, new_block:jammer, target:block_all, ignore01:crash, ignore02:crack_bomb, ignore03:color_break, ignore04:jammer, ignore05:magnet, count:2, val:0, animation:change_block],[effect:damage_anti_color, target:unit_one, color:red, val1:0.6, val2:0.35],[effect:damage_anti_color, target:unit_one, color:green, val1:1.1, val2:0.35]</v>
      </c>
      <c r="N12" s="47" t="str">
        <f t="shared" si="15"/>
        <v>[effect:force_change_block, new_block:jammer, target:block_all, ignore01:crash, ignore02:crack_bomb, ignore03:color_break, ignore04:jammer, ignore05:magnet, count:2, val:0, animation:change_block],[effect:damage_anti_color, target:unit_one, color:red, val1:0.6, val2:0.35],[effect:damage_anti_color, target:unit_one, color:green, val1:1.1, val2:0.35]</v>
      </c>
      <c r="O12" s="62">
        <f t="shared" si="6"/>
        <v>9</v>
      </c>
      <c r="P12" s="62">
        <f t="shared" si="7"/>
        <v>27</v>
      </c>
      <c r="Q12" s="62">
        <f t="shared" si="8"/>
        <v>54</v>
      </c>
      <c r="R12" s="62">
        <f t="shared" si="9"/>
        <v>45</v>
      </c>
      <c r="S12" s="62" t="str">
        <f>IFERROR(VLOOKUP(MID(N12,Q12,R12-Q12),[5]skilldef!$C:$D,2,FALSE),"-") &amp; " / " &amp; IFERROR(VLOOKUP(MID(N12,O12,P12-O12),[5]skilldef!$A:$B,2,FALSE),"-")</f>
        <v>- / -</v>
      </c>
      <c r="T12" s="47" t="str">
        <f t="shared" si="10"/>
        <v>[effect:damage_anti_color, target:unit_one, color:red, val1:0.6, val2:0.35],[effect:damage_anti_color, target:unit_one, color:green, val1:1.1, val2:0.35]</v>
      </c>
      <c r="U12" s="62">
        <f t="shared" si="11"/>
        <v>9</v>
      </c>
      <c r="V12" s="62">
        <f t="shared" si="12"/>
        <v>26</v>
      </c>
      <c r="W12" s="62">
        <f t="shared" si="13"/>
        <v>35</v>
      </c>
      <c r="X12" s="62">
        <f t="shared" si="14"/>
        <v>43</v>
      </c>
      <c r="Y12" s="62" t="str">
        <f>IFERROR(VLOOKUP(MID(T12,W12,X12-W12),[5]skilldef!$C:$D,2,FALSE),"-") &amp; " / " &amp; IFERROR(VLOOKUP(MID(T12,U12,V12-U12),[5]skilldef!$A:$B,2,FALSE),"-")</f>
        <v>味方単体に / 属性キラー</v>
      </c>
      <c r="Z12" s="49"/>
      <c r="AA12" s="51"/>
      <c r="AB12" s="49"/>
    </row>
    <row r="13" spans="1:28" ht="21" customHeight="1" x14ac:dyDescent="0.15">
      <c r="A13" s="46">
        <v>50008012</v>
      </c>
      <c r="B13" s="46" t="s">
        <v>266</v>
      </c>
      <c r="C13" s="49">
        <v>3</v>
      </c>
      <c r="D13" s="49" t="s">
        <v>128</v>
      </c>
      <c r="E13" s="50" t="s">
        <v>265</v>
      </c>
      <c r="F13" s="50" t="s">
        <v>286</v>
      </c>
      <c r="G13" s="62" t="str">
        <f t="shared" si="0"/>
        <v>[effect:break_attack_fix, target:unit_one, val:3500, lowest_val:10000, count:-1, color:blue, block01:jammer]</v>
      </c>
      <c r="H13" s="62">
        <f t="shared" si="1"/>
        <v>9</v>
      </c>
      <c r="I13" s="62">
        <f t="shared" si="2"/>
        <v>25</v>
      </c>
      <c r="J13" s="62">
        <f t="shared" si="3"/>
        <v>34</v>
      </c>
      <c r="K13" s="62">
        <f t="shared" si="4"/>
        <v>42</v>
      </c>
      <c r="L13" s="62" t="str">
        <f>IFERROR(VLOOKUP(MID(G13,J13,K13-J13),[5]skilldef!$C:$D,2,FALSE),"-") &amp; " / " &amp; IFERROR(VLOOKUP(MID(G13,H13,I13-H13),[5]skilldef!$A:$B,2,FALSE),"-")</f>
        <v>味方単体に / -</v>
      </c>
      <c r="M13" s="62" t="str">
        <f t="shared" si="5"/>
        <v>none</v>
      </c>
      <c r="N13" s="47" t="str">
        <f t="shared" si="15"/>
        <v>none</v>
      </c>
      <c r="O13" s="62" t="e">
        <f t="shared" si="6"/>
        <v>#VALUE!</v>
      </c>
      <c r="P13" s="62">
        <f t="shared" si="7"/>
        <v>4</v>
      </c>
      <c r="Q13" s="62" t="e">
        <f t="shared" si="8"/>
        <v>#VALUE!</v>
      </c>
      <c r="R13" s="62" t="e">
        <f t="shared" si="9"/>
        <v>#VALUE!</v>
      </c>
      <c r="S13" s="62" t="str">
        <f>IFERROR(VLOOKUP(MID(N13,Q13,R13-Q13),[5]skilldef!$C:$D,2,FALSE),"-") &amp; " / " &amp; IFERROR(VLOOKUP(MID(N13,O13,P13-O13),[5]skilldef!$A:$B,2,FALSE),"-")</f>
        <v>- / -</v>
      </c>
      <c r="T13" s="47" t="str">
        <f t="shared" si="10"/>
        <v>none</v>
      </c>
      <c r="U13" s="62" t="e">
        <f t="shared" si="11"/>
        <v>#VALUE!</v>
      </c>
      <c r="V13" s="62">
        <f t="shared" si="12"/>
        <v>4</v>
      </c>
      <c r="W13" s="62" t="e">
        <f t="shared" si="13"/>
        <v>#VALUE!</v>
      </c>
      <c r="X13" s="62" t="e">
        <f t="shared" si="14"/>
        <v>#VALUE!</v>
      </c>
      <c r="Y13" s="62" t="str">
        <f>IFERROR(VLOOKUP(MID(T13,W13,X13-W13),[5]skilldef!$C:$D,2,FALSE),"-") &amp; " / " &amp; IFERROR(VLOOKUP(MID(T13,U13,V13-U13),[5]skilldef!$A:$B,2,FALSE),"-")</f>
        <v>- / -</v>
      </c>
      <c r="Z13" s="49"/>
      <c r="AA13" s="51"/>
      <c r="AB13" s="49"/>
    </row>
    <row r="14" spans="1:28" ht="21" customHeight="1" x14ac:dyDescent="0.15">
      <c r="A14" s="46">
        <v>50008013</v>
      </c>
      <c r="B14" s="46" t="s">
        <v>377</v>
      </c>
      <c r="C14" s="49">
        <v>3</v>
      </c>
      <c r="D14" s="49" t="s">
        <v>128</v>
      </c>
      <c r="E14" s="50" t="s">
        <v>268</v>
      </c>
      <c r="F14" s="50" t="s">
        <v>290</v>
      </c>
      <c r="G14" s="62" t="str">
        <f t="shared" si="0"/>
        <v>[effect:enemy_message, val1:1.4, val2:2]</v>
      </c>
      <c r="H14" s="62">
        <f t="shared" si="1"/>
        <v>9</v>
      </c>
      <c r="I14" s="62">
        <f t="shared" si="2"/>
        <v>22</v>
      </c>
      <c r="J14" s="62" t="e">
        <f t="shared" si="3"/>
        <v>#VALUE!</v>
      </c>
      <c r="K14" s="62">
        <f t="shared" si="4"/>
        <v>32</v>
      </c>
      <c r="L14" s="62" t="str">
        <f>IFERROR(VLOOKUP(MID(G14,J14,K14-J14),[5]skilldef!$C:$D,2,FALSE),"-") &amp; " / " &amp; IFERROR(VLOOKUP(MID(G14,H14,I14-H14),[5]skilldef!$A:$B,2,FALSE),"-")</f>
        <v>- / -</v>
      </c>
      <c r="M14" s="62" t="str">
        <f t="shared" si="5"/>
        <v>[effect:fix_speed, target:myself, turn:2],[effect:tolerance, target:myself, turn:-1, count:-1, tolerance_effect:all, animation:enemy_tolerance],[effect:degrade_fever, val:1000, animation:fevergauge_down]</v>
      </c>
      <c r="N14" s="47" t="str">
        <f>IFERROR(LEFT(M14,FIND("],",M14)+S18),M14)</f>
        <v>[effect:fix_speed, target:myself, turn:2],[effect:tolerance, target:myself, turn:-1, count:-1, tolerance_effect:all, animation:enemy_tolerance],[effect:degrade_fever, val:1000, animation:fevergauge_down]</v>
      </c>
      <c r="O14" s="62">
        <f t="shared" si="6"/>
        <v>9</v>
      </c>
      <c r="P14" s="62">
        <f t="shared" si="7"/>
        <v>18</v>
      </c>
      <c r="Q14" s="62">
        <f t="shared" si="8"/>
        <v>27</v>
      </c>
      <c r="R14" s="62">
        <f t="shared" si="9"/>
        <v>33</v>
      </c>
      <c r="S14" s="62" t="str">
        <f>IFERROR(VLOOKUP(MID(N14,Q14,R14-Q14),[5]skilldef!$C:$D,2,FALSE),"-") &amp; " / " &amp; IFERROR(VLOOKUP(MID(N14,O14,P14-O14),[5]skilldef!$A:$B,2,FALSE),"-")</f>
        <v>自分自身に / 行動値設定</v>
      </c>
      <c r="T14" s="47" t="str">
        <f t="shared" si="10"/>
        <v>[effect:tolerance, target:myself, turn:-1, count:-1, tolerance_effect:all, animation:enemy_tolerance],[effect:degrade_fever, val:1000, animation:fevergauge_down]</v>
      </c>
      <c r="U14" s="62">
        <f t="shared" si="11"/>
        <v>9</v>
      </c>
      <c r="V14" s="62">
        <f t="shared" si="12"/>
        <v>18</v>
      </c>
      <c r="W14" s="62">
        <f t="shared" si="13"/>
        <v>27</v>
      </c>
      <c r="X14" s="62">
        <f t="shared" si="14"/>
        <v>33</v>
      </c>
      <c r="Y14" s="62" t="str">
        <f>IFERROR(VLOOKUP(MID(T14,W14,X14-W14),[5]skilldef!$C:$D,2,FALSE),"-") &amp; " / " &amp; IFERROR(VLOOKUP(MID(T14,U14,V14-U14),[5]skilldef!$A:$B,2,FALSE),"-")</f>
        <v>自分自身に / 状態異常耐性</v>
      </c>
      <c r="Z14" s="49"/>
      <c r="AA14" s="51"/>
      <c r="AB14" s="49"/>
    </row>
    <row r="15" spans="1:28" ht="21" customHeight="1" x14ac:dyDescent="0.15">
      <c r="A15" s="46">
        <v>50008014</v>
      </c>
      <c r="B15" s="46" t="s">
        <v>344</v>
      </c>
      <c r="C15" s="49">
        <v>3</v>
      </c>
      <c r="D15" s="49" t="s">
        <v>128</v>
      </c>
      <c r="E15" s="50" t="s">
        <v>323</v>
      </c>
      <c r="F15" s="50" t="s">
        <v>291</v>
      </c>
      <c r="G15" s="62" t="str">
        <f t="shared" si="0"/>
        <v>[effect:damage_abnormal, target:unit_one, val:1.2, status:virus, turn:2, rate:1, val_abnormal:4, animation:enemy_virus]</v>
      </c>
      <c r="H15" s="62">
        <f t="shared" si="1"/>
        <v>9</v>
      </c>
      <c r="I15" s="62">
        <f t="shared" si="2"/>
        <v>24</v>
      </c>
      <c r="J15" s="62">
        <f t="shared" si="3"/>
        <v>33</v>
      </c>
      <c r="K15" s="62">
        <f t="shared" si="4"/>
        <v>41</v>
      </c>
      <c r="L15" s="62" t="str">
        <f>IFERROR(VLOOKUP(MID(G15,J15,K15-J15),[5]skilldef!$C:$D,2,FALSE),"-") &amp; " / " &amp; IFERROR(VLOOKUP(MID(G15,H15,I15-H15),[5]skilldef!$A:$B,2,FALSE),"-")</f>
        <v>味方単体に / -</v>
      </c>
      <c r="M15" s="62" t="str">
        <f t="shared" si="5"/>
        <v>none</v>
      </c>
      <c r="N15" s="47" t="str">
        <f>IFERROR(LEFT(M15,FIND("],",M15)+S19),M15)</f>
        <v>none</v>
      </c>
      <c r="O15" s="62" t="e">
        <f t="shared" si="6"/>
        <v>#VALUE!</v>
      </c>
      <c r="P15" s="62">
        <f t="shared" si="7"/>
        <v>4</v>
      </c>
      <c r="Q15" s="62" t="e">
        <f t="shared" si="8"/>
        <v>#VALUE!</v>
      </c>
      <c r="R15" s="62" t="e">
        <f t="shared" si="9"/>
        <v>#VALUE!</v>
      </c>
      <c r="S15" s="62" t="str">
        <f>IFERROR(VLOOKUP(MID(N15,Q15,R15-Q15),[5]skilldef!$C:$D,2,FALSE),"-") &amp; " / " &amp; IFERROR(VLOOKUP(MID(N15,O15,P15-O15),[5]skilldef!$A:$B,2,FALSE),"-")</f>
        <v>- / -</v>
      </c>
      <c r="T15" s="47" t="str">
        <f t="shared" si="10"/>
        <v>none</v>
      </c>
      <c r="U15" s="62" t="e">
        <f t="shared" si="11"/>
        <v>#VALUE!</v>
      </c>
      <c r="V15" s="62">
        <f t="shared" si="12"/>
        <v>4</v>
      </c>
      <c r="W15" s="62" t="e">
        <f t="shared" si="13"/>
        <v>#VALUE!</v>
      </c>
      <c r="X15" s="62" t="e">
        <f t="shared" si="14"/>
        <v>#VALUE!</v>
      </c>
      <c r="Y15" s="62" t="str">
        <f>IFERROR(VLOOKUP(MID(T15,W15,X15-W15),[5]skilldef!$C:$D,2,FALSE),"-") &amp; " / " &amp; IFERROR(VLOOKUP(MID(T15,U15,V15-U15),[5]skilldef!$A:$B,2,FALSE),"-")</f>
        <v>- / -</v>
      </c>
      <c r="Z15" s="49"/>
      <c r="AA15" s="51"/>
      <c r="AB15" s="49"/>
    </row>
    <row r="16" spans="1:28" ht="21" customHeight="1" x14ac:dyDescent="0.15">
      <c r="A16" s="46">
        <v>50008015</v>
      </c>
      <c r="B16" s="46" t="s">
        <v>368</v>
      </c>
      <c r="C16" s="49">
        <v>3</v>
      </c>
      <c r="D16" s="49" t="s">
        <v>128</v>
      </c>
      <c r="E16" s="50" t="s">
        <v>269</v>
      </c>
      <c r="F16" s="50" t="s">
        <v>292</v>
      </c>
      <c r="G16" s="62" t="str">
        <f t="shared" si="0"/>
        <v>[effect:damage_anti_type, target:unit_all, type:balance, val1:1.1, val2:0.25]</v>
      </c>
      <c r="H16" s="62">
        <f t="shared" si="1"/>
        <v>9</v>
      </c>
      <c r="I16" s="62">
        <f t="shared" si="2"/>
        <v>25</v>
      </c>
      <c r="J16" s="62">
        <f t="shared" si="3"/>
        <v>34</v>
      </c>
      <c r="K16" s="62">
        <f t="shared" si="4"/>
        <v>42</v>
      </c>
      <c r="L16" s="62" t="str">
        <f>IFERROR(VLOOKUP(MID(G16,J16,K16-J16),[5]skilldef!$C:$D,2,FALSE),"-") &amp; " / " &amp; IFERROR(VLOOKUP(MID(G16,H16,I16-H16),[5]skilldef!$A:$B,2,FALSE),"-")</f>
        <v>味方全体に / タイプキラー</v>
      </c>
      <c r="M16" s="62" t="str">
        <f t="shared" si="5"/>
        <v>none</v>
      </c>
      <c r="N16" s="47" t="str">
        <f>IFERROR(LEFT(M16,FIND("],",M16)+S20),M16)</f>
        <v>none</v>
      </c>
      <c r="O16" s="62" t="e">
        <f t="shared" si="6"/>
        <v>#VALUE!</v>
      </c>
      <c r="P16" s="62">
        <f t="shared" si="7"/>
        <v>4</v>
      </c>
      <c r="Q16" s="62" t="e">
        <f t="shared" si="8"/>
        <v>#VALUE!</v>
      </c>
      <c r="R16" s="62" t="e">
        <f t="shared" si="9"/>
        <v>#VALUE!</v>
      </c>
      <c r="S16" s="62" t="str">
        <f>IFERROR(VLOOKUP(MID(N16,Q16,R16-Q16),[5]skilldef!$C:$D,2,FALSE),"-") &amp; " / " &amp; IFERROR(VLOOKUP(MID(N16,O16,P16-O16),[5]skilldef!$A:$B,2,FALSE),"-")</f>
        <v>- / -</v>
      </c>
      <c r="T16" s="47" t="str">
        <f t="shared" si="10"/>
        <v>none</v>
      </c>
      <c r="U16" s="62" t="e">
        <f t="shared" si="11"/>
        <v>#VALUE!</v>
      </c>
      <c r="V16" s="62">
        <f t="shared" si="12"/>
        <v>4</v>
      </c>
      <c r="W16" s="62" t="e">
        <f t="shared" si="13"/>
        <v>#VALUE!</v>
      </c>
      <c r="X16" s="62" t="e">
        <f t="shared" si="14"/>
        <v>#VALUE!</v>
      </c>
      <c r="Y16" s="62" t="str">
        <f>IFERROR(VLOOKUP(MID(T16,W16,X16-W16),[5]skilldef!$C:$D,2,FALSE),"-") &amp; " / " &amp; IFERROR(VLOOKUP(MID(T16,U16,V16-U16),[5]skilldef!$A:$B,2,FALSE),"-")</f>
        <v>- / -</v>
      </c>
      <c r="Z16" s="49"/>
      <c r="AA16" s="51"/>
      <c r="AB16" s="49"/>
    </row>
    <row r="17" spans="1:28" ht="21" customHeight="1" x14ac:dyDescent="0.15">
      <c r="A17" s="46">
        <v>50008016</v>
      </c>
      <c r="B17" s="46" t="s">
        <v>321</v>
      </c>
      <c r="C17" s="49">
        <v>3</v>
      </c>
      <c r="D17" s="49" t="s">
        <v>128</v>
      </c>
      <c r="E17" s="50" t="s">
        <v>270</v>
      </c>
      <c r="F17" s="50" t="s">
        <v>293</v>
      </c>
      <c r="G17" s="62" t="str">
        <f t="shared" si="0"/>
        <v>[effect:damage_anti_abnormal, target:unit_all, target_effect01:virus, val1:1.5, val2:0.25]</v>
      </c>
      <c r="H17" s="62">
        <f t="shared" si="1"/>
        <v>9</v>
      </c>
      <c r="I17" s="62">
        <f t="shared" si="2"/>
        <v>29</v>
      </c>
      <c r="J17" s="62">
        <f t="shared" si="3"/>
        <v>38</v>
      </c>
      <c r="K17" s="62">
        <f t="shared" si="4"/>
        <v>46</v>
      </c>
      <c r="L17" s="62" t="str">
        <f>IFERROR(VLOOKUP(MID(G17,J17,K17-J17),[5]skilldef!$C:$D,2,FALSE),"-") &amp; " / " &amp; IFERROR(VLOOKUP(MID(G17,H17,I17-H17),[5]skilldef!$A:$B,2,FALSE),"-")</f>
        <v>味方全体に / -</v>
      </c>
      <c r="M17" s="62" t="str">
        <f t="shared" si="5"/>
        <v>none</v>
      </c>
      <c r="N17" s="47" t="str">
        <f>IFERROR(LEFT(M17,FIND("],",M17)+S21),M17)</f>
        <v>none</v>
      </c>
      <c r="O17" s="62" t="e">
        <f t="shared" si="6"/>
        <v>#VALUE!</v>
      </c>
      <c r="P17" s="62">
        <f t="shared" si="7"/>
        <v>4</v>
      </c>
      <c r="Q17" s="62" t="e">
        <f t="shared" si="8"/>
        <v>#VALUE!</v>
      </c>
      <c r="R17" s="62" t="e">
        <f t="shared" si="9"/>
        <v>#VALUE!</v>
      </c>
      <c r="S17" s="62" t="str">
        <f>IFERROR(VLOOKUP(MID(N17,Q17,R17-Q17),[5]skilldef!$C:$D,2,FALSE),"-") &amp; " / " &amp; IFERROR(VLOOKUP(MID(N17,O17,P17-O17),[5]skilldef!$A:$B,2,FALSE),"-")</f>
        <v>- / -</v>
      </c>
      <c r="T17" s="47" t="str">
        <f t="shared" si="10"/>
        <v>none</v>
      </c>
      <c r="U17" s="62" t="e">
        <f t="shared" si="11"/>
        <v>#VALUE!</v>
      </c>
      <c r="V17" s="62">
        <f t="shared" si="12"/>
        <v>4</v>
      </c>
      <c r="W17" s="62" t="e">
        <f t="shared" si="13"/>
        <v>#VALUE!</v>
      </c>
      <c r="X17" s="62" t="e">
        <f t="shared" si="14"/>
        <v>#VALUE!</v>
      </c>
      <c r="Y17" s="62" t="str">
        <f>IFERROR(VLOOKUP(MID(T17,W17,X17-W17),[5]skilldef!$C:$D,2,FALSE),"-") &amp; " / " &amp; IFERROR(VLOOKUP(MID(T17,U17,V17-U17),[5]skilldef!$A:$B,2,FALSE),"-")</f>
        <v>- / -</v>
      </c>
      <c r="Z17" s="49"/>
      <c r="AA17" s="51"/>
      <c r="AB17" s="49"/>
    </row>
    <row r="18" spans="1:28" ht="21" customHeight="1" x14ac:dyDescent="0.15">
      <c r="A18" s="46">
        <v>50008017</v>
      </c>
      <c r="B18" s="46" t="s">
        <v>378</v>
      </c>
      <c r="C18" s="49">
        <v>3</v>
      </c>
      <c r="D18" s="49" t="s">
        <v>128</v>
      </c>
      <c r="E18" s="50" t="s">
        <v>271</v>
      </c>
      <c r="F18" s="50" t="s">
        <v>290</v>
      </c>
      <c r="G18" s="62" t="str">
        <f t="shared" si="0"/>
        <v>[effect:enemy_message, val1:1.4, val2:2]</v>
      </c>
      <c r="H18" s="62">
        <f t="shared" si="1"/>
        <v>9</v>
      </c>
      <c r="I18" s="62">
        <f t="shared" si="2"/>
        <v>22</v>
      </c>
      <c r="J18" s="62" t="e">
        <f t="shared" si="3"/>
        <v>#VALUE!</v>
      </c>
      <c r="K18" s="62">
        <f t="shared" si="4"/>
        <v>32</v>
      </c>
      <c r="L18" s="62" t="str">
        <f>IFERROR(VLOOKUP(MID(G18,J18,K18-J18),[5]skilldef!$C:$D,2,FALSE),"-") &amp; " / " &amp; IFERROR(VLOOKUP(MID(G18,H18,I18-H18),[5]skilldef!$A:$B,2,FALSE),"-")</f>
        <v>- / -</v>
      </c>
      <c r="M18" s="62" t="str">
        <f t="shared" si="5"/>
        <v>[effect:fix_speed, target:myself, turn:1],[effect:tolerance, target:myself, turn:-1, count:-1, tolerance_effect:all, animation:enemy_tolerance],[effect:degrade_fever, val:1000, animation:fevergauge_down]</v>
      </c>
      <c r="N18" s="47" t="str">
        <f t="shared" ref="N18" si="16">IFERROR(LEFT(M18,FIND("],",M18)+S28),M18)</f>
        <v>[effect:fix_speed, target:myself, turn:1],[effect:tolerance, target:myself, turn:-1, count:-1, tolerance_effect:all, animation:enemy_tolerance],[effect:degrade_fever, val:1000, animation:fevergauge_down]</v>
      </c>
      <c r="O18" s="62">
        <f t="shared" si="6"/>
        <v>9</v>
      </c>
      <c r="P18" s="62">
        <f t="shared" si="7"/>
        <v>18</v>
      </c>
      <c r="Q18" s="62">
        <f t="shared" si="8"/>
        <v>27</v>
      </c>
      <c r="R18" s="62">
        <f t="shared" si="9"/>
        <v>33</v>
      </c>
      <c r="S18" s="62" t="str">
        <f>IFERROR(VLOOKUP(MID(N18,Q18,R18-Q18),[5]skilldef!$C:$D,2,FALSE),"-") &amp; " / " &amp; IFERROR(VLOOKUP(MID(N18,O18,P18-O18),[5]skilldef!$A:$B,2,FALSE),"-")</f>
        <v>自分自身に / 行動値設定</v>
      </c>
      <c r="T18" s="47" t="str">
        <f t="shared" si="10"/>
        <v>[effect:tolerance, target:myself, turn:-1, count:-1, tolerance_effect:all, animation:enemy_tolerance],[effect:degrade_fever, val:1000, animation:fevergauge_down]</v>
      </c>
      <c r="U18" s="62">
        <f t="shared" si="11"/>
        <v>9</v>
      </c>
      <c r="V18" s="62">
        <f t="shared" si="12"/>
        <v>18</v>
      </c>
      <c r="W18" s="62">
        <f t="shared" si="13"/>
        <v>27</v>
      </c>
      <c r="X18" s="62">
        <f t="shared" si="14"/>
        <v>33</v>
      </c>
      <c r="Y18" s="62" t="str">
        <f>IFERROR(VLOOKUP(MID(T18,W18,X18-W18),[5]skilldef!$C:$D,2,FALSE),"-") &amp; " / " &amp; IFERROR(VLOOKUP(MID(T18,U18,V18-U18),[5]skilldef!$A:$B,2,FALSE),"-")</f>
        <v>自分自身に / 状態異常耐性</v>
      </c>
      <c r="Z18" s="49"/>
      <c r="AA18" s="51"/>
      <c r="AB18" s="49"/>
    </row>
    <row r="19" spans="1:28" ht="21" customHeight="1" x14ac:dyDescent="0.15">
      <c r="A19" s="46">
        <v>50008018</v>
      </c>
      <c r="B19" s="46" t="s">
        <v>325</v>
      </c>
      <c r="C19" s="49">
        <v>3</v>
      </c>
      <c r="D19" s="49" t="s">
        <v>128</v>
      </c>
      <c r="E19" s="50" t="s">
        <v>272</v>
      </c>
      <c r="F19" s="50" t="s">
        <v>291</v>
      </c>
      <c r="G19" s="62" t="str">
        <f t="shared" si="0"/>
        <v>[effect:damage_abnormal, target:unit_one, val:1.2, status:virus, turn:2, rate:1, val_abnormal:4, animation:enemy_virus]</v>
      </c>
      <c r="H19" s="62">
        <f t="shared" si="1"/>
        <v>9</v>
      </c>
      <c r="I19" s="62">
        <f t="shared" si="2"/>
        <v>24</v>
      </c>
      <c r="J19" s="62">
        <f t="shared" si="3"/>
        <v>33</v>
      </c>
      <c r="K19" s="62">
        <f t="shared" si="4"/>
        <v>41</v>
      </c>
      <c r="L19" s="62" t="str">
        <f>IFERROR(VLOOKUP(MID(G19,J19,K19-J19),[5]skilldef!$C:$D,2,FALSE),"-") &amp; " / " &amp; IFERROR(VLOOKUP(MID(G19,H19,I19-H19),[5]skilldef!$A:$B,2,FALSE),"-")</f>
        <v>味方単体に / -</v>
      </c>
      <c r="M19" s="62" t="str">
        <f t="shared" si="5"/>
        <v>none</v>
      </c>
      <c r="N19" s="47" t="str">
        <f>IFERROR(LEFT(M19,FIND("],",M19)+S30),M19)</f>
        <v>none</v>
      </c>
      <c r="O19" s="62" t="e">
        <f t="shared" si="6"/>
        <v>#VALUE!</v>
      </c>
      <c r="P19" s="62">
        <f t="shared" si="7"/>
        <v>4</v>
      </c>
      <c r="Q19" s="62" t="e">
        <f t="shared" si="8"/>
        <v>#VALUE!</v>
      </c>
      <c r="R19" s="62" t="e">
        <f t="shared" si="9"/>
        <v>#VALUE!</v>
      </c>
      <c r="S19" s="62" t="str">
        <f>IFERROR(VLOOKUP(MID(N19,Q19,R19-Q19),[5]skilldef!$C:$D,2,FALSE),"-") &amp; " / " &amp; IFERROR(VLOOKUP(MID(N19,O19,P19-O19),[5]skilldef!$A:$B,2,FALSE),"-")</f>
        <v>- / -</v>
      </c>
      <c r="T19" s="47" t="str">
        <f t="shared" si="10"/>
        <v>none</v>
      </c>
      <c r="U19" s="62" t="e">
        <f t="shared" si="11"/>
        <v>#VALUE!</v>
      </c>
      <c r="V19" s="62">
        <f t="shared" si="12"/>
        <v>4</v>
      </c>
      <c r="W19" s="62" t="e">
        <f t="shared" si="13"/>
        <v>#VALUE!</v>
      </c>
      <c r="X19" s="62" t="e">
        <f t="shared" si="14"/>
        <v>#VALUE!</v>
      </c>
      <c r="Y19" s="62" t="str">
        <f>IFERROR(VLOOKUP(MID(T19,W19,X19-W19),[5]skilldef!$C:$D,2,FALSE),"-") &amp; " / " &amp; IFERROR(VLOOKUP(MID(T19,U19,V19-U19),[5]skilldef!$A:$B,2,FALSE),"-")</f>
        <v>- / -</v>
      </c>
      <c r="Z19" s="49"/>
      <c r="AA19" s="51"/>
      <c r="AB19" s="49"/>
    </row>
    <row r="20" spans="1:28" ht="21" customHeight="1" x14ac:dyDescent="0.15">
      <c r="A20" s="46">
        <v>50008019</v>
      </c>
      <c r="B20" s="46" t="s">
        <v>369</v>
      </c>
      <c r="C20" s="49">
        <v>3</v>
      </c>
      <c r="D20" s="49" t="s">
        <v>128</v>
      </c>
      <c r="E20" s="50" t="s">
        <v>273</v>
      </c>
      <c r="F20" s="50" t="s">
        <v>292</v>
      </c>
      <c r="G20" s="62" t="str">
        <f t="shared" si="0"/>
        <v>[effect:damage_anti_type, target:unit_all, type:balance, val1:1.1, val2:0.25]</v>
      </c>
      <c r="H20" s="62">
        <f t="shared" si="1"/>
        <v>9</v>
      </c>
      <c r="I20" s="62">
        <f t="shared" si="2"/>
        <v>25</v>
      </c>
      <c r="J20" s="62">
        <f t="shared" si="3"/>
        <v>34</v>
      </c>
      <c r="K20" s="62">
        <f t="shared" si="4"/>
        <v>42</v>
      </c>
      <c r="L20" s="62" t="str">
        <f>IFERROR(VLOOKUP(MID(G20,J20,K20-J20),[5]skilldef!$C:$D,2,FALSE),"-") &amp; " / " &amp; IFERROR(VLOOKUP(MID(G20,H20,I20-H20),[5]skilldef!$A:$B,2,FALSE),"-")</f>
        <v>味方全体に / タイプキラー</v>
      </c>
      <c r="M20" s="62" t="str">
        <f t="shared" si="5"/>
        <v>none</v>
      </c>
      <c r="N20" s="47" t="str">
        <f>IFERROR(LEFT(M20,FIND("],",M20)+#REF!),M20)</f>
        <v>none</v>
      </c>
      <c r="O20" s="62" t="e">
        <f t="shared" si="6"/>
        <v>#VALUE!</v>
      </c>
      <c r="P20" s="62">
        <f t="shared" si="7"/>
        <v>4</v>
      </c>
      <c r="Q20" s="62" t="e">
        <f t="shared" si="8"/>
        <v>#VALUE!</v>
      </c>
      <c r="R20" s="62" t="e">
        <f t="shared" si="9"/>
        <v>#VALUE!</v>
      </c>
      <c r="S20" s="62" t="str">
        <f>IFERROR(VLOOKUP(MID(N20,Q20,R20-Q20),[5]skilldef!$C:$D,2,FALSE),"-") &amp; " / " &amp; IFERROR(VLOOKUP(MID(N20,O20,P20-O20),[5]skilldef!$A:$B,2,FALSE),"-")</f>
        <v>- / -</v>
      </c>
      <c r="T20" s="47" t="str">
        <f t="shared" si="10"/>
        <v>none</v>
      </c>
      <c r="U20" s="62" t="e">
        <f t="shared" si="11"/>
        <v>#VALUE!</v>
      </c>
      <c r="V20" s="62">
        <f t="shared" si="12"/>
        <v>4</v>
      </c>
      <c r="W20" s="62" t="e">
        <f t="shared" si="13"/>
        <v>#VALUE!</v>
      </c>
      <c r="X20" s="62" t="e">
        <f t="shared" si="14"/>
        <v>#VALUE!</v>
      </c>
      <c r="Y20" s="62" t="str">
        <f>IFERROR(VLOOKUP(MID(T20,W20,X20-W20),[5]skilldef!$C:$D,2,FALSE),"-") &amp; " / " &amp; IFERROR(VLOOKUP(MID(T20,U20,V20-U20),[5]skilldef!$A:$B,2,FALSE),"-")</f>
        <v>- / -</v>
      </c>
      <c r="Z20" s="49"/>
      <c r="AA20" s="51"/>
      <c r="AB20" s="49"/>
    </row>
    <row r="21" spans="1:28" ht="21" customHeight="1" x14ac:dyDescent="0.15">
      <c r="A21" s="46">
        <v>50008020</v>
      </c>
      <c r="B21" s="46" t="s">
        <v>322</v>
      </c>
      <c r="C21" s="49">
        <v>3</v>
      </c>
      <c r="D21" s="49" t="s">
        <v>128</v>
      </c>
      <c r="E21" s="50" t="s">
        <v>274</v>
      </c>
      <c r="F21" s="50" t="s">
        <v>293</v>
      </c>
      <c r="G21" s="62" t="str">
        <f t="shared" si="0"/>
        <v>[effect:damage_anti_abnormal, target:unit_all, target_effect01:virus, val1:1.5, val2:0.25]</v>
      </c>
      <c r="H21" s="62">
        <f t="shared" si="1"/>
        <v>9</v>
      </c>
      <c r="I21" s="62">
        <f t="shared" si="2"/>
        <v>29</v>
      </c>
      <c r="J21" s="62">
        <f t="shared" si="3"/>
        <v>38</v>
      </c>
      <c r="K21" s="62">
        <f t="shared" si="4"/>
        <v>46</v>
      </c>
      <c r="L21" s="62" t="str">
        <f>IFERROR(VLOOKUP(MID(G21,J21,K21-J21),[5]skilldef!$C:$D,2,FALSE),"-") &amp; " / " &amp; IFERROR(VLOOKUP(MID(G21,H21,I21-H21),[5]skilldef!$A:$B,2,FALSE),"-")</f>
        <v>味方全体に / -</v>
      </c>
      <c r="M21" s="62" t="str">
        <f t="shared" si="5"/>
        <v>none</v>
      </c>
      <c r="N21" s="47" t="str">
        <f>IFERROR(LEFT(M21,FIND("],",M21)+S31),M21)</f>
        <v>none</v>
      </c>
      <c r="O21" s="62" t="e">
        <f t="shared" si="6"/>
        <v>#VALUE!</v>
      </c>
      <c r="P21" s="62">
        <f t="shared" si="7"/>
        <v>4</v>
      </c>
      <c r="Q21" s="62" t="e">
        <f t="shared" si="8"/>
        <v>#VALUE!</v>
      </c>
      <c r="R21" s="62" t="e">
        <f t="shared" si="9"/>
        <v>#VALUE!</v>
      </c>
      <c r="S21" s="62" t="str">
        <f>IFERROR(VLOOKUP(MID(N21,Q21,R21-Q21),[5]skilldef!$C:$D,2,FALSE),"-") &amp; " / " &amp; IFERROR(VLOOKUP(MID(N21,O21,P21-O21),[5]skilldef!$A:$B,2,FALSE),"-")</f>
        <v>- / -</v>
      </c>
      <c r="T21" s="47" t="str">
        <f t="shared" si="10"/>
        <v>none</v>
      </c>
      <c r="U21" s="62" t="e">
        <f t="shared" si="11"/>
        <v>#VALUE!</v>
      </c>
      <c r="V21" s="62">
        <f t="shared" si="12"/>
        <v>4</v>
      </c>
      <c r="W21" s="62" t="e">
        <f t="shared" si="13"/>
        <v>#VALUE!</v>
      </c>
      <c r="X21" s="62" t="e">
        <f t="shared" si="14"/>
        <v>#VALUE!</v>
      </c>
      <c r="Y21" s="62" t="str">
        <f>IFERROR(VLOOKUP(MID(T21,W21,X21-W21),[5]skilldef!$C:$D,2,FALSE),"-") &amp; " / " &amp; IFERROR(VLOOKUP(MID(T21,U21,V21-U21),[5]skilldef!$A:$B,2,FALSE),"-")</f>
        <v>- / -</v>
      </c>
      <c r="Z21" s="49"/>
      <c r="AA21" s="51"/>
      <c r="AB21" s="49"/>
    </row>
    <row r="22" spans="1:28" ht="21" customHeight="1" x14ac:dyDescent="0.15">
      <c r="A22" s="46">
        <v>50008021</v>
      </c>
      <c r="B22" s="46" t="s">
        <v>320</v>
      </c>
      <c r="C22" s="49">
        <v>3</v>
      </c>
      <c r="D22" s="49" t="s">
        <v>128</v>
      </c>
      <c r="E22" s="50" t="s">
        <v>280</v>
      </c>
      <c r="F22" s="50" t="s">
        <v>314</v>
      </c>
      <c r="G22" s="62" t="str">
        <f t="shared" si="0"/>
        <v>[effect:dis_panel, target:block_red, turn:10, animation:enemy_dis_red]</v>
      </c>
      <c r="H22" s="62">
        <f t="shared" si="1"/>
        <v>9</v>
      </c>
      <c r="I22" s="62">
        <f t="shared" si="2"/>
        <v>18</v>
      </c>
      <c r="J22" s="62">
        <f t="shared" si="3"/>
        <v>27</v>
      </c>
      <c r="K22" s="62">
        <f t="shared" si="4"/>
        <v>36</v>
      </c>
      <c r="L22" s="62" t="str">
        <f>IFERROR(VLOOKUP(MID(G22,J22,K22-J22),[5]skilldef!$C:$D,2,FALSE),"-") &amp; " / " &amp; IFERROR(VLOOKUP(MID(G22,H22,I22-H22),[5]skilldef!$A:$B,2,FALSE),"-")</f>
        <v>赤パネルを / ディスパネル</v>
      </c>
      <c r="M22" s="62" t="str">
        <f t="shared" si="5"/>
        <v>none</v>
      </c>
      <c r="N22" s="47" t="str">
        <f>IFERROR(LEFT(M22,FIND("],",M22)+S33),M22)</f>
        <v>none</v>
      </c>
      <c r="O22" s="62" t="e">
        <f t="shared" si="6"/>
        <v>#VALUE!</v>
      </c>
      <c r="P22" s="62">
        <f t="shared" si="7"/>
        <v>4</v>
      </c>
      <c r="Q22" s="62" t="e">
        <f t="shared" si="8"/>
        <v>#VALUE!</v>
      </c>
      <c r="R22" s="62" t="e">
        <f t="shared" si="9"/>
        <v>#VALUE!</v>
      </c>
      <c r="S22" s="62" t="str">
        <f>IFERROR(VLOOKUP(MID(N22,Q22,R22-Q22),[5]skilldef!$C:$D,2,FALSE),"-") &amp; " / " &amp; IFERROR(VLOOKUP(MID(N22,O22,P22-O22),[5]skilldef!$A:$B,2,FALSE),"-")</f>
        <v>- / -</v>
      </c>
      <c r="T22" s="47" t="str">
        <f t="shared" si="10"/>
        <v>none</v>
      </c>
      <c r="U22" s="62" t="e">
        <f t="shared" si="11"/>
        <v>#VALUE!</v>
      </c>
      <c r="V22" s="62">
        <f t="shared" si="12"/>
        <v>4</v>
      </c>
      <c r="W22" s="62" t="e">
        <f t="shared" si="13"/>
        <v>#VALUE!</v>
      </c>
      <c r="X22" s="62" t="e">
        <f t="shared" si="14"/>
        <v>#VALUE!</v>
      </c>
      <c r="Y22" s="62" t="str">
        <f>IFERROR(VLOOKUP(MID(T22,W22,X22-W22),[5]skilldef!$C:$D,2,FALSE),"-") &amp; " / " &amp; IFERROR(VLOOKUP(MID(T22,U22,V22-U22),[5]skilldef!$A:$B,2,FALSE),"-")</f>
        <v>- / -</v>
      </c>
      <c r="Z22" s="49"/>
      <c r="AA22" s="51"/>
      <c r="AB22" s="49"/>
    </row>
    <row r="23" spans="1:28" ht="21" customHeight="1" x14ac:dyDescent="0.15">
      <c r="A23" s="46">
        <v>50008022</v>
      </c>
      <c r="B23" s="46" t="s">
        <v>319</v>
      </c>
      <c r="C23" s="49">
        <v>3</v>
      </c>
      <c r="D23" s="49" t="s">
        <v>128</v>
      </c>
      <c r="E23" s="50" t="s">
        <v>275</v>
      </c>
      <c r="F23" s="50" t="s">
        <v>315</v>
      </c>
      <c r="G23" s="62" t="str">
        <f t="shared" si="0"/>
        <v>[effect:dis_panel, target:block_blue, turn:10, animation:enemy_dis_blue]</v>
      </c>
      <c r="H23" s="62">
        <f t="shared" si="1"/>
        <v>9</v>
      </c>
      <c r="I23" s="62">
        <f t="shared" si="2"/>
        <v>18</v>
      </c>
      <c r="J23" s="62">
        <f t="shared" si="3"/>
        <v>27</v>
      </c>
      <c r="K23" s="62">
        <f t="shared" si="4"/>
        <v>37</v>
      </c>
      <c r="L23" s="62" t="str">
        <f>IFERROR(VLOOKUP(MID(G23,J23,K23-J23),[5]skilldef!$C:$D,2,FALSE),"-") &amp; " / " &amp; IFERROR(VLOOKUP(MID(G23,H23,I23-H23),[5]skilldef!$A:$B,2,FALSE),"-")</f>
        <v>青パネルを / ディスパネル</v>
      </c>
      <c r="M23" s="62" t="str">
        <f t="shared" si="5"/>
        <v>none</v>
      </c>
      <c r="N23" s="47" t="str">
        <f>IFERROR(LEFT(M23,FIND("],",M23)+S34),M23)</f>
        <v>none</v>
      </c>
      <c r="O23" s="62" t="e">
        <f t="shared" si="6"/>
        <v>#VALUE!</v>
      </c>
      <c r="P23" s="62">
        <f t="shared" si="7"/>
        <v>4</v>
      </c>
      <c r="Q23" s="62" t="e">
        <f t="shared" si="8"/>
        <v>#VALUE!</v>
      </c>
      <c r="R23" s="62" t="e">
        <f t="shared" si="9"/>
        <v>#VALUE!</v>
      </c>
      <c r="S23" s="62" t="str">
        <f>IFERROR(VLOOKUP(MID(N23,Q23,R23-Q23),[5]skilldef!$C:$D,2,FALSE),"-") &amp; " / " &amp; IFERROR(VLOOKUP(MID(N23,O23,P23-O23),[5]skilldef!$A:$B,2,FALSE),"-")</f>
        <v>- / -</v>
      </c>
      <c r="T23" s="47" t="str">
        <f t="shared" si="10"/>
        <v>none</v>
      </c>
      <c r="U23" s="62" t="e">
        <f t="shared" si="11"/>
        <v>#VALUE!</v>
      </c>
      <c r="V23" s="62">
        <f t="shared" si="12"/>
        <v>4</v>
      </c>
      <c r="W23" s="62" t="e">
        <f t="shared" si="13"/>
        <v>#VALUE!</v>
      </c>
      <c r="X23" s="62" t="e">
        <f t="shared" si="14"/>
        <v>#VALUE!</v>
      </c>
      <c r="Y23" s="62" t="str">
        <f>IFERROR(VLOOKUP(MID(T23,W23,X23-W23),[5]skilldef!$C:$D,2,FALSE),"-") &amp; " / " &amp; IFERROR(VLOOKUP(MID(T23,U23,V23-U23),[5]skilldef!$A:$B,2,FALSE),"-")</f>
        <v>- / -</v>
      </c>
      <c r="Z23" s="49"/>
      <c r="AA23" s="51"/>
      <c r="AB23" s="49"/>
    </row>
    <row r="24" spans="1:28" ht="21" customHeight="1" x14ac:dyDescent="0.15">
      <c r="A24" s="46">
        <v>50008023</v>
      </c>
      <c r="B24" s="46" t="s">
        <v>318</v>
      </c>
      <c r="C24" s="49">
        <v>3</v>
      </c>
      <c r="D24" s="49" t="s">
        <v>128</v>
      </c>
      <c r="E24" s="50" t="s">
        <v>276</v>
      </c>
      <c r="F24" s="50" t="s">
        <v>316</v>
      </c>
      <c r="G24" s="62" t="str">
        <f t="shared" si="0"/>
        <v>[effect:dis_panel, target:block_yellow, turn:10, animation:enemy_dis_yellow]</v>
      </c>
      <c r="H24" s="62">
        <f t="shared" si="1"/>
        <v>9</v>
      </c>
      <c r="I24" s="62">
        <f t="shared" si="2"/>
        <v>18</v>
      </c>
      <c r="J24" s="62">
        <f t="shared" si="3"/>
        <v>27</v>
      </c>
      <c r="K24" s="62">
        <f t="shared" si="4"/>
        <v>39</v>
      </c>
      <c r="L24" s="62" t="str">
        <f>IFERROR(VLOOKUP(MID(G24,J24,K24-J24),[5]skilldef!$C:$D,2,FALSE),"-") &amp; " / " &amp; IFERROR(VLOOKUP(MID(G24,H24,I24-H24),[5]skilldef!$A:$B,2,FALSE),"-")</f>
        <v>黄色パネルを / ディスパネル</v>
      </c>
      <c r="M24" s="62" t="str">
        <f t="shared" si="5"/>
        <v>none</v>
      </c>
      <c r="N24" s="47" t="str">
        <f>IFERROR(LEFT(M24,FIND("],",M24)+#REF!),M24)</f>
        <v>none</v>
      </c>
      <c r="O24" s="62" t="e">
        <f t="shared" si="6"/>
        <v>#VALUE!</v>
      </c>
      <c r="P24" s="62">
        <f t="shared" si="7"/>
        <v>4</v>
      </c>
      <c r="Q24" s="62" t="e">
        <f t="shared" si="8"/>
        <v>#VALUE!</v>
      </c>
      <c r="R24" s="62" t="e">
        <f t="shared" si="9"/>
        <v>#VALUE!</v>
      </c>
      <c r="S24" s="62" t="str">
        <f>IFERROR(VLOOKUP(MID(N24,Q24,R24-Q24),[5]skilldef!$C:$D,2,FALSE),"-") &amp; " / " &amp; IFERROR(VLOOKUP(MID(N24,O24,P24-O24),[5]skilldef!$A:$B,2,FALSE),"-")</f>
        <v>- / -</v>
      </c>
      <c r="T24" s="47" t="str">
        <f t="shared" si="10"/>
        <v>none</v>
      </c>
      <c r="U24" s="62" t="e">
        <f t="shared" si="11"/>
        <v>#VALUE!</v>
      </c>
      <c r="V24" s="62">
        <f t="shared" si="12"/>
        <v>4</v>
      </c>
      <c r="W24" s="62" t="e">
        <f t="shared" si="13"/>
        <v>#VALUE!</v>
      </c>
      <c r="X24" s="62" t="e">
        <f t="shared" si="14"/>
        <v>#VALUE!</v>
      </c>
      <c r="Y24" s="62" t="str">
        <f>IFERROR(VLOOKUP(MID(T24,W24,X24-W24),[5]skilldef!$C:$D,2,FALSE),"-") &amp; " / " &amp; IFERROR(VLOOKUP(MID(T24,U24,V24-U24),[5]skilldef!$A:$B,2,FALSE),"-")</f>
        <v>- / -</v>
      </c>
      <c r="Z24" s="49"/>
      <c r="AA24" s="51"/>
      <c r="AB24" s="49"/>
    </row>
    <row r="25" spans="1:28" ht="21" customHeight="1" x14ac:dyDescent="0.15">
      <c r="A25" s="46">
        <v>50008024</v>
      </c>
      <c r="B25" s="46" t="s">
        <v>352</v>
      </c>
      <c r="C25" s="49">
        <v>3</v>
      </c>
      <c r="D25" s="49" t="s">
        <v>128</v>
      </c>
      <c r="E25" s="50" t="s">
        <v>279</v>
      </c>
      <c r="F25" s="50" t="s">
        <v>317</v>
      </c>
      <c r="G25" s="62" t="str">
        <f t="shared" si="0"/>
        <v>[effect:enemy_message, val1:1.2, val2:2]</v>
      </c>
      <c r="H25" s="62">
        <f t="shared" si="1"/>
        <v>9</v>
      </c>
      <c r="I25" s="62">
        <f t="shared" si="2"/>
        <v>22</v>
      </c>
      <c r="J25" s="62" t="e">
        <f t="shared" si="3"/>
        <v>#VALUE!</v>
      </c>
      <c r="K25" s="62">
        <f t="shared" si="4"/>
        <v>32</v>
      </c>
      <c r="L25" s="62" t="str">
        <f>IFERROR(VLOOKUP(MID(G25,J25,K25-J25),[5]skilldef!$C:$D,2,FALSE),"-") &amp; " / " &amp; IFERROR(VLOOKUP(MID(G25,H25,I25-H25),[5]skilldef!$A:$B,2,FALSE),"-")</f>
        <v>- / -</v>
      </c>
      <c r="M25" s="62" t="str">
        <f t="shared" si="5"/>
        <v>[effect:dis_panel, target:block_green, turn:10, animation:enemy_dis_green]</v>
      </c>
      <c r="N25" s="47" t="str">
        <f>IFERROR(LEFT(M25,FIND("],",M25)+#REF!),M25)</f>
        <v>[effect:dis_panel, target:block_green, turn:10, animation:enemy_dis_green]</v>
      </c>
      <c r="O25" s="62">
        <f t="shared" si="6"/>
        <v>9</v>
      </c>
      <c r="P25" s="62">
        <f t="shared" si="7"/>
        <v>18</v>
      </c>
      <c r="Q25" s="62">
        <f t="shared" si="8"/>
        <v>27</v>
      </c>
      <c r="R25" s="62">
        <f t="shared" si="9"/>
        <v>38</v>
      </c>
      <c r="S25" s="62" t="str">
        <f>IFERROR(VLOOKUP(MID(N25,Q25,R25-Q25),[5]skilldef!$C:$D,2,FALSE),"-") &amp; " / " &amp; IFERROR(VLOOKUP(MID(N25,O25,P25-O25),[5]skilldef!$A:$B,2,FALSE),"-")</f>
        <v>緑パネルを / ディスパネル</v>
      </c>
      <c r="T25" s="47" t="str">
        <f t="shared" si="10"/>
        <v>none</v>
      </c>
      <c r="U25" s="62" t="e">
        <f t="shared" si="11"/>
        <v>#VALUE!</v>
      </c>
      <c r="V25" s="62">
        <f t="shared" si="12"/>
        <v>4</v>
      </c>
      <c r="W25" s="62" t="e">
        <f t="shared" si="13"/>
        <v>#VALUE!</v>
      </c>
      <c r="X25" s="62" t="e">
        <f t="shared" si="14"/>
        <v>#VALUE!</v>
      </c>
      <c r="Y25" s="62" t="str">
        <f>IFERROR(VLOOKUP(MID(T25,W25,X25-W25),[5]skilldef!$C:$D,2,FALSE),"-") &amp; " / " &amp; IFERROR(VLOOKUP(MID(T25,U25,V25-U25),[5]skilldef!$A:$B,2,FALSE),"-")</f>
        <v>- / -</v>
      </c>
      <c r="Z25" s="49"/>
      <c r="AA25" s="51"/>
      <c r="AB25" s="49"/>
    </row>
    <row r="26" spans="1:28" ht="21" customHeight="1" x14ac:dyDescent="0.15">
      <c r="A26" s="46">
        <v>50008025</v>
      </c>
      <c r="B26" s="46" t="s">
        <v>397</v>
      </c>
      <c r="C26" s="49">
        <v>3</v>
      </c>
      <c r="D26" s="49" t="s">
        <v>128</v>
      </c>
      <c r="E26" s="50" t="s">
        <v>277</v>
      </c>
      <c r="F26" s="50" t="s">
        <v>324</v>
      </c>
      <c r="G26" s="62" t="str">
        <f t="shared" si="0"/>
        <v>[effect:dis_heart, turn:5, animation:enemy_dis_heart]</v>
      </c>
      <c r="H26" s="62">
        <f t="shared" si="1"/>
        <v>9</v>
      </c>
      <c r="I26" s="62">
        <f t="shared" si="2"/>
        <v>18</v>
      </c>
      <c r="J26" s="62" t="e">
        <f t="shared" si="3"/>
        <v>#VALUE!</v>
      </c>
      <c r="K26" s="62">
        <f t="shared" si="4"/>
        <v>26</v>
      </c>
      <c r="L26" s="62" t="str">
        <f>IFERROR(VLOOKUP(MID(G26,J26,K26-J26),[5]skilldef!$C:$D,2,FALSE),"-") &amp; " / " &amp; IFERROR(VLOOKUP(MID(G26,H26,I26-H26),[5]skilldef!$A:$B,2,FALSE),"-")</f>
        <v>- / ディスハート</v>
      </c>
      <c r="M26" s="62" t="str">
        <f t="shared" si="5"/>
        <v>none</v>
      </c>
      <c r="N26" s="47" t="str">
        <f>IFERROR(LEFT(M26,FIND("],",M26)+#REF!),M26)</f>
        <v>none</v>
      </c>
      <c r="O26" s="62" t="e">
        <f t="shared" si="6"/>
        <v>#VALUE!</v>
      </c>
      <c r="P26" s="62">
        <f t="shared" si="7"/>
        <v>4</v>
      </c>
      <c r="Q26" s="62" t="e">
        <f t="shared" si="8"/>
        <v>#VALUE!</v>
      </c>
      <c r="R26" s="62" t="e">
        <f t="shared" si="9"/>
        <v>#VALUE!</v>
      </c>
      <c r="S26" s="62" t="str">
        <f>IFERROR(VLOOKUP(MID(N26,Q26,R26-Q26),[5]skilldef!$C:$D,2,FALSE),"-") &amp; " / " &amp; IFERROR(VLOOKUP(MID(N26,O26,P26-O26),[5]skilldef!$A:$B,2,FALSE),"-")</f>
        <v>- / -</v>
      </c>
      <c r="T26" s="47" t="str">
        <f t="shared" si="10"/>
        <v>none</v>
      </c>
      <c r="U26" s="62" t="e">
        <f t="shared" si="11"/>
        <v>#VALUE!</v>
      </c>
      <c r="V26" s="62">
        <f t="shared" si="12"/>
        <v>4</v>
      </c>
      <c r="W26" s="62" t="e">
        <f t="shared" si="13"/>
        <v>#VALUE!</v>
      </c>
      <c r="X26" s="62" t="e">
        <f t="shared" si="14"/>
        <v>#VALUE!</v>
      </c>
      <c r="Y26" s="62" t="str">
        <f>IFERROR(VLOOKUP(MID(T26,W26,X26-W26),[5]skilldef!$C:$D,2,FALSE),"-") &amp; " / " &amp; IFERROR(VLOOKUP(MID(T26,U26,V26-U26),[5]skilldef!$A:$B,2,FALSE),"-")</f>
        <v>- / -</v>
      </c>
      <c r="Z26" s="49"/>
      <c r="AA26" s="51"/>
      <c r="AB26" s="49"/>
    </row>
    <row r="27" spans="1:28" ht="21" customHeight="1" x14ac:dyDescent="0.15">
      <c r="A27" s="46">
        <v>50008026</v>
      </c>
      <c r="B27" s="46" t="s">
        <v>255</v>
      </c>
      <c r="C27" s="49">
        <v>3</v>
      </c>
      <c r="D27" s="49" t="s">
        <v>128</v>
      </c>
      <c r="E27" s="50" t="s">
        <v>278</v>
      </c>
      <c r="F27" s="50" t="s">
        <v>283</v>
      </c>
      <c r="G27" s="62" t="str">
        <f t="shared" ref="G27:G47" si="17">IFERROR(LEFT(B27,FIND("],",B27)),B27)</f>
        <v>[effect:rush, count:4, val:0.35]</v>
      </c>
      <c r="H27" s="62">
        <f t="shared" si="1"/>
        <v>9</v>
      </c>
      <c r="I27" s="62">
        <f t="shared" ref="I27:I47" si="18">IFERROR(FIND(",",G27),LEN(G27))</f>
        <v>13</v>
      </c>
      <c r="J27" s="62" t="e">
        <f t="shared" ref="J27:J47" si="19">FIND("target:",G27)+7</f>
        <v>#VALUE!</v>
      </c>
      <c r="K27" s="62">
        <f t="shared" ref="K27:K47" si="20">FIND(",",G27,I27+1)</f>
        <v>22</v>
      </c>
      <c r="L27" s="62" t="str">
        <f>IFERROR(VLOOKUP(MID(G27,J27,K27-J27),[5]skilldef!$C:$D,2,FALSE),"-") &amp; " / " &amp; IFERROR(VLOOKUP(MID(G27,H27,I27-H27),[5]skilldef!$A:$B,2,FALSE),"-")</f>
        <v>- / 連続攻撃</v>
      </c>
      <c r="M27" s="62" t="str">
        <f t="shared" ref="M27:M47" si="21">IFERROR(RIGHT(B27,LEN(B27)-FIND("],",B27)-1),"none")</f>
        <v>none</v>
      </c>
      <c r="N27" s="47" t="str">
        <f>IFERROR(LEFT(M27,FIND("],",M27)+#REF!),M27)</f>
        <v>none</v>
      </c>
      <c r="O27" s="62" t="e">
        <f t="shared" si="6"/>
        <v>#VALUE!</v>
      </c>
      <c r="P27" s="62">
        <f t="shared" ref="P27:P47" si="22">IFERROR(FIND(",",N27),LEN(N27))</f>
        <v>4</v>
      </c>
      <c r="Q27" s="62" t="e">
        <f t="shared" ref="Q27:Q47" si="23">FIND("target:",N27)+7</f>
        <v>#VALUE!</v>
      </c>
      <c r="R27" s="62" t="e">
        <f t="shared" ref="R27:R47" si="24">FIND(",",N27,P27+1)</f>
        <v>#VALUE!</v>
      </c>
      <c r="S27" s="62" t="str">
        <f>IFERROR(VLOOKUP(MID(N27,Q27,R27-Q27),[5]skilldef!$C:$D,2,FALSE),"-") &amp; " / " &amp; IFERROR(VLOOKUP(MID(N27,O27,P27-O27),[5]skilldef!$A:$B,2,FALSE),"-")</f>
        <v>- / -</v>
      </c>
      <c r="T27" s="47" t="str">
        <f t="shared" ref="T27:T47" si="25">IFERROR(RIGHT(M27,LEN(M27)-FIND("],",M27)-1),"none")</f>
        <v>none</v>
      </c>
      <c r="U27" s="62" t="e">
        <f t="shared" si="11"/>
        <v>#VALUE!</v>
      </c>
      <c r="V27" s="62">
        <f t="shared" ref="V27:V47" si="26">IFERROR(FIND(",",T27),LEN(T27))</f>
        <v>4</v>
      </c>
      <c r="W27" s="62" t="e">
        <f t="shared" ref="W27:W47" si="27">FIND("target:",T27)+7</f>
        <v>#VALUE!</v>
      </c>
      <c r="X27" s="62" t="e">
        <f t="shared" ref="X27:X47" si="28">FIND(",",T27,V27+1)</f>
        <v>#VALUE!</v>
      </c>
      <c r="Y27" s="62" t="str">
        <f>IFERROR(VLOOKUP(MID(T27,W27,X27-W27),[5]skilldef!$C:$D,2,FALSE),"-") &amp; " / " &amp; IFERROR(VLOOKUP(MID(T27,U27,V27-U27),[5]skilldef!$A:$B,2,FALSE),"-")</f>
        <v>- / -</v>
      </c>
      <c r="Z27" s="49"/>
      <c r="AA27" s="51"/>
      <c r="AB27" s="49"/>
    </row>
    <row r="28" spans="1:28" ht="21" customHeight="1" x14ac:dyDescent="0.15">
      <c r="A28" s="46">
        <v>50008027</v>
      </c>
      <c r="B28" s="46" t="s">
        <v>379</v>
      </c>
      <c r="C28" s="49">
        <v>3</v>
      </c>
      <c r="D28" s="49" t="s">
        <v>128</v>
      </c>
      <c r="E28" s="50" t="s">
        <v>301</v>
      </c>
      <c r="F28" s="50" t="s">
        <v>250</v>
      </c>
      <c r="G28" s="62" t="str">
        <f t="shared" si="17"/>
        <v>[effect:enemy_message, val1:1.4, val2:2]</v>
      </c>
      <c r="H28" s="62">
        <f t="shared" si="1"/>
        <v>9</v>
      </c>
      <c r="I28" s="62">
        <f t="shared" si="18"/>
        <v>22</v>
      </c>
      <c r="J28" s="62" t="e">
        <f t="shared" si="19"/>
        <v>#VALUE!</v>
      </c>
      <c r="K28" s="62">
        <f t="shared" si="20"/>
        <v>32</v>
      </c>
      <c r="L28" s="62" t="str">
        <f>IFERROR(VLOOKUP(MID(G28,J28,K28-J28),[5]skilldef!$C:$D,2,FALSE),"-") &amp; " / " &amp; IFERROR(VLOOKUP(MID(G28,H28,I28-H28),[5]skilldef!$A:$B,2,FALSE),"-")</f>
        <v>- / -</v>
      </c>
      <c r="M28" s="62" t="str">
        <f t="shared" si="21"/>
        <v>[effect:fix_speed, target:myself, turn:2],[effect:tolerance, target:myself, turn:-1, count:-1, tolerance_effect:all, animation:enemy_tolerance]</v>
      </c>
      <c r="N28" s="47" t="str">
        <f>IFERROR(LEFT(M28,FIND("],",M28)+S35),M28)</f>
        <v>[effect:fix_speed, target:myself, turn:2],[effect:tolerance, target:myself, turn:-1, count:-1, tolerance_effect:all, animation:enemy_tolerance]</v>
      </c>
      <c r="O28" s="62">
        <f t="shared" si="6"/>
        <v>9</v>
      </c>
      <c r="P28" s="62">
        <f t="shared" si="22"/>
        <v>18</v>
      </c>
      <c r="Q28" s="62">
        <f t="shared" si="23"/>
        <v>27</v>
      </c>
      <c r="R28" s="62">
        <f t="shared" si="24"/>
        <v>33</v>
      </c>
      <c r="S28" s="62" t="str">
        <f>IFERROR(VLOOKUP(MID(N28,Q28,R28-Q28),[5]skilldef!$C:$D,2,FALSE),"-") &amp; " / " &amp; IFERROR(VLOOKUP(MID(N28,O28,P28-O28),[5]skilldef!$A:$B,2,FALSE),"-")</f>
        <v>自分自身に / 行動値設定</v>
      </c>
      <c r="T28" s="47" t="str">
        <f t="shared" si="25"/>
        <v>[effect:tolerance, target:myself, turn:-1, count:-1, tolerance_effect:all, animation:enemy_tolerance]</v>
      </c>
      <c r="U28" s="62">
        <f t="shared" si="11"/>
        <v>9</v>
      </c>
      <c r="V28" s="62">
        <f t="shared" si="26"/>
        <v>18</v>
      </c>
      <c r="W28" s="62">
        <f t="shared" si="27"/>
        <v>27</v>
      </c>
      <c r="X28" s="62">
        <f t="shared" si="28"/>
        <v>33</v>
      </c>
      <c r="Y28" s="62" t="str">
        <f>IFERROR(VLOOKUP(MID(T28,W28,X28-W28),[5]skilldef!$C:$D,2,FALSE),"-") &amp; " / " &amp; IFERROR(VLOOKUP(MID(T28,U28,V28-U28),[5]skilldef!$A:$B,2,FALSE),"-")</f>
        <v>自分自身に / 状態異常耐性</v>
      </c>
      <c r="Z28" s="49"/>
      <c r="AA28" s="51"/>
      <c r="AB28" s="49"/>
    </row>
    <row r="29" spans="1:28" ht="21" customHeight="1" x14ac:dyDescent="0.15">
      <c r="A29" s="46">
        <v>50008028</v>
      </c>
      <c r="B29" s="46" t="s">
        <v>376</v>
      </c>
      <c r="C29" s="49">
        <v>3</v>
      </c>
      <c r="D29" s="49" t="s">
        <v>128</v>
      </c>
      <c r="E29" s="50" t="s">
        <v>385</v>
      </c>
      <c r="F29" s="50" t="s">
        <v>250</v>
      </c>
      <c r="G29" s="62" t="str">
        <f t="shared" si="17"/>
        <v>[effect:enemy_message, val1:1.2, val2:2]</v>
      </c>
      <c r="H29" s="62">
        <f t="shared" si="1"/>
        <v>9</v>
      </c>
      <c r="I29" s="62">
        <f t="shared" si="18"/>
        <v>22</v>
      </c>
      <c r="J29" s="62" t="e">
        <f t="shared" si="19"/>
        <v>#VALUE!</v>
      </c>
      <c r="K29" s="62">
        <f t="shared" si="20"/>
        <v>32</v>
      </c>
      <c r="L29" s="62" t="str">
        <f>IFERROR(VLOOKUP(MID(G29,J29,K29-J29),[5]skilldef!$C:$D,2,FALSE),"-") &amp; " / " &amp; IFERROR(VLOOKUP(MID(G29,H29,I29-H29),[5]skilldef!$A:$B,2,FALSE),"-")</f>
        <v>- / -</v>
      </c>
      <c r="M29" s="62" t="str">
        <f t="shared" si="21"/>
        <v>[effect:fix_speed, target:myself, turn:2],[effect:tolerance, target:myself, turn:-1, count:-1, tolerance_effect:all, animation:enemy_tolerance]</v>
      </c>
      <c r="N29" s="47" t="str">
        <f>IFERROR(LEFT(M29,FIND("],",M29)+S35),M29)</f>
        <v>[effect:fix_speed, target:myself, turn:2],[effect:tolerance, target:myself, turn:-1, count:-1, tolerance_effect:all, animation:enemy_tolerance]</v>
      </c>
      <c r="O29" s="62">
        <f t="shared" si="6"/>
        <v>9</v>
      </c>
      <c r="P29" s="62">
        <f t="shared" si="22"/>
        <v>18</v>
      </c>
      <c r="Q29" s="62">
        <f t="shared" si="23"/>
        <v>27</v>
      </c>
      <c r="R29" s="62">
        <f t="shared" si="24"/>
        <v>33</v>
      </c>
      <c r="S29" s="62" t="str">
        <f>IFERROR(VLOOKUP(MID(N29,Q29,R29-Q29),[5]skilldef!$C:$D,2,FALSE),"-") &amp; " / " &amp; IFERROR(VLOOKUP(MID(N29,O29,P29-O29),[5]skilldef!$A:$B,2,FALSE),"-")</f>
        <v>自分自身に / 行動値設定</v>
      </c>
      <c r="T29" s="47" t="str">
        <f t="shared" si="25"/>
        <v>[effect:tolerance, target:myself, turn:-1, count:-1, tolerance_effect:all, animation:enemy_tolerance]</v>
      </c>
      <c r="U29" s="62">
        <f t="shared" si="11"/>
        <v>9</v>
      </c>
      <c r="V29" s="62">
        <f t="shared" si="26"/>
        <v>18</v>
      </c>
      <c r="W29" s="62">
        <f t="shared" si="27"/>
        <v>27</v>
      </c>
      <c r="X29" s="62">
        <f t="shared" si="28"/>
        <v>33</v>
      </c>
      <c r="Y29" s="62" t="str">
        <f>IFERROR(VLOOKUP(MID(T29,W29,X29-W29),[5]skilldef!$C:$D,2,FALSE),"-") &amp; " / " &amp; IFERROR(VLOOKUP(MID(T29,U29,V29-U29),[5]skilldef!$A:$B,2,FALSE),"-")</f>
        <v>自分自身に / 状態異常耐性</v>
      </c>
      <c r="Z29" s="49"/>
      <c r="AA29" s="51"/>
      <c r="AB29" s="49"/>
    </row>
    <row r="30" spans="1:28" ht="21" customHeight="1" x14ac:dyDescent="0.15">
      <c r="A30" s="46">
        <v>50008029</v>
      </c>
      <c r="B30" s="46" t="s">
        <v>379</v>
      </c>
      <c r="C30" s="49">
        <v>3</v>
      </c>
      <c r="D30" s="49" t="s">
        <v>128</v>
      </c>
      <c r="E30" s="50" t="s">
        <v>380</v>
      </c>
      <c r="F30" s="50" t="s">
        <v>250</v>
      </c>
      <c r="G30" s="62" t="str">
        <f t="shared" ref="G30" si="29">IFERROR(LEFT(B30,FIND("],",B30)),B30)</f>
        <v>[effect:enemy_message, val1:1.4, val2:2]</v>
      </c>
      <c r="H30" s="62">
        <f t="shared" ref="H30" si="30">FIND("effect:",G30)+7</f>
        <v>9</v>
      </c>
      <c r="I30" s="62">
        <f t="shared" ref="I30" si="31">IFERROR(FIND(",",G30),LEN(G30))</f>
        <v>22</v>
      </c>
      <c r="J30" s="62" t="e">
        <f t="shared" ref="J30" si="32">FIND("target:",G30)+7</f>
        <v>#VALUE!</v>
      </c>
      <c r="K30" s="62">
        <f t="shared" ref="K30" si="33">FIND(",",G30,I30+1)</f>
        <v>32</v>
      </c>
      <c r="L30" s="62" t="str">
        <f>IFERROR(VLOOKUP(MID(G30,J30,K30-J30),[5]skilldef!$C:$D,2,FALSE),"-") &amp; " / " &amp; IFERROR(VLOOKUP(MID(G30,H30,I30-H30),[5]skilldef!$A:$B,2,FALSE),"-")</f>
        <v>- / -</v>
      </c>
      <c r="M30" s="62" t="str">
        <f t="shared" ref="M30" si="34">IFERROR(RIGHT(B30,LEN(B30)-FIND("],",B30)-1),"none")</f>
        <v>[effect:fix_speed, target:myself, turn:2],[effect:tolerance, target:myself, turn:-1, count:-1, tolerance_effect:all, animation:enemy_tolerance]</v>
      </c>
      <c r="N30" s="47" t="str">
        <f>IFERROR(LEFT(M30,FIND("],",M30)+S37),M30)</f>
        <v>[effect:fix_speed, target:myself, turn:2],[effect:tolerance, target:myself, turn:-1, count:-1, tolerance_effect:all, animation:enemy_tolerance]</v>
      </c>
      <c r="O30" s="62">
        <f t="shared" ref="O30" si="35">FIND("effect:",N30)+7</f>
        <v>9</v>
      </c>
      <c r="P30" s="62">
        <f t="shared" ref="P30" si="36">IFERROR(FIND(",",N30),LEN(N30))</f>
        <v>18</v>
      </c>
      <c r="Q30" s="62">
        <f t="shared" ref="Q30" si="37">FIND("target:",N30)+7</f>
        <v>27</v>
      </c>
      <c r="R30" s="62">
        <f t="shared" ref="R30" si="38">FIND(",",N30,P30+1)</f>
        <v>33</v>
      </c>
      <c r="S30" s="62" t="str">
        <f>IFERROR(VLOOKUP(MID(N30,Q30,R30-Q30),[5]skilldef!$C:$D,2,FALSE),"-") &amp; " / " &amp; IFERROR(VLOOKUP(MID(N30,O30,P30-O30),[5]skilldef!$A:$B,2,FALSE),"-")</f>
        <v>自分自身に / 行動値設定</v>
      </c>
      <c r="T30" s="47" t="str">
        <f t="shared" ref="T30" si="39">IFERROR(RIGHT(M30,LEN(M30)-FIND("],",M30)-1),"none")</f>
        <v>[effect:tolerance, target:myself, turn:-1, count:-1, tolerance_effect:all, animation:enemy_tolerance]</v>
      </c>
      <c r="U30" s="62">
        <f t="shared" ref="U30" si="40">FIND("effect:",T30)+7</f>
        <v>9</v>
      </c>
      <c r="V30" s="62">
        <f t="shared" ref="V30" si="41">IFERROR(FIND(",",T30),LEN(T30))</f>
        <v>18</v>
      </c>
      <c r="W30" s="62">
        <f t="shared" ref="W30" si="42">FIND("target:",T30)+7</f>
        <v>27</v>
      </c>
      <c r="X30" s="62">
        <f t="shared" ref="X30" si="43">FIND(",",T30,V30+1)</f>
        <v>33</v>
      </c>
      <c r="Y30" s="62" t="str">
        <f>IFERROR(VLOOKUP(MID(T30,W30,X30-W30),[5]skilldef!$C:$D,2,FALSE),"-") &amp; " / " &amp; IFERROR(VLOOKUP(MID(T30,U30,V30-U30),[5]skilldef!$A:$B,2,FALSE),"-")</f>
        <v>自分自身に / 状態異常耐性</v>
      </c>
      <c r="Z30" s="49"/>
      <c r="AA30" s="51"/>
      <c r="AB30" s="49"/>
    </row>
    <row r="31" spans="1:28" ht="21" customHeight="1" x14ac:dyDescent="0.15">
      <c r="A31" s="46">
        <v>50008030</v>
      </c>
      <c r="B31" s="46" t="s">
        <v>254</v>
      </c>
      <c r="C31" s="49">
        <v>3</v>
      </c>
      <c r="D31" s="49" t="s">
        <v>128</v>
      </c>
      <c r="E31" s="50" t="s">
        <v>303</v>
      </c>
      <c r="F31" s="50" t="s">
        <v>399</v>
      </c>
      <c r="G31" s="62" t="str">
        <f t="shared" si="17"/>
        <v>[effect:damage_abnormal, target:unit_one, val:1.2, status:dark, turn:2, rate:1, animation:enemy_dark]</v>
      </c>
      <c r="H31" s="62">
        <f t="shared" si="1"/>
        <v>9</v>
      </c>
      <c r="I31" s="62">
        <f t="shared" si="18"/>
        <v>24</v>
      </c>
      <c r="J31" s="62">
        <f t="shared" si="19"/>
        <v>33</v>
      </c>
      <c r="K31" s="62">
        <f t="shared" si="20"/>
        <v>41</v>
      </c>
      <c r="L31" s="62" t="str">
        <f>IFERROR(VLOOKUP(MID(G31,J31,K31-J31),[5]skilldef!$C:$D,2,FALSE),"-") &amp; " / " &amp; IFERROR(VLOOKUP(MID(G31,H31,I31-H31),[5]skilldef!$A:$B,2,FALSE),"-")</f>
        <v>味方単体に / -</v>
      </c>
      <c r="M31" s="62" t="str">
        <f t="shared" si="21"/>
        <v>none</v>
      </c>
      <c r="N31" s="47" t="str">
        <f>IFERROR(LEFT(M31,FIND("],",M31)+#REF!),M31)</f>
        <v>none</v>
      </c>
      <c r="O31" s="62" t="e">
        <f t="shared" si="6"/>
        <v>#VALUE!</v>
      </c>
      <c r="P31" s="62">
        <f t="shared" si="22"/>
        <v>4</v>
      </c>
      <c r="Q31" s="62" t="e">
        <f t="shared" si="23"/>
        <v>#VALUE!</v>
      </c>
      <c r="R31" s="62" t="e">
        <f t="shared" si="24"/>
        <v>#VALUE!</v>
      </c>
      <c r="S31" s="62" t="str">
        <f>IFERROR(VLOOKUP(MID(N31,Q31,R31-Q31),[5]skilldef!$C:$D,2,FALSE),"-") &amp; " / " &amp; IFERROR(VLOOKUP(MID(N31,O31,P31-O31),[5]skilldef!$A:$B,2,FALSE),"-")</f>
        <v>- / -</v>
      </c>
      <c r="T31" s="47" t="str">
        <f t="shared" si="25"/>
        <v>none</v>
      </c>
      <c r="U31" s="62" t="e">
        <f t="shared" si="11"/>
        <v>#VALUE!</v>
      </c>
      <c r="V31" s="62">
        <f t="shared" si="26"/>
        <v>4</v>
      </c>
      <c r="W31" s="62" t="e">
        <f t="shared" si="27"/>
        <v>#VALUE!</v>
      </c>
      <c r="X31" s="62" t="e">
        <f t="shared" si="28"/>
        <v>#VALUE!</v>
      </c>
      <c r="Y31" s="62" t="str">
        <f>IFERROR(VLOOKUP(MID(T31,W31,X31-W31),[5]skilldef!$C:$D,2,FALSE),"-") &amp; " / " &amp; IFERROR(VLOOKUP(MID(T31,U31,V31-U31),[5]skilldef!$A:$B,2,FALSE),"-")</f>
        <v>- / -</v>
      </c>
      <c r="Z31" s="49"/>
      <c r="AA31" s="51"/>
      <c r="AB31" s="49"/>
    </row>
    <row r="32" spans="1:28" ht="21" customHeight="1" x14ac:dyDescent="0.15">
      <c r="A32" s="46">
        <v>50008031</v>
      </c>
      <c r="B32" s="46" t="s">
        <v>402</v>
      </c>
      <c r="C32" s="49">
        <v>3</v>
      </c>
      <c r="D32" s="49" t="s">
        <v>128</v>
      </c>
      <c r="E32" s="50" t="s">
        <v>382</v>
      </c>
      <c r="F32" s="50" t="s">
        <v>326</v>
      </c>
      <c r="G32" s="62" t="str">
        <f t="shared" ref="G32" si="44">IFERROR(LEFT(B32,FIND("],",B32)),B32)</f>
        <v>[effect:enemy_message, val1:1.2, val2:2]</v>
      </c>
      <c r="H32" s="62">
        <f t="shared" ref="H32" si="45">FIND("effect:",G32)+7</f>
        <v>9</v>
      </c>
      <c r="I32" s="62">
        <f t="shared" ref="I32" si="46">IFERROR(FIND(",",G32),LEN(G32))</f>
        <v>22</v>
      </c>
      <c r="J32" s="62" t="e">
        <f t="shared" ref="J32" si="47">FIND("target:",G32)+7</f>
        <v>#VALUE!</v>
      </c>
      <c r="K32" s="62">
        <f t="shared" ref="K32" si="48">FIND(",",G32,I32+1)</f>
        <v>32</v>
      </c>
      <c r="L32" s="62" t="str">
        <f>IFERROR(VLOOKUP(MID(G32,J32,K32-J32),[5]skilldef!$C:$D,2,FALSE),"-") &amp; " / " &amp; IFERROR(VLOOKUP(MID(G32,H32,I32-H32),[5]skilldef!$A:$B,2,FALSE),"-")</f>
        <v>- / -</v>
      </c>
      <c r="M32" s="62" t="str">
        <f t="shared" ref="M32" si="49">IFERROR(RIGHT(B32,LEN(B32)-FIND("],",B32)-1),"none")</f>
        <v>[effect:force_change_block, new_block:damage, target:block_all, ignore01:crash, ignore02:crack_bomb, ignore03:color_break, ignore04:jammer, ignore05:damage, ignore06:magnet, color:block_red, count:6, val:0.09, animation:change_block]</v>
      </c>
      <c r="N32" s="47" t="str">
        <f t="shared" ref="N32" si="50">IFERROR(LEFT(M32,FIND("],",M32)+S37),M32)</f>
        <v>[effect:force_change_block, new_block:damage, target:block_all, ignore01:crash, ignore02:crack_bomb, ignore03:color_break, ignore04:jammer, ignore05:damage, ignore06:magnet, color:block_red, count:6, val:0.09, animation:change_block]</v>
      </c>
      <c r="O32" s="62">
        <f t="shared" ref="O32" si="51">FIND("effect:",N32)+7</f>
        <v>9</v>
      </c>
      <c r="P32" s="62">
        <f t="shared" ref="P32" si="52">IFERROR(FIND(",",N32),LEN(N32))</f>
        <v>27</v>
      </c>
      <c r="Q32" s="62">
        <f t="shared" ref="Q32" si="53">FIND("target:",N32)+7</f>
        <v>54</v>
      </c>
      <c r="R32" s="62">
        <f t="shared" ref="R32" si="54">FIND(",",N32,P32+1)</f>
        <v>45</v>
      </c>
      <c r="S32" s="62" t="str">
        <f>IFERROR(VLOOKUP(MID(N32,Q32,R32-Q32),[5]skilldef!$C:$D,2,FALSE),"-") &amp; " / " &amp; IFERROR(VLOOKUP(MID(N32,O32,P32-O32),[5]skilldef!$A:$B,2,FALSE),"-")</f>
        <v>- / -</v>
      </c>
      <c r="T32" s="47" t="str">
        <f t="shared" ref="T32" si="55">IFERROR(RIGHT(M32,LEN(M32)-FIND("],",M32)-1),"none")</f>
        <v>none</v>
      </c>
      <c r="U32" s="62" t="e">
        <f t="shared" ref="U32" si="56">FIND("effect:",T32)+7</f>
        <v>#VALUE!</v>
      </c>
      <c r="V32" s="62">
        <f t="shared" ref="V32" si="57">IFERROR(FIND(",",T32),LEN(T32))</f>
        <v>4</v>
      </c>
      <c r="W32" s="62" t="e">
        <f t="shared" ref="W32" si="58">FIND("target:",T32)+7</f>
        <v>#VALUE!</v>
      </c>
      <c r="X32" s="62" t="e">
        <f t="shared" ref="X32" si="59">FIND(",",T32,V32+1)</f>
        <v>#VALUE!</v>
      </c>
      <c r="Y32" s="62" t="str">
        <f>IFERROR(VLOOKUP(MID(T32,W32,X32-W32),[5]skilldef!$C:$D,2,FALSE),"-") &amp; " / " &amp; IFERROR(VLOOKUP(MID(T32,U32,V32-U32),[5]skilldef!$A:$B,2,FALSE),"-")</f>
        <v>- / -</v>
      </c>
      <c r="Z32" s="49"/>
      <c r="AA32" s="51"/>
      <c r="AB32" s="49"/>
    </row>
    <row r="33" spans="1:28" ht="21" customHeight="1" x14ac:dyDescent="0.15">
      <c r="A33" s="46">
        <v>50008032</v>
      </c>
      <c r="B33" s="46" t="s">
        <v>365</v>
      </c>
      <c r="C33" s="49">
        <v>3</v>
      </c>
      <c r="D33" s="49" t="s">
        <v>128</v>
      </c>
      <c r="E33" s="50" t="s">
        <v>310</v>
      </c>
      <c r="F33" s="50" t="s">
        <v>363</v>
      </c>
      <c r="G33" s="62" t="str">
        <f>IFERROR(LEFT(B33,FIND("],",B33)),B33)</f>
        <v>[effect:damage_anti_color, target:unit_all, color:green, val1:1.1, val2:0.25]</v>
      </c>
      <c r="H33" s="62">
        <f>FIND("effect:",G33)+7</f>
        <v>9</v>
      </c>
      <c r="I33" s="62">
        <f>IFERROR(FIND(",",G33),LEN(G33))</f>
        <v>26</v>
      </c>
      <c r="J33" s="62">
        <f>FIND("target:",G33)+7</f>
        <v>35</v>
      </c>
      <c r="K33" s="62">
        <f>FIND(",",G33,I33+1)</f>
        <v>43</v>
      </c>
      <c r="L33" s="62" t="str">
        <f>IFERROR(VLOOKUP(MID(G33,J33,K33-J33),[5]skilldef!$C:$D,2,FALSE),"-") &amp; " / " &amp; IFERROR(VLOOKUP(MID(G33,H33,I33-H33),[5]skilldef!$A:$B,2,FALSE),"-")</f>
        <v>味方全体に / 属性キラー</v>
      </c>
      <c r="M33" s="62" t="str">
        <f>IFERROR(RIGHT(B33,LEN(B33)-FIND("],",B33)-1),"none")</f>
        <v>none</v>
      </c>
      <c r="N33" s="47" t="str">
        <f>IFERROR(LEFT(M33,FIND("],",M33)+S38),M33)</f>
        <v>none</v>
      </c>
      <c r="O33" s="62" t="e">
        <f>FIND("effect:",N33)+7</f>
        <v>#VALUE!</v>
      </c>
      <c r="P33" s="62">
        <f>IFERROR(FIND(",",N33),LEN(N33))</f>
        <v>4</v>
      </c>
      <c r="Q33" s="62" t="e">
        <f>FIND("target:",N33)+7</f>
        <v>#VALUE!</v>
      </c>
      <c r="R33" s="62" t="e">
        <f>FIND(",",N33,P33+1)</f>
        <v>#VALUE!</v>
      </c>
      <c r="S33" s="62" t="str">
        <f>IFERROR(VLOOKUP(MID(N33,Q33,R33-Q33),[5]skilldef!$C:$D,2,FALSE),"-") &amp; " / " &amp; IFERROR(VLOOKUP(MID(N33,O33,P33-O33),[5]skilldef!$A:$B,2,FALSE),"-")</f>
        <v>- / -</v>
      </c>
      <c r="T33" s="47" t="str">
        <f>IFERROR(RIGHT(M33,LEN(M33)-FIND("],",M33)-1),"none")</f>
        <v>none</v>
      </c>
      <c r="U33" s="62" t="e">
        <f>FIND("effect:",T33)+7</f>
        <v>#VALUE!</v>
      </c>
      <c r="V33" s="62">
        <f>IFERROR(FIND(",",T33),LEN(T33))</f>
        <v>4</v>
      </c>
      <c r="W33" s="62" t="e">
        <f>FIND("target:",T33)+7</f>
        <v>#VALUE!</v>
      </c>
      <c r="X33" s="62" t="e">
        <f>FIND(",",T33,V33+1)</f>
        <v>#VALUE!</v>
      </c>
      <c r="Y33" s="62" t="str">
        <f>IFERROR(VLOOKUP(MID(T33,W33,X33-W33),[5]skilldef!$C:$D,2,FALSE),"-") &amp; " / " &amp; IFERROR(VLOOKUP(MID(T33,U33,V33-U33),[5]skilldef!$A:$B,2,FALSE),"-")</f>
        <v>- / -</v>
      </c>
      <c r="Z33" s="49"/>
      <c r="AA33" s="51"/>
      <c r="AB33" s="49"/>
    </row>
    <row r="34" spans="1:28" ht="21" customHeight="1" x14ac:dyDescent="0.15">
      <c r="A34" s="46">
        <v>50008033</v>
      </c>
      <c r="B34" s="46" t="s">
        <v>357</v>
      </c>
      <c r="C34" s="49">
        <v>3</v>
      </c>
      <c r="D34" s="49" t="s">
        <v>128</v>
      </c>
      <c r="E34" s="50" t="s">
        <v>304</v>
      </c>
      <c r="F34" s="50" t="s">
        <v>359</v>
      </c>
      <c r="G34" s="62" t="str">
        <f t="shared" si="17"/>
        <v>[effect:damage_abnormal, target:unit_one, val:1.2, status:virus, turn:1, rate:1, val_abnormal:4, animation:enemy_virus]</v>
      </c>
      <c r="H34" s="62">
        <f t="shared" si="1"/>
        <v>9</v>
      </c>
      <c r="I34" s="62">
        <f t="shared" si="18"/>
        <v>24</v>
      </c>
      <c r="J34" s="62">
        <f t="shared" si="19"/>
        <v>33</v>
      </c>
      <c r="K34" s="62">
        <f t="shared" si="20"/>
        <v>41</v>
      </c>
      <c r="L34" s="62" t="str">
        <f>IFERROR(VLOOKUP(MID(G34,J34,K34-J34),[5]skilldef!$C:$D,2,FALSE),"-") &amp; " / " &amp; IFERROR(VLOOKUP(MID(G34,H34,I34-H34),[5]skilldef!$A:$B,2,FALSE),"-")</f>
        <v>味方単体に / -</v>
      </c>
      <c r="M34" s="62" t="str">
        <f t="shared" si="21"/>
        <v>none</v>
      </c>
      <c r="N34" s="47" t="str">
        <f>IFERROR(LEFT(M34,FIND("],",M34)+S39),M34)</f>
        <v>none</v>
      </c>
      <c r="O34" s="62" t="e">
        <f t="shared" si="6"/>
        <v>#VALUE!</v>
      </c>
      <c r="P34" s="62">
        <f t="shared" si="22"/>
        <v>4</v>
      </c>
      <c r="Q34" s="62" t="e">
        <f t="shared" si="23"/>
        <v>#VALUE!</v>
      </c>
      <c r="R34" s="62" t="e">
        <f t="shared" si="24"/>
        <v>#VALUE!</v>
      </c>
      <c r="S34" s="62" t="str">
        <f>IFERROR(VLOOKUP(MID(N34,Q34,R34-Q34),[5]skilldef!$C:$D,2,FALSE),"-") &amp; " / " &amp; IFERROR(VLOOKUP(MID(N34,O34,P34-O34),[5]skilldef!$A:$B,2,FALSE),"-")</f>
        <v>- / -</v>
      </c>
      <c r="T34" s="47" t="str">
        <f t="shared" si="25"/>
        <v>none</v>
      </c>
      <c r="U34" s="62" t="e">
        <f t="shared" si="11"/>
        <v>#VALUE!</v>
      </c>
      <c r="V34" s="62">
        <f t="shared" si="26"/>
        <v>4</v>
      </c>
      <c r="W34" s="62" t="e">
        <f t="shared" si="27"/>
        <v>#VALUE!</v>
      </c>
      <c r="X34" s="62" t="e">
        <f t="shared" si="28"/>
        <v>#VALUE!</v>
      </c>
      <c r="Y34" s="62" t="str">
        <f>IFERROR(VLOOKUP(MID(T34,W34,X34-W34),[5]skilldef!$C:$D,2,FALSE),"-") &amp; " / " &amp; IFERROR(VLOOKUP(MID(T34,U34,V34-U34),[5]skilldef!$A:$B,2,FALSE),"-")</f>
        <v>- / -</v>
      </c>
      <c r="Z34" s="49"/>
      <c r="AA34" s="51"/>
      <c r="AB34" s="49"/>
    </row>
    <row r="35" spans="1:28" ht="21" customHeight="1" x14ac:dyDescent="0.15">
      <c r="A35" s="46">
        <v>50008034</v>
      </c>
      <c r="B35" s="46" t="s">
        <v>381</v>
      </c>
      <c r="C35" s="49">
        <v>3</v>
      </c>
      <c r="D35" s="49" t="s">
        <v>128</v>
      </c>
      <c r="E35" s="50" t="s">
        <v>305</v>
      </c>
      <c r="F35" s="50" t="s">
        <v>294</v>
      </c>
      <c r="G35" s="62" t="str">
        <f t="shared" si="17"/>
        <v>[effect:enemy_message, val1:1.4, val2:2]</v>
      </c>
      <c r="H35" s="62">
        <f t="shared" si="1"/>
        <v>9</v>
      </c>
      <c r="I35" s="62">
        <f t="shared" si="18"/>
        <v>22</v>
      </c>
      <c r="J35" s="62" t="e">
        <f t="shared" si="19"/>
        <v>#VALUE!</v>
      </c>
      <c r="K35" s="62">
        <f t="shared" si="20"/>
        <v>32</v>
      </c>
      <c r="L35" s="62" t="str">
        <f>IFERROR(VLOOKUP(MID(G35,J35,K35-J35),[5]skilldef!$C:$D,2,FALSE),"-") &amp; " / " &amp; IFERROR(VLOOKUP(MID(G35,H35,I35-H35),[5]skilldef!$A:$B,2,FALSE),"-")</f>
        <v>- / -</v>
      </c>
      <c r="M35" s="62" t="str">
        <f t="shared" si="21"/>
        <v>[effect:fix_speed, target:myself, turn:1],[effect:tolerance, target:myself, turn:-1, count:-1, tolerance_effect:all, animation:enemy_tolerance],[effect:enhance_enemy, target:myself, turn:-1, status:defense, val:5000, calc:add, animation:enemy_enhance_defense]</v>
      </c>
      <c r="N35" s="47" t="str">
        <f>IFERROR(LEFT(M35,FIND("],",M35)+S40),M35)</f>
        <v>[effect:fix_speed, target:myself, turn:1],[effect:tolerance, target:myself, turn:-1, count:-1, tolerance_effect:all, animation:enemy_tolerance],[effect:enhance_enemy, target:myself, turn:-1, status:defense, val:5000, calc:add, animation:enemy_enhance_defense]</v>
      </c>
      <c r="O35" s="62">
        <f t="shared" si="6"/>
        <v>9</v>
      </c>
      <c r="P35" s="62">
        <f t="shared" si="22"/>
        <v>18</v>
      </c>
      <c r="Q35" s="62">
        <f t="shared" si="23"/>
        <v>27</v>
      </c>
      <c r="R35" s="62">
        <f t="shared" si="24"/>
        <v>33</v>
      </c>
      <c r="S35" s="62" t="str">
        <f>IFERROR(VLOOKUP(MID(N35,Q35,R35-Q35),[5]skilldef!$C:$D,2,FALSE),"-") &amp; " / " &amp; IFERROR(VLOOKUP(MID(N35,O35,P35-O35),[5]skilldef!$A:$B,2,FALSE),"-")</f>
        <v>自分自身に / 行動値設定</v>
      </c>
      <c r="T35" s="47" t="str">
        <f t="shared" si="25"/>
        <v>[effect:tolerance, target:myself, turn:-1, count:-1, tolerance_effect:all, animation:enemy_tolerance],[effect:enhance_enemy, target:myself, turn:-1, status:defense, val:5000, calc:add, animation:enemy_enhance_defense]</v>
      </c>
      <c r="U35" s="62">
        <f t="shared" si="11"/>
        <v>9</v>
      </c>
      <c r="V35" s="62">
        <f t="shared" si="26"/>
        <v>18</v>
      </c>
      <c r="W35" s="62">
        <f t="shared" si="27"/>
        <v>27</v>
      </c>
      <c r="X35" s="62">
        <f t="shared" si="28"/>
        <v>33</v>
      </c>
      <c r="Y35" s="62" t="str">
        <f>IFERROR(VLOOKUP(MID(T35,W35,X35-W35),[5]skilldef!$C:$D,2,FALSE),"-") &amp; " / " &amp; IFERROR(VLOOKUP(MID(T35,U35,V35-U35),[5]skilldef!$A:$B,2,FALSE),"-")</f>
        <v>自分自身に / 状態異常耐性</v>
      </c>
      <c r="Z35" s="49"/>
      <c r="AA35" s="51"/>
      <c r="AB35" s="49"/>
    </row>
    <row r="36" spans="1:28" ht="21" customHeight="1" x14ac:dyDescent="0.15">
      <c r="A36" s="46">
        <v>50008035</v>
      </c>
      <c r="B36" s="46" t="s">
        <v>403</v>
      </c>
      <c r="C36" s="49">
        <v>3</v>
      </c>
      <c r="D36" s="49" t="s">
        <v>128</v>
      </c>
      <c r="E36" s="50" t="s">
        <v>351</v>
      </c>
      <c r="F36" s="50" t="s">
        <v>350</v>
      </c>
      <c r="G36" s="62" t="str">
        <f t="shared" si="17"/>
        <v>[effect:enemy_message, val1:1.2, val2:2]</v>
      </c>
      <c r="H36" s="62">
        <f t="shared" si="1"/>
        <v>9</v>
      </c>
      <c r="I36" s="62">
        <f t="shared" si="18"/>
        <v>22</v>
      </c>
      <c r="J36" s="62" t="e">
        <f t="shared" si="19"/>
        <v>#VALUE!</v>
      </c>
      <c r="K36" s="62">
        <f t="shared" si="20"/>
        <v>32</v>
      </c>
      <c r="L36" s="62" t="str">
        <f>IFERROR(VLOOKUP(MID(G36,J36,K36-J36),[5]skilldef!$C:$D,2,FALSE),"-") &amp; " / " &amp; IFERROR(VLOOKUP(MID(G36,H36,I36-H36),[5]skilldef!$A:$B,2,FALSE),"-")</f>
        <v>- / -</v>
      </c>
      <c r="M36" s="62" t="str">
        <f t="shared" si="21"/>
        <v>[effect:force_change_block, new_block:damage, target:block_all, ignore01:crash, ignore02:crack_bomb, ignore03:color_break, ignore04:jammer, ignore05:damage, ignore06:magnet, color:block_red, count:3, val:0.09, animation:change_block],[effect:critical, val:0.5]</v>
      </c>
      <c r="N36" s="47" t="str">
        <f t="shared" ref="N36" si="60">IFERROR(LEFT(M36,FIND("],",M36)+S41),M36)</f>
        <v>[effect:force_change_block, new_block:damage, target:block_all, ignore01:crash, ignore02:crack_bomb, ignore03:color_break, ignore04:jammer, ignore05:damage, ignore06:magnet, color:block_red, count:3, val:0.09, animation:change_block],[effect:critical, val:0.5]</v>
      </c>
      <c r="O36" s="62">
        <f t="shared" si="6"/>
        <v>9</v>
      </c>
      <c r="P36" s="62">
        <f t="shared" si="22"/>
        <v>27</v>
      </c>
      <c r="Q36" s="62">
        <f t="shared" si="23"/>
        <v>54</v>
      </c>
      <c r="R36" s="62">
        <f t="shared" si="24"/>
        <v>45</v>
      </c>
      <c r="S36" s="62" t="str">
        <f>IFERROR(VLOOKUP(MID(N36,Q36,R36-Q36),[5]skilldef!$C:$D,2,FALSE),"-") &amp; " / " &amp; IFERROR(VLOOKUP(MID(N36,O36,P36-O36),[5]skilldef!$A:$B,2,FALSE),"-")</f>
        <v>- / -</v>
      </c>
      <c r="T36" s="47" t="str">
        <f t="shared" si="25"/>
        <v>[effect:critical, val:0.5]</v>
      </c>
      <c r="U36" s="62">
        <f t="shared" si="11"/>
        <v>9</v>
      </c>
      <c r="V36" s="62">
        <f t="shared" si="26"/>
        <v>17</v>
      </c>
      <c r="W36" s="62" t="e">
        <f t="shared" si="27"/>
        <v>#VALUE!</v>
      </c>
      <c r="X36" s="62" t="e">
        <f t="shared" si="28"/>
        <v>#VALUE!</v>
      </c>
      <c r="Y36" s="62" t="str">
        <f>IFERROR(VLOOKUP(MID(T36,W36,X36-W36),[5]skilldef!$C:$D,2,FALSE),"-") &amp; " / " &amp; IFERROR(VLOOKUP(MID(T36,U36,V36-U36),[5]skilldef!$A:$B,2,FALSE),"-")</f>
        <v>- / 大攻撃</v>
      </c>
      <c r="Z36" s="49"/>
      <c r="AA36" s="51"/>
      <c r="AB36" s="49"/>
    </row>
    <row r="37" spans="1:28" ht="21" customHeight="1" x14ac:dyDescent="0.15">
      <c r="A37" s="46">
        <v>50008036</v>
      </c>
      <c r="B37" s="46" t="s">
        <v>404</v>
      </c>
      <c r="C37" s="49">
        <v>3</v>
      </c>
      <c r="D37" s="49" t="s">
        <v>128</v>
      </c>
      <c r="E37" s="50" t="s">
        <v>298</v>
      </c>
      <c r="F37" s="50" t="s">
        <v>295</v>
      </c>
      <c r="G37" s="62" t="str">
        <f t="shared" si="17"/>
        <v>[effect:force_change_block, new_block:damage, target:block_all, ignore01:crash, ignore02:crack_bomb, ignore03:color_break, ignore04:jammer, ignore05:damage, ignore06:magnet, color:block_green, count:4, val:0.15, animation:change_block]</v>
      </c>
      <c r="H37" s="62">
        <f t="shared" si="1"/>
        <v>9</v>
      </c>
      <c r="I37" s="62">
        <f t="shared" si="18"/>
        <v>27</v>
      </c>
      <c r="J37" s="62">
        <f t="shared" si="19"/>
        <v>54</v>
      </c>
      <c r="K37" s="62">
        <f t="shared" si="20"/>
        <v>45</v>
      </c>
      <c r="L37" s="62" t="str">
        <f>IFERROR(VLOOKUP(MID(G37,J37,K37-J37),[5]skilldef!$C:$D,2,FALSE),"-") &amp; " / " &amp; IFERROR(VLOOKUP(MID(G37,H37,I37-H37),[5]skilldef!$A:$B,2,FALSE),"-")</f>
        <v>- / -</v>
      </c>
      <c r="M37" s="62" t="str">
        <f t="shared" si="21"/>
        <v>none</v>
      </c>
      <c r="N37" s="47" t="str">
        <f t="shared" ref="N37:N39" si="61">IFERROR(LEFT(M37,FIND("],",M37)+S41),M37)</f>
        <v>none</v>
      </c>
      <c r="O37" s="62" t="e">
        <f t="shared" si="6"/>
        <v>#VALUE!</v>
      </c>
      <c r="P37" s="62">
        <f t="shared" si="22"/>
        <v>4</v>
      </c>
      <c r="Q37" s="62" t="e">
        <f t="shared" si="23"/>
        <v>#VALUE!</v>
      </c>
      <c r="R37" s="62" t="e">
        <f t="shared" si="24"/>
        <v>#VALUE!</v>
      </c>
      <c r="S37" s="62" t="str">
        <f>IFERROR(VLOOKUP(MID(N37,Q37,R37-Q37),[5]skilldef!$C:$D,2,FALSE),"-") &amp; " / " &amp; IFERROR(VLOOKUP(MID(N37,O37,P37-O37),[5]skilldef!$A:$B,2,FALSE),"-")</f>
        <v>- / -</v>
      </c>
      <c r="T37" s="47" t="str">
        <f t="shared" si="25"/>
        <v>none</v>
      </c>
      <c r="U37" s="62" t="e">
        <f t="shared" si="11"/>
        <v>#VALUE!</v>
      </c>
      <c r="V37" s="62">
        <f t="shared" si="26"/>
        <v>4</v>
      </c>
      <c r="W37" s="62" t="e">
        <f t="shared" si="27"/>
        <v>#VALUE!</v>
      </c>
      <c r="X37" s="62" t="e">
        <f t="shared" si="28"/>
        <v>#VALUE!</v>
      </c>
      <c r="Y37" s="62" t="str">
        <f>IFERROR(VLOOKUP(MID(T37,W37,X37-W37),[5]skilldef!$C:$D,2,FALSE),"-") &amp; " / " &amp; IFERROR(VLOOKUP(MID(T37,U37,V37-U37),[5]skilldef!$A:$B,2,FALSE),"-")</f>
        <v>- / -</v>
      </c>
      <c r="Z37" s="49"/>
      <c r="AA37" s="51"/>
      <c r="AB37" s="49"/>
    </row>
    <row r="38" spans="1:28" ht="21" customHeight="1" x14ac:dyDescent="0.15">
      <c r="A38" s="46">
        <v>50008037</v>
      </c>
      <c r="B38" s="46" t="s">
        <v>365</v>
      </c>
      <c r="C38" s="49">
        <v>3</v>
      </c>
      <c r="D38" s="49" t="s">
        <v>128</v>
      </c>
      <c r="E38" s="50" t="s">
        <v>364</v>
      </c>
      <c r="F38" s="50" t="s">
        <v>362</v>
      </c>
      <c r="G38" s="62" t="str">
        <f t="shared" si="17"/>
        <v>[effect:damage_anti_color, target:unit_all, color:green, val1:1.1, val2:0.25]</v>
      </c>
      <c r="H38" s="62">
        <f t="shared" si="1"/>
        <v>9</v>
      </c>
      <c r="I38" s="62">
        <f t="shared" si="18"/>
        <v>26</v>
      </c>
      <c r="J38" s="62">
        <f t="shared" si="19"/>
        <v>35</v>
      </c>
      <c r="K38" s="62">
        <f t="shared" si="20"/>
        <v>43</v>
      </c>
      <c r="L38" s="62" t="str">
        <f>IFERROR(VLOOKUP(MID(G38,J38,K38-J38),[5]skilldef!$C:$D,2,FALSE),"-") &amp; " / " &amp; IFERROR(VLOOKUP(MID(G38,H38,I38-H38),[5]skilldef!$A:$B,2,FALSE),"-")</f>
        <v>味方全体に / 属性キラー</v>
      </c>
      <c r="M38" s="62" t="str">
        <f t="shared" si="21"/>
        <v>none</v>
      </c>
      <c r="N38" s="47" t="str">
        <f t="shared" si="61"/>
        <v>none</v>
      </c>
      <c r="O38" s="62" t="e">
        <f t="shared" si="6"/>
        <v>#VALUE!</v>
      </c>
      <c r="P38" s="62">
        <f t="shared" si="22"/>
        <v>4</v>
      </c>
      <c r="Q38" s="62" t="e">
        <f t="shared" si="23"/>
        <v>#VALUE!</v>
      </c>
      <c r="R38" s="62" t="e">
        <f t="shared" si="24"/>
        <v>#VALUE!</v>
      </c>
      <c r="S38" s="62" t="str">
        <f>IFERROR(VLOOKUP(MID(N38,Q38,R38-Q38),[5]skilldef!$C:$D,2,FALSE),"-") &amp; " / " &amp; IFERROR(VLOOKUP(MID(N38,O38,P38-O38),[5]skilldef!$A:$B,2,FALSE),"-")</f>
        <v>- / -</v>
      </c>
      <c r="T38" s="47" t="str">
        <f t="shared" si="25"/>
        <v>none</v>
      </c>
      <c r="U38" s="62" t="e">
        <f t="shared" si="11"/>
        <v>#VALUE!</v>
      </c>
      <c r="V38" s="62">
        <f t="shared" si="26"/>
        <v>4</v>
      </c>
      <c r="W38" s="62" t="e">
        <f t="shared" si="27"/>
        <v>#VALUE!</v>
      </c>
      <c r="X38" s="62" t="e">
        <f t="shared" si="28"/>
        <v>#VALUE!</v>
      </c>
      <c r="Y38" s="62" t="str">
        <f>IFERROR(VLOOKUP(MID(T38,W38,X38-W38),[5]skilldef!$C:$D,2,FALSE),"-") &amp; " / " &amp; IFERROR(VLOOKUP(MID(T38,U38,V38-U38),[5]skilldef!$A:$B,2,FALSE),"-")</f>
        <v>- / -</v>
      </c>
      <c r="Z38" s="49"/>
      <c r="AA38" s="51"/>
      <c r="AB38" s="49"/>
    </row>
    <row r="39" spans="1:28" ht="21" customHeight="1" x14ac:dyDescent="0.15">
      <c r="A39" s="46">
        <v>50008038</v>
      </c>
      <c r="B39" s="46" t="s">
        <v>356</v>
      </c>
      <c r="C39" s="49">
        <v>3</v>
      </c>
      <c r="D39" s="49" t="s">
        <v>128</v>
      </c>
      <c r="E39" s="50" t="s">
        <v>311</v>
      </c>
      <c r="F39" s="50" t="s">
        <v>296</v>
      </c>
      <c r="G39" s="62" t="str">
        <f t="shared" si="17"/>
        <v>[effect:damage_abnormal, target:unit_one, val:1.2, status:virus, turn:1, rate:1, val_abnormal:4, animation:enemy_virus]</v>
      </c>
      <c r="H39" s="62">
        <f t="shared" ref="H39:H47" si="62">FIND("effect:",G39)+7</f>
        <v>9</v>
      </c>
      <c r="I39" s="62">
        <f t="shared" si="18"/>
        <v>24</v>
      </c>
      <c r="J39" s="62">
        <f t="shared" si="19"/>
        <v>33</v>
      </c>
      <c r="K39" s="62">
        <f t="shared" si="20"/>
        <v>41</v>
      </c>
      <c r="L39" s="62" t="str">
        <f>IFERROR(VLOOKUP(MID(G39,J39,K39-J39),[5]skilldef!$C:$D,2,FALSE),"-") &amp; " / " &amp; IFERROR(VLOOKUP(MID(G39,H39,I39-H39),[5]skilldef!$A:$B,2,FALSE),"-")</f>
        <v>味方単体に / -</v>
      </c>
      <c r="M39" s="62" t="str">
        <f t="shared" si="21"/>
        <v>none</v>
      </c>
      <c r="N39" s="47" t="str">
        <f t="shared" si="61"/>
        <v>none</v>
      </c>
      <c r="O39" s="62" t="e">
        <f t="shared" ref="O39:O47" si="63">FIND("effect:",N39)+7</f>
        <v>#VALUE!</v>
      </c>
      <c r="P39" s="62">
        <f t="shared" si="22"/>
        <v>4</v>
      </c>
      <c r="Q39" s="62" t="e">
        <f t="shared" si="23"/>
        <v>#VALUE!</v>
      </c>
      <c r="R39" s="62" t="e">
        <f t="shared" si="24"/>
        <v>#VALUE!</v>
      </c>
      <c r="S39" s="62" t="str">
        <f>IFERROR(VLOOKUP(MID(N39,Q39,R39-Q39),[5]skilldef!$C:$D,2,FALSE),"-") &amp; " / " &amp; IFERROR(VLOOKUP(MID(N39,O39,P39-O39),[5]skilldef!$A:$B,2,FALSE),"-")</f>
        <v>- / -</v>
      </c>
      <c r="T39" s="47" t="str">
        <f t="shared" si="25"/>
        <v>none</v>
      </c>
      <c r="U39" s="62" t="e">
        <f t="shared" ref="U39:U47" si="64">FIND("effect:",T39)+7</f>
        <v>#VALUE!</v>
      </c>
      <c r="V39" s="62">
        <f t="shared" si="26"/>
        <v>4</v>
      </c>
      <c r="W39" s="62" t="e">
        <f t="shared" si="27"/>
        <v>#VALUE!</v>
      </c>
      <c r="X39" s="62" t="e">
        <f t="shared" si="28"/>
        <v>#VALUE!</v>
      </c>
      <c r="Y39" s="62" t="str">
        <f>IFERROR(VLOOKUP(MID(T39,W39,X39-W39),[5]skilldef!$C:$D,2,FALSE),"-") &amp; " / " &amp; IFERROR(VLOOKUP(MID(T39,U39,V39-U39),[5]skilldef!$A:$B,2,FALSE),"-")</f>
        <v>- / -</v>
      </c>
      <c r="Z39" s="49"/>
      <c r="AA39" s="51"/>
      <c r="AB39" s="49"/>
    </row>
    <row r="40" spans="1:28" ht="21" customHeight="1" x14ac:dyDescent="0.15">
      <c r="A40" s="46">
        <v>50008039</v>
      </c>
      <c r="B40" s="46" t="s">
        <v>383</v>
      </c>
      <c r="C40" s="49">
        <v>3</v>
      </c>
      <c r="D40" s="49" t="s">
        <v>128</v>
      </c>
      <c r="E40" s="50" t="s">
        <v>306</v>
      </c>
      <c r="F40" s="50" t="s">
        <v>294</v>
      </c>
      <c r="G40" s="62" t="str">
        <f t="shared" si="17"/>
        <v>[effect:enemy_message, val1:1.2, val2:2]</v>
      </c>
      <c r="H40" s="62">
        <f t="shared" si="62"/>
        <v>9</v>
      </c>
      <c r="I40" s="62">
        <f t="shared" si="18"/>
        <v>22</v>
      </c>
      <c r="J40" s="62" t="e">
        <f t="shared" si="19"/>
        <v>#VALUE!</v>
      </c>
      <c r="K40" s="62">
        <f t="shared" si="20"/>
        <v>32</v>
      </c>
      <c r="L40" s="62" t="str">
        <f>IFERROR(VLOOKUP(MID(G40,J40,K40-J40),[5]skilldef!$C:$D,2,FALSE),"-") &amp; " / " &amp; IFERROR(VLOOKUP(MID(G40,H40,I40-H40),[5]skilldef!$A:$B,2,FALSE),"-")</f>
        <v>- / -</v>
      </c>
      <c r="M40" s="62" t="str">
        <f t="shared" si="21"/>
        <v>[effect:fix_speed, target:myself, turn:1],[effect:tolerance, target:myself, turn:-1, count:-1, tolerance_effect:all, animation:enemy_tolerance],[effect:enhance_enemy, target:myself, turn:-1, status:defense, val:5000, calc:add, animation:enemy_enhance_defense]</v>
      </c>
      <c r="N40" s="47" t="str">
        <f>IFERROR(LEFT(M40,FIND("],",M40)+#REF!),M40)</f>
        <v>[effect:fix_speed, target:myself, turn:1],[effect:tolerance, target:myself, turn:-1, count:-1, tolerance_effect:all, animation:enemy_tolerance],[effect:enhance_enemy, target:myself, turn:-1, status:defense, val:5000, calc:add, animation:enemy_enhance_defense]</v>
      </c>
      <c r="O40" s="62">
        <f t="shared" si="63"/>
        <v>9</v>
      </c>
      <c r="P40" s="62">
        <f t="shared" si="22"/>
        <v>18</v>
      </c>
      <c r="Q40" s="62">
        <f t="shared" si="23"/>
        <v>27</v>
      </c>
      <c r="R40" s="62">
        <f t="shared" si="24"/>
        <v>33</v>
      </c>
      <c r="S40" s="62" t="str">
        <f>IFERROR(VLOOKUP(MID(N40,Q40,R40-Q40),[5]skilldef!$C:$D,2,FALSE),"-") &amp; " / " &amp; IFERROR(VLOOKUP(MID(N40,O40,P40-O40),[5]skilldef!$A:$B,2,FALSE),"-")</f>
        <v>自分自身に / 行動値設定</v>
      </c>
      <c r="T40" s="47" t="str">
        <f t="shared" si="25"/>
        <v>[effect:tolerance, target:myself, turn:-1, count:-1, tolerance_effect:all, animation:enemy_tolerance],[effect:enhance_enemy, target:myself, turn:-1, status:defense, val:5000, calc:add, animation:enemy_enhance_defense]</v>
      </c>
      <c r="U40" s="62">
        <f t="shared" si="64"/>
        <v>9</v>
      </c>
      <c r="V40" s="62">
        <f t="shared" si="26"/>
        <v>18</v>
      </c>
      <c r="W40" s="62">
        <f t="shared" si="27"/>
        <v>27</v>
      </c>
      <c r="X40" s="62">
        <f t="shared" si="28"/>
        <v>33</v>
      </c>
      <c r="Y40" s="62" t="str">
        <f>IFERROR(VLOOKUP(MID(T40,W40,X40-W40),[5]skilldef!$C:$D,2,FALSE),"-") &amp; " / " &amp; IFERROR(VLOOKUP(MID(T40,U40,V40-U40),[5]skilldef!$A:$B,2,FALSE),"-")</f>
        <v>自分自身に / 状態異常耐性</v>
      </c>
      <c r="Z40" s="49"/>
      <c r="AA40" s="51"/>
      <c r="AB40" s="49"/>
    </row>
    <row r="41" spans="1:28" ht="21" customHeight="1" x14ac:dyDescent="0.15">
      <c r="A41" s="46">
        <v>50008040</v>
      </c>
      <c r="B41" s="46" t="s">
        <v>405</v>
      </c>
      <c r="C41" s="49">
        <v>3</v>
      </c>
      <c r="D41" s="49" t="s">
        <v>128</v>
      </c>
      <c r="E41" s="50" t="s">
        <v>299</v>
      </c>
      <c r="F41" s="50" t="s">
        <v>295</v>
      </c>
      <c r="G41" s="62" t="str">
        <f t="shared" si="17"/>
        <v>[effect:force_change_block, new_block:damage, target:block_all, ignore01:crash, ignore02:crack_bomb, ignore03:color_break, ignore04:jammer, ignore05:damage, ignore06:magnet, color:block_green, count:4, val:0.15, animation:change_block]</v>
      </c>
      <c r="H41" s="62">
        <f t="shared" si="62"/>
        <v>9</v>
      </c>
      <c r="I41" s="62">
        <f t="shared" si="18"/>
        <v>27</v>
      </c>
      <c r="J41" s="62">
        <f t="shared" si="19"/>
        <v>54</v>
      </c>
      <c r="K41" s="62">
        <f t="shared" si="20"/>
        <v>45</v>
      </c>
      <c r="L41" s="62" t="str">
        <f>IFERROR(VLOOKUP(MID(G41,J41,K41-J41),[5]skilldef!$C:$D,2,FALSE),"-") &amp; " / " &amp; IFERROR(VLOOKUP(MID(G41,H41,I41-H41),[5]skilldef!$A:$B,2,FALSE),"-")</f>
        <v>- / -</v>
      </c>
      <c r="M41" s="62" t="str">
        <f t="shared" si="21"/>
        <v>none</v>
      </c>
      <c r="N41" s="47" t="str">
        <f>IFERROR(LEFT(M41,FIND("],",M41)+#REF!),M41)</f>
        <v>none</v>
      </c>
      <c r="O41" s="62" t="e">
        <f t="shared" si="63"/>
        <v>#VALUE!</v>
      </c>
      <c r="P41" s="62">
        <f t="shared" si="22"/>
        <v>4</v>
      </c>
      <c r="Q41" s="62" t="e">
        <f t="shared" si="23"/>
        <v>#VALUE!</v>
      </c>
      <c r="R41" s="62" t="e">
        <f t="shared" si="24"/>
        <v>#VALUE!</v>
      </c>
      <c r="S41" s="62" t="str">
        <f>IFERROR(VLOOKUP(MID(N41,Q41,R41-Q41),[5]skilldef!$C:$D,2,FALSE),"-") &amp; " / " &amp; IFERROR(VLOOKUP(MID(N41,O41,P41-O41),[5]skilldef!$A:$B,2,FALSE),"-")</f>
        <v>- / -</v>
      </c>
      <c r="T41" s="47" t="str">
        <f t="shared" si="25"/>
        <v>none</v>
      </c>
      <c r="U41" s="62" t="e">
        <f t="shared" si="64"/>
        <v>#VALUE!</v>
      </c>
      <c r="V41" s="62">
        <f t="shared" si="26"/>
        <v>4</v>
      </c>
      <c r="W41" s="62" t="e">
        <f t="shared" si="27"/>
        <v>#VALUE!</v>
      </c>
      <c r="X41" s="62" t="e">
        <f t="shared" si="28"/>
        <v>#VALUE!</v>
      </c>
      <c r="Y41" s="62" t="str">
        <f>IFERROR(VLOOKUP(MID(T41,W41,X41-W41),[5]skilldef!$C:$D,2,FALSE),"-") &amp; " / " &amp; IFERROR(VLOOKUP(MID(T41,U41,V41-U41),[5]skilldef!$A:$B,2,FALSE),"-")</f>
        <v>- / -</v>
      </c>
      <c r="Z41" s="49"/>
      <c r="AA41" s="51"/>
      <c r="AB41" s="49"/>
    </row>
    <row r="42" spans="1:28" ht="21" customHeight="1" x14ac:dyDescent="0.15">
      <c r="A42" s="46">
        <v>50008041</v>
      </c>
      <c r="B42" s="46" t="s">
        <v>366</v>
      </c>
      <c r="C42" s="49">
        <v>3</v>
      </c>
      <c r="D42" s="49" t="s">
        <v>128</v>
      </c>
      <c r="E42" s="50" t="s">
        <v>312</v>
      </c>
      <c r="F42" s="50" t="s">
        <v>363</v>
      </c>
      <c r="G42" s="62" t="str">
        <f t="shared" si="17"/>
        <v>[effect:damage_anti_color, target:unit_all, color:green, val1:1.1, val2:0.25]</v>
      </c>
      <c r="H42" s="62">
        <f t="shared" si="62"/>
        <v>9</v>
      </c>
      <c r="I42" s="62">
        <f t="shared" si="18"/>
        <v>26</v>
      </c>
      <c r="J42" s="62">
        <f t="shared" si="19"/>
        <v>35</v>
      </c>
      <c r="K42" s="62">
        <f t="shared" si="20"/>
        <v>43</v>
      </c>
      <c r="L42" s="62" t="str">
        <f>IFERROR(VLOOKUP(MID(G42,J42,K42-J42),[5]skilldef!$C:$D,2,FALSE),"-") &amp; " / " &amp; IFERROR(VLOOKUP(MID(G42,H42,I42-H42),[5]skilldef!$A:$B,2,FALSE),"-")</f>
        <v>味方全体に / 属性キラー</v>
      </c>
      <c r="M42" s="62" t="str">
        <f t="shared" si="21"/>
        <v>none</v>
      </c>
      <c r="N42" s="47" t="str">
        <f>IFERROR(LEFT(M42,FIND("],",M42)+#REF!),M42)</f>
        <v>none</v>
      </c>
      <c r="O42" s="62" t="e">
        <f t="shared" si="63"/>
        <v>#VALUE!</v>
      </c>
      <c r="P42" s="62">
        <f t="shared" si="22"/>
        <v>4</v>
      </c>
      <c r="Q42" s="62" t="e">
        <f t="shared" si="23"/>
        <v>#VALUE!</v>
      </c>
      <c r="R42" s="62" t="e">
        <f t="shared" si="24"/>
        <v>#VALUE!</v>
      </c>
      <c r="S42" s="62" t="str">
        <f>IFERROR(VLOOKUP(MID(N42,Q42,R42-Q42),[5]skilldef!$C:$D,2,FALSE),"-") &amp; " / " &amp; IFERROR(VLOOKUP(MID(N42,O42,P42-O42),[5]skilldef!$A:$B,2,FALSE),"-")</f>
        <v>- / -</v>
      </c>
      <c r="T42" s="47" t="str">
        <f t="shared" si="25"/>
        <v>none</v>
      </c>
      <c r="U42" s="62" t="e">
        <f t="shared" si="64"/>
        <v>#VALUE!</v>
      </c>
      <c r="V42" s="62">
        <f t="shared" si="26"/>
        <v>4</v>
      </c>
      <c r="W42" s="62" t="e">
        <f t="shared" si="27"/>
        <v>#VALUE!</v>
      </c>
      <c r="X42" s="62" t="e">
        <f t="shared" si="28"/>
        <v>#VALUE!</v>
      </c>
      <c r="Y42" s="62" t="str">
        <f>IFERROR(VLOOKUP(MID(T42,W42,X42-W42),[5]skilldef!$C:$D,2,FALSE),"-") &amp; " / " &amp; IFERROR(VLOOKUP(MID(T42,U42,V42-U42),[5]skilldef!$A:$B,2,FALSE),"-")</f>
        <v>- / -</v>
      </c>
      <c r="Z42" s="49"/>
      <c r="AA42" s="51"/>
      <c r="AB42" s="49"/>
    </row>
    <row r="43" spans="1:28" ht="21" customHeight="1" x14ac:dyDescent="0.15">
      <c r="A43" s="46">
        <v>50008042</v>
      </c>
      <c r="B43" s="46" t="s">
        <v>357</v>
      </c>
      <c r="C43" s="49">
        <v>3</v>
      </c>
      <c r="D43" s="49" t="s">
        <v>128</v>
      </c>
      <c r="E43" s="50" t="s">
        <v>313</v>
      </c>
      <c r="F43" s="50" t="s">
        <v>296</v>
      </c>
      <c r="G43" s="62" t="str">
        <f t="shared" si="17"/>
        <v>[effect:damage_abnormal, target:unit_one, val:1.2, status:virus, turn:1, rate:1, val_abnormal:4, animation:enemy_virus]</v>
      </c>
      <c r="H43" s="62">
        <f t="shared" si="62"/>
        <v>9</v>
      </c>
      <c r="I43" s="62">
        <f t="shared" si="18"/>
        <v>24</v>
      </c>
      <c r="J43" s="62">
        <f t="shared" si="19"/>
        <v>33</v>
      </c>
      <c r="K43" s="62">
        <f t="shared" si="20"/>
        <v>41</v>
      </c>
      <c r="L43" s="62" t="str">
        <f>IFERROR(VLOOKUP(MID(G43,J43,K43-J43),[5]skilldef!$C:$D,2,FALSE),"-") &amp; " / " &amp; IFERROR(VLOOKUP(MID(G43,H43,I43-H43),[5]skilldef!$A:$B,2,FALSE),"-")</f>
        <v>味方単体に / -</v>
      </c>
      <c r="M43" s="62" t="str">
        <f t="shared" si="21"/>
        <v>none</v>
      </c>
      <c r="N43" s="47" t="str">
        <f>IFERROR(LEFT(M43,FIND("],",M43)+#REF!),M43)</f>
        <v>none</v>
      </c>
      <c r="O43" s="62" t="e">
        <f t="shared" si="63"/>
        <v>#VALUE!</v>
      </c>
      <c r="P43" s="62">
        <f t="shared" si="22"/>
        <v>4</v>
      </c>
      <c r="Q43" s="62" t="e">
        <f t="shared" si="23"/>
        <v>#VALUE!</v>
      </c>
      <c r="R43" s="62" t="e">
        <f t="shared" si="24"/>
        <v>#VALUE!</v>
      </c>
      <c r="S43" s="62" t="str">
        <f>IFERROR(VLOOKUP(MID(N43,Q43,R43-Q43),[5]skilldef!$C:$D,2,FALSE),"-") &amp; " / " &amp; IFERROR(VLOOKUP(MID(N43,O43,P43-O43),[5]skilldef!$A:$B,2,FALSE),"-")</f>
        <v>- / -</v>
      </c>
      <c r="T43" s="47" t="str">
        <f t="shared" si="25"/>
        <v>none</v>
      </c>
      <c r="U43" s="62" t="e">
        <f t="shared" si="64"/>
        <v>#VALUE!</v>
      </c>
      <c r="V43" s="62">
        <f t="shared" si="26"/>
        <v>4</v>
      </c>
      <c r="W43" s="62" t="e">
        <f t="shared" si="27"/>
        <v>#VALUE!</v>
      </c>
      <c r="X43" s="62" t="e">
        <f t="shared" si="28"/>
        <v>#VALUE!</v>
      </c>
      <c r="Y43" s="62" t="str">
        <f>IFERROR(VLOOKUP(MID(T43,W43,X43-W43),[5]skilldef!$C:$D,2,FALSE),"-") &amp; " / " &amp; IFERROR(VLOOKUP(MID(T43,U43,V43-U43),[5]skilldef!$A:$B,2,FALSE),"-")</f>
        <v>- / -</v>
      </c>
      <c r="Z43" s="49"/>
      <c r="AA43" s="51"/>
      <c r="AB43" s="49"/>
    </row>
    <row r="44" spans="1:28" ht="21" customHeight="1" x14ac:dyDescent="0.15">
      <c r="A44" s="46">
        <v>50008043</v>
      </c>
      <c r="B44" s="46" t="s">
        <v>358</v>
      </c>
      <c r="C44" s="49">
        <v>3</v>
      </c>
      <c r="D44" s="49" t="s">
        <v>128</v>
      </c>
      <c r="E44" s="50" t="s">
        <v>313</v>
      </c>
      <c r="F44" s="50" t="s">
        <v>296</v>
      </c>
      <c r="G44" s="62" t="str">
        <f t="shared" si="17"/>
        <v>[effect:damage_abnormal, target:unit_one, val:1.3, status:virus, turn:1, rate:1, val_abnormal:4, animation:enemy_virus]</v>
      </c>
      <c r="H44" s="62">
        <f t="shared" si="62"/>
        <v>9</v>
      </c>
      <c r="I44" s="62">
        <f t="shared" si="18"/>
        <v>24</v>
      </c>
      <c r="J44" s="62">
        <f t="shared" si="19"/>
        <v>33</v>
      </c>
      <c r="K44" s="62">
        <f t="shared" si="20"/>
        <v>41</v>
      </c>
      <c r="L44" s="62" t="str">
        <f>IFERROR(VLOOKUP(MID(G44,J44,K44-J44),[5]skilldef!$C:$D,2,FALSE),"-") &amp; " / " &amp; IFERROR(VLOOKUP(MID(G44,H44,I44-H44),[5]skilldef!$A:$B,2,FALSE),"-")</f>
        <v>味方単体に / -</v>
      </c>
      <c r="M44" s="62" t="str">
        <f t="shared" si="21"/>
        <v>none</v>
      </c>
      <c r="N44" s="47" t="str">
        <f>IFERROR(LEFT(M44,FIND("],",M44)+#REF!),M44)</f>
        <v>none</v>
      </c>
      <c r="O44" s="62" t="e">
        <f t="shared" si="63"/>
        <v>#VALUE!</v>
      </c>
      <c r="P44" s="62">
        <f t="shared" si="22"/>
        <v>4</v>
      </c>
      <c r="Q44" s="62" t="e">
        <f t="shared" si="23"/>
        <v>#VALUE!</v>
      </c>
      <c r="R44" s="62" t="e">
        <f t="shared" si="24"/>
        <v>#VALUE!</v>
      </c>
      <c r="S44" s="62" t="str">
        <f>IFERROR(VLOOKUP(MID(N44,Q44,R44-Q44),[5]skilldef!$C:$D,2,FALSE),"-") &amp; " / " &amp; IFERROR(VLOOKUP(MID(N44,O44,P44-O44),[5]skilldef!$A:$B,2,FALSE),"-")</f>
        <v>- / -</v>
      </c>
      <c r="T44" s="47" t="str">
        <f t="shared" si="25"/>
        <v>none</v>
      </c>
      <c r="U44" s="62" t="e">
        <f t="shared" si="64"/>
        <v>#VALUE!</v>
      </c>
      <c r="V44" s="62">
        <f t="shared" si="26"/>
        <v>4</v>
      </c>
      <c r="W44" s="62" t="e">
        <f t="shared" si="27"/>
        <v>#VALUE!</v>
      </c>
      <c r="X44" s="62" t="e">
        <f t="shared" si="28"/>
        <v>#VALUE!</v>
      </c>
      <c r="Y44" s="62" t="str">
        <f>IFERROR(VLOOKUP(MID(T44,W44,X44-W44),[5]skilldef!$C:$D,2,FALSE),"-") &amp; " / " &amp; IFERROR(VLOOKUP(MID(T44,U44,V44-U44),[5]skilldef!$A:$B,2,FALSE),"-")</f>
        <v>- / -</v>
      </c>
      <c r="Z44" s="49"/>
      <c r="AA44" s="51"/>
      <c r="AB44" s="49"/>
    </row>
    <row r="45" spans="1:28" ht="21" customHeight="1" x14ac:dyDescent="0.15">
      <c r="A45" s="46">
        <v>50008044</v>
      </c>
      <c r="B45" s="46" t="s">
        <v>360</v>
      </c>
      <c r="C45" s="49">
        <v>3</v>
      </c>
      <c r="D45" s="49" t="s">
        <v>128</v>
      </c>
      <c r="E45" s="50" t="s">
        <v>313</v>
      </c>
      <c r="F45" s="50" t="s">
        <v>296</v>
      </c>
      <c r="G45" s="62" t="str">
        <f t="shared" si="17"/>
        <v>[effect:damage_abnormal, target:unit_one, val:1.4, status:virus, turn:1, rate:1, val_abnormal:4, animation:enemy_virus]</v>
      </c>
      <c r="H45" s="62">
        <f t="shared" si="62"/>
        <v>9</v>
      </c>
      <c r="I45" s="62">
        <f t="shared" si="18"/>
        <v>24</v>
      </c>
      <c r="J45" s="62">
        <f t="shared" si="19"/>
        <v>33</v>
      </c>
      <c r="K45" s="62">
        <f t="shared" si="20"/>
        <v>41</v>
      </c>
      <c r="L45" s="62" t="str">
        <f>IFERROR(VLOOKUP(MID(G45,J45,K45-J45),[5]skilldef!$C:$D,2,FALSE),"-") &amp; " / " &amp; IFERROR(VLOOKUP(MID(G45,H45,I45-H45),[5]skilldef!$A:$B,2,FALSE),"-")</f>
        <v>味方単体に / -</v>
      </c>
      <c r="M45" s="62" t="str">
        <f t="shared" si="21"/>
        <v>none</v>
      </c>
      <c r="N45" s="47" t="str">
        <f>IFERROR(LEFT(M45,FIND("],",M45)+#REF!),M45)</f>
        <v>none</v>
      </c>
      <c r="O45" s="62" t="e">
        <f t="shared" si="63"/>
        <v>#VALUE!</v>
      </c>
      <c r="P45" s="62">
        <f t="shared" si="22"/>
        <v>4</v>
      </c>
      <c r="Q45" s="62" t="e">
        <f t="shared" si="23"/>
        <v>#VALUE!</v>
      </c>
      <c r="R45" s="62" t="e">
        <f t="shared" si="24"/>
        <v>#VALUE!</v>
      </c>
      <c r="S45" s="62" t="str">
        <f>IFERROR(VLOOKUP(MID(N45,Q45,R45-Q45),[5]skilldef!$C:$D,2,FALSE),"-") &amp; " / " &amp; IFERROR(VLOOKUP(MID(N45,O45,P45-O45),[5]skilldef!$A:$B,2,FALSE),"-")</f>
        <v>- / -</v>
      </c>
      <c r="T45" s="47" t="str">
        <f t="shared" si="25"/>
        <v>none</v>
      </c>
      <c r="U45" s="62" t="e">
        <f t="shared" si="64"/>
        <v>#VALUE!</v>
      </c>
      <c r="V45" s="62">
        <f t="shared" si="26"/>
        <v>4</v>
      </c>
      <c r="W45" s="62" t="e">
        <f t="shared" si="27"/>
        <v>#VALUE!</v>
      </c>
      <c r="X45" s="62" t="e">
        <f t="shared" si="28"/>
        <v>#VALUE!</v>
      </c>
      <c r="Y45" s="62" t="str">
        <f>IFERROR(VLOOKUP(MID(T45,W45,X45-W45),[5]skilldef!$C:$D,2,FALSE),"-") &amp; " / " &amp; IFERROR(VLOOKUP(MID(T45,U45,V45-U45),[5]skilldef!$A:$B,2,FALSE),"-")</f>
        <v>- / -</v>
      </c>
      <c r="Z45" s="49"/>
      <c r="AA45" s="51"/>
      <c r="AB45" s="49"/>
    </row>
    <row r="46" spans="1:28" ht="21" customHeight="1" x14ac:dyDescent="0.15">
      <c r="A46" s="46">
        <v>50008045</v>
      </c>
      <c r="B46" s="46" t="s">
        <v>361</v>
      </c>
      <c r="C46" s="49">
        <v>3</v>
      </c>
      <c r="D46" s="49" t="s">
        <v>128</v>
      </c>
      <c r="E46" s="50" t="s">
        <v>313</v>
      </c>
      <c r="F46" s="50" t="s">
        <v>296</v>
      </c>
      <c r="G46" s="62" t="str">
        <f t="shared" si="17"/>
        <v>[effect:damage_abnormal, target:unit_one, val:1.5, status:virus, turn:1, rate:1, val_abnormal:4, animation:enemy_virus]</v>
      </c>
      <c r="H46" s="62">
        <f t="shared" si="62"/>
        <v>9</v>
      </c>
      <c r="I46" s="62">
        <f t="shared" si="18"/>
        <v>24</v>
      </c>
      <c r="J46" s="62">
        <f t="shared" si="19"/>
        <v>33</v>
      </c>
      <c r="K46" s="62">
        <f t="shared" si="20"/>
        <v>41</v>
      </c>
      <c r="L46" s="62" t="str">
        <f>IFERROR(VLOOKUP(MID(G46,J46,K46-J46),[5]skilldef!$C:$D,2,FALSE),"-") &amp; " / " &amp; IFERROR(VLOOKUP(MID(G46,H46,I46-H46),[5]skilldef!$A:$B,2,FALSE),"-")</f>
        <v>味方単体に / -</v>
      </c>
      <c r="M46" s="62" t="str">
        <f t="shared" si="21"/>
        <v>none</v>
      </c>
      <c r="N46" s="47" t="str">
        <f>IFERROR(LEFT(M46,FIND("],",M46)+#REF!),M46)</f>
        <v>none</v>
      </c>
      <c r="O46" s="62" t="e">
        <f t="shared" si="63"/>
        <v>#VALUE!</v>
      </c>
      <c r="P46" s="62">
        <f t="shared" si="22"/>
        <v>4</v>
      </c>
      <c r="Q46" s="62" t="e">
        <f t="shared" si="23"/>
        <v>#VALUE!</v>
      </c>
      <c r="R46" s="62" t="e">
        <f t="shared" si="24"/>
        <v>#VALUE!</v>
      </c>
      <c r="S46" s="62" t="str">
        <f>IFERROR(VLOOKUP(MID(N46,Q46,R46-Q46),[5]skilldef!$C:$D,2,FALSE),"-") &amp; " / " &amp; IFERROR(VLOOKUP(MID(N46,O46,P46-O46),[5]skilldef!$A:$B,2,FALSE),"-")</f>
        <v>- / -</v>
      </c>
      <c r="T46" s="47" t="str">
        <f t="shared" si="25"/>
        <v>none</v>
      </c>
      <c r="U46" s="62" t="e">
        <f t="shared" si="64"/>
        <v>#VALUE!</v>
      </c>
      <c r="V46" s="62">
        <f t="shared" si="26"/>
        <v>4</v>
      </c>
      <c r="W46" s="62" t="e">
        <f t="shared" si="27"/>
        <v>#VALUE!</v>
      </c>
      <c r="X46" s="62" t="e">
        <f t="shared" si="28"/>
        <v>#VALUE!</v>
      </c>
      <c r="Y46" s="62" t="str">
        <f>IFERROR(VLOOKUP(MID(T46,W46,X46-W46),[5]skilldef!$C:$D,2,FALSE),"-") &amp; " / " &amp; IFERROR(VLOOKUP(MID(T46,U46,V46-U46),[5]skilldef!$A:$B,2,FALSE),"-")</f>
        <v>- / -</v>
      </c>
      <c r="Z46" s="49"/>
      <c r="AA46" s="51"/>
      <c r="AB46" s="49"/>
    </row>
    <row r="47" spans="1:28" ht="21" customHeight="1" x14ac:dyDescent="0.15">
      <c r="A47" s="46">
        <v>50008046</v>
      </c>
      <c r="B47" s="46" t="s">
        <v>384</v>
      </c>
      <c r="C47" s="49">
        <v>3</v>
      </c>
      <c r="D47" s="49" t="s">
        <v>128</v>
      </c>
      <c r="E47" s="50" t="s">
        <v>307</v>
      </c>
      <c r="F47" s="50" t="s">
        <v>297</v>
      </c>
      <c r="G47" s="62" t="str">
        <f t="shared" si="17"/>
        <v>[effect:enemy_message, val1:1.2, val2:2]</v>
      </c>
      <c r="H47" s="62">
        <f t="shared" si="62"/>
        <v>9</v>
      </c>
      <c r="I47" s="62">
        <f t="shared" si="18"/>
        <v>22</v>
      </c>
      <c r="J47" s="62" t="e">
        <f t="shared" si="19"/>
        <v>#VALUE!</v>
      </c>
      <c r="K47" s="62">
        <f t="shared" si="20"/>
        <v>32</v>
      </c>
      <c r="L47" s="62" t="str">
        <f>IFERROR(VLOOKUP(MID(G47,J47,K47-J47),[5]skilldef!$C:$D,2,FALSE),"-") &amp; " / " &amp; IFERROR(VLOOKUP(MID(G47,H47,I47-H47),[5]skilldef!$A:$B,2,FALSE),"-")</f>
        <v>- / -</v>
      </c>
      <c r="M47" s="62" t="str">
        <f t="shared" si="21"/>
        <v>[effect:enhance_enemy, target:myself, turn:-1, status:attack, val:2, calc:mul, animation:enemy_enhance_attack]</v>
      </c>
      <c r="N47" s="47" t="str">
        <f>IFERROR(LEFT(M47,FIND("],",M47)+S48),M47)</f>
        <v>[effect:enhance_enemy, target:myself, turn:-1, status:attack, val:2, calc:mul, animation:enemy_enhance_attack]</v>
      </c>
      <c r="O47" s="62">
        <f t="shared" si="63"/>
        <v>9</v>
      </c>
      <c r="P47" s="62">
        <f t="shared" si="22"/>
        <v>22</v>
      </c>
      <c r="Q47" s="62">
        <f t="shared" si="23"/>
        <v>31</v>
      </c>
      <c r="R47" s="62">
        <f t="shared" si="24"/>
        <v>37</v>
      </c>
      <c r="S47" s="62" t="str">
        <f>IFERROR(VLOOKUP(MID(N47,Q47,R47-Q47),[5]skilldef!$C:$D,2,FALSE),"-") &amp; " / " &amp; IFERROR(VLOOKUP(MID(N47,O47,P47-O47),[5]skilldef!$A:$B,2,FALSE),"-")</f>
        <v>自分自身に / ステータス強化</v>
      </c>
      <c r="T47" s="47" t="str">
        <f t="shared" si="25"/>
        <v>none</v>
      </c>
      <c r="U47" s="62" t="e">
        <f t="shared" si="64"/>
        <v>#VALUE!</v>
      </c>
      <c r="V47" s="62">
        <f t="shared" si="26"/>
        <v>4</v>
      </c>
      <c r="W47" s="62" t="e">
        <f t="shared" si="27"/>
        <v>#VALUE!</v>
      </c>
      <c r="X47" s="62" t="e">
        <f t="shared" si="28"/>
        <v>#VALUE!</v>
      </c>
      <c r="Y47" s="62" t="str">
        <f>IFERROR(VLOOKUP(MID(T47,W47,X47-W47),[5]skilldef!$C:$D,2,FALSE),"-") &amp; " / " &amp; IFERROR(VLOOKUP(MID(T47,U47,V47-U47),[5]skilldef!$A:$B,2,FALSE),"-")</f>
        <v>- / -</v>
      </c>
      <c r="Z47" s="49"/>
      <c r="AA47" s="51"/>
      <c r="AB47" s="49"/>
    </row>
    <row r="48" spans="1:28" ht="21" customHeight="1" x14ac:dyDescent="0.15">
      <c r="A48" s="46">
        <v>50008047</v>
      </c>
      <c r="B48" s="46" t="s">
        <v>386</v>
      </c>
      <c r="C48" s="49">
        <v>3</v>
      </c>
      <c r="D48" s="49" t="s">
        <v>128</v>
      </c>
      <c r="E48" s="50" t="s">
        <v>308</v>
      </c>
      <c r="F48" s="50" t="s">
        <v>392</v>
      </c>
      <c r="G48" s="62" t="str">
        <f t="shared" ref="G48:G49" si="65">IFERROR(LEFT(B48,FIND("],",B48)),B48)</f>
        <v>[effect:enemy_message, val1:1.2, val2:2.4]</v>
      </c>
      <c r="H48" s="62">
        <f t="shared" ref="H48:H49" si="66">FIND("effect:",G48)+7</f>
        <v>9</v>
      </c>
      <c r="I48" s="62">
        <f t="shared" ref="I48:I49" si="67">IFERROR(FIND(",",G48),LEN(G48))</f>
        <v>22</v>
      </c>
      <c r="J48" s="62" t="e">
        <f t="shared" ref="J48:J49" si="68">FIND("target:",G48)+7</f>
        <v>#VALUE!</v>
      </c>
      <c r="K48" s="62">
        <f t="shared" ref="K48:K49" si="69">FIND(",",G48,I48+1)</f>
        <v>32</v>
      </c>
      <c r="L48" s="62" t="str">
        <f>IFERROR(VLOOKUP(MID(G48,J48,K48-J48),[5]skilldef!$C:$D,2,FALSE),"-") &amp; " / " &amp; IFERROR(VLOOKUP(MID(G48,H48,I48-H48),[5]skilldef!$A:$B,2,FALSE),"-")</f>
        <v>- / -</v>
      </c>
      <c r="M48" s="62" t="str">
        <f t="shared" ref="M48:M49" si="70">IFERROR(RIGHT(B48,LEN(B48)-FIND("],",B48)-1),"none")</f>
        <v>none</v>
      </c>
      <c r="N48" s="47" t="str">
        <f>IFERROR(LEFT(M48,FIND("],",M48)+#REF!),M48)</f>
        <v>none</v>
      </c>
      <c r="O48" s="62" t="e">
        <f t="shared" ref="O48:O49" si="71">FIND("effect:",N48)+7</f>
        <v>#VALUE!</v>
      </c>
      <c r="P48" s="62">
        <f t="shared" ref="P48:P49" si="72">IFERROR(FIND(",",N48),LEN(N48))</f>
        <v>4</v>
      </c>
      <c r="Q48" s="62" t="e">
        <f t="shared" ref="Q48:Q49" si="73">FIND("target:",N48)+7</f>
        <v>#VALUE!</v>
      </c>
      <c r="R48" s="62" t="e">
        <f t="shared" ref="R48:R49" si="74">FIND(",",N48,P48+1)</f>
        <v>#VALUE!</v>
      </c>
      <c r="S48" s="62" t="str">
        <f>IFERROR(VLOOKUP(MID(N48,Q48,R48-Q48),[5]skilldef!$C:$D,2,FALSE),"-") &amp; " / " &amp; IFERROR(VLOOKUP(MID(N48,O48,P48-O48),[5]skilldef!$A:$B,2,FALSE),"-")</f>
        <v>- / -</v>
      </c>
      <c r="T48" s="47" t="str">
        <f t="shared" ref="T48:T49" si="75">IFERROR(RIGHT(M48,LEN(M48)-FIND("],",M48)-1),"none")</f>
        <v>none</v>
      </c>
      <c r="U48" s="62" t="e">
        <f t="shared" ref="U48:U49" si="76">FIND("effect:",T48)+7</f>
        <v>#VALUE!</v>
      </c>
      <c r="V48" s="62">
        <f t="shared" ref="V48:V49" si="77">IFERROR(FIND(",",T48),LEN(T48))</f>
        <v>4</v>
      </c>
      <c r="W48" s="62" t="e">
        <f t="shared" ref="W48:W49" si="78">FIND("target:",T48)+7</f>
        <v>#VALUE!</v>
      </c>
      <c r="X48" s="62" t="e">
        <f t="shared" ref="X48:X49" si="79">FIND(",",T48,V48+1)</f>
        <v>#VALUE!</v>
      </c>
      <c r="Y48" s="62" t="str">
        <f>IFERROR(VLOOKUP(MID(T48,W48,X48-W48),[5]skilldef!$C:$D,2,FALSE),"-") &amp; " / " &amp; IFERROR(VLOOKUP(MID(T48,U48,V48-U48),[5]skilldef!$A:$B,2,FALSE),"-")</f>
        <v>- / -</v>
      </c>
      <c r="Z48" s="49"/>
      <c r="AA48" s="51"/>
      <c r="AB48" s="49"/>
    </row>
    <row r="49" spans="1:28" ht="21" customHeight="1" x14ac:dyDescent="0.15">
      <c r="A49" s="46">
        <v>50008048</v>
      </c>
      <c r="B49" s="46" t="s">
        <v>388</v>
      </c>
      <c r="C49" s="49">
        <v>3</v>
      </c>
      <c r="D49" s="49" t="s">
        <v>128</v>
      </c>
      <c r="E49" s="50" t="s">
        <v>309</v>
      </c>
      <c r="F49" s="50" t="s">
        <v>387</v>
      </c>
      <c r="G49" s="62" t="str">
        <f t="shared" si="65"/>
        <v>[effect:enemy_message, val1:1.2, val2:2.8]</v>
      </c>
      <c r="H49" s="62">
        <f t="shared" si="66"/>
        <v>9</v>
      </c>
      <c r="I49" s="62">
        <f t="shared" si="67"/>
        <v>22</v>
      </c>
      <c r="J49" s="62" t="e">
        <f t="shared" si="68"/>
        <v>#VALUE!</v>
      </c>
      <c r="K49" s="62">
        <f t="shared" si="69"/>
        <v>32</v>
      </c>
      <c r="L49" s="62" t="str">
        <f>IFERROR(VLOOKUP(MID(G49,J49,K49-J49),[5]skilldef!$C:$D,2,FALSE),"-") &amp; " / " &amp; IFERROR(VLOOKUP(MID(G49,H49,I49-H49),[5]skilldef!$A:$B,2,FALSE),"-")</f>
        <v>- / -</v>
      </c>
      <c r="M49" s="62" t="str">
        <f t="shared" si="70"/>
        <v>none</v>
      </c>
      <c r="N49" s="47" t="str">
        <f>IFERROR(LEFT(M49,FIND("],",M49)+#REF!),M49)</f>
        <v>none</v>
      </c>
      <c r="O49" s="62" t="e">
        <f t="shared" si="71"/>
        <v>#VALUE!</v>
      </c>
      <c r="P49" s="62">
        <f t="shared" si="72"/>
        <v>4</v>
      </c>
      <c r="Q49" s="62" t="e">
        <f t="shared" si="73"/>
        <v>#VALUE!</v>
      </c>
      <c r="R49" s="62" t="e">
        <f t="shared" si="74"/>
        <v>#VALUE!</v>
      </c>
      <c r="S49" s="62" t="str">
        <f>IFERROR(VLOOKUP(MID(N49,Q49,R49-Q49),[5]skilldef!$C:$D,2,FALSE),"-") &amp; " / " &amp; IFERROR(VLOOKUP(MID(N49,O49,P49-O49),[5]skilldef!$A:$B,2,FALSE),"-")</f>
        <v>- / -</v>
      </c>
      <c r="T49" s="47" t="str">
        <f t="shared" si="75"/>
        <v>none</v>
      </c>
      <c r="U49" s="62" t="e">
        <f t="shared" si="76"/>
        <v>#VALUE!</v>
      </c>
      <c r="V49" s="62">
        <f t="shared" si="77"/>
        <v>4</v>
      </c>
      <c r="W49" s="62" t="e">
        <f t="shared" si="78"/>
        <v>#VALUE!</v>
      </c>
      <c r="X49" s="62" t="e">
        <f t="shared" si="79"/>
        <v>#VALUE!</v>
      </c>
      <c r="Y49" s="62" t="str">
        <f>IFERROR(VLOOKUP(MID(T49,W49,X49-W49),[5]skilldef!$C:$D,2,FALSE),"-") &amp; " / " &amp; IFERROR(VLOOKUP(MID(T49,U49,V49-U49),[5]skilldef!$A:$B,2,FALSE),"-")</f>
        <v>- / -</v>
      </c>
      <c r="Z49" s="49"/>
      <c r="AA49" s="51"/>
      <c r="AB49" s="49"/>
    </row>
    <row r="50" spans="1:28" ht="21" customHeight="1" x14ac:dyDescent="0.15">
      <c r="A50" s="46">
        <v>50008049</v>
      </c>
      <c r="B50" s="46" t="s">
        <v>389</v>
      </c>
      <c r="C50" s="49">
        <v>3</v>
      </c>
      <c r="D50" s="49" t="s">
        <v>128</v>
      </c>
      <c r="E50" s="50" t="s">
        <v>282</v>
      </c>
      <c r="F50" s="50" t="s">
        <v>390</v>
      </c>
      <c r="G50" s="62" t="str">
        <f>IFERROR(LEFT(B50,FIND("],",B50)),B50)</f>
        <v>[effect:enemy_message, val1:1.2, val2:3, dead_type:escape]</v>
      </c>
      <c r="H50" s="62">
        <f>FIND("effect:",G50)+7</f>
        <v>9</v>
      </c>
      <c r="I50" s="62">
        <f>IFERROR(FIND(",",G50),LEN(G50))</f>
        <v>22</v>
      </c>
      <c r="J50" s="62" t="e">
        <f>FIND("target:",G50)+7</f>
        <v>#VALUE!</v>
      </c>
      <c r="K50" s="62">
        <f>FIND(",",G50,I50+1)</f>
        <v>32</v>
      </c>
      <c r="L50" s="62" t="str">
        <f>IFERROR(VLOOKUP(MID(G50,J50,K50-J50),[5]skilldef!$C:$D,2,FALSE),"-") &amp; " / " &amp; IFERROR(VLOOKUP(MID(G50,H50,I50-H50),[5]skilldef!$A:$B,2,FALSE),"-")</f>
        <v>- / -</v>
      </c>
      <c r="M50" s="62" t="str">
        <f>IFERROR(RIGHT(B50,LEN(B50)-FIND("],",B50)-1),"none")</f>
        <v>none</v>
      </c>
      <c r="N50" s="47" t="str">
        <f>IFERROR(LEFT(M50,FIND("],",M50)+#REF!),M50)</f>
        <v>none</v>
      </c>
      <c r="O50" s="62" t="e">
        <f>FIND("effect:",N50)+7</f>
        <v>#VALUE!</v>
      </c>
      <c r="P50" s="62">
        <f>IFERROR(FIND(",",N50),LEN(N50))</f>
        <v>4</v>
      </c>
      <c r="Q50" s="62" t="e">
        <f>FIND("target:",N50)+7</f>
        <v>#VALUE!</v>
      </c>
      <c r="R50" s="62" t="e">
        <f>FIND(",",N50,P50+1)</f>
        <v>#VALUE!</v>
      </c>
      <c r="S50" s="62" t="str">
        <f>IFERROR(VLOOKUP(MID(N50,Q50,R50-Q50),[5]skilldef!$C:$D,2,FALSE),"-") &amp; " / " &amp; IFERROR(VLOOKUP(MID(N50,O50,P50-O50),[5]skilldef!$A:$B,2,FALSE),"-")</f>
        <v>- / -</v>
      </c>
      <c r="T50" s="47" t="str">
        <f>IFERROR(RIGHT(M50,LEN(M50)-FIND("],",M50)-1),"none")</f>
        <v>none</v>
      </c>
      <c r="U50" s="62" t="e">
        <f>FIND("effect:",T50)+7</f>
        <v>#VALUE!</v>
      </c>
      <c r="V50" s="62">
        <f>IFERROR(FIND(",",T50),LEN(T50))</f>
        <v>4</v>
      </c>
      <c r="W50" s="62" t="e">
        <f>FIND("target:",T50)+7</f>
        <v>#VALUE!</v>
      </c>
      <c r="X50" s="62" t="e">
        <f>FIND(",",T50,V50+1)</f>
        <v>#VALUE!</v>
      </c>
      <c r="Y50" s="62" t="str">
        <f>IFERROR(VLOOKUP(MID(T50,W50,X50-W50),[5]skilldef!$C:$D,2,FALSE),"-") &amp; " / " &amp; IFERROR(VLOOKUP(MID(T50,U50,V50-U50),[5]skilldef!$A:$B,2,FALSE),"-")</f>
        <v>- / -</v>
      </c>
      <c r="Z50" s="49"/>
      <c r="AA50" s="51"/>
      <c r="AB50" s="49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54"/>
  <sheetViews>
    <sheetView showGridLines="0" zoomScale="75" zoomScaleNormal="75" zoomScalePageLayoutView="75" workbookViewId="0">
      <pane ySplit="1" topLeftCell="A18" activePane="bottomLeft" state="frozenSplit"/>
      <selection pane="bottomLeft" activeCell="F36" sqref="F36"/>
    </sheetView>
  </sheetViews>
  <sheetFormatPr baseColWidth="12" defaultColWidth="12.83203125" defaultRowHeight="21" customHeight="1" x14ac:dyDescent="0.15"/>
  <cols>
    <col min="1" max="1" width="16.1640625" style="48" bestFit="1" customWidth="1"/>
    <col min="2" max="2" width="13.33203125" style="48" bestFit="1" customWidth="1"/>
    <col min="3" max="3" width="11.83203125" style="48" bestFit="1" customWidth="1"/>
    <col min="4" max="4" width="14.6640625" style="48" bestFit="1" customWidth="1"/>
    <col min="5" max="5" width="15.6640625" style="48" bestFit="1" customWidth="1"/>
    <col min="6" max="6" width="17" style="48" bestFit="1" customWidth="1"/>
    <col min="7" max="7" width="15.6640625" style="48" bestFit="1" customWidth="1"/>
    <col min="8" max="9" width="14.6640625" style="48" customWidth="1"/>
    <col min="10" max="10" width="14.6640625" style="48" bestFit="1" customWidth="1"/>
    <col min="11" max="11" width="22.83203125" style="38" bestFit="1" customWidth="1"/>
    <col min="12" max="16384" width="12.83203125" style="44"/>
  </cols>
  <sheetData>
    <row r="1" spans="1:11" ht="21" customHeight="1" x14ac:dyDescent="0.15">
      <c r="A1" s="41" t="s">
        <v>84</v>
      </c>
      <c r="B1" s="41" t="s">
        <v>85</v>
      </c>
      <c r="C1" s="41" t="s">
        <v>86</v>
      </c>
      <c r="D1" s="41" t="s">
        <v>87</v>
      </c>
      <c r="E1" s="41" t="s">
        <v>70</v>
      </c>
      <c r="F1" s="52" t="s">
        <v>71</v>
      </c>
      <c r="G1" s="52" t="s">
        <v>72</v>
      </c>
      <c r="H1" s="41" t="s">
        <v>73</v>
      </c>
      <c r="I1" s="41" t="s">
        <v>74</v>
      </c>
      <c r="J1" s="41" t="s">
        <v>75</v>
      </c>
      <c r="K1" s="53" t="s">
        <v>88</v>
      </c>
    </row>
    <row r="2" spans="1:11" ht="21" customHeight="1" x14ac:dyDescent="0.15">
      <c r="A2" s="46">
        <v>50008001</v>
      </c>
      <c r="B2" s="46">
        <v>1</v>
      </c>
      <c r="C2" s="46" t="s">
        <v>89</v>
      </c>
      <c r="D2" s="46">
        <v>100</v>
      </c>
      <c r="E2" s="46" t="s">
        <v>53</v>
      </c>
      <c r="F2" s="46" t="s">
        <v>90</v>
      </c>
      <c r="G2" s="46">
        <v>1</v>
      </c>
      <c r="H2" s="46" t="s">
        <v>90</v>
      </c>
      <c r="I2" s="46" t="s">
        <v>90</v>
      </c>
      <c r="J2" s="47">
        <f t="shared" ref="J2" si="0">D2</f>
        <v>100</v>
      </c>
    </row>
    <row r="3" spans="1:11" ht="21" customHeight="1" x14ac:dyDescent="0.15">
      <c r="A3" s="46">
        <v>50008002</v>
      </c>
      <c r="B3" s="46">
        <v>0</v>
      </c>
      <c r="C3" s="46" t="s">
        <v>53</v>
      </c>
      <c r="D3" s="46">
        <v>50</v>
      </c>
      <c r="E3" s="46" t="s">
        <v>53</v>
      </c>
      <c r="F3" s="46" t="s">
        <v>53</v>
      </c>
      <c r="G3" s="46" t="s">
        <v>53</v>
      </c>
      <c r="H3" s="46" t="s">
        <v>90</v>
      </c>
      <c r="I3" s="46" t="s">
        <v>53</v>
      </c>
      <c r="J3" s="47">
        <f t="shared" ref="J3:J49" si="1">D3</f>
        <v>50</v>
      </c>
    </row>
    <row r="4" spans="1:11" ht="21" customHeight="1" x14ac:dyDescent="0.15">
      <c r="A4" s="46">
        <v>50008003</v>
      </c>
      <c r="B4" s="46">
        <v>0</v>
      </c>
      <c r="C4" s="46" t="s">
        <v>53</v>
      </c>
      <c r="D4" s="46">
        <v>35</v>
      </c>
      <c r="E4" s="46" t="s">
        <v>53</v>
      </c>
      <c r="F4" s="46" t="s">
        <v>53</v>
      </c>
      <c r="G4" s="46" t="s">
        <v>53</v>
      </c>
      <c r="H4" s="46" t="s">
        <v>53</v>
      </c>
      <c r="I4" s="46" t="s">
        <v>53</v>
      </c>
      <c r="J4" s="47">
        <f t="shared" si="1"/>
        <v>35</v>
      </c>
    </row>
    <row r="5" spans="1:11" ht="21" customHeight="1" x14ac:dyDescent="0.15">
      <c r="A5" s="46">
        <v>50008004</v>
      </c>
      <c r="B5" s="46">
        <v>0</v>
      </c>
      <c r="C5" s="46" t="s">
        <v>53</v>
      </c>
      <c r="D5" s="46">
        <v>50</v>
      </c>
      <c r="E5" s="46" t="s">
        <v>53</v>
      </c>
      <c r="F5" s="46" t="s">
        <v>53</v>
      </c>
      <c r="G5" s="46" t="s">
        <v>53</v>
      </c>
      <c r="H5" s="46" t="s">
        <v>53</v>
      </c>
      <c r="I5" s="46" t="s">
        <v>53</v>
      </c>
      <c r="J5" s="47">
        <f t="shared" si="1"/>
        <v>50</v>
      </c>
    </row>
    <row r="6" spans="1:11" ht="21" customHeight="1" x14ac:dyDescent="0.15">
      <c r="A6" s="46">
        <v>50008005</v>
      </c>
      <c r="B6" s="46">
        <v>0</v>
      </c>
      <c r="C6" s="46">
        <v>100</v>
      </c>
      <c r="D6" s="46">
        <v>100</v>
      </c>
      <c r="E6" s="46" t="s">
        <v>53</v>
      </c>
      <c r="F6" s="46" t="s">
        <v>53</v>
      </c>
      <c r="G6" s="46">
        <v>1</v>
      </c>
      <c r="H6" s="46">
        <v>3</v>
      </c>
      <c r="I6" s="46" t="s">
        <v>53</v>
      </c>
      <c r="J6" s="47">
        <f t="shared" si="1"/>
        <v>100</v>
      </c>
    </row>
    <row r="7" spans="1:11" ht="21" customHeight="1" x14ac:dyDescent="0.15">
      <c r="A7" s="46">
        <v>50008006</v>
      </c>
      <c r="B7" s="46">
        <v>0</v>
      </c>
      <c r="C7" s="46" t="s">
        <v>53</v>
      </c>
      <c r="D7" s="46">
        <v>100</v>
      </c>
      <c r="E7" s="46" t="s">
        <v>53</v>
      </c>
      <c r="F7" s="46" t="s">
        <v>53</v>
      </c>
      <c r="G7" s="46">
        <v>0</v>
      </c>
      <c r="H7" s="46" t="s">
        <v>53</v>
      </c>
      <c r="I7" s="46">
        <v>0</v>
      </c>
      <c r="J7" s="47">
        <f>D7</f>
        <v>100</v>
      </c>
    </row>
    <row r="8" spans="1:11" ht="21" customHeight="1" x14ac:dyDescent="0.15">
      <c r="A8" s="46">
        <v>50008007</v>
      </c>
      <c r="B8" s="46">
        <v>1</v>
      </c>
      <c r="C8" s="46" t="s">
        <v>53</v>
      </c>
      <c r="D8" s="46">
        <v>100</v>
      </c>
      <c r="E8" s="46" t="s">
        <v>53</v>
      </c>
      <c r="F8" s="46" t="s">
        <v>53</v>
      </c>
      <c r="G8" s="46">
        <v>1</v>
      </c>
      <c r="H8" s="46" t="s">
        <v>53</v>
      </c>
      <c r="I8" s="46" t="s">
        <v>53</v>
      </c>
      <c r="J8" s="47">
        <f t="shared" si="1"/>
        <v>100</v>
      </c>
    </row>
    <row r="9" spans="1:11" ht="21" customHeight="1" x14ac:dyDescent="0.15">
      <c r="A9" s="46">
        <v>50008008</v>
      </c>
      <c r="B9" s="46">
        <v>0</v>
      </c>
      <c r="C9" s="46" t="s">
        <v>53</v>
      </c>
      <c r="D9" s="46">
        <v>100</v>
      </c>
      <c r="E9" s="46" t="s">
        <v>53</v>
      </c>
      <c r="F9" s="46" t="s">
        <v>53</v>
      </c>
      <c r="G9" s="46" t="s">
        <v>53</v>
      </c>
      <c r="H9" s="46" t="s">
        <v>53</v>
      </c>
      <c r="I9" s="46" t="s">
        <v>53</v>
      </c>
      <c r="J9" s="47">
        <f t="shared" si="1"/>
        <v>100</v>
      </c>
    </row>
    <row r="10" spans="1:11" ht="21" customHeight="1" x14ac:dyDescent="0.15">
      <c r="A10" s="46">
        <v>50008009</v>
      </c>
      <c r="B10" s="46">
        <v>0</v>
      </c>
      <c r="C10" s="46">
        <v>100</v>
      </c>
      <c r="D10" s="46">
        <v>100</v>
      </c>
      <c r="E10" s="46" t="s">
        <v>53</v>
      </c>
      <c r="F10" s="46" t="s">
        <v>53</v>
      </c>
      <c r="G10" s="46" t="s">
        <v>53</v>
      </c>
      <c r="H10" s="46">
        <v>2</v>
      </c>
      <c r="I10" s="46" t="s">
        <v>53</v>
      </c>
      <c r="J10" s="47">
        <f t="shared" si="1"/>
        <v>100</v>
      </c>
    </row>
    <row r="11" spans="1:11" ht="21" customHeight="1" x14ac:dyDescent="0.15">
      <c r="A11" s="46">
        <v>50008010</v>
      </c>
      <c r="B11" s="46">
        <v>1</v>
      </c>
      <c r="C11" s="46" t="s">
        <v>53</v>
      </c>
      <c r="D11" s="46">
        <v>100</v>
      </c>
      <c r="E11" s="46" t="s">
        <v>53</v>
      </c>
      <c r="F11" s="46" t="s">
        <v>53</v>
      </c>
      <c r="G11" s="46">
        <v>1</v>
      </c>
      <c r="H11" s="46" t="s">
        <v>53</v>
      </c>
      <c r="I11" s="46" t="s">
        <v>53</v>
      </c>
      <c r="J11" s="47">
        <f t="shared" si="1"/>
        <v>100</v>
      </c>
    </row>
    <row r="12" spans="1:11" ht="21" customHeight="1" x14ac:dyDescent="0.15">
      <c r="A12" s="46">
        <v>50008011</v>
      </c>
      <c r="B12" s="46">
        <v>0</v>
      </c>
      <c r="C12" s="46" t="s">
        <v>53</v>
      </c>
      <c r="D12" s="46">
        <v>100</v>
      </c>
      <c r="E12" s="46" t="s">
        <v>53</v>
      </c>
      <c r="F12" s="46" t="s">
        <v>53</v>
      </c>
      <c r="G12" s="46" t="s">
        <v>53</v>
      </c>
      <c r="H12" s="46" t="s">
        <v>53</v>
      </c>
      <c r="I12" s="46" t="s">
        <v>53</v>
      </c>
      <c r="J12" s="47">
        <f t="shared" si="1"/>
        <v>100</v>
      </c>
    </row>
    <row r="13" spans="1:11" ht="21" customHeight="1" x14ac:dyDescent="0.15">
      <c r="A13" s="46">
        <v>50008012</v>
      </c>
      <c r="B13" s="46">
        <v>0</v>
      </c>
      <c r="C13" s="46">
        <v>100</v>
      </c>
      <c r="D13" s="46">
        <v>100</v>
      </c>
      <c r="E13" s="46" t="s">
        <v>53</v>
      </c>
      <c r="F13" s="46" t="s">
        <v>53</v>
      </c>
      <c r="G13" s="46" t="s">
        <v>53</v>
      </c>
      <c r="H13" s="46">
        <v>2</v>
      </c>
      <c r="I13" s="46" t="s">
        <v>53</v>
      </c>
      <c r="J13" s="47">
        <f t="shared" si="1"/>
        <v>100</v>
      </c>
    </row>
    <row r="14" spans="1:11" ht="21" customHeight="1" x14ac:dyDescent="0.15">
      <c r="A14" s="46">
        <v>50008013</v>
      </c>
      <c r="B14" s="46">
        <v>1</v>
      </c>
      <c r="C14" s="46" t="s">
        <v>53</v>
      </c>
      <c r="D14" s="46">
        <v>100</v>
      </c>
      <c r="E14" s="46" t="s">
        <v>53</v>
      </c>
      <c r="F14" s="46" t="s">
        <v>53</v>
      </c>
      <c r="G14" s="46">
        <v>1</v>
      </c>
      <c r="H14" s="46" t="s">
        <v>53</v>
      </c>
      <c r="I14" s="46" t="s">
        <v>53</v>
      </c>
      <c r="J14" s="47">
        <f t="shared" si="1"/>
        <v>100</v>
      </c>
    </row>
    <row r="15" spans="1:11" ht="21" customHeight="1" x14ac:dyDescent="0.15">
      <c r="A15" s="46">
        <v>50008014</v>
      </c>
      <c r="B15" s="46">
        <v>0</v>
      </c>
      <c r="C15" s="46" t="s">
        <v>53</v>
      </c>
      <c r="D15" s="46">
        <v>35</v>
      </c>
      <c r="E15" s="46" t="s">
        <v>53</v>
      </c>
      <c r="F15" s="46" t="s">
        <v>53</v>
      </c>
      <c r="G15" s="46" t="s">
        <v>53</v>
      </c>
      <c r="H15" s="46" t="s">
        <v>53</v>
      </c>
      <c r="I15" s="46" t="s">
        <v>53</v>
      </c>
      <c r="J15" s="47">
        <f t="shared" si="1"/>
        <v>35</v>
      </c>
    </row>
    <row r="16" spans="1:11" ht="21" customHeight="1" x14ac:dyDescent="0.15">
      <c r="A16" s="46">
        <v>50008015</v>
      </c>
      <c r="B16" s="46">
        <v>0</v>
      </c>
      <c r="C16" s="46" t="s">
        <v>53</v>
      </c>
      <c r="D16" s="46">
        <v>50</v>
      </c>
      <c r="E16" s="46" t="s">
        <v>53</v>
      </c>
      <c r="F16" s="46" t="s">
        <v>53</v>
      </c>
      <c r="G16" s="46" t="s">
        <v>53</v>
      </c>
      <c r="H16" s="46" t="s">
        <v>53</v>
      </c>
      <c r="I16" s="46" t="s">
        <v>53</v>
      </c>
      <c r="J16" s="47">
        <f t="shared" si="1"/>
        <v>50</v>
      </c>
    </row>
    <row r="17" spans="1:10" ht="21" customHeight="1" x14ac:dyDescent="0.15">
      <c r="A17" s="46">
        <v>50008016</v>
      </c>
      <c r="B17" s="46">
        <v>0</v>
      </c>
      <c r="C17" s="46" t="s">
        <v>53</v>
      </c>
      <c r="D17" s="46">
        <v>100</v>
      </c>
      <c r="E17" s="46" t="s">
        <v>53</v>
      </c>
      <c r="F17" s="46" t="s">
        <v>53</v>
      </c>
      <c r="G17" s="46" t="s">
        <v>53</v>
      </c>
      <c r="H17" s="46">
        <v>3</v>
      </c>
      <c r="I17" s="46" t="s">
        <v>53</v>
      </c>
      <c r="J17" s="47">
        <f t="shared" si="1"/>
        <v>100</v>
      </c>
    </row>
    <row r="18" spans="1:10" ht="21" customHeight="1" x14ac:dyDescent="0.15">
      <c r="A18" s="46">
        <v>50008017</v>
      </c>
      <c r="B18" s="46">
        <v>1</v>
      </c>
      <c r="C18" s="46" t="s">
        <v>53</v>
      </c>
      <c r="D18" s="46">
        <v>100</v>
      </c>
      <c r="E18" s="46" t="s">
        <v>53</v>
      </c>
      <c r="F18" s="46" t="s">
        <v>53</v>
      </c>
      <c r="G18" s="46">
        <v>1</v>
      </c>
      <c r="H18" s="46" t="s">
        <v>53</v>
      </c>
      <c r="I18" s="46" t="s">
        <v>53</v>
      </c>
      <c r="J18" s="47">
        <f t="shared" si="1"/>
        <v>100</v>
      </c>
    </row>
    <row r="19" spans="1:10" ht="21" customHeight="1" x14ac:dyDescent="0.15">
      <c r="A19" s="46">
        <v>50008018</v>
      </c>
      <c r="B19" s="46">
        <v>0</v>
      </c>
      <c r="C19" s="46" t="s">
        <v>53</v>
      </c>
      <c r="D19" s="46">
        <v>35</v>
      </c>
      <c r="E19" s="46" t="s">
        <v>53</v>
      </c>
      <c r="F19" s="46" t="s">
        <v>53</v>
      </c>
      <c r="G19" s="46" t="s">
        <v>53</v>
      </c>
      <c r="H19" s="46" t="s">
        <v>53</v>
      </c>
      <c r="I19" s="46" t="s">
        <v>53</v>
      </c>
      <c r="J19" s="47">
        <f t="shared" si="1"/>
        <v>35</v>
      </c>
    </row>
    <row r="20" spans="1:10" ht="21" customHeight="1" x14ac:dyDescent="0.15">
      <c r="A20" s="46">
        <v>50008019</v>
      </c>
      <c r="B20" s="46">
        <v>0</v>
      </c>
      <c r="C20" s="46" t="s">
        <v>53</v>
      </c>
      <c r="D20" s="46">
        <v>50</v>
      </c>
      <c r="E20" s="46" t="s">
        <v>53</v>
      </c>
      <c r="F20" s="46" t="s">
        <v>53</v>
      </c>
      <c r="G20" s="46" t="s">
        <v>53</v>
      </c>
      <c r="H20" s="46" t="s">
        <v>53</v>
      </c>
      <c r="I20" s="46" t="s">
        <v>53</v>
      </c>
      <c r="J20" s="47">
        <f t="shared" si="1"/>
        <v>50</v>
      </c>
    </row>
    <row r="21" spans="1:10" ht="21" customHeight="1" x14ac:dyDescent="0.15">
      <c r="A21" s="46">
        <v>50008020</v>
      </c>
      <c r="B21" s="46">
        <v>0</v>
      </c>
      <c r="C21" s="46" t="s">
        <v>53</v>
      </c>
      <c r="D21" s="46">
        <v>100</v>
      </c>
      <c r="E21" s="46" t="s">
        <v>53</v>
      </c>
      <c r="F21" s="46" t="s">
        <v>53</v>
      </c>
      <c r="G21" s="46" t="s">
        <v>53</v>
      </c>
      <c r="H21" s="46">
        <v>3</v>
      </c>
      <c r="I21" s="46" t="s">
        <v>53</v>
      </c>
      <c r="J21" s="47">
        <f t="shared" si="1"/>
        <v>100</v>
      </c>
    </row>
    <row r="22" spans="1:10" ht="21" customHeight="1" x14ac:dyDescent="0.15">
      <c r="A22" s="46">
        <v>50008021</v>
      </c>
      <c r="B22" s="46">
        <v>0</v>
      </c>
      <c r="C22" s="46">
        <v>100</v>
      </c>
      <c r="D22" s="46">
        <v>35</v>
      </c>
      <c r="E22" s="46">
        <v>50</v>
      </c>
      <c r="F22" s="46" t="s">
        <v>53</v>
      </c>
      <c r="G22" s="46">
        <v>1</v>
      </c>
      <c r="H22" s="46" t="s">
        <v>53</v>
      </c>
      <c r="I22" s="46" t="s">
        <v>53</v>
      </c>
      <c r="J22" s="47">
        <f t="shared" si="1"/>
        <v>35</v>
      </c>
    </row>
    <row r="23" spans="1:10" ht="21" customHeight="1" x14ac:dyDescent="0.15">
      <c r="A23" s="46">
        <v>50008022</v>
      </c>
      <c r="B23" s="46">
        <v>0</v>
      </c>
      <c r="C23" s="46">
        <v>90</v>
      </c>
      <c r="D23" s="46">
        <v>35</v>
      </c>
      <c r="E23" s="46">
        <v>50</v>
      </c>
      <c r="F23" s="46" t="s">
        <v>53</v>
      </c>
      <c r="G23" s="46">
        <v>1</v>
      </c>
      <c r="H23" s="46" t="s">
        <v>53</v>
      </c>
      <c r="I23" s="46" t="s">
        <v>53</v>
      </c>
      <c r="J23" s="47">
        <f t="shared" si="1"/>
        <v>35</v>
      </c>
    </row>
    <row r="24" spans="1:10" ht="21" customHeight="1" x14ac:dyDescent="0.15">
      <c r="A24" s="46">
        <v>50008023</v>
      </c>
      <c r="B24" s="46">
        <v>0</v>
      </c>
      <c r="C24" s="46">
        <v>80</v>
      </c>
      <c r="D24" s="46">
        <v>35</v>
      </c>
      <c r="E24" s="46">
        <v>50</v>
      </c>
      <c r="F24" s="46" t="s">
        <v>53</v>
      </c>
      <c r="G24" s="46">
        <v>1</v>
      </c>
      <c r="H24" s="46" t="s">
        <v>53</v>
      </c>
      <c r="I24" s="46" t="s">
        <v>53</v>
      </c>
      <c r="J24" s="47">
        <f t="shared" si="1"/>
        <v>35</v>
      </c>
    </row>
    <row r="25" spans="1:10" ht="21" customHeight="1" x14ac:dyDescent="0.15">
      <c r="A25" s="46">
        <v>50008024</v>
      </c>
      <c r="B25" s="46">
        <v>0</v>
      </c>
      <c r="C25" s="46">
        <v>70</v>
      </c>
      <c r="D25" s="46">
        <v>35</v>
      </c>
      <c r="E25" s="46">
        <v>50</v>
      </c>
      <c r="F25" s="46" t="s">
        <v>53</v>
      </c>
      <c r="G25" s="46">
        <v>1</v>
      </c>
      <c r="H25" s="46" t="s">
        <v>53</v>
      </c>
      <c r="I25" s="46" t="s">
        <v>53</v>
      </c>
      <c r="J25" s="47">
        <f t="shared" si="1"/>
        <v>35</v>
      </c>
    </row>
    <row r="26" spans="1:10" ht="21" customHeight="1" x14ac:dyDescent="0.15">
      <c r="A26" s="46">
        <v>50008025</v>
      </c>
      <c r="B26" s="46">
        <v>0</v>
      </c>
      <c r="C26" s="46">
        <v>60</v>
      </c>
      <c r="D26" s="46">
        <v>35</v>
      </c>
      <c r="E26" s="46">
        <v>50</v>
      </c>
      <c r="F26" s="46" t="s">
        <v>53</v>
      </c>
      <c r="G26" s="46">
        <v>1</v>
      </c>
      <c r="H26" s="46" t="s">
        <v>53</v>
      </c>
      <c r="I26" s="46" t="s">
        <v>53</v>
      </c>
      <c r="J26" s="47">
        <f t="shared" si="1"/>
        <v>35</v>
      </c>
    </row>
    <row r="27" spans="1:10" ht="21" customHeight="1" x14ac:dyDescent="0.15">
      <c r="A27" s="46">
        <v>50008026</v>
      </c>
      <c r="B27" s="46">
        <v>0</v>
      </c>
      <c r="C27" s="46">
        <v>50</v>
      </c>
      <c r="D27" s="46">
        <v>50</v>
      </c>
      <c r="E27" s="46">
        <v>50</v>
      </c>
      <c r="F27" s="46" t="s">
        <v>53</v>
      </c>
      <c r="G27" s="46" t="s">
        <v>53</v>
      </c>
      <c r="H27" s="46" t="s">
        <v>53</v>
      </c>
      <c r="I27" s="46" t="s">
        <v>53</v>
      </c>
      <c r="J27" s="47">
        <f t="shared" si="1"/>
        <v>50</v>
      </c>
    </row>
    <row r="28" spans="1:10" ht="21" customHeight="1" x14ac:dyDescent="0.15">
      <c r="A28" s="46">
        <v>50008027</v>
      </c>
      <c r="B28" s="46">
        <v>1</v>
      </c>
      <c r="C28" s="46">
        <v>9</v>
      </c>
      <c r="D28" s="46">
        <v>100</v>
      </c>
      <c r="E28" s="46" t="s">
        <v>53</v>
      </c>
      <c r="F28" s="46" t="s">
        <v>251</v>
      </c>
      <c r="G28" s="46">
        <v>1</v>
      </c>
      <c r="H28" s="46" t="s">
        <v>53</v>
      </c>
      <c r="I28" s="46">
        <v>1065</v>
      </c>
      <c r="J28" s="47">
        <f t="shared" si="1"/>
        <v>100</v>
      </c>
    </row>
    <row r="29" spans="1:10" ht="21" customHeight="1" x14ac:dyDescent="0.15">
      <c r="A29" s="46">
        <v>50008028</v>
      </c>
      <c r="B29" s="46">
        <v>1</v>
      </c>
      <c r="C29" s="46">
        <v>8</v>
      </c>
      <c r="D29" s="46">
        <v>100</v>
      </c>
      <c r="E29" s="46" t="s">
        <v>53</v>
      </c>
      <c r="F29" s="46" t="s">
        <v>53</v>
      </c>
      <c r="G29" s="46">
        <v>1</v>
      </c>
      <c r="H29" s="46" t="s">
        <v>53</v>
      </c>
      <c r="I29" s="46">
        <v>1066</v>
      </c>
      <c r="J29" s="47">
        <f t="shared" si="1"/>
        <v>100</v>
      </c>
    </row>
    <row r="30" spans="1:10" ht="21" customHeight="1" x14ac:dyDescent="0.15">
      <c r="A30" s="46">
        <v>50008029</v>
      </c>
      <c r="B30" s="46">
        <v>1</v>
      </c>
      <c r="C30" s="46">
        <v>7</v>
      </c>
      <c r="D30" s="46">
        <v>100</v>
      </c>
      <c r="E30" s="46" t="s">
        <v>53</v>
      </c>
      <c r="F30" s="46" t="s">
        <v>53</v>
      </c>
      <c r="G30" s="46">
        <v>1</v>
      </c>
      <c r="H30" s="46" t="s">
        <v>53</v>
      </c>
      <c r="I30" s="46">
        <v>1131</v>
      </c>
      <c r="J30" s="47">
        <f t="shared" si="1"/>
        <v>100</v>
      </c>
    </row>
    <row r="31" spans="1:10" ht="21" customHeight="1" x14ac:dyDescent="0.15">
      <c r="A31" s="46">
        <v>50008030</v>
      </c>
      <c r="B31" s="46">
        <v>1</v>
      </c>
      <c r="C31" s="46">
        <v>6</v>
      </c>
      <c r="D31" s="46">
        <v>100</v>
      </c>
      <c r="E31" s="46" t="s">
        <v>53</v>
      </c>
      <c r="F31" s="46" t="s">
        <v>53</v>
      </c>
      <c r="G31" s="46">
        <v>1</v>
      </c>
      <c r="H31" s="46" t="s">
        <v>53</v>
      </c>
      <c r="I31" s="46">
        <v>1132</v>
      </c>
      <c r="J31" s="47">
        <f t="shared" si="1"/>
        <v>100</v>
      </c>
    </row>
    <row r="32" spans="1:10" ht="21" customHeight="1" x14ac:dyDescent="0.15">
      <c r="A32" s="46">
        <v>50008031</v>
      </c>
      <c r="B32" s="46">
        <v>1</v>
      </c>
      <c r="C32" s="46">
        <v>5</v>
      </c>
      <c r="D32" s="46">
        <v>100</v>
      </c>
      <c r="E32" s="46" t="s">
        <v>53</v>
      </c>
      <c r="F32" s="46" t="s">
        <v>53</v>
      </c>
      <c r="G32" s="46">
        <v>1</v>
      </c>
      <c r="H32" s="46" t="s">
        <v>53</v>
      </c>
      <c r="I32" s="46" t="s">
        <v>53</v>
      </c>
      <c r="J32" s="47">
        <f t="shared" si="1"/>
        <v>100</v>
      </c>
    </row>
    <row r="33" spans="1:10" ht="21" customHeight="1" x14ac:dyDescent="0.15">
      <c r="A33" s="46">
        <v>50008032</v>
      </c>
      <c r="B33" s="46">
        <v>0</v>
      </c>
      <c r="C33" s="46">
        <v>4</v>
      </c>
      <c r="D33" s="46">
        <v>35</v>
      </c>
      <c r="E33" s="46" t="s">
        <v>53</v>
      </c>
      <c r="F33" s="46" t="s">
        <v>53</v>
      </c>
      <c r="G33" s="46" t="s">
        <v>53</v>
      </c>
      <c r="H33" s="46" t="s">
        <v>53</v>
      </c>
      <c r="I33" s="46" t="s">
        <v>53</v>
      </c>
      <c r="J33" s="47">
        <f t="shared" ref="J33" si="2">D33</f>
        <v>35</v>
      </c>
    </row>
    <row r="34" spans="1:10" ht="21" customHeight="1" x14ac:dyDescent="0.15">
      <c r="A34" s="46">
        <v>50008033</v>
      </c>
      <c r="B34" s="46">
        <v>0</v>
      </c>
      <c r="C34" s="46">
        <v>3</v>
      </c>
      <c r="D34" s="46">
        <v>35</v>
      </c>
      <c r="E34" s="46" t="s">
        <v>53</v>
      </c>
      <c r="F34" s="46" t="s">
        <v>53</v>
      </c>
      <c r="G34" s="46" t="s">
        <v>53</v>
      </c>
      <c r="H34" s="46" t="s">
        <v>53</v>
      </c>
      <c r="I34" s="46" t="s">
        <v>53</v>
      </c>
      <c r="J34" s="47">
        <f t="shared" si="1"/>
        <v>35</v>
      </c>
    </row>
    <row r="35" spans="1:10" ht="21" customHeight="1" x14ac:dyDescent="0.15">
      <c r="A35" s="46">
        <v>50008034</v>
      </c>
      <c r="B35" s="46">
        <v>0</v>
      </c>
      <c r="C35" s="46">
        <v>2</v>
      </c>
      <c r="D35" s="46">
        <v>50</v>
      </c>
      <c r="E35" s="46" t="s">
        <v>53</v>
      </c>
      <c r="F35" s="46" t="s">
        <v>53</v>
      </c>
      <c r="G35" s="46" t="s">
        <v>53</v>
      </c>
      <c r="H35" s="46" t="s">
        <v>53</v>
      </c>
      <c r="I35" s="46" t="s">
        <v>53</v>
      </c>
      <c r="J35" s="47">
        <f t="shared" si="1"/>
        <v>50</v>
      </c>
    </row>
    <row r="36" spans="1:10" ht="21" customHeight="1" x14ac:dyDescent="0.15">
      <c r="A36" s="46">
        <v>50008035</v>
      </c>
      <c r="B36" s="46">
        <v>0</v>
      </c>
      <c r="C36" s="46">
        <v>1</v>
      </c>
      <c r="D36" s="46">
        <v>35</v>
      </c>
      <c r="E36" s="46" t="s">
        <v>53</v>
      </c>
      <c r="F36" s="46" t="s">
        <v>53</v>
      </c>
      <c r="G36" s="46" t="s">
        <v>53</v>
      </c>
      <c r="H36" s="46" t="s">
        <v>53</v>
      </c>
      <c r="I36" s="46" t="s">
        <v>53</v>
      </c>
      <c r="J36" s="47">
        <f t="shared" ref="J36" si="3">D36</f>
        <v>35</v>
      </c>
    </row>
    <row r="37" spans="1:10" ht="21" customHeight="1" x14ac:dyDescent="0.15">
      <c r="A37" s="46">
        <v>50008036</v>
      </c>
      <c r="B37" s="46">
        <v>1</v>
      </c>
      <c r="C37" s="46" t="s">
        <v>53</v>
      </c>
      <c r="D37" s="46">
        <v>100</v>
      </c>
      <c r="E37" s="46" t="s">
        <v>53</v>
      </c>
      <c r="F37" s="46" t="s">
        <v>53</v>
      </c>
      <c r="G37" s="46">
        <v>1</v>
      </c>
      <c r="H37" s="46" t="s">
        <v>53</v>
      </c>
      <c r="I37" s="46" t="s">
        <v>53</v>
      </c>
      <c r="J37" s="47">
        <f t="shared" ref="J37:J38" si="4">D37</f>
        <v>100</v>
      </c>
    </row>
    <row r="38" spans="1:10" ht="21" customHeight="1" x14ac:dyDescent="0.15">
      <c r="A38" s="46">
        <v>50008037</v>
      </c>
      <c r="B38" s="46">
        <v>0</v>
      </c>
      <c r="C38" s="46">
        <v>4</v>
      </c>
      <c r="D38" s="46">
        <v>35</v>
      </c>
      <c r="E38" s="46" t="s">
        <v>53</v>
      </c>
      <c r="F38" s="46" t="s">
        <v>53</v>
      </c>
      <c r="G38" s="46" t="s">
        <v>53</v>
      </c>
      <c r="H38" s="46" t="s">
        <v>53</v>
      </c>
      <c r="I38" s="46" t="s">
        <v>53</v>
      </c>
      <c r="J38" s="47">
        <f t="shared" si="4"/>
        <v>35</v>
      </c>
    </row>
    <row r="39" spans="1:10" ht="21" customHeight="1" x14ac:dyDescent="0.15">
      <c r="A39" s="46">
        <v>50008038</v>
      </c>
      <c r="B39" s="46">
        <v>0</v>
      </c>
      <c r="C39" s="46">
        <v>3</v>
      </c>
      <c r="D39" s="46">
        <v>35</v>
      </c>
      <c r="E39" s="46" t="s">
        <v>53</v>
      </c>
      <c r="F39" s="46" t="s">
        <v>53</v>
      </c>
      <c r="G39" s="46" t="s">
        <v>53</v>
      </c>
      <c r="H39" s="46" t="s">
        <v>53</v>
      </c>
      <c r="I39" s="46" t="s">
        <v>53</v>
      </c>
      <c r="J39" s="47">
        <f t="shared" si="1"/>
        <v>35</v>
      </c>
    </row>
    <row r="40" spans="1:10" ht="21" customHeight="1" x14ac:dyDescent="0.15">
      <c r="A40" s="46">
        <v>50008039</v>
      </c>
      <c r="B40" s="46">
        <v>0</v>
      </c>
      <c r="C40" s="46">
        <v>2</v>
      </c>
      <c r="D40" s="46">
        <v>50</v>
      </c>
      <c r="E40" s="46" t="s">
        <v>53</v>
      </c>
      <c r="F40" s="46" t="s">
        <v>53</v>
      </c>
      <c r="G40" s="46" t="s">
        <v>53</v>
      </c>
      <c r="H40" s="46" t="s">
        <v>53</v>
      </c>
      <c r="I40" s="46" t="s">
        <v>53</v>
      </c>
      <c r="J40" s="47">
        <f t="shared" ref="J40:J41" si="5">D40</f>
        <v>50</v>
      </c>
    </row>
    <row r="41" spans="1:10" ht="21" customHeight="1" x14ac:dyDescent="0.15">
      <c r="A41" s="46">
        <v>50008040</v>
      </c>
      <c r="B41" s="46">
        <v>0</v>
      </c>
      <c r="C41" s="46">
        <v>1</v>
      </c>
      <c r="D41" s="46">
        <v>35</v>
      </c>
      <c r="E41" s="46" t="s">
        <v>53</v>
      </c>
      <c r="F41" s="46" t="s">
        <v>53</v>
      </c>
      <c r="G41" s="46" t="s">
        <v>53</v>
      </c>
      <c r="H41" s="46" t="s">
        <v>53</v>
      </c>
      <c r="I41" s="46" t="s">
        <v>53</v>
      </c>
      <c r="J41" s="47">
        <f t="shared" si="5"/>
        <v>35</v>
      </c>
    </row>
    <row r="42" spans="1:10" ht="21" customHeight="1" x14ac:dyDescent="0.15">
      <c r="A42" s="46">
        <v>50008041</v>
      </c>
      <c r="B42" s="46">
        <v>1</v>
      </c>
      <c r="C42" s="46" t="s">
        <v>53</v>
      </c>
      <c r="D42" s="46">
        <v>100</v>
      </c>
      <c r="E42" s="46" t="s">
        <v>53</v>
      </c>
      <c r="F42" s="46" t="s">
        <v>53</v>
      </c>
      <c r="G42" s="46">
        <v>1</v>
      </c>
      <c r="H42" s="46" t="s">
        <v>53</v>
      </c>
      <c r="I42" s="46" t="s">
        <v>53</v>
      </c>
      <c r="J42" s="47">
        <f t="shared" si="1"/>
        <v>100</v>
      </c>
    </row>
    <row r="43" spans="1:10" ht="21" customHeight="1" x14ac:dyDescent="0.15">
      <c r="A43" s="46">
        <v>50008042</v>
      </c>
      <c r="B43" s="46">
        <v>0</v>
      </c>
      <c r="C43" s="46" t="s">
        <v>53</v>
      </c>
      <c r="D43" s="46">
        <v>35</v>
      </c>
      <c r="E43" s="46" t="s">
        <v>53</v>
      </c>
      <c r="F43" s="46" t="s">
        <v>53</v>
      </c>
      <c r="G43" s="46" t="s">
        <v>53</v>
      </c>
      <c r="H43" s="46" t="s">
        <v>371</v>
      </c>
      <c r="I43" s="46" t="s">
        <v>53</v>
      </c>
      <c r="J43" s="47">
        <f t="shared" si="1"/>
        <v>35</v>
      </c>
    </row>
    <row r="44" spans="1:10" ht="21" customHeight="1" x14ac:dyDescent="0.15">
      <c r="A44" s="46">
        <v>50008043</v>
      </c>
      <c r="B44" s="46">
        <v>0</v>
      </c>
      <c r="C44" s="46" t="s">
        <v>53</v>
      </c>
      <c r="D44" s="46">
        <v>100</v>
      </c>
      <c r="E44" s="46" t="s">
        <v>53</v>
      </c>
      <c r="F44" s="46" t="s">
        <v>53</v>
      </c>
      <c r="G44" s="46" t="s">
        <v>53</v>
      </c>
      <c r="H44" s="46">
        <v>3</v>
      </c>
      <c r="I44" s="46" t="s">
        <v>53</v>
      </c>
      <c r="J44" s="47">
        <f t="shared" si="1"/>
        <v>100</v>
      </c>
    </row>
    <row r="45" spans="1:10" ht="21" customHeight="1" x14ac:dyDescent="0.15">
      <c r="A45" s="46">
        <v>50008044</v>
      </c>
      <c r="B45" s="46">
        <v>0</v>
      </c>
      <c r="C45" s="46">
        <v>9</v>
      </c>
      <c r="D45" s="46">
        <v>35</v>
      </c>
      <c r="E45" s="46" t="s">
        <v>53</v>
      </c>
      <c r="F45" s="46">
        <v>75</v>
      </c>
      <c r="G45" s="46" t="s">
        <v>53</v>
      </c>
      <c r="H45" s="46" t="s">
        <v>53</v>
      </c>
      <c r="I45" s="46" t="s">
        <v>53</v>
      </c>
      <c r="J45" s="47">
        <f t="shared" si="1"/>
        <v>35</v>
      </c>
    </row>
    <row r="46" spans="1:10" ht="21" customHeight="1" x14ac:dyDescent="0.15">
      <c r="A46" s="46">
        <v>50008045</v>
      </c>
      <c r="B46" s="46">
        <v>0</v>
      </c>
      <c r="C46" s="46">
        <v>8</v>
      </c>
      <c r="D46" s="46">
        <v>35</v>
      </c>
      <c r="E46" s="46">
        <v>75</v>
      </c>
      <c r="F46" s="46">
        <v>50</v>
      </c>
      <c r="G46" s="46" t="s">
        <v>53</v>
      </c>
      <c r="H46" s="46" t="s">
        <v>53</v>
      </c>
      <c r="I46" s="46" t="s">
        <v>53</v>
      </c>
      <c r="J46" s="47">
        <f t="shared" si="1"/>
        <v>35</v>
      </c>
    </row>
    <row r="47" spans="1:10" ht="21" customHeight="1" x14ac:dyDescent="0.15">
      <c r="A47" s="46">
        <v>50008046</v>
      </c>
      <c r="B47" s="46">
        <v>0</v>
      </c>
      <c r="C47" s="46">
        <v>7</v>
      </c>
      <c r="D47" s="46">
        <v>35</v>
      </c>
      <c r="E47" s="46">
        <v>50</v>
      </c>
      <c r="F47" s="46">
        <v>25</v>
      </c>
      <c r="G47" s="46" t="s">
        <v>53</v>
      </c>
      <c r="H47" s="46" t="s">
        <v>53</v>
      </c>
      <c r="I47" s="46" t="s">
        <v>53</v>
      </c>
      <c r="J47" s="47">
        <f t="shared" si="1"/>
        <v>35</v>
      </c>
    </row>
    <row r="48" spans="1:10" ht="21" customHeight="1" x14ac:dyDescent="0.15">
      <c r="A48" s="46">
        <v>50008047</v>
      </c>
      <c r="B48" s="46">
        <v>0</v>
      </c>
      <c r="C48" s="46">
        <v>6</v>
      </c>
      <c r="D48" s="46">
        <v>35</v>
      </c>
      <c r="E48" s="46">
        <v>25</v>
      </c>
      <c r="F48" s="46" t="s">
        <v>53</v>
      </c>
      <c r="G48" s="46" t="s">
        <v>53</v>
      </c>
      <c r="H48" s="46" t="s">
        <v>53</v>
      </c>
      <c r="I48" s="46" t="s">
        <v>53</v>
      </c>
      <c r="J48" s="47">
        <f t="shared" si="1"/>
        <v>35</v>
      </c>
    </row>
    <row r="49" spans="1:10" ht="21" customHeight="1" x14ac:dyDescent="0.15">
      <c r="A49" s="46">
        <v>50008048</v>
      </c>
      <c r="B49" s="46">
        <v>0</v>
      </c>
      <c r="C49" s="46">
        <v>10</v>
      </c>
      <c r="D49" s="46">
        <v>100</v>
      </c>
      <c r="E49" s="46">
        <v>35</v>
      </c>
      <c r="F49" s="46" t="s">
        <v>53</v>
      </c>
      <c r="G49" s="46">
        <v>1</v>
      </c>
      <c r="H49" s="46" t="s">
        <v>53</v>
      </c>
      <c r="I49" s="46" t="s">
        <v>53</v>
      </c>
      <c r="J49" s="47">
        <f t="shared" si="1"/>
        <v>100</v>
      </c>
    </row>
    <row r="50" spans="1:10" ht="21" customHeight="1" x14ac:dyDescent="0.15">
      <c r="A50" s="46">
        <v>50008049</v>
      </c>
      <c r="B50" s="46">
        <v>0</v>
      </c>
      <c r="C50" s="46">
        <v>5</v>
      </c>
      <c r="D50" s="46">
        <v>100</v>
      </c>
      <c r="E50" s="46" t="s">
        <v>53</v>
      </c>
      <c r="F50" s="46" t="s">
        <v>53</v>
      </c>
      <c r="G50" s="46">
        <v>0</v>
      </c>
      <c r="H50" s="46" t="s">
        <v>53</v>
      </c>
      <c r="I50" s="46">
        <v>1065</v>
      </c>
      <c r="J50" s="47">
        <f t="shared" ref="J50" si="6">D50</f>
        <v>100</v>
      </c>
    </row>
    <row r="51" spans="1:10" ht="21" customHeight="1" x14ac:dyDescent="0.15">
      <c r="A51" s="46">
        <v>50008050</v>
      </c>
      <c r="B51" s="46">
        <v>0</v>
      </c>
      <c r="C51" s="46">
        <v>4</v>
      </c>
      <c r="D51" s="46">
        <v>100</v>
      </c>
      <c r="E51" s="46" t="s">
        <v>53</v>
      </c>
      <c r="F51" s="46" t="s">
        <v>53</v>
      </c>
      <c r="G51" s="46">
        <v>0</v>
      </c>
      <c r="H51" s="46" t="s">
        <v>53</v>
      </c>
      <c r="I51" s="46">
        <v>1066</v>
      </c>
      <c r="J51" s="47">
        <f t="shared" ref="J51:J52" si="7">D51</f>
        <v>100</v>
      </c>
    </row>
    <row r="52" spans="1:10" ht="21" customHeight="1" x14ac:dyDescent="0.15">
      <c r="A52" s="46">
        <v>50008051</v>
      </c>
      <c r="B52" s="46">
        <v>0</v>
      </c>
      <c r="C52" s="46">
        <v>3</v>
      </c>
      <c r="D52" s="46">
        <v>100</v>
      </c>
      <c r="E52" s="46" t="s">
        <v>53</v>
      </c>
      <c r="F52" s="46" t="s">
        <v>53</v>
      </c>
      <c r="G52" s="46">
        <v>0</v>
      </c>
      <c r="H52" s="46" t="s">
        <v>53</v>
      </c>
      <c r="I52" s="46">
        <v>1131</v>
      </c>
      <c r="J52" s="47">
        <f t="shared" si="7"/>
        <v>100</v>
      </c>
    </row>
    <row r="53" spans="1:10" ht="21" customHeight="1" x14ac:dyDescent="0.15">
      <c r="A53" s="46">
        <v>50008052</v>
      </c>
      <c r="B53" s="46">
        <v>0</v>
      </c>
      <c r="C53" s="46">
        <v>2</v>
      </c>
      <c r="D53" s="46">
        <v>100</v>
      </c>
      <c r="E53" s="46" t="s">
        <v>53</v>
      </c>
      <c r="F53" s="46" t="s">
        <v>53</v>
      </c>
      <c r="G53" s="46">
        <v>0</v>
      </c>
      <c r="H53" s="46" t="s">
        <v>53</v>
      </c>
      <c r="I53" s="46">
        <v>1132</v>
      </c>
      <c r="J53" s="47">
        <f t="shared" ref="J53" si="8">D53</f>
        <v>100</v>
      </c>
    </row>
    <row r="54" spans="1:10" ht="21" customHeight="1" x14ac:dyDescent="0.15">
      <c r="A54" s="46">
        <v>50008053</v>
      </c>
      <c r="B54" s="46">
        <v>0</v>
      </c>
      <c r="C54" s="46">
        <v>1</v>
      </c>
      <c r="D54" s="46">
        <v>100</v>
      </c>
      <c r="E54" s="46" t="s">
        <v>53</v>
      </c>
      <c r="F54" s="46" t="s">
        <v>53</v>
      </c>
      <c r="G54" s="46">
        <v>0</v>
      </c>
      <c r="H54" s="46" t="s">
        <v>53</v>
      </c>
      <c r="I54" s="46">
        <v>0</v>
      </c>
      <c r="J54" s="47">
        <f>D54</f>
        <v>100</v>
      </c>
    </row>
  </sheetData>
  <autoFilter ref="A1:G1"/>
  <phoneticPr fontId="5"/>
  <conditionalFormatting sqref="K50 K1:K2 K55:K1048576">
    <cfRule type="duplicateValues" dxfId="18" priority="20"/>
  </conditionalFormatting>
  <conditionalFormatting sqref="K51">
    <cfRule type="duplicateValues" dxfId="17" priority="18"/>
  </conditionalFormatting>
  <conditionalFormatting sqref="K52">
    <cfRule type="duplicateValues" dxfId="16" priority="17"/>
  </conditionalFormatting>
  <conditionalFormatting sqref="K53">
    <cfRule type="duplicateValues" dxfId="15" priority="16"/>
  </conditionalFormatting>
  <conditionalFormatting sqref="K28">
    <cfRule type="duplicateValues" dxfId="14" priority="15"/>
  </conditionalFormatting>
  <conditionalFormatting sqref="K29">
    <cfRule type="duplicateValues" dxfId="13" priority="14"/>
  </conditionalFormatting>
  <conditionalFormatting sqref="K30">
    <cfRule type="duplicateValues" dxfId="12" priority="13"/>
  </conditionalFormatting>
  <conditionalFormatting sqref="K31">
    <cfRule type="duplicateValues" dxfId="11" priority="12"/>
  </conditionalFormatting>
  <conditionalFormatting sqref="K37">
    <cfRule type="duplicateValues" dxfId="10" priority="11"/>
  </conditionalFormatting>
  <conditionalFormatting sqref="K36">
    <cfRule type="duplicateValues" dxfId="9" priority="10"/>
  </conditionalFormatting>
  <conditionalFormatting sqref="K40">
    <cfRule type="duplicateValues" dxfId="8" priority="8"/>
  </conditionalFormatting>
  <conditionalFormatting sqref="K41">
    <cfRule type="duplicateValues" dxfId="7" priority="7"/>
  </conditionalFormatting>
  <conditionalFormatting sqref="K46:K49">
    <cfRule type="duplicateValues" dxfId="6" priority="6"/>
  </conditionalFormatting>
  <conditionalFormatting sqref="K45">
    <cfRule type="duplicateValues" dxfId="5" priority="5"/>
  </conditionalFormatting>
  <conditionalFormatting sqref="K39 K3:K6 K32 K42:K44 K8:K27 K34:K35">
    <cfRule type="duplicateValues" dxfId="4" priority="42"/>
  </conditionalFormatting>
  <conditionalFormatting sqref="K54">
    <cfRule type="duplicateValues" dxfId="3" priority="4"/>
  </conditionalFormatting>
  <conditionalFormatting sqref="K7">
    <cfRule type="duplicateValues" dxfId="2" priority="3"/>
  </conditionalFormatting>
  <conditionalFormatting sqref="K33">
    <cfRule type="duplicateValues" dxfId="1" priority="2"/>
  </conditionalFormatting>
  <conditionalFormatting sqref="K38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54"/>
  <sheetViews>
    <sheetView showGridLines="0" workbookViewId="0">
      <pane xSplit="5" ySplit="1" topLeftCell="L2" activePane="bottomRight" state="frozen"/>
      <selection pane="topRight"/>
      <selection pane="bottomLeft"/>
      <selection pane="bottomRight" activeCell="D55" sqref="D55"/>
    </sheetView>
  </sheetViews>
  <sheetFormatPr baseColWidth="12" defaultColWidth="12.83203125" defaultRowHeight="21" customHeight="1" outlineLevelCol="1" x14ac:dyDescent="0.15"/>
  <cols>
    <col min="1" max="1" width="11.33203125" style="38" bestFit="1" customWidth="1"/>
    <col min="2" max="2" width="9.5" style="48" bestFit="1" customWidth="1"/>
    <col min="3" max="3" width="9.6640625" style="48" customWidth="1"/>
    <col min="4" max="4" width="18.5" style="48" customWidth="1" outlineLevel="1"/>
    <col min="5" max="5" width="44.1640625" style="48" bestFit="1" customWidth="1" outlineLevel="1"/>
    <col min="6" max="6" width="10.83203125" style="48" bestFit="1" customWidth="1"/>
    <col min="7" max="7" width="8.33203125" style="48" bestFit="1" customWidth="1" outlineLevel="1"/>
    <col min="8" max="9" width="12.83203125" style="48" outlineLevel="1"/>
    <col min="10" max="10" width="17.6640625" style="48" bestFit="1" customWidth="1" outlineLevel="1"/>
    <col min="11" max="15" width="12.83203125" style="48" outlineLevel="1"/>
    <col min="16" max="16" width="8.33203125" style="44" bestFit="1" customWidth="1"/>
    <col min="17" max="17" width="9.6640625" style="44" customWidth="1"/>
    <col min="18" max="18" width="56.5" style="44" bestFit="1" customWidth="1"/>
    <col min="19" max="16384" width="12.83203125" style="44"/>
  </cols>
  <sheetData>
    <row r="1" spans="1:18" ht="21" customHeight="1" x14ac:dyDescent="0.15">
      <c r="A1" s="38" t="s">
        <v>60</v>
      </c>
      <c r="B1" s="39" t="s">
        <v>61</v>
      </c>
      <c r="C1" s="39" t="s">
        <v>62</v>
      </c>
      <c r="D1" s="40" t="s">
        <v>63</v>
      </c>
      <c r="E1" s="40" t="s">
        <v>64</v>
      </c>
      <c r="F1" s="41" t="s">
        <v>65</v>
      </c>
      <c r="G1" s="42" t="s">
        <v>66</v>
      </c>
      <c r="H1" s="42" t="s">
        <v>68</v>
      </c>
      <c r="I1" s="42" t="s">
        <v>69</v>
      </c>
      <c r="J1" s="42" t="s">
        <v>70</v>
      </c>
      <c r="K1" s="43" t="s">
        <v>71</v>
      </c>
      <c r="L1" s="43" t="s">
        <v>72</v>
      </c>
      <c r="M1" s="42" t="s">
        <v>73</v>
      </c>
      <c r="N1" s="42" t="s">
        <v>74</v>
      </c>
      <c r="O1" s="42" t="s">
        <v>75</v>
      </c>
      <c r="P1" s="40" t="s">
        <v>76</v>
      </c>
      <c r="Q1" s="40" t="s">
        <v>77</v>
      </c>
      <c r="R1" s="40" t="s">
        <v>78</v>
      </c>
    </row>
    <row r="2" spans="1:18" ht="21" customHeight="1" x14ac:dyDescent="0.15">
      <c r="A2" s="38" t="str">
        <f t="shared" ref="A2" si="0">B2&amp;"_"&amp;C2</f>
        <v>50008001_50008001</v>
      </c>
      <c r="B2" s="46">
        <v>50008001</v>
      </c>
      <c r="C2" s="46">
        <v>50008001</v>
      </c>
      <c r="D2" s="45" t="str">
        <f ca="1">VLOOKUP($C2,OFFSET(enemy_skills!$A$1,0,0,COUNTA(enemy_skills!$A:$A),MATCH(D$1,enemy_skills!$1:$1,0)-MATCH("enemy_skill_id",enemy_skills!$1:$1,0)+1),MATCH(D$1,enemy_skills!$1:$1,0)-MATCH("enemy_skill_id",enemy_skills!$1:$1,0)+1,FALSE)</f>
        <v>オマエ！見覚えがあるぞ！</v>
      </c>
      <c r="E2" s="45" t="str">
        <f ca="1">VLOOKUP($C2,OFFSET(enemy_skills!$A$1,0,0,COUNTA(enemy_skills!$A:$A),MATCH(E$1,enemy_skills!$1:$1,0)-MATCH("enemy_skill_id",enemy_skills!$1:$1,0)+1),MATCH(E$1,enemy_skills!$1:$1,0)-MATCH("enemy_skill_id",enemy_skills!$1:$1,0)+1,FALSE)</f>
        <v>オイラに追いつけたヤツはなかなか居ないからな！</v>
      </c>
      <c r="F2" s="46">
        <v>50008001</v>
      </c>
      <c r="G2" s="47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7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7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7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7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7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7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7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7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6"/>
      <c r="Q2" s="46"/>
      <c r="R2" s="46"/>
    </row>
    <row r="3" spans="1:18" ht="21" customHeight="1" x14ac:dyDescent="0.15">
      <c r="A3" s="38" t="str">
        <f t="shared" ref="A3:A45" si="1">B3&amp;"_"&amp;C3</f>
        <v>50008001_50008002</v>
      </c>
      <c r="B3" s="46">
        <v>50008001</v>
      </c>
      <c r="C3" s="46">
        <v>50008002</v>
      </c>
      <c r="D3" s="45" t="str">
        <f ca="1">VLOOKUP($C3,OFFSET(enemy_skills!$A$1,0,0,COUNTA(enemy_skills!$A:$A),MATCH(D$1,enemy_skills!$1:$1,0)-MATCH("enemy_skill_id",enemy_skills!$1:$1,0)+1),MATCH(D$1,enemy_skills!$1:$1,0)-MATCH("enemy_skill_id",enemy_skills!$1:$1,0)+1,FALSE)</f>
        <v>万里を駆ける暴兎</v>
      </c>
      <c r="E3" s="45" t="str">
        <f ca="1">VLOOKUP($C3,OFFSET(enemy_skills!$A$1,0,0,COUNTA(enemy_skills!$A:$A),MATCH(E$1,enemy_skills!$1:$1,0)-MATCH("enemy_skill_id",enemy_skills!$1:$1,0)+1),MATCH(E$1,enemy_skills!$1:$1,0)-MATCH("enemy_skill_id",enemy_skills!$1:$1,0)+1,FALSE)</f>
        <v>2ターン単体に暗闇+クリティカル！</v>
      </c>
      <c r="F3" s="46">
        <v>50008002</v>
      </c>
      <c r="G3" s="47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7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7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" s="47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7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7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7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7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7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" s="46"/>
      <c r="Q3" s="46"/>
      <c r="R3" s="46"/>
    </row>
    <row r="4" spans="1:18" ht="21" customHeight="1" x14ac:dyDescent="0.15">
      <c r="A4" s="38" t="str">
        <f t="shared" si="1"/>
        <v>50008001_50008003</v>
      </c>
      <c r="B4" s="46">
        <v>50008001</v>
      </c>
      <c r="C4" s="46">
        <v>50008003</v>
      </c>
      <c r="D4" s="45" t="str">
        <f ca="1">VLOOKUP($C4,OFFSET(enemy_skills!$A$1,0,0,COUNTA(enemy_skills!$A:$A),MATCH(D$1,enemy_skills!$1:$1,0)-MATCH("enemy_skill_id",enemy_skills!$1:$1,0)+1),MATCH(D$1,enemy_skills!$1:$1,0)-MATCH("enemy_skill_id",enemy_skills!$1:$1,0)+1,FALSE)</f>
        <v>このスピードについてきてみろ！</v>
      </c>
      <c r="E4" s="45" t="str">
        <f ca="1">VLOOKUP($C4,OFFSET(enemy_skills!$A$1,0,0,COUNTA(enemy_skills!$A:$A),MATCH(E$1,enemy_skills!$1:$1,0)-MATCH("enemy_skill_id",enemy_skills!$1:$1,0)+1),MATCH(E$1,enemy_skills!$1:$1,0)-MATCH("enemy_skill_id",enemy_skills!$1:$1,0)+1,FALSE)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4" s="46">
        <v>50008003</v>
      </c>
      <c r="G4" s="47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7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7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4" s="47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7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7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7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7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7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4" s="46"/>
      <c r="Q4" s="46"/>
      <c r="R4" s="46"/>
    </row>
    <row r="5" spans="1:18" ht="21" customHeight="1" x14ac:dyDescent="0.15">
      <c r="A5" s="38" t="str">
        <f t="shared" si="1"/>
        <v>50008001_50008004</v>
      </c>
      <c r="B5" s="46">
        <v>50008001</v>
      </c>
      <c r="C5" s="46">
        <v>50008004</v>
      </c>
      <c r="D5" s="45" t="str">
        <f ca="1">VLOOKUP($C5,OFFSET(enemy_skills!$A$1,0,0,COUNTA(enemy_skills!$A:$A),MATCH(D$1,enemy_skills!$1:$1,0)-MATCH("enemy_skill_id",enemy_skills!$1:$1,0)+1),MATCH(D$1,enemy_skills!$1:$1,0)-MATCH("enemy_skill_id",enemy_skills!$1:$1,0)+1,FALSE)</f>
        <v>赤兎式フルスロットル</v>
      </c>
      <c r="E5" s="45" t="str">
        <f ca="1">VLOOKUP($C5,OFFSET(enemy_skills!$A$1,0,0,COUNTA(enemy_skills!$A:$A),MATCH(E$1,enemy_skills!$1:$1,0)-MATCH("enemy_skill_id",enemy_skills!$1:$1,0)+1),MATCH(E$1,enemy_skills!$1:$1,0)-MATCH("enemy_skill_id",enemy_skills!$1:$1,0)+1,FALSE)</f>
        <v>暗闇状態のユニットに大ダメージ</v>
      </c>
      <c r="F5" s="46">
        <v>50008004</v>
      </c>
      <c r="G5" s="47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7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7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" s="47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7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7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7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7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7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" s="46"/>
      <c r="Q5" s="46"/>
      <c r="R5" s="46"/>
    </row>
    <row r="6" spans="1:18" ht="21" customHeight="1" x14ac:dyDescent="0.15">
      <c r="A6" s="38" t="str">
        <f t="shared" si="1"/>
        <v>50008001_50008005</v>
      </c>
      <c r="B6" s="46">
        <v>50008001</v>
      </c>
      <c r="C6" s="46">
        <v>50008005</v>
      </c>
      <c r="D6" s="45" t="str">
        <f ca="1">VLOOKUP($C6,OFFSET(enemy_skills!$A$1,0,0,COUNTA(enemy_skills!$A:$A),MATCH(D$1,enemy_skills!$1:$1,0)-MATCH("enemy_skill_id",enemy_skills!$1:$1,0)+1),MATCH(D$1,enemy_skills!$1:$1,0)-MATCH("enemy_skill_id",enemy_skills!$1:$1,0)+1,FALSE)</f>
        <v>帰れ！！</v>
      </c>
      <c r="E6" s="45" t="str">
        <f ca="1">VLOOKUP($C6,OFFSET(enemy_skills!$A$1,0,0,COUNTA(enemy_skills!$A:$A),MATCH(E$1,enemy_skills!$1:$1,0)-MATCH("enemy_skill_id",enemy_skills!$1:$1,0)+1),MATCH(E$1,enemy_skills!$1:$1,0)-MATCH("enemy_skill_id",enemy_skills!$1:$1,0)+1,FALSE)</f>
        <v>解除するまでウィルス</v>
      </c>
      <c r="F6" s="46">
        <v>50008005</v>
      </c>
      <c r="G6" s="47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7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" s="47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7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7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7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7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6" s="47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7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6"/>
      <c r="Q6" s="46"/>
      <c r="R6" s="46"/>
    </row>
    <row r="7" spans="1:18" ht="21" customHeight="1" x14ac:dyDescent="0.15">
      <c r="A7" s="38" t="str">
        <f t="shared" si="1"/>
        <v>50008001_50008006</v>
      </c>
      <c r="B7" s="46">
        <v>50008001</v>
      </c>
      <c r="C7" s="46">
        <v>50008006</v>
      </c>
      <c r="D7" s="45" t="str">
        <f ca="1">VLOOKUP($C7,OFFSET(enemy_skills!$A$1,0,0,COUNTA(enemy_skills!$A:$A),MATCH(D$1,enemy_skills!$1:$1,0)-MATCH("enemy_skill_id",enemy_skills!$1:$1,0)+1),MATCH(D$1,enemy_skills!$1:$1,0)-MATCH("enemy_skill_id",enemy_skills!$1:$1,0)+1,FALSE)</f>
        <v>くっそー！今に見てろよオマエ！</v>
      </c>
      <c r="E7" s="45" t="str">
        <f ca="1">VLOOKUP($C7,OFFSET(enemy_skills!$A$1,0,0,COUNTA(enemy_skills!$A:$A),MATCH(E$1,enemy_skills!$1:$1,0)-MATCH("enemy_skill_id",enemy_skills!$1:$1,0)+1),MATCH(E$1,enemy_skills!$1:$1,0)-MATCH("enemy_skill_id",enemy_skills!$1:$1,0)+1,FALSE)</f>
        <v>赤兎馬は逃げ出した！</v>
      </c>
      <c r="F7" s="46">
        <v>50008006</v>
      </c>
      <c r="G7" s="47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7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7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7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7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7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" s="47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7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7" s="47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6"/>
      <c r="Q7" s="46"/>
      <c r="R7" s="46"/>
    </row>
    <row r="8" spans="1:18" ht="21" customHeight="1" x14ac:dyDescent="0.15">
      <c r="A8" s="38" t="str">
        <f t="shared" si="1"/>
        <v>50008002_50008007</v>
      </c>
      <c r="B8" s="46">
        <v>50008002</v>
      </c>
      <c r="C8" s="46">
        <v>50008007</v>
      </c>
      <c r="D8" s="45" t="str">
        <f ca="1">VLOOKUP($C8,OFFSET(enemy_skills!$A$1,0,0,COUNTA(enemy_skills!$A:$A),MATCH(D$1,enemy_skills!$1:$1,0)-MATCH("enemy_skill_id",enemy_skills!$1:$1,0)+1),MATCH(D$1,enemy_skills!$1:$1,0)-MATCH("enemy_skill_id",enemy_skills!$1:$1,0)+1,FALSE)</f>
        <v>…ご無沙汰しております</v>
      </c>
      <c r="E8" s="45" t="str">
        <f ca="1">VLOOKUP($C8,OFFSET(enemy_skills!$A$1,0,0,COUNTA(enemy_skills!$A:$A),MATCH(E$1,enemy_skills!$1:$1,0)-MATCH("enemy_skill_id",enemy_skills!$1:$1,0)+1),MATCH(E$1,enemy_skills!$1:$1,0)-MATCH("enemy_skill_id",enemy_skills!$1:$1,0)+1,FALSE)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8" s="46">
        <v>50008007</v>
      </c>
      <c r="G8" s="47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7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7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7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7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7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7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7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7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6"/>
      <c r="Q8" s="46"/>
      <c r="R8" s="46"/>
    </row>
    <row r="9" spans="1:18" ht="21" customHeight="1" x14ac:dyDescent="0.15">
      <c r="A9" s="38" t="str">
        <f t="shared" si="1"/>
        <v>50008002_50008008</v>
      </c>
      <c r="B9" s="46">
        <v>50008002</v>
      </c>
      <c r="C9" s="46">
        <v>50008008</v>
      </c>
      <c r="D9" s="45" t="str">
        <f ca="1">VLOOKUP($C9,OFFSET(enemy_skills!$A$1,0,0,COUNTA(enemy_skills!$A:$A),MATCH(D$1,enemy_skills!$1:$1,0)-MATCH("enemy_skill_id",enemy_skills!$1:$1,0)+1),MATCH(D$1,enemy_skills!$1:$1,0)-MATCH("enemy_skill_id",enemy_skills!$1:$1,0)+1,FALSE)</f>
        <v>玉石の舞</v>
      </c>
      <c r="E9" s="45" t="str">
        <f ca="1">VLOOKUP($C9,OFFSET(enemy_skills!$A$1,0,0,COUNTA(enemy_skills!$A:$A),MATCH(E$1,enemy_skills!$1:$1,0)-MATCH("enemy_skill_id",enemy_skills!$1:$1,0)+1),MATCH(E$1,enemy_skills!$1:$1,0)-MATCH("enemy_skill_id",enemy_skills!$1:$1,0)+1,FALSE)</f>
        <v>お邪魔パネルを5個生成+単体攻撃</v>
      </c>
      <c r="F9" s="46">
        <v>50008008</v>
      </c>
      <c r="G9" s="47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7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7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7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7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7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7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7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7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6"/>
      <c r="Q9" s="46"/>
      <c r="R9" s="46"/>
    </row>
    <row r="10" spans="1:18" ht="21" customHeight="1" x14ac:dyDescent="0.15">
      <c r="A10" s="38" t="str">
        <f t="shared" si="1"/>
        <v>50008002_50008009</v>
      </c>
      <c r="B10" s="46">
        <v>50008002</v>
      </c>
      <c r="C10" s="46">
        <v>50008009</v>
      </c>
      <c r="D10" s="45" t="str">
        <f ca="1">VLOOKUP($C10,OFFSET(enemy_skills!$A$1,0,0,COUNTA(enemy_skills!$A:$A),MATCH(D$1,enemy_skills!$1:$1,0)-MATCH("enemy_skill_id",enemy_skills!$1:$1,0)+1),MATCH(D$1,enemy_skills!$1:$1,0)-MATCH("enemy_skill_id",enemy_skills!$1:$1,0)+1,FALSE)</f>
        <v>搾り取ってあげましょう</v>
      </c>
      <c r="E10" s="45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お邪魔パネルを吸収して攻撃</v>
      </c>
      <c r="F10" s="46">
        <v>50008009</v>
      </c>
      <c r="G10" s="47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7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" s="47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7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7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7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7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0" s="47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7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6"/>
      <c r="Q10" s="46"/>
      <c r="R10" s="46"/>
    </row>
    <row r="11" spans="1:18" ht="21" customHeight="1" x14ac:dyDescent="0.15">
      <c r="A11" s="38" t="str">
        <f t="shared" si="1"/>
        <v>50008003_50008010</v>
      </c>
      <c r="B11" s="46">
        <v>50008003</v>
      </c>
      <c r="C11" s="46">
        <v>50008010</v>
      </c>
      <c r="D11" s="45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ここであなたを止められれば…！</v>
      </c>
      <c r="E11" s="45" t="str">
        <f ca="1">VLOOKUP($C11,OFFSET(enemy_skills!$A$1,0,0,COUNTA(enemy_skills!$A:$A),MATCH(E$1,enemy_skills!$1:$1,0)-MATCH("enemy_skill_id",enemy_skills!$1:$1,0)+1),MATCH(E$1,enemy_skills!$1:$1,0)-MATCH("enemy_skill_id",enemy_skills!$1:$1,0)+1,FALSE)</f>
        <v>状態異常耐性+青属性に変化</v>
      </c>
      <c r="F11" s="46">
        <v>50008010</v>
      </c>
      <c r="G11" s="47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7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7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7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7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7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7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7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7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6"/>
      <c r="Q11" s="46"/>
      <c r="R11" s="46"/>
    </row>
    <row r="12" spans="1:18" ht="21" customHeight="1" x14ac:dyDescent="0.15">
      <c r="A12" s="38" t="str">
        <f t="shared" si="1"/>
        <v>50008003_50008011</v>
      </c>
      <c r="B12" s="46">
        <v>50008003</v>
      </c>
      <c r="C12" s="46">
        <v>50008011</v>
      </c>
      <c r="D12" s="45" t="str">
        <f ca="1">VLOOKUP($C12,OFFSET(enemy_skills!$A$1,0,0,COUNTA(enemy_skills!$A:$A),MATCH(D$1,enemy_skills!$1:$1,0)-MATCH("enemy_skill_id",enemy_skills!$1:$1,0)+1),MATCH(D$1,enemy_skills!$1:$1,0)-MATCH("enemy_skill_id",enemy_skills!$1:$1,0)+1,FALSE)</f>
        <v>翠玉后石打</v>
      </c>
      <c r="E12" s="45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お邪魔パネルを2個生成_x000D_+赤属性のユニットに大ダメージ_x000D_+緑属性のユニットに大ダメージ</v>
      </c>
      <c r="F12" s="46">
        <v>50008011</v>
      </c>
      <c r="G12" s="47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7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7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7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7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7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7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7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7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6"/>
      <c r="Q12" s="46"/>
      <c r="R12" s="46"/>
    </row>
    <row r="13" spans="1:18" ht="21" customHeight="1" x14ac:dyDescent="0.15">
      <c r="A13" s="38" t="str">
        <f t="shared" si="1"/>
        <v>50008003_50008012</v>
      </c>
      <c r="B13" s="46">
        <v>50008003</v>
      </c>
      <c r="C13" s="46">
        <v>50008012</v>
      </c>
      <c r="D13" s="45" t="str">
        <f ca="1">VLOOKUP($C13,OFFSET(enemy_skills!$A$1,0,0,COUNTA(enemy_skills!$A:$A),MATCH(D$1,enemy_skills!$1:$1,0)-MATCH("enemy_skill_id",enemy_skills!$1:$1,0)+1),MATCH(D$1,enemy_skills!$1:$1,0)-MATCH("enemy_skill_id",enemy_skills!$1:$1,0)+1,FALSE)</f>
        <v>全て吸い出してさしあげます</v>
      </c>
      <c r="E13" s="45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お邪魔パネルを吸収して攻撃</v>
      </c>
      <c r="F13" s="46">
        <v>50008012</v>
      </c>
      <c r="G13" s="47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7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3" s="47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7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7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7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7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3" s="47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7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6"/>
      <c r="Q13" s="46"/>
      <c r="R13" s="46"/>
    </row>
    <row r="14" spans="1:18" ht="21" customHeight="1" x14ac:dyDescent="0.15">
      <c r="A14" s="38" t="str">
        <f t="shared" si="1"/>
        <v>50008004_50008013</v>
      </c>
      <c r="B14" s="46">
        <v>50008004</v>
      </c>
      <c r="C14" s="46">
        <v>50008013</v>
      </c>
      <c r="D14" s="45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おやおや？また貴方ですかァ？</v>
      </c>
      <c r="E14" s="45" t="str">
        <f ca="1">VLOOKUP($C14,OFFSET(enemy_skills!$A$1,0,0,COUNTA(enemy_skills!$A:$A),MATCH(E$1,enemy_skills!$1:$1,0)-MATCH("enemy_skill_id",enemy_skills!$1:$1,0)+1),MATCH(E$1,enemy_skills!$1:$1,0)-MATCH("enemy_skill_id",enemy_skills!$1:$1,0)+1,FALSE)</f>
        <v>状態異常耐性+フィーバーゲージ減少</v>
      </c>
      <c r="F14" s="46">
        <v>50008013</v>
      </c>
      <c r="G14" s="47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7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47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7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7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7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7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7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7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6"/>
      <c r="Q14" s="46"/>
      <c r="R14" s="46"/>
    </row>
    <row r="15" spans="1:18" ht="21" customHeight="1" x14ac:dyDescent="0.15">
      <c r="A15" s="38" t="str">
        <f t="shared" si="1"/>
        <v>50008004_50008014</v>
      </c>
      <c r="B15" s="46">
        <v>50008004</v>
      </c>
      <c r="C15" s="46">
        <v>50008014</v>
      </c>
      <c r="D15" s="45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フフ…　許しませんよ…</v>
      </c>
      <c r="E15" s="45" t="str">
        <f ca="1">VLOOKUP($C15,OFFSET(enemy_skills!$A$1,0,0,COUNTA(enemy_skills!$A:$A),MATCH(E$1,enemy_skills!$1:$1,0)-MATCH("enemy_skill_id",enemy_skills!$1:$1,0)+1),MATCH(E$1,enemy_skills!$1:$1,0)-MATCH("enemy_skill_id",enemy_skills!$1:$1,0)+1,FALSE)</f>
        <v>2ターンウィルス+クリティカル！</v>
      </c>
      <c r="F15" s="46">
        <v>50008014</v>
      </c>
      <c r="G15" s="47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7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7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15" s="47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7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7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7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7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7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15" s="46"/>
      <c r="Q15" s="46"/>
      <c r="R15" s="46"/>
    </row>
    <row r="16" spans="1:18" ht="21" customHeight="1" x14ac:dyDescent="0.15">
      <c r="A16" s="38" t="str">
        <f t="shared" si="1"/>
        <v>50008004_50008015</v>
      </c>
      <c r="B16" s="46">
        <v>50008004</v>
      </c>
      <c r="C16" s="46">
        <v>50008015</v>
      </c>
      <c r="D16" s="45" t="str">
        <f ca="1">VLOOKUP($C16,OFFSET(enemy_skills!$A$1,0,0,COUNTA(enemy_skills!$A:$A),MATCH(D$1,enemy_skills!$1:$1,0)-MATCH("enemy_skill_id",enemy_skills!$1:$1,0)+1),MATCH(D$1,enemy_skills!$1:$1,0)-MATCH("enemy_skill_id",enemy_skills!$1:$1,0)+1,FALSE)</f>
        <v>伏したまえ…！</v>
      </c>
      <c r="E16" s="45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バランスタイプのユニットに大ダメージの全体攻撃</v>
      </c>
      <c r="F16" s="46">
        <v>50008015</v>
      </c>
      <c r="G16" s="47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7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7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6" s="47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7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7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7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7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7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6" s="46"/>
      <c r="Q16" s="46"/>
      <c r="R16" s="46"/>
    </row>
    <row r="17" spans="1:18" ht="21" customHeight="1" x14ac:dyDescent="0.15">
      <c r="A17" s="38" t="str">
        <f t="shared" si="1"/>
        <v>50008004_50008016</v>
      </c>
      <c r="B17" s="46">
        <v>50008004</v>
      </c>
      <c r="C17" s="46">
        <v>50008016</v>
      </c>
      <c r="D17" s="45" t="str">
        <f ca="1">VLOOKUP($C17,OFFSET(enemy_skills!$A$1,0,0,COUNTA(enemy_skills!$A:$A),MATCH(D$1,enemy_skills!$1:$1,0)-MATCH("enemy_skill_id",enemy_skills!$1:$1,0)+1),MATCH(D$1,enemy_skills!$1:$1,0)-MATCH("enemy_skill_id",enemy_skills!$1:$1,0)+1,FALSE)</f>
        <v>苦しむ顔を見せなさい…</v>
      </c>
      <c r="E17" s="45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ウィルス状態のユニットに大ダメージの全体攻撃</v>
      </c>
      <c r="F17" s="46">
        <v>50008016</v>
      </c>
      <c r="G17" s="47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7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7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7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7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7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7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7" s="47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7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6"/>
      <c r="Q17" s="46"/>
      <c r="R17" s="46"/>
    </row>
    <row r="18" spans="1:18" ht="21" customHeight="1" x14ac:dyDescent="0.15">
      <c r="A18" s="38" t="str">
        <f t="shared" si="1"/>
        <v>50008005_50008017</v>
      </c>
      <c r="B18" s="46">
        <v>50008005</v>
      </c>
      <c r="C18" s="46">
        <v>50008017</v>
      </c>
      <c r="D18" s="45" t="str">
        <f ca="1">VLOOKUP($C18,OFFSET(enemy_skills!$A$1,0,0,COUNTA(enemy_skills!$A:$A),MATCH(D$1,enemy_skills!$1:$1,0)-MATCH("enemy_skill_id",enemy_skills!$1:$1,0)+1),MATCH(D$1,enemy_skills!$1:$1,0)-MATCH("enemy_skill_id",enemy_skills!$1:$1,0)+1,FALSE)</f>
        <v>相変わらず小賢しいですねェ…！</v>
      </c>
      <c r="E18" s="45" t="str">
        <f ca="1">VLOOKUP($C18,OFFSET(enemy_skills!$A$1,0,0,COUNTA(enemy_skills!$A:$A),MATCH(E$1,enemy_skills!$1:$1,0)-MATCH("enemy_skill_id",enemy_skills!$1:$1,0)+1),MATCH(E$1,enemy_skills!$1:$1,0)-MATCH("enemy_skill_id",enemy_skills!$1:$1,0)+1,FALSE)</f>
        <v>状態異常耐性+フィーバーゲージ減少</v>
      </c>
      <c r="F18" s="46">
        <v>50008017</v>
      </c>
      <c r="G18" s="47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7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7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7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7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7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7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7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7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6"/>
      <c r="Q18" s="46"/>
      <c r="R18" s="46"/>
    </row>
    <row r="19" spans="1:18" ht="21" customHeight="1" x14ac:dyDescent="0.15">
      <c r="A19" s="38" t="str">
        <f t="shared" si="1"/>
        <v>50008005_50008018</v>
      </c>
      <c r="B19" s="46">
        <v>50008005</v>
      </c>
      <c r="C19" s="46">
        <v>50008018</v>
      </c>
      <c r="D19" s="45" t="str">
        <f ca="1">VLOOKUP($C19,OFFSET(enemy_skills!$A$1,0,0,COUNTA(enemy_skills!$A:$A),MATCH(D$1,enemy_skills!$1:$1,0)-MATCH("enemy_skill_id",enemy_skills!$1:$1,0)+1),MATCH(D$1,enemy_skills!$1:$1,0)-MATCH("enemy_skill_id",enemy_skills!$1:$1,0)+1,FALSE)</f>
        <v>悲鳴を聞かせなさい…</v>
      </c>
      <c r="E19" s="45" t="str">
        <f ca="1">VLOOKUP($C19,OFFSET(enemy_skills!$A$1,0,0,COUNTA(enemy_skills!$A:$A),MATCH(E$1,enemy_skills!$1:$1,0)-MATCH("enemy_skill_id",enemy_skills!$1:$1,0)+1),MATCH(E$1,enemy_skills!$1:$1,0)-MATCH("enemy_skill_id",enemy_skills!$1:$1,0)+1,FALSE)</f>
        <v>2ターンウィルス+クリティカル！</v>
      </c>
      <c r="F19" s="46">
        <v>50008018</v>
      </c>
      <c r="G19" s="47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7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47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19" s="47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7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7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7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7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7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19" s="46"/>
      <c r="Q19" s="46"/>
      <c r="R19" s="46"/>
    </row>
    <row r="20" spans="1:18" ht="21" customHeight="1" x14ac:dyDescent="0.15">
      <c r="A20" s="38" t="str">
        <f t="shared" si="1"/>
        <v>50008005_50008019</v>
      </c>
      <c r="B20" s="46">
        <v>50008005</v>
      </c>
      <c r="C20" s="46">
        <v>50008019</v>
      </c>
      <c r="D20" s="45" t="str">
        <f ca="1">VLOOKUP($C20,OFFSET(enemy_skills!$A$1,0,0,COUNTA(enemy_skills!$A:$A),MATCH(D$1,enemy_skills!$1:$1,0)-MATCH("enemy_skill_id",enemy_skills!$1:$1,0)+1),MATCH(D$1,enemy_skills!$1:$1,0)-MATCH("enemy_skill_id",enemy_skills!$1:$1,0)+1,FALSE)</f>
        <v>八つ裂きの刑です…</v>
      </c>
      <c r="E20" s="45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バランスタイプのユニットに大ダメージの全体攻撃</v>
      </c>
      <c r="F20" s="46">
        <v>50008019</v>
      </c>
      <c r="G20" s="47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7" t="str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" s="47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0" s="47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7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7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7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7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7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0" s="46"/>
      <c r="Q20" s="46"/>
      <c r="R20" s="46"/>
    </row>
    <row r="21" spans="1:18" ht="21" customHeight="1" x14ac:dyDescent="0.15">
      <c r="A21" s="38" t="str">
        <f t="shared" si="1"/>
        <v>50008005_50008020</v>
      </c>
      <c r="B21" s="46">
        <v>50008005</v>
      </c>
      <c r="C21" s="46">
        <v>50008020</v>
      </c>
      <c r="D21" s="45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ハハッ！痛いですかァ？</v>
      </c>
      <c r="E21" s="45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ウィルス状態のユニットに大ダメージの全体攻撃</v>
      </c>
      <c r="F21" s="46">
        <v>50008020</v>
      </c>
      <c r="G21" s="47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7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47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7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7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7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7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1" s="47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7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6"/>
      <c r="Q21" s="46"/>
      <c r="R21" s="46"/>
    </row>
    <row r="22" spans="1:18" ht="21" customHeight="1" x14ac:dyDescent="0.15">
      <c r="A22" s="38" t="str">
        <f t="shared" si="1"/>
        <v>50008005_50008021</v>
      </c>
      <c r="B22" s="46">
        <v>50008005</v>
      </c>
      <c r="C22" s="46">
        <v>50008021</v>
      </c>
      <c r="D22" s="45" t="str">
        <f ca="1">VLOOKUP($C22,OFFSET(enemy_skills!$A$1,0,0,COUNTA(enemy_skills!$A:$A),MATCH(D$1,enemy_skills!$1:$1,0)-MATCH("enemy_skill_id",enemy_skills!$1:$1,0)+1),MATCH(D$1,enemy_skills!$1:$1,0)-MATCH("enemy_skill_id",enemy_skills!$1:$1,0)+1,FALSE)</f>
        <v>私の策に狂いは許されません</v>
      </c>
      <c r="E22" s="45" t="str">
        <f ca="1">VLOOKUP($C22,OFFSET(enemy_skills!$A$1,0,0,COUNTA(enemy_skills!$A:$A),MATCH(E$1,enemy_skills!$1:$1,0)-MATCH("enemy_skill_id",enemy_skills!$1:$1,0)+1),MATCH(E$1,enemy_skills!$1:$1,0)-MATCH("enemy_skill_id",enemy_skills!$1:$1,0)+1,FALSE)</f>
        <v>10ターン赤パネル無効</v>
      </c>
      <c r="F22" s="46">
        <v>50008021</v>
      </c>
      <c r="G22" s="47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7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2" s="47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22" s="47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2" s="47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7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7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7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7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22" s="46"/>
      <c r="Q22" s="46"/>
      <c r="R22" s="46"/>
    </row>
    <row r="23" spans="1:18" ht="21" customHeight="1" x14ac:dyDescent="0.15">
      <c r="A23" s="38" t="str">
        <f t="shared" si="1"/>
        <v>50008005_50008022</v>
      </c>
      <c r="B23" s="46">
        <v>50008005</v>
      </c>
      <c r="C23" s="46">
        <v>50008022</v>
      </c>
      <c r="D23" s="45" t="str">
        <f ca="1">VLOOKUP($C23,OFFSET(enemy_skills!$A$1,0,0,COUNTA(enemy_skills!$A:$A),MATCH(D$1,enemy_skills!$1:$1,0)-MATCH("enemy_skill_id",enemy_skills!$1:$1,0)+1),MATCH(D$1,enemy_skills!$1:$1,0)-MATCH("enemy_skill_id",enemy_skills!$1:$1,0)+1,FALSE)</f>
        <v>動かないで下さいね？</v>
      </c>
      <c r="E23" s="45" t="str">
        <f ca="1">VLOOKUP($C23,OFFSET(enemy_skills!$A$1,0,0,COUNTA(enemy_skills!$A:$A),MATCH(E$1,enemy_skills!$1:$1,0)-MATCH("enemy_skill_id",enemy_skills!$1:$1,0)+1),MATCH(E$1,enemy_skills!$1:$1,0)-MATCH("enemy_skill_id",enemy_skills!$1:$1,0)+1,FALSE)</f>
        <v>10ターン青パネル無効</v>
      </c>
      <c r="F23" s="46">
        <v>50008022</v>
      </c>
      <c r="G23" s="47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7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3" s="47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23" s="47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3" s="47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7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7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7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7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23" s="46"/>
      <c r="Q23" s="46"/>
      <c r="R23" s="46"/>
    </row>
    <row r="24" spans="1:18" ht="21" customHeight="1" x14ac:dyDescent="0.15">
      <c r="A24" s="38" t="str">
        <f t="shared" si="1"/>
        <v>50008005_50008023</v>
      </c>
      <c r="B24" s="46">
        <v>50008005</v>
      </c>
      <c r="C24" s="46">
        <v>50008023</v>
      </c>
      <c r="D24" s="45" t="str">
        <f ca="1">VLOOKUP($C24,OFFSET(enemy_skills!$A$1,0,0,COUNTA(enemy_skills!$A:$A),MATCH(D$1,enemy_skills!$1:$1,0)-MATCH("enemy_skill_id",enemy_skills!$1:$1,0)+1),MATCH(D$1,enemy_skills!$1:$1,0)-MATCH("enemy_skill_id",enemy_skills!$1:$1,0)+1,FALSE)</f>
        <v>足掻いても無駄なんですよ！</v>
      </c>
      <c r="E24" s="45" t="str">
        <f ca="1">VLOOKUP($C24,OFFSET(enemy_skills!$A$1,0,0,COUNTA(enemy_skills!$A:$A),MATCH(E$1,enemy_skills!$1:$1,0)-MATCH("enemy_skill_id",enemy_skills!$1:$1,0)+1),MATCH(E$1,enemy_skills!$1:$1,0)-MATCH("enemy_skill_id",enemy_skills!$1:$1,0)+1,FALSE)</f>
        <v>10ターン黄パネル無効</v>
      </c>
      <c r="F24" s="46">
        <v>50008023</v>
      </c>
      <c r="G24" s="47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7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4" s="47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24" s="47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4" s="47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7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7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7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7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24" s="46"/>
      <c r="Q24" s="46"/>
      <c r="R24" s="46"/>
    </row>
    <row r="25" spans="1:18" ht="21" customHeight="1" x14ac:dyDescent="0.15">
      <c r="A25" s="38" t="str">
        <f t="shared" si="1"/>
        <v>50008005_50008024</v>
      </c>
      <c r="B25" s="46">
        <v>50008005</v>
      </c>
      <c r="C25" s="46">
        <v>50008024</v>
      </c>
      <c r="D25" s="45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どうですかァ？苦しいですかァ？</v>
      </c>
      <c r="E25" s="45" t="str">
        <f ca="1">VLOOKUP($C25,OFFSET(enemy_skills!$A$1,0,0,COUNTA(enemy_skills!$A:$A),MATCH(E$1,enemy_skills!$1:$1,0)-MATCH("enemy_skill_id",enemy_skills!$1:$1,0)+1),MATCH(E$1,enemy_skills!$1:$1,0)-MATCH("enemy_skill_id",enemy_skills!$1:$1,0)+1,FALSE)</f>
        <v>10ターン緑パネル無効</v>
      </c>
      <c r="F25" s="46">
        <v>50008024</v>
      </c>
      <c r="G25" s="47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7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5" s="47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25" s="47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5" s="47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7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7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7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7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25" s="46"/>
      <c r="Q25" s="46"/>
      <c r="R25" s="46"/>
    </row>
    <row r="26" spans="1:18" ht="21" customHeight="1" x14ac:dyDescent="0.15">
      <c r="A26" s="38" t="str">
        <f t="shared" si="1"/>
        <v>50008005_50008025</v>
      </c>
      <c r="B26" s="46">
        <v>50008005</v>
      </c>
      <c r="C26" s="46">
        <v>50008025</v>
      </c>
      <c r="D26" s="45" t="str">
        <f ca="1">VLOOKUP($C26,OFFSET(enemy_skills!$A$1,0,0,COUNTA(enemy_skills!$A:$A),MATCH(D$1,enemy_skills!$1:$1,0)-MATCH("enemy_skill_id",enemy_skills!$1:$1,0)+1),MATCH(D$1,enemy_skills!$1:$1,0)-MATCH("enemy_skill_id",enemy_skills!$1:$1,0)+1,FALSE)</f>
        <v>残念ですが手遅れですよ</v>
      </c>
      <c r="E26" s="45" t="str">
        <f ca="1">VLOOKUP($C26,OFFSET(enemy_skills!$A$1,0,0,COUNTA(enemy_skills!$A:$A),MATCH(E$1,enemy_skills!$1:$1,0)-MATCH("enemy_skill_id",enemy_skills!$1:$1,0)+1),MATCH(E$1,enemy_skills!$1:$1,0)-MATCH("enemy_skill_id",enemy_skills!$1:$1,0)+1,FALSE)</f>
        <v>5ターンハートパネル無効</v>
      </c>
      <c r="F26" s="46">
        <v>50008025</v>
      </c>
      <c r="G26" s="47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7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6" s="47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26" s="47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6" s="47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7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7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7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7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26" s="46"/>
      <c r="Q26" s="46"/>
      <c r="R26" s="46"/>
    </row>
    <row r="27" spans="1:18" ht="21" customHeight="1" x14ac:dyDescent="0.15">
      <c r="A27" s="38" t="str">
        <f t="shared" si="1"/>
        <v>50008005_50008026</v>
      </c>
      <c r="B27" s="46">
        <v>50008005</v>
      </c>
      <c r="C27" s="46">
        <v>50008026</v>
      </c>
      <c r="D27" s="45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もっと鳴きなさい…！</v>
      </c>
      <c r="E27" s="45" t="str">
        <f ca="1">VLOOKUP($C27,OFFSET(enemy_skills!$A$1,0,0,COUNTA(enemy_skills!$A:$A),MATCH(E$1,enemy_skills!$1:$1,0)-MATCH("enemy_skill_id",enemy_skills!$1:$1,0)+1),MATCH(E$1,enemy_skills!$1:$1,0)-MATCH("enemy_skill_id",enemy_skills!$1:$1,0)+1,FALSE)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27" s="46">
        <v>50008026</v>
      </c>
      <c r="G27" s="47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7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7" s="47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7" s="47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7" s="47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7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7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7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7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7" s="46"/>
      <c r="Q27" s="46"/>
      <c r="R27" s="46"/>
    </row>
    <row r="28" spans="1:18" ht="21" customHeight="1" x14ac:dyDescent="0.15">
      <c r="A28" s="38" t="str">
        <f t="shared" ref="A28" si="2">B28&amp;"_"&amp;C28</f>
        <v>50008006_50008027</v>
      </c>
      <c r="B28" s="46">
        <v>50008006</v>
      </c>
      <c r="C28" s="46">
        <v>50008027</v>
      </c>
      <c r="D28" s="45" t="str">
        <f ca="1">VLOOKUP($C28,OFFSET(enemy_skills!$A$1,0,0,COUNTA(enemy_skills!$A:$A),MATCH(D$1,enemy_skills!$1:$1,0)-MATCH("enemy_skill_id",enemy_skills!$1:$1,0)+1),MATCH(D$1,enemy_skills!$1:$1,0)-MATCH("enemy_skill_id",enemy_skills!$1:$1,0)+1,FALSE)</f>
        <v>貴様が噂のギルガメッシュか…？</v>
      </c>
      <c r="E28" s="45" t="str">
        <f ca="1">VLOOKUP($C28,OFFSET(enemy_skills!$A$1,0,0,COUNTA(enemy_skills!$A:$A),MATCH(E$1,enemy_skills!$1:$1,0)-MATCH("enemy_skill_id",enemy_skills!$1:$1,0)+1),MATCH(E$1,enemy_skills!$1:$1,0)-MATCH("enemy_skill_id",enemy_skills!$1:$1,0)+1,FALSE)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8" s="46">
        <v>50008027</v>
      </c>
      <c r="G28" s="47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47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28" s="47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7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7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7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7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7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1065</v>
      </c>
      <c r="O28" s="47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6"/>
      <c r="Q28" s="46"/>
      <c r="R28" s="46"/>
    </row>
    <row r="29" spans="1:18" ht="21" customHeight="1" x14ac:dyDescent="0.15">
      <c r="A29" s="38" t="str">
        <f t="shared" ref="A29" si="3">B29&amp;"_"&amp;C29</f>
        <v>50008006_50008027</v>
      </c>
      <c r="B29" s="46">
        <v>50008006</v>
      </c>
      <c r="C29" s="46">
        <v>50008027</v>
      </c>
      <c r="D29" s="45" t="str">
        <f ca="1">VLOOKUP($C29,OFFSET(enemy_skills!$A$1,0,0,COUNTA(enemy_skills!$A:$A),MATCH(D$1,enemy_skills!$1:$1,0)-MATCH("enemy_skill_id",enemy_skills!$1:$1,0)+1),MATCH(D$1,enemy_skills!$1:$1,0)-MATCH("enemy_skill_id",enemy_skills!$1:$1,0)+1,FALSE)</f>
        <v>貴様が噂のギルガメッシュか…？</v>
      </c>
      <c r="E29" s="45" t="str">
        <f ca="1">VLOOKUP($C29,OFFSET(enemy_skills!$A$1,0,0,COUNTA(enemy_skills!$A:$A),MATCH(E$1,enemy_skills!$1:$1,0)-MATCH("enemy_skill_id",enemy_skills!$1:$1,0)+1),MATCH(E$1,enemy_skills!$1:$1,0)-MATCH("enemy_skill_id",enemy_skills!$1:$1,0)+1,FALSE)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9" s="46">
        <v>50008028</v>
      </c>
      <c r="G29" s="47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47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29" s="47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7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7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7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7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7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1066</v>
      </c>
      <c r="O29" s="47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6"/>
      <c r="Q29" s="46"/>
      <c r="R29" s="46"/>
    </row>
    <row r="30" spans="1:18" ht="21" customHeight="1" x14ac:dyDescent="0.15">
      <c r="A30" s="38" t="str">
        <f t="shared" si="1"/>
        <v>50008006_50008028</v>
      </c>
      <c r="B30" s="46">
        <v>50008006</v>
      </c>
      <c r="C30" s="46">
        <v>50008028</v>
      </c>
      <c r="D30" s="45" t="str">
        <f ca="1">VLOOKUP($C30,OFFSET(enemy_skills!$A$1,0,0,COUNTA(enemy_skills!$A:$A),MATCH(D$1,enemy_skills!$1:$1,0)-MATCH("enemy_skill_id",enemy_skills!$1:$1,0)+1),MATCH(D$1,enemy_skills!$1:$1,0)-MATCH("enemy_skill_id",enemy_skills!$1:$1,0)+1,FALSE)</f>
        <v>董卓…　これは何の冗談だ？</v>
      </c>
      <c r="E30" s="45" t="str">
        <f ca="1">VLOOKUP($C30,OFFSET(enemy_skills!$A$1,0,0,COUNTA(enemy_skills!$A:$A),MATCH(E$1,enemy_skills!$1:$1,0)-MATCH("enemy_skill_id",enemy_skills!$1:$1,0)+1),MATCH(E$1,enemy_skills!$1:$1,0)-MATCH("enemy_skill_id",enemy_skills!$1:$1,0)+1,FALSE)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30" s="46">
        <v>50008029</v>
      </c>
      <c r="G30" s="47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" s="47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30" s="47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7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7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7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7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7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1131</v>
      </c>
      <c r="O30" s="47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6"/>
      <c r="Q30" s="46"/>
      <c r="R30" s="46"/>
    </row>
    <row r="31" spans="1:18" ht="21" customHeight="1" x14ac:dyDescent="0.15">
      <c r="A31" s="38" t="str">
        <f t="shared" ref="A31" si="4">B31&amp;"_"&amp;C31</f>
        <v>50008006_50008028</v>
      </c>
      <c r="B31" s="46">
        <v>50008006</v>
      </c>
      <c r="C31" s="46">
        <v>50008028</v>
      </c>
      <c r="D31" s="45" t="str">
        <f ca="1">VLOOKUP($C31,OFFSET(enemy_skills!$A$1,0,0,COUNTA(enemy_skills!$A:$A),MATCH(D$1,enemy_skills!$1:$1,0)-MATCH("enemy_skill_id",enemy_skills!$1:$1,0)+1),MATCH(D$1,enemy_skills!$1:$1,0)-MATCH("enemy_skill_id",enemy_skills!$1:$1,0)+1,FALSE)</f>
        <v>董卓…　これは何の冗談だ？</v>
      </c>
      <c r="E31" s="45" t="str">
        <f ca="1">VLOOKUP($C31,OFFSET(enemy_skills!$A$1,0,0,COUNTA(enemy_skills!$A:$A),MATCH(E$1,enemy_skills!$1:$1,0)-MATCH("enemy_skill_id",enemy_skills!$1:$1,0)+1),MATCH(E$1,enemy_skills!$1:$1,0)-MATCH("enemy_skill_id",enemy_skills!$1:$1,0)+1,FALSE)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31" s="46">
        <v>50008030</v>
      </c>
      <c r="G31" s="47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47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31" s="47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7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7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7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7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7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1132</v>
      </c>
      <c r="O31" s="47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6"/>
      <c r="Q31" s="46"/>
      <c r="R31" s="46"/>
    </row>
    <row r="32" spans="1:18" ht="21" customHeight="1" x14ac:dyDescent="0.15">
      <c r="A32" s="38" t="str">
        <f t="shared" ref="A32" si="5">B32&amp;"_"&amp;C32</f>
        <v>50008006_50008029</v>
      </c>
      <c r="B32" s="46">
        <v>50008006</v>
      </c>
      <c r="C32" s="46">
        <v>50008029</v>
      </c>
      <c r="D32" s="45" t="str">
        <f ca="1">VLOOKUP($C32,OFFSET(enemy_skills!$A$1,0,0,COUNTA(enemy_skills!$A:$A),MATCH(D$1,enemy_skills!$1:$1,0)-MATCH("enemy_skill_id",enemy_skills!$1:$1,0)+1),MATCH(D$1,enemy_skills!$1:$1,0)-MATCH("enemy_skill_id",enemy_skills!$1:$1,0)+1,FALSE)</f>
        <v>話に聞いた目障りな奴とは…　貴様か</v>
      </c>
      <c r="E32" s="45" t="str">
        <f ca="1">VLOOKUP($C32,OFFSET(enemy_skills!$A$1,0,0,COUNTA(enemy_skills!$A:$A),MATCH(E$1,enemy_skills!$1:$1,0)-MATCH("enemy_skill_id",enemy_skills!$1:$1,0)+1),MATCH(E$1,enemy_skills!$1:$1,0)-MATCH("enemy_skill_id",enemy_skills!$1:$1,0)+1,FALSE)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32" s="46">
        <v>50008031</v>
      </c>
      <c r="G32" s="47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" s="47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32" s="47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7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7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7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7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7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7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6"/>
      <c r="Q32" s="46"/>
      <c r="R32" s="46"/>
    </row>
    <row r="33" spans="1:18" ht="21" customHeight="1" x14ac:dyDescent="0.15">
      <c r="A33" s="38" t="str">
        <f t="shared" si="1"/>
        <v>50008006_50008030</v>
      </c>
      <c r="B33" s="46">
        <v>50008006</v>
      </c>
      <c r="C33" s="46">
        <v>50008030</v>
      </c>
      <c r="D33" s="45" t="str">
        <f ca="1">VLOOKUP($C33,OFFSET(enemy_skills!$A$1,0,0,COUNTA(enemy_skills!$A:$A),MATCH(D$1,enemy_skills!$1:$1,0)-MATCH("enemy_skill_id",enemy_skills!$1:$1,0)+1),MATCH(D$1,enemy_skills!$1:$1,0)-MATCH("enemy_skill_id",enemy_skills!$1:$1,0)+1,FALSE)</f>
        <v>暴兎式トラベルファスト</v>
      </c>
      <c r="E33" s="45" t="str">
        <f ca="1">VLOOKUP($C33,OFFSET(enemy_skills!$A$1,0,0,COUNTA(enemy_skills!$A:$A),MATCH(E$1,enemy_skills!$1:$1,0)-MATCH("enemy_skill_id",enemy_skills!$1:$1,0)+1),MATCH(E$1,enemy_skills!$1:$1,0)-MATCH("enemy_skill_id",enemy_skills!$1:$1,0)+1,FALSE)</f>
        <v>2ターン単体に暗闇+クリティカル</v>
      </c>
      <c r="F33" s="46">
        <v>50008032</v>
      </c>
      <c r="G33" s="47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7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33" s="47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33" s="47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7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7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7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7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7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33" s="46"/>
      <c r="Q33" s="46"/>
      <c r="R33" s="46"/>
    </row>
    <row r="34" spans="1:18" ht="21" customHeight="1" x14ac:dyDescent="0.15">
      <c r="A34" s="38" t="str">
        <f t="shared" ref="A34" si="6">B34&amp;"_"&amp;C34</f>
        <v>50008006_50008031</v>
      </c>
      <c r="B34" s="46">
        <v>50008006</v>
      </c>
      <c r="C34" s="46">
        <v>50008031</v>
      </c>
      <c r="D34" s="45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『リョフ！オイラが援護するぜ！！』</v>
      </c>
      <c r="E34" s="45" t="str">
        <f ca="1">VLOOKUP($C34,OFFSET(enemy_skills!$A$1,0,0,COUNTA(enemy_skills!$A:$A),MATCH(E$1,enemy_skills!$1:$1,0)-MATCH("enemy_skill_id",enemy_skills!$1:$1,0)+1),MATCH(E$1,enemy_skills!$1:$1,0)-MATCH("enemy_skill_id",enemy_skills!$1:$1,0)+1,FALSE)</f>
        <v>ダメージパネルを6個生成</v>
      </c>
      <c r="F34" s="46">
        <v>50008033</v>
      </c>
      <c r="G34" s="47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7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34" s="47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34" s="47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7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7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7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7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7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34" s="46"/>
      <c r="Q34" s="46"/>
      <c r="R34" s="46"/>
    </row>
    <row r="35" spans="1:18" ht="21" customHeight="1" x14ac:dyDescent="0.15">
      <c r="A35" s="38" t="str">
        <f t="shared" si="1"/>
        <v>50008006_50008032</v>
      </c>
      <c r="B35" s="46">
        <v>50008006</v>
      </c>
      <c r="C35" s="46">
        <v>50008032</v>
      </c>
      <c r="D35" s="45" t="str">
        <f ca="1">VLOOKUP($C35,OFFSET(enemy_skills!$A$1,0,0,COUNTA(enemy_skills!$A:$A),MATCH(D$1,enemy_skills!$1:$1,0)-MATCH("enemy_skill_id",enemy_skills!$1:$1,0)+1),MATCH(D$1,enemy_skills!$1:$1,0)-MATCH("enemy_skill_id",enemy_skills!$1:$1,0)+1,FALSE)</f>
        <v>凡夫に我が相手は務まらぬ！</v>
      </c>
      <c r="E35" s="45" t="str">
        <f ca="1">VLOOKUP($C35,OFFSET(enemy_skills!$A$1,0,0,COUNTA(enemy_skills!$A:$A),MATCH(E$1,enemy_skills!$1:$1,0)-MATCH("enemy_skill_id",enemy_skills!$1:$1,0)+1),MATCH(E$1,enemy_skills!$1:$1,0)-MATCH("enemy_skill_id",enemy_skills!$1:$1,0)+1,FALSE)</f>
        <v>緑属性のユニットに大ダメージの全体攻撃</v>
      </c>
      <c r="F35" s="46">
        <v>50008034</v>
      </c>
      <c r="G35" s="47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7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5" s="47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5" s="47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7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7" t="str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" s="47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7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7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5" s="46"/>
      <c r="Q35" s="46"/>
      <c r="R35" s="46"/>
    </row>
    <row r="36" spans="1:18" ht="21" customHeight="1" x14ac:dyDescent="0.15">
      <c r="A36" s="38" t="str">
        <f t="shared" si="1"/>
        <v>50008006_50008033</v>
      </c>
      <c r="B36" s="46">
        <v>50008006</v>
      </c>
      <c r="C36" s="46">
        <v>50008033</v>
      </c>
      <c r="D36" s="45" t="str">
        <f ca="1">VLOOKUP($C36,OFFSET(enemy_skills!$A$1,0,0,COUNTA(enemy_skills!$A:$A),MATCH(D$1,enemy_skills!$1:$1,0)-MATCH("enemy_skill_id",enemy_skills!$1:$1,0)+1),MATCH(D$1,enemy_skills!$1:$1,0)-MATCH("enemy_skill_id",enemy_skills!$1:$1,0)+1,FALSE)</f>
        <v>貴様に受け切れるか？</v>
      </c>
      <c r="E36" s="45" t="str">
        <f ca="1">VLOOKUP($C36,OFFSET(enemy_skills!$A$1,0,0,COUNTA(enemy_skills!$A:$A),MATCH(E$1,enemy_skills!$1:$1,0)-MATCH("enemy_skill_id",enemy_skills!$1:$1,0)+1),MATCH(E$1,enemy_skills!$1:$1,0)-MATCH("enemy_skill_id",enemy_skills!$1:$1,0)+1,FALSE)</f>
        <v>1ターンウィルス+クリティカル！</v>
      </c>
      <c r="F36" s="46">
        <v>50008035</v>
      </c>
      <c r="G36" s="47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7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6" s="47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36" s="47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7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7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47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7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7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36" s="46"/>
      <c r="Q36" s="46"/>
      <c r="R36" s="46"/>
    </row>
    <row r="37" spans="1:18" ht="21" customHeight="1" x14ac:dyDescent="0.15">
      <c r="A37" s="38" t="str">
        <f t="shared" si="1"/>
        <v>50008007_50008034</v>
      </c>
      <c r="B37" s="46">
        <v>50008007</v>
      </c>
      <c r="C37" s="46">
        <v>50008034</v>
      </c>
      <c r="D37" s="45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ほぅ…　なかなか楽しめそうだな…！</v>
      </c>
      <c r="E37" s="45" t="str">
        <f ca="1">VLOOKUP($C37,OFFSET(enemy_skills!$A$1,0,0,COUNTA(enemy_skills!$A:$A),MATCH(E$1,enemy_skills!$1:$1,0)-MATCH("enemy_skill_id",enemy_skills!$1:$1,0)+1),MATCH(E$1,enemy_skills!$1:$1,0)-MATCH("enemy_skill_id",enemy_skills!$1:$1,0)+1,FALSE)</f>
        <v>状態異常耐性+自身の防御力UP</v>
      </c>
      <c r="F37" s="46">
        <v>50008036</v>
      </c>
      <c r="G37" s="47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" s="47" t="str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7" s="47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7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7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7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7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7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7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6"/>
      <c r="Q37" s="46"/>
      <c r="R37" s="46"/>
    </row>
    <row r="38" spans="1:18" ht="21" customHeight="1" x14ac:dyDescent="0.15">
      <c r="A38" s="38" t="str">
        <f t="shared" ref="A38" si="7">B38&amp;"_"&amp;C38</f>
        <v>50008007_50008035</v>
      </c>
      <c r="B38" s="46">
        <v>50008007</v>
      </c>
      <c r="C38" s="46">
        <v>50008035</v>
      </c>
      <c r="D38" s="45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『リョフ！一緒に暴れようぜ！！』</v>
      </c>
      <c r="E38" s="45" t="str">
        <f ca="1">VLOOKUP($C38,OFFSET(enemy_skills!$A$1,0,0,COUNTA(enemy_skills!$A:$A),MATCH(E$1,enemy_skills!$1:$1,0)-MATCH("enemy_skill_id",enemy_skills!$1:$1,0)+1),MATCH(E$1,enemy_skills!$1:$1,0)-MATCH("enemy_skill_id",enemy_skills!$1:$1,0)+1,FALSE)</f>
        <v>ダメージパネルを3個生成+単体攻撃</v>
      </c>
      <c r="F38" s="46">
        <v>50008037</v>
      </c>
      <c r="G38" s="47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7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38" s="47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38" s="47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7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7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47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7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7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38" s="46"/>
      <c r="Q38" s="46"/>
      <c r="R38" s="46"/>
    </row>
    <row r="39" spans="1:18" ht="21" customHeight="1" x14ac:dyDescent="0.15">
      <c r="A39" s="38" t="str">
        <f t="shared" si="1"/>
        <v>50008007_50008036</v>
      </c>
      <c r="B39" s="46">
        <v>50008007</v>
      </c>
      <c r="C39" s="46">
        <v>50008036</v>
      </c>
      <c r="D39" s="45" t="str">
        <f ca="1">VLOOKUP($C39,OFFSET(enemy_skills!$A$1,0,0,COUNTA(enemy_skills!$A:$A),MATCH(D$1,enemy_skills!$1:$1,0)-MATCH("enemy_skill_id",enemy_skills!$1:$1,0)+1),MATCH(D$1,enemy_skills!$1:$1,0)-MATCH("enemy_skill_id",enemy_skills!$1:$1,0)+1,FALSE)</f>
        <v>克伐怨欲</v>
      </c>
      <c r="E39" s="45" t="str">
        <f ca="1">VLOOKUP($C39,OFFSET(enemy_skills!$A$1,0,0,COUNTA(enemy_skills!$A:$A),MATCH(E$1,enemy_skills!$1:$1,0)-MATCH("enemy_skill_id",enemy_skills!$1:$1,0)+1),MATCH(E$1,enemy_skills!$1:$1,0)-MATCH("enemy_skill_id",enemy_skills!$1:$1,0)+1,FALSE)</f>
        <v>ダメージパネルを4個生成</v>
      </c>
      <c r="F39" s="46">
        <v>50008038</v>
      </c>
      <c r="G39" s="47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7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39" s="47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39" s="47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7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7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47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7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7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39" s="46"/>
      <c r="Q39" s="46"/>
      <c r="R39" s="46"/>
    </row>
    <row r="40" spans="1:18" ht="21" customHeight="1" x14ac:dyDescent="0.15">
      <c r="A40" s="38" t="str">
        <f t="shared" si="1"/>
        <v>50008007_50008037</v>
      </c>
      <c r="B40" s="46">
        <v>50008007</v>
      </c>
      <c r="C40" s="46">
        <v>50008037</v>
      </c>
      <c r="D40" s="45" t="str">
        <f ca="1">VLOOKUP($C40,OFFSET(enemy_skills!$A$1,0,0,COUNTA(enemy_skills!$A:$A),MATCH(D$1,enemy_skills!$1:$1,0)-MATCH("enemy_skill_id",enemy_skills!$1:$1,0)+1),MATCH(D$1,enemy_skills!$1:$1,0)-MATCH("enemy_skill_id",enemy_skills!$1:$1,0)+1,FALSE)</f>
        <v>平凡な戦いに興味は無いぞ！</v>
      </c>
      <c r="E40" s="45" t="str">
        <f ca="1">VLOOKUP($C40,OFFSET(enemy_skills!$A$1,0,0,COUNTA(enemy_skills!$A:$A),MATCH(E$1,enemy_skills!$1:$1,0)-MATCH("enemy_skill_id",enemy_skills!$1:$1,0)+1),MATCH(E$1,enemy_skills!$1:$1,0)-MATCH("enemy_skill_id",enemy_skills!$1:$1,0)+1,FALSE)</f>
        <v>緑属性のユニットに大ダメージの全体攻撃</v>
      </c>
      <c r="F40" s="46">
        <v>50008039</v>
      </c>
      <c r="G40" s="47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7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0" s="47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0" s="47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7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7" t="str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0" s="47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7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7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0" s="46"/>
      <c r="Q40" s="46"/>
      <c r="R40" s="46"/>
    </row>
    <row r="41" spans="1:18" ht="21" customHeight="1" x14ac:dyDescent="0.15">
      <c r="A41" s="38" t="str">
        <f t="shared" si="1"/>
        <v>50008007_50008038</v>
      </c>
      <c r="B41" s="46">
        <v>50008007</v>
      </c>
      <c r="C41" s="46">
        <v>50008038</v>
      </c>
      <c r="D41" s="45" t="str">
        <f ca="1">VLOOKUP($C41,OFFSET(enemy_skills!$A$1,0,0,COUNTA(enemy_skills!$A:$A),MATCH(D$1,enemy_skills!$1:$1,0)-MATCH("enemy_skill_id",enemy_skills!$1:$1,0)+1),MATCH(D$1,enemy_skills!$1:$1,0)-MATCH("enemy_skill_id",enemy_skills!$1:$1,0)+1,FALSE)</f>
        <v>我が一撃　耐えてみせろ！</v>
      </c>
      <c r="E41" s="45" t="str">
        <f ca="1">VLOOKUP($C41,OFFSET(enemy_skills!$A$1,0,0,COUNTA(enemy_skills!$A:$A),MATCH(E$1,enemy_skills!$1:$1,0)-MATCH("enemy_skill_id",enemy_skills!$1:$1,0)+1),MATCH(E$1,enemy_skills!$1:$1,0)-MATCH("enemy_skill_id",enemy_skills!$1:$1,0)+1,FALSE)</f>
        <v>1ターンウィルス+クリティカル！</v>
      </c>
      <c r="F41" s="46">
        <v>50008040</v>
      </c>
      <c r="G41" s="47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7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1" s="47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41" s="47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7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7" t="str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1" s="47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7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7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41" s="46"/>
      <c r="Q41" s="46"/>
      <c r="R41" s="46"/>
    </row>
    <row r="42" spans="1:18" ht="21" customHeight="1" x14ac:dyDescent="0.15">
      <c r="A42" s="38" t="str">
        <f t="shared" si="1"/>
        <v>50008008_50008039</v>
      </c>
      <c r="B42" s="46">
        <v>50008008</v>
      </c>
      <c r="C42" s="46">
        <v>50008039</v>
      </c>
      <c r="D42" s="45" t="str">
        <f ca="1">VLOOKUP($C42,OFFSET(enemy_skills!$A$1,0,0,COUNTA(enemy_skills!$A:$A),MATCH(D$1,enemy_skills!$1:$1,0)-MATCH("enemy_skill_id",enemy_skills!$1:$1,0)+1),MATCH(D$1,enemy_skills!$1:$1,0)-MATCH("enemy_skill_id",enemy_skills!$1:$1,0)+1,FALSE)</f>
        <v>行くぞ！赤兎馬！</v>
      </c>
      <c r="E42" s="45" t="str">
        <f ca="1">VLOOKUP($C42,OFFSET(enemy_skills!$A$1,0,0,COUNTA(enemy_skills!$A:$A),MATCH(E$1,enemy_skills!$1:$1,0)-MATCH("enemy_skill_id",enemy_skills!$1:$1,0)+1),MATCH(E$1,enemy_skills!$1:$1,0)-MATCH("enemy_skill_id",enemy_skills!$1:$1,0)+1,FALSE)</f>
        <v>状態異常耐性+自身の防御力UP</v>
      </c>
      <c r="F42" s="46">
        <v>50008041</v>
      </c>
      <c r="G42" s="47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2" s="47" t="str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2" s="47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7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7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7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7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7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7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6"/>
      <c r="Q42" s="46"/>
      <c r="R42" s="46"/>
    </row>
    <row r="43" spans="1:18" ht="21" customHeight="1" x14ac:dyDescent="0.15">
      <c r="A43" s="38" t="str">
        <f t="shared" si="1"/>
        <v>50008008_50008040</v>
      </c>
      <c r="B43" s="46">
        <v>50008008</v>
      </c>
      <c r="C43" s="46">
        <v>50008040</v>
      </c>
      <c r="D43" s="45" t="str">
        <f ca="1">VLOOKUP($C43,OFFSET(enemy_skills!$A$1,0,0,COUNTA(enemy_skills!$A:$A),MATCH(D$1,enemy_skills!$1:$1,0)-MATCH("enemy_skill_id",enemy_skills!$1:$1,0)+1),MATCH(D$1,enemy_skills!$1:$1,0)-MATCH("enemy_skill_id",enemy_skills!$1:$1,0)+1,FALSE)</f>
        <v>克伐怨欲</v>
      </c>
      <c r="E43" s="45" t="str">
        <f ca="1">VLOOKUP($C43,OFFSET(enemy_skills!$A$1,0,0,COUNTA(enemy_skills!$A:$A),MATCH(E$1,enemy_skills!$1:$1,0)-MATCH("enemy_skill_id",enemy_skills!$1:$1,0)+1),MATCH(E$1,enemy_skills!$1:$1,0)-MATCH("enemy_skill_id",enemy_skills!$1:$1,0)+1,FALSE)</f>
        <v>ダメージパネルを4個生成</v>
      </c>
      <c r="F43" s="46">
        <v>50008042</v>
      </c>
      <c r="G43" s="47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7" t="str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3" s="47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43" s="47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7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7" t="str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3" s="47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7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7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43" s="46"/>
      <c r="Q43" s="46"/>
      <c r="R43" s="46"/>
    </row>
    <row r="44" spans="1:18" ht="21" customHeight="1" x14ac:dyDescent="0.15">
      <c r="A44" s="38" t="str">
        <f t="shared" si="1"/>
        <v>50008008_50008041</v>
      </c>
      <c r="B44" s="46">
        <v>50008008</v>
      </c>
      <c r="C44" s="46">
        <v>50008041</v>
      </c>
      <c r="D44" s="45" t="str">
        <f ca="1">VLOOKUP($C44,OFFSET(enemy_skills!$A$1,0,0,COUNTA(enemy_skills!$A:$A),MATCH(D$1,enemy_skills!$1:$1,0)-MATCH("enemy_skill_id",enemy_skills!$1:$1,0)+1),MATCH(D$1,enemy_skills!$1:$1,0)-MATCH("enemy_skill_id",enemy_skills!$1:$1,0)+1,FALSE)</f>
        <v>我を失望させてくれるなよ？</v>
      </c>
      <c r="E44" s="45" t="str">
        <f ca="1">VLOOKUP($C44,OFFSET(enemy_skills!$A$1,0,0,COUNTA(enemy_skills!$A:$A),MATCH(E$1,enemy_skills!$1:$1,0)-MATCH("enemy_skill_id",enemy_skills!$1:$1,0)+1),MATCH(E$1,enemy_skills!$1:$1,0)-MATCH("enemy_skill_id",enemy_skills!$1:$1,0)+1,FALSE)</f>
        <v>緑属性のユニットに大ダメージの全体攻撃</v>
      </c>
      <c r="F44" s="46">
        <v>50008043</v>
      </c>
      <c r="G44" s="47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7" t="str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4" s="47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7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7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7" t="str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4" s="47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4" s="47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7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6"/>
      <c r="Q44" s="46"/>
      <c r="R44" s="46"/>
    </row>
    <row r="45" spans="1:18" ht="21" customHeight="1" x14ac:dyDescent="0.15">
      <c r="A45" s="38" t="str">
        <f t="shared" si="1"/>
        <v>50008008_50008042</v>
      </c>
      <c r="B45" s="46">
        <v>50008008</v>
      </c>
      <c r="C45" s="46">
        <v>50008042</v>
      </c>
      <c r="D45" s="45" t="str">
        <f ca="1">VLOOKUP($C45,OFFSET(enemy_skills!$A$1,0,0,COUNTA(enemy_skills!$A:$A),MATCH(D$1,enemy_skills!$1:$1,0)-MATCH("enemy_skill_id",enemy_skills!$1:$1,0)+1),MATCH(D$1,enemy_skills!$1:$1,0)-MATCH("enemy_skill_id",enemy_skills!$1:$1,0)+1,FALSE)</f>
        <v>赤流方天戟</v>
      </c>
      <c r="E45" s="45" t="str">
        <f ca="1">VLOOKUP($C45,OFFSET(enemy_skills!$A$1,0,0,COUNTA(enemy_skills!$A:$A),MATCH(E$1,enemy_skills!$1:$1,0)-MATCH("enemy_skill_id",enemy_skills!$1:$1,0)+1),MATCH(E$1,enemy_skills!$1:$1,0)-MATCH("enemy_skill_id",enemy_skills!$1:$1,0)+1,FALSE)</f>
        <v>1ターンウィルス+クリティカル！</v>
      </c>
      <c r="F45" s="46">
        <v>50008044</v>
      </c>
      <c r="G45" s="47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7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45" s="47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45" s="47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7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75</v>
      </c>
      <c r="L45" s="47" t="str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5" s="47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7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7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45" s="46"/>
      <c r="Q45" s="46"/>
      <c r="R45" s="46"/>
    </row>
    <row r="46" spans="1:18" ht="21" customHeight="1" x14ac:dyDescent="0.15">
      <c r="A46" s="38" t="str">
        <f t="shared" ref="A46:A52" si="8">B46&amp;"_"&amp;C46</f>
        <v>50008008_50008043</v>
      </c>
      <c r="B46" s="46">
        <v>50008008</v>
      </c>
      <c r="C46" s="46">
        <v>50008043</v>
      </c>
      <c r="D46" s="45" t="str">
        <f ca="1">VLOOKUP($C46,OFFSET(enemy_skills!$A$1,0,0,COUNTA(enemy_skills!$A:$A),MATCH(D$1,enemy_skills!$1:$1,0)-MATCH("enemy_skill_id",enemy_skills!$1:$1,0)+1),MATCH(D$1,enemy_skills!$1:$1,0)-MATCH("enemy_skill_id",enemy_skills!$1:$1,0)+1,FALSE)</f>
        <v>赤流方天戟</v>
      </c>
      <c r="E46" s="45" t="str">
        <f ca="1">VLOOKUP($C46,OFFSET(enemy_skills!$A$1,0,0,COUNTA(enemy_skills!$A:$A),MATCH(E$1,enemy_skills!$1:$1,0)-MATCH("enemy_skill_id",enemy_skills!$1:$1,0)+1),MATCH(E$1,enemy_skills!$1:$1,0)-MATCH("enemy_skill_id",enemy_skills!$1:$1,0)+1,FALSE)</f>
        <v>1ターンウィルス+クリティカル！</v>
      </c>
      <c r="F46" s="46">
        <v>50008045</v>
      </c>
      <c r="G46" s="47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7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46" s="47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46" s="47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46" s="47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46" s="47" t="str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6" s="47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7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7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46" s="46"/>
      <c r="Q46" s="46"/>
      <c r="R46" s="46"/>
    </row>
    <row r="47" spans="1:18" ht="21" customHeight="1" x14ac:dyDescent="0.15">
      <c r="A47" s="38" t="str">
        <f t="shared" si="8"/>
        <v>50008008_50008044</v>
      </c>
      <c r="B47" s="46">
        <v>50008008</v>
      </c>
      <c r="C47" s="46">
        <v>50008044</v>
      </c>
      <c r="D47" s="45" t="str">
        <f ca="1">VLOOKUP($C47,OFFSET(enemy_skills!$A$1,0,0,COUNTA(enemy_skills!$A:$A),MATCH(D$1,enemy_skills!$1:$1,0)-MATCH("enemy_skill_id",enemy_skills!$1:$1,0)+1),MATCH(D$1,enemy_skills!$1:$1,0)-MATCH("enemy_skill_id",enemy_skills!$1:$1,0)+1,FALSE)</f>
        <v>赤流方天戟</v>
      </c>
      <c r="E47" s="45" t="str">
        <f ca="1">VLOOKUP($C47,OFFSET(enemy_skills!$A$1,0,0,COUNTA(enemy_skills!$A:$A),MATCH(E$1,enemy_skills!$1:$1,0)-MATCH("enemy_skill_id",enemy_skills!$1:$1,0)+1),MATCH(E$1,enemy_skills!$1:$1,0)-MATCH("enemy_skill_id",enemy_skills!$1:$1,0)+1,FALSE)</f>
        <v>1ターンウィルス+クリティカル！</v>
      </c>
      <c r="F47" s="46">
        <v>50008046</v>
      </c>
      <c r="G47" s="47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7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47" s="47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47" s="47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7" s="47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25</v>
      </c>
      <c r="L47" s="47" t="str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7" s="47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7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7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47" s="46"/>
      <c r="Q47" s="46"/>
      <c r="R47" s="46"/>
    </row>
    <row r="48" spans="1:18" ht="21" customHeight="1" x14ac:dyDescent="0.15">
      <c r="A48" s="38" t="str">
        <f t="shared" si="8"/>
        <v>50008008_50008045</v>
      </c>
      <c r="B48" s="46">
        <v>50008008</v>
      </c>
      <c r="C48" s="46">
        <v>50008045</v>
      </c>
      <c r="D48" s="45" t="str">
        <f ca="1">VLOOKUP($C48,OFFSET(enemy_skills!$A$1,0,0,COUNTA(enemy_skills!$A:$A),MATCH(D$1,enemy_skills!$1:$1,0)-MATCH("enemy_skill_id",enemy_skills!$1:$1,0)+1),MATCH(D$1,enemy_skills!$1:$1,0)-MATCH("enemy_skill_id",enemy_skills!$1:$1,0)+1,FALSE)</f>
        <v>赤流方天戟</v>
      </c>
      <c r="E48" s="45" t="str">
        <f ca="1">VLOOKUP($C48,OFFSET(enemy_skills!$A$1,0,0,COUNTA(enemy_skills!$A:$A),MATCH(E$1,enemy_skills!$1:$1,0)-MATCH("enemy_skill_id",enemy_skills!$1:$1,0)+1),MATCH(E$1,enemy_skills!$1:$1,0)-MATCH("enemy_skill_id",enemy_skills!$1:$1,0)+1,FALSE)</f>
        <v>1ターンウィルス+クリティカル！</v>
      </c>
      <c r="F48" s="46">
        <v>50008047</v>
      </c>
      <c r="G48" s="47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7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48" s="47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48" s="47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48" s="47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7" t="str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8" s="47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7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7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48" s="46"/>
      <c r="Q48" s="46"/>
      <c r="R48" s="46"/>
    </row>
    <row r="49" spans="1:18" ht="21" customHeight="1" x14ac:dyDescent="0.15">
      <c r="A49" s="38" t="str">
        <f t="shared" si="8"/>
        <v>50008008_50008046</v>
      </c>
      <c r="B49" s="46">
        <v>50008008</v>
      </c>
      <c r="C49" s="46">
        <v>50008046</v>
      </c>
      <c r="D49" s="45" t="str">
        <f ca="1">VLOOKUP($C49,OFFSET(enemy_skills!$A$1,0,0,COUNTA(enemy_skills!$A:$A),MATCH(D$1,enemy_skills!$1:$1,0)-MATCH("enemy_skill_id",enemy_skills!$1:$1,0)+1),MATCH(D$1,enemy_skills!$1:$1,0)-MATCH("enemy_skill_id",enemy_skills!$1:$1,0)+1,FALSE)</f>
        <v>命を捨てる覚悟はできたか…？</v>
      </c>
      <c r="E49" s="45" t="str">
        <f ca="1">VLOOKUP($C49,OFFSET(enemy_skills!$A$1,0,0,COUNTA(enemy_skills!$A:$A),MATCH(E$1,enemy_skills!$1:$1,0)-MATCH("enemy_skill_id",enemy_skills!$1:$1,0)+1),MATCH(E$1,enemy_skills!$1:$1,0)-MATCH("enemy_skill_id",enemy_skills!$1:$1,0)+1,FALSE)</f>
        <v>自身の攻撃力UP</v>
      </c>
      <c r="F49" s="46">
        <v>50008048</v>
      </c>
      <c r="G49" s="47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7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49" s="47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7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49" s="47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7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7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7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7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6"/>
      <c r="Q49" s="46"/>
      <c r="R49" s="46"/>
    </row>
    <row r="50" spans="1:18" ht="21" customHeight="1" x14ac:dyDescent="0.15">
      <c r="A50" s="38" t="str">
        <f t="shared" si="8"/>
        <v>50008008_50008047</v>
      </c>
      <c r="B50" s="46">
        <v>50008008</v>
      </c>
      <c r="C50" s="46">
        <v>50008047</v>
      </c>
      <c r="D50" s="45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ぐふっ…　やるな…</v>
      </c>
      <c r="E50" s="45" t="str">
        <f ca="1">VLOOKUP($C50,OFFSET(enemy_skills!$A$1,0,0,COUNTA(enemy_skills!$A:$A),MATCH(E$1,enemy_skills!$1:$1,0)-MATCH("enemy_skill_id",enemy_skills!$1:$1,0)+1),MATCH(E$1,enemy_skills!$1:$1,0)-MATCH("enemy_skill_id",enemy_skills!$1:$1,0)+1,FALSE)</f>
        <v>貴様のような小僧に敗けるとはな…　…不覚</v>
      </c>
      <c r="F50" s="46">
        <v>50008049</v>
      </c>
      <c r="G50" s="47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7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50" s="47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7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7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7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0" s="47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7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1065</v>
      </c>
      <c r="O50" s="47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6"/>
      <c r="Q50" s="46"/>
      <c r="R50" s="46"/>
    </row>
    <row r="51" spans="1:18" ht="21" customHeight="1" x14ac:dyDescent="0.15">
      <c r="A51" s="38" t="str">
        <f t="shared" ref="A51" si="9">B51&amp;"_"&amp;C51</f>
        <v>50008008_50008047</v>
      </c>
      <c r="B51" s="46">
        <v>50008008</v>
      </c>
      <c r="C51" s="46">
        <v>50008047</v>
      </c>
      <c r="D51" s="45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ぐふっ…　やるな…</v>
      </c>
      <c r="E51" s="45" t="str">
        <f ca="1">VLOOKUP($C51,OFFSET(enemy_skills!$A$1,0,0,COUNTA(enemy_skills!$A:$A),MATCH(E$1,enemy_skills!$1:$1,0)-MATCH("enemy_skill_id",enemy_skills!$1:$1,0)+1),MATCH(E$1,enemy_skills!$1:$1,0)-MATCH("enemy_skill_id",enemy_skills!$1:$1,0)+1,FALSE)</f>
        <v>貴様のような小僧に敗けるとはな…　…不覚</v>
      </c>
      <c r="F51" s="46">
        <v>50008050</v>
      </c>
      <c r="G51" s="47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7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51" s="47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7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7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7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1" s="47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7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1066</v>
      </c>
      <c r="O51" s="47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6"/>
      <c r="Q51" s="46"/>
      <c r="R51" s="46"/>
    </row>
    <row r="52" spans="1:18" ht="21" customHeight="1" x14ac:dyDescent="0.15">
      <c r="A52" s="38" t="str">
        <f t="shared" si="8"/>
        <v>50008008_50008048</v>
      </c>
      <c r="B52" s="46">
        <v>50008008</v>
      </c>
      <c r="C52" s="46">
        <v>50008048</v>
      </c>
      <c r="D52" s="45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まさか…　この我が…</v>
      </c>
      <c r="E52" s="45" t="str">
        <f ca="1">VLOOKUP($C52,OFFSET(enemy_skills!$A$1,0,0,COUNTA(enemy_skills!$A:$A),MATCH(E$1,enemy_skills!$1:$1,0)-MATCH("enemy_skill_id",enemy_skills!$1:$1,0)+1),MATCH(E$1,enemy_skills!$1:$1,0)-MATCH("enemy_skill_id",enemy_skills!$1:$1,0)+1,FALSE)</f>
        <v>よもや貴様に足元を掬われるとは…_x000D_我の腕も鈍ったという事か…</v>
      </c>
      <c r="F52" s="46">
        <v>50008051</v>
      </c>
      <c r="G52" s="47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7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52" s="47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7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7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7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2" s="47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7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1131</v>
      </c>
      <c r="O52" s="47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6"/>
      <c r="Q52" s="46"/>
      <c r="R52" s="46"/>
    </row>
    <row r="53" spans="1:18" ht="21" customHeight="1" x14ac:dyDescent="0.15">
      <c r="A53" s="38" t="str">
        <f t="shared" ref="A53" si="10">B53&amp;"_"&amp;C53</f>
        <v>50008008_50008048</v>
      </c>
      <c r="B53" s="46">
        <v>50008008</v>
      </c>
      <c r="C53" s="46">
        <v>50008048</v>
      </c>
      <c r="D53" s="45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まさか…　この我が…</v>
      </c>
      <c r="E53" s="45" t="str">
        <f ca="1">VLOOKUP($C53,OFFSET(enemy_skills!$A$1,0,0,COUNTA(enemy_skills!$A:$A),MATCH(E$1,enemy_skills!$1:$1,0)-MATCH("enemy_skill_id",enemy_skills!$1:$1,0)+1),MATCH(E$1,enemy_skills!$1:$1,0)-MATCH("enemy_skill_id",enemy_skills!$1:$1,0)+1,FALSE)</f>
        <v>よもや貴様に足元を掬われるとは…_x000D_我の腕も鈍ったという事か…</v>
      </c>
      <c r="F53" s="46">
        <v>50008052</v>
      </c>
      <c r="G53" s="47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7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3" s="47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7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7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7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3" s="47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7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1132</v>
      </c>
      <c r="O53" s="47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6"/>
      <c r="Q53" s="46"/>
      <c r="R53" s="46"/>
    </row>
    <row r="54" spans="1:18" ht="21" customHeight="1" x14ac:dyDescent="0.15">
      <c r="A54" s="38" t="str">
        <f t="shared" ref="A54" si="11">B54&amp;"_"&amp;C54</f>
        <v>50008008_50008049</v>
      </c>
      <c r="B54" s="46">
        <v>50008008</v>
      </c>
      <c r="C54" s="46">
        <v>50008049</v>
      </c>
      <c r="D54" s="45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なかなか楽しめた…</v>
      </c>
      <c r="E54" s="45" t="str">
        <f ca="1">VLOOKUP($C54,OFFSET(enemy_skills!$A$1,0,0,COUNTA(enemy_skills!$A:$A),MATCH(E$1,enemy_skills!$1:$1,0)-MATCH("enemy_skill_id",enemy_skills!$1:$1,0)+1),MATCH(E$1,enemy_skills!$1:$1,0)-MATCH("enemy_skill_id",enemy_skills!$1:$1,0)+1,FALSE)</f>
        <v>貴様の強さに免じ　此度は手を引こう_x000D_いつの日かまた死合おうぞ…！</v>
      </c>
      <c r="F54" s="46">
        <v>50008053</v>
      </c>
      <c r="G54" s="47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7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4" s="47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7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7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7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4" s="47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7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54" s="47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6"/>
      <c r="Q54" s="46"/>
      <c r="R54" s="46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5"/>
  <sheetViews>
    <sheetView workbookViewId="0">
      <selection activeCell="H11" sqref="H11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3" t="s">
        <v>151</v>
      </c>
      <c r="B1" s="63" t="s">
        <v>152</v>
      </c>
      <c r="C1" s="64" t="s">
        <v>153</v>
      </c>
      <c r="D1" s="70" t="s">
        <v>154</v>
      </c>
      <c r="E1" s="65" t="s">
        <v>155</v>
      </c>
      <c r="F1" s="63" t="s">
        <v>156</v>
      </c>
      <c r="G1" s="63" t="s">
        <v>157</v>
      </c>
      <c r="H1" s="63" t="s">
        <v>158</v>
      </c>
      <c r="I1" s="63" t="s">
        <v>159</v>
      </c>
      <c r="J1" s="63" t="s">
        <v>160</v>
      </c>
      <c r="K1" s="63" t="s">
        <v>161</v>
      </c>
      <c r="L1" s="63" t="s">
        <v>162</v>
      </c>
      <c r="M1" s="63" t="s">
        <v>163</v>
      </c>
      <c r="N1" s="63" t="s">
        <v>164</v>
      </c>
      <c r="O1" s="63" t="s">
        <v>165</v>
      </c>
      <c r="P1" s="63" t="s">
        <v>166</v>
      </c>
      <c r="Q1" s="63" t="s">
        <v>167</v>
      </c>
      <c r="R1" s="63" t="s">
        <v>168</v>
      </c>
    </row>
    <row r="2" spans="1:18" x14ac:dyDescent="0.15">
      <c r="A2" s="99">
        <f>floors!$C$2</f>
        <v>50008</v>
      </c>
      <c r="B2" s="100">
        <v>1</v>
      </c>
      <c r="C2" s="100" t="str">
        <f>A2&amp; "_"&amp;B2</f>
        <v>50008_1</v>
      </c>
      <c r="D2" s="100" t="s">
        <v>256</v>
      </c>
      <c r="E2" s="79">
        <v>1</v>
      </c>
      <c r="F2" s="79" t="s">
        <v>169</v>
      </c>
      <c r="G2" s="79">
        <v>65000</v>
      </c>
      <c r="H2" s="79" t="s">
        <v>406</v>
      </c>
      <c r="I2" s="79">
        <v>1</v>
      </c>
      <c r="J2" s="79">
        <v>1</v>
      </c>
      <c r="K2" s="79">
        <v>0</v>
      </c>
      <c r="L2" s="79">
        <v>0</v>
      </c>
      <c r="M2" s="79">
        <v>0</v>
      </c>
      <c r="N2" s="79">
        <v>0</v>
      </c>
      <c r="O2" s="79">
        <v>1</v>
      </c>
      <c r="P2" s="79">
        <v>50</v>
      </c>
      <c r="Q2" s="79" t="s">
        <v>170</v>
      </c>
      <c r="R2" s="79" t="s">
        <v>171</v>
      </c>
    </row>
    <row r="3" spans="1:18" x14ac:dyDescent="0.15">
      <c r="A3" s="99">
        <f>floors!$C$2</f>
        <v>50008</v>
      </c>
      <c r="B3" s="101">
        <v>1</v>
      </c>
      <c r="C3" s="100" t="str">
        <f t="shared" ref="C3:C12" si="0">A3&amp; "_"&amp;B3</f>
        <v>50008_1</v>
      </c>
      <c r="D3" s="101" t="s">
        <v>256</v>
      </c>
      <c r="E3" s="79">
        <v>2</v>
      </c>
      <c r="F3" s="79" t="s">
        <v>257</v>
      </c>
      <c r="G3" s="79">
        <v>339</v>
      </c>
      <c r="H3" s="79">
        <v>1</v>
      </c>
      <c r="I3" s="79">
        <v>1</v>
      </c>
      <c r="J3" s="79">
        <v>1</v>
      </c>
      <c r="K3" s="79">
        <v>0</v>
      </c>
      <c r="L3" s="79">
        <v>0</v>
      </c>
      <c r="M3" s="79">
        <v>0</v>
      </c>
      <c r="N3" s="79">
        <v>0</v>
      </c>
      <c r="O3" s="79">
        <v>1</v>
      </c>
      <c r="P3" s="79">
        <v>250</v>
      </c>
      <c r="Q3" s="79" t="s">
        <v>170</v>
      </c>
      <c r="R3" s="79" t="s">
        <v>171</v>
      </c>
    </row>
    <row r="4" spans="1:18" x14ac:dyDescent="0.15">
      <c r="A4" s="99">
        <f>floors!$C$2</f>
        <v>50008</v>
      </c>
      <c r="B4" s="101">
        <v>1</v>
      </c>
      <c r="C4" s="100" t="str">
        <f t="shared" si="0"/>
        <v>50008_1</v>
      </c>
      <c r="D4" s="101" t="s">
        <v>256</v>
      </c>
      <c r="E4" s="79">
        <v>3</v>
      </c>
      <c r="F4" s="79" t="s">
        <v>257</v>
      </c>
      <c r="G4" s="79">
        <v>351</v>
      </c>
      <c r="H4" s="79">
        <v>1</v>
      </c>
      <c r="I4" s="79">
        <v>1</v>
      </c>
      <c r="J4" s="79">
        <v>1</v>
      </c>
      <c r="K4" s="79">
        <v>0</v>
      </c>
      <c r="L4" s="79">
        <v>0</v>
      </c>
      <c r="M4" s="79">
        <v>0</v>
      </c>
      <c r="N4" s="79">
        <v>0</v>
      </c>
      <c r="O4" s="79">
        <v>1</v>
      </c>
      <c r="P4" s="79">
        <v>50</v>
      </c>
      <c r="Q4" s="79" t="s">
        <v>170</v>
      </c>
      <c r="R4" s="79" t="s">
        <v>171</v>
      </c>
    </row>
    <row r="5" spans="1:18" x14ac:dyDescent="0.15">
      <c r="A5" s="99">
        <f>floors!$C$2</f>
        <v>50008</v>
      </c>
      <c r="B5" s="101">
        <v>1</v>
      </c>
      <c r="C5" s="100" t="str">
        <f t="shared" si="0"/>
        <v>50008_1</v>
      </c>
      <c r="D5" s="101" t="s">
        <v>256</v>
      </c>
      <c r="E5" s="79">
        <v>4</v>
      </c>
      <c r="F5" s="79" t="s">
        <v>257</v>
      </c>
      <c r="G5" s="79">
        <v>125</v>
      </c>
      <c r="H5" s="79">
        <v>1</v>
      </c>
      <c r="I5" s="79">
        <v>1</v>
      </c>
      <c r="J5" s="79">
        <v>1</v>
      </c>
      <c r="K5" s="79">
        <v>0</v>
      </c>
      <c r="L5" s="79">
        <v>0</v>
      </c>
      <c r="M5" s="79">
        <v>0</v>
      </c>
      <c r="N5" s="79">
        <v>0</v>
      </c>
      <c r="O5" s="79">
        <v>1</v>
      </c>
      <c r="P5" s="79">
        <v>30</v>
      </c>
      <c r="Q5" s="79" t="s">
        <v>170</v>
      </c>
      <c r="R5" s="79" t="s">
        <v>171</v>
      </c>
    </row>
    <row r="6" spans="1:18" x14ac:dyDescent="0.15">
      <c r="A6" s="99">
        <f>floors!$C$2</f>
        <v>50008</v>
      </c>
      <c r="B6" s="101">
        <v>1</v>
      </c>
      <c r="C6" s="100" t="str">
        <f t="shared" si="0"/>
        <v>50008_1</v>
      </c>
      <c r="D6" s="101" t="s">
        <v>256</v>
      </c>
      <c r="E6" s="79">
        <v>5</v>
      </c>
      <c r="F6" s="79" t="s">
        <v>257</v>
      </c>
      <c r="G6" s="79">
        <v>607</v>
      </c>
      <c r="H6" s="79">
        <v>1</v>
      </c>
      <c r="I6" s="79">
        <v>1</v>
      </c>
      <c r="J6" s="79">
        <v>1</v>
      </c>
      <c r="K6" s="79">
        <v>0</v>
      </c>
      <c r="L6" s="79">
        <v>0</v>
      </c>
      <c r="M6" s="79">
        <v>0</v>
      </c>
      <c r="N6" s="79">
        <v>0</v>
      </c>
      <c r="O6" s="79">
        <v>1</v>
      </c>
      <c r="P6" s="79">
        <v>80</v>
      </c>
      <c r="Q6" s="79" t="s">
        <v>170</v>
      </c>
      <c r="R6" s="79" t="s">
        <v>171</v>
      </c>
    </row>
    <row r="7" spans="1:18" x14ac:dyDescent="0.15">
      <c r="A7" s="99">
        <f>floors!$C$2</f>
        <v>50008</v>
      </c>
      <c r="B7" s="101">
        <v>1</v>
      </c>
      <c r="C7" s="100" t="str">
        <f t="shared" si="0"/>
        <v>50008_1</v>
      </c>
      <c r="D7" s="101" t="s">
        <v>256</v>
      </c>
      <c r="E7" s="79">
        <v>6</v>
      </c>
      <c r="F7" s="79" t="s">
        <v>257</v>
      </c>
      <c r="G7" s="79">
        <v>608</v>
      </c>
      <c r="H7" s="79">
        <v>1</v>
      </c>
      <c r="I7" s="79">
        <v>1</v>
      </c>
      <c r="J7" s="79">
        <v>1</v>
      </c>
      <c r="K7" s="79">
        <v>0</v>
      </c>
      <c r="L7" s="79">
        <v>0</v>
      </c>
      <c r="M7" s="79">
        <v>0</v>
      </c>
      <c r="N7" s="79">
        <v>0</v>
      </c>
      <c r="O7" s="79">
        <v>1</v>
      </c>
      <c r="P7" s="79">
        <v>80</v>
      </c>
      <c r="Q7" s="79" t="s">
        <v>170</v>
      </c>
      <c r="R7" s="79" t="s">
        <v>171</v>
      </c>
    </row>
    <row r="8" spans="1:18" x14ac:dyDescent="0.15">
      <c r="A8" s="99">
        <f>floors!$C$2</f>
        <v>50008</v>
      </c>
      <c r="B8" s="101">
        <v>1</v>
      </c>
      <c r="C8" s="100" t="str">
        <f t="shared" si="0"/>
        <v>50008_1</v>
      </c>
      <c r="D8" s="101" t="s">
        <v>256</v>
      </c>
      <c r="E8" s="79">
        <v>7</v>
      </c>
      <c r="F8" s="79" t="s">
        <v>257</v>
      </c>
      <c r="G8" s="79">
        <v>609</v>
      </c>
      <c r="H8" s="79">
        <v>1</v>
      </c>
      <c r="I8" s="79">
        <v>1</v>
      </c>
      <c r="J8" s="79">
        <v>1</v>
      </c>
      <c r="K8" s="79">
        <v>0</v>
      </c>
      <c r="L8" s="79">
        <v>0</v>
      </c>
      <c r="M8" s="79">
        <v>0</v>
      </c>
      <c r="N8" s="79">
        <v>0</v>
      </c>
      <c r="O8" s="79">
        <v>1</v>
      </c>
      <c r="P8" s="79">
        <v>80</v>
      </c>
      <c r="Q8" s="79" t="s">
        <v>170</v>
      </c>
      <c r="R8" s="79" t="s">
        <v>171</v>
      </c>
    </row>
    <row r="9" spans="1:18" x14ac:dyDescent="0.15">
      <c r="A9" s="99">
        <f>floors!$C$2</f>
        <v>50008</v>
      </c>
      <c r="B9" s="101">
        <v>1</v>
      </c>
      <c r="C9" s="100" t="str">
        <f t="shared" si="0"/>
        <v>50008_1</v>
      </c>
      <c r="D9" s="101" t="s">
        <v>256</v>
      </c>
      <c r="E9" s="79">
        <v>8</v>
      </c>
      <c r="F9" s="79" t="s">
        <v>257</v>
      </c>
      <c r="G9" s="79">
        <v>610</v>
      </c>
      <c r="H9" s="79">
        <v>1</v>
      </c>
      <c r="I9" s="79">
        <v>1</v>
      </c>
      <c r="J9" s="79">
        <v>1</v>
      </c>
      <c r="K9" s="79">
        <v>0</v>
      </c>
      <c r="L9" s="79">
        <v>0</v>
      </c>
      <c r="M9" s="79">
        <v>0</v>
      </c>
      <c r="N9" s="79">
        <v>0</v>
      </c>
      <c r="O9" s="79">
        <v>1</v>
      </c>
      <c r="P9" s="79">
        <v>20</v>
      </c>
      <c r="Q9" s="79" t="s">
        <v>170</v>
      </c>
      <c r="R9" s="79" t="s">
        <v>171</v>
      </c>
    </row>
    <row r="10" spans="1:18" x14ac:dyDescent="0.15">
      <c r="A10" s="99">
        <f>floors!$C$2</f>
        <v>50008</v>
      </c>
      <c r="B10" s="101">
        <v>1</v>
      </c>
      <c r="C10" s="100" t="str">
        <f t="shared" si="0"/>
        <v>50008_1</v>
      </c>
      <c r="D10" s="101" t="s">
        <v>256</v>
      </c>
      <c r="E10" s="79">
        <v>9</v>
      </c>
      <c r="F10" s="79" t="s">
        <v>257</v>
      </c>
      <c r="G10" s="79">
        <v>611</v>
      </c>
      <c r="H10" s="79">
        <v>1</v>
      </c>
      <c r="I10" s="79">
        <v>1</v>
      </c>
      <c r="J10" s="79">
        <v>1</v>
      </c>
      <c r="K10" s="79">
        <v>0</v>
      </c>
      <c r="L10" s="79">
        <v>0</v>
      </c>
      <c r="M10" s="79">
        <v>0</v>
      </c>
      <c r="N10" s="79">
        <v>0</v>
      </c>
      <c r="O10" s="79">
        <v>1</v>
      </c>
      <c r="P10" s="79">
        <v>30</v>
      </c>
      <c r="Q10" s="79" t="s">
        <v>170</v>
      </c>
      <c r="R10" s="79" t="s">
        <v>171</v>
      </c>
    </row>
    <row r="11" spans="1:18" x14ac:dyDescent="0.15">
      <c r="A11" s="99">
        <f>floors!$C$2</f>
        <v>50008</v>
      </c>
      <c r="B11" s="101">
        <v>1</v>
      </c>
      <c r="C11" s="100" t="str">
        <f t="shared" si="0"/>
        <v>50008_1</v>
      </c>
      <c r="D11" s="101" t="s">
        <v>256</v>
      </c>
      <c r="E11" s="79">
        <v>10</v>
      </c>
      <c r="F11" s="79" t="s">
        <v>257</v>
      </c>
      <c r="G11" s="79">
        <v>612</v>
      </c>
      <c r="H11" s="79">
        <v>1</v>
      </c>
      <c r="I11" s="79">
        <v>1</v>
      </c>
      <c r="J11" s="79">
        <v>1</v>
      </c>
      <c r="K11" s="79">
        <v>0</v>
      </c>
      <c r="L11" s="79">
        <v>0</v>
      </c>
      <c r="M11" s="79">
        <v>0</v>
      </c>
      <c r="N11" s="79">
        <v>0</v>
      </c>
      <c r="O11" s="79">
        <v>1</v>
      </c>
      <c r="P11" s="79">
        <v>30</v>
      </c>
      <c r="Q11" s="79" t="s">
        <v>170</v>
      </c>
      <c r="R11" s="79" t="s">
        <v>171</v>
      </c>
    </row>
    <row r="12" spans="1:18" x14ac:dyDescent="0.15">
      <c r="A12" s="99">
        <f>floors!$C$2</f>
        <v>50008</v>
      </c>
      <c r="B12" s="101">
        <v>1</v>
      </c>
      <c r="C12" s="100" t="str">
        <f t="shared" si="0"/>
        <v>50008_1</v>
      </c>
      <c r="D12" s="101" t="s">
        <v>256</v>
      </c>
      <c r="E12" s="79">
        <v>11</v>
      </c>
      <c r="F12" s="79" t="s">
        <v>257</v>
      </c>
      <c r="G12" s="79">
        <v>613</v>
      </c>
      <c r="H12" s="79">
        <v>1</v>
      </c>
      <c r="I12" s="79">
        <v>1</v>
      </c>
      <c r="J12" s="79">
        <v>1</v>
      </c>
      <c r="K12" s="79">
        <v>0</v>
      </c>
      <c r="L12" s="79">
        <v>0</v>
      </c>
      <c r="M12" s="79">
        <v>0</v>
      </c>
      <c r="N12" s="79">
        <v>0</v>
      </c>
      <c r="O12" s="79">
        <v>1</v>
      </c>
      <c r="P12" s="79">
        <v>30</v>
      </c>
      <c r="Q12" s="79" t="s">
        <v>170</v>
      </c>
      <c r="R12" s="79" t="s">
        <v>171</v>
      </c>
    </row>
    <row r="13" spans="1:18" x14ac:dyDescent="0.15">
      <c r="A13" s="99">
        <f>floors!$C$2</f>
        <v>50008</v>
      </c>
      <c r="B13" s="101">
        <v>1</v>
      </c>
      <c r="C13" s="100" t="str">
        <f t="shared" ref="C13:C15" si="1">A13&amp; "_"&amp;B13</f>
        <v>50008_1</v>
      </c>
      <c r="D13" s="101" t="s">
        <v>256</v>
      </c>
      <c r="E13" s="79">
        <v>12</v>
      </c>
      <c r="F13" s="79" t="s">
        <v>257</v>
      </c>
      <c r="G13" s="79">
        <v>614</v>
      </c>
      <c r="H13" s="79">
        <v>1</v>
      </c>
      <c r="I13" s="79">
        <v>1</v>
      </c>
      <c r="J13" s="79">
        <v>1</v>
      </c>
      <c r="K13" s="79">
        <v>0</v>
      </c>
      <c r="L13" s="79">
        <v>0</v>
      </c>
      <c r="M13" s="79">
        <v>0</v>
      </c>
      <c r="N13" s="79">
        <v>0</v>
      </c>
      <c r="O13" s="79">
        <v>1</v>
      </c>
      <c r="P13" s="79">
        <v>10</v>
      </c>
      <c r="Q13" s="79" t="s">
        <v>170</v>
      </c>
      <c r="R13" s="79" t="s">
        <v>171</v>
      </c>
    </row>
    <row r="14" spans="1:18" x14ac:dyDescent="0.15">
      <c r="A14" s="99">
        <f>floors!$C$2</f>
        <v>50008</v>
      </c>
      <c r="B14" s="101">
        <v>1</v>
      </c>
      <c r="C14" s="100" t="str">
        <f t="shared" si="1"/>
        <v>50008_1</v>
      </c>
      <c r="D14" s="101" t="s">
        <v>256</v>
      </c>
      <c r="E14" s="79">
        <v>13</v>
      </c>
      <c r="F14" s="79" t="s">
        <v>257</v>
      </c>
      <c r="G14" s="79">
        <v>837</v>
      </c>
      <c r="H14" s="79">
        <v>1</v>
      </c>
      <c r="I14" s="79">
        <v>1</v>
      </c>
      <c r="J14" s="79">
        <v>1</v>
      </c>
      <c r="K14" s="79">
        <v>0</v>
      </c>
      <c r="L14" s="79">
        <v>0</v>
      </c>
      <c r="M14" s="79">
        <v>0</v>
      </c>
      <c r="N14" s="79">
        <v>0</v>
      </c>
      <c r="O14" s="79">
        <v>1</v>
      </c>
      <c r="P14" s="79">
        <v>10</v>
      </c>
      <c r="Q14" s="79" t="s">
        <v>170</v>
      </c>
      <c r="R14" s="79" t="s">
        <v>171</v>
      </c>
    </row>
    <row r="15" spans="1:18" x14ac:dyDescent="0.15">
      <c r="A15" s="99">
        <f>floors!$C$2</f>
        <v>50008</v>
      </c>
      <c r="B15" s="101">
        <v>1</v>
      </c>
      <c r="C15" s="100" t="str">
        <f t="shared" si="1"/>
        <v>50008_1</v>
      </c>
      <c r="D15" s="101" t="s">
        <v>256</v>
      </c>
      <c r="E15" s="79">
        <v>14</v>
      </c>
      <c r="F15" s="79" t="s">
        <v>257</v>
      </c>
      <c r="G15" s="79">
        <v>1135</v>
      </c>
      <c r="H15" s="79">
        <v>1</v>
      </c>
      <c r="I15" s="79">
        <v>1</v>
      </c>
      <c r="J15" s="79">
        <v>1</v>
      </c>
      <c r="K15" s="79">
        <v>0</v>
      </c>
      <c r="L15" s="79">
        <v>0</v>
      </c>
      <c r="M15" s="79">
        <v>0</v>
      </c>
      <c r="N15" s="79">
        <v>0</v>
      </c>
      <c r="O15" s="79">
        <v>1</v>
      </c>
      <c r="P15" s="79">
        <v>250</v>
      </c>
      <c r="Q15" s="79" t="s">
        <v>170</v>
      </c>
      <c r="R15" s="79" t="s">
        <v>171</v>
      </c>
    </row>
  </sheetData>
  <phoneticPr fontId="5"/>
  <dataValidations disablePrompts="1" count="1">
    <dataValidation type="list" allowBlank="1" showInputMessage="1" showErrorMessage="1" sqref="F2:F15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34"/>
  <sheetViews>
    <sheetView showGridLines="0" workbookViewId="0">
      <pane ySplit="1" topLeftCell="A2" activePane="bottomLeft" state="frozen"/>
      <selection pane="bottomLeft" activeCell="J43" sqref="J43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4" t="s">
        <v>189</v>
      </c>
      <c r="B1" s="71" t="s">
        <v>190</v>
      </c>
      <c r="C1" s="75" t="s">
        <v>191</v>
      </c>
      <c r="D1" s="75" t="s">
        <v>33</v>
      </c>
      <c r="E1" s="71" t="s">
        <v>192</v>
      </c>
      <c r="F1" s="75" t="s">
        <v>193</v>
      </c>
      <c r="G1" s="75" t="s">
        <v>33</v>
      </c>
      <c r="H1" s="71" t="s">
        <v>194</v>
      </c>
      <c r="I1" s="89" t="s">
        <v>196</v>
      </c>
      <c r="J1" s="77" t="s">
        <v>127</v>
      </c>
      <c r="K1" s="76" t="s">
        <v>187</v>
      </c>
      <c r="L1" s="90" t="s">
        <v>186</v>
      </c>
      <c r="M1" s="78" t="s">
        <v>197</v>
      </c>
    </row>
    <row r="2" spans="1:13" x14ac:dyDescent="0.15">
      <c r="A2"/>
    </row>
    <row r="3" spans="1:13" x14ac:dyDescent="0.15">
      <c r="A3"/>
    </row>
    <row r="4" spans="1:13" x14ac:dyDescent="0.15">
      <c r="A4"/>
    </row>
    <row r="5" spans="1:13" x14ac:dyDescent="0.15">
      <c r="A5"/>
    </row>
    <row r="6" spans="1:13" x14ac:dyDescent="0.15">
      <c r="A6"/>
    </row>
    <row r="7" spans="1:13" x14ac:dyDescent="0.15">
      <c r="A7"/>
    </row>
    <row r="8" spans="1:13" x14ac:dyDescent="0.15">
      <c r="A8"/>
    </row>
    <row r="9" spans="1:13" x14ac:dyDescent="0.15">
      <c r="A9"/>
    </row>
    <row r="10" spans="1:13" x14ac:dyDescent="0.15">
      <c r="A10"/>
    </row>
    <row r="11" spans="1:13" x14ac:dyDescent="0.15">
      <c r="A11"/>
    </row>
    <row r="12" spans="1:13" x14ac:dyDescent="0.15">
      <c r="A12"/>
    </row>
    <row r="13" spans="1:13" x14ac:dyDescent="0.15">
      <c r="A13"/>
    </row>
    <row r="14" spans="1:13" x14ac:dyDescent="0.15">
      <c r="A14"/>
    </row>
    <row r="15" spans="1:13" x14ac:dyDescent="0.15">
      <c r="A15"/>
    </row>
    <row r="16" spans="1:13" x14ac:dyDescent="0.15">
      <c r="A16"/>
    </row>
    <row r="17" spans="1:1" x14ac:dyDescent="0.15">
      <c r="A17"/>
    </row>
    <row r="18" spans="1:1" x14ac:dyDescent="0.15">
      <c r="A18"/>
    </row>
    <row r="19" spans="1:1" x14ac:dyDescent="0.15">
      <c r="A19"/>
    </row>
    <row r="20" spans="1:1" x14ac:dyDescent="0.15">
      <c r="A20"/>
    </row>
    <row r="21" spans="1:1" x14ac:dyDescent="0.15">
      <c r="A21"/>
    </row>
    <row r="22" spans="1:1" x14ac:dyDescent="0.15">
      <c r="A22"/>
    </row>
    <row r="23" spans="1:1" x14ac:dyDescent="0.15">
      <c r="A23"/>
    </row>
    <row r="24" spans="1:1" x14ac:dyDescent="0.15">
      <c r="A24"/>
    </row>
    <row r="25" spans="1:1" x14ac:dyDescent="0.15">
      <c r="A25"/>
    </row>
    <row r="26" spans="1:1" x14ac:dyDescent="0.15">
      <c r="A26"/>
    </row>
    <row r="27" spans="1:1" x14ac:dyDescent="0.15">
      <c r="A27"/>
    </row>
    <row r="28" spans="1:1" x14ac:dyDescent="0.15">
      <c r="A28"/>
    </row>
    <row r="29" spans="1:1" x14ac:dyDescent="0.15">
      <c r="A29"/>
    </row>
    <row r="30" spans="1:1" x14ac:dyDescent="0.15">
      <c r="A30"/>
    </row>
    <row r="31" spans="1:1" x14ac:dyDescent="0.15">
      <c r="A31"/>
    </row>
    <row r="32" spans="1:1" x14ac:dyDescent="0.15">
      <c r="A32"/>
    </row>
    <row r="33" spans="1:1" x14ac:dyDescent="0.15">
      <c r="A33"/>
    </row>
    <row r="34" spans="1:1" x14ac:dyDescent="0.15">
      <c r="A34"/>
    </row>
    <row r="35" spans="1:1" x14ac:dyDescent="0.15">
      <c r="A35"/>
    </row>
    <row r="36" spans="1:1" x14ac:dyDescent="0.15">
      <c r="A36"/>
    </row>
    <row r="37" spans="1:1" x14ac:dyDescent="0.15">
      <c r="A37"/>
    </row>
    <row r="38" spans="1:1" x14ac:dyDescent="0.15">
      <c r="A38"/>
    </row>
    <row r="39" spans="1:1" x14ac:dyDescent="0.15">
      <c r="A39"/>
    </row>
    <row r="40" spans="1:1" x14ac:dyDescent="0.15">
      <c r="A40"/>
    </row>
    <row r="41" spans="1:1" x14ac:dyDescent="0.15">
      <c r="A41"/>
    </row>
    <row r="42" spans="1:1" x14ac:dyDescent="0.15">
      <c r="A42"/>
    </row>
    <row r="43" spans="1:1" x14ac:dyDescent="0.15">
      <c r="A43"/>
    </row>
    <row r="44" spans="1:1" x14ac:dyDescent="0.15">
      <c r="A44"/>
    </row>
    <row r="45" spans="1:1" x14ac:dyDescent="0.15">
      <c r="A45"/>
    </row>
    <row r="46" spans="1:1" x14ac:dyDescent="0.15">
      <c r="A46"/>
    </row>
    <row r="47" spans="1:1" x14ac:dyDescent="0.15">
      <c r="A47"/>
    </row>
    <row r="48" spans="1:1" x14ac:dyDescent="0.15">
      <c r="A48"/>
    </row>
    <row r="49" spans="1:1" x14ac:dyDescent="0.15">
      <c r="A49"/>
    </row>
    <row r="50" spans="1:1" x14ac:dyDescent="0.15">
      <c r="A50"/>
    </row>
    <row r="51" spans="1:1" x14ac:dyDescent="0.15">
      <c r="A51"/>
    </row>
    <row r="52" spans="1:1" x14ac:dyDescent="0.15">
      <c r="A52"/>
    </row>
    <row r="53" spans="1:1" x14ac:dyDescent="0.15">
      <c r="A53"/>
    </row>
    <row r="54" spans="1:1" x14ac:dyDescent="0.15">
      <c r="A54"/>
    </row>
    <row r="55" spans="1:1" x14ac:dyDescent="0.15">
      <c r="A55"/>
    </row>
    <row r="56" spans="1:1" x14ac:dyDescent="0.15">
      <c r="A56"/>
    </row>
    <row r="57" spans="1:1" x14ac:dyDescent="0.15">
      <c r="A57"/>
    </row>
    <row r="58" spans="1:1" x14ac:dyDescent="0.15">
      <c r="A58"/>
    </row>
    <row r="59" spans="1:1" x14ac:dyDescent="0.15">
      <c r="A59"/>
    </row>
    <row r="60" spans="1:1" x14ac:dyDescent="0.15">
      <c r="A60"/>
    </row>
    <row r="61" spans="1:1" x14ac:dyDescent="0.15">
      <c r="A61"/>
    </row>
    <row r="62" spans="1:1" x14ac:dyDescent="0.15">
      <c r="A62"/>
    </row>
    <row r="63" spans="1:1" x14ac:dyDescent="0.15">
      <c r="A63"/>
    </row>
    <row r="64" spans="1:1" x14ac:dyDescent="0.15">
      <c r="A64"/>
    </row>
    <row r="65" spans="1:1" x14ac:dyDescent="0.15">
      <c r="A65"/>
    </row>
    <row r="66" spans="1:1" x14ac:dyDescent="0.15">
      <c r="A66"/>
    </row>
    <row r="67" spans="1:1" x14ac:dyDescent="0.15">
      <c r="A67"/>
    </row>
    <row r="68" spans="1:1" x14ac:dyDescent="0.15">
      <c r="A68"/>
    </row>
    <row r="69" spans="1:1" x14ac:dyDescent="0.15">
      <c r="A69"/>
    </row>
    <row r="70" spans="1:1" x14ac:dyDescent="0.15">
      <c r="A70"/>
    </row>
    <row r="71" spans="1:1" x14ac:dyDescent="0.15">
      <c r="A71"/>
    </row>
    <row r="72" spans="1:1" x14ac:dyDescent="0.15">
      <c r="A72"/>
    </row>
    <row r="73" spans="1:1" x14ac:dyDescent="0.15">
      <c r="A73"/>
    </row>
    <row r="74" spans="1:1" x14ac:dyDescent="0.15">
      <c r="A74"/>
    </row>
    <row r="75" spans="1:1" x14ac:dyDescent="0.15">
      <c r="A75"/>
    </row>
    <row r="76" spans="1:1" x14ac:dyDescent="0.15">
      <c r="A76"/>
    </row>
    <row r="77" spans="1:1" x14ac:dyDescent="0.15">
      <c r="A77"/>
    </row>
    <row r="78" spans="1:1" x14ac:dyDescent="0.15">
      <c r="A78"/>
    </row>
    <row r="79" spans="1:1" x14ac:dyDescent="0.15">
      <c r="A79"/>
    </row>
    <row r="80" spans="1:1" x14ac:dyDescent="0.15">
      <c r="A80"/>
    </row>
    <row r="81" spans="1:1" x14ac:dyDescent="0.15">
      <c r="A81"/>
    </row>
    <row r="82" spans="1:1" x14ac:dyDescent="0.15">
      <c r="A82"/>
    </row>
    <row r="83" spans="1:1" x14ac:dyDescent="0.15">
      <c r="A83"/>
    </row>
    <row r="84" spans="1:1" x14ac:dyDescent="0.15">
      <c r="A84"/>
    </row>
    <row r="85" spans="1:1" x14ac:dyDescent="0.15">
      <c r="A85"/>
    </row>
    <row r="86" spans="1:1" x14ac:dyDescent="0.15">
      <c r="A86"/>
    </row>
    <row r="87" spans="1:1" x14ac:dyDescent="0.15">
      <c r="A87"/>
    </row>
    <row r="88" spans="1:1" x14ac:dyDescent="0.15">
      <c r="A88"/>
    </row>
    <row r="89" spans="1:1" x14ac:dyDescent="0.15">
      <c r="A89"/>
    </row>
    <row r="90" spans="1:1" x14ac:dyDescent="0.15">
      <c r="A90"/>
    </row>
    <row r="91" spans="1:1" x14ac:dyDescent="0.15">
      <c r="A91"/>
    </row>
    <row r="92" spans="1:1" x14ac:dyDescent="0.15">
      <c r="A92"/>
    </row>
    <row r="93" spans="1:1" x14ac:dyDescent="0.15">
      <c r="A93"/>
    </row>
    <row r="94" spans="1:1" x14ac:dyDescent="0.15">
      <c r="A94"/>
    </row>
    <row r="95" spans="1:1" x14ac:dyDescent="0.15">
      <c r="A95"/>
    </row>
    <row r="96" spans="1:1" x14ac:dyDescent="0.15">
      <c r="A96"/>
    </row>
    <row r="97" spans="1:1" x14ac:dyDescent="0.15">
      <c r="A97"/>
    </row>
    <row r="98" spans="1:1" x14ac:dyDescent="0.15">
      <c r="A98"/>
    </row>
    <row r="99" spans="1:1" x14ac:dyDescent="0.15">
      <c r="A99"/>
    </row>
    <row r="100" spans="1:1" x14ac:dyDescent="0.15">
      <c r="A100"/>
    </row>
    <row r="101" spans="1:1" x14ac:dyDescent="0.15">
      <c r="A101"/>
    </row>
    <row r="102" spans="1:1" x14ac:dyDescent="0.15">
      <c r="A102"/>
    </row>
    <row r="103" spans="1:1" x14ac:dyDescent="0.15">
      <c r="A103"/>
    </row>
    <row r="104" spans="1:1" x14ac:dyDescent="0.15">
      <c r="A104"/>
    </row>
    <row r="105" spans="1:1" x14ac:dyDescent="0.15">
      <c r="A105"/>
    </row>
    <row r="106" spans="1:1" x14ac:dyDescent="0.15">
      <c r="A106"/>
    </row>
    <row r="107" spans="1:1" x14ac:dyDescent="0.15">
      <c r="A107"/>
    </row>
    <row r="108" spans="1:1" x14ac:dyDescent="0.15">
      <c r="A108"/>
    </row>
    <row r="109" spans="1:1" x14ac:dyDescent="0.15">
      <c r="A109"/>
    </row>
    <row r="110" spans="1:1" x14ac:dyDescent="0.15">
      <c r="A110"/>
    </row>
    <row r="111" spans="1:1" x14ac:dyDescent="0.15">
      <c r="A111"/>
    </row>
    <row r="112" spans="1:1" x14ac:dyDescent="0.15">
      <c r="A112"/>
    </row>
    <row r="113" spans="1:1" x14ac:dyDescent="0.15">
      <c r="A113"/>
    </row>
    <row r="114" spans="1:1" x14ac:dyDescent="0.15">
      <c r="A114"/>
    </row>
    <row r="115" spans="1:1" x14ac:dyDescent="0.15">
      <c r="A115"/>
    </row>
    <row r="116" spans="1:1" x14ac:dyDescent="0.15">
      <c r="A116"/>
    </row>
    <row r="117" spans="1:1" x14ac:dyDescent="0.15">
      <c r="A117"/>
    </row>
    <row r="118" spans="1:1" x14ac:dyDescent="0.15">
      <c r="A118"/>
    </row>
    <row r="119" spans="1:1" x14ac:dyDescent="0.15">
      <c r="A119"/>
    </row>
    <row r="120" spans="1:1" x14ac:dyDescent="0.15">
      <c r="A120"/>
    </row>
    <row r="121" spans="1:1" x14ac:dyDescent="0.15">
      <c r="A121"/>
    </row>
    <row r="122" spans="1:1" x14ac:dyDescent="0.15">
      <c r="A122"/>
    </row>
    <row r="123" spans="1:1" x14ac:dyDescent="0.15">
      <c r="A123"/>
    </row>
    <row r="124" spans="1:1" x14ac:dyDescent="0.15">
      <c r="A124"/>
    </row>
    <row r="125" spans="1:1" x14ac:dyDescent="0.15">
      <c r="A125"/>
    </row>
    <row r="126" spans="1:1" x14ac:dyDescent="0.15">
      <c r="A126"/>
    </row>
    <row r="127" spans="1:1" x14ac:dyDescent="0.15">
      <c r="A127"/>
    </row>
    <row r="128" spans="1:1" x14ac:dyDescent="0.15">
      <c r="A128"/>
    </row>
    <row r="129" spans="1:1" x14ac:dyDescent="0.15">
      <c r="A129"/>
    </row>
    <row r="130" spans="1:1" x14ac:dyDescent="0.15">
      <c r="A130"/>
    </row>
    <row r="131" spans="1:1" x14ac:dyDescent="0.15">
      <c r="A131"/>
    </row>
    <row r="132" spans="1:1" x14ac:dyDescent="0.15">
      <c r="A132"/>
    </row>
    <row r="133" spans="1:1" x14ac:dyDescent="0.15">
      <c r="A133"/>
    </row>
    <row r="134" spans="1:1" x14ac:dyDescent="0.15">
      <c r="A134"/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4"/>
  <sheetViews>
    <sheetView showGridLines="0" workbookViewId="0">
      <pane ySplit="1" topLeftCell="A2" activePane="bottomLeft" state="frozen"/>
      <selection pane="bottomLeft" activeCell="L9" sqref="L9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4" t="s">
        <v>189</v>
      </c>
      <c r="B1" s="71" t="s">
        <v>151</v>
      </c>
      <c r="C1" s="75" t="s">
        <v>191</v>
      </c>
      <c r="D1" s="75" t="s">
        <v>33</v>
      </c>
      <c r="E1" s="71" t="s">
        <v>192</v>
      </c>
      <c r="F1" s="75" t="s">
        <v>18</v>
      </c>
      <c r="G1" s="75" t="s">
        <v>33</v>
      </c>
      <c r="H1" s="71" t="s">
        <v>194</v>
      </c>
      <c r="I1" s="87" t="s">
        <v>195</v>
      </c>
      <c r="J1" s="89" t="s">
        <v>196</v>
      </c>
      <c r="K1" s="77" t="s">
        <v>127</v>
      </c>
      <c r="L1" s="76" t="s">
        <v>187</v>
      </c>
      <c r="M1" s="90" t="s">
        <v>186</v>
      </c>
      <c r="N1" s="78" t="s">
        <v>197</v>
      </c>
    </row>
    <row r="2" spans="1:14" ht="28" x14ac:dyDescent="0.15">
      <c r="A2" s="79" t="s">
        <v>327</v>
      </c>
      <c r="B2" s="80">
        <f>floors!$C$2</f>
        <v>50008</v>
      </c>
      <c r="C2" s="81" t="str">
        <f ca="1">VLOOKUP($B2,OFFSET([2]quests!$A$1,0,0,COUNTA([2]quests!$A:$A),MATCH(C$1,[2]quests!$1:$1,0)-MATCH($B$1,[2]quests!$1:$1,0)+1),MATCH(C$1,[2]quests!$1:$1,0)-MATCH($B$1,[2]quests!$1:$1,0)+1,FALSE)</f>
        <v>呂布襲来！</v>
      </c>
      <c r="D2" s="81" t="str">
        <f ca="1">VLOOKUP($B2,OFFSET([2]quests!$A$1,0,0,COUNTA([2]quests!$A:$A),MATCH(D$1,[2]quests!$1:$1,0)-MATCH($B$1,[2]quests!$1:$1,0)+1),MATCH(D$1,[2]quests!$1:$1,0)-MATCH($B$1,[2]quests!$1:$1,0)+1,FALSE)</f>
        <v>超降臨8</v>
      </c>
      <c r="E2" s="82">
        <v>1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【超ウィザード級】呂布襲来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超降臨8</v>
      </c>
      <c r="H2" s="83">
        <v>1</v>
      </c>
      <c r="I2" s="88">
        <f t="shared" ref="I2:I14" si="0">ROW()-1</f>
        <v>1</v>
      </c>
      <c r="J2" s="84" t="str">
        <f t="shared" ref="J2:J14" si="1">B2&amp;TEXT(I2,"00")</f>
        <v>5000801</v>
      </c>
      <c r="K2" s="82" t="s">
        <v>198</v>
      </c>
      <c r="L2" s="85" t="s">
        <v>199</v>
      </c>
      <c r="M2" s="102" t="s">
        <v>333</v>
      </c>
      <c r="N2" s="56" t="s">
        <v>200</v>
      </c>
    </row>
    <row r="3" spans="1:14" ht="28" x14ac:dyDescent="0.15">
      <c r="A3" s="79" t="s">
        <v>327</v>
      </c>
      <c r="B3" s="80">
        <f>floors!$C$2</f>
        <v>50008</v>
      </c>
      <c r="C3" s="81" t="str">
        <f ca="1">VLOOKUP($B3,OFFSET([2]quests!$A$1,0,0,COUNTA([2]quests!$A:$A),MATCH(C$1,[2]quests!$1:$1,0)-MATCH($B$1,[2]quests!$1:$1,0)+1),MATCH(C$1,[2]quests!$1:$1,0)-MATCH($B$1,[2]quests!$1:$1,0)+1,FALSE)</f>
        <v>呂布襲来！</v>
      </c>
      <c r="D3" s="81" t="str">
        <f ca="1">VLOOKUP($B3,OFFSET([2]quests!$A$1,0,0,COUNTA([2]quests!$A:$A),MATCH(D$1,[2]quests!$1:$1,0)-MATCH($B$1,[2]quests!$1:$1,0)+1),MATCH(D$1,[2]quests!$1:$1,0)-MATCH($B$1,[2]quests!$1:$1,0)+1,FALSE)</f>
        <v>超降臨8</v>
      </c>
      <c r="E3" s="82">
        <v>1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【超ウィザード級】呂布襲来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超降臨8</v>
      </c>
      <c r="H3" s="83">
        <v>2</v>
      </c>
      <c r="I3" s="88">
        <f t="shared" si="0"/>
        <v>2</v>
      </c>
      <c r="J3" s="84" t="str">
        <f t="shared" si="1"/>
        <v>5000802</v>
      </c>
      <c r="K3" s="82" t="s">
        <v>198</v>
      </c>
      <c r="L3" s="85" t="s">
        <v>199</v>
      </c>
      <c r="M3" s="102" t="s">
        <v>332</v>
      </c>
      <c r="N3" s="56" t="s">
        <v>200</v>
      </c>
    </row>
    <row r="4" spans="1:14" ht="28" x14ac:dyDescent="0.15">
      <c r="A4" s="79" t="s">
        <v>327</v>
      </c>
      <c r="B4" s="80">
        <f>floors!$C$2</f>
        <v>50008</v>
      </c>
      <c r="C4" s="81" t="str">
        <f ca="1">VLOOKUP($B4,OFFSET([2]quests!$A$1,0,0,COUNTA([2]quests!$A:$A),MATCH(C$1,[2]quests!$1:$1,0)-MATCH($B$1,[2]quests!$1:$1,0)+1),MATCH(C$1,[2]quests!$1:$1,0)-MATCH($B$1,[2]quests!$1:$1,0)+1,FALSE)</f>
        <v>呂布襲来！</v>
      </c>
      <c r="D4" s="81" t="str">
        <f ca="1">VLOOKUP($B4,OFFSET([2]quests!$A$1,0,0,COUNTA([2]quests!$A:$A),MATCH(D$1,[2]quests!$1:$1,0)-MATCH($B$1,[2]quests!$1:$1,0)+1),MATCH(D$1,[2]quests!$1:$1,0)-MATCH($B$1,[2]quests!$1:$1,0)+1,FALSE)</f>
        <v>超降臨8</v>
      </c>
      <c r="E4" s="82">
        <v>1</v>
      </c>
      <c r="F4" s="81" t="str">
        <f ca="1">VLOOKUP($B4&amp;"_"&amp;$E4,OFFSET([2]stages!$A$1,0,0,COUNTA([2]stages!$A:$A),MATCH(F$1,[2]stages!$2:$2,0)-MATCH("temp_stage",[2]stages!$2:$2,0)+1),MATCH(F$1,[2]stages!$2:$2,0)-MATCH("temp_stage",[2]stages!$2:$2,0)+1,FALSE)</f>
        <v>【超ウィザード級】呂布襲来</v>
      </c>
      <c r="G4" s="81" t="str">
        <f ca="1">VLOOKUP($B4&amp;"_"&amp;$E4,OFFSET([2]stages!$A$1,0,0,COUNTA([2]stages!$A:$A),MATCH(G$1,[2]stages!$2:$2,0)-MATCH("temp_stage",[2]stages!$2:$2,0)+1),MATCH(G$1,[2]stages!$2:$2,0)-MATCH("temp_stage",[2]stages!$2:$2,0)+1,FALSE)</f>
        <v>超降臨8</v>
      </c>
      <c r="H4" s="83">
        <v>3</v>
      </c>
      <c r="I4" s="88">
        <f t="shared" si="0"/>
        <v>3</v>
      </c>
      <c r="J4" s="84" t="str">
        <f t="shared" si="1"/>
        <v>5000803</v>
      </c>
      <c r="K4" s="82" t="s">
        <v>198</v>
      </c>
      <c r="L4" s="85" t="s">
        <v>199</v>
      </c>
      <c r="M4" s="102" t="s">
        <v>331</v>
      </c>
      <c r="N4" s="56" t="s">
        <v>200</v>
      </c>
    </row>
    <row r="5" spans="1:14" ht="28" x14ac:dyDescent="0.15">
      <c r="A5" s="79" t="s">
        <v>327</v>
      </c>
      <c r="B5" s="80">
        <f>floors!$C$2</f>
        <v>50008</v>
      </c>
      <c r="C5" s="81" t="str">
        <f ca="1">VLOOKUP($B5,OFFSET([2]quests!$A$1,0,0,COUNTA([2]quests!$A:$A),MATCH(C$1,[2]quests!$1:$1,0)-MATCH($B$1,[2]quests!$1:$1,0)+1),MATCH(C$1,[2]quests!$1:$1,0)-MATCH($B$1,[2]quests!$1:$1,0)+1,FALSE)</f>
        <v>呂布襲来！</v>
      </c>
      <c r="D5" s="81" t="str">
        <f ca="1">VLOOKUP($B5,OFFSET([2]quests!$A$1,0,0,COUNTA([2]quests!$A:$A),MATCH(D$1,[2]quests!$1:$1,0)-MATCH($B$1,[2]quests!$1:$1,0)+1),MATCH(D$1,[2]quests!$1:$1,0)-MATCH($B$1,[2]quests!$1:$1,0)+1,FALSE)</f>
        <v>超降臨8</v>
      </c>
      <c r="E5" s="82">
        <v>1</v>
      </c>
      <c r="F5" s="81" t="str">
        <f ca="1">VLOOKUP($B5&amp;"_"&amp;$E5,OFFSET([2]stages!$A$1,0,0,COUNTA([2]stages!$A:$A),MATCH(F$1,[2]stages!$2:$2,0)-MATCH("temp_stage",[2]stages!$2:$2,0)+1),MATCH(F$1,[2]stages!$2:$2,0)-MATCH("temp_stage",[2]stages!$2:$2,0)+1,FALSE)</f>
        <v>【超ウィザード級】呂布襲来</v>
      </c>
      <c r="G5" s="81" t="str">
        <f ca="1">VLOOKUP($B5&amp;"_"&amp;$E5,OFFSET([2]stages!$A$1,0,0,COUNTA([2]stages!$A:$A),MATCH(G$1,[2]stages!$2:$2,0)-MATCH("temp_stage",[2]stages!$2:$2,0)+1),MATCH(G$1,[2]stages!$2:$2,0)-MATCH("temp_stage",[2]stages!$2:$2,0)+1,FALSE)</f>
        <v>超降臨8</v>
      </c>
      <c r="H5" s="83">
        <v>3</v>
      </c>
      <c r="I5" s="88">
        <f t="shared" si="0"/>
        <v>4</v>
      </c>
      <c r="J5" s="84" t="str">
        <f t="shared" si="1"/>
        <v>5000804</v>
      </c>
      <c r="K5" s="82" t="s">
        <v>198</v>
      </c>
      <c r="L5" s="85" t="s">
        <v>199</v>
      </c>
      <c r="M5" s="102" t="s">
        <v>330</v>
      </c>
      <c r="N5" s="56" t="s">
        <v>200</v>
      </c>
    </row>
    <row r="6" spans="1:14" ht="42" x14ac:dyDescent="0.15">
      <c r="A6" s="79" t="s">
        <v>327</v>
      </c>
      <c r="B6" s="80">
        <f>floors!$C$2</f>
        <v>50008</v>
      </c>
      <c r="C6" s="81" t="str">
        <f ca="1">VLOOKUP($B6,OFFSET([2]quests!$A$1,0,0,COUNTA([2]quests!$A:$A),MATCH(C$1,[2]quests!$1:$1,0)-MATCH($B$1,[2]quests!$1:$1,0)+1),MATCH(C$1,[2]quests!$1:$1,0)-MATCH($B$1,[2]quests!$1:$1,0)+1,FALSE)</f>
        <v>呂布襲来！</v>
      </c>
      <c r="D6" s="81" t="str">
        <f ca="1">VLOOKUP($B6,OFFSET([2]quests!$A$1,0,0,COUNTA([2]quests!$A:$A),MATCH(D$1,[2]quests!$1:$1,0)-MATCH($B$1,[2]quests!$1:$1,0)+1),MATCH(D$1,[2]quests!$1:$1,0)-MATCH($B$1,[2]quests!$1:$1,0)+1,FALSE)</f>
        <v>超降臨8</v>
      </c>
      <c r="E6" s="82">
        <v>1</v>
      </c>
      <c r="F6" s="81" t="str">
        <f ca="1">VLOOKUP($B6&amp;"_"&amp;$E6,OFFSET([2]stages!$A$1,0,0,COUNTA([2]stages!$A:$A),MATCH(F$1,[2]stages!$2:$2,0)-MATCH("temp_stage",[2]stages!$2:$2,0)+1),MATCH(F$1,[2]stages!$2:$2,0)-MATCH("temp_stage",[2]stages!$2:$2,0)+1,FALSE)</f>
        <v>【超ウィザード級】呂布襲来</v>
      </c>
      <c r="G6" s="81" t="str">
        <f ca="1">VLOOKUP($B6&amp;"_"&amp;$E6,OFFSET([2]stages!$A$1,0,0,COUNTA([2]stages!$A:$A),MATCH(G$1,[2]stages!$2:$2,0)-MATCH("temp_stage",[2]stages!$2:$2,0)+1),MATCH(G$1,[2]stages!$2:$2,0)-MATCH("temp_stage",[2]stages!$2:$2,0)+1,FALSE)</f>
        <v>超降臨8</v>
      </c>
      <c r="H6" s="83">
        <v>3</v>
      </c>
      <c r="I6" s="88">
        <f t="shared" si="0"/>
        <v>5</v>
      </c>
      <c r="J6" s="84" t="str">
        <f t="shared" si="1"/>
        <v>5000805</v>
      </c>
      <c r="K6" s="82" t="s">
        <v>198</v>
      </c>
      <c r="L6" s="85" t="s">
        <v>199</v>
      </c>
      <c r="M6" s="102" t="s">
        <v>329</v>
      </c>
      <c r="N6" s="56" t="s">
        <v>200</v>
      </c>
    </row>
    <row r="7" spans="1:14" ht="42" x14ac:dyDescent="0.15">
      <c r="A7" s="79" t="s">
        <v>327</v>
      </c>
      <c r="B7" s="80">
        <f>floors!$C$2</f>
        <v>50008</v>
      </c>
      <c r="C7" s="81" t="str">
        <f ca="1">VLOOKUP($B7,OFFSET([2]quests!$A$1,0,0,COUNTA([2]quests!$A:$A),MATCH(C$1,[2]quests!$1:$1,0)-MATCH($B$1,[2]quests!$1:$1,0)+1),MATCH(C$1,[2]quests!$1:$1,0)-MATCH($B$1,[2]quests!$1:$1,0)+1,FALSE)</f>
        <v>呂布襲来！</v>
      </c>
      <c r="D7" s="81" t="str">
        <f ca="1">VLOOKUP($B7,OFFSET([2]quests!$A$1,0,0,COUNTA([2]quests!$A:$A),MATCH(D$1,[2]quests!$1:$1,0)-MATCH($B$1,[2]quests!$1:$1,0)+1),MATCH(D$1,[2]quests!$1:$1,0)-MATCH($B$1,[2]quests!$1:$1,0)+1,FALSE)</f>
        <v>超降臨8</v>
      </c>
      <c r="E7" s="82">
        <v>1</v>
      </c>
      <c r="F7" s="81" t="str">
        <f ca="1">VLOOKUP($B7&amp;"_"&amp;$E7,OFFSET([2]stages!$A$1,0,0,COUNTA([2]stages!$A:$A),MATCH(F$1,[2]stages!$2:$2,0)-MATCH("temp_stage",[2]stages!$2:$2,0)+1),MATCH(F$1,[2]stages!$2:$2,0)-MATCH("temp_stage",[2]stages!$2:$2,0)+1,FALSE)</f>
        <v>【超ウィザード級】呂布襲来</v>
      </c>
      <c r="G7" s="81" t="str">
        <f ca="1">VLOOKUP($B7&amp;"_"&amp;$E7,OFFSET([2]stages!$A$1,0,0,COUNTA([2]stages!$A:$A),MATCH(G$1,[2]stages!$2:$2,0)-MATCH("temp_stage",[2]stages!$2:$2,0)+1),MATCH(G$1,[2]stages!$2:$2,0)-MATCH("temp_stage",[2]stages!$2:$2,0)+1,FALSE)</f>
        <v>超降臨8</v>
      </c>
      <c r="H7" s="83">
        <v>4</v>
      </c>
      <c r="I7" s="88">
        <f t="shared" si="0"/>
        <v>6</v>
      </c>
      <c r="J7" s="84" t="str">
        <f t="shared" si="1"/>
        <v>5000806</v>
      </c>
      <c r="K7" s="82" t="s">
        <v>198</v>
      </c>
      <c r="L7" s="85" t="s">
        <v>199</v>
      </c>
      <c r="M7" s="102" t="s">
        <v>354</v>
      </c>
      <c r="N7" s="56" t="s">
        <v>200</v>
      </c>
    </row>
    <row r="8" spans="1:14" ht="28" x14ac:dyDescent="0.15">
      <c r="A8" s="79" t="s">
        <v>327</v>
      </c>
      <c r="B8" s="80">
        <f>floors!$C$2</f>
        <v>50008</v>
      </c>
      <c r="C8" s="81" t="str">
        <f ca="1">VLOOKUP($B8,OFFSET([2]quests!$A$1,0,0,COUNTA([2]quests!$A:$A),MATCH(C$1,[2]quests!$1:$1,0)-MATCH($B$1,[2]quests!$1:$1,0)+1),MATCH(C$1,[2]quests!$1:$1,0)-MATCH($B$1,[2]quests!$1:$1,0)+1,FALSE)</f>
        <v>呂布襲来！</v>
      </c>
      <c r="D8" s="81" t="str">
        <f ca="1">VLOOKUP($B8,OFFSET([2]quests!$A$1,0,0,COUNTA([2]quests!$A:$A),MATCH(D$1,[2]quests!$1:$1,0)-MATCH($B$1,[2]quests!$1:$1,0)+1),MATCH(D$1,[2]quests!$1:$1,0)-MATCH($B$1,[2]quests!$1:$1,0)+1,FALSE)</f>
        <v>超降臨8</v>
      </c>
      <c r="E8" s="82">
        <v>1</v>
      </c>
      <c r="F8" s="81" t="str">
        <f ca="1">VLOOKUP($B8&amp;"_"&amp;$E8,OFFSET([2]stages!$A$1,0,0,COUNTA([2]stages!$A:$A),MATCH(F$1,[2]stages!$2:$2,0)-MATCH("temp_stage",[2]stages!$2:$2,0)+1),MATCH(F$1,[2]stages!$2:$2,0)-MATCH("temp_stage",[2]stages!$2:$2,0)+1,FALSE)</f>
        <v>【超ウィザード級】呂布襲来</v>
      </c>
      <c r="G8" s="81" t="str">
        <f ca="1">VLOOKUP($B8&amp;"_"&amp;$E8,OFFSET([2]stages!$A$1,0,0,COUNTA([2]stages!$A:$A),MATCH(G$1,[2]stages!$2:$2,0)-MATCH("temp_stage",[2]stages!$2:$2,0)+1),MATCH(G$1,[2]stages!$2:$2,0)-MATCH("temp_stage",[2]stages!$2:$2,0)+1,FALSE)</f>
        <v>超降臨8</v>
      </c>
      <c r="H8" s="83">
        <v>4</v>
      </c>
      <c r="I8" s="88">
        <f t="shared" si="0"/>
        <v>7</v>
      </c>
      <c r="J8" s="84" t="str">
        <f t="shared" si="1"/>
        <v>5000807</v>
      </c>
      <c r="K8" s="82" t="s">
        <v>198</v>
      </c>
      <c r="L8" s="85" t="s">
        <v>199</v>
      </c>
      <c r="M8" s="102" t="s">
        <v>328</v>
      </c>
      <c r="N8" s="56" t="s">
        <v>200</v>
      </c>
    </row>
    <row r="9" spans="1:14" ht="42" x14ac:dyDescent="0.15">
      <c r="A9" s="79" t="s">
        <v>327</v>
      </c>
      <c r="B9" s="80">
        <f>floors!$C$2</f>
        <v>50008</v>
      </c>
      <c r="C9" s="81" t="str">
        <f ca="1">VLOOKUP($B9,OFFSET([2]quests!$A$1,0,0,COUNTA([2]quests!$A:$A),MATCH(C$1,[2]quests!$1:$1,0)-MATCH($B$1,[2]quests!$1:$1,0)+1),MATCH(C$1,[2]quests!$1:$1,0)-MATCH($B$1,[2]quests!$1:$1,0)+1,FALSE)</f>
        <v>呂布襲来！</v>
      </c>
      <c r="D9" s="81" t="str">
        <f ca="1">VLOOKUP($B9,OFFSET([2]quests!$A$1,0,0,COUNTA([2]quests!$A:$A),MATCH(D$1,[2]quests!$1:$1,0)-MATCH($B$1,[2]quests!$1:$1,0)+1),MATCH(D$1,[2]quests!$1:$1,0)-MATCH($B$1,[2]quests!$1:$1,0)+1,FALSE)</f>
        <v>超降臨8</v>
      </c>
      <c r="E9" s="82">
        <v>1</v>
      </c>
      <c r="F9" s="81" t="str">
        <f ca="1">VLOOKUP($B9&amp;"_"&amp;$E9,OFFSET([2]stages!$A$1,0,0,COUNTA([2]stages!$A:$A),MATCH(F$1,[2]stages!$2:$2,0)-MATCH("temp_stage",[2]stages!$2:$2,0)+1),MATCH(F$1,[2]stages!$2:$2,0)-MATCH("temp_stage",[2]stages!$2:$2,0)+1,FALSE)</f>
        <v>【超ウィザード級】呂布襲来</v>
      </c>
      <c r="G9" s="81" t="str">
        <f ca="1">VLOOKUP($B9&amp;"_"&amp;$E9,OFFSET([2]stages!$A$1,0,0,COUNTA([2]stages!$A:$A),MATCH(G$1,[2]stages!$2:$2,0)-MATCH("temp_stage",[2]stages!$2:$2,0)+1),MATCH(G$1,[2]stages!$2:$2,0)-MATCH("temp_stage",[2]stages!$2:$2,0)+1,FALSE)</f>
        <v>超降臨8</v>
      </c>
      <c r="H9" s="83">
        <v>4</v>
      </c>
      <c r="I9" s="88">
        <f t="shared" si="0"/>
        <v>8</v>
      </c>
      <c r="J9" s="84" t="str">
        <f t="shared" si="1"/>
        <v>5000808</v>
      </c>
      <c r="K9" s="82" t="s">
        <v>198</v>
      </c>
      <c r="L9" s="85" t="s">
        <v>199</v>
      </c>
      <c r="M9" s="102" t="s">
        <v>370</v>
      </c>
      <c r="N9" s="56" t="s">
        <v>200</v>
      </c>
    </row>
    <row r="10" spans="1:14" ht="28" x14ac:dyDescent="0.15">
      <c r="A10" s="79" t="s">
        <v>327</v>
      </c>
      <c r="B10" s="80">
        <f>floors!$C$2</f>
        <v>50008</v>
      </c>
      <c r="C10" s="81" t="str">
        <f ca="1">VLOOKUP($B10,OFFSET([2]quests!$A$1,0,0,COUNTA([2]quests!$A:$A),MATCH(C$1,[2]quests!$1:$1,0)-MATCH($B$1,[2]quests!$1:$1,0)+1),MATCH(C$1,[2]quests!$1:$1,0)-MATCH($B$1,[2]quests!$1:$1,0)+1,FALSE)</f>
        <v>呂布襲来！</v>
      </c>
      <c r="D10" s="81" t="str">
        <f ca="1">VLOOKUP($B10,OFFSET([2]quests!$A$1,0,0,COUNTA([2]quests!$A:$A),MATCH(D$1,[2]quests!$1:$1,0)-MATCH($B$1,[2]quests!$1:$1,0)+1),MATCH(D$1,[2]quests!$1:$1,0)-MATCH($B$1,[2]quests!$1:$1,0)+1,FALSE)</f>
        <v>超降臨8</v>
      </c>
      <c r="E10" s="82">
        <v>1</v>
      </c>
      <c r="F10" s="81" t="str">
        <f ca="1">VLOOKUP($B10&amp;"_"&amp;$E10,OFFSET([2]stages!$A$1,0,0,COUNTA([2]stages!$A:$A),MATCH(F$1,[2]stages!$2:$2,0)-MATCH("temp_stage",[2]stages!$2:$2,0)+1),MATCH(F$1,[2]stages!$2:$2,0)-MATCH("temp_stage",[2]stages!$2:$2,0)+1,FALSE)</f>
        <v>【超ウィザード級】呂布襲来</v>
      </c>
      <c r="G10" s="81" t="str">
        <f ca="1">VLOOKUP($B10&amp;"_"&amp;$E10,OFFSET([2]stages!$A$1,0,0,COUNTA([2]stages!$A:$A),MATCH(G$1,[2]stages!$2:$2,0)-MATCH("temp_stage",[2]stages!$2:$2,0)+1),MATCH(G$1,[2]stages!$2:$2,0)-MATCH("temp_stage",[2]stages!$2:$2,0)+1,FALSE)</f>
        <v>超降臨8</v>
      </c>
      <c r="H10" s="83">
        <v>4</v>
      </c>
      <c r="I10" s="88">
        <f t="shared" si="0"/>
        <v>9</v>
      </c>
      <c r="J10" s="84" t="str">
        <f t="shared" si="1"/>
        <v>5000809</v>
      </c>
      <c r="K10" s="82" t="s">
        <v>198</v>
      </c>
      <c r="L10" s="85" t="s">
        <v>199</v>
      </c>
      <c r="M10" s="102" t="s">
        <v>355</v>
      </c>
      <c r="N10" s="56" t="s">
        <v>200</v>
      </c>
    </row>
    <row r="11" spans="1:14" ht="28" x14ac:dyDescent="0.15">
      <c r="A11" s="79" t="s">
        <v>300</v>
      </c>
      <c r="B11" s="80">
        <f>floors!$C$2</f>
        <v>50008</v>
      </c>
      <c r="C11" s="81" t="str">
        <f ca="1">VLOOKUP($B11,OFFSET([2]quests!$A$1,0,0,COUNTA([2]quests!$A:$A),MATCH(C$1,[2]quests!$1:$1,0)-MATCH($B$1,[2]quests!$1:$1,0)+1),MATCH(C$1,[2]quests!$1:$1,0)-MATCH($B$1,[2]quests!$1:$1,0)+1,FALSE)</f>
        <v>呂布襲来！</v>
      </c>
      <c r="D11" s="81" t="str">
        <f ca="1">VLOOKUP($B11,OFFSET([2]quests!$A$1,0,0,COUNTA([2]quests!$A:$A),MATCH(D$1,[2]quests!$1:$1,0)-MATCH($B$1,[2]quests!$1:$1,0)+1),MATCH(D$1,[2]quests!$1:$1,0)-MATCH($B$1,[2]quests!$1:$1,0)+1,FALSE)</f>
        <v>超降臨8</v>
      </c>
      <c r="E11" s="82">
        <v>1</v>
      </c>
      <c r="F11" s="81" t="str">
        <f ca="1">VLOOKUP($B11&amp;"_"&amp;$E11,OFFSET([2]stages!$A$1,0,0,COUNTA([2]stages!$A:$A),MATCH(F$1,[2]stages!$2:$2,0)-MATCH("temp_stage",[2]stages!$2:$2,0)+1),MATCH(F$1,[2]stages!$2:$2,0)-MATCH("temp_stage",[2]stages!$2:$2,0)+1,FALSE)</f>
        <v>【超ウィザード級】呂布襲来</v>
      </c>
      <c r="G11" s="81" t="str">
        <f ca="1">VLOOKUP($B11&amp;"_"&amp;$E11,OFFSET([2]stages!$A$1,0,0,COUNTA([2]stages!$A:$A),MATCH(G$1,[2]stages!$2:$2,0)-MATCH("temp_stage",[2]stages!$2:$2,0)+1),MATCH(G$1,[2]stages!$2:$2,0)-MATCH("temp_stage",[2]stages!$2:$2,0)+1,FALSE)</f>
        <v>超降臨8</v>
      </c>
      <c r="H11" s="83">
        <v>0</v>
      </c>
      <c r="I11" s="88">
        <f t="shared" si="0"/>
        <v>10</v>
      </c>
      <c r="J11" s="84" t="str">
        <f t="shared" si="1"/>
        <v>5000810</v>
      </c>
      <c r="K11" s="82" t="s">
        <v>198</v>
      </c>
      <c r="L11" s="85" t="s">
        <v>341</v>
      </c>
      <c r="M11" s="102" t="s">
        <v>335</v>
      </c>
      <c r="N11" s="56" t="s">
        <v>200</v>
      </c>
    </row>
    <row r="12" spans="1:14" ht="42" x14ac:dyDescent="0.15">
      <c r="A12" s="79" t="s">
        <v>300</v>
      </c>
      <c r="B12" s="80">
        <f>floors!$C$2</f>
        <v>50008</v>
      </c>
      <c r="C12" s="81" t="str">
        <f ca="1">VLOOKUP($B12,OFFSET([2]quests!$A$1,0,0,COUNTA([2]quests!$A:$A),MATCH(C$1,[2]quests!$1:$1,0)-MATCH($B$1,[2]quests!$1:$1,0)+1),MATCH(C$1,[2]quests!$1:$1,0)-MATCH($B$1,[2]quests!$1:$1,0)+1,FALSE)</f>
        <v>呂布襲来！</v>
      </c>
      <c r="D12" s="81" t="str">
        <f ca="1">VLOOKUP($B12,OFFSET([2]quests!$A$1,0,0,COUNTA([2]quests!$A:$A),MATCH(D$1,[2]quests!$1:$1,0)-MATCH($B$1,[2]quests!$1:$1,0)+1),MATCH(D$1,[2]quests!$1:$1,0)-MATCH($B$1,[2]quests!$1:$1,0)+1,FALSE)</f>
        <v>超降臨8</v>
      </c>
      <c r="E12" s="82">
        <v>1</v>
      </c>
      <c r="F12" s="81" t="str">
        <f ca="1">VLOOKUP($B12&amp;"_"&amp;$E12,OFFSET([2]stages!$A$1,0,0,COUNTA([2]stages!$A:$A),MATCH(F$1,[2]stages!$2:$2,0)-MATCH("temp_stage",[2]stages!$2:$2,0)+1),MATCH(F$1,[2]stages!$2:$2,0)-MATCH("temp_stage",[2]stages!$2:$2,0)+1,FALSE)</f>
        <v>【超ウィザード級】呂布襲来</v>
      </c>
      <c r="G12" s="81" t="str">
        <f ca="1">VLOOKUP($B12&amp;"_"&amp;$E12,OFFSET([2]stages!$A$1,0,0,COUNTA([2]stages!$A:$A),MATCH(G$1,[2]stages!$2:$2,0)-MATCH("temp_stage",[2]stages!$2:$2,0)+1),MATCH(G$1,[2]stages!$2:$2,0)-MATCH("temp_stage",[2]stages!$2:$2,0)+1,FALSE)</f>
        <v>超降臨8</v>
      </c>
      <c r="H12" s="83">
        <v>0</v>
      </c>
      <c r="I12" s="88">
        <f t="shared" si="0"/>
        <v>11</v>
      </c>
      <c r="J12" s="84" t="str">
        <f t="shared" si="1"/>
        <v>5000811</v>
      </c>
      <c r="K12" s="82" t="s">
        <v>198</v>
      </c>
      <c r="L12" s="85" t="s">
        <v>342</v>
      </c>
      <c r="M12" s="102" t="s">
        <v>343</v>
      </c>
      <c r="N12" s="56" t="s">
        <v>200</v>
      </c>
    </row>
    <row r="13" spans="1:14" ht="28" x14ac:dyDescent="0.15">
      <c r="A13" s="79" t="s">
        <v>300</v>
      </c>
      <c r="B13" s="80">
        <f>floors!$C$2</f>
        <v>50008</v>
      </c>
      <c r="C13" s="81" t="str">
        <f ca="1">VLOOKUP($B13,OFFSET([2]quests!$A$1,0,0,COUNTA([2]quests!$A:$A),MATCH(C$1,[2]quests!$1:$1,0)-MATCH($B$1,[2]quests!$1:$1,0)+1),MATCH(C$1,[2]quests!$1:$1,0)-MATCH($B$1,[2]quests!$1:$1,0)+1,FALSE)</f>
        <v>呂布襲来！</v>
      </c>
      <c r="D13" s="81" t="str">
        <f ca="1">VLOOKUP($B13,OFFSET([2]quests!$A$1,0,0,COUNTA([2]quests!$A:$A),MATCH(D$1,[2]quests!$1:$1,0)-MATCH($B$1,[2]quests!$1:$1,0)+1),MATCH(D$1,[2]quests!$1:$1,0)-MATCH($B$1,[2]quests!$1:$1,0)+1,FALSE)</f>
        <v>超降臨8</v>
      </c>
      <c r="E13" s="82">
        <v>1</v>
      </c>
      <c r="F13" s="81" t="str">
        <f ca="1">VLOOKUP($B13&amp;"_"&amp;$E13,OFFSET([2]stages!$A$1,0,0,COUNTA([2]stages!$A:$A),MATCH(F$1,[2]stages!$2:$2,0)-MATCH("temp_stage",[2]stages!$2:$2,0)+1),MATCH(F$1,[2]stages!$2:$2,0)-MATCH("temp_stage",[2]stages!$2:$2,0)+1,FALSE)</f>
        <v>【超ウィザード級】呂布襲来</v>
      </c>
      <c r="G13" s="81" t="str">
        <f ca="1">VLOOKUP($B13&amp;"_"&amp;$E13,OFFSET([2]stages!$A$1,0,0,COUNTA([2]stages!$A:$A),MATCH(G$1,[2]stages!$2:$2,0)-MATCH("temp_stage",[2]stages!$2:$2,0)+1),MATCH(G$1,[2]stages!$2:$2,0)-MATCH("temp_stage",[2]stages!$2:$2,0)+1,FALSE)</f>
        <v>超降臨8</v>
      </c>
      <c r="H13" s="83">
        <v>0</v>
      </c>
      <c r="I13" s="88">
        <f t="shared" si="0"/>
        <v>12</v>
      </c>
      <c r="J13" s="84" t="str">
        <f t="shared" si="1"/>
        <v>5000812</v>
      </c>
      <c r="K13" s="82" t="s">
        <v>198</v>
      </c>
      <c r="L13" s="85" t="s">
        <v>337</v>
      </c>
      <c r="M13" s="102" t="s">
        <v>334</v>
      </c>
      <c r="N13" s="56" t="s">
        <v>200</v>
      </c>
    </row>
    <row r="14" spans="1:14" ht="56" x14ac:dyDescent="0.15">
      <c r="A14" s="79" t="s">
        <v>300</v>
      </c>
      <c r="B14" s="80">
        <f>floors!$C$2</f>
        <v>50008</v>
      </c>
      <c r="C14" s="81" t="str">
        <f ca="1">VLOOKUP($B14,OFFSET([2]quests!$A$1,0,0,COUNTA([2]quests!$A:$A),MATCH(C$1,[2]quests!$1:$1,0)-MATCH($B$1,[2]quests!$1:$1,0)+1),MATCH(C$1,[2]quests!$1:$1,0)-MATCH($B$1,[2]quests!$1:$1,0)+1,FALSE)</f>
        <v>呂布襲来！</v>
      </c>
      <c r="D14" s="81" t="str">
        <f ca="1">VLOOKUP($B14,OFFSET([2]quests!$A$1,0,0,COUNTA([2]quests!$A:$A),MATCH(D$1,[2]quests!$1:$1,0)-MATCH($B$1,[2]quests!$1:$1,0)+1),MATCH(D$1,[2]quests!$1:$1,0)-MATCH($B$1,[2]quests!$1:$1,0)+1,FALSE)</f>
        <v>超降臨8</v>
      </c>
      <c r="E14" s="82">
        <v>1</v>
      </c>
      <c r="F14" s="81" t="str">
        <f ca="1">VLOOKUP($B14&amp;"_"&amp;$E14,OFFSET([2]stages!$A$1,0,0,COUNTA([2]stages!$A:$A),MATCH(F$1,[2]stages!$2:$2,0)-MATCH("temp_stage",[2]stages!$2:$2,0)+1),MATCH(F$1,[2]stages!$2:$2,0)-MATCH("temp_stage",[2]stages!$2:$2,0)+1,FALSE)</f>
        <v>【超ウィザード級】呂布襲来</v>
      </c>
      <c r="G14" s="81" t="str">
        <f ca="1">VLOOKUP($B14&amp;"_"&amp;$E14,OFFSET([2]stages!$A$1,0,0,COUNTA([2]stages!$A:$A),MATCH(G$1,[2]stages!$2:$2,0)-MATCH("temp_stage",[2]stages!$2:$2,0)+1),MATCH(G$1,[2]stages!$2:$2,0)-MATCH("temp_stage",[2]stages!$2:$2,0)+1,FALSE)</f>
        <v>超降臨8</v>
      </c>
      <c r="H14" s="83">
        <v>0</v>
      </c>
      <c r="I14" s="88">
        <f t="shared" si="0"/>
        <v>13</v>
      </c>
      <c r="J14" s="84" t="str">
        <f t="shared" si="1"/>
        <v>5000813</v>
      </c>
      <c r="K14" s="82" t="s">
        <v>198</v>
      </c>
      <c r="L14" s="85" t="s">
        <v>340</v>
      </c>
      <c r="M14" s="102" t="s">
        <v>336</v>
      </c>
      <c r="N14" s="56" t="s">
        <v>200</v>
      </c>
    </row>
  </sheetData>
  <phoneticPr fontId="5"/>
  <dataValidations count="1">
    <dataValidation type="list" allowBlank="1" showInputMessage="1" showErrorMessage="1" sqref="A2:A1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2"/>
  <sheetViews>
    <sheetView showGridLines="0" workbookViewId="0">
      <pane ySplit="1" topLeftCell="A2" activePane="bottomLeft" state="frozen"/>
      <selection pane="bottomLeft" activeCell="B2" sqref="B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2" t="s">
        <v>212</v>
      </c>
      <c r="B1" s="93" t="s">
        <v>213</v>
      </c>
      <c r="C1" s="75" t="s">
        <v>214</v>
      </c>
      <c r="D1" s="75" t="s">
        <v>33</v>
      </c>
      <c r="E1" s="93" t="s">
        <v>215</v>
      </c>
      <c r="F1" s="75" t="s">
        <v>216</v>
      </c>
      <c r="G1" s="75" t="s">
        <v>33</v>
      </c>
      <c r="H1" s="93" t="s">
        <v>217</v>
      </c>
      <c r="I1" s="93" t="s">
        <v>218</v>
      </c>
      <c r="J1" s="93" t="s">
        <v>219</v>
      </c>
      <c r="K1" s="71" t="s">
        <v>220</v>
      </c>
      <c r="L1" s="71" t="s">
        <v>221</v>
      </c>
      <c r="M1" s="71" t="s">
        <v>157</v>
      </c>
      <c r="N1" s="75" t="s">
        <v>16</v>
      </c>
      <c r="O1" s="71" t="s">
        <v>222</v>
      </c>
      <c r="P1" s="71" t="s">
        <v>57</v>
      </c>
      <c r="Q1" s="71" t="s">
        <v>223</v>
      </c>
      <c r="R1" s="71" t="s">
        <v>38</v>
      </c>
      <c r="S1" s="71" t="s">
        <v>40</v>
      </c>
      <c r="T1" s="71" t="s">
        <v>42</v>
      </c>
      <c r="U1" s="71" t="s">
        <v>44</v>
      </c>
      <c r="V1" s="71" t="s">
        <v>46</v>
      </c>
      <c r="W1" s="71" t="s">
        <v>224</v>
      </c>
      <c r="X1" s="71" t="s">
        <v>225</v>
      </c>
    </row>
    <row r="2" spans="1:24" x14ac:dyDescent="0.15">
      <c r="A2" s="103" t="str">
        <f>B2&amp;"_"&amp;E2&amp;"_"&amp;H2&amp;"_"&amp;I2&amp;"_"&amp;J2</f>
        <v>50008_1_everyone_full_member_1</v>
      </c>
      <c r="B2" s="80">
        <f>floors!$C$2</f>
        <v>50008</v>
      </c>
      <c r="C2" s="81" t="str">
        <f ca="1">VLOOKUP($B2,OFFSET([2]quests!$A$1,0,0,COUNTA([2]quests!$A:$A),MATCH(C$1,[2]quests!$1:$1,0)-MATCH($B$1,[2]quests!$1:$1,0)+1),MATCH(C$1,[2]quests!$1:$1,0)-MATCH($B$1,[2]quests!$1:$1,0)+1,FALSE)</f>
        <v>呂布襲来！</v>
      </c>
      <c r="D2" s="81" t="str">
        <f ca="1">VLOOKUP($B2,OFFSET([2]quests!$A$1,0,0,COUNTA([2]quests!$A:$A),MATCH(D$1,[2]quests!$1:$1,0)-MATCH($B$1,[2]quests!$1:$1,0)+1),MATCH(D$1,[2]quests!$1:$1,0)-MATCH($B$1,[2]quests!$1:$1,0)+1,FALSE)</f>
        <v>超降臨8</v>
      </c>
      <c r="E2" s="82">
        <v>1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【超ウィザード級】呂布襲来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超降臨8</v>
      </c>
      <c r="H2" s="83" t="s">
        <v>345</v>
      </c>
      <c r="I2" s="82" t="s">
        <v>346</v>
      </c>
      <c r="J2" s="82">
        <v>1</v>
      </c>
      <c r="K2" s="82">
        <v>100</v>
      </c>
      <c r="L2" s="82" t="s">
        <v>347</v>
      </c>
      <c r="M2" s="104">
        <v>1135</v>
      </c>
      <c r="N2" s="105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呂布</v>
      </c>
      <c r="O2" s="82">
        <v>1</v>
      </c>
      <c r="P2" s="82">
        <v>1</v>
      </c>
      <c r="Q2" s="82">
        <v>1</v>
      </c>
      <c r="R2" s="82">
        <v>0</v>
      </c>
      <c r="S2" s="82">
        <v>0</v>
      </c>
      <c r="T2" s="82">
        <v>0</v>
      </c>
      <c r="U2" s="82">
        <v>0</v>
      </c>
      <c r="V2" s="82">
        <v>1</v>
      </c>
      <c r="W2" s="106" t="s">
        <v>348</v>
      </c>
      <c r="X2" s="107" t="s">
        <v>349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2017-05-08T08:04:37Z</dcterms:modified>
</cp:coreProperties>
</file>