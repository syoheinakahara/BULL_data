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BULL_data/master_excel/"/>
    </mc:Choice>
  </mc:AlternateContent>
  <bookViews>
    <workbookView xWindow="0" yWindow="460" windowWidth="25600" windowHeight="14180" tabRatio="943" activeTab="7"/>
  </bookViews>
  <sheets>
    <sheet name="確率の考え方" sheetId="110" r:id="rId1"/>
    <sheet name="Sheet1" sheetId="107" r:id="rId2"/>
    <sheet name="output" sheetId="103" r:id="rId3"/>
    <sheet name="input_510010" sheetId="157" r:id="rId4"/>
    <sheet name="tables_510010" sheetId="158" r:id="rId5"/>
    <sheet name="input_510100" sheetId="153" r:id="rId6"/>
    <sheet name="tables_510100" sheetId="154" r:id="rId7"/>
    <sheet name="tables_settle_510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tables_510010!$A$1:$V$87</definedName>
    <definedName name="_xlnm._FilterDatabase" localSheetId="6" hidden="1">tables_510100!$A$1:$V$87</definedName>
    <definedName name="_xlnm._FilterDatabase" localSheetId="7" hidden="1">tables_settle_510100!$A$1:$V$1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D39" i="154"/>
  <c r="J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J55" i="154"/>
  <c r="D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6" i="153"/>
  <c r="B27" i="153"/>
  <c r="B10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N4" i="153"/>
  <c r="N5" i="153"/>
  <c r="C28" i="153"/>
  <c r="C29" i="153"/>
  <c r="C23" i="153"/>
  <c r="B21" i="153"/>
  <c r="E20" i="153"/>
  <c r="B20" i="153"/>
  <c r="E19" i="153"/>
  <c r="B19" i="153"/>
  <c r="C27" i="153"/>
  <c r="C22" i="153"/>
  <c r="B18" i="153"/>
  <c r="B17" i="153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D12" i="158"/>
  <c r="J12" i="158"/>
  <c r="E12" i="158"/>
  <c r="F12" i="158"/>
  <c r="C12" i="158"/>
  <c r="I13" i="158"/>
  <c r="D13" i="158"/>
  <c r="J13" i="158"/>
  <c r="E13" i="158"/>
  <c r="F13" i="158"/>
  <c r="C13" i="158"/>
  <c r="I14" i="158"/>
  <c r="D14" i="158"/>
  <c r="J14" i="158"/>
  <c r="E14" i="158"/>
  <c r="F14" i="158"/>
  <c r="C14" i="158"/>
  <c r="I15" i="158"/>
  <c r="D15" i="158"/>
  <c r="J15" i="158"/>
  <c r="E15" i="158"/>
  <c r="F15" i="158"/>
  <c r="C15" i="158"/>
  <c r="I16" i="158"/>
  <c r="D16" i="158"/>
  <c r="J16" i="158"/>
  <c r="E16" i="158"/>
  <c r="F16" i="158"/>
  <c r="C16" i="158"/>
  <c r="I17" i="158"/>
  <c r="D17" i="158"/>
  <c r="J17" i="158"/>
  <c r="E17" i="158"/>
  <c r="F17" i="158"/>
  <c r="C17" i="158"/>
  <c r="I18" i="158"/>
  <c r="D18" i="158"/>
  <c r="J18" i="158"/>
  <c r="E18" i="158"/>
  <c r="F18" i="158"/>
  <c r="C18" i="158"/>
  <c r="I19" i="158"/>
  <c r="D19" i="158"/>
  <c r="J19" i="158"/>
  <c r="E19" i="158"/>
  <c r="F19" i="158"/>
  <c r="C19" i="158"/>
  <c r="I20" i="158"/>
  <c r="D20" i="158"/>
  <c r="J20" i="158"/>
  <c r="E20" i="158"/>
  <c r="F20" i="158"/>
  <c r="C20" i="158"/>
  <c r="I21" i="158"/>
  <c r="D21" i="158"/>
  <c r="J21" i="158"/>
  <c r="E21" i="158"/>
  <c r="F21" i="158"/>
  <c r="C21" i="158"/>
  <c r="I22" i="158"/>
  <c r="D22" i="158"/>
  <c r="J22" i="158"/>
  <c r="E22" i="158"/>
  <c r="F22" i="158"/>
  <c r="C22" i="158"/>
  <c r="I23" i="158"/>
  <c r="D23" i="158"/>
  <c r="J23" i="158"/>
  <c r="E23" i="158"/>
  <c r="F23" i="158"/>
  <c r="C23" i="158"/>
  <c r="I24" i="158"/>
  <c r="D24" i="158"/>
  <c r="J24" i="158"/>
  <c r="E24" i="158"/>
  <c r="F24" i="158"/>
  <c r="C24" i="158"/>
  <c r="I25" i="158"/>
  <c r="D25" i="158"/>
  <c r="J25" i="158"/>
  <c r="E25" i="158"/>
  <c r="F25" i="158"/>
  <c r="C25" i="158"/>
  <c r="I26" i="158"/>
  <c r="D26" i="158"/>
  <c r="J26" i="158"/>
  <c r="E26" i="158"/>
  <c r="F26" i="158"/>
  <c r="C26" i="158"/>
  <c r="I27" i="158"/>
  <c r="D27" i="158"/>
  <c r="J27" i="158"/>
  <c r="E27" i="158"/>
  <c r="F27" i="158"/>
  <c r="C27" i="158"/>
  <c r="I28" i="158"/>
  <c r="D28" i="158"/>
  <c r="J28" i="158"/>
  <c r="E28" i="158"/>
  <c r="F28" i="158"/>
  <c r="C28" i="158"/>
  <c r="I29" i="158"/>
  <c r="D29" i="158"/>
  <c r="J29" i="158"/>
  <c r="E29" i="158"/>
  <c r="F29" i="158"/>
  <c r="C29" i="158"/>
  <c r="I30" i="158"/>
  <c r="D30" i="158"/>
  <c r="J30" i="158"/>
  <c r="E30" i="158"/>
  <c r="F30" i="158"/>
  <c r="C30" i="158"/>
  <c r="I31" i="158"/>
  <c r="D31" i="158"/>
  <c r="J31" i="158"/>
  <c r="E31" i="158"/>
  <c r="F31" i="158"/>
  <c r="C31" i="158"/>
  <c r="I32" i="158"/>
  <c r="D32" i="158"/>
  <c r="J32" i="158"/>
  <c r="E32" i="158"/>
  <c r="F32" i="158"/>
  <c r="C32" i="158"/>
  <c r="I33" i="158"/>
  <c r="D33" i="158"/>
  <c r="J33" i="158"/>
  <c r="E33" i="158"/>
  <c r="F33" i="158"/>
  <c r="C33" i="158"/>
  <c r="I34" i="158"/>
  <c r="D34" i="158"/>
  <c r="J34" i="158"/>
  <c r="E34" i="158"/>
  <c r="F34" i="158"/>
  <c r="C34" i="158"/>
  <c r="I35" i="158"/>
  <c r="D35" i="158"/>
  <c r="J35" i="158"/>
  <c r="E35" i="158"/>
  <c r="F35" i="158"/>
  <c r="C35" i="158"/>
  <c r="I36" i="158"/>
  <c r="D36" i="158"/>
  <c r="J36" i="158"/>
  <c r="E36" i="158"/>
  <c r="F36" i="158"/>
  <c r="C36" i="158"/>
  <c r="I37" i="158"/>
  <c r="D37" i="158"/>
  <c r="J37" i="158"/>
  <c r="E37" i="158"/>
  <c r="F37" i="158"/>
  <c r="C37" i="158"/>
  <c r="I38" i="158"/>
  <c r="D38" i="158"/>
  <c r="J38" i="158"/>
  <c r="E38" i="158"/>
  <c r="F38" i="158"/>
  <c r="C38" i="158"/>
  <c r="I39" i="158"/>
  <c r="D39" i="158"/>
  <c r="J39" i="158"/>
  <c r="E39" i="158"/>
  <c r="F39" i="158"/>
  <c r="C39" i="158"/>
  <c r="I40" i="158"/>
  <c r="D40" i="158"/>
  <c r="J40" i="158"/>
  <c r="E40" i="158"/>
  <c r="F40" i="158"/>
  <c r="C40" i="158"/>
  <c r="I41" i="158"/>
  <c r="D41" i="158"/>
  <c r="J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J55" i="158"/>
  <c r="D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B10" i="157"/>
  <c r="F6" i="157"/>
  <c r="E6" i="157"/>
  <c r="B23" i="157"/>
  <c r="E26" i="157"/>
  <c r="B26" i="157"/>
  <c r="F5" i="157"/>
  <c r="E5" i="157"/>
  <c r="E28" i="157"/>
  <c r="B28" i="157"/>
  <c r="B5" i="157"/>
  <c r="N4" i="157"/>
  <c r="N5" i="157"/>
  <c r="C28" i="157"/>
  <c r="E29" i="157"/>
  <c r="B29" i="157"/>
  <c r="C29" i="157"/>
  <c r="C23" i="157"/>
  <c r="B21" i="157"/>
  <c r="E20" i="157"/>
  <c r="B20" i="157"/>
  <c r="E22" i="157"/>
  <c r="B22" i="157"/>
  <c r="E25" i="157"/>
  <c r="B25" i="157"/>
  <c r="E27" i="157"/>
  <c r="B27" i="157"/>
  <c r="C27" i="157"/>
  <c r="C22" i="157"/>
  <c r="B18" i="157"/>
  <c r="E19" i="157"/>
  <c r="B19" i="157"/>
  <c r="E24" i="157"/>
  <c r="B24" i="157"/>
  <c r="B17" i="157"/>
  <c r="E21" i="153"/>
  <c r="E21" i="157"/>
  <c r="E18" i="157"/>
  <c r="E18" i="153"/>
  <c r="B30" i="157"/>
  <c r="A2" i="153"/>
  <c r="A36" i="153"/>
  <c r="R7" i="153"/>
  <c r="G29" i="153"/>
  <c r="H29" i="153"/>
  <c r="R3" i="153"/>
  <c r="G17" i="153"/>
  <c r="E17" i="153"/>
  <c r="H17" i="153"/>
  <c r="G18" i="153"/>
  <c r="H18" i="153"/>
  <c r="O2" i="154"/>
  <c r="O3" i="154"/>
  <c r="O4" i="154"/>
  <c r="O5" i="154"/>
  <c r="O6" i="154"/>
  <c r="O7" i="154"/>
  <c r="O8" i="154"/>
  <c r="O9" i="154"/>
  <c r="O10" i="154"/>
  <c r="O11" i="154"/>
  <c r="G24" i="153"/>
  <c r="H24" i="153"/>
  <c r="G25" i="153"/>
  <c r="H25" i="153"/>
  <c r="G26" i="153"/>
  <c r="H26" i="153"/>
  <c r="O12" i="154"/>
  <c r="O13" i="154"/>
  <c r="O14" i="154"/>
  <c r="G19" i="153"/>
  <c r="H19" i="153"/>
  <c r="G20" i="153"/>
  <c r="H20" i="153"/>
  <c r="O15" i="154"/>
  <c r="O16" i="154"/>
  <c r="O18" i="154"/>
  <c r="O19" i="154"/>
  <c r="O21" i="154"/>
  <c r="O22" i="154"/>
  <c r="O24" i="154"/>
  <c r="O25" i="154"/>
  <c r="O27" i="154"/>
  <c r="O28" i="154"/>
  <c r="O30" i="154"/>
  <c r="O31" i="154"/>
  <c r="O33" i="154"/>
  <c r="O34" i="154"/>
  <c r="G27" i="153"/>
  <c r="H27" i="153"/>
  <c r="G28" i="153"/>
  <c r="H28" i="153"/>
  <c r="O36" i="154"/>
  <c r="O37" i="154"/>
  <c r="O38" i="154"/>
  <c r="O39" i="154"/>
  <c r="O40" i="154"/>
  <c r="O41" i="154"/>
  <c r="O43" i="154"/>
  <c r="O44" i="154"/>
  <c r="O45" i="154"/>
  <c r="O46" i="154"/>
  <c r="O48" i="154"/>
  <c r="O49" i="154"/>
  <c r="O50" i="154"/>
  <c r="O51" i="154"/>
  <c r="R4" i="153"/>
  <c r="O53" i="154"/>
  <c r="R5" i="153"/>
  <c r="O54" i="154"/>
  <c r="O56" i="154"/>
  <c r="O57" i="154"/>
  <c r="O59" i="154"/>
  <c r="O60" i="154"/>
  <c r="O62" i="154"/>
  <c r="O63" i="154"/>
  <c r="O64" i="154"/>
  <c r="O65" i="154"/>
  <c r="O69" i="154"/>
  <c r="O70" i="154"/>
  <c r="O71" i="154"/>
  <c r="O72" i="154"/>
  <c r="O77" i="154"/>
  <c r="O78" i="154"/>
  <c r="O79" i="154"/>
  <c r="O80" i="154"/>
  <c r="O81" i="154"/>
  <c r="O82" i="154"/>
  <c r="O85" i="154"/>
  <c r="O86" i="154"/>
  <c r="R6" i="153"/>
  <c r="O87" i="154"/>
  <c r="A87" i="154"/>
  <c r="H87" i="154"/>
  <c r="K87" i="154"/>
  <c r="L87" i="154"/>
  <c r="M87" i="154"/>
  <c r="N87" i="154"/>
  <c r="A2" i="157"/>
  <c r="A36" i="157"/>
  <c r="R7" i="157"/>
  <c r="G17" i="157"/>
  <c r="E17" i="157"/>
  <c r="H17" i="157"/>
  <c r="O2" i="158"/>
  <c r="O4" i="158"/>
  <c r="O6" i="158"/>
  <c r="O8" i="158"/>
  <c r="O10" i="158"/>
  <c r="G24" i="157"/>
  <c r="H24" i="157"/>
  <c r="G25" i="157"/>
  <c r="H25" i="157"/>
  <c r="G26" i="157"/>
  <c r="H26" i="157"/>
  <c r="O12" i="158"/>
  <c r="O13" i="158"/>
  <c r="O14" i="158"/>
  <c r="G19" i="157"/>
  <c r="H19" i="157"/>
  <c r="G20" i="157"/>
  <c r="H20" i="157"/>
  <c r="O15" i="158"/>
  <c r="O16" i="158"/>
  <c r="O18" i="158"/>
  <c r="O19" i="158"/>
  <c r="O21" i="158"/>
  <c r="O22" i="158"/>
  <c r="O24" i="158"/>
  <c r="O25" i="158"/>
  <c r="O27" i="158"/>
  <c r="O28" i="158"/>
  <c r="O30" i="158"/>
  <c r="O31" i="158"/>
  <c r="O33" i="158"/>
  <c r="O34" i="158"/>
  <c r="G27" i="157"/>
  <c r="H27" i="157"/>
  <c r="G28" i="157"/>
  <c r="H28" i="157"/>
  <c r="O36" i="158"/>
  <c r="O37" i="158"/>
  <c r="O38" i="158"/>
  <c r="O39" i="158"/>
  <c r="O40" i="158"/>
  <c r="O41" i="158"/>
  <c r="O43" i="158"/>
  <c r="O44" i="158"/>
  <c r="O45" i="158"/>
  <c r="O46" i="158"/>
  <c r="O48" i="158"/>
  <c r="O49" i="158"/>
  <c r="O50" i="158"/>
  <c r="O51" i="158"/>
  <c r="R4" i="157"/>
  <c r="O53" i="158"/>
  <c r="R5" i="157"/>
  <c r="O54" i="158"/>
  <c r="O56" i="158"/>
  <c r="O57" i="158"/>
  <c r="O59" i="158"/>
  <c r="O60" i="158"/>
  <c r="O62" i="158"/>
  <c r="O63" i="158"/>
  <c r="O64" i="158"/>
  <c r="O65" i="158"/>
  <c r="G29" i="157"/>
  <c r="H29" i="157"/>
  <c r="O69" i="158"/>
  <c r="O70" i="158"/>
  <c r="O71" i="158"/>
  <c r="O72" i="158"/>
  <c r="O77" i="158"/>
  <c r="O78" i="158"/>
  <c r="O79" i="158"/>
  <c r="O80" i="158"/>
  <c r="O81" i="158"/>
  <c r="O82" i="158"/>
  <c r="R3" i="157"/>
  <c r="O85" i="158"/>
  <c r="O86" i="158"/>
  <c r="R6" i="157"/>
  <c r="O87" i="158"/>
  <c r="A87" i="158"/>
  <c r="H87" i="158"/>
  <c r="K87" i="158"/>
  <c r="L87" i="158"/>
  <c r="M87" i="158"/>
  <c r="N87" i="158"/>
  <c r="H86" i="154"/>
  <c r="K86" i="154"/>
  <c r="L86" i="154"/>
  <c r="M86" i="154"/>
  <c r="N86" i="154"/>
  <c r="A86" i="154"/>
  <c r="H86" i="158"/>
  <c r="K86" i="158"/>
  <c r="L86" i="158"/>
  <c r="M86" i="158"/>
  <c r="N86" i="158"/>
  <c r="A86" i="158"/>
  <c r="H85" i="154"/>
  <c r="K85" i="154"/>
  <c r="L85" i="154"/>
  <c r="M85" i="154"/>
  <c r="N85" i="154"/>
  <c r="A85" i="154"/>
  <c r="H85" i="158"/>
  <c r="K85" i="158"/>
  <c r="L85" i="158"/>
  <c r="M85" i="158"/>
  <c r="N85" i="158"/>
  <c r="A85" i="158"/>
  <c r="H83" i="154"/>
  <c r="K83" i="154"/>
  <c r="L83" i="154"/>
  <c r="M83" i="154"/>
  <c r="N83" i="154"/>
  <c r="H84" i="154"/>
  <c r="K84" i="154"/>
  <c r="L84" i="154"/>
  <c r="M84" i="154"/>
  <c r="N84" i="154"/>
  <c r="A83" i="154"/>
  <c r="A84" i="154"/>
  <c r="M7" i="153"/>
  <c r="M6" i="153"/>
  <c r="M5" i="153"/>
  <c r="M4" i="153"/>
  <c r="M3" i="153"/>
  <c r="C19" i="157"/>
  <c r="C20" i="157"/>
  <c r="C21" i="157"/>
  <c r="C24" i="157"/>
  <c r="C25" i="157"/>
  <c r="C26" i="157"/>
  <c r="C30" i="157"/>
  <c r="C31" i="157"/>
  <c r="C32" i="157"/>
  <c r="H83" i="158"/>
  <c r="K83" i="158"/>
  <c r="L83" i="158"/>
  <c r="M83" i="158"/>
  <c r="N83" i="158"/>
  <c r="H84" i="158"/>
  <c r="K84" i="158"/>
  <c r="L84" i="158"/>
  <c r="M84" i="158"/>
  <c r="N84" i="158"/>
  <c r="A83" i="158"/>
  <c r="A84" i="158"/>
  <c r="H82" i="154"/>
  <c r="K82" i="154"/>
  <c r="L82" i="154"/>
  <c r="M82" i="154"/>
  <c r="N82" i="154"/>
  <c r="A82" i="154"/>
  <c r="H82" i="158"/>
  <c r="K82" i="158"/>
  <c r="L82" i="158"/>
  <c r="M82" i="158"/>
  <c r="N82" i="158"/>
  <c r="A82" i="158"/>
  <c r="C4" i="103"/>
  <c r="E4" i="103"/>
  <c r="H81" i="154"/>
  <c r="K81" i="154"/>
  <c r="L81" i="154"/>
  <c r="M81" i="154"/>
  <c r="N81" i="154"/>
  <c r="A81" i="154"/>
  <c r="H81" i="158"/>
  <c r="K81" i="158"/>
  <c r="L81" i="158"/>
  <c r="M81" i="158"/>
  <c r="N81" i="158"/>
  <c r="A81" i="158"/>
  <c r="H80" i="154"/>
  <c r="K80" i="154"/>
  <c r="L80" i="154"/>
  <c r="M80" i="154"/>
  <c r="N80" i="154"/>
  <c r="A80" i="154"/>
  <c r="H80" i="158"/>
  <c r="K80" i="158"/>
  <c r="L80" i="158"/>
  <c r="M80" i="158"/>
  <c r="N80" i="158"/>
  <c r="A80" i="158"/>
  <c r="H79" i="154"/>
  <c r="K79" i="154"/>
  <c r="L79" i="154"/>
  <c r="M79" i="154"/>
  <c r="N79" i="154"/>
  <c r="A79" i="154"/>
  <c r="H79" i="158"/>
  <c r="K79" i="158"/>
  <c r="L79" i="158"/>
  <c r="M79" i="158"/>
  <c r="N79" i="158"/>
  <c r="A79" i="158"/>
  <c r="I3" i="159"/>
  <c r="D3" i="159"/>
  <c r="E3" i="159"/>
  <c r="I2" i="159"/>
  <c r="E2" i="159"/>
  <c r="D2" i="159"/>
  <c r="A78" i="154"/>
  <c r="H78" i="154"/>
  <c r="K78" i="154"/>
  <c r="L78" i="154"/>
  <c r="M78" i="154"/>
  <c r="N78" i="154"/>
  <c r="A78" i="158"/>
  <c r="H78" i="158"/>
  <c r="K78" i="158"/>
  <c r="L78" i="158"/>
  <c r="M78" i="158"/>
  <c r="N78" i="158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77" i="154"/>
  <c r="H77" i="154"/>
  <c r="K77" i="154"/>
  <c r="L77" i="154"/>
  <c r="M77" i="154"/>
  <c r="N77" i="154"/>
  <c r="A77" i="158"/>
  <c r="H77" i="158"/>
  <c r="K77" i="158"/>
  <c r="L77" i="158"/>
  <c r="M77" i="158"/>
  <c r="N77" i="158"/>
  <c r="A75" i="154"/>
  <c r="H75" i="154"/>
  <c r="K75" i="154"/>
  <c r="L75" i="154"/>
  <c r="M75" i="154"/>
  <c r="N75" i="154"/>
  <c r="A76" i="154"/>
  <c r="H76" i="154"/>
  <c r="K76" i="154"/>
  <c r="L76" i="154"/>
  <c r="M76" i="154"/>
  <c r="N76" i="154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R8" i="153"/>
  <c r="R9" i="153"/>
  <c r="R10" i="153"/>
  <c r="R8" i="157"/>
  <c r="R9" i="157"/>
  <c r="R10" i="157"/>
  <c r="H73" i="158"/>
  <c r="K73" i="158"/>
  <c r="L73" i="158"/>
  <c r="M73" i="158"/>
  <c r="N73" i="158"/>
  <c r="H74" i="158"/>
  <c r="K74" i="158"/>
  <c r="L74" i="158"/>
  <c r="M74" i="158"/>
  <c r="N74" i="158"/>
  <c r="A73" i="158"/>
  <c r="A74" i="158"/>
  <c r="A73" i="154"/>
  <c r="H73" i="154"/>
  <c r="K73" i="154"/>
  <c r="L73" i="154"/>
  <c r="M73" i="154"/>
  <c r="N73" i="154"/>
  <c r="A74" i="154"/>
  <c r="H74" i="154"/>
  <c r="K74" i="154"/>
  <c r="L74" i="154"/>
  <c r="M74" i="154"/>
  <c r="N74" i="154"/>
  <c r="A72" i="158"/>
  <c r="H72" i="158"/>
  <c r="K72" i="158"/>
  <c r="L72" i="158"/>
  <c r="M72" i="158"/>
  <c r="N72" i="158"/>
  <c r="E31" i="157"/>
  <c r="G31" i="157"/>
  <c r="H31" i="157"/>
  <c r="E30" i="157"/>
  <c r="G30" i="157"/>
  <c r="H30" i="157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72" i="154"/>
  <c r="H72" i="154"/>
  <c r="K72" i="154"/>
  <c r="L72" i="154"/>
  <c r="M72" i="154"/>
  <c r="N72" i="154"/>
  <c r="G30" i="153"/>
  <c r="E30" i="153"/>
  <c r="H30" i="153"/>
  <c r="G31" i="153"/>
  <c r="E31" i="153"/>
  <c r="H31" i="153"/>
  <c r="C5" i="103"/>
  <c r="E5" i="103"/>
  <c r="C6" i="103"/>
  <c r="E6" i="103"/>
  <c r="C2" i="103"/>
  <c r="E2" i="103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G18" i="157"/>
  <c r="H18" i="157"/>
  <c r="I18" i="157"/>
  <c r="J18" i="157"/>
  <c r="D21" i="157"/>
  <c r="F21" i="157"/>
  <c r="G21" i="157"/>
  <c r="H21" i="157"/>
  <c r="I21" i="157"/>
  <c r="J21" i="157"/>
  <c r="D22" i="157"/>
  <c r="F22" i="157"/>
  <c r="G22" i="157"/>
  <c r="H22" i="157"/>
  <c r="I22" i="157"/>
  <c r="J22" i="157"/>
  <c r="D23" i="157"/>
  <c r="F23" i="157"/>
  <c r="G23" i="157"/>
  <c r="H23" i="157"/>
  <c r="I23" i="157"/>
  <c r="J23" i="157"/>
  <c r="B32" i="157"/>
  <c r="D32" i="157"/>
  <c r="O3" i="158"/>
  <c r="O5" i="158"/>
  <c r="O7" i="158"/>
  <c r="O9" i="158"/>
  <c r="O11" i="158"/>
  <c r="O17" i="158"/>
  <c r="O20" i="158"/>
  <c r="O23" i="158"/>
  <c r="O26" i="158"/>
  <c r="O29" i="158"/>
  <c r="O32" i="158"/>
  <c r="O35" i="158"/>
  <c r="O42" i="158"/>
  <c r="O47" i="158"/>
  <c r="O52" i="158"/>
  <c r="O55" i="158"/>
  <c r="O58" i="158"/>
  <c r="O61" i="158"/>
  <c r="O66" i="158"/>
  <c r="O67" i="158"/>
  <c r="O68" i="158"/>
  <c r="O73" i="158"/>
  <c r="O74" i="158"/>
  <c r="O75" i="158"/>
  <c r="O76" i="158"/>
  <c r="O83" i="158"/>
  <c r="O84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G22" i="153"/>
  <c r="H22" i="153"/>
  <c r="O67" i="154"/>
  <c r="G21" i="153"/>
  <c r="H21" i="153"/>
  <c r="O17" i="154"/>
  <c r="O20" i="154"/>
  <c r="O23" i="154"/>
  <c r="O26" i="154"/>
  <c r="O29" i="154"/>
  <c r="O32" i="154"/>
  <c r="O35" i="154"/>
  <c r="O42" i="154"/>
  <c r="O47" i="154"/>
  <c r="O52" i="154"/>
  <c r="G23" i="153"/>
  <c r="H23" i="153"/>
  <c r="O55" i="154"/>
  <c r="O58" i="154"/>
  <c r="O61" i="154"/>
  <c r="O66" i="154"/>
  <c r="O68" i="154"/>
  <c r="O73" i="154"/>
  <c r="O74" i="154"/>
  <c r="O75" i="154"/>
  <c r="O76" i="154"/>
  <c r="O83" i="154"/>
  <c r="O84" i="154"/>
  <c r="F41" i="153"/>
  <c r="G41" i="153"/>
  <c r="P80" i="154"/>
  <c r="P82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1" i="154"/>
  <c r="P83" i="154"/>
  <c r="P84" i="154"/>
  <c r="P85" i="154"/>
  <c r="P86" i="154"/>
  <c r="P87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<sst xmlns="http://schemas.openxmlformats.org/spreadsheetml/2006/main" count="535" uniqueCount="256">
  <si>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</si>
  <si>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</si>
  <si>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</si>
  <si>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</si>
  <si>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</si>
  <si>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</si>
  <si>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</si>
  <si>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</si>
  <si>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</si>
  <si>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</si>
  <si>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</si>
  <si>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</si>
  <si>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</si>
  <si>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</si>
  <si>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</si>
  <si>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</si>
  <si>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</si>
  <si>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</si>
  <si>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</si>
  <si>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</si>
  <si>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</si>
  <si>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</si>
  <si>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</si>
  <si>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</si>
  <si>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</si>
  <si>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</si>
  <si>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</si>
  <si>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</si>
  <si>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</si>
  <si>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</si>
  <si>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</si>
  <si>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</si>
  <si>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</si>
  <si>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</si>
  <si>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</si>
  <si>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</si>
  <si>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</si>
  <si>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</si>
  <si>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</si>
  <si>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</si>
  <si>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</si>
  <si>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</si>
  <si>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</si>
  <si>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</si>
  <si>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</si>
  <si>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</si>
  <si>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</si>
  <si>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</si>
  <si>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</si>
  <si>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</si>
  <si>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</si>
  <si>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</si>
  <si>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</si>
  <si>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</si>
  <si>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</si>
  <si>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</si>
  <si>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</si>
  <si>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</si>
  <si>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</si>
  <si>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</si>
  <si>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</si>
  <si>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</si>
  <si>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</si>
  <si>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</si>
  <si>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</si>
  <si>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</si>
  <si>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</si>
  <si>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</si>
  <si>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</si>
  <si>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</si>
  <si>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</si>
  <si>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</si>
  <si>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</si>
  <si>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</si>
  <si>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</si>
  <si>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</si>
  <si>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</si>
  <si>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</si>
  <si>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</si>
  <si>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</si>
  <si>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</si>
  <si>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</si>
  <si>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</si>
  <si>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</si>
  <si>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</si>
  <si>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</si>
  <si>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</si>
  <si>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</si>
  <si>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</si>
  <si>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</si>
  <si>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</si>
  <si>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</si>
  <si>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</si>
  <si>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</si>
  <si>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</si>
  <si>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</si>
  <si>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</si>
  <si>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</si>
  <si>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</si>
  <si>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</si>
  <si>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</si>
  <si>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</si>
  <si>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</si>
  <si>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</si>
  <si>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</si>
  <si>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</si>
  <si>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</si>
  <si>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</si>
  <si>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</si>
  <si>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</si>
  <si>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</si>
  <si>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</si>
  <si>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</si>
  <si>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</si>
  <si>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</si>
  <si>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</si>
  <si>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</si>
  <si>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</si>
  <si>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</si>
  <si>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</si>
  <si>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</si>
  <si>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</si>
  <si>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</si>
  <si>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</si>
  <si>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</si>
  <si>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</si>
  <si>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</si>
  <si>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</si>
  <si>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</si>
  <si>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</si>
  <si>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</si>
  <si>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</si>
  <si>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</si>
  <si>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</si>
  <si>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</si>
  <si>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</si>
  <si>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</si>
  <si>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</si>
  <si>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</si>
  <si>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</si>
  <si>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</si>
  <si>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</si>
  <si>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</si>
  <si>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</si>
  <si>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</si>
  <si>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</si>
  <si>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</si>
  <si>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</si>
  <si>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</si>
  <si>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</si>
  <si>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</si>
  <si>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</si>
  <si>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</si>
  <si>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</si>
  <si>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</si>
  <si>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</si>
  <si>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</si>
  <si>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</si>
  <si>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</si>
  <si>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</si>
  <si>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</si>
  <si>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</si>
  <si>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</si>
  <si>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</si>
  <si>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</si>
  <si>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</si>
  <si>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</si>
  <si>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</si>
  <si>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</si>
  <si>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</si>
  <si>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</si>
  <si>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</si>
  <si>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</si>
  <si>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</si>
  <si>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</si>
  <si>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</si>
  <si>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</si>
  <si>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</si>
  <si>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</si>
  <si>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</si>
  <si>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</si>
  <si>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</si>
  <si>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</si>
  <si>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</si>
  <si>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</si>
  <si>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</si>
  <si>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</si>
  <si>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</si>
  <si>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</si>
  <si>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</si>
  <si>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</si>
  <si>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</si>
  <si>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</si>
  <si>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</si>
  <si>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</si>
  <si>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</si>
  <si>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</si>
  <si>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</si>
  <si>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</si>
  <si>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</si>
  <si>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</si>
  <si>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</si>
  <si>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</si>
  <si>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</si>
  <si>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</si>
  <si>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</si>
  <si>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</si>
  <si>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</si>
  <si>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</si>
  <si>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</si>
  <si>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</si>
  <si>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</si>
  <si>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</si>
  <si>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</si>
  <si>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</si>
  <si>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</si>
  <si>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</si>
  <si>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</si>
  <si>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</si>
  <si>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</si>
  <si>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</si>
  <si>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</si>
  <si>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</si>
  <si>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</si>
  <si>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</si>
  <si>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</si>
  <si>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</si>
  <si>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</si>
  <si>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</si>
  <si>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</si>
  <si>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</si>
  <si>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</si>
  <si>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</si>
  <si>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</si>
  <si>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</si>
  <si>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</si>
  <si>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</si>
  <si>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</si>
  <si>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</si>
  <si>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</si>
  <si>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</si>
  <si>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</si>
  <si>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</si>
  <si>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</si>
  <si>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</si>
  <si>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</si>
  <si>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</si>
  <si>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</si>
  <si>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</si>
  <si>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</si>
  <si>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</si>
  <si>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ピックアップ確率</t>
    <phoneticPr fontId="21"/>
  </si>
  <si>
    <t>ピックアップ確率</t>
    <phoneticPr fontId="21"/>
  </si>
  <si>
    <t>tables_510100</t>
    <phoneticPr fontId="21"/>
  </si>
  <si>
    <t>tables_510010</t>
    <phoneticPr fontId="21"/>
  </si>
  <si>
    <t>tables_settle_510100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</si>
</sst>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2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5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ブラウニーR6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モカR5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モカR6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ショコラR5</v>
          </cell>
          <cell r="H1360" t="str">
            <v>red</v>
          </cell>
          <cell r="I1360">
            <v>5</v>
          </cell>
          <cell r="J1360" t="str">
            <v>PremiumSSw</v>
          </cell>
          <cell r="K1360" t="str">
            <v>heal</v>
          </cell>
          <cell r="L1360" t="str">
            <v>回復タイプ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ショコラR6</v>
          </cell>
          <cell r="H1361" t="str">
            <v>red</v>
          </cell>
          <cell r="I1361">
            <v>6</v>
          </cell>
          <cell r="J1361" t="str">
            <v>PremiumSSw</v>
          </cell>
          <cell r="K1361" t="str">
            <v>heal</v>
          </cell>
          <cell r="L1361" t="str">
            <v>回復タイプ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フォンデュ</v>
          </cell>
          <cell r="H1363" t="str">
            <v>red</v>
          </cell>
          <cell r="I1363">
            <v>6</v>
          </cell>
          <cell r="J1363" t="str">
            <v>PremiumSS</v>
          </cell>
          <cell r="K1363" t="str">
            <v>balance</v>
          </cell>
          <cell r="L1363" t="str">
            <v>バランスタイプ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ヴァニラ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ビター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星海祈る天光妃 媽祖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海戀の絶龍姫 蛟龍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8087</v>
          </cell>
          <cell r="B1481" t="str">
            <v>ja</v>
          </cell>
          <cell r="C1481" t="str">
            <v>財神</v>
          </cell>
          <cell r="H1481" t="str">
            <v>red</v>
          </cell>
          <cell r="I1481">
            <v>5</v>
          </cell>
          <cell r="J1481" t="str">
            <v>PremiumSSS</v>
          </cell>
          <cell r="K1481" t="str">
            <v>technical</v>
          </cell>
          <cell r="L1481" t="str">
            <v>テクニカルタイプ</v>
          </cell>
          <cell r="M1481" t="str">
            <v>god</v>
          </cell>
        </row>
        <row r="1482">
          <cell r="A1482">
            <v>8088</v>
          </cell>
          <cell r="B1482" t="str">
            <v>ja</v>
          </cell>
          <cell r="C1482" t="str">
            <v>★６財神</v>
          </cell>
          <cell r="H1482" t="str">
            <v>red</v>
          </cell>
          <cell r="I1482">
            <v>6</v>
          </cell>
          <cell r="J1482" t="str">
            <v>PremiumSSS</v>
          </cell>
          <cell r="K1482" t="str">
            <v>technical</v>
          </cell>
          <cell r="L1482" t="str">
            <v>テクニカルタイプ</v>
          </cell>
          <cell r="M1482" t="str">
            <v>god</v>
          </cell>
        </row>
        <row r="1483">
          <cell r="A1483">
            <v>8089</v>
          </cell>
          <cell r="B1483" t="str">
            <v>ja</v>
          </cell>
          <cell r="C1483" t="str">
            <v>年獣</v>
          </cell>
          <cell r="H1483" t="str">
            <v>green</v>
          </cell>
          <cell r="I1483">
            <v>5</v>
          </cell>
          <cell r="J1483" t="str">
            <v>DropWizS</v>
          </cell>
          <cell r="K1483" t="str">
            <v>attack</v>
          </cell>
          <cell r="L1483" t="str">
            <v>攻撃タイプ</v>
          </cell>
          <cell r="M1483" t="str">
            <v>animal</v>
          </cell>
        </row>
        <row r="1484">
          <cell r="A1484">
            <v>8090</v>
          </cell>
          <cell r="B1484" t="str">
            <v>ja</v>
          </cell>
          <cell r="C1484" t="str">
            <v>★６年獣</v>
          </cell>
          <cell r="H1484" t="str">
            <v>green</v>
          </cell>
          <cell r="I1484">
            <v>6</v>
          </cell>
          <cell r="J1484" t="str">
            <v>DropWizS</v>
          </cell>
          <cell r="K1484" t="str">
            <v>attack</v>
          </cell>
          <cell r="L1484" t="str">
            <v>攻撃タイプ</v>
          </cell>
          <cell r="M1484" t="str">
            <v>animal</v>
          </cell>
        </row>
        <row r="1485">
          <cell r="A1485">
            <v>8095</v>
          </cell>
          <cell r="B1485" t="str">
            <v>ja</v>
          </cell>
          <cell r="C1485" t="str">
            <v>バハムートダック赤</v>
          </cell>
          <cell r="D1485" t="str">
            <v>ポムポムプリン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6</v>
          </cell>
          <cell r="J1485" t="str">
            <v>Material</v>
          </cell>
          <cell r="K1485" t="str">
            <v>exp</v>
          </cell>
          <cell r="L1485" t="str">
            <v>強化素材タイプ</v>
          </cell>
          <cell r="M1485" t="str">
            <v>unknown</v>
          </cell>
        </row>
        <row r="1486">
          <cell r="A1486">
            <v>8096</v>
          </cell>
          <cell r="B1486" t="str">
            <v>ja</v>
          </cell>
          <cell r="C1486" t="str">
            <v>バハムートダック緑</v>
          </cell>
          <cell r="D1486" t="str">
            <v>ポムポムプリン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green</v>
          </cell>
          <cell r="I1486">
            <v>6</v>
          </cell>
          <cell r="J1486" t="str">
            <v>Material</v>
          </cell>
          <cell r="K1486" t="str">
            <v>exp</v>
          </cell>
          <cell r="L1486" t="str">
            <v>強化素材タイプ</v>
          </cell>
          <cell r="M1486" t="str">
            <v>unknown</v>
          </cell>
        </row>
        <row r="1487">
          <cell r="A1487">
            <v>8097</v>
          </cell>
          <cell r="B1487" t="str">
            <v>ja</v>
          </cell>
          <cell r="C1487" t="str">
            <v>バハムートダック青</v>
          </cell>
          <cell r="D1487" t="str">
            <v>ポムポムプリン</v>
          </cell>
          <cell r="E1487" t="str">
            <v>執行者</v>
          </cell>
          <cell r="F1487" t="str">
            <v>格好いい</v>
          </cell>
          <cell r="G1487" t="str">
            <v>女性</v>
          </cell>
          <cell r="H1487" t="str">
            <v>blue</v>
          </cell>
          <cell r="I1487">
            <v>6</v>
          </cell>
          <cell r="J1487" t="str">
            <v>Material</v>
          </cell>
          <cell r="K1487" t="str">
            <v>exp</v>
          </cell>
          <cell r="L1487" t="str">
            <v>強化素材タイプ</v>
          </cell>
          <cell r="M1487" t="str">
            <v>unknown</v>
          </cell>
        </row>
        <row r="1488">
          <cell r="A1488">
            <v>8098</v>
          </cell>
          <cell r="B1488" t="str">
            <v>ja</v>
          </cell>
          <cell r="C1488" t="str">
            <v>バハムートダック黄</v>
          </cell>
          <cell r="D1488" t="str">
            <v>ポムポムプリン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yellow</v>
          </cell>
          <cell r="I1488">
            <v>6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8099</v>
          </cell>
          <cell r="B1489" t="str">
            <v>ja</v>
          </cell>
          <cell r="C1489" t="str">
            <v>リトルハンプティ</v>
          </cell>
          <cell r="D1489" t="str">
            <v>各属性相性良3・黄・R455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green</v>
          </cell>
          <cell r="I1489">
            <v>6</v>
          </cell>
          <cell r="J1489" t="str">
            <v>Material</v>
          </cell>
          <cell r="K1489" t="str">
            <v>evolution</v>
          </cell>
          <cell r="L1489" t="str">
            <v>覚醒素材タイプ</v>
          </cell>
          <cell r="M1489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33" sqref="C33"/>
    </sheetView>
  </sheetViews>
  <sheetFormatPr baseColWidth="12" defaultRowHeight="15" x14ac:dyDescent="0.15"/>
  <cols>
    <col min="1" max="1" width="45" style="63" customWidth="1"/>
    <col min="2" max="16384" width="13" style="63"/>
  </cols>
  <sheetData>
    <row r="1" spans="1:13" x14ac:dyDescent="0.15">
      <c r="A1" s="63" t="s">
        <v>111</v>
      </c>
      <c r="B1" s="63" t="s">
        <v>112</v>
      </c>
    </row>
    <row r="2" spans="1:13" x14ac:dyDescent="0.15">
      <c r="A2" s="63" t="s">
        <v>113</v>
      </c>
      <c r="B2" s="63" t="s">
        <v>114</v>
      </c>
      <c r="C2" s="63" t="s">
        <v>115</v>
      </c>
      <c r="D2" s="63" t="s">
        <v>116</v>
      </c>
      <c r="E2" s="63" t="s">
        <v>117</v>
      </c>
      <c r="F2" s="63" t="s">
        <v>118</v>
      </c>
      <c r="G2" s="63" t="s">
        <v>119</v>
      </c>
      <c r="H2" s="63" t="s">
        <v>120</v>
      </c>
    </row>
    <row r="3" spans="1:13" x14ac:dyDescent="0.15">
      <c r="A3" s="63">
        <v>3</v>
      </c>
      <c r="B3" s="64" t="s">
        <v>121</v>
      </c>
      <c r="C3" s="64" t="s">
        <v>122</v>
      </c>
      <c r="D3" s="63">
        <v>0</v>
      </c>
      <c r="E3" s="64" t="s">
        <v>123</v>
      </c>
      <c r="F3" s="63">
        <v>0</v>
      </c>
      <c r="G3" s="63">
        <v>0</v>
      </c>
      <c r="H3" s="65">
        <v>0.5</v>
      </c>
    </row>
    <row r="4" spans="1:13" x14ac:dyDescent="0.15">
      <c r="A4" s="63">
        <v>4</v>
      </c>
      <c r="B4" s="64" t="s">
        <v>124</v>
      </c>
      <c r="C4" s="64" t="s">
        <v>125</v>
      </c>
      <c r="D4" s="64" t="s">
        <v>126</v>
      </c>
      <c r="E4" s="64" t="s">
        <v>127</v>
      </c>
      <c r="F4" s="64" t="s">
        <v>128</v>
      </c>
      <c r="G4" s="63">
        <v>0</v>
      </c>
      <c r="H4" s="65">
        <v>0.45</v>
      </c>
    </row>
    <row r="5" spans="1:13" x14ac:dyDescent="0.15">
      <c r="A5" s="63">
        <v>5</v>
      </c>
      <c r="B5" s="66">
        <v>0</v>
      </c>
      <c r="C5" s="64" t="s">
        <v>129</v>
      </c>
      <c r="D5" s="64" t="s">
        <v>130</v>
      </c>
      <c r="E5" s="64" t="s">
        <v>131</v>
      </c>
      <c r="F5" s="64" t="s">
        <v>132</v>
      </c>
      <c r="G5" s="64" t="s">
        <v>133</v>
      </c>
      <c r="H5" s="65">
        <v>0.05</v>
      </c>
    </row>
    <row r="6" spans="1:13" x14ac:dyDescent="0.15">
      <c r="B6" s="65" t="s">
        <v>134</v>
      </c>
      <c r="C6" s="65" t="s">
        <v>134</v>
      </c>
      <c r="D6" s="65" t="s">
        <v>135</v>
      </c>
      <c r="E6" s="65" t="s">
        <v>134</v>
      </c>
      <c r="F6" s="65" t="s">
        <v>134</v>
      </c>
      <c r="G6" s="67" t="s">
        <v>136</v>
      </c>
      <c r="H6" s="65">
        <v>1</v>
      </c>
    </row>
    <row r="7" spans="1:13" x14ac:dyDescent="0.15">
      <c r="B7" s="65"/>
      <c r="C7" s="65"/>
      <c r="D7" s="65"/>
      <c r="E7" s="65"/>
      <c r="F7" s="65"/>
      <c r="G7" s="67"/>
      <c r="H7" s="65"/>
    </row>
    <row r="8" spans="1:13" x14ac:dyDescent="0.15">
      <c r="A8" s="63" t="s">
        <v>137</v>
      </c>
      <c r="B8" s="65"/>
      <c r="C8" s="65"/>
      <c r="D8" s="65"/>
      <c r="E8" s="65"/>
      <c r="F8" s="65"/>
      <c r="G8" s="67"/>
      <c r="H8" s="65"/>
    </row>
    <row r="9" spans="1:13" x14ac:dyDescent="0.15">
      <c r="A9" s="63" t="s">
        <v>138</v>
      </c>
      <c r="B9" s="65"/>
      <c r="C9" s="65"/>
      <c r="D9" s="65"/>
      <c r="E9" s="65"/>
      <c r="F9" s="65"/>
      <c r="G9" s="67"/>
      <c r="H9" s="65"/>
    </row>
    <row r="10" spans="1:13" x14ac:dyDescent="0.15">
      <c r="A10" s="63" t="s">
        <v>139</v>
      </c>
      <c r="B10" s="65"/>
      <c r="C10" s="65"/>
      <c r="D10" s="65"/>
      <c r="E10" s="65"/>
      <c r="F10" s="65"/>
      <c r="G10" s="67"/>
      <c r="H10" s="65"/>
    </row>
    <row r="11" spans="1:13" x14ac:dyDescent="0.15">
      <c r="A11" s="63" t="s">
        <v>140</v>
      </c>
      <c r="B11" s="65"/>
      <c r="C11" s="65"/>
      <c r="D11" s="65"/>
      <c r="E11" s="65"/>
      <c r="F11" s="65"/>
      <c r="G11" s="67"/>
      <c r="H11" s="65"/>
    </row>
    <row r="12" spans="1:13" x14ac:dyDescent="0.15">
      <c r="A12" s="63" t="s">
        <v>133</v>
      </c>
      <c r="B12" s="65" t="s">
        <v>141</v>
      </c>
      <c r="C12" s="65" t="s">
        <v>142</v>
      </c>
      <c r="D12" s="65"/>
      <c r="E12" s="65"/>
      <c r="F12" s="65"/>
      <c r="G12" s="67"/>
      <c r="H12" s="65"/>
    </row>
    <row r="13" spans="1:13" x14ac:dyDescent="0.15">
      <c r="A13" s="63" t="s">
        <v>143</v>
      </c>
      <c r="B13" s="63" t="s">
        <v>144</v>
      </c>
      <c r="C13" s="63" t="s">
        <v>145</v>
      </c>
    </row>
    <row r="14" spans="1:13" x14ac:dyDescent="0.15">
      <c r="A14" s="63" t="s">
        <v>146</v>
      </c>
      <c r="B14" s="63" t="s">
        <v>141</v>
      </c>
      <c r="C14" s="66" t="s">
        <v>147</v>
      </c>
      <c r="E14" s="66"/>
      <c r="F14" s="66"/>
      <c r="M14" s="65"/>
    </row>
    <row r="15" spans="1:13" x14ac:dyDescent="0.15">
      <c r="A15" s="63" t="s">
        <v>123</v>
      </c>
      <c r="B15" s="65" t="s">
        <v>141</v>
      </c>
      <c r="C15" s="65" t="s">
        <v>148</v>
      </c>
      <c r="H15" s="68"/>
      <c r="M15" s="65"/>
    </row>
    <row r="16" spans="1:13" x14ac:dyDescent="0.15">
      <c r="A16" s="63" t="s">
        <v>127</v>
      </c>
      <c r="B16" s="65" t="s">
        <v>141</v>
      </c>
      <c r="C16" s="65" t="s">
        <v>149</v>
      </c>
      <c r="M16" s="65"/>
    </row>
    <row r="17" spans="1:13" x14ac:dyDescent="0.15">
      <c r="A17" s="63" t="s">
        <v>150</v>
      </c>
      <c r="B17" s="65" t="s">
        <v>141</v>
      </c>
      <c r="C17" s="65" t="s">
        <v>151</v>
      </c>
      <c r="M17" s="65"/>
    </row>
    <row r="18" spans="1:13" x14ac:dyDescent="0.15">
      <c r="B18" s="65"/>
      <c r="C18" s="65"/>
    </row>
    <row r="19" spans="1:13" x14ac:dyDescent="0.15">
      <c r="A19" s="63" t="s">
        <v>152</v>
      </c>
    </row>
    <row r="20" spans="1:13" x14ac:dyDescent="0.15">
      <c r="A20" s="63" t="s">
        <v>153</v>
      </c>
      <c r="B20" s="65"/>
      <c r="C20" s="65"/>
    </row>
    <row r="21" spans="1:13" x14ac:dyDescent="0.15">
      <c r="A21" s="63" t="s">
        <v>154</v>
      </c>
      <c r="B21" s="65" t="s">
        <v>155</v>
      </c>
      <c r="C21" s="65" t="s">
        <v>156</v>
      </c>
      <c r="D21" s="63" t="s">
        <v>157</v>
      </c>
    </row>
    <row r="22" spans="1:13" x14ac:dyDescent="0.15">
      <c r="A22" s="63" t="s">
        <v>158</v>
      </c>
      <c r="B22" s="65" t="s">
        <v>141</v>
      </c>
      <c r="C22" s="65" t="s">
        <v>159</v>
      </c>
      <c r="D22" s="63" t="s">
        <v>160</v>
      </c>
    </row>
    <row r="23" spans="1:13" x14ac:dyDescent="0.15">
      <c r="A23" s="63" t="s">
        <v>161</v>
      </c>
      <c r="B23" s="65" t="s">
        <v>141</v>
      </c>
      <c r="C23" s="63" t="s">
        <v>162</v>
      </c>
      <c r="D23" s="63" t="s">
        <v>163</v>
      </c>
    </row>
    <row r="24" spans="1:13" x14ac:dyDescent="0.15">
      <c r="A24" s="63" t="s">
        <v>164</v>
      </c>
      <c r="B24" s="65" t="s">
        <v>141</v>
      </c>
      <c r="C24" s="65" t="s">
        <v>165</v>
      </c>
      <c r="D24" s="63" t="s">
        <v>166</v>
      </c>
    </row>
    <row r="25" spans="1:13" x14ac:dyDescent="0.15">
      <c r="A25" s="63" t="s">
        <v>167</v>
      </c>
      <c r="B25" s="65" t="s">
        <v>141</v>
      </c>
      <c r="C25" s="65" t="s">
        <v>168</v>
      </c>
      <c r="D25" s="63" t="s">
        <v>169</v>
      </c>
    </row>
    <row r="26" spans="1:13" x14ac:dyDescent="0.15">
      <c r="A26" s="63" t="s">
        <v>170</v>
      </c>
      <c r="B26" s="65" t="s">
        <v>141</v>
      </c>
      <c r="C26" s="65" t="s">
        <v>171</v>
      </c>
      <c r="D26" s="63" t="s">
        <v>172</v>
      </c>
    </row>
    <row r="27" spans="1:13" x14ac:dyDescent="0.15">
      <c r="A27" s="63" t="s">
        <v>173</v>
      </c>
      <c r="B27" s="65" t="s">
        <v>141</v>
      </c>
      <c r="C27" s="65" t="s">
        <v>135</v>
      </c>
      <c r="D27" s="63" t="s">
        <v>174</v>
      </c>
      <c r="E27" s="63" t="s">
        <v>175</v>
      </c>
    </row>
    <row r="28" spans="1:13" x14ac:dyDescent="0.15">
      <c r="A28" s="63" t="s">
        <v>122</v>
      </c>
      <c r="B28" s="65" t="s">
        <v>141</v>
      </c>
      <c r="C28" s="65" t="s">
        <v>176</v>
      </c>
      <c r="E28" s="63" t="s">
        <v>177</v>
      </c>
    </row>
    <row r="29" spans="1:13" x14ac:dyDescent="0.15">
      <c r="A29" s="63" t="s">
        <v>125</v>
      </c>
      <c r="B29" s="65" t="s">
        <v>141</v>
      </c>
      <c r="C29" s="65" t="s">
        <v>178</v>
      </c>
    </row>
    <row r="30" spans="1:13" x14ac:dyDescent="0.15">
      <c r="B30" s="65"/>
    </row>
    <row r="31" spans="1:13" x14ac:dyDescent="0.15">
      <c r="A31" s="63" t="s">
        <v>179</v>
      </c>
    </row>
    <row r="32" spans="1:13" x14ac:dyDescent="0.15">
      <c r="A32" s="63" t="s">
        <v>180</v>
      </c>
      <c r="B32" s="65" t="s">
        <v>141</v>
      </c>
      <c r="C32" s="65" t="s">
        <v>181</v>
      </c>
    </row>
    <row r="33" spans="1:13" x14ac:dyDescent="0.15">
      <c r="A33" s="63" t="s">
        <v>125</v>
      </c>
      <c r="B33" s="65" t="s">
        <v>141</v>
      </c>
      <c r="C33" s="65" t="s">
        <v>182</v>
      </c>
    </row>
    <row r="34" spans="1:13" x14ac:dyDescent="0.15">
      <c r="A34" s="63" t="s">
        <v>122</v>
      </c>
      <c r="B34" s="65" t="s">
        <v>141</v>
      </c>
      <c r="C34" s="65" t="s">
        <v>183</v>
      </c>
    </row>
    <row r="35" spans="1:13" x14ac:dyDescent="0.15">
      <c r="A35" s="63" t="s">
        <v>121</v>
      </c>
      <c r="B35" s="65" t="s">
        <v>141</v>
      </c>
      <c r="C35" s="65" t="s">
        <v>184</v>
      </c>
    </row>
    <row r="36" spans="1:13" x14ac:dyDescent="0.15">
      <c r="A36" s="63" t="s">
        <v>124</v>
      </c>
      <c r="B36" s="65" t="s">
        <v>141</v>
      </c>
      <c r="C36" s="65" t="s">
        <v>185</v>
      </c>
    </row>
    <row r="37" spans="1:13" x14ac:dyDescent="0.15">
      <c r="A37" s="63" t="s">
        <v>130</v>
      </c>
      <c r="B37" s="65" t="s">
        <v>141</v>
      </c>
      <c r="C37" s="65" t="s">
        <v>186</v>
      </c>
    </row>
    <row r="38" spans="1:13" x14ac:dyDescent="0.15">
      <c r="A38" s="63" t="s">
        <v>126</v>
      </c>
      <c r="B38" s="65" t="s">
        <v>141</v>
      </c>
      <c r="C38" s="65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5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E24" sqref="E2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51</v>
      </c>
      <c r="B1" s="15" t="s">
        <v>39</v>
      </c>
      <c r="C1" s="15" t="s">
        <v>40</v>
      </c>
      <c r="D1" s="15" t="s">
        <v>41</v>
      </c>
      <c r="E1" s="15" t="s">
        <v>42</v>
      </c>
      <c r="F1" s="15" t="s">
        <v>43</v>
      </c>
      <c r="G1" s="15" t="s">
        <v>44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90" t="s">
        <v>245</v>
      </c>
      <c r="B2" s="60" t="s">
        <v>110</v>
      </c>
      <c r="C2" s="49" t="str">
        <f t="shared" ref="C2" si="0">RIGHT(F2,6)</f>
        <v>510100</v>
      </c>
      <c r="D2" s="18" t="s">
        <v>45</v>
      </c>
      <c r="E2" s="16" t="str">
        <f t="shared" ref="E2" si="1">B2&amp;C2&amp;D2</f>
        <v>gacha_select_tables_510100.tmp</v>
      </c>
      <c r="F2" s="101" t="s">
        <v>253</v>
      </c>
      <c r="G2" s="48" t="s">
        <v>85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91" t="s">
        <v>245</v>
      </c>
      <c r="B3" s="60" t="s">
        <v>110</v>
      </c>
      <c r="C3" s="49" t="str">
        <f t="shared" ref="C3:C7" si="2">RIGHT(F3,6)</f>
        <v>510010</v>
      </c>
      <c r="D3" s="18" t="s">
        <v>45</v>
      </c>
      <c r="E3" s="16" t="str">
        <f t="shared" ref="E3:E10" si="3">B3&amp;C3&amp;D3</f>
        <v>gacha_select_tables_510010.tmp</v>
      </c>
      <c r="F3" s="101" t="s">
        <v>254</v>
      </c>
      <c r="G3" s="48" t="s">
        <v>85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94" t="s">
        <v>246</v>
      </c>
      <c r="B4" s="95" t="s">
        <v>247</v>
      </c>
      <c r="C4" s="96" t="str">
        <f t="shared" si="2"/>
        <v>510100</v>
      </c>
      <c r="D4" s="18" t="s">
        <v>248</v>
      </c>
      <c r="E4" s="16" t="str">
        <f t="shared" si="3"/>
        <v>gacha_settle_tables_510100.tmp</v>
      </c>
      <c r="F4" s="101" t="s">
        <v>255</v>
      </c>
      <c r="G4" s="48" t="s">
        <v>85</v>
      </c>
      <c r="H4" s="21" t="s">
        <v>0</v>
      </c>
      <c r="I4" s="21" t="s">
        <v>3</v>
      </c>
      <c r="J4" s="21" t="s">
        <v>4</v>
      </c>
      <c r="K4" s="21" t="s">
        <v>5</v>
      </c>
      <c r="L4" s="21" t="s">
        <v>6</v>
      </c>
      <c r="M4" s="21" t="s">
        <v>7</v>
      </c>
      <c r="N4" s="21" t="s">
        <v>8</v>
      </c>
      <c r="O4" s="21" t="s">
        <v>9</v>
      </c>
    </row>
    <row r="5" spans="1:21" x14ac:dyDescent="0.15">
      <c r="A5" s="86" t="s">
        <v>241</v>
      </c>
      <c r="B5" s="60" t="s">
        <v>110</v>
      </c>
      <c r="C5" s="49" t="str">
        <f t="shared" si="2"/>
        <v>363104</v>
      </c>
      <c r="D5" s="18" t="s">
        <v>45</v>
      </c>
      <c r="E5" s="16" t="str">
        <f t="shared" ref="E5:E7" si="4">B5&amp;C5&amp;D5</f>
        <v>gacha_select_tables_363104.tmp</v>
      </c>
      <c r="F5" s="89" t="s">
        <v>242</v>
      </c>
      <c r="G5" s="48" t="s">
        <v>84</v>
      </c>
      <c r="H5" s="21" t="s">
        <v>0</v>
      </c>
      <c r="I5" s="21" t="s">
        <v>3</v>
      </c>
      <c r="J5" s="21" t="s">
        <v>4</v>
      </c>
      <c r="K5" s="21" t="s">
        <v>5</v>
      </c>
      <c r="L5" s="21" t="s">
        <v>6</v>
      </c>
      <c r="M5" s="21" t="s">
        <v>7</v>
      </c>
      <c r="N5" s="21" t="s">
        <v>8</v>
      </c>
      <c r="O5" s="21" t="s">
        <v>9</v>
      </c>
    </row>
    <row r="6" spans="1:21" x14ac:dyDescent="0.15">
      <c r="A6" s="86" t="s">
        <v>241</v>
      </c>
      <c r="B6" s="60" t="s">
        <v>110</v>
      </c>
      <c r="C6" s="49" t="str">
        <f t="shared" ref="C6" si="5">RIGHT(F6,6)</f>
        <v>363105</v>
      </c>
      <c r="D6" s="18" t="s">
        <v>45</v>
      </c>
      <c r="E6" s="16" t="str">
        <f t="shared" ref="E6" si="6">B6&amp;C6&amp;D6</f>
        <v>gacha_select_tables_363105.tmp</v>
      </c>
      <c r="F6" s="89" t="s">
        <v>243</v>
      </c>
      <c r="G6" s="48" t="s">
        <v>84</v>
      </c>
      <c r="H6" s="21" t="s">
        <v>0</v>
      </c>
      <c r="I6" s="21" t="s">
        <v>3</v>
      </c>
      <c r="J6" s="21" t="s">
        <v>4</v>
      </c>
      <c r="K6" s="21" t="s">
        <v>5</v>
      </c>
      <c r="L6" s="21" t="s">
        <v>6</v>
      </c>
      <c r="M6" s="21" t="s">
        <v>7</v>
      </c>
      <c r="N6" s="21" t="s">
        <v>8</v>
      </c>
      <c r="O6" s="21" t="s">
        <v>9</v>
      </c>
    </row>
    <row r="7" spans="1:21" x14ac:dyDescent="0.15">
      <c r="A7" s="86" t="s">
        <v>241</v>
      </c>
      <c r="B7" s="60" t="s">
        <v>110</v>
      </c>
      <c r="C7" s="49" t="str">
        <f t="shared" si="2"/>
        <v>363100</v>
      </c>
      <c r="D7" s="18" t="s">
        <v>45</v>
      </c>
      <c r="E7" s="16" t="str">
        <f t="shared" si="4"/>
        <v>gacha_select_tables_363100.tmp</v>
      </c>
      <c r="F7" s="89" t="s">
        <v>244</v>
      </c>
      <c r="G7" s="48" t="s">
        <v>84</v>
      </c>
      <c r="H7" s="21" t="s">
        <v>0</v>
      </c>
      <c r="I7" s="21" t="s">
        <v>3</v>
      </c>
      <c r="J7" s="21" t="s">
        <v>4</v>
      </c>
      <c r="K7" s="21" t="s">
        <v>5</v>
      </c>
      <c r="L7" s="21" t="s">
        <v>6</v>
      </c>
      <c r="M7" s="21" t="s">
        <v>7</v>
      </c>
      <c r="N7" s="21" t="s">
        <v>8</v>
      </c>
      <c r="O7" s="21" t="s">
        <v>9</v>
      </c>
    </row>
    <row r="8" spans="1:21" x14ac:dyDescent="0.15">
      <c r="A8" s="86" t="s">
        <v>241</v>
      </c>
      <c r="B8" s="26" t="s">
        <v>50</v>
      </c>
      <c r="C8" s="31">
        <v>363</v>
      </c>
      <c r="D8" s="18" t="s">
        <v>46</v>
      </c>
      <c r="E8" s="16" t="str">
        <f t="shared" si="3"/>
        <v>gacha_bonus_tables_363.tmp</v>
      </c>
      <c r="F8" s="18" t="s">
        <v>47</v>
      </c>
      <c r="G8" s="20" t="s">
        <v>11</v>
      </c>
      <c r="H8" s="22" t="s">
        <v>14</v>
      </c>
      <c r="I8" s="20" t="s">
        <v>12</v>
      </c>
      <c r="J8" s="19"/>
      <c r="K8" s="19"/>
      <c r="L8" s="19"/>
      <c r="M8" s="19"/>
      <c r="N8" s="19"/>
      <c r="O8" s="19"/>
    </row>
    <row r="9" spans="1:21" x14ac:dyDescent="0.15">
      <c r="A9" s="86" t="s">
        <v>241</v>
      </c>
      <c r="B9" s="18" t="s">
        <v>48</v>
      </c>
      <c r="C9" s="31">
        <v>363</v>
      </c>
      <c r="D9" s="18" t="s">
        <v>46</v>
      </c>
      <c r="E9" s="16" t="str">
        <f t="shared" si="3"/>
        <v>gifts_tmp_363.tmp</v>
      </c>
      <c r="F9" s="18" t="s">
        <v>47</v>
      </c>
      <c r="G9" s="22" t="s">
        <v>22</v>
      </c>
      <c r="H9" s="23" t="s">
        <v>30</v>
      </c>
      <c r="I9" s="22" t="s">
        <v>23</v>
      </c>
      <c r="J9" s="22" t="s">
        <v>24</v>
      </c>
      <c r="K9" s="22" t="s">
        <v>24</v>
      </c>
      <c r="L9" s="22" t="s">
        <v>25</v>
      </c>
      <c r="M9" s="22" t="s">
        <v>25</v>
      </c>
      <c r="N9" s="22" t="s">
        <v>25</v>
      </c>
      <c r="O9" s="50" t="s">
        <v>7</v>
      </c>
      <c r="P9" s="50" t="s">
        <v>9</v>
      </c>
      <c r="Q9" s="50" t="s">
        <v>6</v>
      </c>
      <c r="R9" s="50" t="s">
        <v>86</v>
      </c>
      <c r="S9" s="50" t="s">
        <v>8</v>
      </c>
      <c r="T9" s="50" t="s">
        <v>87</v>
      </c>
      <c r="U9" s="50" t="s">
        <v>5</v>
      </c>
    </row>
    <row r="10" spans="1:21" x14ac:dyDescent="0.15">
      <c r="A10" s="86" t="s">
        <v>241</v>
      </c>
      <c r="B10" s="18" t="s">
        <v>49</v>
      </c>
      <c r="C10" s="31">
        <v>363</v>
      </c>
      <c r="D10" s="18" t="s">
        <v>46</v>
      </c>
      <c r="E10" s="16" t="str">
        <f t="shared" si="3"/>
        <v>gifts_i18n_363.tmp</v>
      </c>
      <c r="F10" s="18" t="s">
        <v>47</v>
      </c>
      <c r="G10" s="22" t="s">
        <v>13</v>
      </c>
      <c r="H10" s="24" t="s">
        <v>26</v>
      </c>
      <c r="I10" s="24" t="s">
        <v>27</v>
      </c>
      <c r="J10" s="24" t="s">
        <v>28</v>
      </c>
      <c r="K10" s="24" t="s">
        <v>29</v>
      </c>
      <c r="L10" s="25"/>
      <c r="M10" s="22"/>
      <c r="N10" s="22"/>
      <c r="O10" s="18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8" sqref="G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7" t="s">
        <v>82</v>
      </c>
      <c r="B1" s="47"/>
      <c r="L1" s="37" t="s">
        <v>61</v>
      </c>
      <c r="M1" s="37"/>
      <c r="U1" t="s">
        <v>61</v>
      </c>
    </row>
    <row r="2" spans="1:22" x14ac:dyDescent="0.15">
      <c r="A2" t="str">
        <f ca="1">RIGHT(RIGHT(CELL("filename",A2),LEN(CELL("filename",A2))-FIND("]",CELL("filename",A2))),6)</f>
        <v>510010</v>
      </c>
      <c r="L2" s="32" t="s">
        <v>1</v>
      </c>
      <c r="M2" s="36" t="s">
        <v>65</v>
      </c>
      <c r="N2" s="32" t="s">
        <v>63</v>
      </c>
      <c r="O2" s="36" t="s">
        <v>66</v>
      </c>
      <c r="P2" s="36" t="s">
        <v>67</v>
      </c>
      <c r="Q2" s="36" t="s">
        <v>64</v>
      </c>
      <c r="R2" s="43" t="s">
        <v>73</v>
      </c>
      <c r="U2" s="32" t="s">
        <v>190</v>
      </c>
      <c r="V2" s="53">
        <f t="shared" ref="V2:V16" si="0">SUMIF(Q:Q,U2,N:N)</f>
        <v>0</v>
      </c>
    </row>
    <row r="3" spans="1:22" x14ac:dyDescent="0.15">
      <c r="H3" s="72" t="s">
        <v>211</v>
      </c>
      <c r="L3" s="1">
        <v>1226</v>
      </c>
      <c r="M3" s="36" t="str">
        <f>VLOOKUP(L3,[1]characters!$A:$C,3,FALSE)</f>
        <v>トルストイ</v>
      </c>
      <c r="N3" s="62">
        <v>0.03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VLOOKUP(L3,tables_510010!B:C,2,FALSE)</f>
        <v>PremiumSS5R5only</v>
      </c>
      <c r="R3" s="61">
        <f t="shared" ref="R3:R20" si="1">N3*A$36</f>
        <v>220800</v>
      </c>
      <c r="S3">
        <v>190</v>
      </c>
      <c r="U3" s="32" t="s">
        <v>191</v>
      </c>
      <c r="V3" s="53">
        <f t="shared" si="0"/>
        <v>0</v>
      </c>
    </row>
    <row r="4" spans="1:22" x14ac:dyDescent="0.15">
      <c r="A4" s="33" t="s">
        <v>53</v>
      </c>
      <c r="B4" s="33"/>
      <c r="D4" t="s">
        <v>200</v>
      </c>
      <c r="F4" t="s">
        <v>203</v>
      </c>
      <c r="H4" t="s">
        <v>209</v>
      </c>
      <c r="I4" t="s">
        <v>210</v>
      </c>
      <c r="L4" s="1">
        <v>494</v>
      </c>
      <c r="M4" s="36" t="str">
        <f>VLOOKUP(L4,[1]characters!$A:$C,3,FALSE)</f>
        <v>ハーメルン</v>
      </c>
      <c r="N4" s="62">
        <f>0.03*SUM(B5:B6)</f>
        <v>2.775E-2</v>
      </c>
      <c r="O4" s="36">
        <f>VLOOKUP(L4,[1]characters!$A:$I,9,FALSE)</f>
        <v>4</v>
      </c>
      <c r="P4" s="36" t="str">
        <f>VLOOKUP(L4,[1]characters!$A:$J,10,FALSE)</f>
        <v>PremiumSS</v>
      </c>
      <c r="Q4" s="36" t="str">
        <f>VLOOKUP(L4,tables_510010!B:C,2,FALSE)</f>
        <v>PremiumSS4</v>
      </c>
      <c r="R4" s="61">
        <f t="shared" si="1"/>
        <v>204240</v>
      </c>
      <c r="S4">
        <v>191</v>
      </c>
      <c r="U4" s="32" t="s">
        <v>97</v>
      </c>
      <c r="V4" s="53">
        <f t="shared" si="0"/>
        <v>0</v>
      </c>
    </row>
    <row r="5" spans="1:22" x14ac:dyDescent="0.15">
      <c r="A5" s="32" t="s">
        <v>68</v>
      </c>
      <c r="B5" s="71">
        <f>1-SUM(B6:B7)</f>
        <v>0.42500000000000004</v>
      </c>
      <c r="D5" t="s">
        <v>201</v>
      </c>
      <c r="E5" s="42">
        <f>(B11-H5)/(F5-I5)</f>
        <v>9.3749999999999997E-4</v>
      </c>
      <c r="F5">
        <f>(COUNTIF(tables_510010!C:C,input_510010!A28)+COUNTIF(tables_510010!C:C,input_510010!A29))</f>
        <v>18</v>
      </c>
      <c r="H5" s="83">
        <v>0.06</v>
      </c>
      <c r="I5" s="30">
        <v>2</v>
      </c>
      <c r="L5" s="1">
        <v>495</v>
      </c>
      <c r="M5" s="36" t="str">
        <f>VLOOKUP(L5,[1]characters!$A:$C,3,FALSE)</f>
        <v>鼠災呼ぶ笛音 ハーメルン</v>
      </c>
      <c r="N5" s="62">
        <f>0.03-N4</f>
        <v>2.2499999999999985E-3</v>
      </c>
      <c r="O5" s="36">
        <f>VLOOKUP(L5,[1]characters!$A:$I,9,FALSE)</f>
        <v>5</v>
      </c>
      <c r="P5" s="36" t="str">
        <f>VLOOKUP(L5,[1]characters!$A:$J,10,FALSE)</f>
        <v>PremiumSS</v>
      </c>
      <c r="Q5" s="36" t="str">
        <f>VLOOKUP(L5,tables_510010!B:C,2,FALSE)</f>
        <v>PremiumSS5</v>
      </c>
      <c r="R5" s="61">
        <f t="shared" si="1"/>
        <v>16559.999999999989</v>
      </c>
      <c r="S5">
        <v>192</v>
      </c>
      <c r="U5" s="32" t="s">
        <v>98</v>
      </c>
      <c r="V5" s="53">
        <f t="shared" si="0"/>
        <v>0</v>
      </c>
    </row>
    <row r="6" spans="1:22" x14ac:dyDescent="0.15">
      <c r="A6" s="32" t="s">
        <v>69</v>
      </c>
      <c r="B6" s="71">
        <v>0.5</v>
      </c>
      <c r="D6" t="s">
        <v>202</v>
      </c>
      <c r="E6" s="75">
        <f>(B10-H6)/(F6-I6)</f>
        <v>4.021739130434783E-2</v>
      </c>
      <c r="F6">
        <f>(COUNTIF(tables_510010!C:C,input_510010!A25)+COUNTIF(tables_510010!C:C,input_510010!A18)+COUNTIF(tables_510010!C:C,input_510010!A20)+COUNTIF(tables_510010!C:C,input_510010!A22))</f>
        <v>23</v>
      </c>
      <c r="H6" s="88">
        <v>0</v>
      </c>
      <c r="I6" s="30">
        <v>0</v>
      </c>
      <c r="L6" s="1"/>
      <c r="M6" s="36" t="e">
        <f>VLOOKUP(L6,[1]characters!$A:$C,3,FALSE)</f>
        <v>#N/A</v>
      </c>
      <c r="N6" s="62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VLOOKUP(L6,tables_510010!B:C,2,FALSE)</f>
        <v>#N/A</v>
      </c>
      <c r="R6" s="61">
        <f t="shared" si="1"/>
        <v>0</v>
      </c>
      <c r="S6">
        <v>596</v>
      </c>
      <c r="U6" s="32" t="s">
        <v>99</v>
      </c>
      <c r="V6" s="53">
        <f t="shared" si="0"/>
        <v>0</v>
      </c>
    </row>
    <row r="7" spans="1:22" x14ac:dyDescent="0.15">
      <c r="A7" s="32" t="s">
        <v>70</v>
      </c>
      <c r="B7" s="71">
        <v>7.4999999999999997E-2</v>
      </c>
      <c r="L7" s="1"/>
      <c r="M7" s="36" t="e">
        <f>VLOOKUP(L7,[1]characters!$A:$C,3,FALSE)</f>
        <v>#N/A</v>
      </c>
      <c r="N7" s="62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VLOOKUP(L7,tables_510010!B:C,2,FALSE)</f>
        <v>#N/A</v>
      </c>
      <c r="R7" s="61">
        <f t="shared" si="1"/>
        <v>0</v>
      </c>
      <c r="S7">
        <v>597</v>
      </c>
      <c r="U7" s="32" t="s">
        <v>196</v>
      </c>
      <c r="V7" s="53">
        <f t="shared" si="0"/>
        <v>0</v>
      </c>
    </row>
    <row r="8" spans="1:22" x14ac:dyDescent="0.15">
      <c r="A8" s="56"/>
      <c r="B8" s="70"/>
      <c r="E8" s="75"/>
      <c r="L8" s="59"/>
      <c r="M8" s="36" t="e">
        <f>VLOOKUP(L8,[1]characters!$A:$C,3,FALSE)</f>
        <v>#N/A</v>
      </c>
      <c r="N8" s="62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VLOOKUP(L8,tables_510010!B:C,2,FALSE)</f>
        <v>#N/A</v>
      </c>
      <c r="R8" s="61">
        <f t="shared" si="1"/>
        <v>0</v>
      </c>
      <c r="S8">
        <v>598</v>
      </c>
      <c r="U8" s="32" t="s">
        <v>197</v>
      </c>
      <c r="V8" s="53">
        <f t="shared" si="0"/>
        <v>0</v>
      </c>
    </row>
    <row r="9" spans="1:22" x14ac:dyDescent="0.15">
      <c r="A9" s="34" t="s">
        <v>54</v>
      </c>
      <c r="B9" s="34"/>
      <c r="L9" s="87"/>
      <c r="M9" s="36" t="e">
        <f>VLOOKUP(L9,[1]characters!$A:$C,3,FALSE)</f>
        <v>#N/A</v>
      </c>
      <c r="N9" s="62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VLOOKUP(L9,tables_510010!B:C,2,FALSE)</f>
        <v>#N/A</v>
      </c>
      <c r="R9" s="61">
        <f t="shared" si="1"/>
        <v>0</v>
      </c>
      <c r="S9">
        <v>390</v>
      </c>
      <c r="U9" s="32" t="s">
        <v>193</v>
      </c>
      <c r="V9" s="53">
        <f t="shared" si="0"/>
        <v>0</v>
      </c>
    </row>
    <row r="10" spans="1:22" x14ac:dyDescent="0.15">
      <c r="A10" s="32" t="s">
        <v>96</v>
      </c>
      <c r="B10" s="71">
        <f>1-B11-B12</f>
        <v>0.92500000000000004</v>
      </c>
      <c r="C10" t="s">
        <v>208</v>
      </c>
      <c r="L10" s="87"/>
      <c r="M10" s="36" t="e">
        <f>VLOOKUP(L10,[1]characters!$A:$C,3,FALSE)</f>
        <v>#N/A</v>
      </c>
      <c r="N10" s="62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VLOOKUP(L10,tables_510010!B:C,2,FALSE)</f>
        <v>#N/A</v>
      </c>
      <c r="R10" s="61">
        <f t="shared" si="1"/>
        <v>0</v>
      </c>
      <c r="S10">
        <v>391</v>
      </c>
      <c r="U10" s="32" t="s">
        <v>194</v>
      </c>
      <c r="V10" s="53">
        <f t="shared" si="0"/>
        <v>0</v>
      </c>
    </row>
    <row r="11" spans="1:22" x14ac:dyDescent="0.15">
      <c r="A11" s="32" t="s">
        <v>56</v>
      </c>
      <c r="B11" s="76">
        <v>7.4999999999999997E-2</v>
      </c>
      <c r="C11" t="s">
        <v>252</v>
      </c>
      <c r="L11" s="87"/>
      <c r="M11" s="36" t="e">
        <f>VLOOKUP(L11,[1]characters!$A:$C,3,FALSE)</f>
        <v>#N/A</v>
      </c>
      <c r="N11" s="62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VLOOKUP(L11,tables_510010!B:C,2,FALSE)</f>
        <v>#N/A</v>
      </c>
      <c r="R11" s="61">
        <f t="shared" si="1"/>
        <v>0</v>
      </c>
      <c r="S11">
        <v>811</v>
      </c>
      <c r="U11" s="32" t="s">
        <v>195</v>
      </c>
      <c r="V11" s="53">
        <f t="shared" si="0"/>
        <v>0</v>
      </c>
    </row>
    <row r="12" spans="1:22" x14ac:dyDescent="0.15">
      <c r="A12" s="32" t="s">
        <v>55</v>
      </c>
      <c r="B12" s="71">
        <v>0</v>
      </c>
      <c r="M12" s="36" t="e">
        <f>VLOOKUP(L12,[1]characters!$A:$C,3,FALSE)</f>
        <v>#N/A</v>
      </c>
      <c r="N12" s="62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VLOOKUP(L12,tables_510010!B:C,2,FALSE)</f>
        <v>#N/A</v>
      </c>
      <c r="R12" s="61">
        <f t="shared" si="1"/>
        <v>0</v>
      </c>
      <c r="S12">
        <v>496</v>
      </c>
      <c r="U12" s="32" t="s">
        <v>106</v>
      </c>
      <c r="V12" s="53">
        <f t="shared" si="0"/>
        <v>2.775E-2</v>
      </c>
    </row>
    <row r="13" spans="1:22" x14ac:dyDescent="0.15">
      <c r="M13" s="36" t="e">
        <f>VLOOKUP(L13,[1]characters!$A:$C,3,FALSE)</f>
        <v>#N/A</v>
      </c>
      <c r="N13" s="62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VLOOKUP(L13,tables_510010!B:C,2,FALSE)</f>
        <v>#N/A</v>
      </c>
      <c r="R13" s="61">
        <f t="shared" si="1"/>
        <v>0</v>
      </c>
      <c r="S13">
        <v>497</v>
      </c>
      <c r="U13" s="32" t="s">
        <v>107</v>
      </c>
      <c r="V13" s="53">
        <f t="shared" si="0"/>
        <v>2.2499999999999985E-3</v>
      </c>
    </row>
    <row r="14" spans="1:22" x14ac:dyDescent="0.15">
      <c r="M14" s="36" t="e">
        <f>VLOOKUP(L14,[1]characters!$A:$C,3,FALSE)</f>
        <v>#N/A</v>
      </c>
      <c r="N14" s="62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VLOOKUP(L14,tables_510010!B:C,2,FALSE)</f>
        <v>#N/A</v>
      </c>
      <c r="R14" s="61">
        <f t="shared" si="1"/>
        <v>0</v>
      </c>
      <c r="S14">
        <v>498</v>
      </c>
      <c r="U14" s="32" t="s">
        <v>199</v>
      </c>
      <c r="V14" s="53">
        <f t="shared" si="0"/>
        <v>0.03</v>
      </c>
    </row>
    <row r="15" spans="1:22" x14ac:dyDescent="0.15">
      <c r="A15" s="35" t="s">
        <v>57</v>
      </c>
      <c r="B15" s="35"/>
      <c r="C15" t="s">
        <v>83</v>
      </c>
      <c r="M15" s="36" t="e">
        <f>VLOOKUP(L15,[1]characters!$A:$C,3,FALSE)</f>
        <v>#N/A</v>
      </c>
      <c r="N15" s="62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VLOOKUP(L15,tables_510010!B:C,2,FALSE)</f>
        <v>#N/A</v>
      </c>
      <c r="R15" s="61">
        <f t="shared" si="1"/>
        <v>0</v>
      </c>
      <c r="S15">
        <v>395</v>
      </c>
      <c r="U15" s="32" t="s">
        <v>198</v>
      </c>
      <c r="V15" s="53">
        <f t="shared" si="0"/>
        <v>0</v>
      </c>
    </row>
    <row r="16" spans="1:22" x14ac:dyDescent="0.15">
      <c r="A16" s="32" t="s">
        <v>60</v>
      </c>
      <c r="B16" s="32" t="s">
        <v>192</v>
      </c>
      <c r="C16" s="36" t="s">
        <v>61</v>
      </c>
      <c r="D16" s="36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6" t="e">
        <f>VLOOKUP(L16,[1]characters!$A:$C,3,FALSE)</f>
        <v>#N/A</v>
      </c>
      <c r="N16" s="62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VLOOKUP(L16,tables_510010!B:C,2,FALSE)</f>
        <v>#N/A</v>
      </c>
      <c r="R16" s="61">
        <f t="shared" si="1"/>
        <v>0</v>
      </c>
      <c r="S16">
        <v>396</v>
      </c>
      <c r="U16" s="32" t="s">
        <v>108</v>
      </c>
      <c r="V16" s="53">
        <f t="shared" si="0"/>
        <v>0</v>
      </c>
    </row>
    <row r="17" spans="1:19" x14ac:dyDescent="0.15">
      <c r="A17" s="32" t="s">
        <v>190</v>
      </c>
      <c r="B17" s="81">
        <f>B$5-B19-B24</f>
        <v>0.18570652173913044</v>
      </c>
      <c r="C17" s="84">
        <f t="shared" ref="C17:C31" si="2">SUMIF(Q:Q,A17,N:N)</f>
        <v>0</v>
      </c>
      <c r="D17" s="73">
        <f t="shared" ref="D17:D32" si="3">B17-C17</f>
        <v>0.18570652173913044</v>
      </c>
      <c r="E17">
        <f>COUNTIF(tables_510010!C:C,input_510010!A17)-COUNTIF(Q:Q,A17)</f>
        <v>5</v>
      </c>
      <c r="F17" s="42">
        <f>IFERROR(B17/E17,0)</f>
        <v>3.7141304347826087E-2</v>
      </c>
      <c r="G17">
        <f t="shared" ref="G17:G31" si="4">A$36*B17</f>
        <v>1366800</v>
      </c>
      <c r="H17">
        <f t="shared" ref="H17:H31" si="5">IFERROR(ROUND(G17/E17,5),0)</f>
        <v>273360</v>
      </c>
      <c r="I17">
        <f t="shared" ref="I17:I31" si="6">MOD(H17,1)</f>
        <v>0</v>
      </c>
      <c r="J17">
        <f t="shared" ref="J17:J31" si="7">IFERROR(1/I17,1)</f>
        <v>1</v>
      </c>
      <c r="M17" s="36" t="e">
        <f>VLOOKUP(L17,[1]characters!$A:$C,3,FALSE)</f>
        <v>#N/A</v>
      </c>
      <c r="N17" s="62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VLOOKUP(L17,tables_510010!B:C,2,FALSE)</f>
        <v>#N/A</v>
      </c>
      <c r="R17" s="61">
        <f t="shared" si="1"/>
        <v>0</v>
      </c>
      <c r="S17">
        <v>397</v>
      </c>
    </row>
    <row r="18" spans="1:19" x14ac:dyDescent="0.15">
      <c r="A18" s="32" t="s">
        <v>191</v>
      </c>
      <c r="B18" s="55">
        <f>B6-SUM(B20,B22,B25,B27,C27,C22)</f>
        <v>3.9737092391304296E-2</v>
      </c>
      <c r="C18" s="84">
        <f t="shared" si="2"/>
        <v>0</v>
      </c>
      <c r="D18" s="73">
        <f t="shared" si="3"/>
        <v>3.9737092391304296E-2</v>
      </c>
      <c r="E18">
        <f>COUNTIF(tables_510010!C:C,input_510010!A18)-COUNTIF(Q:Q,A18)</f>
        <v>5</v>
      </c>
      <c r="F18" s="42">
        <f>IFERROR(B18/E18,0)</f>
        <v>7.9474184782608592E-3</v>
      </c>
      <c r="G18">
        <f t="shared" si="4"/>
        <v>292464.99999999959</v>
      </c>
      <c r="H18">
        <f t="shared" si="5"/>
        <v>58493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62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VLOOKUP(L18,tables_510010!B:C,2,FALSE)</f>
        <v>#N/A</v>
      </c>
      <c r="R18" s="61">
        <f t="shared" si="1"/>
        <v>0</v>
      </c>
      <c r="S18">
        <v>324</v>
      </c>
    </row>
    <row r="19" spans="1:19" x14ac:dyDescent="0.15">
      <c r="A19" s="32" t="s">
        <v>97</v>
      </c>
      <c r="B19" s="55">
        <f>E$6*E19*B$5</f>
        <v>0.22220108695652177</v>
      </c>
      <c r="C19" s="84">
        <f t="shared" si="2"/>
        <v>0</v>
      </c>
      <c r="D19" s="73">
        <f t="shared" si="3"/>
        <v>0.22220108695652177</v>
      </c>
      <c r="E19">
        <f>COUNTIF(tables_510010!C:C,input_510010!A19)-COUNTIF(Q:Q,A19)</f>
        <v>13</v>
      </c>
      <c r="F19" s="42">
        <f t="shared" ref="F19:F31" si="8">IFERROR(B19/E19,0)</f>
        <v>1.709239130434783E-2</v>
      </c>
      <c r="G19">
        <f t="shared" si="4"/>
        <v>1635400.0000000002</v>
      </c>
      <c r="H19">
        <f t="shared" si="5"/>
        <v>125800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62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VLOOKUP(L19,tables_510010!B:C,2,FALSE)</f>
        <v>#N/A</v>
      </c>
      <c r="R19" s="61">
        <f t="shared" si="1"/>
        <v>0</v>
      </c>
      <c r="S19">
        <v>325</v>
      </c>
    </row>
    <row r="20" spans="1:19" x14ac:dyDescent="0.15">
      <c r="A20" s="32" t="s">
        <v>98</v>
      </c>
      <c r="B20" s="93">
        <f>E$6*E20*B$6</f>
        <v>0.26141304347826089</v>
      </c>
      <c r="C20" s="84">
        <f t="shared" si="2"/>
        <v>0</v>
      </c>
      <c r="D20" s="73">
        <f t="shared" si="3"/>
        <v>0.26141304347826089</v>
      </c>
      <c r="E20">
        <f>COUNTIF(tables_510010!C:C,input_510010!A20)-COUNTIF(Q:Q,A20)</f>
        <v>13</v>
      </c>
      <c r="F20" s="42">
        <f t="shared" si="8"/>
        <v>2.0108695652173915E-2</v>
      </c>
      <c r="G20">
        <f t="shared" si="4"/>
        <v>1924000.0000000002</v>
      </c>
      <c r="H20">
        <f t="shared" si="5"/>
        <v>148000</v>
      </c>
      <c r="I20">
        <f t="shared" si="6"/>
        <v>0</v>
      </c>
      <c r="J20">
        <f t="shared" si="7"/>
        <v>1</v>
      </c>
      <c r="M20" s="36" t="e">
        <f>VLOOKUP(L20,[1]characters!$A:$C,3,FALSE)</f>
        <v>#N/A</v>
      </c>
      <c r="N20" s="62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VLOOKUP(L20,tables_510010!B:C,2,FALSE)</f>
        <v>#N/A</v>
      </c>
      <c r="R20" s="61">
        <f t="shared" si="1"/>
        <v>0</v>
      </c>
      <c r="S20">
        <v>809</v>
      </c>
    </row>
    <row r="21" spans="1:19" x14ac:dyDescent="0.15">
      <c r="A21" s="32" t="s">
        <v>99</v>
      </c>
      <c r="B21" s="55">
        <f>B7-SUM(B23,B26,B28,C28,B29,C29,C23)</f>
        <v>1.4855298913043477E-2</v>
      </c>
      <c r="C21" s="84">
        <f t="shared" si="2"/>
        <v>0</v>
      </c>
      <c r="D21" s="73">
        <f t="shared" si="3"/>
        <v>1.4855298913043477E-2</v>
      </c>
      <c r="E21">
        <f>COUNTIF(tables_510010!C:C,input_510010!A21)-COUNTIF(Q:Q,A21)</f>
        <v>13</v>
      </c>
      <c r="F21" s="42">
        <f t="shared" si="8"/>
        <v>1.1427153010033443E-3</v>
      </c>
      <c r="G21">
        <f t="shared" si="4"/>
        <v>109334.99999999999</v>
      </c>
      <c r="H21">
        <f t="shared" si="5"/>
        <v>8410.3846200000007</v>
      </c>
      <c r="I21">
        <f t="shared" si="6"/>
        <v>0.38462000000072294</v>
      </c>
      <c r="J21">
        <f t="shared" si="7"/>
        <v>2.5999688003695085</v>
      </c>
      <c r="L21" s="56"/>
      <c r="M21" s="56"/>
      <c r="N21" s="57"/>
      <c r="O21" s="56"/>
      <c r="P21" s="56"/>
      <c r="Q21" s="56"/>
      <c r="R21" s="58"/>
    </row>
    <row r="22" spans="1:19" x14ac:dyDescent="0.15">
      <c r="A22" s="32" t="s">
        <v>196</v>
      </c>
      <c r="B22" s="74">
        <f>E$6*E22-B23</f>
        <v>0.14578804347826088</v>
      </c>
      <c r="C22" s="84">
        <f t="shared" si="2"/>
        <v>0</v>
      </c>
      <c r="D22" s="73">
        <f t="shared" si="3"/>
        <v>0.14578804347826088</v>
      </c>
      <c r="E22">
        <f>COUNTIF(tables_510010!C:C,input_510010!A22)-COUNTIF(Q:Q,A22)</f>
        <v>4</v>
      </c>
      <c r="F22" s="42">
        <f t="shared" si="8"/>
        <v>3.644701086956522E-2</v>
      </c>
      <c r="G22">
        <f t="shared" si="4"/>
        <v>1073000</v>
      </c>
      <c r="H22">
        <f t="shared" si="5"/>
        <v>268250</v>
      </c>
      <c r="I22">
        <f t="shared" si="6"/>
        <v>0</v>
      </c>
      <c r="J22">
        <f t="shared" si="7"/>
        <v>1</v>
      </c>
      <c r="L22" s="56"/>
      <c r="M22" s="56"/>
      <c r="N22" s="57"/>
      <c r="O22" s="56"/>
      <c r="P22" s="56"/>
      <c r="Q22" s="56"/>
      <c r="R22" s="58"/>
    </row>
    <row r="23" spans="1:19" x14ac:dyDescent="0.15">
      <c r="A23" s="32" t="s">
        <v>197</v>
      </c>
      <c r="B23" s="69">
        <f>E23*E6*B7</f>
        <v>1.5081521739130434E-2</v>
      </c>
      <c r="C23" s="84">
        <f t="shared" si="2"/>
        <v>0</v>
      </c>
      <c r="D23" s="73">
        <f t="shared" si="3"/>
        <v>1.5081521739130434E-2</v>
      </c>
      <c r="E23">
        <f>COUNTIF(tables_510010!C:C,input_510010!A23)-COUNTIF(Q:Q,A23)</f>
        <v>5</v>
      </c>
      <c r="F23" s="42">
        <f t="shared" si="8"/>
        <v>3.016304347826087E-3</v>
      </c>
      <c r="G23">
        <f t="shared" si="4"/>
        <v>111000</v>
      </c>
      <c r="H23">
        <f t="shared" si="5"/>
        <v>22200</v>
      </c>
      <c r="I23">
        <f t="shared" si="6"/>
        <v>0</v>
      </c>
      <c r="J23">
        <f t="shared" si="7"/>
        <v>1</v>
      </c>
      <c r="L23" s="56"/>
      <c r="M23" s="56"/>
      <c r="N23" s="57"/>
      <c r="O23" s="56"/>
      <c r="P23" s="56"/>
      <c r="Q23" s="56"/>
      <c r="R23" s="58"/>
    </row>
    <row r="24" spans="1:19" x14ac:dyDescent="0.15">
      <c r="A24" s="32" t="s">
        <v>193</v>
      </c>
      <c r="B24" s="55">
        <f>E$6*E24*B$5</f>
        <v>1.709239130434783E-2</v>
      </c>
      <c r="C24" s="84">
        <f t="shared" si="2"/>
        <v>0</v>
      </c>
      <c r="D24" s="73">
        <f t="shared" si="3"/>
        <v>1.709239130434783E-2</v>
      </c>
      <c r="E24">
        <f>COUNTIF(tables_510010!C:C,input_510010!A24)-COUNTIF(Q:Q,A24)</f>
        <v>1</v>
      </c>
      <c r="F24" s="42">
        <f t="shared" si="8"/>
        <v>1.709239130434783E-2</v>
      </c>
      <c r="G24">
        <f t="shared" si="4"/>
        <v>125800.00000000003</v>
      </c>
      <c r="H24">
        <f t="shared" si="5"/>
        <v>125800</v>
      </c>
      <c r="I24">
        <f t="shared" si="6"/>
        <v>0</v>
      </c>
      <c r="J24">
        <f t="shared" si="7"/>
        <v>1</v>
      </c>
      <c r="L24" s="56"/>
      <c r="M24" s="56"/>
      <c r="N24" s="57"/>
      <c r="O24" s="56"/>
      <c r="P24" s="56"/>
      <c r="Q24" s="56"/>
      <c r="R24" s="58"/>
    </row>
    <row r="25" spans="1:19" x14ac:dyDescent="0.15">
      <c r="A25" s="32" t="s">
        <v>194</v>
      </c>
      <c r="B25" s="55">
        <f>E$6*B$6*E25</f>
        <v>2.0108695652173915E-2</v>
      </c>
      <c r="C25" s="84">
        <f t="shared" si="2"/>
        <v>0</v>
      </c>
      <c r="D25" s="73">
        <f t="shared" si="3"/>
        <v>2.0108695652173915E-2</v>
      </c>
      <c r="E25">
        <f>COUNTIF(tables_510010!C:C,input_510010!A25)-COUNTIF(Q:Q,A25)</f>
        <v>1</v>
      </c>
      <c r="F25" s="42">
        <f t="shared" si="8"/>
        <v>2.0108695652173915E-2</v>
      </c>
      <c r="G25">
        <f t="shared" si="4"/>
        <v>148000</v>
      </c>
      <c r="H25">
        <f t="shared" si="5"/>
        <v>148000</v>
      </c>
      <c r="I25">
        <f t="shared" si="6"/>
        <v>0</v>
      </c>
      <c r="J25">
        <f t="shared" si="7"/>
        <v>1</v>
      </c>
      <c r="L25" s="56"/>
      <c r="M25" s="56"/>
      <c r="N25" s="57"/>
      <c r="O25" s="56"/>
      <c r="P25" s="56"/>
      <c r="Q25" s="56"/>
      <c r="R25" s="58"/>
    </row>
    <row r="26" spans="1:19" x14ac:dyDescent="0.15">
      <c r="A26" s="32" t="s">
        <v>195</v>
      </c>
      <c r="B26" s="55">
        <f>E$6*B$7*E26</f>
        <v>3.016304347826087E-3</v>
      </c>
      <c r="C26" s="84">
        <f t="shared" si="2"/>
        <v>0</v>
      </c>
      <c r="D26" s="73">
        <f t="shared" si="3"/>
        <v>3.016304347826087E-3</v>
      </c>
      <c r="E26">
        <f>COUNTIF(tables_510010!C:C,input_510010!A26)-COUNTIF(Q:Q,A26)</f>
        <v>1</v>
      </c>
      <c r="F26" s="42">
        <f t="shared" si="8"/>
        <v>3.016304347826087E-3</v>
      </c>
      <c r="G26">
        <f t="shared" si="4"/>
        <v>22200</v>
      </c>
      <c r="H26">
        <f t="shared" si="5"/>
        <v>22200</v>
      </c>
      <c r="I26">
        <f t="shared" si="6"/>
        <v>0</v>
      </c>
      <c r="J26">
        <f t="shared" si="7"/>
        <v>1</v>
      </c>
      <c r="L26" s="56"/>
      <c r="M26" s="56"/>
      <c r="N26" s="57"/>
      <c r="O26" s="56"/>
      <c r="P26" s="56"/>
      <c r="Q26" s="56"/>
      <c r="R26" s="58"/>
    </row>
    <row r="27" spans="1:19" x14ac:dyDescent="0.15">
      <c r="A27" s="32" t="s">
        <v>106</v>
      </c>
      <c r="B27" s="55">
        <f>E$5*E27*(B$5+B$6)</f>
        <v>5.2031250000000003E-3</v>
      </c>
      <c r="C27" s="84">
        <f t="shared" si="2"/>
        <v>2.775E-2</v>
      </c>
      <c r="D27" s="73">
        <f t="shared" si="3"/>
        <v>-2.2546875000000001E-2</v>
      </c>
      <c r="E27">
        <f>COUNTIF(tables_510010!C:C,input_510010!A27)-COUNTIF(Q:Q,A27)</f>
        <v>6</v>
      </c>
      <c r="F27" s="42">
        <f>IFERROR(B27/E27,0)</f>
        <v>8.6718750000000001E-4</v>
      </c>
      <c r="G27">
        <f t="shared" si="4"/>
        <v>38295</v>
      </c>
      <c r="H27">
        <f t="shared" si="5"/>
        <v>6382.5</v>
      </c>
      <c r="I27">
        <f t="shared" si="6"/>
        <v>0.5</v>
      </c>
      <c r="J27">
        <f t="shared" si="7"/>
        <v>2</v>
      </c>
      <c r="L27" s="56"/>
      <c r="M27" s="56"/>
      <c r="N27" s="57"/>
      <c r="O27" s="56"/>
      <c r="P27" s="56"/>
      <c r="Q27" s="56"/>
      <c r="R27" s="58"/>
    </row>
    <row r="28" spans="1:19" x14ac:dyDescent="0.15">
      <c r="A28" s="32" t="s">
        <v>107</v>
      </c>
      <c r="B28" s="55">
        <f>E$5*E28*B$7</f>
        <v>4.21875E-4</v>
      </c>
      <c r="C28" s="84">
        <f t="shared" si="2"/>
        <v>2.2499999999999985E-3</v>
      </c>
      <c r="D28" s="73">
        <f t="shared" si="3"/>
        <v>-1.8281249999999986E-3</v>
      </c>
      <c r="E28">
        <f>COUNTIF(tables_510010!C:C,input_510010!A28)-COUNTIF(Q:Q,A28)</f>
        <v>6</v>
      </c>
      <c r="F28" s="42">
        <f t="shared" si="8"/>
        <v>7.0312499999999995E-5</v>
      </c>
      <c r="G28">
        <f t="shared" si="4"/>
        <v>3105</v>
      </c>
      <c r="H28">
        <f t="shared" si="5"/>
        <v>517.5</v>
      </c>
      <c r="I28">
        <f t="shared" si="6"/>
        <v>0.5</v>
      </c>
      <c r="J28">
        <f t="shared" si="7"/>
        <v>2</v>
      </c>
      <c r="L28" s="56"/>
      <c r="M28" s="56"/>
      <c r="N28" s="57"/>
      <c r="O28" s="56"/>
      <c r="P28" s="56"/>
      <c r="Q28" s="56"/>
      <c r="R28" s="58"/>
    </row>
    <row r="29" spans="1:19" x14ac:dyDescent="0.15">
      <c r="A29" s="32" t="s">
        <v>199</v>
      </c>
      <c r="B29" s="55">
        <f>E$5*E29</f>
        <v>9.3749999999999997E-3</v>
      </c>
      <c r="C29" s="84">
        <f t="shared" si="2"/>
        <v>0.03</v>
      </c>
      <c r="D29" s="73">
        <f t="shared" si="3"/>
        <v>-2.0624999999999998E-2</v>
      </c>
      <c r="E29">
        <f>COUNTIF(tables_510010!C:C,input_510010!A29)-COUNTIF(Q:Q,A29)</f>
        <v>10</v>
      </c>
      <c r="F29" s="42">
        <f t="shared" si="8"/>
        <v>9.3749999999999997E-4</v>
      </c>
      <c r="G29">
        <f t="shared" si="4"/>
        <v>69000</v>
      </c>
      <c r="H29">
        <f t="shared" si="5"/>
        <v>6900</v>
      </c>
      <c r="I29">
        <f t="shared" si="6"/>
        <v>0</v>
      </c>
      <c r="J29">
        <f t="shared" si="7"/>
        <v>1</v>
      </c>
      <c r="L29" s="56"/>
      <c r="M29" s="56"/>
      <c r="N29" s="57"/>
      <c r="O29" s="56"/>
      <c r="P29" s="56"/>
      <c r="Q29" s="56"/>
      <c r="R29" s="58"/>
    </row>
    <row r="30" spans="1:19" x14ac:dyDescent="0.15">
      <c r="A30" s="32" t="s">
        <v>239</v>
      </c>
      <c r="B30" s="55">
        <f>0</f>
        <v>0</v>
      </c>
      <c r="C30" s="84">
        <f t="shared" si="2"/>
        <v>0</v>
      </c>
      <c r="D30" s="73">
        <f t="shared" si="3"/>
        <v>0</v>
      </c>
      <c r="E30">
        <f>COUNTIF(tables_510010!C:C,input_510010!A30)-COUNTIF(Q:Q,A30)</f>
        <v>0</v>
      </c>
      <c r="F30" s="42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6"/>
      <c r="M30" s="56"/>
      <c r="N30" s="57"/>
      <c r="O30" s="56"/>
      <c r="P30" s="56"/>
      <c r="Q30" s="56"/>
      <c r="R30" s="58"/>
    </row>
    <row r="31" spans="1:19" x14ac:dyDescent="0.15">
      <c r="A31" s="32" t="s">
        <v>240</v>
      </c>
      <c r="B31" s="55">
        <v>0</v>
      </c>
      <c r="C31" s="84">
        <f t="shared" si="2"/>
        <v>0</v>
      </c>
      <c r="D31" s="73">
        <f t="shared" si="3"/>
        <v>0</v>
      </c>
      <c r="E31">
        <f>COUNTIF(tables_510010!C:C,input_510010!A31)-COUNTIF(Q:Q,A31)</f>
        <v>0</v>
      </c>
      <c r="F31" s="42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6"/>
      <c r="M31" s="56"/>
      <c r="N31" s="57"/>
      <c r="O31" s="56"/>
      <c r="P31" s="56"/>
      <c r="Q31" s="56"/>
      <c r="R31" s="58"/>
    </row>
    <row r="32" spans="1:19" x14ac:dyDescent="0.15">
      <c r="A32" s="38" t="s">
        <v>59</v>
      </c>
      <c r="B32" s="39">
        <f>SUM(B17:B31)</f>
        <v>0.94000000000000006</v>
      </c>
      <c r="C32" s="40">
        <f>SUM(C19:C31)</f>
        <v>0.06</v>
      </c>
      <c r="D32" s="41">
        <f t="shared" si="3"/>
        <v>0.88000000000000012</v>
      </c>
      <c r="L32" s="56"/>
      <c r="M32" s="56"/>
      <c r="N32" s="56"/>
      <c r="O32" s="56"/>
      <c r="P32" s="56"/>
      <c r="Q32" s="56"/>
      <c r="R32" s="58"/>
    </row>
    <row r="34" spans="1:7" x14ac:dyDescent="0.15">
      <c r="E34" s="54"/>
      <c r="F34" s="54"/>
    </row>
    <row r="35" spans="1:7" x14ac:dyDescent="0.15">
      <c r="A35" t="s">
        <v>73</v>
      </c>
    </row>
    <row r="36" spans="1:7" x14ac:dyDescent="0.15">
      <c r="A36" s="30">
        <f>LCM(F5-I5,F6-I6)*1000*2*2*5</f>
        <v>7360000</v>
      </c>
    </row>
    <row r="38" spans="1:7" x14ac:dyDescent="0.15">
      <c r="A38" s="46" t="s">
        <v>76</v>
      </c>
    </row>
    <row r="39" spans="1:7" x14ac:dyDescent="0.15">
      <c r="A39" s="32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2" t="s">
        <v>103</v>
      </c>
      <c r="B40">
        <f ca="1">SUMIF(tables_510010!C:C,input_510010!A40,tables_510010!O:O)</f>
        <v>1635400</v>
      </c>
      <c r="C40" s="53">
        <f t="shared" ref="C40:C46" ca="1" si="9">B40/B$47</f>
        <v>0.41603333557411609</v>
      </c>
      <c r="E40">
        <v>3</v>
      </c>
      <c r="F40">
        <f ca="1">SUMIF(tables_510010!J:J,input_510010!E40,tables_510010!O:O)</f>
        <v>3128000</v>
      </c>
      <c r="G40">
        <f ca="1">F40/A36</f>
        <v>0.42499999999999999</v>
      </c>
    </row>
    <row r="41" spans="1:7" x14ac:dyDescent="0.15">
      <c r="A41" s="32" t="s">
        <v>104</v>
      </c>
      <c r="B41">
        <f ca="1">SUMIF(tables_510010!C:C,input_510010!A41,tables_510010!O:O)</f>
        <v>1924000</v>
      </c>
      <c r="C41" s="53">
        <f t="shared" ca="1" si="9"/>
        <v>0.48945098302837187</v>
      </c>
      <c r="E41">
        <v>4</v>
      </c>
      <c r="F41">
        <f ca="1">SUMIF(tables_510010!J:J,input_510010!E41,tables_510010!O:O)</f>
        <v>3680000</v>
      </c>
      <c r="G41">
        <f ca="1">F41/A36</f>
        <v>0.5</v>
      </c>
    </row>
    <row r="42" spans="1:7" x14ac:dyDescent="0.15">
      <c r="A42" s="32" t="s">
        <v>106</v>
      </c>
      <c r="B42">
        <f ca="1">SUMIF(tables_510010!C:C,input_510010!A42,tables_510010!O:O)</f>
        <v>242535</v>
      </c>
      <c r="C42" s="53">
        <f t="shared" ca="1" si="9"/>
        <v>6.1699061418288029E-2</v>
      </c>
      <c r="E42">
        <v>5</v>
      </c>
      <c r="F42">
        <f ca="1">SUMIF(tables_510010!J:J,input_510010!E42,tables_510010!O:O)</f>
        <v>552000.00005999999</v>
      </c>
      <c r="G42">
        <f ca="1">F42/A36</f>
        <v>7.5000000008152171E-2</v>
      </c>
    </row>
    <row r="43" spans="1:7" x14ac:dyDescent="0.15">
      <c r="A43" s="32" t="s">
        <v>109</v>
      </c>
      <c r="B43">
        <f>SUMIF(tables_510010!C:C,input_510010!A43,tables_510010!O:O)</f>
        <v>0</v>
      </c>
      <c r="C43" s="53">
        <f t="shared" ca="1" si="9"/>
        <v>0</v>
      </c>
      <c r="F43" s="54"/>
    </row>
    <row r="44" spans="1:7" x14ac:dyDescent="0.15">
      <c r="A44" s="32" t="s">
        <v>105</v>
      </c>
      <c r="B44">
        <f ca="1">SUMIF(tables_510010!C:C,input_510010!A44,tables_510010!O:O)</f>
        <v>109335.00005999998</v>
      </c>
      <c r="C44" s="53">
        <f t="shared" ca="1" si="9"/>
        <v>2.7813993377741209E-2</v>
      </c>
      <c r="E44" t="s">
        <v>54</v>
      </c>
      <c r="F44" s="54"/>
    </row>
    <row r="45" spans="1:7" x14ac:dyDescent="0.15">
      <c r="A45" s="32" t="s">
        <v>107</v>
      </c>
      <c r="B45">
        <f ca="1">SUMIF(tables_510010!C:C,input_510010!A45,tables_510010!O:O)</f>
        <v>19664.999999999989</v>
      </c>
      <c r="C45" s="53">
        <f t="shared" ca="1" si="9"/>
        <v>5.0026266014828102E-3</v>
      </c>
      <c r="E45" t="s">
        <v>204</v>
      </c>
      <c r="F45" s="54">
        <f ca="1">SUMIF(tables_510010!I:I,input_510010!E45,tables_510010!P:P)</f>
        <v>0.22845991847639843</v>
      </c>
    </row>
    <row r="46" spans="1:7" x14ac:dyDescent="0.15">
      <c r="A46" s="32" t="s">
        <v>108</v>
      </c>
      <c r="B46">
        <f>SUMIF(tables_510010!C:C,input_510010!A46,tables_510010!O:O)</f>
        <v>0</v>
      </c>
      <c r="C46" s="53">
        <f t="shared" ca="1" si="9"/>
        <v>0</v>
      </c>
      <c r="E46" t="s">
        <v>205</v>
      </c>
      <c r="F46" s="54">
        <f ca="1">SUMIF(tables_510010!I:I,input_510010!E46,tables_510010!P:P)</f>
        <v>0.19359260033537828</v>
      </c>
    </row>
    <row r="47" spans="1:7" x14ac:dyDescent="0.15">
      <c r="A47" s="38" t="s">
        <v>59</v>
      </c>
      <c r="B47">
        <f ca="1">SUM(B40:B46)</f>
        <v>3930935.00006</v>
      </c>
      <c r="C47" s="54">
        <f ca="1">SUM(C40:C46)</f>
        <v>0.99999999999999989</v>
      </c>
      <c r="E47" t="s">
        <v>206</v>
      </c>
      <c r="F47" s="54">
        <f ca="1">SUMIF(tables_510010!I:I,input_510010!E47,tables_510010!P:P)</f>
        <v>0.50294748118883459</v>
      </c>
    </row>
    <row r="48" spans="1:7" x14ac:dyDescent="0.15">
      <c r="E48" t="s">
        <v>207</v>
      </c>
      <c r="F48" s="54">
        <f ca="1">SUMIF(tables_510010!I:I,input_510010!E48,tables_510010!P:P)</f>
        <v>7.21874999994115E-2</v>
      </c>
      <c r="G48" s="54"/>
    </row>
    <row r="49" spans="5:6" x14ac:dyDescent="0.15">
      <c r="E49" t="s">
        <v>249</v>
      </c>
      <c r="F49" s="54">
        <f ca="1">SUMIF(tables_510010!I:I,input_510010!E49,tables_510010!P:P)</f>
        <v>2.8124999999770721E-3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87"/>
  <sheetViews>
    <sheetView showGridLines="0" zoomScale="75" zoomScaleNormal="75" zoomScalePageLayoutView="75" workbookViewId="0">
      <pane ySplit="1" topLeftCell="A59" activePane="bottomLeft" state="frozen"/>
      <selection activeCell="H276" sqref="H276"/>
      <selection pane="bottomLeft" activeCell="B83" sqref="B83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2" t="s">
        <v>84</v>
      </c>
      <c r="B1" s="14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4" t="s">
        <v>2</v>
      </c>
      <c r="P1" s="3" t="s">
        <v>63</v>
      </c>
      <c r="Q1" s="14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input_510010!A$2</f>
        <v>510010</v>
      </c>
      <c r="B2" s="6">
        <v>128</v>
      </c>
      <c r="C2" s="7" t="str">
        <f t="shared" ref="C2:C17" si="0">D2&amp;J2&amp;E2&amp;F2&amp;G2</f>
        <v>PremiumW3</v>
      </c>
      <c r="D2" s="7" t="str">
        <f t="shared" ref="D2:D17" si="1"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野生児 アマラ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IFERROR(VLOOKUP(B2,input_510010!L:R,7,FALSE),VLOOKUP(tables_510010!C2,input_510010!A:H,8,FALSE))</f>
        <v>273360</v>
      </c>
      <c r="P2" s="45">
        <f t="shared" ref="P2:P33" ca="1" si="2">O2/SUM(O:O)</f>
        <v>3.7141304347523309E-2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input_510010!A$2</f>
        <v>510010</v>
      </c>
      <c r="B3" s="6">
        <v>129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孤高の狼憑き アマラ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IFERROR(VLOOKUP(B3,input_510010!L:R,7,FALSE),VLOOKUP(tables_510010!C3,input_510010!A:H,8,FALSE))</f>
        <v>58493</v>
      </c>
      <c r="P3" s="45">
        <f t="shared" ca="1" si="2"/>
        <v>7.9474184781960812E-3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input_510010!A$2</f>
        <v>510010</v>
      </c>
      <c r="B4" s="8">
        <v>136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お針子チハヤ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IFERROR(VLOOKUP(B4,input_510010!L:R,7,FALSE),VLOOKUP(tables_510010!C4,input_510010!A:H,8,FALSE))</f>
        <v>273360</v>
      </c>
      <c r="P4" s="45">
        <f t="shared" ca="1" si="2"/>
        <v>3.7141304347523309E-2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input_510010!A$2</f>
        <v>510010</v>
      </c>
      <c r="B5" s="8">
        <v>137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清福の仕立屋 チハヤ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IFERROR(VLOOKUP(B5,input_510010!L:R,7,FALSE),VLOOKUP(tables_510010!C5,input_510010!A:H,8,FALSE))</f>
        <v>58493</v>
      </c>
      <c r="P5" s="45">
        <f t="shared" ca="1" si="2"/>
        <v>7.9474184781960812E-3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input_510010!A$2</f>
        <v>510010</v>
      </c>
      <c r="B6" s="10">
        <v>144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かぐや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女性</v>
      </c>
      <c r="O6" s="44">
        <f ca="1">IFERROR(VLOOKUP(B6,input_510010!L:R,7,FALSE),VLOOKUP(tables_510010!C6,input_510010!A:H,8,FALSE))</f>
        <v>273360</v>
      </c>
      <c r="P6" s="45">
        <f t="shared" ca="1" si="2"/>
        <v>3.7141304347523309E-2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input_510010!A$2</f>
        <v>510010</v>
      </c>
      <c r="B7" s="6">
        <v>145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魔性妖艶 かぐや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human</v>
      </c>
      <c r="N7" s="7" t="str">
        <f>VLOOKUP(B7,[1]characters!$A:$G,7,FALSE)</f>
        <v>女性</v>
      </c>
      <c r="O7" s="44">
        <f ca="1">IFERROR(VLOOKUP(B7,input_510010!L:R,7,FALSE),VLOOKUP(tables_510010!C7,input_510010!A:H,8,FALSE))</f>
        <v>58493</v>
      </c>
      <c r="P7" s="45">
        <f t="shared" ca="1" si="2"/>
        <v>7.9474184781960812E-3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input_510010!A$2</f>
        <v>510010</v>
      </c>
      <c r="B8" s="6">
        <v>152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功夫少女ランラン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green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4">
        <f ca="1">IFERROR(VLOOKUP(B8,input_510010!L:R,7,FALSE),VLOOKUP(tables_510010!C8,input_510010!A:H,8,FALSE))</f>
        <v>273360</v>
      </c>
      <c r="P8" s="45">
        <f t="shared" ca="1" si="2"/>
        <v>3.7141304347523309E-2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input_510010!A$2</f>
        <v>510010</v>
      </c>
      <c r="B9" s="6">
        <v>153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拳聖ランラン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green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4">
        <f ca="1">IFERROR(VLOOKUP(B9,input_510010!L:R,7,FALSE),VLOOKUP(tables_510010!C9,input_510010!A:H,8,FALSE))</f>
        <v>58493</v>
      </c>
      <c r="P9" s="45">
        <f t="shared" ca="1" si="2"/>
        <v>7.9474184781960812E-3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input_510010!A$2</f>
        <v>510010</v>
      </c>
      <c r="B10" s="6">
        <v>160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反逆者 クリエ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IFERROR(VLOOKUP(B10,input_510010!L:R,7,FALSE),VLOOKUP(tables_510010!C10,input_510010!A:H,8,FALSE))</f>
        <v>273360</v>
      </c>
      <c r="P10" s="45">
        <f t="shared" ca="1" si="2"/>
        <v>3.7141304347523309E-2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input_510010!A$2</f>
        <v>510010</v>
      </c>
      <c r="B11" s="6">
        <v>161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咆哮の先導者 クリエ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IFERROR(VLOOKUP(B11,input_510010!L:R,7,FALSE),VLOOKUP(tables_510010!C11,input_510010!A:H,8,FALSE))</f>
        <v>58493</v>
      </c>
      <c r="P11" s="45">
        <f t="shared" ca="1" si="2"/>
        <v>7.9474184781960812E-3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input_510010!A$2</f>
        <v>510010</v>
      </c>
      <c r="B12" s="6">
        <v>169</v>
      </c>
      <c r="C12" s="7" t="str">
        <f t="shared" si="0"/>
        <v>Premium3R6release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>R6release</v>
      </c>
      <c r="G12" s="7"/>
      <c r="H12" s="7" t="str">
        <f>VLOOKUP(B12,[1]characters!$A:$C,3,FALSE)</f>
        <v>オセ</v>
      </c>
      <c r="I12" s="7" t="str">
        <f>VLOOKUP(B12,[1]characters!$A:$J,10,FALSE)</f>
        <v>PremiumN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god</v>
      </c>
      <c r="N12" s="7" t="str">
        <f>VLOOKUP(B12,[1]characters!$A:$G,7,FALSE)</f>
        <v>女性</v>
      </c>
      <c r="O12" s="44">
        <f ca="1">IFERROR(VLOOKUP(B12,input_510010!L:R,7,FALSE),VLOOKUP(tables_510010!C12,input_510010!A:H,8,FALSE))</f>
        <v>125800</v>
      </c>
      <c r="P12" s="45">
        <f t="shared" ca="1" si="2"/>
        <v>1.7092391304208487E-2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input_510010!A$2</f>
        <v>510010</v>
      </c>
      <c r="B13" s="6">
        <v>170</v>
      </c>
      <c r="C13" s="7" t="str">
        <f t="shared" si="0"/>
        <v>Premium4R6release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>R6release</v>
      </c>
      <c r="G13" s="7"/>
      <c r="H13" s="7" t="str">
        <f>VLOOKUP(B13,[1]characters!$A:$C,3,FALSE)</f>
        <v>識徒 オセ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女性</v>
      </c>
      <c r="O13" s="44">
        <f ca="1">IFERROR(VLOOKUP(B13,input_510010!L:R,7,FALSE),VLOOKUP(tables_510010!C13,input_510010!A:H,8,FALSE))</f>
        <v>148000</v>
      </c>
      <c r="P13" s="45">
        <f t="shared" ca="1" si="2"/>
        <v>2.0108695652009984E-2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input_510010!A$2</f>
        <v>510010</v>
      </c>
      <c r="B14" s="6">
        <v>171</v>
      </c>
      <c r="C14" s="7" t="str">
        <f t="shared" si="0"/>
        <v>Premium5R6release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>R6release</v>
      </c>
      <c r="G14" s="7"/>
      <c r="H14" s="7" t="str">
        <f>VLOOKUP(B14,[1]characters!$A:$C,3,FALSE)</f>
        <v>精解の預知者 オセ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attack</v>
      </c>
      <c r="M14" s="7" t="str">
        <f>VLOOKUP(B14,[1]characters!$A:$M,13,FALSE)</f>
        <v>god</v>
      </c>
      <c r="N14" s="7" t="str">
        <f>VLOOKUP(B14,[1]characters!$A:$G,7,FALSE)</f>
        <v>女性</v>
      </c>
      <c r="O14" s="44">
        <f ca="1">IFERROR(VLOOKUP(B14,input_510010!L:R,7,FALSE),VLOOKUP(tables_510010!C14,input_510010!A:H,8,FALSE))</f>
        <v>22200</v>
      </c>
      <c r="P14" s="45">
        <f t="shared" ca="1" si="2"/>
        <v>3.0163043478014977E-3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input_510010!A$2</f>
        <v>510010</v>
      </c>
      <c r="B15" s="6">
        <v>181</v>
      </c>
      <c r="C15" s="7" t="str">
        <f t="shared" si="0"/>
        <v>Premium3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ベヒモス</v>
      </c>
      <c r="I15" s="7" t="str">
        <f>VLOOKUP(B15,[1]characters!$A:$J,10,FALSE)</f>
        <v>PremiumN</v>
      </c>
      <c r="J15" s="7">
        <f>VLOOKUP(B15,[1]characters!$A:$I,9,FALSE)</f>
        <v>3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4">
        <f ca="1">IFERROR(VLOOKUP(B15,input_510010!L:R,7,FALSE),VLOOKUP(tables_510010!C15,input_510010!A:H,8,FALSE))</f>
        <v>125800</v>
      </c>
      <c r="P15" s="45">
        <f t="shared" ca="1" si="2"/>
        <v>1.7092391304208487E-2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input_510010!A$2</f>
        <v>510010</v>
      </c>
      <c r="B16" s="6">
        <v>182</v>
      </c>
      <c r="C16" s="7" t="str">
        <f t="shared" si="0"/>
        <v>Premium4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放蕩者 ベヒモス</v>
      </c>
      <c r="I16" s="7" t="str">
        <f>VLOOKUP(B16,[1]characters!$A:$J,10,FALSE)</f>
        <v>PremiumN</v>
      </c>
      <c r="J16" s="7">
        <f>VLOOKUP(B16,[1]characters!$A:$I,9,FALSE)</f>
        <v>4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IFERROR(VLOOKUP(B16,input_510010!L:R,7,FALSE),VLOOKUP(tables_510010!C16,input_510010!A:H,8,FALSE))</f>
        <v>148000</v>
      </c>
      <c r="P16" s="45">
        <f t="shared" ca="1" si="2"/>
        <v>2.0108695652009984E-2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input_510010!A$2</f>
        <v>510010</v>
      </c>
      <c r="B17" s="6">
        <v>183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鈍重な彷徨者 ベヒモス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IFERROR(VLOOKUP(B17,input_510010!L:R,7,FALSE),VLOOKUP(tables_510010!C17,input_510010!A:H,8,FALSE))</f>
        <v>8410.3846200000007</v>
      </c>
      <c r="P17" s="45">
        <f t="shared" ca="1" si="2"/>
        <v>1.1427153016211192E-3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input_510010!A$2</f>
        <v>510010</v>
      </c>
      <c r="B18" s="6">
        <v>193</v>
      </c>
      <c r="C18" s="7" t="str">
        <f t="shared" ref="C18:C33" si="3">D18&amp;J18&amp;E18&amp;F18&amp;G18</f>
        <v>Premium3</v>
      </c>
      <c r="D18" s="7" t="str">
        <f t="shared" ref="D18:D34" si="4">IF(OR(I18="PremiumSS",I18="PremiumSSw"),"PremiumSS",IF(I18="PremiumSSS",I18,IF(I18="PremiumW",IF(J18=5,"premium",I18),"Premium")))</f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ロビンフッド</v>
      </c>
      <c r="I18" s="7" t="str">
        <f>VLOOKUP(B18,[1]characters!$A:$J,10,FALSE)</f>
        <v>PremiumN</v>
      </c>
      <c r="J18" s="7">
        <f>VLOOKUP(B18,[1]characters!$A:$I,9,FALSE)</f>
        <v>3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IFERROR(VLOOKUP(B18,input_510010!L:R,7,FALSE),VLOOKUP(tables_510010!C18,input_510010!A:H,8,FALSE))</f>
        <v>125800</v>
      </c>
      <c r="P18" s="45">
        <f t="shared" ca="1" si="2"/>
        <v>1.7092391304208487E-2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ht="21" customHeight="1" x14ac:dyDescent="0.15">
      <c r="A19" s="2" t="str">
        <f ca="1">input_510010!A$2</f>
        <v>510010</v>
      </c>
      <c r="B19" s="10">
        <v>194</v>
      </c>
      <c r="C19" s="7" t="str">
        <f t="shared" si="3"/>
        <v>Premium4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スナイパー ロビンフッド</v>
      </c>
      <c r="I19" s="7" t="str">
        <f>VLOOKUP(B19,[1]characters!$A:$J,10,FALSE)</f>
        <v>PremiumN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IFERROR(VLOOKUP(B19,input_510010!L:R,7,FALSE),VLOOKUP(tables_510010!C19,input_510010!A:H,8,FALSE))</f>
        <v>148000</v>
      </c>
      <c r="P19" s="45">
        <f t="shared" ca="1" si="2"/>
        <v>2.0108695652009984E-2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input_510010!A$2</f>
        <v>510010</v>
      </c>
      <c r="B20" s="6">
        <v>195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グランドハンター ロビンフッド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IFERROR(VLOOKUP(B20,input_510010!L:R,7,FALSE),VLOOKUP(tables_510010!C20,input_510010!A:H,8,FALSE))</f>
        <v>8410.3846200000007</v>
      </c>
      <c r="P20" s="45">
        <f t="shared" ca="1" si="2"/>
        <v>1.1427153016211192E-3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input_510010!A$2</f>
        <v>510010</v>
      </c>
      <c r="B21" s="5">
        <v>205</v>
      </c>
      <c r="C21" s="7" t="str">
        <f t="shared" si="3"/>
        <v>Premium3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アフロディーテ</v>
      </c>
      <c r="I21" s="7" t="str">
        <f>VLOOKUP(B21,[1]characters!$A:$J,10,FALSE)</f>
        <v>PremiumN</v>
      </c>
      <c r="J21" s="7">
        <f>VLOOKUP(B21,[1]characters!$A:$I,9,FALSE)</f>
        <v>3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god</v>
      </c>
      <c r="N21" s="7" t="str">
        <f>VLOOKUP(B21,[1]characters!$A:$G,7,FALSE)</f>
        <v>女性</v>
      </c>
      <c r="O21" s="44">
        <f ca="1">IFERROR(VLOOKUP(B21,input_510010!L:R,7,FALSE),VLOOKUP(tables_510010!C21,input_510010!A:H,8,FALSE))</f>
        <v>125800</v>
      </c>
      <c r="P21" s="45">
        <f t="shared" ca="1" si="2"/>
        <v>1.7092391304208487E-2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input_510010!A$2</f>
        <v>510010</v>
      </c>
      <c r="B22" s="5">
        <v>206</v>
      </c>
      <c r="C22" s="7" t="str">
        <f t="shared" si="3"/>
        <v>Premium4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美神 アフロディーテ</v>
      </c>
      <c r="I22" s="7" t="str">
        <f>VLOOKUP(B22,[1]characters!$A:$J,10,FALSE)</f>
        <v>PremiumN</v>
      </c>
      <c r="J22" s="7">
        <f>VLOOKUP(B22,[1]characters!$A:$I,9,FALSE)</f>
        <v>4</v>
      </c>
      <c r="K22" s="7" t="str">
        <f>VLOOKUP(B22,[1]characters!$A:$H,8,FALSE)</f>
        <v>green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女性</v>
      </c>
      <c r="O22" s="44">
        <f ca="1">IFERROR(VLOOKUP(B22,input_510010!L:R,7,FALSE),VLOOKUP(tables_510010!C22,input_510010!A:H,8,FALSE))</f>
        <v>148000</v>
      </c>
      <c r="P22" s="45">
        <f t="shared" ca="1" si="2"/>
        <v>2.0108695652009984E-2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input_510010!A$2</f>
        <v>510010</v>
      </c>
      <c r="B23" s="5">
        <v>207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豊穣の麗神・アフロディーテ</v>
      </c>
      <c r="I23" s="7" t="str">
        <f>VLOOKUP(B23,[1]characters!$A:$J,10,FALSE)</f>
        <v>PremiumN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hp</v>
      </c>
      <c r="M23" s="7" t="str">
        <f>VLOOKUP(B23,[1]characters!$A:$M,13,FALSE)</f>
        <v>god</v>
      </c>
      <c r="N23" s="7" t="str">
        <f>VLOOKUP(B23,[1]characters!$A:$G,7,FALSE)</f>
        <v>女性</v>
      </c>
      <c r="O23" s="44">
        <f ca="1">IFERROR(VLOOKUP(B23,input_510010!L:R,7,FALSE),VLOOKUP(tables_510010!C23,input_510010!A:H,8,FALSE))</f>
        <v>8410.3846200000007</v>
      </c>
      <c r="P23" s="45">
        <f t="shared" ca="1" si="2"/>
        <v>1.1427153016211192E-3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input_510010!A$2</f>
        <v>510010</v>
      </c>
      <c r="B24" s="5">
        <v>217</v>
      </c>
      <c r="C24" s="7" t="str">
        <f t="shared" si="3"/>
        <v>Premium3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ケツァクアトル</v>
      </c>
      <c r="I24" s="7" t="str">
        <f>VLOOKUP(B24,[1]characters!$A:$J,10,FALSE)</f>
        <v>PremiumN</v>
      </c>
      <c r="J24" s="7">
        <f>VLOOKUP(B24,[1]characters!$A:$I,9,FALSE)</f>
        <v>3</v>
      </c>
      <c r="K24" s="7" t="str">
        <f>VLOOKUP(B24,[1]characters!$A:$H,8,FALSE)</f>
        <v>green</v>
      </c>
      <c r="L24" s="7" t="str">
        <f>VLOOKUP(B24,[1]characters!$A:$K,11,FALSE)</f>
        <v>hp</v>
      </c>
      <c r="M24" s="7" t="str">
        <f>VLOOKUP(B24,[1]characters!$A:$M,13,FALSE)</f>
        <v>dragon</v>
      </c>
      <c r="N24" s="7" t="str">
        <f>VLOOKUP(B24,[1]characters!$A:$G,7,FALSE)</f>
        <v>女性</v>
      </c>
      <c r="O24" s="44">
        <f ca="1">IFERROR(VLOOKUP(B24,input_510010!L:R,7,FALSE),VLOOKUP(tables_510010!C24,input_510010!A:H,8,FALSE))</f>
        <v>125800</v>
      </c>
      <c r="P24" s="45">
        <f t="shared" ca="1" si="2"/>
        <v>1.7092391304208487E-2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input_510010!A$2</f>
        <v>510010</v>
      </c>
      <c r="B25" s="5">
        <v>218</v>
      </c>
      <c r="C25" s="7" t="str">
        <f t="shared" si="3"/>
        <v>Premium4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聖蛇 ケツァクアトル</v>
      </c>
      <c r="I25" s="7" t="str">
        <f>VLOOKUP(B25,[1]characters!$A:$J,10,FALSE)</f>
        <v>PremiumN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hp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4">
        <f ca="1">IFERROR(VLOOKUP(B25,input_510010!L:R,7,FALSE),VLOOKUP(tables_510010!C25,input_510010!A:H,8,FALSE))</f>
        <v>148000</v>
      </c>
      <c r="P25" s="45">
        <f t="shared" ca="1" si="2"/>
        <v>2.0108695652009984E-2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input_510010!A$2</f>
        <v>510010</v>
      </c>
      <c r="B26" s="5">
        <v>219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覇翼の聖蛇竜 ケツァクアトル</v>
      </c>
      <c r="I26" s="7" t="str">
        <f>VLOOKUP(B26,[1]characters!$A:$J,10,FALSE)</f>
        <v>PremiumN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hp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4">
        <f ca="1">IFERROR(VLOOKUP(B26,input_510010!L:R,7,FALSE),VLOOKUP(tables_510010!C26,input_510010!A:H,8,FALSE))</f>
        <v>8410.3846200000007</v>
      </c>
      <c r="P26" s="45">
        <f t="shared" ca="1" si="2"/>
        <v>1.1427153016211192E-3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input_510010!A$2</f>
        <v>510010</v>
      </c>
      <c r="B27" s="5">
        <v>229</v>
      </c>
      <c r="C27" s="7" t="str">
        <f t="shared" si="3"/>
        <v>Premium3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ヨルムンガンド</v>
      </c>
      <c r="I27" s="7" t="str">
        <f>VLOOKUP(B27,[1]characters!$A:$J,10,FALSE)</f>
        <v>PremiumS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dragon</v>
      </c>
      <c r="N27" s="7" t="str">
        <f>VLOOKUP(B27,[1]characters!$A:$G,7,FALSE)</f>
        <v>女性</v>
      </c>
      <c r="O27" s="44">
        <f ca="1">IFERROR(VLOOKUP(B27,input_510010!L:R,7,FALSE),VLOOKUP(tables_510010!C27,input_510010!A:H,8,FALSE))</f>
        <v>125800</v>
      </c>
      <c r="P27" s="45">
        <f t="shared" ca="1" si="2"/>
        <v>1.7092391304208487E-2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input_510010!A$2</f>
        <v>510010</v>
      </c>
      <c r="B28" s="5">
        <v>230</v>
      </c>
      <c r="C28" s="7" t="str">
        <f t="shared" si="3"/>
        <v>Premium4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毒銃 ヨルムンガンド</v>
      </c>
      <c r="I28" s="7" t="str">
        <f>VLOOKUP(B28,[1]characters!$A:$J,10,FALSE)</f>
        <v>PremiumS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technical</v>
      </c>
      <c r="M28" s="7" t="str">
        <f>VLOOKUP(B28,[1]characters!$A:$M,13,FALSE)</f>
        <v>dragon</v>
      </c>
      <c r="N28" s="7" t="str">
        <f>VLOOKUP(B28,[1]characters!$A:$G,7,FALSE)</f>
        <v>女性</v>
      </c>
      <c r="O28" s="44">
        <f ca="1">IFERROR(VLOOKUP(B28,input_510010!L:R,7,FALSE),VLOOKUP(tables_510010!C28,input_510010!A:H,8,FALSE))</f>
        <v>148000</v>
      </c>
      <c r="P28" s="45">
        <f t="shared" ca="1" si="2"/>
        <v>2.0108695652009984E-2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input_510010!A$2</f>
        <v>510010</v>
      </c>
      <c r="B29" s="5">
        <v>231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必中の咬銃 ヨルムンガンド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technical</v>
      </c>
      <c r="M29" s="7" t="str">
        <f>VLOOKUP(B29,[1]characters!$A:$M,13,FALSE)</f>
        <v>dragon</v>
      </c>
      <c r="N29" s="7" t="str">
        <f>VLOOKUP(B29,[1]characters!$A:$G,7,FALSE)</f>
        <v>女性</v>
      </c>
      <c r="O29" s="44">
        <f ca="1">IFERROR(VLOOKUP(B29,input_510010!L:R,7,FALSE),VLOOKUP(tables_510010!C29,input_510010!A:H,8,FALSE))</f>
        <v>8410.3846200000007</v>
      </c>
      <c r="P29" s="45">
        <f t="shared" ca="1" si="2"/>
        <v>1.1427153016211192E-3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input_510010!A$2</f>
        <v>510010</v>
      </c>
      <c r="B30" s="5">
        <v>241</v>
      </c>
      <c r="C30" s="7" t="str">
        <f t="shared" si="3"/>
        <v>Premium3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ガブリエル</v>
      </c>
      <c r="I30" s="7" t="str">
        <f>VLOOKUP(B30,[1]characters!$A:$J,10,FALSE)</f>
        <v>PremiumS</v>
      </c>
      <c r="J30" s="7">
        <f>VLOOKUP(B30,[1]characters!$A:$I,9,FALSE)</f>
        <v>3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machine</v>
      </c>
      <c r="N30" s="7" t="str">
        <f>VLOOKUP(B30,[1]characters!$A:$G,7,FALSE)</f>
        <v>女性</v>
      </c>
      <c r="O30" s="44">
        <f ca="1">IFERROR(VLOOKUP(B30,input_510010!L:R,7,FALSE),VLOOKUP(tables_510010!C30,input_510010!A:H,8,FALSE))</f>
        <v>125800</v>
      </c>
      <c r="P30" s="45">
        <f t="shared" ca="1" si="2"/>
        <v>1.7092391304208487E-2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input_510010!A$2</f>
        <v>510010</v>
      </c>
      <c r="B31" s="5">
        <v>242</v>
      </c>
      <c r="C31" s="7" t="str">
        <f t="shared" si="3"/>
        <v>Premium4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百花の天使 ガブリエル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green</v>
      </c>
      <c r="L31" s="7" t="str">
        <f>VLOOKUP(B31,[1]characters!$A:$K,11,FALSE)</f>
        <v>balance</v>
      </c>
      <c r="M31" s="7" t="str">
        <f>VLOOKUP(B31,[1]characters!$A:$M,13,FALSE)</f>
        <v>machine</v>
      </c>
      <c r="N31" s="7" t="str">
        <f>VLOOKUP(B31,[1]characters!$A:$G,7,FALSE)</f>
        <v>女性</v>
      </c>
      <c r="O31" s="44">
        <f ca="1">IFERROR(VLOOKUP(B31,input_510010!L:R,7,FALSE),VLOOKUP(tables_510010!C31,input_510010!A:H,8,FALSE))</f>
        <v>148000</v>
      </c>
      <c r="P31" s="45">
        <f t="shared" ca="1" si="2"/>
        <v>2.0108695652009984E-2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input_510010!A$2</f>
        <v>510010</v>
      </c>
      <c r="B32" s="5">
        <v>243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万花の天使 ガブリエル・ブルーム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machine</v>
      </c>
      <c r="N32" s="7" t="str">
        <f>VLOOKUP(B32,[1]characters!$A:$G,7,FALSE)</f>
        <v>女性</v>
      </c>
      <c r="O32" s="44">
        <f ca="1">IFERROR(VLOOKUP(B32,input_510010!L:R,7,FALSE),VLOOKUP(tables_510010!C32,input_510010!A:H,8,FALSE))</f>
        <v>8410.3846200000007</v>
      </c>
      <c r="P32" s="45">
        <f t="shared" ca="1" si="2"/>
        <v>1.1427153016211192E-3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input_510010!A$2</f>
        <v>510010</v>
      </c>
      <c r="B33" s="6">
        <v>253</v>
      </c>
      <c r="C33" s="7" t="str">
        <f t="shared" si="3"/>
        <v>Premium3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ベルフェゴール</v>
      </c>
      <c r="I33" s="7" t="str">
        <f>VLOOKUP(B33,[1]characters!$A:$J,10,FALSE)</f>
        <v>PremiumS</v>
      </c>
      <c r="J33" s="7">
        <f>VLOOKUP(B33,[1]characters!$A:$I,9,FALSE)</f>
        <v>3</v>
      </c>
      <c r="K33" s="7" t="str">
        <f>VLOOKUP(B33,[1]characters!$A:$H,8,FALSE)</f>
        <v>green</v>
      </c>
      <c r="L33" s="7" t="str">
        <f>VLOOKUP(B33,[1]characters!$A:$K,11,FALSE)</f>
        <v>technical</v>
      </c>
      <c r="M33" s="7" t="str">
        <f>VLOOKUP(B33,[1]characters!$A:$M,13,FALSE)</f>
        <v>god</v>
      </c>
      <c r="N33" s="7" t="str">
        <f>VLOOKUP(B33,[1]characters!$A:$G,7,FALSE)</f>
        <v>女性</v>
      </c>
      <c r="O33" s="44">
        <f ca="1">IFERROR(VLOOKUP(B33,input_510010!L:R,7,FALSE),VLOOKUP(tables_510010!C33,input_510010!A:H,8,FALSE))</f>
        <v>125800</v>
      </c>
      <c r="P33" s="45">
        <f t="shared" ca="1" si="2"/>
        <v>1.7092391304208487E-2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input_510010!A$2</f>
        <v>510010</v>
      </c>
      <c r="B34" s="6">
        <v>254</v>
      </c>
      <c r="C34" s="7" t="str">
        <f t="shared" ref="C34:C49" si="5">D34&amp;J34&amp;E34&amp;F34&amp;G34</f>
        <v>Premium4</v>
      </c>
      <c r="D34" s="7" t="str">
        <f t="shared" si="4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怠惰 ベルフェゴール</v>
      </c>
      <c r="I34" s="7" t="str">
        <f>VLOOKUP(B34,[1]characters!$A:$J,10,FALSE)</f>
        <v>PremiumS</v>
      </c>
      <c r="J34" s="7">
        <f>VLOOKUP(B34,[1]characters!$A:$I,9,FALSE)</f>
        <v>4</v>
      </c>
      <c r="K34" s="7" t="str">
        <f>VLOOKUP(B34,[1]characters!$A:$H,8,FALSE)</f>
        <v>green</v>
      </c>
      <c r="L34" s="7" t="str">
        <f>VLOOKUP(B34,[1]characters!$A:$K,11,FALSE)</f>
        <v>technical</v>
      </c>
      <c r="M34" s="7" t="str">
        <f>VLOOKUP(B34,[1]characters!$A:$M,13,FALSE)</f>
        <v>god</v>
      </c>
      <c r="N34" s="7" t="str">
        <f>VLOOKUP(B34,[1]characters!$A:$G,7,FALSE)</f>
        <v>女性</v>
      </c>
      <c r="O34" s="44">
        <f ca="1">IFERROR(VLOOKUP(B34,input_510010!L:R,7,FALSE),VLOOKUP(tables_510010!C34,input_510010!A:H,8,FALSE))</f>
        <v>148000</v>
      </c>
      <c r="P34" s="45">
        <f t="shared" ref="P34:P65" ca="1" si="6">O34/SUM(O:O)</f>
        <v>2.0108695652009984E-2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input_510010!A$2</f>
        <v>510010</v>
      </c>
      <c r="B35" s="6">
        <v>255</v>
      </c>
      <c r="C35" s="7" t="str">
        <f t="shared" si="5"/>
        <v>Premium5</v>
      </c>
      <c r="D35" s="7" t="str">
        <f t="shared" ref="D35:D49" si="7">IF(OR(I35="PremiumSS",I35="PremiumSSw"),"PremiumSS",IF(I35="PremiumSSS",I35,IF(I35="PremiumW",IF(J35=5,"premium",I35),"Premium")))</f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怠惰の頂点 ベルフェゴール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女性</v>
      </c>
      <c r="O35" s="44">
        <f ca="1">IFERROR(VLOOKUP(B35,input_510010!L:R,7,FALSE),VLOOKUP(tables_510010!C35,input_510010!A:H,8,FALSE))</f>
        <v>8410.3846200000007</v>
      </c>
      <c r="P35" s="45">
        <f t="shared" ca="1" si="6"/>
        <v>1.1427153016211192E-3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input_510010!A$2</f>
        <v>510010</v>
      </c>
      <c r="B36" s="6">
        <v>322</v>
      </c>
      <c r="C36" s="7" t="str">
        <f t="shared" si="5"/>
        <v>PremiumSS4</v>
      </c>
      <c r="D36" s="7" t="str">
        <f t="shared" si="7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愛志士 土方歳三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IFERROR(VLOOKUP(B36,input_510010!L:R,7,FALSE),VLOOKUP(tables_510010!C36,input_510010!A:H,8,FALSE))</f>
        <v>6382.5</v>
      </c>
      <c r="P36" s="45">
        <f t="shared" ca="1" si="6"/>
        <v>8.6718749999293058E-4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input_510010!A$2</f>
        <v>510010</v>
      </c>
      <c r="B37" s="6">
        <v>323</v>
      </c>
      <c r="C37" s="7" t="str">
        <f t="shared" si="5"/>
        <v>PremiumSS5</v>
      </c>
      <c r="D37" s="7" t="str">
        <f t="shared" si="7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流麗の愛志士 土方歳三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IFERROR(VLOOKUP(B37,input_510010!L:R,7,FALSE),VLOOKUP(tables_510010!C37,input_510010!A:H,8,FALSE))</f>
        <v>517.5</v>
      </c>
      <c r="P37" s="45">
        <f t="shared" ca="1" si="6"/>
        <v>7.0312499999426804E-5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input_510010!A$2</f>
        <v>510010</v>
      </c>
      <c r="B38" s="6">
        <v>383</v>
      </c>
      <c r="C38" s="7" t="str">
        <f t="shared" si="5"/>
        <v>PremiumSS4</v>
      </c>
      <c r="D38" s="7" t="str">
        <f t="shared" si="7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酒宴の蟒蛇 ヤマタノオロチ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green</v>
      </c>
      <c r="L38" s="7" t="str">
        <f>VLOOKUP(B38,[1]characters!$A:$K,11,FALSE)</f>
        <v>hp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4">
        <f ca="1">IFERROR(VLOOKUP(B38,input_510010!L:R,7,FALSE),VLOOKUP(tables_510010!C38,input_510010!A:H,8,FALSE))</f>
        <v>6382.5</v>
      </c>
      <c r="P38" s="45">
        <f t="shared" ca="1" si="6"/>
        <v>8.6718749999293058E-4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input_510010!A$2</f>
        <v>510010</v>
      </c>
      <c r="B39" s="6">
        <v>384</v>
      </c>
      <c r="C39" s="7" t="str">
        <f t="shared" si="5"/>
        <v>PremiumSS5</v>
      </c>
      <c r="D39" s="7" t="str">
        <f t="shared" si="7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4">
        <f ca="1">IFERROR(VLOOKUP(B39,input_510010!L:R,7,FALSE),VLOOKUP(tables_510010!C39,input_510010!A:H,8,FALSE))</f>
        <v>517.5</v>
      </c>
      <c r="P39" s="45">
        <f t="shared" ca="1" si="6"/>
        <v>7.0312499999426804E-5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input_510010!A$2</f>
        <v>510010</v>
      </c>
      <c r="B40" s="6">
        <v>392</v>
      </c>
      <c r="C40" s="7" t="str">
        <f t="shared" si="5"/>
        <v>Premium3</v>
      </c>
      <c r="D40" s="7" t="str">
        <f t="shared" si="7"/>
        <v>Premium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ピーターパン</v>
      </c>
      <c r="I40" s="7" t="str">
        <f>VLOOKUP(B40,[1]characters!$A:$J,10,FALSE)</f>
        <v>PremiumS</v>
      </c>
      <c r="J40" s="7">
        <f>VLOOKUP(B40,[1]characters!$A:$I,9,FALSE)</f>
        <v>3</v>
      </c>
      <c r="K40" s="7" t="str">
        <f>VLOOKUP(B40,[1]characters!$A:$H,8,FALSE)</f>
        <v>green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4">
        <f ca="1">IFERROR(VLOOKUP(B40,input_510010!L:R,7,FALSE),VLOOKUP(tables_510010!C40,input_510010!A:H,8,FALSE))</f>
        <v>125800</v>
      </c>
      <c r="P40" s="45">
        <f t="shared" ca="1" si="6"/>
        <v>1.7092391304208487E-2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input_510010!A$2</f>
        <v>510010</v>
      </c>
      <c r="B41" s="6">
        <v>393</v>
      </c>
      <c r="C41" s="7" t="str">
        <f t="shared" si="5"/>
        <v>Premium4</v>
      </c>
      <c r="D41" s="7" t="str">
        <f t="shared" si="7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影縫い ピーターパン</v>
      </c>
      <c r="I41" s="7" t="str">
        <f>VLOOKUP(B41,[1]characters!$A:$J,10,FALSE)</f>
        <v>PremiumS</v>
      </c>
      <c r="J41" s="7">
        <f>VLOOKUP(B41,[1]characters!$A:$I,9,FALSE)</f>
        <v>4</v>
      </c>
      <c r="K41" s="7" t="str">
        <f>VLOOKUP(B41,[1]characters!$A:$H,8,FALSE)</f>
        <v>green</v>
      </c>
      <c r="L41" s="7" t="str">
        <f>VLOOKUP(B41,[1]characters!$A:$K,11,FALSE)</f>
        <v>attack</v>
      </c>
      <c r="M41" s="7" t="str">
        <f>VLOOKUP(B41,[1]characters!$A:$M,13,FALSE)</f>
        <v>human</v>
      </c>
      <c r="N41" s="7" t="str">
        <f>VLOOKUP(B41,[1]characters!$A:$G,7,FALSE)</f>
        <v>男性</v>
      </c>
      <c r="O41" s="44">
        <f ca="1">IFERROR(VLOOKUP(B41,input_510010!L:R,7,FALSE),VLOOKUP(tables_510010!C41,input_510010!A:H,8,FALSE))</f>
        <v>148000</v>
      </c>
      <c r="P41" s="45">
        <f t="shared" ca="1" si="6"/>
        <v>2.0108695652009984E-2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input_510010!A$2</f>
        <v>510010</v>
      </c>
      <c r="B42" s="6">
        <v>394</v>
      </c>
      <c r="C42" s="7" t="str">
        <f t="shared" si="5"/>
        <v>Premium5</v>
      </c>
      <c r="D42" s="7" t="str">
        <f t="shared" si="7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影求の悪童 ピーターパン</v>
      </c>
      <c r="I42" s="7" t="str">
        <f>VLOOKUP(B42,[1]characters!$A:$J,10,FALSE)</f>
        <v>PremiumS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4">
        <f ca="1">IFERROR(VLOOKUP(B42,input_510010!L:R,7,FALSE),VLOOKUP(tables_510010!C42,input_510010!A:H,8,FALSE))</f>
        <v>8410.3846200000007</v>
      </c>
      <c r="P42" s="45">
        <f t="shared" ca="1" si="6"/>
        <v>1.1427153016211192E-3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input_510010!A$2</f>
        <v>510010</v>
      </c>
      <c r="B43" s="6">
        <v>403</v>
      </c>
      <c r="C43" s="7" t="str">
        <f t="shared" si="5"/>
        <v>PremiumSS4</v>
      </c>
      <c r="D43" s="7" t="str">
        <f t="shared" si="7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静撃の翠眼 八咫烏</v>
      </c>
      <c r="I43" s="7" t="str">
        <f>VLOOKUP(B43,[1]characters!$A:$J,10,FALSE)</f>
        <v>PremiumSS</v>
      </c>
      <c r="J43" s="7">
        <f>VLOOKUP(B43,[1]characters!$A:$I,9,FALSE)</f>
        <v>4</v>
      </c>
      <c r="K43" s="7" t="str">
        <f>VLOOKUP(B43,[1]characters!$A:$H,8,FALSE)</f>
        <v>green</v>
      </c>
      <c r="L43" s="7" t="str">
        <f>VLOOKUP(B43,[1]characters!$A:$K,11,FALSE)</f>
        <v>balance</v>
      </c>
      <c r="M43" s="7" t="str">
        <f>VLOOKUP(B43,[1]characters!$A:$M,13,FALSE)</f>
        <v>animal</v>
      </c>
      <c r="N43" s="7" t="str">
        <f>VLOOKUP(B43,[1]characters!$A:$G,7,FALSE)</f>
        <v>女性</v>
      </c>
      <c r="O43" s="44">
        <f ca="1">IFERROR(VLOOKUP(B43,input_510010!L:R,7,FALSE),VLOOKUP(tables_510010!C43,input_510010!A:H,8,FALSE))</f>
        <v>6382.5</v>
      </c>
      <c r="P43" s="45">
        <f t="shared" ca="1" si="6"/>
        <v>8.6718749999293058E-4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input_510010!A$2</f>
        <v>510010</v>
      </c>
      <c r="B44" s="6">
        <v>404</v>
      </c>
      <c r="C44" s="7" t="str">
        <f t="shared" si="5"/>
        <v>PremiumSS5</v>
      </c>
      <c r="D44" s="7" t="str">
        <f t="shared" si="7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空襲の神眼 八咫烏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4">
        <f ca="1">IFERROR(VLOOKUP(B44,input_510010!L:R,7,FALSE),VLOOKUP(tables_510010!C44,input_510010!A:H,8,FALSE))</f>
        <v>517.5</v>
      </c>
      <c r="P44" s="45">
        <f t="shared" ca="1" si="6"/>
        <v>7.0312499999426804E-5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input_510010!A$2</f>
        <v>510010</v>
      </c>
      <c r="B45" s="6">
        <v>436</v>
      </c>
      <c r="C45" s="7" t="str">
        <f t="shared" si="5"/>
        <v>Premium3</v>
      </c>
      <c r="D45" s="7" t="str">
        <f t="shared" si="7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カカシ</v>
      </c>
      <c r="I45" s="7" t="str">
        <f>VLOOKUP(B45,[1]characters!$A:$J,10,FALSE)</f>
        <v>PremiumS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4">
        <f ca="1">IFERROR(VLOOKUP(B45,input_510010!L:R,7,FALSE),VLOOKUP(tables_510010!C45,input_510010!A:H,8,FALSE))</f>
        <v>125800</v>
      </c>
      <c r="P45" s="45">
        <f t="shared" ca="1" si="6"/>
        <v>1.7092391304208487E-2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input_510010!A$2</f>
        <v>510010</v>
      </c>
      <c r="B46" s="6">
        <v>437</v>
      </c>
      <c r="C46" s="7" t="str">
        <f t="shared" si="5"/>
        <v>Premium4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忘却者 カカシ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technical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4">
        <f ca="1">IFERROR(VLOOKUP(B46,input_510010!L:R,7,FALSE),VLOOKUP(tables_510010!C46,input_510010!A:H,8,FALSE))</f>
        <v>148000</v>
      </c>
      <c r="P46" s="45">
        <f t="shared" ca="1" si="6"/>
        <v>2.0108695652009984E-2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input_510010!A$2</f>
        <v>510010</v>
      </c>
      <c r="B47" s="6">
        <v>438</v>
      </c>
      <c r="C47" s="7" t="str">
        <f t="shared" si="5"/>
        <v>Premium5</v>
      </c>
      <c r="D47" s="7" t="str">
        <f t="shared" si="7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記憶の奪還 カカシ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human</v>
      </c>
      <c r="N47" s="7" t="str">
        <f>VLOOKUP(B47,[1]characters!$A:$G,7,FALSE)</f>
        <v>男性</v>
      </c>
      <c r="O47" s="44">
        <f ca="1">IFERROR(VLOOKUP(B47,input_510010!L:R,7,FALSE),VLOOKUP(tables_510010!C47,input_510010!A:H,8,FALSE))</f>
        <v>8410.3846200000007</v>
      </c>
      <c r="P47" s="45">
        <f t="shared" ca="1" si="6"/>
        <v>1.1427153016211192E-3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input_510010!A$2</f>
        <v>510010</v>
      </c>
      <c r="B48" s="8">
        <v>465</v>
      </c>
      <c r="C48" s="7" t="str">
        <f t="shared" si="5"/>
        <v>PremiumSS4</v>
      </c>
      <c r="D48" s="7" t="str">
        <f t="shared" si="7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真撃 ランスロット</v>
      </c>
      <c r="I48" s="7" t="str">
        <f>VLOOKUP(B48,[1]characters!$A:$J,10,FALSE)</f>
        <v>PremiumSS</v>
      </c>
      <c r="J48" s="7">
        <f>VLOOKUP(B48,[1]characters!$A:$I,9,FALSE)</f>
        <v>4</v>
      </c>
      <c r="K48" s="7" t="str">
        <f>VLOOKUP(B48,[1]characters!$A:$H,8,FALSE)</f>
        <v>green</v>
      </c>
      <c r="L48" s="7" t="str">
        <f>VLOOKUP(B48,[1]characters!$A:$K,11,FALSE)</f>
        <v>balance</v>
      </c>
      <c r="M48" s="7" t="str">
        <f>VLOOKUP(B48,[1]characters!$A:$M,13,FALSE)</f>
        <v>human</v>
      </c>
      <c r="N48" s="7" t="str">
        <f>VLOOKUP(B48,[1]characters!$A:$G,7,FALSE)</f>
        <v>男性</v>
      </c>
      <c r="O48" s="44">
        <f ca="1">IFERROR(VLOOKUP(B48,input_510010!L:R,7,FALSE),VLOOKUP(tables_510010!C48,input_510010!A:H,8,FALSE))</f>
        <v>6382.5</v>
      </c>
      <c r="P48" s="45">
        <f t="shared" ca="1" si="6"/>
        <v>8.6718749999293058E-4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s="9" customFormat="1" ht="21" customHeight="1" thickBot="1" x14ac:dyDescent="0.2">
      <c r="A49" s="2" t="str">
        <f ca="1">input_510010!A$2</f>
        <v>510010</v>
      </c>
      <c r="B49" s="6">
        <v>466</v>
      </c>
      <c r="C49" s="7" t="str">
        <f t="shared" si="5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真断の勇覇 ランスロット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男性</v>
      </c>
      <c r="O49" s="44">
        <f ca="1">IFERROR(VLOOKUP(B49,input_510010!L:R,7,FALSE),VLOOKUP(tables_510010!C49,input_510010!A:H,8,FALSE))</f>
        <v>517.5</v>
      </c>
      <c r="P49" s="45">
        <f t="shared" ca="1" si="6"/>
        <v>7.0312499999426804E-5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input_510010!A$2</f>
        <v>510010</v>
      </c>
      <c r="B50" s="6">
        <v>476</v>
      </c>
      <c r="C50" s="7" t="str">
        <f t="shared" ref="C50:C66" si="8">D50&amp;J50&amp;E50&amp;F50&amp;G50</f>
        <v>Premium3</v>
      </c>
      <c r="D50" s="7" t="str">
        <f t="shared" ref="D50:D66" si="9">IF(OR(I50="PremiumSS",I50="PremiumSSw"),"PremiumSS",IF(I50="PremiumSSS",I50,IF(I50="PremiumW",IF(J50=5,"premium",I50),"Premium")))</f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ファータ</v>
      </c>
      <c r="I50" s="7" t="str">
        <f>VLOOKUP(B50,[1]characters!$A:$J,10,FALSE)</f>
        <v>PremiumS</v>
      </c>
      <c r="J50" s="7">
        <f>VLOOKUP(B50,[1]characters!$A:$I,9,FALSE)</f>
        <v>3</v>
      </c>
      <c r="K50" s="7" t="str">
        <f>VLOOKUP(B50,[1]characters!$A:$H,8,FALSE)</f>
        <v>green</v>
      </c>
      <c r="L50" s="7" t="str">
        <f>VLOOKUP(B50,[1]characters!$A:$K,11,FALSE)</f>
        <v>heal</v>
      </c>
      <c r="M50" s="7" t="str">
        <f>VLOOKUP(B50,[1]characters!$A:$M,13,FALSE)</f>
        <v>unknown</v>
      </c>
      <c r="N50" s="7" t="str">
        <f>VLOOKUP(B50,[1]characters!$A:$G,7,FALSE)</f>
        <v>女性</v>
      </c>
      <c r="O50" s="44">
        <f ca="1">IFERROR(VLOOKUP(B50,input_510010!L:R,7,FALSE),VLOOKUP(tables_510010!C50,input_510010!A:H,8,FALSE))</f>
        <v>125800</v>
      </c>
      <c r="P50" s="45">
        <f t="shared" ca="1" si="6"/>
        <v>1.7092391304208487E-2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input_510010!A$2</f>
        <v>510010</v>
      </c>
      <c r="B51" s="6">
        <v>477</v>
      </c>
      <c r="C51" s="7" t="str">
        <f t="shared" si="8"/>
        <v>Premium4</v>
      </c>
      <c r="D51" s="7" t="str">
        <f t="shared" si="9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愛羽妖精 ファータ</v>
      </c>
      <c r="I51" s="7" t="str">
        <f>VLOOKUP(B51,[1]characters!$A:$J,10,FALSE)</f>
        <v>PremiumS</v>
      </c>
      <c r="J51" s="7">
        <f>VLOOKUP(B51,[1]characters!$A:$I,9,FALSE)</f>
        <v>4</v>
      </c>
      <c r="K51" s="7" t="str">
        <f>VLOOKUP(B51,[1]characters!$A:$H,8,FALSE)</f>
        <v>green</v>
      </c>
      <c r="L51" s="7" t="str">
        <f>VLOOKUP(B51,[1]characters!$A:$K,11,FALSE)</f>
        <v>heal</v>
      </c>
      <c r="M51" s="7" t="str">
        <f>VLOOKUP(B51,[1]characters!$A:$M,13,FALSE)</f>
        <v>unknown</v>
      </c>
      <c r="N51" s="7" t="str">
        <f>VLOOKUP(B51,[1]characters!$A:$G,7,FALSE)</f>
        <v>女性</v>
      </c>
      <c r="O51" s="44">
        <f ca="1">IFERROR(VLOOKUP(B51,input_510010!L:R,7,FALSE),VLOOKUP(tables_510010!C51,input_510010!A:H,8,FALSE))</f>
        <v>148000</v>
      </c>
      <c r="P51" s="45">
        <f t="shared" ca="1" si="6"/>
        <v>2.0108695652009984E-2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input_510010!A$2</f>
        <v>510010</v>
      </c>
      <c r="B52" s="6">
        <v>478</v>
      </c>
      <c r="C52" s="7" t="str">
        <f t="shared" si="8"/>
        <v>Premium5</v>
      </c>
      <c r="D52" s="7" t="str">
        <f t="shared" si="9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時計仕掛けの愛羽妖精 ファータ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heal</v>
      </c>
      <c r="M52" s="7" t="str">
        <f>VLOOKUP(B52,[1]characters!$A:$M,13,FALSE)</f>
        <v>unknown</v>
      </c>
      <c r="N52" s="7" t="str">
        <f>VLOOKUP(B52,[1]characters!$A:$G,7,FALSE)</f>
        <v>女性</v>
      </c>
      <c r="O52" s="44">
        <f ca="1">IFERROR(VLOOKUP(B52,input_510010!L:R,7,FALSE),VLOOKUP(tables_510010!C52,input_510010!A:H,8,FALSE))</f>
        <v>8410.3846200000007</v>
      </c>
      <c r="P52" s="45">
        <f t="shared" ca="1" si="6"/>
        <v>1.1427153016211192E-3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input_510010!A$2</f>
        <v>510010</v>
      </c>
      <c r="B53" s="6">
        <v>494</v>
      </c>
      <c r="C53" s="7" t="str">
        <f t="shared" si="8"/>
        <v>PremiumSS4</v>
      </c>
      <c r="D53" s="7" t="str">
        <f t="shared" si="9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ハーメルン</v>
      </c>
      <c r="I53" s="7" t="str">
        <f>VLOOKUP(B53,[1]characters!$A:$J,10,FALSE)</f>
        <v>PremiumSS</v>
      </c>
      <c r="J53" s="7">
        <f>VLOOKUP(B53,[1]characters!$A:$I,9,FALSE)</f>
        <v>4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human</v>
      </c>
      <c r="N53" s="7" t="str">
        <f>VLOOKUP(B53,[1]characters!$A:$G,7,FALSE)</f>
        <v>男性</v>
      </c>
      <c r="O53" s="44">
        <f>IFERROR(VLOOKUP(B53,input_510010!L:R,7,FALSE),VLOOKUP(tables_510010!C53,input_510010!A:H,8,FALSE))</f>
        <v>204240</v>
      </c>
      <c r="P53" s="45">
        <f t="shared" ca="1" si="6"/>
        <v>2.7749999999773779E-2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input_510010!A$2</f>
        <v>510010</v>
      </c>
      <c r="B54" s="6">
        <v>495</v>
      </c>
      <c r="C54" s="7" t="str">
        <f t="shared" si="8"/>
        <v>PremiumSS5</v>
      </c>
      <c r="D54" s="7" t="str">
        <f t="shared" si="9"/>
        <v>PremiumSS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鼠災呼ぶ笛音 ハーメルン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technical</v>
      </c>
      <c r="M54" s="7" t="str">
        <f>VLOOKUP(B54,[1]characters!$A:$M,13,FALSE)</f>
        <v>human</v>
      </c>
      <c r="N54" s="7" t="str">
        <f>VLOOKUP(B54,[1]characters!$A:$G,7,FALSE)</f>
        <v>男性</v>
      </c>
      <c r="O54" s="44">
        <f>IFERROR(VLOOKUP(B54,input_510010!L:R,7,FALSE),VLOOKUP(tables_510010!C54,input_510010!A:H,8,FALSE))</f>
        <v>16559.999999999989</v>
      </c>
      <c r="P54" s="45">
        <f t="shared" ca="1" si="6"/>
        <v>2.2499999999816564E-3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input_510010!A$2</f>
        <v>510010</v>
      </c>
      <c r="B55" s="6">
        <v>561</v>
      </c>
      <c r="C55" s="7" t="str">
        <f t="shared" si="8"/>
        <v>premium5R3less</v>
      </c>
      <c r="D55" s="7" t="str">
        <f t="shared" si="9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森翠統べる獣姫 アマラ</v>
      </c>
      <c r="I55" s="7" t="str">
        <f>VLOOKUP(B55,[1]characters!$A:$J,10,FALSE)</f>
        <v>PremiumW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attack</v>
      </c>
      <c r="M55" s="7" t="str">
        <f>VLOOKUP(B55,[1]characters!$A:$M,13,FALSE)</f>
        <v>human</v>
      </c>
      <c r="N55" s="7" t="str">
        <f>VLOOKUP(B55,[1]characters!$A:$G,7,FALSE)</f>
        <v>女性</v>
      </c>
      <c r="O55" s="44">
        <f ca="1">IFERROR(VLOOKUP(B55,input_510010!L:R,7,FALSE),VLOOKUP(tables_510010!C55,input_510010!A:H,8,FALSE))</f>
        <v>22200</v>
      </c>
      <c r="P55" s="45">
        <f t="shared" ca="1" si="6"/>
        <v>3.0163043478014977E-3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input_510010!A$2</f>
        <v>510010</v>
      </c>
      <c r="B56" s="6">
        <v>588</v>
      </c>
      <c r="C56" s="7" t="str">
        <f t="shared" si="8"/>
        <v>Premium3</v>
      </c>
      <c r="D56" s="7" t="str">
        <f t="shared" si="9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ニーベルゲン</v>
      </c>
      <c r="I56" s="7" t="str">
        <f>VLOOKUP(B56,[1]characters!$A:$J,10,FALSE)</f>
        <v>PremiumS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balance</v>
      </c>
      <c r="M56" s="7" t="str">
        <f>VLOOKUP(B56,[1]characters!$A:$M,13,FALSE)</f>
        <v>unknown</v>
      </c>
      <c r="N56" s="7" t="str">
        <f>VLOOKUP(B56,[1]characters!$A:$G,7,FALSE)</f>
        <v>女性</v>
      </c>
      <c r="O56" s="44">
        <f ca="1">IFERROR(VLOOKUP(B56,input_510010!L:R,7,FALSE),VLOOKUP(tables_510010!C56,input_510010!A:H,8,FALSE))</f>
        <v>125800</v>
      </c>
      <c r="P56" s="45">
        <f t="shared" ca="1" si="6"/>
        <v>1.7092391304208487E-2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input_510010!A$2</f>
        <v>510010</v>
      </c>
      <c r="B57" s="6">
        <v>589</v>
      </c>
      <c r="C57" s="7" t="str">
        <f t="shared" si="8"/>
        <v>Premium4</v>
      </c>
      <c r="D57" s="7" t="str">
        <f t="shared" si="9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不幸の円環 ニーベルゲン</v>
      </c>
      <c r="I57" s="7" t="str">
        <f>VLOOKUP(B57,[1]characters!$A:$J,10,FALSE)</f>
        <v>PremiumS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balance</v>
      </c>
      <c r="M57" s="7" t="str">
        <f>VLOOKUP(B57,[1]characters!$A:$M,13,FALSE)</f>
        <v>unknown</v>
      </c>
      <c r="N57" s="7" t="str">
        <f>VLOOKUP(B57,[1]characters!$A:$G,7,FALSE)</f>
        <v>女性</v>
      </c>
      <c r="O57" s="44">
        <f ca="1">IFERROR(VLOOKUP(B57,input_510010!L:R,7,FALSE),VLOOKUP(tables_510010!C57,input_510010!A:H,8,FALSE))</f>
        <v>148000</v>
      </c>
      <c r="P57" s="45">
        <f t="shared" ca="1" si="6"/>
        <v>2.0108695652009984E-2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input_510010!A$2</f>
        <v>510010</v>
      </c>
      <c r="B58" s="6">
        <v>590</v>
      </c>
      <c r="C58" s="7" t="str">
        <f t="shared" si="8"/>
        <v>Premium5</v>
      </c>
      <c r="D58" s="7" t="str">
        <f t="shared" si="9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永遠を廻る呪い ニーベルゲン</v>
      </c>
      <c r="I58" s="7" t="str">
        <f>VLOOKUP(B58,[1]characters!$A:$J,10,FALSE)</f>
        <v>PremiumS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balance</v>
      </c>
      <c r="M58" s="7" t="str">
        <f>VLOOKUP(B58,[1]characters!$A:$M,13,FALSE)</f>
        <v>unknown</v>
      </c>
      <c r="N58" s="7" t="str">
        <f>VLOOKUP(B58,[1]characters!$A:$G,7,FALSE)</f>
        <v>女性</v>
      </c>
      <c r="O58" s="44">
        <f ca="1">IFERROR(VLOOKUP(B58,input_510010!L:R,7,FALSE),VLOOKUP(tables_510010!C58,input_510010!A:H,8,FALSE))</f>
        <v>8410.3846200000007</v>
      </c>
      <c r="P58" s="45">
        <f t="shared" ca="1" si="6"/>
        <v>1.1427153016211192E-3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input_510010!A$2</f>
        <v>510010</v>
      </c>
      <c r="B59" s="6">
        <v>599</v>
      </c>
      <c r="C59" s="7" t="str">
        <f t="shared" si="8"/>
        <v>Premium3</v>
      </c>
      <c r="D59" s="7" t="str">
        <f t="shared" si="9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ニーズヘッグ</v>
      </c>
      <c r="I59" s="7" t="str">
        <f>VLOOKUP(B59,[1]characters!$A:$J,10,FALSE)</f>
        <v>PremiumS</v>
      </c>
      <c r="J59" s="7">
        <f>VLOOKUP(B59,[1]characters!$A:$I,9,FALSE)</f>
        <v>3</v>
      </c>
      <c r="K59" s="7" t="str">
        <f>VLOOKUP(B59,[1]characters!$A:$H,8,FALSE)</f>
        <v>green</v>
      </c>
      <c r="L59" s="7" t="str">
        <f>VLOOKUP(B59,[1]characters!$A:$K,11,FALSE)</f>
        <v>attack</v>
      </c>
      <c r="M59" s="7" t="str">
        <f>VLOOKUP(B59,[1]characters!$A:$M,13,FALSE)</f>
        <v>dragon</v>
      </c>
      <c r="N59" s="7" t="str">
        <f>VLOOKUP(B59,[1]characters!$A:$G,7,FALSE)</f>
        <v>不明</v>
      </c>
      <c r="O59" s="44">
        <f ca="1">IFERROR(VLOOKUP(B59,input_510010!L:R,7,FALSE),VLOOKUP(tables_510010!C59,input_510010!A:H,8,FALSE))</f>
        <v>125800</v>
      </c>
      <c r="P59" s="45">
        <f t="shared" ca="1" si="6"/>
        <v>1.7092391304208487E-2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input_510010!A$2</f>
        <v>510010</v>
      </c>
      <c r="B60" s="6">
        <v>600</v>
      </c>
      <c r="C60" s="7" t="str">
        <f t="shared" si="8"/>
        <v>Premium4</v>
      </c>
      <c r="D60" s="7" t="str">
        <f t="shared" si="9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界下に潜む蛇 ニーズヘッグ</v>
      </c>
      <c r="I60" s="7" t="str">
        <f>VLOOKUP(B60,[1]characters!$A:$J,10,FALSE)</f>
        <v>PremiumS</v>
      </c>
      <c r="J60" s="7">
        <f>VLOOKUP(B60,[1]characters!$A:$I,9,FALSE)</f>
        <v>4</v>
      </c>
      <c r="K60" s="7" t="str">
        <f>VLOOKUP(B60,[1]characters!$A:$H,8,FALSE)</f>
        <v>green</v>
      </c>
      <c r="L60" s="7" t="str">
        <f>VLOOKUP(B60,[1]characters!$A:$K,11,FALSE)</f>
        <v>attack</v>
      </c>
      <c r="M60" s="7" t="str">
        <f>VLOOKUP(B60,[1]characters!$A:$M,13,FALSE)</f>
        <v>dragon</v>
      </c>
      <c r="N60" s="7" t="str">
        <f>VLOOKUP(B60,[1]characters!$A:$G,7,FALSE)</f>
        <v>不明</v>
      </c>
      <c r="O60" s="44">
        <f ca="1">IFERROR(VLOOKUP(B60,input_510010!L:R,7,FALSE),VLOOKUP(tables_510010!C60,input_510010!A:H,8,FALSE))</f>
        <v>148000</v>
      </c>
      <c r="P60" s="45">
        <f t="shared" ca="1" si="6"/>
        <v>2.0108695652009984E-2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input_510010!A$2</f>
        <v>510010</v>
      </c>
      <c r="B61" s="6">
        <v>601</v>
      </c>
      <c r="C61" s="7" t="str">
        <f t="shared" si="8"/>
        <v>Premium5</v>
      </c>
      <c r="D61" s="7" t="str">
        <f t="shared" si="9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界根蝕む悪食 ニーズヘッグ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green</v>
      </c>
      <c r="L61" s="7" t="str">
        <f>VLOOKUP(B61,[1]characters!$A:$K,11,FALSE)</f>
        <v>attack</v>
      </c>
      <c r="M61" s="7" t="str">
        <f>VLOOKUP(B61,[1]characters!$A:$M,13,FALSE)</f>
        <v>dragon</v>
      </c>
      <c r="N61" s="7" t="str">
        <f>VLOOKUP(B61,[1]characters!$A:$G,7,FALSE)</f>
        <v>不明</v>
      </c>
      <c r="O61" s="44">
        <f ca="1">IFERROR(VLOOKUP(B61,input_510010!L:R,7,FALSE),VLOOKUP(tables_510010!C61,input_510010!A:H,8,FALSE))</f>
        <v>8410.3846200000007</v>
      </c>
      <c r="P61" s="45">
        <f t="shared" ca="1" si="6"/>
        <v>1.1427153016211192E-3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input_510010!A$2</f>
        <v>510010</v>
      </c>
      <c r="B62" s="6">
        <v>660</v>
      </c>
      <c r="C62" s="7" t="str">
        <f t="shared" si="8"/>
        <v>PremiumSS4</v>
      </c>
      <c r="D62" s="7" t="str">
        <f t="shared" si="9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烏天狗 フウガ</v>
      </c>
      <c r="I62" s="7" t="str">
        <f>VLOOKUP(B62,[1]characters!$A:$J,10,FALSE)</f>
        <v>PremiumSS</v>
      </c>
      <c r="J62" s="7">
        <f>VLOOKUP(B62,[1]characters!$A:$I,9,FALSE)</f>
        <v>4</v>
      </c>
      <c r="K62" s="7" t="str">
        <f>VLOOKUP(B62,[1]characters!$A:$H,8,FALSE)</f>
        <v>green</v>
      </c>
      <c r="L62" s="7" t="str">
        <f>VLOOKUP(B62,[1]characters!$A:$K,11,FALSE)</f>
        <v>balance</v>
      </c>
      <c r="M62" s="7" t="str">
        <f>VLOOKUP(B62,[1]characters!$A:$M,13,FALSE)</f>
        <v>animal</v>
      </c>
      <c r="N62" s="7" t="str">
        <f>VLOOKUP(B62,[1]characters!$A:$G,7,FALSE)</f>
        <v>男性</v>
      </c>
      <c r="O62" s="44">
        <f ca="1">IFERROR(VLOOKUP(B62,input_510010!L:R,7,FALSE),VLOOKUP(tables_510010!C62,input_510010!A:H,8,FALSE))</f>
        <v>6382.5</v>
      </c>
      <c r="P62" s="45">
        <f t="shared" ca="1" si="6"/>
        <v>8.6718749999293058E-4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input_510010!A$2</f>
        <v>510010</v>
      </c>
      <c r="B63" s="59">
        <v>661</v>
      </c>
      <c r="C63" s="7" t="str">
        <f t="shared" si="8"/>
        <v>PremiumSS5</v>
      </c>
      <c r="D63" s="7" t="str">
        <f t="shared" si="9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疾風の天狗礫 フウガ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balance</v>
      </c>
      <c r="M63" s="7" t="str">
        <f>VLOOKUP(B63,[1]characters!$A:$M,13,FALSE)</f>
        <v>animal</v>
      </c>
      <c r="N63" s="7" t="str">
        <f>VLOOKUP(B63,[1]characters!$A:$G,7,FALSE)</f>
        <v>男性</v>
      </c>
      <c r="O63" s="44">
        <f ca="1">IFERROR(VLOOKUP(B63,input_510010!L:R,7,FALSE),VLOOKUP(tables_510010!C63,input_510010!A:H,8,FALSE))</f>
        <v>517.5</v>
      </c>
      <c r="P63" s="45">
        <f t="shared" ca="1" si="6"/>
        <v>7.0312499999426804E-5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input_510010!A$2</f>
        <v>510010</v>
      </c>
      <c r="B64" s="59">
        <v>671</v>
      </c>
      <c r="C64" s="7" t="str">
        <f t="shared" si="8"/>
        <v>Premium3</v>
      </c>
      <c r="D64" s="7" t="str">
        <f t="shared" si="9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ハヌマーン</v>
      </c>
      <c r="I64" s="7" t="str">
        <f>VLOOKUP(B64,[1]characters!$A:$J,10,FALSE)</f>
        <v>PremiumS</v>
      </c>
      <c r="J64" s="7">
        <f>VLOOKUP(B64,[1]characters!$A:$I,9,FALSE)</f>
        <v>3</v>
      </c>
      <c r="K64" s="7" t="str">
        <f>VLOOKUP(B64,[1]characters!$A:$H,8,FALSE)</f>
        <v>green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男性</v>
      </c>
      <c r="O64" s="44">
        <f ca="1">IFERROR(VLOOKUP(B64,input_510010!L:R,7,FALSE),VLOOKUP(tables_510010!C64,input_510010!A:H,8,FALSE))</f>
        <v>125800</v>
      </c>
      <c r="P64" s="45">
        <f t="shared" ca="1" si="6"/>
        <v>1.7092391304208487E-2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input_510010!A$2</f>
        <v>510010</v>
      </c>
      <c r="B65" s="59">
        <v>672</v>
      </c>
      <c r="C65" s="7" t="str">
        <f t="shared" si="8"/>
        <v>Premium4</v>
      </c>
      <c r="D65" s="7" t="str">
        <f t="shared" si="9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西遊韋駄天 ハヌマーン</v>
      </c>
      <c r="I65" s="7" t="str">
        <f>VLOOKUP(B65,[1]characters!$A:$J,10,FALSE)</f>
        <v>PremiumS</v>
      </c>
      <c r="J65" s="7">
        <f>VLOOKUP(B65,[1]characters!$A:$I,9,FALSE)</f>
        <v>4</v>
      </c>
      <c r="K65" s="7" t="str">
        <f>VLOOKUP(B65,[1]characters!$A:$H,8,FALSE)</f>
        <v>green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男性</v>
      </c>
      <c r="O65" s="44">
        <f ca="1">IFERROR(VLOOKUP(B65,input_510010!L:R,7,FALSE),VLOOKUP(tables_510010!C65,input_510010!A:H,8,FALSE))</f>
        <v>148000</v>
      </c>
      <c r="P65" s="45">
        <f t="shared" ca="1" si="6"/>
        <v>2.0108695652009984E-2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ht="21" customHeight="1" x14ac:dyDescent="0.15">
      <c r="A66" s="2" t="str">
        <f ca="1">input_510010!A$2</f>
        <v>510010</v>
      </c>
      <c r="B66" s="59">
        <v>673</v>
      </c>
      <c r="C66" s="7" t="str">
        <f t="shared" si="8"/>
        <v>Premium5</v>
      </c>
      <c r="D66" s="7" t="str">
        <f t="shared" si="9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変幻自在の猿王 ハヌマーン</v>
      </c>
      <c r="I66" s="7" t="str">
        <f>VLOOKUP(B66,[1]characters!$A:$J,10,FALSE)</f>
        <v>PremiumS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attack</v>
      </c>
      <c r="M66" s="7" t="str">
        <f>VLOOKUP(B66,[1]characters!$A:$M,13,FALSE)</f>
        <v>animal</v>
      </c>
      <c r="N66" s="7" t="str">
        <f>VLOOKUP(B66,[1]characters!$A:$G,7,FALSE)</f>
        <v>男性</v>
      </c>
      <c r="O66" s="44">
        <f ca="1">IFERROR(VLOOKUP(B66,input_510010!L:R,7,FALSE),VLOOKUP(tables_510010!C66,input_510010!A:H,8,FALSE))</f>
        <v>8410.3846200000007</v>
      </c>
      <c r="P66" s="45">
        <f t="shared" ref="P66:P97" ca="1" si="10">O66/SUM(O:O)</f>
        <v>1.1427153016211192E-3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input_510010!A$2</f>
        <v>510010</v>
      </c>
      <c r="B67" s="59">
        <v>730</v>
      </c>
      <c r="C67" s="7" t="str">
        <f t="shared" ref="C67:C71" si="11">D67&amp;J67&amp;E67&amp;F67&amp;G67</f>
        <v>Premium4R3less</v>
      </c>
      <c r="D67" s="7" t="str">
        <f t="shared" ref="D67:D81" si="12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ガラシャ</v>
      </c>
      <c r="I67" s="7" t="str">
        <f>VLOOKUP(B67,[1]characters!$A:$J,10,FALSE)</f>
        <v>PremiumS</v>
      </c>
      <c r="J67" s="7">
        <f>VLOOKUP(B67,[1]characters!$A:$I,9,FALSE)</f>
        <v>4</v>
      </c>
      <c r="K67" s="7" t="str">
        <f>VLOOKUP(B67,[1]characters!$A:$H,8,FALSE)</f>
        <v>green</v>
      </c>
      <c r="L67" s="7" t="str">
        <f>VLOOKUP(B67,[1]characters!$A:$K,11,FALSE)</f>
        <v>heal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IFERROR(VLOOKUP(B67,input_510010!L:R,7,FALSE),VLOOKUP(tables_510010!C67,input_510010!A:H,8,FALSE))</f>
        <v>268250</v>
      </c>
      <c r="P67" s="45">
        <f t="shared" ca="1" si="10"/>
        <v>3.6447010869268097E-2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input_510010!A$2</f>
        <v>510010</v>
      </c>
      <c r="B68" s="59">
        <v>731</v>
      </c>
      <c r="C68" s="7" t="str">
        <f t="shared" si="11"/>
        <v>Premium5R3less</v>
      </c>
      <c r="D68" s="7" t="str">
        <f t="shared" si="12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敬虔なる追銃 ガラシャ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green</v>
      </c>
      <c r="L68" s="7" t="str">
        <f>VLOOKUP(B68,[1]characters!$A:$K,11,FALSE)</f>
        <v>heal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IFERROR(VLOOKUP(B68,input_510010!L:R,7,FALSE),VLOOKUP(tables_510010!C68,input_510010!A:H,8,FALSE))</f>
        <v>22200</v>
      </c>
      <c r="P68" s="45">
        <f t="shared" ca="1" si="10"/>
        <v>3.0163043478014977E-3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input_510010!A$2</f>
        <v>510010</v>
      </c>
      <c r="B69" s="59">
        <v>744</v>
      </c>
      <c r="C69" s="7" t="str">
        <f t="shared" si="11"/>
        <v>PremiumSS5R5only</v>
      </c>
      <c r="D69" s="7" t="str">
        <f t="shared" si="12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ヘルメス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technical</v>
      </c>
      <c r="M69" s="7" t="str">
        <f>VLOOKUP(B69,[1]characters!$A:$M,13,FALSE)</f>
        <v>god</v>
      </c>
      <c r="N69" s="7" t="str">
        <f>VLOOKUP(B69,[1]characters!$A:$G,7,FALSE)</f>
        <v>男性</v>
      </c>
      <c r="O69" s="44">
        <f ca="1">IFERROR(VLOOKUP(B69,input_510010!L:R,7,FALSE),VLOOKUP(tables_510010!C69,input_510010!A:H,8,FALSE))</f>
        <v>6900</v>
      </c>
      <c r="P69" s="45">
        <f t="shared" ca="1" si="10"/>
        <v>9.3749999999235742E-4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input_510010!A$2</f>
        <v>510010</v>
      </c>
      <c r="B70" s="80">
        <v>772</v>
      </c>
      <c r="C70" s="7" t="str">
        <f t="shared" si="11"/>
        <v>PremiumSS4</v>
      </c>
      <c r="D70" s="7" t="str">
        <f t="shared" si="12"/>
        <v>PremiumSS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イナバ</v>
      </c>
      <c r="I70" s="7" t="str">
        <f>VLOOKUP(B70,[1]characters!$A:$J,10,FALSE)</f>
        <v>PremiumSS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animal</v>
      </c>
      <c r="N70" s="7" t="str">
        <f>VLOOKUP(B70,[1]characters!$A:$G,7,FALSE)</f>
        <v>女性</v>
      </c>
      <c r="O70" s="44">
        <f ca="1">IFERROR(VLOOKUP(B70,input_510010!L:R,7,FALSE),VLOOKUP(tables_510010!C70,input_510010!A:H,8,FALSE))</f>
        <v>6382.5</v>
      </c>
      <c r="P70" s="45">
        <f t="shared" ca="1" si="10"/>
        <v>8.6718749999293058E-4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input_510010!A$2</f>
        <v>510010</v>
      </c>
      <c r="B71" s="80">
        <v>773</v>
      </c>
      <c r="C71" s="7" t="str">
        <f t="shared" si="11"/>
        <v>PremiumSS5</v>
      </c>
      <c r="D71" s="7" t="str">
        <f t="shared" si="12"/>
        <v>PremiumSS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浮跳天兎 イナバ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女性</v>
      </c>
      <c r="O71" s="44">
        <f ca="1">IFERROR(VLOOKUP(B71,input_510010!L:R,7,FALSE),VLOOKUP(tables_510010!C71,input_510010!A:H,8,FALSE))</f>
        <v>517.5</v>
      </c>
      <c r="P71" s="45">
        <f t="shared" ca="1" si="10"/>
        <v>7.0312499999426804E-5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input_510010!A$2</f>
        <v>510010</v>
      </c>
      <c r="B72" s="5">
        <v>850</v>
      </c>
      <c r="C72" s="7" t="str">
        <f t="shared" ref="C72" si="13">D72&amp;J72&amp;E72&amp;F72&amp;G72</f>
        <v>PremiumSS5R5only</v>
      </c>
      <c r="D72" s="7" t="str">
        <f t="shared" si="12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バアル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 t="str">
        <f>VLOOKUP(B72,[1]characters!$A:$G,7,FALSE)</f>
        <v>男性</v>
      </c>
      <c r="O72" s="44">
        <f ca="1">IFERROR(VLOOKUP(B72,input_510010!L:R,7,FALSE),VLOOKUP(tables_510010!C72,input_510010!A:H,8,FALSE))</f>
        <v>6900</v>
      </c>
      <c r="P72" s="45">
        <f t="shared" ca="1" si="10"/>
        <v>9.3749999999235742E-4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input_510010!A$2</f>
        <v>510010</v>
      </c>
      <c r="B73" s="5">
        <v>864</v>
      </c>
      <c r="C73" s="7" t="str">
        <f t="shared" ref="C73:C74" si="14">D73&amp;J73&amp;E73&amp;F73&amp;G73</f>
        <v>Premium4R3less</v>
      </c>
      <c r="D73" s="7" t="str">
        <f t="shared" si="12"/>
        <v>Premium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ピノキオ</v>
      </c>
      <c r="I73" s="7" t="str">
        <f>VLOOKUP(B73,[1]characters!$A:$J,10,FALSE)</f>
        <v>PremiumS</v>
      </c>
      <c r="J73" s="7">
        <f>VLOOKUP(B73,[1]characters!$A:$I,9,FALSE)</f>
        <v>4</v>
      </c>
      <c r="K73" s="7" t="str">
        <f>VLOOKUP(B73,[1]characters!$A:$H,8,FALSE)</f>
        <v>green</v>
      </c>
      <c r="L73" s="7" t="str">
        <f>VLOOKUP(B73,[1]characters!$A:$K,11,FALSE)</f>
        <v>attack</v>
      </c>
      <c r="M73" s="7" t="str">
        <f>VLOOKUP(B73,[1]characters!$A:$M,13,FALSE)</f>
        <v>machine</v>
      </c>
      <c r="N73" s="7" t="str">
        <f>VLOOKUP(B73,[1]characters!$A:$G,7,FALSE)</f>
        <v>男性</v>
      </c>
      <c r="O73" s="44">
        <f ca="1">IFERROR(VLOOKUP(B73,input_510010!L:R,7,FALSE),VLOOKUP(tables_510010!C73,input_510010!A:H,8,FALSE))</f>
        <v>268250</v>
      </c>
      <c r="P73" s="45">
        <f t="shared" ca="1" si="10"/>
        <v>3.6447010869268097E-2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input_510010!A$2</f>
        <v>510010</v>
      </c>
      <c r="B74" s="5">
        <v>865</v>
      </c>
      <c r="C74" s="7" t="str">
        <f t="shared" si="14"/>
        <v>Premium5R3less</v>
      </c>
      <c r="D74" s="7" t="str">
        <f t="shared" si="12"/>
        <v>Premium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無情の感線 ピノキオ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attack</v>
      </c>
      <c r="M74" s="7" t="str">
        <f>VLOOKUP(B74,[1]characters!$A:$M,13,FALSE)</f>
        <v>machine</v>
      </c>
      <c r="N74" s="7" t="str">
        <f>VLOOKUP(B74,[1]characters!$A:$G,7,FALSE)</f>
        <v>男性</v>
      </c>
      <c r="O74" s="44">
        <f ca="1">IFERROR(VLOOKUP(B74,input_510010!L:R,7,FALSE),VLOOKUP(tables_510010!C74,input_510010!A:H,8,FALSE))</f>
        <v>22200</v>
      </c>
      <c r="P74" s="45">
        <f t="shared" ca="1" si="10"/>
        <v>3.0163043478014977E-3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input_510010!A$2</f>
        <v>510010</v>
      </c>
      <c r="B75" s="5">
        <v>939</v>
      </c>
      <c r="C75" s="7" t="str">
        <f t="shared" ref="C75:C76" si="15">D75&amp;J75&amp;E75&amp;F75&amp;G75</f>
        <v>Premium4R3less</v>
      </c>
      <c r="D75" s="7" t="str">
        <f t="shared" si="12"/>
        <v>Premium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バスティーユ</v>
      </c>
      <c r="I75" s="7" t="str">
        <f>VLOOKUP(B75,[1]characters!$A:$J,10,FALSE)</f>
        <v>PremiumS</v>
      </c>
      <c r="J75" s="7">
        <f>VLOOKUP(B75,[1]characters!$A:$I,9,FALSE)</f>
        <v>4</v>
      </c>
      <c r="K75" s="7" t="str">
        <f>VLOOKUP(B75,[1]characters!$A:$H,8,FALSE)</f>
        <v>green</v>
      </c>
      <c r="L75" s="7" t="str">
        <f>VLOOKUP(B75,[1]characters!$A:$K,11,FALSE)</f>
        <v>hp</v>
      </c>
      <c r="M75" s="7" t="str">
        <f>VLOOKUP(B75,[1]characters!$A:$M,13,FALSE)</f>
        <v>unknown</v>
      </c>
      <c r="N75" s="7" t="str">
        <f>VLOOKUP(B75,[1]characters!$A:$G,7,FALSE)</f>
        <v>男性</v>
      </c>
      <c r="O75" s="44">
        <f ca="1">IFERROR(VLOOKUP(B75,input_510010!L:R,7,FALSE),VLOOKUP(tables_510010!C75,input_510010!A:H,8,FALSE))</f>
        <v>268250</v>
      </c>
      <c r="P75" s="45">
        <f t="shared" ca="1" si="10"/>
        <v>3.6447010869268097E-2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input_510010!A$2</f>
        <v>510010</v>
      </c>
      <c r="B76" s="5">
        <v>940</v>
      </c>
      <c r="C76" s="7" t="str">
        <f t="shared" si="15"/>
        <v>Premium5R3less</v>
      </c>
      <c r="D76" s="7" t="str">
        <f t="shared" si="12"/>
        <v>Premium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不壊の大要塞 バスティーユ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green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男性</v>
      </c>
      <c r="O76" s="44">
        <f ca="1">IFERROR(VLOOKUP(B76,input_510010!L:R,7,FALSE),VLOOKUP(tables_510010!C76,input_510010!A:H,8,FALSE))</f>
        <v>22200</v>
      </c>
      <c r="P76" s="45">
        <f t="shared" ca="1" si="10"/>
        <v>3.0163043478014977E-3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input_510010!A$2</f>
        <v>510010</v>
      </c>
      <c r="B77" s="5">
        <v>1014</v>
      </c>
      <c r="C77" s="7" t="str">
        <f t="shared" ref="C77" si="16">D77&amp;J77&amp;E77&amp;F77&amp;G77</f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イシス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4">
        <f ca="1">IFERROR(VLOOKUP(B77,input_510010!L:R,7,FALSE),VLOOKUP(tables_510010!C77,input_510010!A:H,8,FALSE))</f>
        <v>6900</v>
      </c>
      <c r="P77" s="45">
        <f t="shared" ca="1" si="10"/>
        <v>9.3749999999235742E-4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input_510010!A$2</f>
        <v>510010</v>
      </c>
      <c r="B78" s="5">
        <v>1028</v>
      </c>
      <c r="C78" s="7" t="str">
        <f t="shared" ref="C78" si="17">D78&amp;J78&amp;E78&amp;F78&amp;G78</f>
        <v>PremiumSS5R5only</v>
      </c>
      <c r="D78" s="7" t="str">
        <f t="shared" si="12"/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牛若丸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green</v>
      </c>
      <c r="L78" s="7" t="str">
        <f>VLOOKUP(B78,[1]characters!$A:$K,11,FALSE)</f>
        <v>balance</v>
      </c>
      <c r="M78" s="7" t="str">
        <f>VLOOKUP(B78,[1]characters!$A:$M,13,FALSE)</f>
        <v>human</v>
      </c>
      <c r="N78" s="7" t="str">
        <f>VLOOKUP(B78,[1]characters!$A:$G,7,FALSE)</f>
        <v>男性</v>
      </c>
      <c r="O78" s="44">
        <f ca="1">IFERROR(VLOOKUP(B78,input_510010!L:R,7,FALSE),VLOOKUP(tables_510010!C78,input_510010!A:H,8,FALSE))</f>
        <v>6900</v>
      </c>
      <c r="P78" s="45">
        <f t="shared" ca="1" si="10"/>
        <v>9.3749999999235742E-4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input_510010!A$2</f>
        <v>510010</v>
      </c>
      <c r="B79" s="5">
        <v>1069</v>
      </c>
      <c r="C79" s="7" t="str">
        <f t="shared" ref="C79" si="18">D79&amp;J79&amp;E79&amp;F79&amp;G79</f>
        <v>PremiumSS5R5only</v>
      </c>
      <c r="D79" s="7" t="str">
        <f t="shared" si="12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イシュタル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technical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IFERROR(VLOOKUP(B79,input_510010!L:R,7,FALSE),VLOOKUP(tables_510010!C79,input_510010!A:H,8,FALSE))</f>
        <v>6900</v>
      </c>
      <c r="P79" s="45">
        <f t="shared" ca="1" si="10"/>
        <v>9.3749999999235742E-4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input_510010!A$2</f>
        <v>510010</v>
      </c>
      <c r="B80" s="5">
        <v>1102</v>
      </c>
      <c r="C80" s="7" t="str">
        <f t="shared" ref="C80" si="19">D80&amp;J80&amp;E80&amp;F80&amp;G80</f>
        <v>PremiumSS5R5only</v>
      </c>
      <c r="D80" s="7" t="str">
        <f t="shared" si="12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ドガ</v>
      </c>
      <c r="I80" s="7" t="str">
        <f>VLOOKUP(B80,[1]characters!$A:$J,10,FALSE)</f>
        <v>PremiumSSw</v>
      </c>
      <c r="J80" s="7">
        <f>VLOOKUP(B80,[1]characters!$A:$I,9,FALSE)</f>
        <v>5</v>
      </c>
      <c r="K80" s="7" t="str">
        <f>VLOOKUP(B80,[1]characters!$A:$H,8,FALSE)</f>
        <v>green</v>
      </c>
      <c r="L80" s="7" t="str">
        <f>VLOOKUP(B80,[1]characters!$A:$K,11,FALSE)</f>
        <v>balance</v>
      </c>
      <c r="M80" s="7" t="str">
        <f>VLOOKUP(B80,[1]characters!$A:$M,13,FALSE)</f>
        <v>animal</v>
      </c>
      <c r="N80" s="7" t="str">
        <f>VLOOKUP(B80,[1]characters!$A:$G,7,FALSE)</f>
        <v>不明</v>
      </c>
      <c r="O80" s="44">
        <f ca="1">IFERROR(VLOOKUP(B80,input_510010!L:R,7,FALSE),VLOOKUP(tables_510010!C80,input_510010!A:H,8,FALSE))</f>
        <v>6900</v>
      </c>
      <c r="P80" s="45">
        <f t="shared" ca="1" si="10"/>
        <v>9.3749999999235742E-4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input_510010!A$2</f>
        <v>510010</v>
      </c>
      <c r="B81" s="5">
        <v>1139</v>
      </c>
      <c r="C81" s="7" t="str">
        <f t="shared" ref="C81" si="20">D81&amp;J81&amp;E81&amp;F81&amp;G81</f>
        <v>PremiumSS5R5only</v>
      </c>
      <c r="D81" s="7" t="str">
        <f t="shared" si="12"/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趙雲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samurai</v>
      </c>
      <c r="N81" s="7" t="str">
        <f>VLOOKUP(B81,[1]characters!$A:$G,7,FALSE)</f>
        <v>不明</v>
      </c>
      <c r="O81" s="44">
        <f ca="1">IFERROR(VLOOKUP(B81,input_510010!L:R,7,FALSE),VLOOKUP(tables_510010!C81,input_510010!A:H,8,FALSE))</f>
        <v>6900</v>
      </c>
      <c r="P81" s="45">
        <f t="shared" ca="1" si="10"/>
        <v>9.3749999999235742E-4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input_510010!A$2</f>
        <v>510010</v>
      </c>
      <c r="B82" s="2">
        <v>1153</v>
      </c>
      <c r="C82" s="7" t="str">
        <f t="shared" ref="C82" si="21">D82&amp;J82&amp;E82&amp;F82&amp;G82</f>
        <v>PremiumSS5R5only</v>
      </c>
      <c r="D82" s="7" t="str">
        <f t="shared" ref="D82" si="22">IF(OR(I82="PremiumSS",I82="PremiumSSw"),"PremiumSS",IF(I82="PremiumSSS",I82,IF(I82="PremiumW",IF(J82=5,"premium",I82),"Premium")))</f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ラクシュミー</v>
      </c>
      <c r="I82" s="7" t="str">
        <f>VLOOKUP(B82,[1]characters!$A:$J,10,FALSE)</f>
        <v>PremiumSSw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不明</v>
      </c>
      <c r="O82" s="44">
        <f ca="1">IFERROR(VLOOKUP(B82,input_510010!L:R,7,FALSE),VLOOKUP(tables_510010!C82,input_510010!A:H,8,FALSE))</f>
        <v>6900</v>
      </c>
      <c r="P82" s="45">
        <f t="shared" ca="1" si="10"/>
        <v>9.3749999999235742E-4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input_510010!A$2</f>
        <v>510010</v>
      </c>
      <c r="B83" s="92">
        <v>1210</v>
      </c>
      <c r="C83" s="7" t="str">
        <f t="shared" ref="C83:C84" si="23">D83&amp;J83&amp;E83&amp;F83&amp;G83</f>
        <v>Premium4R3less</v>
      </c>
      <c r="D83" s="97" t="str">
        <f t="shared" ref="D83:D84" si="24">IF(OR(I83="PremiumSS",I83="PremiumSSw"),"PremiumSS",IF(I83="PremiumSSS",I83,IF(I83="PremiumW",IF(J83=5,"premium",I83),"Premium")))</f>
        <v>Premium</v>
      </c>
      <c r="E83" s="7" t="str">
        <f>IF(COUNTIF('R6追加前'!A:A,B83)=0,IF(OR(I83="PremiumSS",I83="PremiumSSw"),"R5only","R3less"),"")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ケンタウロス</v>
      </c>
      <c r="I83" s="7" t="str">
        <f>VLOOKUP(B83,[1]characters!$A:$J,10,FALSE)</f>
        <v>PremiumS</v>
      </c>
      <c r="J83" s="7">
        <f>VLOOKUP(B83,[1]characters!$A:$I,9,FALSE)</f>
        <v>4</v>
      </c>
      <c r="K83" s="7" t="str">
        <f>VLOOKUP(B83,[1]characters!$A:$H,8,FALSE)</f>
        <v>green</v>
      </c>
      <c r="L83" s="7" t="str">
        <f>VLOOKUP(B83,[1]characters!$A:$K,11,FALSE)</f>
        <v>attack</v>
      </c>
      <c r="M83" s="7" t="str">
        <f>VLOOKUP(B83,[1]characters!$A:$M,13,FALSE)</f>
        <v>god</v>
      </c>
      <c r="N83" s="7">
        <f>VLOOKUP(B83,[1]characters!$A:$G,7,FALSE)</f>
        <v>0</v>
      </c>
      <c r="O83" s="44">
        <f ca="1">IFERROR(VLOOKUP(B83,input_510010!L:R,7,FALSE),VLOOKUP(tables_510010!C83,input_510010!A:H,8,FALSE))</f>
        <v>268250</v>
      </c>
      <c r="P83" s="45">
        <f t="shared" ca="1" si="10"/>
        <v>3.6447010869268097E-2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input_510010!A$2</f>
        <v>510010</v>
      </c>
      <c r="B84" s="59">
        <v>1211</v>
      </c>
      <c r="C84" s="7" t="str">
        <f t="shared" si="23"/>
        <v>Premium5R3less</v>
      </c>
      <c r="D84" s="97" t="str">
        <f t="shared" si="24"/>
        <v>Premium</v>
      </c>
      <c r="E84" s="7" t="str">
        <f>IF(COUNTIF('R6追加前'!A:A,B84)=0,IF(OR(I84="PremiumSS",I84="PremiumSSw"),"R5only","R3less"),"")</f>
        <v>R3less</v>
      </c>
      <c r="F84" s="7" t="str">
        <f>IF(COUNTIF('R6開放'!A:A,B84)&gt;0,"R6release","")</f>
        <v/>
      </c>
      <c r="G84" s="7"/>
      <c r="H84" s="7" t="str">
        <f>VLOOKUP(B84,[1]characters!$A:$C,3,FALSE)</f>
        <v>奏駆の翻騎 ケンタウロス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green</v>
      </c>
      <c r="L84" s="7" t="str">
        <f>VLOOKUP(B84,[1]characters!$A:$K,11,FALSE)</f>
        <v>attack</v>
      </c>
      <c r="M84" s="7" t="str">
        <f>VLOOKUP(B84,[1]characters!$A:$M,13,FALSE)</f>
        <v>god</v>
      </c>
      <c r="N84" s="7">
        <f>VLOOKUP(B84,[1]characters!$A:$G,7,FALSE)</f>
        <v>0</v>
      </c>
      <c r="O84" s="44">
        <f ca="1">IFERROR(VLOOKUP(B84,input_510010!L:R,7,FALSE),VLOOKUP(tables_510010!C84,input_510010!A:H,8,FALSE))</f>
        <v>22200</v>
      </c>
      <c r="P84" s="45">
        <f t="shared" ca="1" si="10"/>
        <v>3.0163043478014977E-3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input_510010!A$2</f>
        <v>510010</v>
      </c>
      <c r="B85" s="59">
        <v>1226</v>
      </c>
      <c r="C85" s="7" t="str">
        <f t="shared" ref="C85" si="25">D85&amp;J85&amp;E85&amp;F85&amp;G85</f>
        <v>PremiumSS5R5only</v>
      </c>
      <c r="D85" s="97" t="str">
        <f t="shared" ref="D85" si="26">IF(OR(I85="PremiumSS",I85="PremiumSSw"),"PremiumSS",IF(I85="PremiumSSS",I85,IF(I85="PremiumW",IF(J85=5,"premium",I85),"Premium")))</f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トルストイ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human</v>
      </c>
      <c r="N85" s="7">
        <f>VLOOKUP(B85,[1]characters!$A:$G,7,FALSE)</f>
        <v>0</v>
      </c>
      <c r="O85" s="44">
        <f>IFERROR(VLOOKUP(B85,input_510010!L:R,7,FALSE),VLOOKUP(tables_510010!C85,input_510010!A:H,8,FALSE))</f>
        <v>220800</v>
      </c>
      <c r="P85" s="45">
        <f t="shared" ca="1" si="10"/>
        <v>2.9999999999755438E-2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input_510010!A$2</f>
        <v>510010</v>
      </c>
      <c r="B86" s="1">
        <v>1246</v>
      </c>
      <c r="C86" s="7" t="str">
        <f t="shared" ref="C86" si="27">D86&amp;J86&amp;E86&amp;F86&amp;G86</f>
        <v>PremiumSS5R5only</v>
      </c>
      <c r="D86" s="97" t="str">
        <f t="shared" ref="D86" si="28">IF(OR(I86="PremiumSS",I86="PremiumSSw"),"PremiumSS",IF(I86="PremiumSSS",I86,IF(I86="PremiumW",IF(J86=5,"premium",I86),"Premium")))</f>
        <v>PremiumSS</v>
      </c>
      <c r="E86" s="7" t="str">
        <f>IF(COUNTIF('R6追加前'!A:A,B86)=0,IF(OR(I86="PremiumSS",I86="PremiumSSw"),"R5only","R3less"),"")</f>
        <v>R5only</v>
      </c>
      <c r="F86" s="7" t="str">
        <f>IF(COUNTIF('R6開放'!A:A,B86)&gt;0,"R6release","")</f>
        <v/>
      </c>
      <c r="G86" s="7"/>
      <c r="H86" s="7" t="str">
        <f>VLOOKUP(B86,[1]characters!$A:$C,3,FALSE)</f>
        <v>望月千代女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green</v>
      </c>
      <c r="L86" s="7" t="str">
        <f>VLOOKUP(B86,[1]characters!$A:$K,11,FALSE)</f>
        <v>heal</v>
      </c>
      <c r="M86" s="7" t="str">
        <f>VLOOKUP(B86,[1]characters!$A:$M,13,FALSE)</f>
        <v>human</v>
      </c>
      <c r="N86" s="7">
        <f>VLOOKUP(B86,[1]characters!$A:$G,7,FALSE)</f>
        <v>0</v>
      </c>
      <c r="O86" s="44">
        <f ca="1">IFERROR(VLOOKUP(B86,input_510010!L:R,7,FALSE),VLOOKUP(tables_510010!C86,input_510010!A:H,8,FALSE))</f>
        <v>6900</v>
      </c>
      <c r="P86" s="45">
        <f t="shared" ca="1" si="10"/>
        <v>9.3749999999235742E-4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input_510010!A$2</f>
        <v>510010</v>
      </c>
      <c r="B87" s="1">
        <v>1262</v>
      </c>
      <c r="C87" s="7" t="str">
        <f t="shared" ref="C87" si="29">D87&amp;J87&amp;E87&amp;F87&amp;G87</f>
        <v>PremiumSS5R5only</v>
      </c>
      <c r="D87" s="97" t="str">
        <f t="shared" ref="D87" si="30">IF(OR(I87="PremiumSS",I87="PremiumSSw"),"PremiumSS",IF(I87="PremiumSSS",I87,IF(I87="PremiumW",IF(J87=5,"premium",I87),"Premium")))</f>
        <v>PremiumSS</v>
      </c>
      <c r="E87" s="7" t="str">
        <f>IF(COUNTIF('R6追加前'!A:A,B87)=0,IF(OR(I87="PremiumSS",I87="PremiumSSw"),"R5only","R3less"),"")</f>
        <v>R5only</v>
      </c>
      <c r="F87" s="7" t="str">
        <f>IF(COUNTIF('R6開放'!A:A,B87)&gt;0,"R6release","")</f>
        <v/>
      </c>
      <c r="G87" s="7"/>
      <c r="H87" s="7" t="str">
        <f>VLOOKUP(B87,[1]characters!$A:$C,3,FALSE)</f>
        <v>イズン</v>
      </c>
      <c r="I87" s="7" t="str">
        <f>VLOOKUP(B87,[1]characters!$A:$J,10,FALSE)</f>
        <v>PremiumSSw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heal</v>
      </c>
      <c r="M87" s="7" t="str">
        <f>VLOOKUP(B87,[1]characters!$A:$M,13,FALSE)</f>
        <v>god</v>
      </c>
      <c r="N87" s="7">
        <f>VLOOKUP(B87,[1]characters!$A:$G,7,FALSE)</f>
        <v>0</v>
      </c>
      <c r="O87" s="44">
        <f ca="1">IFERROR(VLOOKUP(B87,input_510010!L:R,7,FALSE),VLOOKUP(tables_510010!C87,input_510010!A:H,8,FALSE))</f>
        <v>6900</v>
      </c>
      <c r="P87" s="45">
        <f t="shared" ca="1" si="10"/>
        <v>9.3749999999235742E-4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</sheetData>
  <autoFilter ref="A1:V8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I7" sqref="I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7" t="s">
        <v>82</v>
      </c>
      <c r="B1" s="47"/>
      <c r="L1" s="37" t="s">
        <v>61</v>
      </c>
      <c r="M1" s="37"/>
      <c r="U1" t="s">
        <v>61</v>
      </c>
    </row>
    <row r="2" spans="1:22" x14ac:dyDescent="0.15">
      <c r="A2" t="str">
        <f ca="1">RIGHT(RIGHT(CELL("filename",A2),LEN(CELL("filename",A2))-FIND("]",CELL("filename",A2))),6)</f>
        <v>510100</v>
      </c>
      <c r="L2" s="32" t="s">
        <v>1</v>
      </c>
      <c r="M2" s="36" t="s">
        <v>65</v>
      </c>
      <c r="N2" s="32" t="s">
        <v>63</v>
      </c>
      <c r="O2" s="36" t="s">
        <v>66</v>
      </c>
      <c r="P2" s="36" t="s">
        <v>67</v>
      </c>
      <c r="Q2" s="36" t="s">
        <v>64</v>
      </c>
      <c r="R2" s="43" t="s">
        <v>73</v>
      </c>
      <c r="U2" s="32" t="s">
        <v>190</v>
      </c>
      <c r="V2" s="53">
        <f t="shared" ref="V2:V16" si="0">SUMIF(Q:Q,U2,N:N)</f>
        <v>0</v>
      </c>
    </row>
    <row r="3" spans="1:22" x14ac:dyDescent="0.15">
      <c r="H3" s="72" t="s">
        <v>211</v>
      </c>
      <c r="L3" s="1">
        <v>1226</v>
      </c>
      <c r="M3" s="36" t="str">
        <f>VLOOKUP(L3,[1]characters!$A:$C,3,FALSE)</f>
        <v>トルストイ</v>
      </c>
      <c r="N3" s="62">
        <v>0.03</v>
      </c>
      <c r="O3" s="36">
        <f>VLOOKUP(L3,[1]characters!$A:$I,9,FALSE)</f>
        <v>5</v>
      </c>
      <c r="P3" s="36" t="str">
        <f>VLOOKUP(L3,[1]characters!$A:$J,10,FALSE)</f>
        <v>PremiumSS</v>
      </c>
      <c r="Q3" s="36" t="str">
        <f>VLOOKUP(L3,tables_510100!B:C,2,FALSE)</f>
        <v>PremiumSS5R5only</v>
      </c>
      <c r="R3" s="61">
        <f t="shared" ref="R3:R20" si="1">N3*A$36</f>
        <v>220800</v>
      </c>
      <c r="S3">
        <v>190</v>
      </c>
      <c r="U3" s="32" t="s">
        <v>191</v>
      </c>
      <c r="V3" s="53">
        <f t="shared" si="0"/>
        <v>0</v>
      </c>
    </row>
    <row r="4" spans="1:22" x14ac:dyDescent="0.15">
      <c r="A4" s="33" t="s">
        <v>53</v>
      </c>
      <c r="B4" s="33"/>
      <c r="D4" t="s">
        <v>200</v>
      </c>
      <c r="F4" t="s">
        <v>203</v>
      </c>
      <c r="H4" t="s">
        <v>209</v>
      </c>
      <c r="I4" t="s">
        <v>210</v>
      </c>
      <c r="L4" s="1">
        <v>494</v>
      </c>
      <c r="M4" s="36" t="str">
        <f>VLOOKUP(L4,[1]characters!$A:$C,3,FALSE)</f>
        <v>ハーメルン</v>
      </c>
      <c r="N4" s="62">
        <f>0.03*SUM(B5:B6)</f>
        <v>2.775E-2</v>
      </c>
      <c r="O4" s="36">
        <f>VLOOKUP(L4,[1]characters!$A:$I,9,FALSE)</f>
        <v>4</v>
      </c>
      <c r="P4" s="36" t="str">
        <f>VLOOKUP(L4,[1]characters!$A:$J,10,FALSE)</f>
        <v>PremiumSS</v>
      </c>
      <c r="Q4" s="36" t="str">
        <f>VLOOKUP(L4,tables_510100!B:C,2,FALSE)</f>
        <v>PremiumSS4</v>
      </c>
      <c r="R4" s="61">
        <f t="shared" si="1"/>
        <v>204240</v>
      </c>
      <c r="S4">
        <v>191</v>
      </c>
      <c r="U4" s="32" t="s">
        <v>97</v>
      </c>
      <c r="V4" s="53">
        <f t="shared" si="0"/>
        <v>0</v>
      </c>
    </row>
    <row r="5" spans="1:22" x14ac:dyDescent="0.15">
      <c r="A5" s="32" t="s">
        <v>68</v>
      </c>
      <c r="B5" s="71">
        <v>0</v>
      </c>
      <c r="D5" t="s">
        <v>201</v>
      </c>
      <c r="E5" s="42">
        <f>(B11-H5)/(F5-I5)</f>
        <v>9.3749999999999997E-4</v>
      </c>
      <c r="F5">
        <f>(COUNTIF(tables_510100!C:C,input_510100!A28)+COUNTIF(tables_510100!C:C,input_510100!A29))</f>
        <v>18</v>
      </c>
      <c r="H5" s="83">
        <v>0.06</v>
      </c>
      <c r="I5" s="30">
        <v>2</v>
      </c>
      <c r="L5" s="1">
        <v>495</v>
      </c>
      <c r="M5" s="36" t="str">
        <f>VLOOKUP(L5,[1]characters!$A:$C,3,FALSE)</f>
        <v>鼠災呼ぶ笛音 ハーメルン</v>
      </c>
      <c r="N5" s="62">
        <f>0.03-N4</f>
        <v>2.2499999999999985E-3</v>
      </c>
      <c r="O5" s="36">
        <f>VLOOKUP(L5,[1]characters!$A:$I,9,FALSE)</f>
        <v>5</v>
      </c>
      <c r="P5" s="36" t="str">
        <f>VLOOKUP(L5,[1]characters!$A:$J,10,FALSE)</f>
        <v>PremiumSS</v>
      </c>
      <c r="Q5" s="36" t="str">
        <f>VLOOKUP(L5,tables_510100!B:C,2,FALSE)</f>
        <v>PremiumSS5</v>
      </c>
      <c r="R5" s="61">
        <f t="shared" si="1"/>
        <v>16559.999999999989</v>
      </c>
      <c r="S5">
        <v>192</v>
      </c>
      <c r="U5" s="32" t="s">
        <v>98</v>
      </c>
      <c r="V5" s="53">
        <f t="shared" si="0"/>
        <v>0</v>
      </c>
    </row>
    <row r="6" spans="1:22" x14ac:dyDescent="0.15">
      <c r="A6" s="32" t="s">
        <v>69</v>
      </c>
      <c r="B6" s="71">
        <f>1-B7</f>
        <v>0.92500000000000004</v>
      </c>
      <c r="D6" t="s">
        <v>202</v>
      </c>
      <c r="E6" s="75">
        <f>(B10-H6)/(F6-I6)</f>
        <v>4.021739130434783E-2</v>
      </c>
      <c r="F6">
        <f>(COUNTIF(tables_510100!C:C,input_510100!A25)+COUNTIF(tables_510100!C:C,input_510100!A18)+COUNTIF(tables_510100!C:C,input_510100!A20)+COUNTIF(tables_510100!C:C,input_510100!A22))</f>
        <v>23</v>
      </c>
      <c r="H6" s="88">
        <v>0</v>
      </c>
      <c r="I6" s="30">
        <v>0</v>
      </c>
      <c r="L6" s="1"/>
      <c r="M6" s="36" t="e">
        <f>VLOOKUP(L6,[1]characters!$A:$C,3,FALSE)</f>
        <v>#N/A</v>
      </c>
      <c r="N6" s="62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VLOOKUP(L6,tables_510100!B:C,2,FALSE)</f>
        <v>#N/A</v>
      </c>
      <c r="R6" s="61">
        <f t="shared" si="1"/>
        <v>0</v>
      </c>
      <c r="S6">
        <v>596</v>
      </c>
      <c r="U6" s="32" t="s">
        <v>99</v>
      </c>
      <c r="V6" s="53">
        <f t="shared" si="0"/>
        <v>0</v>
      </c>
    </row>
    <row r="7" spans="1:22" x14ac:dyDescent="0.15">
      <c r="A7" s="32" t="s">
        <v>70</v>
      </c>
      <c r="B7" s="71">
        <v>7.4999999999999997E-2</v>
      </c>
      <c r="L7" s="1"/>
      <c r="M7" s="36" t="e">
        <f>VLOOKUP(L7,[1]characters!$A:$C,3,FALSE)</f>
        <v>#N/A</v>
      </c>
      <c r="N7" s="62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VLOOKUP(L7,tables_510100!B:C,2,FALSE)</f>
        <v>#N/A</v>
      </c>
      <c r="R7" s="61">
        <f t="shared" si="1"/>
        <v>0</v>
      </c>
      <c r="S7">
        <v>597</v>
      </c>
      <c r="U7" s="32" t="s">
        <v>196</v>
      </c>
      <c r="V7" s="53">
        <f t="shared" si="0"/>
        <v>0</v>
      </c>
    </row>
    <row r="8" spans="1:22" x14ac:dyDescent="0.15">
      <c r="A8" s="56"/>
      <c r="B8" s="70"/>
      <c r="E8" s="75"/>
      <c r="L8" s="59"/>
      <c r="M8" s="36" t="e">
        <f>VLOOKUP(L8,[1]characters!$A:$C,3,FALSE)</f>
        <v>#N/A</v>
      </c>
      <c r="N8" s="62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VLOOKUP(L8,tables_510100!B:C,2,FALSE)</f>
        <v>#N/A</v>
      </c>
      <c r="R8" s="61">
        <f t="shared" si="1"/>
        <v>0</v>
      </c>
      <c r="S8">
        <v>598</v>
      </c>
      <c r="U8" s="32" t="s">
        <v>197</v>
      </c>
      <c r="V8" s="53">
        <f t="shared" si="0"/>
        <v>0</v>
      </c>
    </row>
    <row r="9" spans="1:22" x14ac:dyDescent="0.15">
      <c r="A9" s="34" t="s">
        <v>54</v>
      </c>
      <c r="B9" s="34"/>
      <c r="L9" s="87"/>
      <c r="M9" s="36" t="e">
        <f>VLOOKUP(L9,[1]characters!$A:$C,3,FALSE)</f>
        <v>#N/A</v>
      </c>
      <c r="N9" s="62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VLOOKUP(L9,tables_510100!B:C,2,FALSE)</f>
        <v>#N/A</v>
      </c>
      <c r="R9" s="61">
        <f t="shared" si="1"/>
        <v>0</v>
      </c>
      <c r="S9">
        <v>390</v>
      </c>
      <c r="U9" s="32" t="s">
        <v>193</v>
      </c>
      <c r="V9" s="53">
        <f t="shared" si="0"/>
        <v>0</v>
      </c>
    </row>
    <row r="10" spans="1:22" x14ac:dyDescent="0.15">
      <c r="A10" s="32" t="s">
        <v>96</v>
      </c>
      <c r="B10" s="71">
        <f>1-B11-B12</f>
        <v>0.92500000000000004</v>
      </c>
      <c r="C10" t="s">
        <v>208</v>
      </c>
      <c r="L10" s="87"/>
      <c r="M10" s="36" t="e">
        <f>VLOOKUP(L10,[1]characters!$A:$C,3,FALSE)</f>
        <v>#N/A</v>
      </c>
      <c r="N10" s="62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VLOOKUP(L10,tables_510100!B:C,2,FALSE)</f>
        <v>#N/A</v>
      </c>
      <c r="R10" s="61">
        <f t="shared" si="1"/>
        <v>0</v>
      </c>
      <c r="S10">
        <v>391</v>
      </c>
      <c r="U10" s="32" t="s">
        <v>194</v>
      </c>
      <c r="V10" s="53">
        <f t="shared" si="0"/>
        <v>0</v>
      </c>
    </row>
    <row r="11" spans="1:22" x14ac:dyDescent="0.15">
      <c r="A11" s="32" t="s">
        <v>56</v>
      </c>
      <c r="B11" s="76">
        <v>7.4999999999999997E-2</v>
      </c>
      <c r="C11" t="s">
        <v>251</v>
      </c>
      <c r="M11" s="36" t="e">
        <f>VLOOKUP(L11,[1]characters!$A:$C,3,FALSE)</f>
        <v>#N/A</v>
      </c>
      <c r="N11" s="62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VLOOKUP(L11,tables_510100!B:C,2,FALSE)</f>
        <v>#N/A</v>
      </c>
      <c r="R11" s="61">
        <f t="shared" si="1"/>
        <v>0</v>
      </c>
      <c r="S11">
        <v>811</v>
      </c>
      <c r="U11" s="32" t="s">
        <v>195</v>
      </c>
      <c r="V11" s="53">
        <f t="shared" si="0"/>
        <v>0</v>
      </c>
    </row>
    <row r="12" spans="1:22" x14ac:dyDescent="0.15">
      <c r="A12" s="32" t="s">
        <v>55</v>
      </c>
      <c r="B12" s="71">
        <v>0</v>
      </c>
      <c r="M12" s="36" t="e">
        <f>VLOOKUP(L12,[1]characters!$A:$C,3,FALSE)</f>
        <v>#N/A</v>
      </c>
      <c r="N12" s="62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VLOOKUP(L12,tables_510100!B:C,2,FALSE)</f>
        <v>#N/A</v>
      </c>
      <c r="R12" s="61">
        <f t="shared" si="1"/>
        <v>0</v>
      </c>
      <c r="S12">
        <v>496</v>
      </c>
      <c r="U12" s="32" t="s">
        <v>106</v>
      </c>
      <c r="V12" s="53">
        <f t="shared" si="0"/>
        <v>2.775E-2</v>
      </c>
    </row>
    <row r="13" spans="1:22" x14ac:dyDescent="0.15">
      <c r="M13" s="36" t="e">
        <f>VLOOKUP(L13,[1]characters!$A:$C,3,FALSE)</f>
        <v>#N/A</v>
      </c>
      <c r="N13" s="62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VLOOKUP(L13,tables_510100!B:C,2,FALSE)</f>
        <v>#N/A</v>
      </c>
      <c r="R13" s="61">
        <f t="shared" si="1"/>
        <v>0</v>
      </c>
      <c r="S13">
        <v>497</v>
      </c>
      <c r="U13" s="32" t="s">
        <v>107</v>
      </c>
      <c r="V13" s="53">
        <f t="shared" si="0"/>
        <v>2.2499999999999985E-3</v>
      </c>
    </row>
    <row r="14" spans="1:22" x14ac:dyDescent="0.15">
      <c r="M14" s="36" t="e">
        <f>VLOOKUP(L14,[1]characters!$A:$C,3,FALSE)</f>
        <v>#N/A</v>
      </c>
      <c r="N14" s="62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VLOOKUP(L14,tables_510100!B:C,2,FALSE)</f>
        <v>#N/A</v>
      </c>
      <c r="R14" s="61">
        <f t="shared" si="1"/>
        <v>0</v>
      </c>
      <c r="S14">
        <v>498</v>
      </c>
      <c r="U14" s="32" t="s">
        <v>199</v>
      </c>
      <c r="V14" s="53">
        <f t="shared" si="0"/>
        <v>0.03</v>
      </c>
    </row>
    <row r="15" spans="1:22" x14ac:dyDescent="0.15">
      <c r="A15" s="35" t="s">
        <v>57</v>
      </c>
      <c r="B15" s="35"/>
      <c r="C15" t="s">
        <v>83</v>
      </c>
      <c r="M15" s="36" t="e">
        <f>VLOOKUP(L15,[1]characters!$A:$C,3,FALSE)</f>
        <v>#N/A</v>
      </c>
      <c r="N15" s="62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VLOOKUP(L15,tables_510100!B:C,2,FALSE)</f>
        <v>#N/A</v>
      </c>
      <c r="R15" s="61">
        <f t="shared" si="1"/>
        <v>0</v>
      </c>
      <c r="S15">
        <v>395</v>
      </c>
      <c r="U15" s="32" t="s">
        <v>198</v>
      </c>
      <c r="V15" s="53">
        <f t="shared" si="0"/>
        <v>0</v>
      </c>
    </row>
    <row r="16" spans="1:22" x14ac:dyDescent="0.15">
      <c r="A16" s="32" t="s">
        <v>60</v>
      </c>
      <c r="B16" s="32" t="s">
        <v>192</v>
      </c>
      <c r="C16" s="36" t="s">
        <v>61</v>
      </c>
      <c r="D16" s="36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6" t="e">
        <f>VLOOKUP(L16,[1]characters!$A:$C,3,FALSE)</f>
        <v>#N/A</v>
      </c>
      <c r="N16" s="62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VLOOKUP(L16,tables_510100!B:C,2,FALSE)</f>
        <v>#N/A</v>
      </c>
      <c r="R16" s="61">
        <f t="shared" si="1"/>
        <v>0</v>
      </c>
      <c r="S16">
        <v>396</v>
      </c>
      <c r="U16" s="32" t="s">
        <v>108</v>
      </c>
      <c r="V16" s="53">
        <f t="shared" si="0"/>
        <v>0</v>
      </c>
    </row>
    <row r="17" spans="1:19" x14ac:dyDescent="0.15">
      <c r="A17" s="32" t="s">
        <v>190</v>
      </c>
      <c r="B17" s="81">
        <f>B$5-B19-B24</f>
        <v>0</v>
      </c>
      <c r="C17" s="84">
        <f t="shared" ref="C17:C31" si="2">SUMIF(Q:Q,A17,N:N)</f>
        <v>0</v>
      </c>
      <c r="D17" s="73">
        <f t="shared" ref="D17:D32" si="3">B17-C17</f>
        <v>0</v>
      </c>
      <c r="E17">
        <f>COUNTIF(tables_510100!C:C,input_510100!A17)-COUNTIF(Q:Q,A17)</f>
        <v>5</v>
      </c>
      <c r="F17" s="42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6" t="e">
        <f>VLOOKUP(L17,[1]characters!$A:$C,3,FALSE)</f>
        <v>#N/A</v>
      </c>
      <c r="N17" s="62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VLOOKUP(L17,tables_510100!B:C,2,FALSE)</f>
        <v>#N/A</v>
      </c>
      <c r="R17" s="61">
        <f t="shared" si="1"/>
        <v>0</v>
      </c>
      <c r="S17">
        <v>397</v>
      </c>
    </row>
    <row r="18" spans="1:19" x14ac:dyDescent="0.15">
      <c r="A18" s="32" t="s">
        <v>191</v>
      </c>
      <c r="B18" s="55">
        <f>B6-SUM(B20,B22,B25,B27,C27,C22)</f>
        <v>0.22544361413043468</v>
      </c>
      <c r="C18" s="84">
        <f t="shared" si="2"/>
        <v>0</v>
      </c>
      <c r="D18" s="73">
        <f t="shared" si="3"/>
        <v>0.22544361413043468</v>
      </c>
      <c r="E18">
        <f>COUNTIF(tables_510100!C:C,input_510100!A18)-COUNTIF(Q:Q,A18)</f>
        <v>5</v>
      </c>
      <c r="F18" s="42">
        <f>IFERROR(B18/E18,0)</f>
        <v>4.5088722826086933E-2</v>
      </c>
      <c r="G18">
        <f t="shared" si="4"/>
        <v>1659264.9999999993</v>
      </c>
      <c r="H18">
        <f t="shared" si="5"/>
        <v>331853</v>
      </c>
      <c r="I18">
        <f t="shared" si="6"/>
        <v>0</v>
      </c>
      <c r="J18">
        <f t="shared" si="7"/>
        <v>1</v>
      </c>
      <c r="M18" s="36" t="e">
        <f>VLOOKUP(L18,[1]characters!$A:$C,3,FALSE)</f>
        <v>#N/A</v>
      </c>
      <c r="N18" s="62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VLOOKUP(L18,tables_510100!B:C,2,FALSE)</f>
        <v>#N/A</v>
      </c>
      <c r="R18" s="61">
        <f t="shared" si="1"/>
        <v>0</v>
      </c>
      <c r="S18">
        <v>324</v>
      </c>
    </row>
    <row r="19" spans="1:19" x14ac:dyDescent="0.15">
      <c r="A19" s="32" t="s">
        <v>97</v>
      </c>
      <c r="B19" s="55">
        <f>E$6*E19*B$5</f>
        <v>0</v>
      </c>
      <c r="C19" s="84">
        <f t="shared" si="2"/>
        <v>0</v>
      </c>
      <c r="D19" s="73">
        <f t="shared" si="3"/>
        <v>0</v>
      </c>
      <c r="E19">
        <f>COUNTIF(tables_510100!C:C,input_510100!A19)-COUNTIF(Q:Q,A19)</f>
        <v>13</v>
      </c>
      <c r="F19" s="42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6" t="e">
        <f>VLOOKUP(L19,[1]characters!$A:$C,3,FALSE)</f>
        <v>#N/A</v>
      </c>
      <c r="N19" s="62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VLOOKUP(L19,tables_510100!B:C,2,FALSE)</f>
        <v>#N/A</v>
      </c>
      <c r="R19" s="61">
        <f t="shared" si="1"/>
        <v>0</v>
      </c>
      <c r="S19">
        <v>325</v>
      </c>
    </row>
    <row r="20" spans="1:19" x14ac:dyDescent="0.15">
      <c r="A20" s="32" t="s">
        <v>98</v>
      </c>
      <c r="B20" s="93">
        <f>E$6*E20*B$6</f>
        <v>0.48361413043478269</v>
      </c>
      <c r="C20" s="84">
        <f t="shared" si="2"/>
        <v>0</v>
      </c>
      <c r="D20" s="73">
        <f t="shared" si="3"/>
        <v>0.48361413043478269</v>
      </c>
      <c r="E20">
        <f>COUNTIF(tables_510100!C:C,input_510100!A20)-COUNTIF(Q:Q,A20)</f>
        <v>13</v>
      </c>
      <c r="F20" s="42">
        <f t="shared" si="8"/>
        <v>3.7201086956521745E-2</v>
      </c>
      <c r="G20">
        <f t="shared" si="4"/>
        <v>3559400.0000000005</v>
      </c>
      <c r="H20">
        <f t="shared" si="5"/>
        <v>273800</v>
      </c>
      <c r="I20">
        <f t="shared" si="6"/>
        <v>0</v>
      </c>
      <c r="J20">
        <f t="shared" si="7"/>
        <v>1</v>
      </c>
      <c r="M20" s="36" t="e">
        <f>VLOOKUP(L20,[1]characters!$A:$C,3,FALSE)</f>
        <v>#N/A</v>
      </c>
      <c r="N20" s="62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VLOOKUP(L20,tables_510100!B:C,2,FALSE)</f>
        <v>#N/A</v>
      </c>
      <c r="R20" s="61">
        <f t="shared" si="1"/>
        <v>0</v>
      </c>
      <c r="S20">
        <v>809</v>
      </c>
    </row>
    <row r="21" spans="1:19" x14ac:dyDescent="0.15">
      <c r="A21" s="32" t="s">
        <v>99</v>
      </c>
      <c r="B21" s="55">
        <f>B7-SUM(B23,B26,B28,C28,B29,C29,C23)</f>
        <v>1.4855298913043477E-2</v>
      </c>
      <c r="C21" s="84">
        <f t="shared" si="2"/>
        <v>0</v>
      </c>
      <c r="D21" s="73">
        <f t="shared" si="3"/>
        <v>1.4855298913043477E-2</v>
      </c>
      <c r="E21">
        <f>COUNTIF(tables_510100!C:C,input_510100!A21)-COUNTIF(Q:Q,A21)</f>
        <v>13</v>
      </c>
      <c r="F21" s="42">
        <f t="shared" si="8"/>
        <v>1.1427153010033443E-3</v>
      </c>
      <c r="G21">
        <f t="shared" si="4"/>
        <v>109334.99999999999</v>
      </c>
      <c r="H21">
        <f t="shared" si="5"/>
        <v>8410.3846200000007</v>
      </c>
      <c r="I21">
        <f t="shared" si="6"/>
        <v>0.38462000000072294</v>
      </c>
      <c r="J21">
        <f t="shared" si="7"/>
        <v>2.5999688003695085</v>
      </c>
      <c r="L21" s="56"/>
      <c r="M21" s="56"/>
      <c r="N21" s="57"/>
      <c r="O21" s="56"/>
      <c r="P21" s="56"/>
      <c r="Q21" s="56"/>
      <c r="R21" s="58"/>
    </row>
    <row r="22" spans="1:19" x14ac:dyDescent="0.15">
      <c r="A22" s="32" t="s">
        <v>196</v>
      </c>
      <c r="B22" s="74">
        <f>E$6*E22-B23</f>
        <v>0.14578804347826088</v>
      </c>
      <c r="C22" s="84">
        <f t="shared" si="2"/>
        <v>0</v>
      </c>
      <c r="D22" s="73">
        <f t="shared" si="3"/>
        <v>0.14578804347826088</v>
      </c>
      <c r="E22">
        <f>COUNTIF(tables_510100!C:C,input_510100!A22)-COUNTIF(Q:Q,A22)</f>
        <v>4</v>
      </c>
      <c r="F22" s="42">
        <f t="shared" si="8"/>
        <v>3.644701086956522E-2</v>
      </c>
      <c r="G22">
        <f t="shared" si="4"/>
        <v>1073000</v>
      </c>
      <c r="H22">
        <f t="shared" si="5"/>
        <v>268250</v>
      </c>
      <c r="I22">
        <f t="shared" si="6"/>
        <v>0</v>
      </c>
      <c r="J22">
        <f t="shared" si="7"/>
        <v>1</v>
      </c>
      <c r="L22" s="56"/>
      <c r="M22" s="56"/>
      <c r="N22" s="57"/>
      <c r="O22" s="56"/>
      <c r="P22" s="56"/>
      <c r="Q22" s="56"/>
      <c r="R22" s="58"/>
    </row>
    <row r="23" spans="1:19" x14ac:dyDescent="0.15">
      <c r="A23" s="32" t="s">
        <v>197</v>
      </c>
      <c r="B23" s="69">
        <f>E23*E6*B7</f>
        <v>1.5081521739130434E-2</v>
      </c>
      <c r="C23" s="84">
        <f t="shared" si="2"/>
        <v>0</v>
      </c>
      <c r="D23" s="73">
        <f t="shared" si="3"/>
        <v>1.5081521739130434E-2</v>
      </c>
      <c r="E23">
        <f>COUNTIF(tables_510100!C:C,input_510100!A23)-COUNTIF(Q:Q,A23)</f>
        <v>5</v>
      </c>
      <c r="F23" s="42">
        <f t="shared" si="8"/>
        <v>3.016304347826087E-3</v>
      </c>
      <c r="G23">
        <f t="shared" si="4"/>
        <v>111000</v>
      </c>
      <c r="H23">
        <f t="shared" si="5"/>
        <v>22200</v>
      </c>
      <c r="I23">
        <f t="shared" si="6"/>
        <v>0</v>
      </c>
      <c r="J23">
        <f t="shared" si="7"/>
        <v>1</v>
      </c>
      <c r="L23" s="56"/>
      <c r="M23" s="56"/>
      <c r="N23" s="57"/>
      <c r="O23" s="56"/>
      <c r="P23" s="56"/>
      <c r="Q23" s="56"/>
      <c r="R23" s="58"/>
    </row>
    <row r="24" spans="1:19" x14ac:dyDescent="0.15">
      <c r="A24" s="32" t="s">
        <v>193</v>
      </c>
      <c r="B24" s="55">
        <f>E$6*E24*B$5</f>
        <v>0</v>
      </c>
      <c r="C24" s="84">
        <f t="shared" si="2"/>
        <v>0</v>
      </c>
      <c r="D24" s="73">
        <f t="shared" si="3"/>
        <v>0</v>
      </c>
      <c r="E24">
        <f>COUNTIF(tables_510100!C:C,input_510100!A24)-COUNTIF(Q:Q,A24)</f>
        <v>1</v>
      </c>
      <c r="F24" s="42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6"/>
      <c r="M24" s="56"/>
      <c r="N24" s="57"/>
      <c r="O24" s="56"/>
      <c r="P24" s="56"/>
      <c r="Q24" s="56"/>
      <c r="R24" s="58"/>
    </row>
    <row r="25" spans="1:19" x14ac:dyDescent="0.15">
      <c r="A25" s="32" t="s">
        <v>194</v>
      </c>
      <c r="B25" s="55">
        <f>E$6*B$6*E25</f>
        <v>3.7201086956521745E-2</v>
      </c>
      <c r="C25" s="84">
        <f t="shared" si="2"/>
        <v>0</v>
      </c>
      <c r="D25" s="73">
        <f t="shared" si="3"/>
        <v>3.7201086956521745E-2</v>
      </c>
      <c r="E25">
        <f>COUNTIF(tables_510100!C:C,input_510100!A25)-COUNTIF(Q:Q,A25)</f>
        <v>1</v>
      </c>
      <c r="F25" s="42">
        <f t="shared" si="8"/>
        <v>3.7201086956521745E-2</v>
      </c>
      <c r="G25">
        <f t="shared" si="4"/>
        <v>273800.00000000006</v>
      </c>
      <c r="H25">
        <f t="shared" si="5"/>
        <v>273800</v>
      </c>
      <c r="I25">
        <f t="shared" si="6"/>
        <v>0</v>
      </c>
      <c r="J25">
        <f t="shared" si="7"/>
        <v>1</v>
      </c>
      <c r="L25" s="56"/>
      <c r="M25" s="56"/>
      <c r="N25" s="57"/>
      <c r="O25" s="56"/>
      <c r="P25" s="56"/>
      <c r="Q25" s="56"/>
      <c r="R25" s="58"/>
    </row>
    <row r="26" spans="1:19" x14ac:dyDescent="0.15">
      <c r="A26" s="32" t="s">
        <v>195</v>
      </c>
      <c r="B26" s="55">
        <f>E$6*B$7*E26</f>
        <v>3.016304347826087E-3</v>
      </c>
      <c r="C26" s="84">
        <f t="shared" si="2"/>
        <v>0</v>
      </c>
      <c r="D26" s="73">
        <f t="shared" si="3"/>
        <v>3.016304347826087E-3</v>
      </c>
      <c r="E26">
        <f>COUNTIF(tables_510100!C:C,input_510100!A26)-COUNTIF(Q:Q,A26)</f>
        <v>1</v>
      </c>
      <c r="F26" s="42">
        <f t="shared" si="8"/>
        <v>3.016304347826087E-3</v>
      </c>
      <c r="G26">
        <f t="shared" si="4"/>
        <v>22200</v>
      </c>
      <c r="H26">
        <f t="shared" si="5"/>
        <v>22200</v>
      </c>
      <c r="I26">
        <f t="shared" si="6"/>
        <v>0</v>
      </c>
      <c r="J26">
        <f t="shared" si="7"/>
        <v>1</v>
      </c>
      <c r="L26" s="56"/>
      <c r="M26" s="56"/>
      <c r="N26" s="57"/>
      <c r="O26" s="56"/>
      <c r="P26" s="56"/>
      <c r="Q26" s="56"/>
      <c r="R26" s="58"/>
    </row>
    <row r="27" spans="1:19" x14ac:dyDescent="0.15">
      <c r="A27" s="32" t="s">
        <v>106</v>
      </c>
      <c r="B27" s="55">
        <f>E$5*E27*(B$5+B$6)</f>
        <v>5.2031250000000003E-3</v>
      </c>
      <c r="C27" s="84">
        <f t="shared" si="2"/>
        <v>2.775E-2</v>
      </c>
      <c r="D27" s="73">
        <f t="shared" si="3"/>
        <v>-2.2546875000000001E-2</v>
      </c>
      <c r="E27">
        <f>COUNTIF(tables_510100!C:C,input_510100!A27)-COUNTIF(Q:Q,A27)</f>
        <v>6</v>
      </c>
      <c r="F27" s="42">
        <f>IFERROR(B27/E27,0)</f>
        <v>8.6718750000000001E-4</v>
      </c>
      <c r="G27">
        <f t="shared" si="4"/>
        <v>38295</v>
      </c>
      <c r="H27">
        <f t="shared" si="5"/>
        <v>6382.5</v>
      </c>
      <c r="I27">
        <f t="shared" si="6"/>
        <v>0.5</v>
      </c>
      <c r="J27">
        <f t="shared" si="7"/>
        <v>2</v>
      </c>
      <c r="L27" s="56"/>
      <c r="M27" s="56"/>
      <c r="N27" s="57"/>
      <c r="O27" s="56"/>
      <c r="P27" s="56"/>
      <c r="Q27" s="56"/>
      <c r="R27" s="58"/>
    </row>
    <row r="28" spans="1:19" x14ac:dyDescent="0.15">
      <c r="A28" s="32" t="s">
        <v>107</v>
      </c>
      <c r="B28" s="55">
        <f>E$5*E28*B$7</f>
        <v>4.21875E-4</v>
      </c>
      <c r="C28" s="84">
        <f t="shared" si="2"/>
        <v>2.2499999999999985E-3</v>
      </c>
      <c r="D28" s="73">
        <f t="shared" si="3"/>
        <v>-1.8281249999999986E-3</v>
      </c>
      <c r="E28">
        <f>COUNTIF(tables_510100!C:C,input_510100!A28)-COUNTIF(Q:Q,A28)</f>
        <v>6</v>
      </c>
      <c r="F28" s="42">
        <f t="shared" si="8"/>
        <v>7.0312499999999995E-5</v>
      </c>
      <c r="G28">
        <f t="shared" si="4"/>
        <v>3105</v>
      </c>
      <c r="H28">
        <f t="shared" si="5"/>
        <v>517.5</v>
      </c>
      <c r="I28">
        <f t="shared" si="6"/>
        <v>0.5</v>
      </c>
      <c r="J28">
        <f t="shared" si="7"/>
        <v>2</v>
      </c>
      <c r="L28" s="56"/>
      <c r="M28" s="56"/>
      <c r="N28" s="57"/>
      <c r="O28" s="56"/>
      <c r="P28" s="56"/>
      <c r="Q28" s="56"/>
      <c r="R28" s="58"/>
    </row>
    <row r="29" spans="1:19" x14ac:dyDescent="0.15">
      <c r="A29" s="32" t="s">
        <v>199</v>
      </c>
      <c r="B29" s="55">
        <f>E$5*E29</f>
        <v>9.3749999999999997E-3</v>
      </c>
      <c r="C29" s="84">
        <f t="shared" si="2"/>
        <v>0.03</v>
      </c>
      <c r="D29" s="73">
        <f t="shared" si="3"/>
        <v>-2.0624999999999998E-2</v>
      </c>
      <c r="E29">
        <f>COUNTIF(tables_510100!C:C,input_510100!A29)-COUNTIF(Q:Q,A29)</f>
        <v>10</v>
      </c>
      <c r="F29" s="42">
        <f t="shared" si="8"/>
        <v>9.3749999999999997E-4</v>
      </c>
      <c r="G29">
        <f t="shared" si="4"/>
        <v>69000</v>
      </c>
      <c r="H29">
        <f t="shared" si="5"/>
        <v>6900</v>
      </c>
      <c r="I29">
        <f t="shared" si="6"/>
        <v>0</v>
      </c>
      <c r="J29">
        <f t="shared" si="7"/>
        <v>1</v>
      </c>
      <c r="L29" s="56"/>
      <c r="M29" s="56"/>
      <c r="N29" s="57"/>
      <c r="O29" s="56"/>
      <c r="P29" s="56"/>
      <c r="Q29" s="56"/>
      <c r="R29" s="58"/>
    </row>
    <row r="30" spans="1:19" x14ac:dyDescent="0.15">
      <c r="A30" s="32" t="s">
        <v>239</v>
      </c>
      <c r="B30" s="55">
        <f>0</f>
        <v>0</v>
      </c>
      <c r="C30" s="84">
        <f t="shared" si="2"/>
        <v>0</v>
      </c>
      <c r="D30" s="73">
        <f t="shared" si="3"/>
        <v>0</v>
      </c>
      <c r="E30">
        <f>COUNTIF(tables_510100!C:C,input_510100!A30)-COUNTIF(Q:Q,A30)</f>
        <v>0</v>
      </c>
      <c r="F30" s="42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6"/>
      <c r="M30" s="56"/>
      <c r="N30" s="57"/>
      <c r="O30" s="56"/>
      <c r="P30" s="56"/>
      <c r="Q30" s="56"/>
      <c r="R30" s="58"/>
    </row>
    <row r="31" spans="1:19" x14ac:dyDescent="0.15">
      <c r="A31" s="32" t="s">
        <v>240</v>
      </c>
      <c r="B31" s="55">
        <v>0</v>
      </c>
      <c r="C31" s="84">
        <f t="shared" si="2"/>
        <v>0</v>
      </c>
      <c r="D31" s="73">
        <f t="shared" si="3"/>
        <v>0</v>
      </c>
      <c r="E31">
        <f>COUNTIF(tables_510100!C:C,input_510100!A31)-COUNTIF(Q:Q,A31)</f>
        <v>0</v>
      </c>
      <c r="F31" s="42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6"/>
      <c r="M31" s="56"/>
      <c r="N31" s="57"/>
      <c r="O31" s="56"/>
      <c r="P31" s="56"/>
      <c r="Q31" s="56"/>
      <c r="R31" s="58"/>
    </row>
    <row r="32" spans="1:19" x14ac:dyDescent="0.15">
      <c r="A32" s="38" t="s">
        <v>59</v>
      </c>
      <c r="B32" s="39">
        <f>SUM(B17:B31)</f>
        <v>0.94</v>
      </c>
      <c r="C32" s="40">
        <f>SUM(C19:C31)</f>
        <v>0.06</v>
      </c>
      <c r="D32" s="41">
        <f t="shared" si="3"/>
        <v>0.87999999999999989</v>
      </c>
      <c r="L32" s="56"/>
      <c r="M32" s="56"/>
      <c r="N32" s="56"/>
      <c r="O32" s="56"/>
      <c r="P32" s="56"/>
      <c r="Q32" s="56"/>
      <c r="R32" s="58"/>
    </row>
    <row r="34" spans="1:7" x14ac:dyDescent="0.15">
      <c r="E34" s="54"/>
      <c r="F34" s="54"/>
    </row>
    <row r="35" spans="1:7" x14ac:dyDescent="0.15">
      <c r="A35" t="s">
        <v>73</v>
      </c>
    </row>
    <row r="36" spans="1:7" x14ac:dyDescent="0.15">
      <c r="A36" s="30">
        <f>LCM(F5-I5,F6-I6)*1000*2*2*5</f>
        <v>7360000</v>
      </c>
    </row>
    <row r="38" spans="1:7" x14ac:dyDescent="0.15">
      <c r="A38" s="46" t="s">
        <v>76</v>
      </c>
    </row>
    <row r="39" spans="1:7" x14ac:dyDescent="0.15">
      <c r="A39" s="32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2" t="s">
        <v>103</v>
      </c>
      <c r="B40">
        <f ca="1">SUMIF(tables_510100!C:C,input_510100!A40,tables_510100!O:O)</f>
        <v>0</v>
      </c>
      <c r="C40" s="53">
        <f t="shared" ref="C40:C46" ca="1" si="9">B40/B$47</f>
        <v>0</v>
      </c>
      <c r="E40">
        <v>3</v>
      </c>
      <c r="F40">
        <f ca="1">SUMIF(tables_510100!J:J,input_510100!E40,tables_510100!O:O)</f>
        <v>0</v>
      </c>
      <c r="G40">
        <f ca="1">F40/A36</f>
        <v>0</v>
      </c>
    </row>
    <row r="41" spans="1:7" x14ac:dyDescent="0.15">
      <c r="A41" s="32" t="s">
        <v>104</v>
      </c>
      <c r="B41">
        <f ca="1">SUMIF(tables_510100!C:C,input_510100!A41,tables_510100!O:O)</f>
        <v>3559400</v>
      </c>
      <c r="C41" s="53">
        <f t="shared" ca="1" si="9"/>
        <v>0.9054843186024879</v>
      </c>
      <c r="E41">
        <v>4</v>
      </c>
      <c r="F41">
        <f ca="1">SUMIF(tables_510100!J:J,input_510100!E41,tables_510100!O:O)</f>
        <v>6808000</v>
      </c>
      <c r="G41">
        <f ca="1">F41/A36</f>
        <v>0.92500000000000004</v>
      </c>
    </row>
    <row r="42" spans="1:7" x14ac:dyDescent="0.15">
      <c r="A42" s="32" t="s">
        <v>106</v>
      </c>
      <c r="B42">
        <f ca="1">SUMIF(tables_510100!C:C,input_510100!A42,tables_510100!O:O)</f>
        <v>242535</v>
      </c>
      <c r="C42" s="53">
        <f t="shared" ca="1" si="9"/>
        <v>6.1699061418288029E-2</v>
      </c>
      <c r="E42">
        <v>5</v>
      </c>
      <c r="F42">
        <f ca="1">SUMIF(tables_510100!J:J,input_510100!E42,tables_510100!O:O)</f>
        <v>552000.00005999999</v>
      </c>
      <c r="G42">
        <f ca="1">F42/A36</f>
        <v>7.5000000008152171E-2</v>
      </c>
    </row>
    <row r="43" spans="1:7" x14ac:dyDescent="0.15">
      <c r="A43" s="32" t="s">
        <v>109</v>
      </c>
      <c r="B43">
        <f>SUMIF(tables_510100!C:C,input_510100!A43,tables_510100!O:O)</f>
        <v>0</v>
      </c>
      <c r="C43" s="53">
        <f t="shared" ca="1" si="9"/>
        <v>0</v>
      </c>
      <c r="F43" s="54"/>
    </row>
    <row r="44" spans="1:7" x14ac:dyDescent="0.15">
      <c r="A44" s="32" t="s">
        <v>105</v>
      </c>
      <c r="B44">
        <f ca="1">SUMIF(tables_510100!C:C,input_510100!A44,tables_510100!O:O)</f>
        <v>109335.00005999998</v>
      </c>
      <c r="C44" s="53">
        <f t="shared" ca="1" si="9"/>
        <v>2.7813993377741209E-2</v>
      </c>
      <c r="E44" t="s">
        <v>54</v>
      </c>
      <c r="F44" s="54"/>
    </row>
    <row r="45" spans="1:7" x14ac:dyDescent="0.15">
      <c r="A45" s="32" t="s">
        <v>107</v>
      </c>
      <c r="B45">
        <f ca="1">SUMIF(tables_510100!C:C,input_510100!A45,tables_510100!O:O)</f>
        <v>19664.999999999989</v>
      </c>
      <c r="C45" s="53">
        <f t="shared" ca="1" si="9"/>
        <v>5.0026266014828102E-3</v>
      </c>
      <c r="E45" t="s">
        <v>204</v>
      </c>
      <c r="F45" s="54">
        <f ca="1">SUMIF(tables_510100!I:I,input_510100!E45,tables_510100!P:P)</f>
        <v>0.22845991847639843</v>
      </c>
    </row>
    <row r="46" spans="1:7" x14ac:dyDescent="0.15">
      <c r="A46" s="32" t="s">
        <v>108</v>
      </c>
      <c r="B46">
        <f>SUMIF(tables_510100!C:C,input_510100!A46,tables_510100!O:O)</f>
        <v>0</v>
      </c>
      <c r="C46" s="53">
        <f t="shared" ca="1" si="9"/>
        <v>0</v>
      </c>
      <c r="E46" t="s">
        <v>205</v>
      </c>
      <c r="F46" s="54">
        <f ca="1">SUMIF(tables_510100!I:I,input_510100!E46,tables_510100!P:P)</f>
        <v>0.19359260033537831</v>
      </c>
    </row>
    <row r="47" spans="1:7" x14ac:dyDescent="0.15">
      <c r="A47" s="38" t="s">
        <v>59</v>
      </c>
      <c r="B47">
        <f ca="1">SUM(B40:B46)</f>
        <v>3930935.00006</v>
      </c>
      <c r="C47" s="54">
        <f ca="1">SUM(C40:C46)</f>
        <v>0.99999999999999989</v>
      </c>
      <c r="E47" t="s">
        <v>206</v>
      </c>
      <c r="F47" s="54">
        <f ca="1">SUMIF(tables_510100!I:I,input_510100!E47,tables_510100!P:P)</f>
        <v>0.5029474811888347</v>
      </c>
    </row>
    <row r="48" spans="1:7" x14ac:dyDescent="0.15">
      <c r="E48" t="s">
        <v>207</v>
      </c>
      <c r="F48" s="54">
        <f ca="1">SUMIF(tables_510100!I:I,input_510100!E48,tables_510100!P:P)</f>
        <v>7.21874999994115E-2</v>
      </c>
    </row>
    <row r="49" spans="5:6" x14ac:dyDescent="0.15">
      <c r="E49" t="s">
        <v>250</v>
      </c>
      <c r="F49" s="54">
        <f ca="1">SUMIF(tables_510100!I:I,input_510100!E49,tables_510100!P:P)</f>
        <v>2.8124999999770721E-3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87"/>
  <sheetViews>
    <sheetView showGridLines="0" zoomScale="75" zoomScaleNormal="75" zoomScalePageLayoutView="75" workbookViewId="0">
      <pane ySplit="1" topLeftCell="A71" activePane="bottomLeft" state="frozen"/>
      <selection activeCell="D34" sqref="D34"/>
      <selection pane="bottomLeft" activeCell="P87" sqref="P8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2" t="s">
        <v>84</v>
      </c>
      <c r="B1" s="14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4" t="s">
        <v>2</v>
      </c>
      <c r="P1" s="3" t="s">
        <v>63</v>
      </c>
      <c r="Q1" s="14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input_510100!A$2</f>
        <v>510100</v>
      </c>
      <c r="B2" s="6">
        <v>128</v>
      </c>
      <c r="C2" s="7" t="str">
        <f t="shared" ref="C2:C17" si="0">D2&amp;J2&amp;E2&amp;F2&amp;G2</f>
        <v>PremiumW3</v>
      </c>
      <c r="D2" s="7" t="str">
        <f t="shared" ref="D2:D17" si="1"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野生児 アマラ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IFERROR(VLOOKUP(B2,input_510100!L:R,7,FALSE),VLOOKUP(tables_510100!C2,input_510100!A:H,8,FALSE))</f>
        <v>0</v>
      </c>
      <c r="P2" s="45">
        <f t="shared" ref="P2:P33" ca="1" si="2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input_510100!A$2</f>
        <v>510100</v>
      </c>
      <c r="B3" s="6">
        <v>129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孤高の狼憑き アマラ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IFERROR(VLOOKUP(B3,input_510100!L:R,7,FALSE),VLOOKUP(tables_510100!C3,input_510100!A:H,8,FALSE))</f>
        <v>331853</v>
      </c>
      <c r="P3" s="45">
        <f t="shared" ca="1" si="2"/>
        <v>4.5088722825719386E-2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input_510100!A$2</f>
        <v>510100</v>
      </c>
      <c r="B4" s="8">
        <v>136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お針子チハヤ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IFERROR(VLOOKUP(B4,input_510100!L:R,7,FALSE),VLOOKUP(tables_510100!C4,input_510100!A:H,8,FALSE))</f>
        <v>0</v>
      </c>
      <c r="P4" s="45">
        <f t="shared" ca="1" si="2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input_510100!A$2</f>
        <v>510100</v>
      </c>
      <c r="B5" s="8">
        <v>137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清福の仕立屋 チハヤ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IFERROR(VLOOKUP(B5,input_510100!L:R,7,FALSE),VLOOKUP(tables_510100!C5,input_510100!A:H,8,FALSE))</f>
        <v>331853</v>
      </c>
      <c r="P5" s="45">
        <f t="shared" ca="1" si="2"/>
        <v>4.5088722825719386E-2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input_510100!A$2</f>
        <v>510100</v>
      </c>
      <c r="B6" s="10">
        <v>144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かぐや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human</v>
      </c>
      <c r="N6" s="7" t="str">
        <f>VLOOKUP(B6,[1]characters!$A:$G,7,FALSE)</f>
        <v>女性</v>
      </c>
      <c r="O6" s="44">
        <f ca="1">IFERROR(VLOOKUP(B6,input_510100!L:R,7,FALSE),VLOOKUP(tables_510100!C6,input_510100!A:H,8,FALSE))</f>
        <v>0</v>
      </c>
      <c r="P6" s="45">
        <f t="shared" ca="1" si="2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input_510100!A$2</f>
        <v>510100</v>
      </c>
      <c r="B7" s="6">
        <v>145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魔性妖艶 かぐや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human</v>
      </c>
      <c r="N7" s="7" t="str">
        <f>VLOOKUP(B7,[1]characters!$A:$G,7,FALSE)</f>
        <v>女性</v>
      </c>
      <c r="O7" s="44">
        <f ca="1">IFERROR(VLOOKUP(B7,input_510100!L:R,7,FALSE),VLOOKUP(tables_510100!C7,input_510100!A:H,8,FALSE))</f>
        <v>331853</v>
      </c>
      <c r="P7" s="45">
        <f t="shared" ca="1" si="2"/>
        <v>4.5088722825719386E-2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input_510100!A$2</f>
        <v>510100</v>
      </c>
      <c r="B8" s="6">
        <v>152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功夫少女ランラン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green</v>
      </c>
      <c r="L8" s="7" t="str">
        <f>VLOOKUP(B8,[1]characters!$A:$K,11,FALSE)</f>
        <v>heal</v>
      </c>
      <c r="M8" s="7" t="str">
        <f>VLOOKUP(B8,[1]characters!$A:$M,13,FALSE)</f>
        <v>human</v>
      </c>
      <c r="N8" s="7" t="str">
        <f>VLOOKUP(B8,[1]characters!$A:$G,7,FALSE)</f>
        <v>女性</v>
      </c>
      <c r="O8" s="44">
        <f ca="1">IFERROR(VLOOKUP(B8,input_510100!L:R,7,FALSE),VLOOKUP(tables_510100!C8,input_510100!A:H,8,FALSE))</f>
        <v>0</v>
      </c>
      <c r="P8" s="45">
        <f t="shared" ca="1" si="2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input_510100!A$2</f>
        <v>510100</v>
      </c>
      <c r="B9" s="6">
        <v>153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拳聖ランラン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green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4">
        <f ca="1">IFERROR(VLOOKUP(B9,input_510100!L:R,7,FALSE),VLOOKUP(tables_510100!C9,input_510100!A:H,8,FALSE))</f>
        <v>331853</v>
      </c>
      <c r="P9" s="45">
        <f t="shared" ca="1" si="2"/>
        <v>4.5088722825719386E-2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input_510100!A$2</f>
        <v>510100</v>
      </c>
      <c r="B10" s="6">
        <v>160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反逆者 クリエ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green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IFERROR(VLOOKUP(B10,input_510100!L:R,7,FALSE),VLOOKUP(tables_510100!C10,input_510100!A:H,8,FALSE))</f>
        <v>0</v>
      </c>
      <c r="P10" s="45">
        <f t="shared" ca="1" si="2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input_510100!A$2</f>
        <v>510100</v>
      </c>
      <c r="B11" s="6">
        <v>161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咆哮の先導者 クリエ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IFERROR(VLOOKUP(B11,input_510100!L:R,7,FALSE),VLOOKUP(tables_510100!C11,input_510100!A:H,8,FALSE))</f>
        <v>331853</v>
      </c>
      <c r="P11" s="45">
        <f t="shared" ca="1" si="2"/>
        <v>4.5088722825719386E-2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input_510100!A$2</f>
        <v>510100</v>
      </c>
      <c r="B12" s="6">
        <v>169</v>
      </c>
      <c r="C12" s="7" t="str">
        <f t="shared" si="0"/>
        <v>Premium3R6release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>R6release</v>
      </c>
      <c r="G12" s="7"/>
      <c r="H12" s="7" t="str">
        <f>VLOOKUP(B12,[1]characters!$A:$C,3,FALSE)</f>
        <v>オセ</v>
      </c>
      <c r="I12" s="7" t="str">
        <f>VLOOKUP(B12,[1]characters!$A:$J,10,FALSE)</f>
        <v>PremiumN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god</v>
      </c>
      <c r="N12" s="7" t="str">
        <f>VLOOKUP(B12,[1]characters!$A:$G,7,FALSE)</f>
        <v>女性</v>
      </c>
      <c r="O12" s="44">
        <f ca="1">IFERROR(VLOOKUP(B12,input_510100!L:R,7,FALSE),VLOOKUP(tables_510100!C12,input_510100!A:H,8,FALSE))</f>
        <v>0</v>
      </c>
      <c r="P12" s="45">
        <f t="shared" ca="1" si="2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input_510100!A$2</f>
        <v>510100</v>
      </c>
      <c r="B13" s="6">
        <v>170</v>
      </c>
      <c r="C13" s="7" t="str">
        <f t="shared" si="0"/>
        <v>Premium4R6release</v>
      </c>
      <c r="D13" s="7" t="str">
        <f t="shared" si="1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>R6release</v>
      </c>
      <c r="G13" s="7"/>
      <c r="H13" s="7" t="str">
        <f>VLOOKUP(B13,[1]characters!$A:$C,3,FALSE)</f>
        <v>識徒 オセ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女性</v>
      </c>
      <c r="O13" s="44">
        <f ca="1">IFERROR(VLOOKUP(B13,input_510100!L:R,7,FALSE),VLOOKUP(tables_510100!C13,input_510100!A:H,8,FALSE))</f>
        <v>273800</v>
      </c>
      <c r="P13" s="45">
        <f t="shared" ca="1" si="2"/>
        <v>3.7201086956218474E-2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input_510100!A$2</f>
        <v>510100</v>
      </c>
      <c r="B14" s="6">
        <v>171</v>
      </c>
      <c r="C14" s="7" t="str">
        <f t="shared" si="0"/>
        <v>Premium5R6release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>R6release</v>
      </c>
      <c r="G14" s="7"/>
      <c r="H14" s="7" t="str">
        <f>VLOOKUP(B14,[1]characters!$A:$C,3,FALSE)</f>
        <v>精解の預知者 オセ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attack</v>
      </c>
      <c r="M14" s="7" t="str">
        <f>VLOOKUP(B14,[1]characters!$A:$M,13,FALSE)</f>
        <v>god</v>
      </c>
      <c r="N14" s="7" t="str">
        <f>VLOOKUP(B14,[1]characters!$A:$G,7,FALSE)</f>
        <v>女性</v>
      </c>
      <c r="O14" s="44">
        <f ca="1">IFERROR(VLOOKUP(B14,input_510100!L:R,7,FALSE),VLOOKUP(tables_510100!C14,input_510100!A:H,8,FALSE))</f>
        <v>22200</v>
      </c>
      <c r="P14" s="45">
        <f t="shared" ca="1" si="2"/>
        <v>3.0163043478014977E-3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input_510100!A$2</f>
        <v>510100</v>
      </c>
      <c r="B15" s="6">
        <v>181</v>
      </c>
      <c r="C15" s="7" t="str">
        <f t="shared" si="0"/>
        <v>Premium3</v>
      </c>
      <c r="D15" s="7" t="str">
        <f t="shared" si="1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ベヒモス</v>
      </c>
      <c r="I15" s="7" t="str">
        <f>VLOOKUP(B15,[1]characters!$A:$J,10,FALSE)</f>
        <v>PremiumN</v>
      </c>
      <c r="J15" s="7">
        <f>VLOOKUP(B15,[1]characters!$A:$I,9,FALSE)</f>
        <v>3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animal</v>
      </c>
      <c r="N15" s="7" t="str">
        <f>VLOOKUP(B15,[1]characters!$A:$G,7,FALSE)</f>
        <v>女性</v>
      </c>
      <c r="O15" s="44">
        <f ca="1">IFERROR(VLOOKUP(B15,input_510100!L:R,7,FALSE),VLOOKUP(tables_510100!C15,input_510100!A:H,8,FALSE))</f>
        <v>0</v>
      </c>
      <c r="P15" s="45">
        <f t="shared" ca="1" si="2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input_510100!A$2</f>
        <v>510100</v>
      </c>
      <c r="B16" s="6">
        <v>182</v>
      </c>
      <c r="C16" s="7" t="str">
        <f t="shared" si="0"/>
        <v>Premium4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放蕩者 ベヒモス</v>
      </c>
      <c r="I16" s="7" t="str">
        <f>VLOOKUP(B16,[1]characters!$A:$J,10,FALSE)</f>
        <v>PremiumN</v>
      </c>
      <c r="J16" s="7">
        <f>VLOOKUP(B16,[1]characters!$A:$I,9,FALSE)</f>
        <v>4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IFERROR(VLOOKUP(B16,input_510100!L:R,7,FALSE),VLOOKUP(tables_510100!C16,input_510100!A:H,8,FALSE))</f>
        <v>273800</v>
      </c>
      <c r="P16" s="45">
        <f t="shared" ca="1" si="2"/>
        <v>3.7201086956218474E-2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input_510100!A$2</f>
        <v>510100</v>
      </c>
      <c r="B17" s="6">
        <v>183</v>
      </c>
      <c r="C17" s="7" t="str">
        <f t="shared" si="0"/>
        <v>Premium5</v>
      </c>
      <c r="D17" s="7" t="str">
        <f t="shared" si="1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鈍重な彷徨者 ベヒモス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hp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IFERROR(VLOOKUP(B17,input_510100!L:R,7,FALSE),VLOOKUP(tables_510100!C17,input_510100!A:H,8,FALSE))</f>
        <v>8410.3846200000007</v>
      </c>
      <c r="P17" s="45">
        <f t="shared" ca="1" si="2"/>
        <v>1.1427153016211192E-3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input_510100!A$2</f>
        <v>510100</v>
      </c>
      <c r="B18" s="6">
        <v>193</v>
      </c>
      <c r="C18" s="7" t="str">
        <f t="shared" ref="C18:C33" si="3">D18&amp;J18&amp;E18&amp;F18&amp;G18</f>
        <v>Premium3</v>
      </c>
      <c r="D18" s="7" t="str">
        <f t="shared" ref="D18:D34" si="4">IF(OR(I18="PremiumSS",I18="PremiumSSw"),"PremiumSS",IF(I18="PremiumSSS",I18,IF(I18="PremiumW",IF(J18=5,"premium",I18),"Premium")))</f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ロビンフッド</v>
      </c>
      <c r="I18" s="7" t="str">
        <f>VLOOKUP(B18,[1]characters!$A:$J,10,FALSE)</f>
        <v>PremiumN</v>
      </c>
      <c r="J18" s="7">
        <f>VLOOKUP(B18,[1]characters!$A:$I,9,FALSE)</f>
        <v>3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IFERROR(VLOOKUP(B18,input_510100!L:R,7,FALSE),VLOOKUP(tables_510100!C18,input_510100!A:H,8,FALSE))</f>
        <v>0</v>
      </c>
      <c r="P18" s="45">
        <f t="shared" ca="1" si="2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ht="21" customHeight="1" x14ac:dyDescent="0.15">
      <c r="A19" s="2" t="str">
        <f ca="1">input_510100!A$2</f>
        <v>510100</v>
      </c>
      <c r="B19" s="10">
        <v>194</v>
      </c>
      <c r="C19" s="7" t="str">
        <f t="shared" si="3"/>
        <v>Premium4</v>
      </c>
      <c r="D19" s="7" t="str">
        <f t="shared" si="4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スナイパー ロビンフッド</v>
      </c>
      <c r="I19" s="7" t="str">
        <f>VLOOKUP(B19,[1]characters!$A:$J,10,FALSE)</f>
        <v>PremiumN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IFERROR(VLOOKUP(B19,input_510100!L:R,7,FALSE),VLOOKUP(tables_510100!C19,input_510100!A:H,8,FALSE))</f>
        <v>273800</v>
      </c>
      <c r="P19" s="45">
        <f t="shared" ca="1" si="2"/>
        <v>3.7201086956218474E-2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input_510100!A$2</f>
        <v>510100</v>
      </c>
      <c r="B20" s="6">
        <v>195</v>
      </c>
      <c r="C20" s="7" t="str">
        <f t="shared" si="3"/>
        <v>Premium5</v>
      </c>
      <c r="D20" s="7" t="str">
        <f t="shared" si="4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グランドハンター ロビンフッド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IFERROR(VLOOKUP(B20,input_510100!L:R,7,FALSE),VLOOKUP(tables_510100!C20,input_510100!A:H,8,FALSE))</f>
        <v>8410.3846200000007</v>
      </c>
      <c r="P20" s="45">
        <f t="shared" ca="1" si="2"/>
        <v>1.1427153016211192E-3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input_510100!A$2</f>
        <v>510100</v>
      </c>
      <c r="B21" s="5">
        <v>205</v>
      </c>
      <c r="C21" s="7" t="str">
        <f t="shared" si="3"/>
        <v>Premium3</v>
      </c>
      <c r="D21" s="7" t="str">
        <f t="shared" si="4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アフロディーテ</v>
      </c>
      <c r="I21" s="7" t="str">
        <f>VLOOKUP(B21,[1]characters!$A:$J,10,FALSE)</f>
        <v>PremiumN</v>
      </c>
      <c r="J21" s="7">
        <f>VLOOKUP(B21,[1]characters!$A:$I,9,FALSE)</f>
        <v>3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god</v>
      </c>
      <c r="N21" s="7" t="str">
        <f>VLOOKUP(B21,[1]characters!$A:$G,7,FALSE)</f>
        <v>女性</v>
      </c>
      <c r="O21" s="44">
        <f ca="1">IFERROR(VLOOKUP(B21,input_510100!L:R,7,FALSE),VLOOKUP(tables_510100!C21,input_510100!A:H,8,FALSE))</f>
        <v>0</v>
      </c>
      <c r="P21" s="45">
        <f t="shared" ca="1" si="2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input_510100!A$2</f>
        <v>510100</v>
      </c>
      <c r="B22" s="5">
        <v>206</v>
      </c>
      <c r="C22" s="7" t="str">
        <f t="shared" si="3"/>
        <v>Premium4</v>
      </c>
      <c r="D22" s="7" t="str">
        <f t="shared" si="4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美神 アフロディーテ</v>
      </c>
      <c r="I22" s="7" t="str">
        <f>VLOOKUP(B22,[1]characters!$A:$J,10,FALSE)</f>
        <v>PremiumN</v>
      </c>
      <c r="J22" s="7">
        <f>VLOOKUP(B22,[1]characters!$A:$I,9,FALSE)</f>
        <v>4</v>
      </c>
      <c r="K22" s="7" t="str">
        <f>VLOOKUP(B22,[1]characters!$A:$H,8,FALSE)</f>
        <v>green</v>
      </c>
      <c r="L22" s="7" t="str">
        <f>VLOOKUP(B22,[1]characters!$A:$K,11,FALSE)</f>
        <v>hp</v>
      </c>
      <c r="M22" s="7" t="str">
        <f>VLOOKUP(B22,[1]characters!$A:$M,13,FALSE)</f>
        <v>god</v>
      </c>
      <c r="N22" s="7" t="str">
        <f>VLOOKUP(B22,[1]characters!$A:$G,7,FALSE)</f>
        <v>女性</v>
      </c>
      <c r="O22" s="44">
        <f ca="1">IFERROR(VLOOKUP(B22,input_510100!L:R,7,FALSE),VLOOKUP(tables_510100!C22,input_510100!A:H,8,FALSE))</f>
        <v>273800</v>
      </c>
      <c r="P22" s="45">
        <f t="shared" ca="1" si="2"/>
        <v>3.7201086956218474E-2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input_510100!A$2</f>
        <v>510100</v>
      </c>
      <c r="B23" s="5">
        <v>207</v>
      </c>
      <c r="C23" s="7" t="str">
        <f t="shared" si="3"/>
        <v>Premium5</v>
      </c>
      <c r="D23" s="7" t="str">
        <f t="shared" si="4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豊穣の麗神・アフロディーテ</v>
      </c>
      <c r="I23" s="7" t="str">
        <f>VLOOKUP(B23,[1]characters!$A:$J,10,FALSE)</f>
        <v>PremiumN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hp</v>
      </c>
      <c r="M23" s="7" t="str">
        <f>VLOOKUP(B23,[1]characters!$A:$M,13,FALSE)</f>
        <v>god</v>
      </c>
      <c r="N23" s="7" t="str">
        <f>VLOOKUP(B23,[1]characters!$A:$G,7,FALSE)</f>
        <v>女性</v>
      </c>
      <c r="O23" s="44">
        <f ca="1">IFERROR(VLOOKUP(B23,input_510100!L:R,7,FALSE),VLOOKUP(tables_510100!C23,input_510100!A:H,8,FALSE))</f>
        <v>8410.3846200000007</v>
      </c>
      <c r="P23" s="45">
        <f t="shared" ca="1" si="2"/>
        <v>1.1427153016211192E-3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input_510100!A$2</f>
        <v>510100</v>
      </c>
      <c r="B24" s="5">
        <v>217</v>
      </c>
      <c r="C24" s="7" t="str">
        <f t="shared" si="3"/>
        <v>Premium3</v>
      </c>
      <c r="D24" s="7" t="str">
        <f t="shared" si="4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ケツァクアトル</v>
      </c>
      <c r="I24" s="7" t="str">
        <f>VLOOKUP(B24,[1]characters!$A:$J,10,FALSE)</f>
        <v>PremiumN</v>
      </c>
      <c r="J24" s="7">
        <f>VLOOKUP(B24,[1]characters!$A:$I,9,FALSE)</f>
        <v>3</v>
      </c>
      <c r="K24" s="7" t="str">
        <f>VLOOKUP(B24,[1]characters!$A:$H,8,FALSE)</f>
        <v>green</v>
      </c>
      <c r="L24" s="7" t="str">
        <f>VLOOKUP(B24,[1]characters!$A:$K,11,FALSE)</f>
        <v>hp</v>
      </c>
      <c r="M24" s="7" t="str">
        <f>VLOOKUP(B24,[1]characters!$A:$M,13,FALSE)</f>
        <v>dragon</v>
      </c>
      <c r="N24" s="7" t="str">
        <f>VLOOKUP(B24,[1]characters!$A:$G,7,FALSE)</f>
        <v>女性</v>
      </c>
      <c r="O24" s="44">
        <f ca="1">IFERROR(VLOOKUP(B24,input_510100!L:R,7,FALSE),VLOOKUP(tables_510100!C24,input_510100!A:H,8,FALSE))</f>
        <v>0</v>
      </c>
      <c r="P24" s="45">
        <f t="shared" ca="1" si="2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input_510100!A$2</f>
        <v>510100</v>
      </c>
      <c r="B25" s="5">
        <v>218</v>
      </c>
      <c r="C25" s="7" t="str">
        <f t="shared" si="3"/>
        <v>Premium4</v>
      </c>
      <c r="D25" s="7" t="str">
        <f t="shared" si="4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聖蛇 ケツァクアトル</v>
      </c>
      <c r="I25" s="7" t="str">
        <f>VLOOKUP(B25,[1]characters!$A:$J,10,FALSE)</f>
        <v>PremiumN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hp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4">
        <f ca="1">IFERROR(VLOOKUP(B25,input_510100!L:R,7,FALSE),VLOOKUP(tables_510100!C25,input_510100!A:H,8,FALSE))</f>
        <v>273800</v>
      </c>
      <c r="P25" s="45">
        <f t="shared" ca="1" si="2"/>
        <v>3.7201086956218474E-2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input_510100!A$2</f>
        <v>510100</v>
      </c>
      <c r="B26" s="5">
        <v>219</v>
      </c>
      <c r="C26" s="7" t="str">
        <f t="shared" si="3"/>
        <v>Premium5</v>
      </c>
      <c r="D26" s="7" t="str">
        <f t="shared" si="4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覇翼の聖蛇竜 ケツァクアトル</v>
      </c>
      <c r="I26" s="7" t="str">
        <f>VLOOKUP(B26,[1]characters!$A:$J,10,FALSE)</f>
        <v>PremiumN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hp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4">
        <f ca="1">IFERROR(VLOOKUP(B26,input_510100!L:R,7,FALSE),VLOOKUP(tables_510100!C26,input_510100!A:H,8,FALSE))</f>
        <v>8410.3846200000007</v>
      </c>
      <c r="P26" s="45">
        <f t="shared" ca="1" si="2"/>
        <v>1.1427153016211192E-3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input_510100!A$2</f>
        <v>510100</v>
      </c>
      <c r="B27" s="5">
        <v>229</v>
      </c>
      <c r="C27" s="7" t="str">
        <f t="shared" si="3"/>
        <v>Premium3</v>
      </c>
      <c r="D27" s="7" t="str">
        <f t="shared" si="4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ヨルムンガンド</v>
      </c>
      <c r="I27" s="7" t="str">
        <f>VLOOKUP(B27,[1]characters!$A:$J,10,FALSE)</f>
        <v>PremiumS</v>
      </c>
      <c r="J27" s="7">
        <f>VLOOKUP(B27,[1]characters!$A:$I,9,FALSE)</f>
        <v>3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dragon</v>
      </c>
      <c r="N27" s="7" t="str">
        <f>VLOOKUP(B27,[1]characters!$A:$G,7,FALSE)</f>
        <v>女性</v>
      </c>
      <c r="O27" s="44">
        <f ca="1">IFERROR(VLOOKUP(B27,input_510100!L:R,7,FALSE),VLOOKUP(tables_510100!C27,input_510100!A:H,8,FALSE))</f>
        <v>0</v>
      </c>
      <c r="P27" s="45">
        <f t="shared" ca="1" si="2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input_510100!A$2</f>
        <v>510100</v>
      </c>
      <c r="B28" s="5">
        <v>230</v>
      </c>
      <c r="C28" s="7" t="str">
        <f t="shared" si="3"/>
        <v>Premium4</v>
      </c>
      <c r="D28" s="7" t="str">
        <f t="shared" si="4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毒銃 ヨルムンガンド</v>
      </c>
      <c r="I28" s="7" t="str">
        <f>VLOOKUP(B28,[1]characters!$A:$J,10,FALSE)</f>
        <v>PremiumS</v>
      </c>
      <c r="J28" s="7">
        <f>VLOOKUP(B28,[1]characters!$A:$I,9,FALSE)</f>
        <v>4</v>
      </c>
      <c r="K28" s="7" t="str">
        <f>VLOOKUP(B28,[1]characters!$A:$H,8,FALSE)</f>
        <v>green</v>
      </c>
      <c r="L28" s="7" t="str">
        <f>VLOOKUP(B28,[1]characters!$A:$K,11,FALSE)</f>
        <v>technical</v>
      </c>
      <c r="M28" s="7" t="str">
        <f>VLOOKUP(B28,[1]characters!$A:$M,13,FALSE)</f>
        <v>dragon</v>
      </c>
      <c r="N28" s="7" t="str">
        <f>VLOOKUP(B28,[1]characters!$A:$G,7,FALSE)</f>
        <v>女性</v>
      </c>
      <c r="O28" s="44">
        <f ca="1">IFERROR(VLOOKUP(B28,input_510100!L:R,7,FALSE),VLOOKUP(tables_510100!C28,input_510100!A:H,8,FALSE))</f>
        <v>273800</v>
      </c>
      <c r="P28" s="45">
        <f t="shared" ca="1" si="2"/>
        <v>3.7201086956218474E-2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input_510100!A$2</f>
        <v>510100</v>
      </c>
      <c r="B29" s="5">
        <v>231</v>
      </c>
      <c r="C29" s="7" t="str">
        <f t="shared" si="3"/>
        <v>Premium5</v>
      </c>
      <c r="D29" s="7" t="str">
        <f t="shared" si="4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必中の咬銃 ヨルムンガンド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technical</v>
      </c>
      <c r="M29" s="7" t="str">
        <f>VLOOKUP(B29,[1]characters!$A:$M,13,FALSE)</f>
        <v>dragon</v>
      </c>
      <c r="N29" s="7" t="str">
        <f>VLOOKUP(B29,[1]characters!$A:$G,7,FALSE)</f>
        <v>女性</v>
      </c>
      <c r="O29" s="44">
        <f ca="1">IFERROR(VLOOKUP(B29,input_510100!L:R,7,FALSE),VLOOKUP(tables_510100!C29,input_510100!A:H,8,FALSE))</f>
        <v>8410.3846200000007</v>
      </c>
      <c r="P29" s="45">
        <f t="shared" ca="1" si="2"/>
        <v>1.1427153016211192E-3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input_510100!A$2</f>
        <v>510100</v>
      </c>
      <c r="B30" s="5">
        <v>241</v>
      </c>
      <c r="C30" s="7" t="str">
        <f t="shared" si="3"/>
        <v>Premium3</v>
      </c>
      <c r="D30" s="7" t="str">
        <f t="shared" si="4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ガブリエル</v>
      </c>
      <c r="I30" s="7" t="str">
        <f>VLOOKUP(B30,[1]characters!$A:$J,10,FALSE)</f>
        <v>PremiumS</v>
      </c>
      <c r="J30" s="7">
        <f>VLOOKUP(B30,[1]characters!$A:$I,9,FALSE)</f>
        <v>3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machine</v>
      </c>
      <c r="N30" s="7" t="str">
        <f>VLOOKUP(B30,[1]characters!$A:$G,7,FALSE)</f>
        <v>女性</v>
      </c>
      <c r="O30" s="44">
        <f ca="1">IFERROR(VLOOKUP(B30,input_510100!L:R,7,FALSE),VLOOKUP(tables_510100!C30,input_510100!A:H,8,FALSE))</f>
        <v>0</v>
      </c>
      <c r="P30" s="45">
        <f t="shared" ca="1" si="2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input_510100!A$2</f>
        <v>510100</v>
      </c>
      <c r="B31" s="5">
        <v>242</v>
      </c>
      <c r="C31" s="7" t="str">
        <f t="shared" si="3"/>
        <v>Premium4</v>
      </c>
      <c r="D31" s="7" t="str">
        <f t="shared" si="4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百花の天使 ガブリエル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green</v>
      </c>
      <c r="L31" s="7" t="str">
        <f>VLOOKUP(B31,[1]characters!$A:$K,11,FALSE)</f>
        <v>balance</v>
      </c>
      <c r="M31" s="7" t="str">
        <f>VLOOKUP(B31,[1]characters!$A:$M,13,FALSE)</f>
        <v>machine</v>
      </c>
      <c r="N31" s="7" t="str">
        <f>VLOOKUP(B31,[1]characters!$A:$G,7,FALSE)</f>
        <v>女性</v>
      </c>
      <c r="O31" s="44">
        <f ca="1">IFERROR(VLOOKUP(B31,input_510100!L:R,7,FALSE),VLOOKUP(tables_510100!C31,input_510100!A:H,8,FALSE))</f>
        <v>273800</v>
      </c>
      <c r="P31" s="45">
        <f t="shared" ca="1" si="2"/>
        <v>3.7201086956218474E-2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input_510100!A$2</f>
        <v>510100</v>
      </c>
      <c r="B32" s="5">
        <v>243</v>
      </c>
      <c r="C32" s="7" t="str">
        <f t="shared" si="3"/>
        <v>Premium5</v>
      </c>
      <c r="D32" s="7" t="str">
        <f t="shared" si="4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万花の天使 ガブリエル・ブルーム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machine</v>
      </c>
      <c r="N32" s="7" t="str">
        <f>VLOOKUP(B32,[1]characters!$A:$G,7,FALSE)</f>
        <v>女性</v>
      </c>
      <c r="O32" s="44">
        <f ca="1">IFERROR(VLOOKUP(B32,input_510100!L:R,7,FALSE),VLOOKUP(tables_510100!C32,input_510100!A:H,8,FALSE))</f>
        <v>8410.3846200000007</v>
      </c>
      <c r="P32" s="45">
        <f t="shared" ca="1" si="2"/>
        <v>1.1427153016211192E-3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input_510100!A$2</f>
        <v>510100</v>
      </c>
      <c r="B33" s="6">
        <v>253</v>
      </c>
      <c r="C33" s="7" t="str">
        <f t="shared" si="3"/>
        <v>Premium3</v>
      </c>
      <c r="D33" s="7" t="str">
        <f t="shared" si="4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ベルフェゴール</v>
      </c>
      <c r="I33" s="7" t="str">
        <f>VLOOKUP(B33,[1]characters!$A:$J,10,FALSE)</f>
        <v>PremiumS</v>
      </c>
      <c r="J33" s="7">
        <f>VLOOKUP(B33,[1]characters!$A:$I,9,FALSE)</f>
        <v>3</v>
      </c>
      <c r="K33" s="7" t="str">
        <f>VLOOKUP(B33,[1]characters!$A:$H,8,FALSE)</f>
        <v>green</v>
      </c>
      <c r="L33" s="7" t="str">
        <f>VLOOKUP(B33,[1]characters!$A:$K,11,FALSE)</f>
        <v>technical</v>
      </c>
      <c r="M33" s="7" t="str">
        <f>VLOOKUP(B33,[1]characters!$A:$M,13,FALSE)</f>
        <v>god</v>
      </c>
      <c r="N33" s="7" t="str">
        <f>VLOOKUP(B33,[1]characters!$A:$G,7,FALSE)</f>
        <v>女性</v>
      </c>
      <c r="O33" s="44">
        <f ca="1">IFERROR(VLOOKUP(B33,input_510100!L:R,7,FALSE),VLOOKUP(tables_510100!C33,input_510100!A:H,8,FALSE))</f>
        <v>0</v>
      </c>
      <c r="P33" s="45">
        <f t="shared" ca="1" si="2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input_510100!A$2</f>
        <v>510100</v>
      </c>
      <c r="B34" s="6">
        <v>254</v>
      </c>
      <c r="C34" s="7" t="str">
        <f t="shared" ref="C34:C49" si="5">D34&amp;J34&amp;E34&amp;F34&amp;G34</f>
        <v>Premium4</v>
      </c>
      <c r="D34" s="7" t="str">
        <f t="shared" si="4"/>
        <v>Premium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怠惰 ベルフェゴール</v>
      </c>
      <c r="I34" s="7" t="str">
        <f>VLOOKUP(B34,[1]characters!$A:$J,10,FALSE)</f>
        <v>PremiumS</v>
      </c>
      <c r="J34" s="7">
        <f>VLOOKUP(B34,[1]characters!$A:$I,9,FALSE)</f>
        <v>4</v>
      </c>
      <c r="K34" s="7" t="str">
        <f>VLOOKUP(B34,[1]characters!$A:$H,8,FALSE)</f>
        <v>green</v>
      </c>
      <c r="L34" s="7" t="str">
        <f>VLOOKUP(B34,[1]characters!$A:$K,11,FALSE)</f>
        <v>technical</v>
      </c>
      <c r="M34" s="7" t="str">
        <f>VLOOKUP(B34,[1]characters!$A:$M,13,FALSE)</f>
        <v>god</v>
      </c>
      <c r="N34" s="7" t="str">
        <f>VLOOKUP(B34,[1]characters!$A:$G,7,FALSE)</f>
        <v>女性</v>
      </c>
      <c r="O34" s="44">
        <f ca="1">IFERROR(VLOOKUP(B34,input_510100!L:R,7,FALSE),VLOOKUP(tables_510100!C34,input_510100!A:H,8,FALSE))</f>
        <v>273800</v>
      </c>
      <c r="P34" s="45">
        <f t="shared" ref="P34:P65" ca="1" si="6">O34/SUM(O:O)</f>
        <v>3.7201086956218474E-2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input_510100!A$2</f>
        <v>510100</v>
      </c>
      <c r="B35" s="6">
        <v>255</v>
      </c>
      <c r="C35" s="7" t="str">
        <f t="shared" si="5"/>
        <v>Premium5</v>
      </c>
      <c r="D35" s="7" t="str">
        <f t="shared" ref="D35:D49" si="7">IF(OR(I35="PremiumSS",I35="PremiumSSw"),"PremiumSS",IF(I35="PremiumSSS",I35,IF(I35="PremiumW",IF(J35=5,"premium",I35),"Premium")))</f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怠惰の頂点 ベルフェゴール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technical</v>
      </c>
      <c r="M35" s="7" t="str">
        <f>VLOOKUP(B35,[1]characters!$A:$M,13,FALSE)</f>
        <v>god</v>
      </c>
      <c r="N35" s="7" t="str">
        <f>VLOOKUP(B35,[1]characters!$A:$G,7,FALSE)</f>
        <v>女性</v>
      </c>
      <c r="O35" s="44">
        <f ca="1">IFERROR(VLOOKUP(B35,input_510100!L:R,7,FALSE),VLOOKUP(tables_510100!C35,input_510100!A:H,8,FALSE))</f>
        <v>8410.3846200000007</v>
      </c>
      <c r="P35" s="45">
        <f t="shared" ca="1" si="6"/>
        <v>1.1427153016211192E-3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input_510100!A$2</f>
        <v>510100</v>
      </c>
      <c r="B36" s="6">
        <v>322</v>
      </c>
      <c r="C36" s="7" t="str">
        <f t="shared" si="5"/>
        <v>PremiumSS4</v>
      </c>
      <c r="D36" s="7" t="str">
        <f t="shared" si="7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愛志士 土方歳三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IFERROR(VLOOKUP(B36,input_510100!L:R,7,FALSE),VLOOKUP(tables_510100!C36,input_510100!A:H,8,FALSE))</f>
        <v>6382.5</v>
      </c>
      <c r="P36" s="45">
        <f t="shared" ca="1" si="6"/>
        <v>8.6718749999293058E-4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input_510100!A$2</f>
        <v>510100</v>
      </c>
      <c r="B37" s="6">
        <v>323</v>
      </c>
      <c r="C37" s="7" t="str">
        <f t="shared" si="5"/>
        <v>PremiumSS5</v>
      </c>
      <c r="D37" s="7" t="str">
        <f t="shared" si="7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流麗の愛志士 土方歳三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attack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IFERROR(VLOOKUP(B37,input_510100!L:R,7,FALSE),VLOOKUP(tables_510100!C37,input_510100!A:H,8,FALSE))</f>
        <v>517.5</v>
      </c>
      <c r="P37" s="45">
        <f t="shared" ca="1" si="6"/>
        <v>7.0312499999426804E-5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input_510100!A$2</f>
        <v>510100</v>
      </c>
      <c r="B38" s="6">
        <v>383</v>
      </c>
      <c r="C38" s="7" t="str">
        <f t="shared" si="5"/>
        <v>PremiumSS4</v>
      </c>
      <c r="D38" s="7" t="str">
        <f t="shared" si="7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酒宴の蟒蛇 ヤマタノオロチ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green</v>
      </c>
      <c r="L38" s="7" t="str">
        <f>VLOOKUP(B38,[1]characters!$A:$K,11,FALSE)</f>
        <v>hp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4">
        <f ca="1">IFERROR(VLOOKUP(B38,input_510100!L:R,7,FALSE),VLOOKUP(tables_510100!C38,input_510100!A:H,8,FALSE))</f>
        <v>6382.5</v>
      </c>
      <c r="P38" s="45">
        <f t="shared" ca="1" si="6"/>
        <v>8.6718749999293058E-4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input_510100!A$2</f>
        <v>510100</v>
      </c>
      <c r="B39" s="6">
        <v>384</v>
      </c>
      <c r="C39" s="7" t="str">
        <f t="shared" si="5"/>
        <v>PremiumSS5</v>
      </c>
      <c r="D39" s="7" t="str">
        <f t="shared" si="7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4">
        <f ca="1">IFERROR(VLOOKUP(B39,input_510100!L:R,7,FALSE),VLOOKUP(tables_510100!C39,input_510100!A:H,8,FALSE))</f>
        <v>517.5</v>
      </c>
      <c r="P39" s="45">
        <f t="shared" ca="1" si="6"/>
        <v>7.0312499999426804E-5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input_510100!A$2</f>
        <v>510100</v>
      </c>
      <c r="B40" s="6">
        <v>392</v>
      </c>
      <c r="C40" s="7" t="str">
        <f t="shared" si="5"/>
        <v>Premium3</v>
      </c>
      <c r="D40" s="7" t="str">
        <f t="shared" si="7"/>
        <v>Premium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ピーターパン</v>
      </c>
      <c r="I40" s="7" t="str">
        <f>VLOOKUP(B40,[1]characters!$A:$J,10,FALSE)</f>
        <v>PremiumS</v>
      </c>
      <c r="J40" s="7">
        <f>VLOOKUP(B40,[1]characters!$A:$I,9,FALSE)</f>
        <v>3</v>
      </c>
      <c r="K40" s="7" t="str">
        <f>VLOOKUP(B40,[1]characters!$A:$H,8,FALSE)</f>
        <v>green</v>
      </c>
      <c r="L40" s="7" t="str">
        <f>VLOOKUP(B40,[1]characters!$A:$K,11,FALSE)</f>
        <v>attack</v>
      </c>
      <c r="M40" s="7" t="str">
        <f>VLOOKUP(B40,[1]characters!$A:$M,13,FALSE)</f>
        <v>human</v>
      </c>
      <c r="N40" s="7" t="str">
        <f>VLOOKUP(B40,[1]characters!$A:$G,7,FALSE)</f>
        <v>男性</v>
      </c>
      <c r="O40" s="44">
        <f ca="1">IFERROR(VLOOKUP(B40,input_510100!L:R,7,FALSE),VLOOKUP(tables_510100!C40,input_510100!A:H,8,FALSE))</f>
        <v>0</v>
      </c>
      <c r="P40" s="45">
        <f t="shared" ca="1" si="6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input_510100!A$2</f>
        <v>510100</v>
      </c>
      <c r="B41" s="6">
        <v>393</v>
      </c>
      <c r="C41" s="7" t="str">
        <f t="shared" si="5"/>
        <v>Premium4</v>
      </c>
      <c r="D41" s="7" t="str">
        <f t="shared" si="7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影縫い ピーターパン</v>
      </c>
      <c r="I41" s="7" t="str">
        <f>VLOOKUP(B41,[1]characters!$A:$J,10,FALSE)</f>
        <v>PremiumS</v>
      </c>
      <c r="J41" s="7">
        <f>VLOOKUP(B41,[1]characters!$A:$I,9,FALSE)</f>
        <v>4</v>
      </c>
      <c r="K41" s="7" t="str">
        <f>VLOOKUP(B41,[1]characters!$A:$H,8,FALSE)</f>
        <v>green</v>
      </c>
      <c r="L41" s="7" t="str">
        <f>VLOOKUP(B41,[1]characters!$A:$K,11,FALSE)</f>
        <v>attack</v>
      </c>
      <c r="M41" s="7" t="str">
        <f>VLOOKUP(B41,[1]characters!$A:$M,13,FALSE)</f>
        <v>human</v>
      </c>
      <c r="N41" s="7" t="str">
        <f>VLOOKUP(B41,[1]characters!$A:$G,7,FALSE)</f>
        <v>男性</v>
      </c>
      <c r="O41" s="44">
        <f ca="1">IFERROR(VLOOKUP(B41,input_510100!L:R,7,FALSE),VLOOKUP(tables_510100!C41,input_510100!A:H,8,FALSE))</f>
        <v>273800</v>
      </c>
      <c r="P41" s="45">
        <f t="shared" ca="1" si="6"/>
        <v>3.7201086956218474E-2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input_510100!A$2</f>
        <v>510100</v>
      </c>
      <c r="B42" s="6">
        <v>394</v>
      </c>
      <c r="C42" s="7" t="str">
        <f t="shared" si="5"/>
        <v>Premium5</v>
      </c>
      <c r="D42" s="7" t="str">
        <f t="shared" si="7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影求の悪童 ピーターパン</v>
      </c>
      <c r="I42" s="7" t="str">
        <f>VLOOKUP(B42,[1]characters!$A:$J,10,FALSE)</f>
        <v>PremiumS</v>
      </c>
      <c r="J42" s="7">
        <f>VLOOKUP(B42,[1]characters!$A:$I,9,FALSE)</f>
        <v>5</v>
      </c>
      <c r="K42" s="7" t="str">
        <f>VLOOKUP(B42,[1]characters!$A:$H,8,FALSE)</f>
        <v>green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4">
        <f ca="1">IFERROR(VLOOKUP(B42,input_510100!L:R,7,FALSE),VLOOKUP(tables_510100!C42,input_510100!A:H,8,FALSE))</f>
        <v>8410.3846200000007</v>
      </c>
      <c r="P42" s="45">
        <f t="shared" ca="1" si="6"/>
        <v>1.1427153016211192E-3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input_510100!A$2</f>
        <v>510100</v>
      </c>
      <c r="B43" s="6">
        <v>403</v>
      </c>
      <c r="C43" s="7" t="str">
        <f t="shared" si="5"/>
        <v>PremiumSS4</v>
      </c>
      <c r="D43" s="7" t="str">
        <f t="shared" si="7"/>
        <v>PremiumSS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静撃の翠眼 八咫烏</v>
      </c>
      <c r="I43" s="7" t="str">
        <f>VLOOKUP(B43,[1]characters!$A:$J,10,FALSE)</f>
        <v>PremiumSS</v>
      </c>
      <c r="J43" s="7">
        <f>VLOOKUP(B43,[1]characters!$A:$I,9,FALSE)</f>
        <v>4</v>
      </c>
      <c r="K43" s="7" t="str">
        <f>VLOOKUP(B43,[1]characters!$A:$H,8,FALSE)</f>
        <v>green</v>
      </c>
      <c r="L43" s="7" t="str">
        <f>VLOOKUP(B43,[1]characters!$A:$K,11,FALSE)</f>
        <v>balance</v>
      </c>
      <c r="M43" s="7" t="str">
        <f>VLOOKUP(B43,[1]characters!$A:$M,13,FALSE)</f>
        <v>animal</v>
      </c>
      <c r="N43" s="7" t="str">
        <f>VLOOKUP(B43,[1]characters!$A:$G,7,FALSE)</f>
        <v>女性</v>
      </c>
      <c r="O43" s="44">
        <f ca="1">IFERROR(VLOOKUP(B43,input_510100!L:R,7,FALSE),VLOOKUP(tables_510100!C43,input_510100!A:H,8,FALSE))</f>
        <v>6382.5</v>
      </c>
      <c r="P43" s="45">
        <f t="shared" ca="1" si="6"/>
        <v>8.6718749999293058E-4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input_510100!A$2</f>
        <v>510100</v>
      </c>
      <c r="B44" s="6">
        <v>404</v>
      </c>
      <c r="C44" s="7" t="str">
        <f t="shared" si="5"/>
        <v>PremiumSS5</v>
      </c>
      <c r="D44" s="7" t="str">
        <f t="shared" si="7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空襲の神眼 八咫烏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44">
        <f ca="1">IFERROR(VLOOKUP(B44,input_510100!L:R,7,FALSE),VLOOKUP(tables_510100!C44,input_510100!A:H,8,FALSE))</f>
        <v>517.5</v>
      </c>
      <c r="P44" s="45">
        <f t="shared" ca="1" si="6"/>
        <v>7.0312499999426804E-5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input_510100!A$2</f>
        <v>510100</v>
      </c>
      <c r="B45" s="6">
        <v>436</v>
      </c>
      <c r="C45" s="7" t="str">
        <f t="shared" si="5"/>
        <v>Premium3</v>
      </c>
      <c r="D45" s="7" t="str">
        <f t="shared" si="7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カカシ</v>
      </c>
      <c r="I45" s="7" t="str">
        <f>VLOOKUP(B45,[1]characters!$A:$J,10,FALSE)</f>
        <v>PremiumS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technical</v>
      </c>
      <c r="M45" s="7" t="str">
        <f>VLOOKUP(B45,[1]characters!$A:$M,13,FALSE)</f>
        <v>human</v>
      </c>
      <c r="N45" s="7" t="str">
        <f>VLOOKUP(B45,[1]characters!$A:$G,7,FALSE)</f>
        <v>男性</v>
      </c>
      <c r="O45" s="44">
        <f ca="1">IFERROR(VLOOKUP(B45,input_510100!L:R,7,FALSE),VLOOKUP(tables_510100!C45,input_510100!A:H,8,FALSE))</f>
        <v>0</v>
      </c>
      <c r="P45" s="45">
        <f t="shared" ca="1" si="6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input_510100!A$2</f>
        <v>510100</v>
      </c>
      <c r="B46" s="6">
        <v>437</v>
      </c>
      <c r="C46" s="7" t="str">
        <f t="shared" si="5"/>
        <v>Premium4</v>
      </c>
      <c r="D46" s="7" t="str">
        <f t="shared" si="7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忘却者 カカシ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technical</v>
      </c>
      <c r="M46" s="7" t="str">
        <f>VLOOKUP(B46,[1]characters!$A:$M,13,FALSE)</f>
        <v>human</v>
      </c>
      <c r="N46" s="7" t="str">
        <f>VLOOKUP(B46,[1]characters!$A:$G,7,FALSE)</f>
        <v>男性</v>
      </c>
      <c r="O46" s="44">
        <f ca="1">IFERROR(VLOOKUP(B46,input_510100!L:R,7,FALSE),VLOOKUP(tables_510100!C46,input_510100!A:H,8,FALSE))</f>
        <v>273800</v>
      </c>
      <c r="P46" s="45">
        <f t="shared" ca="1" si="6"/>
        <v>3.7201086956218474E-2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input_510100!A$2</f>
        <v>510100</v>
      </c>
      <c r="B47" s="6">
        <v>438</v>
      </c>
      <c r="C47" s="7" t="str">
        <f t="shared" si="5"/>
        <v>Premium5</v>
      </c>
      <c r="D47" s="7" t="str">
        <f t="shared" si="7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記憶の奪還 カカシ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technical</v>
      </c>
      <c r="M47" s="7" t="str">
        <f>VLOOKUP(B47,[1]characters!$A:$M,13,FALSE)</f>
        <v>human</v>
      </c>
      <c r="N47" s="7" t="str">
        <f>VLOOKUP(B47,[1]characters!$A:$G,7,FALSE)</f>
        <v>男性</v>
      </c>
      <c r="O47" s="44">
        <f ca="1">IFERROR(VLOOKUP(B47,input_510100!L:R,7,FALSE),VLOOKUP(tables_510100!C47,input_510100!A:H,8,FALSE))</f>
        <v>8410.3846200000007</v>
      </c>
      <c r="P47" s="45">
        <f t="shared" ca="1" si="6"/>
        <v>1.1427153016211192E-3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input_510100!A$2</f>
        <v>510100</v>
      </c>
      <c r="B48" s="8">
        <v>465</v>
      </c>
      <c r="C48" s="7" t="str">
        <f t="shared" si="5"/>
        <v>PremiumSS4</v>
      </c>
      <c r="D48" s="7" t="str">
        <f t="shared" si="7"/>
        <v>PremiumSS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真撃 ランスロット</v>
      </c>
      <c r="I48" s="7" t="str">
        <f>VLOOKUP(B48,[1]characters!$A:$J,10,FALSE)</f>
        <v>PremiumSS</v>
      </c>
      <c r="J48" s="7">
        <f>VLOOKUP(B48,[1]characters!$A:$I,9,FALSE)</f>
        <v>4</v>
      </c>
      <c r="K48" s="7" t="str">
        <f>VLOOKUP(B48,[1]characters!$A:$H,8,FALSE)</f>
        <v>green</v>
      </c>
      <c r="L48" s="7" t="str">
        <f>VLOOKUP(B48,[1]characters!$A:$K,11,FALSE)</f>
        <v>balance</v>
      </c>
      <c r="M48" s="7" t="str">
        <f>VLOOKUP(B48,[1]characters!$A:$M,13,FALSE)</f>
        <v>human</v>
      </c>
      <c r="N48" s="7" t="str">
        <f>VLOOKUP(B48,[1]characters!$A:$G,7,FALSE)</f>
        <v>男性</v>
      </c>
      <c r="O48" s="44">
        <f ca="1">IFERROR(VLOOKUP(B48,input_510100!L:R,7,FALSE),VLOOKUP(tables_510100!C48,input_510100!A:H,8,FALSE))</f>
        <v>6382.5</v>
      </c>
      <c r="P48" s="45">
        <f t="shared" ca="1" si="6"/>
        <v>8.6718749999293058E-4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s="9" customFormat="1" ht="21" customHeight="1" thickBot="1" x14ac:dyDescent="0.2">
      <c r="A49" s="2" t="str">
        <f ca="1">input_510100!A$2</f>
        <v>510100</v>
      </c>
      <c r="B49" s="6">
        <v>466</v>
      </c>
      <c r="C49" s="7" t="str">
        <f t="shared" si="5"/>
        <v>PremiumSS5</v>
      </c>
      <c r="D49" s="7" t="str">
        <f t="shared" si="7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真断の勇覇 ランスロット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balance</v>
      </c>
      <c r="M49" s="7" t="str">
        <f>VLOOKUP(B49,[1]characters!$A:$M,13,FALSE)</f>
        <v>human</v>
      </c>
      <c r="N49" s="7" t="str">
        <f>VLOOKUP(B49,[1]characters!$A:$G,7,FALSE)</f>
        <v>男性</v>
      </c>
      <c r="O49" s="44">
        <f ca="1">IFERROR(VLOOKUP(B49,input_510100!L:R,7,FALSE),VLOOKUP(tables_510100!C49,input_510100!A:H,8,FALSE))</f>
        <v>517.5</v>
      </c>
      <c r="P49" s="45">
        <f t="shared" ca="1" si="6"/>
        <v>7.0312499999426804E-5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input_510100!A$2</f>
        <v>510100</v>
      </c>
      <c r="B50" s="6">
        <v>476</v>
      </c>
      <c r="C50" s="7" t="str">
        <f t="shared" ref="C50:C66" si="8">D50&amp;J50&amp;E50&amp;F50&amp;G50</f>
        <v>Premium3</v>
      </c>
      <c r="D50" s="7" t="str">
        <f t="shared" ref="D50:D66" si="9">IF(OR(I50="PremiumSS",I50="PremiumSSw"),"PremiumSS",IF(I50="PremiumSSS",I50,IF(I50="PremiumW",IF(J50=5,"premium",I50),"Premium")))</f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ファータ</v>
      </c>
      <c r="I50" s="7" t="str">
        <f>VLOOKUP(B50,[1]characters!$A:$J,10,FALSE)</f>
        <v>PremiumS</v>
      </c>
      <c r="J50" s="7">
        <f>VLOOKUP(B50,[1]characters!$A:$I,9,FALSE)</f>
        <v>3</v>
      </c>
      <c r="K50" s="7" t="str">
        <f>VLOOKUP(B50,[1]characters!$A:$H,8,FALSE)</f>
        <v>green</v>
      </c>
      <c r="L50" s="7" t="str">
        <f>VLOOKUP(B50,[1]characters!$A:$K,11,FALSE)</f>
        <v>heal</v>
      </c>
      <c r="M50" s="7" t="str">
        <f>VLOOKUP(B50,[1]characters!$A:$M,13,FALSE)</f>
        <v>unknown</v>
      </c>
      <c r="N50" s="7" t="str">
        <f>VLOOKUP(B50,[1]characters!$A:$G,7,FALSE)</f>
        <v>女性</v>
      </c>
      <c r="O50" s="44">
        <f ca="1">IFERROR(VLOOKUP(B50,input_510100!L:R,7,FALSE),VLOOKUP(tables_510100!C50,input_510100!A:H,8,FALSE))</f>
        <v>0</v>
      </c>
      <c r="P50" s="45">
        <f t="shared" ca="1" si="6"/>
        <v>0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input_510100!A$2</f>
        <v>510100</v>
      </c>
      <c r="B51" s="6">
        <v>477</v>
      </c>
      <c r="C51" s="7" t="str">
        <f t="shared" si="8"/>
        <v>Premium4</v>
      </c>
      <c r="D51" s="7" t="str">
        <f t="shared" si="9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愛羽妖精 ファータ</v>
      </c>
      <c r="I51" s="7" t="str">
        <f>VLOOKUP(B51,[1]characters!$A:$J,10,FALSE)</f>
        <v>PremiumS</v>
      </c>
      <c r="J51" s="7">
        <f>VLOOKUP(B51,[1]characters!$A:$I,9,FALSE)</f>
        <v>4</v>
      </c>
      <c r="K51" s="7" t="str">
        <f>VLOOKUP(B51,[1]characters!$A:$H,8,FALSE)</f>
        <v>green</v>
      </c>
      <c r="L51" s="7" t="str">
        <f>VLOOKUP(B51,[1]characters!$A:$K,11,FALSE)</f>
        <v>heal</v>
      </c>
      <c r="M51" s="7" t="str">
        <f>VLOOKUP(B51,[1]characters!$A:$M,13,FALSE)</f>
        <v>unknown</v>
      </c>
      <c r="N51" s="7" t="str">
        <f>VLOOKUP(B51,[1]characters!$A:$G,7,FALSE)</f>
        <v>女性</v>
      </c>
      <c r="O51" s="44">
        <f ca="1">IFERROR(VLOOKUP(B51,input_510100!L:R,7,FALSE),VLOOKUP(tables_510100!C51,input_510100!A:H,8,FALSE))</f>
        <v>273800</v>
      </c>
      <c r="P51" s="45">
        <f t="shared" ca="1" si="6"/>
        <v>3.7201086956218474E-2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input_510100!A$2</f>
        <v>510100</v>
      </c>
      <c r="B52" s="6">
        <v>478</v>
      </c>
      <c r="C52" s="7" t="str">
        <f t="shared" si="8"/>
        <v>Premium5</v>
      </c>
      <c r="D52" s="7" t="str">
        <f t="shared" si="9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時計仕掛けの愛羽妖精 ファータ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heal</v>
      </c>
      <c r="M52" s="7" t="str">
        <f>VLOOKUP(B52,[1]characters!$A:$M,13,FALSE)</f>
        <v>unknown</v>
      </c>
      <c r="N52" s="7" t="str">
        <f>VLOOKUP(B52,[1]characters!$A:$G,7,FALSE)</f>
        <v>女性</v>
      </c>
      <c r="O52" s="44">
        <f ca="1">IFERROR(VLOOKUP(B52,input_510100!L:R,7,FALSE),VLOOKUP(tables_510100!C52,input_510100!A:H,8,FALSE))</f>
        <v>8410.3846200000007</v>
      </c>
      <c r="P52" s="45">
        <f t="shared" ca="1" si="6"/>
        <v>1.1427153016211192E-3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input_510100!A$2</f>
        <v>510100</v>
      </c>
      <c r="B53" s="6">
        <v>494</v>
      </c>
      <c r="C53" s="7" t="str">
        <f t="shared" si="8"/>
        <v>PremiumSS4</v>
      </c>
      <c r="D53" s="7" t="str">
        <f t="shared" si="9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ハーメルン</v>
      </c>
      <c r="I53" s="7" t="str">
        <f>VLOOKUP(B53,[1]characters!$A:$J,10,FALSE)</f>
        <v>PremiumSS</v>
      </c>
      <c r="J53" s="7">
        <f>VLOOKUP(B53,[1]characters!$A:$I,9,FALSE)</f>
        <v>4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human</v>
      </c>
      <c r="N53" s="7" t="str">
        <f>VLOOKUP(B53,[1]characters!$A:$G,7,FALSE)</f>
        <v>男性</v>
      </c>
      <c r="O53" s="44">
        <f>IFERROR(VLOOKUP(B53,input_510100!L:R,7,FALSE),VLOOKUP(tables_510100!C53,input_510100!A:H,8,FALSE))</f>
        <v>204240</v>
      </c>
      <c r="P53" s="45">
        <f t="shared" ca="1" si="6"/>
        <v>2.7749999999773779E-2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input_510100!A$2</f>
        <v>510100</v>
      </c>
      <c r="B54" s="6">
        <v>495</v>
      </c>
      <c r="C54" s="7" t="str">
        <f t="shared" si="8"/>
        <v>PremiumSS5</v>
      </c>
      <c r="D54" s="7" t="str">
        <f t="shared" si="9"/>
        <v>PremiumSS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鼠災呼ぶ笛音 ハーメルン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green</v>
      </c>
      <c r="L54" s="7" t="str">
        <f>VLOOKUP(B54,[1]characters!$A:$K,11,FALSE)</f>
        <v>technical</v>
      </c>
      <c r="M54" s="7" t="str">
        <f>VLOOKUP(B54,[1]characters!$A:$M,13,FALSE)</f>
        <v>human</v>
      </c>
      <c r="N54" s="7" t="str">
        <f>VLOOKUP(B54,[1]characters!$A:$G,7,FALSE)</f>
        <v>男性</v>
      </c>
      <c r="O54" s="44">
        <f>IFERROR(VLOOKUP(B54,input_510100!L:R,7,FALSE),VLOOKUP(tables_510100!C54,input_510100!A:H,8,FALSE))</f>
        <v>16559.999999999989</v>
      </c>
      <c r="P54" s="45">
        <f t="shared" ca="1" si="6"/>
        <v>2.2499999999816564E-3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input_510100!A$2</f>
        <v>510100</v>
      </c>
      <c r="B55" s="6">
        <v>561</v>
      </c>
      <c r="C55" s="7" t="str">
        <f t="shared" si="8"/>
        <v>premium5R3less</v>
      </c>
      <c r="D55" s="7" t="str">
        <f t="shared" si="9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森翠統べる獣姫 アマラ</v>
      </c>
      <c r="I55" s="7" t="str">
        <f>VLOOKUP(B55,[1]characters!$A:$J,10,FALSE)</f>
        <v>PremiumW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attack</v>
      </c>
      <c r="M55" s="7" t="str">
        <f>VLOOKUP(B55,[1]characters!$A:$M,13,FALSE)</f>
        <v>human</v>
      </c>
      <c r="N55" s="7" t="str">
        <f>VLOOKUP(B55,[1]characters!$A:$G,7,FALSE)</f>
        <v>女性</v>
      </c>
      <c r="O55" s="44">
        <f ca="1">IFERROR(VLOOKUP(B55,input_510100!L:R,7,FALSE),VLOOKUP(tables_510100!C55,input_510100!A:H,8,FALSE))</f>
        <v>22200</v>
      </c>
      <c r="P55" s="45">
        <f t="shared" ca="1" si="6"/>
        <v>3.0163043478014977E-3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input_510100!A$2</f>
        <v>510100</v>
      </c>
      <c r="B56" s="6">
        <v>588</v>
      </c>
      <c r="C56" s="7" t="str">
        <f t="shared" si="8"/>
        <v>Premium3</v>
      </c>
      <c r="D56" s="7" t="str">
        <f t="shared" si="9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ニーベルゲン</v>
      </c>
      <c r="I56" s="7" t="str">
        <f>VLOOKUP(B56,[1]characters!$A:$J,10,FALSE)</f>
        <v>PremiumS</v>
      </c>
      <c r="J56" s="7">
        <f>VLOOKUP(B56,[1]characters!$A:$I,9,FALSE)</f>
        <v>3</v>
      </c>
      <c r="K56" s="7" t="str">
        <f>VLOOKUP(B56,[1]characters!$A:$H,8,FALSE)</f>
        <v>green</v>
      </c>
      <c r="L56" s="7" t="str">
        <f>VLOOKUP(B56,[1]characters!$A:$K,11,FALSE)</f>
        <v>balance</v>
      </c>
      <c r="M56" s="7" t="str">
        <f>VLOOKUP(B56,[1]characters!$A:$M,13,FALSE)</f>
        <v>unknown</v>
      </c>
      <c r="N56" s="7" t="str">
        <f>VLOOKUP(B56,[1]characters!$A:$G,7,FALSE)</f>
        <v>女性</v>
      </c>
      <c r="O56" s="44">
        <f ca="1">IFERROR(VLOOKUP(B56,input_510100!L:R,7,FALSE),VLOOKUP(tables_510100!C56,input_510100!A:H,8,FALSE))</f>
        <v>0</v>
      </c>
      <c r="P56" s="45">
        <f t="shared" ca="1" si="6"/>
        <v>0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input_510100!A$2</f>
        <v>510100</v>
      </c>
      <c r="B57" s="6">
        <v>589</v>
      </c>
      <c r="C57" s="7" t="str">
        <f t="shared" si="8"/>
        <v>Premium4</v>
      </c>
      <c r="D57" s="7" t="str">
        <f t="shared" si="9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不幸の円環 ニーベルゲン</v>
      </c>
      <c r="I57" s="7" t="str">
        <f>VLOOKUP(B57,[1]characters!$A:$J,10,FALSE)</f>
        <v>PremiumS</v>
      </c>
      <c r="J57" s="7">
        <f>VLOOKUP(B57,[1]characters!$A:$I,9,FALSE)</f>
        <v>4</v>
      </c>
      <c r="K57" s="7" t="str">
        <f>VLOOKUP(B57,[1]characters!$A:$H,8,FALSE)</f>
        <v>green</v>
      </c>
      <c r="L57" s="7" t="str">
        <f>VLOOKUP(B57,[1]characters!$A:$K,11,FALSE)</f>
        <v>balance</v>
      </c>
      <c r="M57" s="7" t="str">
        <f>VLOOKUP(B57,[1]characters!$A:$M,13,FALSE)</f>
        <v>unknown</v>
      </c>
      <c r="N57" s="7" t="str">
        <f>VLOOKUP(B57,[1]characters!$A:$G,7,FALSE)</f>
        <v>女性</v>
      </c>
      <c r="O57" s="44">
        <f ca="1">IFERROR(VLOOKUP(B57,input_510100!L:R,7,FALSE),VLOOKUP(tables_510100!C57,input_510100!A:H,8,FALSE))</f>
        <v>273800</v>
      </c>
      <c r="P57" s="45">
        <f t="shared" ca="1" si="6"/>
        <v>3.7201086956218474E-2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input_510100!A$2</f>
        <v>510100</v>
      </c>
      <c r="B58" s="6">
        <v>590</v>
      </c>
      <c r="C58" s="7" t="str">
        <f t="shared" si="8"/>
        <v>Premium5</v>
      </c>
      <c r="D58" s="7" t="str">
        <f t="shared" si="9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永遠を廻る呪い ニーベルゲン</v>
      </c>
      <c r="I58" s="7" t="str">
        <f>VLOOKUP(B58,[1]characters!$A:$J,10,FALSE)</f>
        <v>PremiumS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balance</v>
      </c>
      <c r="M58" s="7" t="str">
        <f>VLOOKUP(B58,[1]characters!$A:$M,13,FALSE)</f>
        <v>unknown</v>
      </c>
      <c r="N58" s="7" t="str">
        <f>VLOOKUP(B58,[1]characters!$A:$G,7,FALSE)</f>
        <v>女性</v>
      </c>
      <c r="O58" s="44">
        <f ca="1">IFERROR(VLOOKUP(B58,input_510100!L:R,7,FALSE),VLOOKUP(tables_510100!C58,input_510100!A:H,8,FALSE))</f>
        <v>8410.3846200000007</v>
      </c>
      <c r="P58" s="45">
        <f t="shared" ca="1" si="6"/>
        <v>1.1427153016211192E-3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input_510100!A$2</f>
        <v>510100</v>
      </c>
      <c r="B59" s="6">
        <v>599</v>
      </c>
      <c r="C59" s="7" t="str">
        <f t="shared" si="8"/>
        <v>Premium3</v>
      </c>
      <c r="D59" s="7" t="str">
        <f t="shared" si="9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ニーズヘッグ</v>
      </c>
      <c r="I59" s="7" t="str">
        <f>VLOOKUP(B59,[1]characters!$A:$J,10,FALSE)</f>
        <v>PremiumS</v>
      </c>
      <c r="J59" s="7">
        <f>VLOOKUP(B59,[1]characters!$A:$I,9,FALSE)</f>
        <v>3</v>
      </c>
      <c r="K59" s="7" t="str">
        <f>VLOOKUP(B59,[1]characters!$A:$H,8,FALSE)</f>
        <v>green</v>
      </c>
      <c r="L59" s="7" t="str">
        <f>VLOOKUP(B59,[1]characters!$A:$K,11,FALSE)</f>
        <v>attack</v>
      </c>
      <c r="M59" s="7" t="str">
        <f>VLOOKUP(B59,[1]characters!$A:$M,13,FALSE)</f>
        <v>dragon</v>
      </c>
      <c r="N59" s="7" t="str">
        <f>VLOOKUP(B59,[1]characters!$A:$G,7,FALSE)</f>
        <v>不明</v>
      </c>
      <c r="O59" s="44">
        <f ca="1">IFERROR(VLOOKUP(B59,input_510100!L:R,7,FALSE),VLOOKUP(tables_510100!C59,input_510100!A:H,8,FALSE))</f>
        <v>0</v>
      </c>
      <c r="P59" s="45">
        <f t="shared" ca="1" si="6"/>
        <v>0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input_510100!A$2</f>
        <v>510100</v>
      </c>
      <c r="B60" s="6">
        <v>600</v>
      </c>
      <c r="C60" s="7" t="str">
        <f t="shared" si="8"/>
        <v>Premium4</v>
      </c>
      <c r="D60" s="7" t="str">
        <f t="shared" si="9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界下に潜む蛇 ニーズヘッグ</v>
      </c>
      <c r="I60" s="7" t="str">
        <f>VLOOKUP(B60,[1]characters!$A:$J,10,FALSE)</f>
        <v>PremiumS</v>
      </c>
      <c r="J60" s="7">
        <f>VLOOKUP(B60,[1]characters!$A:$I,9,FALSE)</f>
        <v>4</v>
      </c>
      <c r="K60" s="7" t="str">
        <f>VLOOKUP(B60,[1]characters!$A:$H,8,FALSE)</f>
        <v>green</v>
      </c>
      <c r="L60" s="7" t="str">
        <f>VLOOKUP(B60,[1]characters!$A:$K,11,FALSE)</f>
        <v>attack</v>
      </c>
      <c r="M60" s="7" t="str">
        <f>VLOOKUP(B60,[1]characters!$A:$M,13,FALSE)</f>
        <v>dragon</v>
      </c>
      <c r="N60" s="7" t="str">
        <f>VLOOKUP(B60,[1]characters!$A:$G,7,FALSE)</f>
        <v>不明</v>
      </c>
      <c r="O60" s="44">
        <f ca="1">IFERROR(VLOOKUP(B60,input_510100!L:R,7,FALSE),VLOOKUP(tables_510100!C60,input_510100!A:H,8,FALSE))</f>
        <v>273800</v>
      </c>
      <c r="P60" s="45">
        <f t="shared" ca="1" si="6"/>
        <v>3.7201086956218474E-2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input_510100!A$2</f>
        <v>510100</v>
      </c>
      <c r="B61" s="6">
        <v>601</v>
      </c>
      <c r="C61" s="7" t="str">
        <f t="shared" si="8"/>
        <v>Premium5</v>
      </c>
      <c r="D61" s="7" t="str">
        <f t="shared" si="9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界根蝕む悪食 ニーズヘッグ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green</v>
      </c>
      <c r="L61" s="7" t="str">
        <f>VLOOKUP(B61,[1]characters!$A:$K,11,FALSE)</f>
        <v>attack</v>
      </c>
      <c r="M61" s="7" t="str">
        <f>VLOOKUP(B61,[1]characters!$A:$M,13,FALSE)</f>
        <v>dragon</v>
      </c>
      <c r="N61" s="7" t="str">
        <f>VLOOKUP(B61,[1]characters!$A:$G,7,FALSE)</f>
        <v>不明</v>
      </c>
      <c r="O61" s="44">
        <f ca="1">IFERROR(VLOOKUP(B61,input_510100!L:R,7,FALSE),VLOOKUP(tables_510100!C61,input_510100!A:H,8,FALSE))</f>
        <v>8410.3846200000007</v>
      </c>
      <c r="P61" s="45">
        <f t="shared" ca="1" si="6"/>
        <v>1.1427153016211192E-3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input_510100!A$2</f>
        <v>510100</v>
      </c>
      <c r="B62" s="6">
        <v>660</v>
      </c>
      <c r="C62" s="7" t="str">
        <f t="shared" si="8"/>
        <v>PremiumSS4</v>
      </c>
      <c r="D62" s="7" t="str">
        <f t="shared" si="9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烏天狗 フウガ</v>
      </c>
      <c r="I62" s="7" t="str">
        <f>VLOOKUP(B62,[1]characters!$A:$J,10,FALSE)</f>
        <v>PremiumSS</v>
      </c>
      <c r="J62" s="7">
        <f>VLOOKUP(B62,[1]characters!$A:$I,9,FALSE)</f>
        <v>4</v>
      </c>
      <c r="K62" s="7" t="str">
        <f>VLOOKUP(B62,[1]characters!$A:$H,8,FALSE)</f>
        <v>green</v>
      </c>
      <c r="L62" s="7" t="str">
        <f>VLOOKUP(B62,[1]characters!$A:$K,11,FALSE)</f>
        <v>balance</v>
      </c>
      <c r="M62" s="7" t="str">
        <f>VLOOKUP(B62,[1]characters!$A:$M,13,FALSE)</f>
        <v>animal</v>
      </c>
      <c r="N62" s="7" t="str">
        <f>VLOOKUP(B62,[1]characters!$A:$G,7,FALSE)</f>
        <v>男性</v>
      </c>
      <c r="O62" s="44">
        <f ca="1">IFERROR(VLOOKUP(B62,input_510100!L:R,7,FALSE),VLOOKUP(tables_510100!C62,input_510100!A:H,8,FALSE))</f>
        <v>6382.5</v>
      </c>
      <c r="P62" s="45">
        <f t="shared" ca="1" si="6"/>
        <v>8.6718749999293058E-4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input_510100!A$2</f>
        <v>510100</v>
      </c>
      <c r="B63" s="59">
        <v>661</v>
      </c>
      <c r="C63" s="7" t="str">
        <f t="shared" si="8"/>
        <v>PremiumSS5</v>
      </c>
      <c r="D63" s="7" t="str">
        <f t="shared" si="9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疾風の天狗礫 フウガ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balance</v>
      </c>
      <c r="M63" s="7" t="str">
        <f>VLOOKUP(B63,[1]characters!$A:$M,13,FALSE)</f>
        <v>animal</v>
      </c>
      <c r="N63" s="7" t="str">
        <f>VLOOKUP(B63,[1]characters!$A:$G,7,FALSE)</f>
        <v>男性</v>
      </c>
      <c r="O63" s="44">
        <f ca="1">IFERROR(VLOOKUP(B63,input_510100!L:R,7,FALSE),VLOOKUP(tables_510100!C63,input_510100!A:H,8,FALSE))</f>
        <v>517.5</v>
      </c>
      <c r="P63" s="45">
        <f t="shared" ca="1" si="6"/>
        <v>7.0312499999426804E-5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input_510100!A$2</f>
        <v>510100</v>
      </c>
      <c r="B64" s="59">
        <v>671</v>
      </c>
      <c r="C64" s="7" t="str">
        <f t="shared" si="8"/>
        <v>Premium3</v>
      </c>
      <c r="D64" s="7" t="str">
        <f t="shared" si="9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ハヌマーン</v>
      </c>
      <c r="I64" s="7" t="str">
        <f>VLOOKUP(B64,[1]characters!$A:$J,10,FALSE)</f>
        <v>PremiumS</v>
      </c>
      <c r="J64" s="7">
        <f>VLOOKUP(B64,[1]characters!$A:$I,9,FALSE)</f>
        <v>3</v>
      </c>
      <c r="K64" s="7" t="str">
        <f>VLOOKUP(B64,[1]characters!$A:$H,8,FALSE)</f>
        <v>green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男性</v>
      </c>
      <c r="O64" s="44">
        <f ca="1">IFERROR(VLOOKUP(B64,input_510100!L:R,7,FALSE),VLOOKUP(tables_510100!C64,input_510100!A:H,8,FALSE))</f>
        <v>0</v>
      </c>
      <c r="P64" s="45">
        <f t="shared" ca="1" si="6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input_510100!A$2</f>
        <v>510100</v>
      </c>
      <c r="B65" s="59">
        <v>672</v>
      </c>
      <c r="C65" s="7" t="str">
        <f t="shared" si="8"/>
        <v>Premium4</v>
      </c>
      <c r="D65" s="7" t="str">
        <f t="shared" si="9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西遊韋駄天 ハヌマーン</v>
      </c>
      <c r="I65" s="7" t="str">
        <f>VLOOKUP(B65,[1]characters!$A:$J,10,FALSE)</f>
        <v>PremiumS</v>
      </c>
      <c r="J65" s="7">
        <f>VLOOKUP(B65,[1]characters!$A:$I,9,FALSE)</f>
        <v>4</v>
      </c>
      <c r="K65" s="7" t="str">
        <f>VLOOKUP(B65,[1]characters!$A:$H,8,FALSE)</f>
        <v>green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男性</v>
      </c>
      <c r="O65" s="44">
        <f ca="1">IFERROR(VLOOKUP(B65,input_510100!L:R,7,FALSE),VLOOKUP(tables_510100!C65,input_510100!A:H,8,FALSE))</f>
        <v>273800</v>
      </c>
      <c r="P65" s="45">
        <f t="shared" ca="1" si="6"/>
        <v>3.7201086956218474E-2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ht="21" customHeight="1" x14ac:dyDescent="0.15">
      <c r="A66" s="2" t="str">
        <f ca="1">input_510100!A$2</f>
        <v>510100</v>
      </c>
      <c r="B66" s="59">
        <v>673</v>
      </c>
      <c r="C66" s="7" t="str">
        <f t="shared" si="8"/>
        <v>Premium5</v>
      </c>
      <c r="D66" s="7" t="str">
        <f t="shared" si="9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変幻自在の猿王 ハヌマーン</v>
      </c>
      <c r="I66" s="7" t="str">
        <f>VLOOKUP(B66,[1]characters!$A:$J,10,FALSE)</f>
        <v>PremiumS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attack</v>
      </c>
      <c r="M66" s="7" t="str">
        <f>VLOOKUP(B66,[1]characters!$A:$M,13,FALSE)</f>
        <v>animal</v>
      </c>
      <c r="N66" s="7" t="str">
        <f>VLOOKUP(B66,[1]characters!$A:$G,7,FALSE)</f>
        <v>男性</v>
      </c>
      <c r="O66" s="44">
        <f ca="1">IFERROR(VLOOKUP(B66,input_510100!L:R,7,FALSE),VLOOKUP(tables_510100!C66,input_510100!A:H,8,FALSE))</f>
        <v>8410.3846200000007</v>
      </c>
      <c r="P66" s="45">
        <f t="shared" ref="P66:P97" ca="1" si="10">O66/SUM(O:O)</f>
        <v>1.1427153016211192E-3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input_510100!A$2</f>
        <v>510100</v>
      </c>
      <c r="B67" s="59">
        <v>730</v>
      </c>
      <c r="C67" s="7" t="str">
        <f t="shared" ref="C67:C71" si="11">D67&amp;J67&amp;E67&amp;F67&amp;G67</f>
        <v>Premium4R3less</v>
      </c>
      <c r="D67" s="7" t="str">
        <f t="shared" ref="D67:D81" si="12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ガラシャ</v>
      </c>
      <c r="I67" s="7" t="str">
        <f>VLOOKUP(B67,[1]characters!$A:$J,10,FALSE)</f>
        <v>PremiumS</v>
      </c>
      <c r="J67" s="7">
        <f>VLOOKUP(B67,[1]characters!$A:$I,9,FALSE)</f>
        <v>4</v>
      </c>
      <c r="K67" s="7" t="str">
        <f>VLOOKUP(B67,[1]characters!$A:$H,8,FALSE)</f>
        <v>green</v>
      </c>
      <c r="L67" s="7" t="str">
        <f>VLOOKUP(B67,[1]characters!$A:$K,11,FALSE)</f>
        <v>heal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IFERROR(VLOOKUP(B67,input_510100!L:R,7,FALSE),VLOOKUP(tables_510100!C67,input_510100!A:H,8,FALSE))</f>
        <v>268250</v>
      </c>
      <c r="P67" s="45">
        <f t="shared" ca="1" si="10"/>
        <v>3.6447010869268097E-2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input_510100!A$2</f>
        <v>510100</v>
      </c>
      <c r="B68" s="59">
        <v>731</v>
      </c>
      <c r="C68" s="7" t="str">
        <f t="shared" si="11"/>
        <v>Premium5R3less</v>
      </c>
      <c r="D68" s="7" t="str">
        <f t="shared" si="12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敬虔なる追銃 ガラシャ</v>
      </c>
      <c r="I68" s="7" t="str">
        <f>VLOOKUP(B68,[1]characters!$A:$J,10,FALSE)</f>
        <v>PremiumS</v>
      </c>
      <c r="J68" s="7">
        <f>VLOOKUP(B68,[1]characters!$A:$I,9,FALSE)</f>
        <v>5</v>
      </c>
      <c r="K68" s="7" t="str">
        <f>VLOOKUP(B68,[1]characters!$A:$H,8,FALSE)</f>
        <v>green</v>
      </c>
      <c r="L68" s="7" t="str">
        <f>VLOOKUP(B68,[1]characters!$A:$K,11,FALSE)</f>
        <v>heal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IFERROR(VLOOKUP(B68,input_510100!L:R,7,FALSE),VLOOKUP(tables_510100!C68,input_510100!A:H,8,FALSE))</f>
        <v>22200</v>
      </c>
      <c r="P68" s="45">
        <f t="shared" ca="1" si="10"/>
        <v>3.0163043478014977E-3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input_510100!A$2</f>
        <v>510100</v>
      </c>
      <c r="B69" s="59">
        <v>744</v>
      </c>
      <c r="C69" s="7" t="str">
        <f t="shared" si="11"/>
        <v>PremiumSS5R5only</v>
      </c>
      <c r="D69" s="7" t="str">
        <f t="shared" si="12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ヘルメス</v>
      </c>
      <c r="I69" s="7" t="str">
        <f>VLOOKUP(B69,[1]characters!$A:$J,10,FALSE)</f>
        <v>PremiumSS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technical</v>
      </c>
      <c r="M69" s="7" t="str">
        <f>VLOOKUP(B69,[1]characters!$A:$M,13,FALSE)</f>
        <v>god</v>
      </c>
      <c r="N69" s="7" t="str">
        <f>VLOOKUP(B69,[1]characters!$A:$G,7,FALSE)</f>
        <v>男性</v>
      </c>
      <c r="O69" s="44">
        <f ca="1">IFERROR(VLOOKUP(B69,input_510100!L:R,7,FALSE),VLOOKUP(tables_510100!C69,input_510100!A:H,8,FALSE))</f>
        <v>6900</v>
      </c>
      <c r="P69" s="45">
        <f t="shared" ca="1" si="10"/>
        <v>9.3749999999235742E-4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input_510100!A$2</f>
        <v>510100</v>
      </c>
      <c r="B70" s="80">
        <v>772</v>
      </c>
      <c r="C70" s="7" t="str">
        <f t="shared" si="11"/>
        <v>PremiumSS4</v>
      </c>
      <c r="D70" s="7" t="str">
        <f t="shared" si="12"/>
        <v>PremiumSS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イナバ</v>
      </c>
      <c r="I70" s="7" t="str">
        <f>VLOOKUP(B70,[1]characters!$A:$J,10,FALSE)</f>
        <v>PremiumSS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animal</v>
      </c>
      <c r="N70" s="7" t="str">
        <f>VLOOKUP(B70,[1]characters!$A:$G,7,FALSE)</f>
        <v>女性</v>
      </c>
      <c r="O70" s="44">
        <f ca="1">IFERROR(VLOOKUP(B70,input_510100!L:R,7,FALSE),VLOOKUP(tables_510100!C70,input_510100!A:H,8,FALSE))</f>
        <v>6382.5</v>
      </c>
      <c r="P70" s="45">
        <f t="shared" ca="1" si="10"/>
        <v>8.6718749999293058E-4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input_510100!A$2</f>
        <v>510100</v>
      </c>
      <c r="B71" s="80">
        <v>773</v>
      </c>
      <c r="C71" s="7" t="str">
        <f t="shared" si="11"/>
        <v>PremiumSS5</v>
      </c>
      <c r="D71" s="7" t="str">
        <f t="shared" si="12"/>
        <v>PremiumSS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浮跳天兎 イナバ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女性</v>
      </c>
      <c r="O71" s="44">
        <f ca="1">IFERROR(VLOOKUP(B71,input_510100!L:R,7,FALSE),VLOOKUP(tables_510100!C71,input_510100!A:H,8,FALSE))</f>
        <v>517.5</v>
      </c>
      <c r="P71" s="45">
        <f t="shared" ca="1" si="10"/>
        <v>7.0312499999426804E-5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input_510100!A$2</f>
        <v>510100</v>
      </c>
      <c r="B72" s="5">
        <v>850</v>
      </c>
      <c r="C72" s="7" t="str">
        <f t="shared" ref="C72" si="13">D72&amp;J72&amp;E72&amp;F72&amp;G72</f>
        <v>PremiumSS5R5only</v>
      </c>
      <c r="D72" s="7" t="str">
        <f t="shared" si="12"/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バアル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technical</v>
      </c>
      <c r="M72" s="7" t="str">
        <f>VLOOKUP(B72,[1]characters!$A:$M,13,FALSE)</f>
        <v>god</v>
      </c>
      <c r="N72" s="7" t="str">
        <f>VLOOKUP(B72,[1]characters!$A:$G,7,FALSE)</f>
        <v>男性</v>
      </c>
      <c r="O72" s="44">
        <f ca="1">IFERROR(VLOOKUP(B72,input_510100!L:R,7,FALSE),VLOOKUP(tables_510100!C72,input_510100!A:H,8,FALSE))</f>
        <v>6900</v>
      </c>
      <c r="P72" s="45">
        <f t="shared" ca="1" si="10"/>
        <v>9.3749999999235742E-4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input_510100!A$2</f>
        <v>510100</v>
      </c>
      <c r="B73" s="5">
        <v>864</v>
      </c>
      <c r="C73" s="7" t="str">
        <f t="shared" ref="C73:C74" si="14">D73&amp;J73&amp;E73&amp;F73&amp;G73</f>
        <v>Premium4R3less</v>
      </c>
      <c r="D73" s="7" t="str">
        <f t="shared" si="12"/>
        <v>Premium</v>
      </c>
      <c r="E73" s="7" t="str">
        <f>IF(COUNTIF('R6追加前'!A:A,B73)=0,IF(OR(I73="PremiumSS",I73="PremiumSSw"),"R5only","R3less"),"")</f>
        <v>R3less</v>
      </c>
      <c r="F73" s="7" t="str">
        <f>IF(COUNTIF('R6開放'!A:A,B73)&gt;0,"R6release","")</f>
        <v/>
      </c>
      <c r="G73" s="7"/>
      <c r="H73" s="7" t="str">
        <f>VLOOKUP(B73,[1]characters!$A:$C,3,FALSE)</f>
        <v>ピノキオ</v>
      </c>
      <c r="I73" s="7" t="str">
        <f>VLOOKUP(B73,[1]characters!$A:$J,10,FALSE)</f>
        <v>PremiumS</v>
      </c>
      <c r="J73" s="7">
        <f>VLOOKUP(B73,[1]characters!$A:$I,9,FALSE)</f>
        <v>4</v>
      </c>
      <c r="K73" s="7" t="str">
        <f>VLOOKUP(B73,[1]characters!$A:$H,8,FALSE)</f>
        <v>green</v>
      </c>
      <c r="L73" s="7" t="str">
        <f>VLOOKUP(B73,[1]characters!$A:$K,11,FALSE)</f>
        <v>attack</v>
      </c>
      <c r="M73" s="7" t="str">
        <f>VLOOKUP(B73,[1]characters!$A:$M,13,FALSE)</f>
        <v>machine</v>
      </c>
      <c r="N73" s="7" t="str">
        <f>VLOOKUP(B73,[1]characters!$A:$G,7,FALSE)</f>
        <v>男性</v>
      </c>
      <c r="O73" s="44">
        <f ca="1">IFERROR(VLOOKUP(B73,input_510100!L:R,7,FALSE),VLOOKUP(tables_510100!C73,input_510100!A:H,8,FALSE))</f>
        <v>268250</v>
      </c>
      <c r="P73" s="45">
        <f t="shared" ca="1" si="10"/>
        <v>3.6447010869268097E-2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input_510100!A$2</f>
        <v>510100</v>
      </c>
      <c r="B74" s="5">
        <v>865</v>
      </c>
      <c r="C74" s="7" t="str">
        <f t="shared" si="14"/>
        <v>Premium5R3less</v>
      </c>
      <c r="D74" s="7" t="str">
        <f t="shared" si="12"/>
        <v>Premium</v>
      </c>
      <c r="E74" s="7" t="str">
        <f>IF(COUNTIF('R6追加前'!A:A,B74)=0,IF(OR(I74="PremiumSS",I74="PremiumSSw"),"R5only","R3less"),"")</f>
        <v>R3less</v>
      </c>
      <c r="F74" s="7" t="str">
        <f>IF(COUNTIF('R6開放'!A:A,B74)&gt;0,"R6release","")</f>
        <v/>
      </c>
      <c r="G74" s="7"/>
      <c r="H74" s="7" t="str">
        <f>VLOOKUP(B74,[1]characters!$A:$C,3,FALSE)</f>
        <v>無情の感線 ピノキオ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green</v>
      </c>
      <c r="L74" s="7" t="str">
        <f>VLOOKUP(B74,[1]characters!$A:$K,11,FALSE)</f>
        <v>attack</v>
      </c>
      <c r="M74" s="7" t="str">
        <f>VLOOKUP(B74,[1]characters!$A:$M,13,FALSE)</f>
        <v>machine</v>
      </c>
      <c r="N74" s="7" t="str">
        <f>VLOOKUP(B74,[1]characters!$A:$G,7,FALSE)</f>
        <v>男性</v>
      </c>
      <c r="O74" s="44">
        <f ca="1">IFERROR(VLOOKUP(B74,input_510100!L:R,7,FALSE),VLOOKUP(tables_510100!C74,input_510100!A:H,8,FALSE))</f>
        <v>22200</v>
      </c>
      <c r="P74" s="45">
        <f t="shared" ca="1" si="10"/>
        <v>3.0163043478014977E-3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input_510100!A$2</f>
        <v>510100</v>
      </c>
      <c r="B75" s="5">
        <v>939</v>
      </c>
      <c r="C75" s="7" t="str">
        <f t="shared" ref="C75:C76" si="15">D75&amp;J75&amp;E75&amp;F75&amp;G75</f>
        <v>Premium4R3less</v>
      </c>
      <c r="D75" s="7" t="str">
        <f t="shared" si="12"/>
        <v>Premium</v>
      </c>
      <c r="E75" s="7" t="str">
        <f>IF(COUNTIF('R6追加前'!A:A,B75)=0,IF(OR(I75="PremiumSS",I75="PremiumSSw"),"R5only","R3less"),"")</f>
        <v>R3less</v>
      </c>
      <c r="F75" s="7" t="str">
        <f>IF(COUNTIF('R6開放'!A:A,B75)&gt;0,"R6release","")</f>
        <v/>
      </c>
      <c r="G75" s="7"/>
      <c r="H75" s="7" t="str">
        <f>VLOOKUP(B75,[1]characters!$A:$C,3,FALSE)</f>
        <v>バスティーユ</v>
      </c>
      <c r="I75" s="7" t="str">
        <f>VLOOKUP(B75,[1]characters!$A:$J,10,FALSE)</f>
        <v>PremiumS</v>
      </c>
      <c r="J75" s="7">
        <f>VLOOKUP(B75,[1]characters!$A:$I,9,FALSE)</f>
        <v>4</v>
      </c>
      <c r="K75" s="7" t="str">
        <f>VLOOKUP(B75,[1]characters!$A:$H,8,FALSE)</f>
        <v>green</v>
      </c>
      <c r="L75" s="7" t="str">
        <f>VLOOKUP(B75,[1]characters!$A:$K,11,FALSE)</f>
        <v>hp</v>
      </c>
      <c r="M75" s="7" t="str">
        <f>VLOOKUP(B75,[1]characters!$A:$M,13,FALSE)</f>
        <v>unknown</v>
      </c>
      <c r="N75" s="7" t="str">
        <f>VLOOKUP(B75,[1]characters!$A:$G,7,FALSE)</f>
        <v>男性</v>
      </c>
      <c r="O75" s="44">
        <f ca="1">IFERROR(VLOOKUP(B75,input_510100!L:R,7,FALSE),VLOOKUP(tables_510100!C75,input_510100!A:H,8,FALSE))</f>
        <v>268250</v>
      </c>
      <c r="P75" s="45">
        <f t="shared" ca="1" si="10"/>
        <v>3.6447010869268097E-2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input_510100!A$2</f>
        <v>510100</v>
      </c>
      <c r="B76" s="5">
        <v>940</v>
      </c>
      <c r="C76" s="7" t="str">
        <f t="shared" si="15"/>
        <v>Premium5R3less</v>
      </c>
      <c r="D76" s="7" t="str">
        <f t="shared" si="12"/>
        <v>Premium</v>
      </c>
      <c r="E76" s="7" t="str">
        <f>IF(COUNTIF('R6追加前'!A:A,B76)=0,IF(OR(I76="PremiumSS",I76="PremiumSSw"),"R5only","R3less"),"")</f>
        <v>R3less</v>
      </c>
      <c r="F76" s="7" t="str">
        <f>IF(COUNTIF('R6開放'!A:A,B76)&gt;0,"R6release","")</f>
        <v/>
      </c>
      <c r="G76" s="7"/>
      <c r="H76" s="7" t="str">
        <f>VLOOKUP(B76,[1]characters!$A:$C,3,FALSE)</f>
        <v>不壊の大要塞 バスティーユ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green</v>
      </c>
      <c r="L76" s="7" t="str">
        <f>VLOOKUP(B76,[1]characters!$A:$K,11,FALSE)</f>
        <v>hp</v>
      </c>
      <c r="M76" s="7" t="str">
        <f>VLOOKUP(B76,[1]characters!$A:$M,13,FALSE)</f>
        <v>unknown</v>
      </c>
      <c r="N76" s="7" t="str">
        <f>VLOOKUP(B76,[1]characters!$A:$G,7,FALSE)</f>
        <v>男性</v>
      </c>
      <c r="O76" s="44">
        <f ca="1">IFERROR(VLOOKUP(B76,input_510100!L:R,7,FALSE),VLOOKUP(tables_510100!C76,input_510100!A:H,8,FALSE))</f>
        <v>22200</v>
      </c>
      <c r="P76" s="45">
        <f t="shared" ca="1" si="10"/>
        <v>3.0163043478014977E-3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input_510100!A$2</f>
        <v>510100</v>
      </c>
      <c r="B77" s="5">
        <v>1014</v>
      </c>
      <c r="C77" s="7" t="str">
        <f t="shared" ref="C77" si="16">D77&amp;J77&amp;E77&amp;F77&amp;G77</f>
        <v>PremiumSS5R5only</v>
      </c>
      <c r="D77" s="7" t="str">
        <f t="shared" si="12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イシス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hp</v>
      </c>
      <c r="M77" s="7" t="str">
        <f>VLOOKUP(B77,[1]characters!$A:$M,13,FALSE)</f>
        <v>god</v>
      </c>
      <c r="N77" s="7" t="str">
        <f>VLOOKUP(B77,[1]characters!$A:$G,7,FALSE)</f>
        <v>男性</v>
      </c>
      <c r="O77" s="44">
        <f ca="1">IFERROR(VLOOKUP(B77,input_510100!L:R,7,FALSE),VLOOKUP(tables_510100!C77,input_510100!A:H,8,FALSE))</f>
        <v>6900</v>
      </c>
      <c r="P77" s="45">
        <f t="shared" ca="1" si="10"/>
        <v>9.3749999999235742E-4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input_510100!A$2</f>
        <v>510100</v>
      </c>
      <c r="B78" s="5">
        <v>1028</v>
      </c>
      <c r="C78" s="7" t="str">
        <f t="shared" ref="C78" si="17">D78&amp;J78&amp;E78&amp;F78&amp;G78</f>
        <v>PremiumSS5R5only</v>
      </c>
      <c r="D78" s="7" t="str">
        <f t="shared" si="12"/>
        <v>PremiumSS</v>
      </c>
      <c r="E78" s="7" t="str">
        <f>IF(COUNTIF('R6追加前'!A:A,B78)=0,IF(OR(I78="PremiumSS",I78="PremiumSSw"),"R5only","R3less"),"")</f>
        <v>R5only</v>
      </c>
      <c r="F78" s="7" t="str">
        <f>IF(COUNTIF('R6開放'!A:A,B78)&gt;0,"R6release","")</f>
        <v/>
      </c>
      <c r="G78" s="7"/>
      <c r="H78" s="7" t="str">
        <f>VLOOKUP(B78,[1]characters!$A:$C,3,FALSE)</f>
        <v>牛若丸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green</v>
      </c>
      <c r="L78" s="7" t="str">
        <f>VLOOKUP(B78,[1]characters!$A:$K,11,FALSE)</f>
        <v>balance</v>
      </c>
      <c r="M78" s="7" t="str">
        <f>VLOOKUP(B78,[1]characters!$A:$M,13,FALSE)</f>
        <v>human</v>
      </c>
      <c r="N78" s="7" t="str">
        <f>VLOOKUP(B78,[1]characters!$A:$G,7,FALSE)</f>
        <v>男性</v>
      </c>
      <c r="O78" s="44">
        <f ca="1">IFERROR(VLOOKUP(B78,input_510100!L:R,7,FALSE),VLOOKUP(tables_510100!C78,input_510100!A:H,8,FALSE))</f>
        <v>6900</v>
      </c>
      <c r="P78" s="45">
        <f t="shared" ca="1" si="10"/>
        <v>9.3749999999235742E-4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input_510100!A$2</f>
        <v>510100</v>
      </c>
      <c r="B79" s="5">
        <v>1069</v>
      </c>
      <c r="C79" s="7" t="str">
        <f t="shared" ref="C79" si="18">D79&amp;J79&amp;E79&amp;F79&amp;G79</f>
        <v>PremiumSS5R5only</v>
      </c>
      <c r="D79" s="7" t="str">
        <f t="shared" si="12"/>
        <v>PremiumSS</v>
      </c>
      <c r="E79" s="7" t="str">
        <f>IF(COUNTIF('R6追加前'!A:A,B79)=0,IF(OR(I79="PremiumSS",I79="PremiumSSw"),"R5only","R3less"),"")</f>
        <v>R5only</v>
      </c>
      <c r="F79" s="7" t="str">
        <f>IF(COUNTIF('R6開放'!A:A,B79)&gt;0,"R6release","")</f>
        <v/>
      </c>
      <c r="G79" s="7"/>
      <c r="H79" s="7" t="str">
        <f>VLOOKUP(B79,[1]characters!$A:$C,3,FALSE)</f>
        <v>イシュタル</v>
      </c>
      <c r="I79" s="7" t="str">
        <f>VLOOKUP(B79,[1]characters!$A:$J,10,FALSE)</f>
        <v>PremiumSS</v>
      </c>
      <c r="J79" s="7">
        <f>VLOOKUP(B79,[1]characters!$A:$I,9,FALSE)</f>
        <v>5</v>
      </c>
      <c r="K79" s="7" t="str">
        <f>VLOOKUP(B79,[1]characters!$A:$H,8,FALSE)</f>
        <v>green</v>
      </c>
      <c r="L79" s="7" t="str">
        <f>VLOOKUP(B79,[1]characters!$A:$K,11,FALSE)</f>
        <v>technical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IFERROR(VLOOKUP(B79,input_510100!L:R,7,FALSE),VLOOKUP(tables_510100!C79,input_510100!A:H,8,FALSE))</f>
        <v>6900</v>
      </c>
      <c r="P79" s="45">
        <f t="shared" ca="1" si="10"/>
        <v>9.3749999999235742E-4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input_510100!A$2</f>
        <v>510100</v>
      </c>
      <c r="B80" s="5">
        <v>1102</v>
      </c>
      <c r="C80" s="7" t="str">
        <f t="shared" ref="C80" si="19">D80&amp;J80&amp;E80&amp;F80&amp;G80</f>
        <v>PremiumSS5R5only</v>
      </c>
      <c r="D80" s="7" t="str">
        <f t="shared" si="12"/>
        <v>PremiumSS</v>
      </c>
      <c r="E80" s="7" t="str">
        <f>IF(COUNTIF('R6追加前'!A:A,B80)=0,IF(OR(I80="PremiumSS",I80="PremiumSSw"),"R5only","R3less"),"")</f>
        <v>R5only</v>
      </c>
      <c r="F80" s="7" t="str">
        <f>IF(COUNTIF('R6開放'!A:A,B80)&gt;0,"R6release","")</f>
        <v/>
      </c>
      <c r="G80" s="7"/>
      <c r="H80" s="7" t="str">
        <f>VLOOKUP(B80,[1]characters!$A:$C,3,FALSE)</f>
        <v>ドガ</v>
      </c>
      <c r="I80" s="7" t="str">
        <f>VLOOKUP(B80,[1]characters!$A:$J,10,FALSE)</f>
        <v>PremiumSSw</v>
      </c>
      <c r="J80" s="7">
        <f>VLOOKUP(B80,[1]characters!$A:$I,9,FALSE)</f>
        <v>5</v>
      </c>
      <c r="K80" s="7" t="str">
        <f>VLOOKUP(B80,[1]characters!$A:$H,8,FALSE)</f>
        <v>green</v>
      </c>
      <c r="L80" s="7" t="str">
        <f>VLOOKUP(B80,[1]characters!$A:$K,11,FALSE)</f>
        <v>balance</v>
      </c>
      <c r="M80" s="7" t="str">
        <f>VLOOKUP(B80,[1]characters!$A:$M,13,FALSE)</f>
        <v>animal</v>
      </c>
      <c r="N80" s="7" t="str">
        <f>VLOOKUP(B80,[1]characters!$A:$G,7,FALSE)</f>
        <v>不明</v>
      </c>
      <c r="O80" s="44">
        <f ca="1">IFERROR(VLOOKUP(B80,input_510100!L:R,7,FALSE),VLOOKUP(tables_510100!C80,input_510100!A:H,8,FALSE))</f>
        <v>6900</v>
      </c>
      <c r="P80" s="45">
        <f t="shared" ca="1" si="10"/>
        <v>9.3749999999235742E-4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input_510100!A$2</f>
        <v>510100</v>
      </c>
      <c r="B81" s="5">
        <v>1139</v>
      </c>
      <c r="C81" s="7" t="str">
        <f t="shared" ref="C81" si="20">D81&amp;J81&amp;E81&amp;F81&amp;G81</f>
        <v>PremiumSS5R5only</v>
      </c>
      <c r="D81" s="7" t="str">
        <f t="shared" si="12"/>
        <v>PremiumSS</v>
      </c>
      <c r="E81" s="7" t="str">
        <f>IF(COUNTIF('R6追加前'!A:A,B81)=0,IF(OR(I81="PremiumSS",I81="PremiumSSw"),"R5only","R3less"),"")</f>
        <v>R5only</v>
      </c>
      <c r="F81" s="7" t="str">
        <f>IF(COUNTIF('R6開放'!A:A,B81)&gt;0,"R6release","")</f>
        <v/>
      </c>
      <c r="G81" s="7"/>
      <c r="H81" s="7" t="str">
        <f>VLOOKUP(B81,[1]characters!$A:$C,3,FALSE)</f>
        <v>趙雲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samurai</v>
      </c>
      <c r="N81" s="7" t="str">
        <f>VLOOKUP(B81,[1]characters!$A:$G,7,FALSE)</f>
        <v>不明</v>
      </c>
      <c r="O81" s="44">
        <f ca="1">IFERROR(VLOOKUP(B81,input_510100!L:R,7,FALSE),VLOOKUP(tables_510100!C81,input_510100!A:H,8,FALSE))</f>
        <v>6900</v>
      </c>
      <c r="P81" s="45">
        <f t="shared" ca="1" si="10"/>
        <v>9.3749999999235742E-4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input_510100!A$2</f>
        <v>510100</v>
      </c>
      <c r="B82" s="2">
        <v>1153</v>
      </c>
      <c r="C82" s="7" t="str">
        <f t="shared" ref="C82" si="21">D82&amp;J82&amp;E82&amp;F82&amp;G82</f>
        <v>PremiumSS5R5only</v>
      </c>
      <c r="D82" s="7" t="str">
        <f t="shared" ref="D82" si="22">IF(OR(I82="PremiumSS",I82="PremiumSSw"),"PremiumSS",IF(I82="PremiumSSS",I82,IF(I82="PremiumW",IF(J82=5,"premium",I82),"Premium")))</f>
        <v>PremiumSS</v>
      </c>
      <c r="E82" s="7" t="str">
        <f>IF(COUNTIF('R6追加前'!A:A,B82)=0,IF(OR(I82="PremiumSS",I82="PremiumSSw"),"R5only","R3less"),"")</f>
        <v>R5only</v>
      </c>
      <c r="F82" s="7" t="str">
        <f>IF(COUNTIF('R6開放'!A:A,B82)&gt;0,"R6release","")</f>
        <v/>
      </c>
      <c r="G82" s="7"/>
      <c r="H82" s="7" t="str">
        <f>VLOOKUP(B82,[1]characters!$A:$C,3,FALSE)</f>
        <v>ラクシュミー</v>
      </c>
      <c r="I82" s="7" t="str">
        <f>VLOOKUP(B82,[1]characters!$A:$J,10,FALSE)</f>
        <v>PremiumSSw</v>
      </c>
      <c r="J82" s="7">
        <f>VLOOKUP(B82,[1]characters!$A:$I,9,FALSE)</f>
        <v>5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不明</v>
      </c>
      <c r="O82" s="44">
        <f ca="1">IFERROR(VLOOKUP(B82,input_510100!L:R,7,FALSE),VLOOKUP(tables_510100!C82,input_510100!A:H,8,FALSE))</f>
        <v>6900</v>
      </c>
      <c r="P82" s="45">
        <f t="shared" ca="1" si="10"/>
        <v>9.3749999999235742E-4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input_510100!A$2</f>
        <v>510100</v>
      </c>
      <c r="B83" s="92">
        <v>1210</v>
      </c>
      <c r="C83" s="7" t="str">
        <f t="shared" ref="C83:C84" si="23">D83&amp;J83&amp;E83&amp;F83&amp;G83</f>
        <v>Premium4R3less</v>
      </c>
      <c r="D83" s="97" t="str">
        <f t="shared" ref="D83:D84" si="24">IF(OR(I83="PremiumSS",I83="PremiumSSw"),"PremiumSS",IF(I83="PremiumSSS",I83,IF(I83="PremiumW",IF(J83=5,"premium",I83),"Premium")))</f>
        <v>Premium</v>
      </c>
      <c r="E83" s="7" t="str">
        <f>IF(COUNTIF('R6追加前'!A:A,B83)=0,IF(OR(I83="PremiumSS",I83="PremiumSSw"),"R5only","R3less"),"")</f>
        <v>R3less</v>
      </c>
      <c r="F83" s="7" t="str">
        <f>IF(COUNTIF('R6開放'!A:A,B83)&gt;0,"R6release","")</f>
        <v/>
      </c>
      <c r="G83" s="7"/>
      <c r="H83" s="7" t="str">
        <f>VLOOKUP(B83,[1]characters!$A:$C,3,FALSE)</f>
        <v>ケンタウロス</v>
      </c>
      <c r="I83" s="7" t="str">
        <f>VLOOKUP(B83,[1]characters!$A:$J,10,FALSE)</f>
        <v>PremiumS</v>
      </c>
      <c r="J83" s="7">
        <f>VLOOKUP(B83,[1]characters!$A:$I,9,FALSE)</f>
        <v>4</v>
      </c>
      <c r="K83" s="7" t="str">
        <f>VLOOKUP(B83,[1]characters!$A:$H,8,FALSE)</f>
        <v>green</v>
      </c>
      <c r="L83" s="7" t="str">
        <f>VLOOKUP(B83,[1]characters!$A:$K,11,FALSE)</f>
        <v>attack</v>
      </c>
      <c r="M83" s="7" t="str">
        <f>VLOOKUP(B83,[1]characters!$A:$M,13,FALSE)</f>
        <v>god</v>
      </c>
      <c r="N83" s="7">
        <f>VLOOKUP(B83,[1]characters!$A:$G,7,FALSE)</f>
        <v>0</v>
      </c>
      <c r="O83" s="44">
        <f ca="1">IFERROR(VLOOKUP(B83,input_510100!L:R,7,FALSE),VLOOKUP(tables_510100!C83,input_510100!A:H,8,FALSE))</f>
        <v>268250</v>
      </c>
      <c r="P83" s="45">
        <f t="shared" ca="1" si="10"/>
        <v>3.6447010869268097E-2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input_510100!A$2</f>
        <v>510100</v>
      </c>
      <c r="B84" s="59">
        <v>1211</v>
      </c>
      <c r="C84" s="7" t="str">
        <f t="shared" si="23"/>
        <v>Premium5R3less</v>
      </c>
      <c r="D84" s="97" t="str">
        <f t="shared" si="24"/>
        <v>Premium</v>
      </c>
      <c r="E84" s="7" t="str">
        <f>IF(COUNTIF('R6追加前'!A:A,B84)=0,IF(OR(I84="PremiumSS",I84="PremiumSSw"),"R5only","R3less"),"")</f>
        <v>R3less</v>
      </c>
      <c r="F84" s="7" t="str">
        <f>IF(COUNTIF('R6開放'!A:A,B84)&gt;0,"R6release","")</f>
        <v/>
      </c>
      <c r="G84" s="7"/>
      <c r="H84" s="7" t="str">
        <f>VLOOKUP(B84,[1]characters!$A:$C,3,FALSE)</f>
        <v>奏駆の翻騎 ケンタウロス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green</v>
      </c>
      <c r="L84" s="7" t="str">
        <f>VLOOKUP(B84,[1]characters!$A:$K,11,FALSE)</f>
        <v>attack</v>
      </c>
      <c r="M84" s="7" t="str">
        <f>VLOOKUP(B84,[1]characters!$A:$M,13,FALSE)</f>
        <v>god</v>
      </c>
      <c r="N84" s="7">
        <f>VLOOKUP(B84,[1]characters!$A:$G,7,FALSE)</f>
        <v>0</v>
      </c>
      <c r="O84" s="44">
        <f ca="1">IFERROR(VLOOKUP(B84,input_510100!L:R,7,FALSE),VLOOKUP(tables_510100!C84,input_510100!A:H,8,FALSE))</f>
        <v>22200</v>
      </c>
      <c r="P84" s="45">
        <f t="shared" ca="1" si="10"/>
        <v>3.0163043478014977E-3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input_510100!A$2</f>
        <v>510100</v>
      </c>
      <c r="B85" s="59">
        <v>1226</v>
      </c>
      <c r="C85" s="7" t="str">
        <f t="shared" ref="C85" si="25">D85&amp;J85&amp;E85&amp;F85&amp;G85</f>
        <v>PremiumSS5R5only</v>
      </c>
      <c r="D85" s="97" t="str">
        <f t="shared" ref="D85" si="26">IF(OR(I85="PremiumSS",I85="PremiumSSw"),"PremiumSS",IF(I85="PremiumSSS",I85,IF(I85="PremiumW",IF(J85=5,"premium",I85),"Premium")))</f>
        <v>PremiumSS</v>
      </c>
      <c r="E85" s="7" t="str">
        <f>IF(COUNTIF('R6追加前'!A:A,B85)=0,IF(OR(I85="PremiumSS",I85="PremiumSSw"),"R5only","R3less"),"")</f>
        <v>R5only</v>
      </c>
      <c r="F85" s="7" t="str">
        <f>IF(COUNTIF('R6開放'!A:A,B85)&gt;0,"R6release","")</f>
        <v/>
      </c>
      <c r="G85" s="7"/>
      <c r="H85" s="7" t="str">
        <f>VLOOKUP(B85,[1]characters!$A:$C,3,FALSE)</f>
        <v>トルストイ</v>
      </c>
      <c r="I85" s="7" t="str">
        <f>VLOOKUP(B85,[1]characters!$A:$J,10,FALSE)</f>
        <v>PremiumSS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human</v>
      </c>
      <c r="N85" s="7">
        <f>VLOOKUP(B85,[1]characters!$A:$G,7,FALSE)</f>
        <v>0</v>
      </c>
      <c r="O85" s="44">
        <f>IFERROR(VLOOKUP(B85,input_510100!L:R,7,FALSE),VLOOKUP(tables_510100!C85,input_510100!A:H,8,FALSE))</f>
        <v>220800</v>
      </c>
      <c r="P85" s="45">
        <f t="shared" ca="1" si="10"/>
        <v>2.9999999999755438E-2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input_510100!A$2</f>
        <v>510100</v>
      </c>
      <c r="B86" s="1">
        <v>1246</v>
      </c>
      <c r="C86" s="7" t="str">
        <f t="shared" ref="C86" si="27">D86&amp;J86&amp;E86&amp;F86&amp;G86</f>
        <v>PremiumSS5R5only</v>
      </c>
      <c r="D86" s="97" t="str">
        <f t="shared" ref="D86" si="28">IF(OR(I86="PremiumSS",I86="PremiumSSw"),"PremiumSS",IF(I86="PremiumSSS",I86,IF(I86="PremiumW",IF(J86=5,"premium",I86),"Premium")))</f>
        <v>PremiumSS</v>
      </c>
      <c r="E86" s="7" t="str">
        <f>IF(COUNTIF('R6追加前'!A:A,B86)=0,IF(OR(I86="PremiumSS",I86="PremiumSSw"),"R5only","R3less"),"")</f>
        <v>R5only</v>
      </c>
      <c r="F86" s="7" t="str">
        <f>IF(COUNTIF('R6開放'!A:A,B86)&gt;0,"R6release","")</f>
        <v/>
      </c>
      <c r="G86" s="7"/>
      <c r="H86" s="7" t="str">
        <f>VLOOKUP(B86,[1]characters!$A:$C,3,FALSE)</f>
        <v>望月千代女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green</v>
      </c>
      <c r="L86" s="7" t="str">
        <f>VLOOKUP(B86,[1]characters!$A:$K,11,FALSE)</f>
        <v>heal</v>
      </c>
      <c r="M86" s="7" t="str">
        <f>VLOOKUP(B86,[1]characters!$A:$M,13,FALSE)</f>
        <v>human</v>
      </c>
      <c r="N86" s="7">
        <f>VLOOKUP(B86,[1]characters!$A:$G,7,FALSE)</f>
        <v>0</v>
      </c>
      <c r="O86" s="44">
        <f ca="1">IFERROR(VLOOKUP(B86,input_510100!L:R,7,FALSE),VLOOKUP(tables_510100!C86,input_510100!A:H,8,FALSE))</f>
        <v>6900</v>
      </c>
      <c r="P86" s="45">
        <f t="shared" ca="1" si="10"/>
        <v>9.3749999999235742E-4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input_510100!A$2</f>
        <v>510100</v>
      </c>
      <c r="B87" s="1">
        <v>1262</v>
      </c>
      <c r="C87" s="7" t="str">
        <f t="shared" ref="C87" si="29">D87&amp;J87&amp;E87&amp;F87&amp;G87</f>
        <v>PremiumSS5R5only</v>
      </c>
      <c r="D87" s="97" t="str">
        <f t="shared" ref="D87" si="30">IF(OR(I87="PremiumSS",I87="PremiumSSw"),"PremiumSS",IF(I87="PremiumSSS",I87,IF(I87="PremiumW",IF(J87=5,"premium",I87),"Premium")))</f>
        <v>PremiumSS</v>
      </c>
      <c r="E87" s="7" t="str">
        <f>IF(COUNTIF('R6追加前'!A:A,B87)=0,IF(OR(I87="PremiumSS",I87="PremiumSSw"),"R5only","R3less"),"")</f>
        <v>R5only</v>
      </c>
      <c r="F87" s="7" t="str">
        <f>IF(COUNTIF('R6開放'!A:A,B87)&gt;0,"R6release","")</f>
        <v/>
      </c>
      <c r="G87" s="7"/>
      <c r="H87" s="7" t="str">
        <f>VLOOKUP(B87,[1]characters!$A:$C,3,FALSE)</f>
        <v>イズン</v>
      </c>
      <c r="I87" s="7" t="str">
        <f>VLOOKUP(B87,[1]characters!$A:$J,10,FALSE)</f>
        <v>PremiumSSw</v>
      </c>
      <c r="J87" s="7">
        <f>VLOOKUP(B87,[1]characters!$A:$I,9,FALSE)</f>
        <v>5</v>
      </c>
      <c r="K87" s="7" t="str">
        <f>VLOOKUP(B87,[1]characters!$A:$H,8,FALSE)</f>
        <v>green</v>
      </c>
      <c r="L87" s="7" t="str">
        <f>VLOOKUP(B87,[1]characters!$A:$K,11,FALSE)</f>
        <v>heal</v>
      </c>
      <c r="M87" s="7" t="str">
        <f>VLOOKUP(B87,[1]characters!$A:$M,13,FALSE)</f>
        <v>god</v>
      </c>
      <c r="N87" s="7">
        <f>VLOOKUP(B87,[1]characters!$A:$G,7,FALSE)</f>
        <v>0</v>
      </c>
      <c r="O87" s="44">
        <f ca="1">IFERROR(VLOOKUP(B87,input_510100!L:R,7,FALSE),VLOOKUP(tables_510100!C87,input_510100!A:H,8,FALSE))</f>
        <v>6900</v>
      </c>
      <c r="P87" s="45">
        <f t="shared" ca="1" si="10"/>
        <v>9.3749999999235742E-4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</sheetData>
  <autoFilter ref="A1:V8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2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C10" sqref="C1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2" t="s">
        <v>84</v>
      </c>
      <c r="B1" s="14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4" t="s">
        <v>2</v>
      </c>
      <c r="P1" s="3" t="s">
        <v>63</v>
      </c>
      <c r="Q1" s="14" t="s">
        <v>38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input_510100!A$2</f>
        <v>510100</v>
      </c>
      <c r="B2" s="1">
        <v>495</v>
      </c>
      <c r="C2" s="7" t="str">
        <f t="shared" ref="C2:C3" si="0">D2&amp;J2&amp;E2&amp;F2&amp;G2</f>
        <v>PremiumSS5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鼠災呼ぶ笛音 ハーメルン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男性</v>
      </c>
      <c r="O2" s="44">
        <v>10</v>
      </c>
      <c r="P2" s="45">
        <f>O2/SUM(O:O)</f>
        <v>0.5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input_510100!A$2</f>
        <v>510100</v>
      </c>
      <c r="B3" s="1">
        <v>1226</v>
      </c>
      <c r="C3" s="7" t="str">
        <f t="shared" si="0"/>
        <v>PremiumSS5R5only</v>
      </c>
      <c r="D3" s="7" t="str">
        <f t="shared" ref="D3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トルストイ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human</v>
      </c>
      <c r="N3" s="7">
        <f>VLOOKUP(B3,[1]characters!$A:$G,7,FALSE)</f>
        <v>0</v>
      </c>
      <c r="O3" s="44">
        <v>10</v>
      </c>
      <c r="P3" s="45">
        <f>O3/SUM(O:O)</f>
        <v>0.5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98"/>
      <c r="P4" s="99"/>
      <c r="Q4" s="100"/>
      <c r="R4" s="100"/>
      <c r="S4" s="100"/>
      <c r="T4" s="100"/>
      <c r="U4" s="100"/>
      <c r="V4" s="100"/>
    </row>
    <row r="5" spans="1:22" ht="21" customHeight="1" x14ac:dyDescent="0.1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98"/>
      <c r="P5" s="99"/>
      <c r="Q5" s="100"/>
      <c r="R5" s="100"/>
      <c r="S5" s="100"/>
      <c r="T5" s="100"/>
      <c r="U5" s="100"/>
      <c r="V5" s="100"/>
    </row>
    <row r="6" spans="1:22" ht="21" customHeight="1" x14ac:dyDescent="0.1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98"/>
      <c r="P6" s="99"/>
      <c r="Q6" s="100"/>
      <c r="R6" s="100"/>
      <c r="S6" s="100"/>
      <c r="T6" s="100"/>
      <c r="U6" s="100"/>
      <c r="V6" s="100"/>
    </row>
    <row r="7" spans="1:22" ht="21" customHeight="1" x14ac:dyDescent="0.1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98"/>
      <c r="P7" s="99"/>
      <c r="Q7" s="100"/>
      <c r="R7" s="100"/>
      <c r="S7" s="100"/>
      <c r="T7" s="100"/>
      <c r="U7" s="100"/>
      <c r="V7" s="100"/>
    </row>
    <row r="8" spans="1:22" ht="21" customHeight="1" x14ac:dyDescent="0.1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98"/>
      <c r="P8" s="99"/>
      <c r="Q8" s="100"/>
      <c r="R8" s="100"/>
      <c r="S8" s="100"/>
      <c r="T8" s="100"/>
      <c r="U8" s="100"/>
      <c r="V8" s="100"/>
    </row>
    <row r="9" spans="1:22" ht="21" customHeight="1" x14ac:dyDescent="0.1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98"/>
      <c r="P9" s="99"/>
      <c r="Q9" s="100"/>
      <c r="R9" s="100"/>
      <c r="S9" s="100"/>
      <c r="T9" s="100"/>
      <c r="U9" s="100"/>
      <c r="V9" s="100"/>
    </row>
    <row r="10" spans="1:22" ht="21" customHeight="1" x14ac:dyDescent="0.1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98"/>
      <c r="P10" s="99"/>
      <c r="Q10" s="100"/>
      <c r="R10" s="100"/>
      <c r="S10" s="100"/>
      <c r="T10" s="100"/>
      <c r="U10" s="100"/>
      <c r="V10" s="100"/>
    </row>
    <row r="11" spans="1:22" ht="21" customHeight="1" x14ac:dyDescent="0.1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98"/>
      <c r="P11" s="99"/>
      <c r="Q11" s="100"/>
      <c r="R11" s="100"/>
      <c r="S11" s="100"/>
      <c r="T11" s="100"/>
      <c r="U11" s="100"/>
      <c r="V11" s="100"/>
    </row>
    <row r="12" spans="1:22" ht="21" customHeight="1" x14ac:dyDescent="0.1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98"/>
      <c r="P12" s="99"/>
      <c r="Q12" s="100"/>
      <c r="R12" s="100"/>
      <c r="S12" s="100"/>
      <c r="T12" s="100"/>
      <c r="U12" s="100"/>
      <c r="V12" s="100"/>
    </row>
    <row r="13" spans="1:22" ht="21" customHeight="1" x14ac:dyDescent="0.1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98"/>
      <c r="P13" s="99"/>
      <c r="Q13" s="100"/>
      <c r="R13" s="100"/>
      <c r="S13" s="100"/>
      <c r="T13" s="100"/>
      <c r="U13" s="100"/>
      <c r="V13" s="100"/>
    </row>
    <row r="14" spans="1:22" ht="21" customHeight="1" x14ac:dyDescent="0.1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98"/>
      <c r="P14" s="99"/>
      <c r="Q14" s="100"/>
      <c r="R14" s="100"/>
      <c r="S14" s="100"/>
      <c r="T14" s="100"/>
      <c r="U14" s="100"/>
      <c r="V14" s="100"/>
    </row>
    <row r="15" spans="1:22" ht="21" customHeight="1" x14ac:dyDescent="0.1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98"/>
      <c r="P15" s="99"/>
      <c r="Q15" s="100"/>
      <c r="R15" s="100"/>
      <c r="S15" s="100"/>
      <c r="T15" s="100"/>
      <c r="U15" s="100"/>
      <c r="V15" s="100"/>
    </row>
    <row r="16" spans="1:22" ht="21" customHeight="1" x14ac:dyDescent="0.1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98"/>
      <c r="P16" s="99"/>
      <c r="Q16" s="100"/>
      <c r="R16" s="100"/>
      <c r="S16" s="100"/>
      <c r="T16" s="100"/>
      <c r="U16" s="100"/>
      <c r="V16" s="100"/>
    </row>
    <row r="17" spans="1:22" ht="21" customHeight="1" x14ac:dyDescent="0.1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98"/>
      <c r="P17" s="99"/>
      <c r="Q17" s="100"/>
      <c r="R17" s="100"/>
      <c r="S17" s="100"/>
      <c r="T17" s="100"/>
      <c r="U17" s="100"/>
      <c r="V17" s="100"/>
    </row>
    <row r="18" spans="1:22" ht="21" customHeight="1" x14ac:dyDescent="0.1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98"/>
      <c r="P18" s="99"/>
      <c r="Q18" s="100"/>
      <c r="R18" s="100"/>
      <c r="S18" s="100"/>
      <c r="T18" s="100"/>
      <c r="U18" s="100"/>
      <c r="V18" s="100"/>
    </row>
    <row r="19" spans="1:22" ht="21" customHeight="1" x14ac:dyDescent="0.1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98"/>
      <c r="P19" s="99"/>
      <c r="Q19" s="100"/>
      <c r="R19" s="100"/>
      <c r="S19" s="100"/>
      <c r="T19" s="100"/>
      <c r="U19" s="100"/>
      <c r="V19" s="100"/>
    </row>
    <row r="20" spans="1:22" ht="21" customHeight="1" x14ac:dyDescent="0.1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98"/>
      <c r="P20" s="99"/>
      <c r="Q20" s="100"/>
      <c r="R20" s="100"/>
      <c r="S20" s="100"/>
      <c r="T20" s="100"/>
      <c r="U20" s="100"/>
      <c r="V20" s="100"/>
    </row>
    <row r="21" spans="1:22" ht="21" customHeight="1" x14ac:dyDescent="0.1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98"/>
      <c r="P21" s="99"/>
      <c r="Q21" s="100"/>
      <c r="R21" s="100"/>
      <c r="S21" s="100"/>
      <c r="T21" s="100"/>
      <c r="U21" s="100"/>
      <c r="V21" s="100"/>
    </row>
    <row r="22" spans="1:22" ht="21" customHeight="1" x14ac:dyDescent="0.1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98"/>
      <c r="P22" s="99"/>
      <c r="Q22" s="100"/>
      <c r="R22" s="100"/>
      <c r="S22" s="100"/>
      <c r="T22" s="100"/>
      <c r="U22" s="100"/>
      <c r="V22" s="100"/>
    </row>
    <row r="23" spans="1:22" ht="21" customHeight="1" x14ac:dyDescent="0.1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98"/>
      <c r="P23" s="99"/>
      <c r="Q23" s="100"/>
      <c r="R23" s="100"/>
      <c r="S23" s="100"/>
      <c r="T23" s="100"/>
      <c r="U23" s="100"/>
      <c r="V23" s="100"/>
    </row>
    <row r="24" spans="1:22" ht="21" customHeight="1" x14ac:dyDescent="0.1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98"/>
      <c r="P24" s="99"/>
      <c r="Q24" s="100"/>
      <c r="R24" s="100"/>
      <c r="S24" s="100"/>
      <c r="T24" s="100"/>
      <c r="U24" s="100"/>
      <c r="V24" s="100"/>
    </row>
    <row r="25" spans="1:22" ht="21" customHeight="1" x14ac:dyDescent="0.1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98"/>
      <c r="P25" s="99"/>
      <c r="Q25" s="100"/>
      <c r="R25" s="100"/>
      <c r="S25" s="100"/>
      <c r="T25" s="100"/>
      <c r="U25" s="100"/>
      <c r="V25" s="100"/>
    </row>
    <row r="26" spans="1:22" ht="21" customHeight="1" x14ac:dyDescent="0.1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98"/>
      <c r="P26" s="99"/>
      <c r="Q26" s="100"/>
      <c r="R26" s="100"/>
      <c r="S26" s="100"/>
      <c r="T26" s="100"/>
      <c r="U26" s="100"/>
      <c r="V26" s="100"/>
    </row>
    <row r="27" spans="1:22" ht="21" customHeight="1" x14ac:dyDescent="0.1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98"/>
      <c r="P27" s="99"/>
      <c r="Q27" s="100"/>
      <c r="R27" s="100"/>
      <c r="S27" s="100"/>
      <c r="T27" s="100"/>
      <c r="U27" s="100"/>
      <c r="V27" s="100"/>
    </row>
    <row r="28" spans="1:22" ht="21" customHeight="1" x14ac:dyDescent="0.1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98"/>
      <c r="P28" s="99"/>
      <c r="Q28" s="100"/>
      <c r="R28" s="100"/>
      <c r="S28" s="100"/>
      <c r="T28" s="100"/>
      <c r="U28" s="100"/>
      <c r="V28" s="100"/>
    </row>
    <row r="29" spans="1:22" ht="21" customHeight="1" x14ac:dyDescent="0.1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98"/>
      <c r="P29" s="99"/>
      <c r="Q29" s="100"/>
      <c r="R29" s="100"/>
      <c r="S29" s="100"/>
      <c r="T29" s="100"/>
      <c r="U29" s="100"/>
      <c r="V29" s="100"/>
    </row>
    <row r="30" spans="1:22" ht="21" customHeight="1" x14ac:dyDescent="0.1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98"/>
      <c r="P30" s="99"/>
      <c r="Q30" s="100"/>
      <c r="R30" s="100"/>
      <c r="S30" s="100"/>
      <c r="T30" s="100"/>
      <c r="U30" s="100"/>
      <c r="V30" s="100"/>
    </row>
    <row r="31" spans="1:22" ht="21" customHeight="1" x14ac:dyDescent="0.1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98"/>
      <c r="P31" s="99"/>
      <c r="Q31" s="100"/>
      <c r="R31" s="100"/>
      <c r="S31" s="100"/>
      <c r="T31" s="100"/>
      <c r="U31" s="100"/>
      <c r="V31" s="100"/>
    </row>
    <row r="32" spans="1:22" ht="21" customHeight="1" x14ac:dyDescent="0.1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98"/>
      <c r="P32" s="99"/>
      <c r="Q32" s="100"/>
      <c r="R32" s="100"/>
      <c r="S32" s="100"/>
      <c r="T32" s="100"/>
      <c r="U32" s="100"/>
      <c r="V32" s="100"/>
    </row>
    <row r="33" spans="1:22" ht="21" customHeight="1" x14ac:dyDescent="0.1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98"/>
      <c r="P33" s="99"/>
      <c r="Q33" s="100"/>
      <c r="R33" s="100"/>
      <c r="S33" s="100"/>
      <c r="T33" s="100"/>
      <c r="U33" s="100"/>
      <c r="V33" s="100"/>
    </row>
    <row r="34" spans="1:22" ht="21" customHeight="1" x14ac:dyDescent="0.1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98"/>
      <c r="P34" s="99"/>
      <c r="Q34" s="100"/>
      <c r="R34" s="100"/>
      <c r="S34" s="100"/>
      <c r="T34" s="100"/>
      <c r="U34" s="100"/>
      <c r="V34" s="100"/>
    </row>
    <row r="35" spans="1:22" ht="21" customHeight="1" x14ac:dyDescent="0.15">
      <c r="A35" s="85"/>
      <c r="B35" s="85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98"/>
      <c r="P35" s="99"/>
      <c r="Q35" s="100"/>
      <c r="R35" s="100"/>
      <c r="S35" s="100"/>
      <c r="T35" s="100"/>
      <c r="U35" s="100"/>
      <c r="V35" s="100"/>
    </row>
    <row r="36" spans="1:22" ht="21" customHeight="1" x14ac:dyDescent="0.15">
      <c r="A36" s="85"/>
      <c r="B36" s="85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98"/>
      <c r="P36" s="99"/>
      <c r="Q36" s="100"/>
      <c r="R36" s="100"/>
      <c r="S36" s="100"/>
      <c r="T36" s="100"/>
      <c r="U36" s="100"/>
      <c r="V36" s="100"/>
    </row>
    <row r="37" spans="1:22" ht="21" customHeight="1" x14ac:dyDescent="0.15">
      <c r="A37" s="85"/>
      <c r="B37" s="85"/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98"/>
      <c r="P37" s="99"/>
      <c r="Q37" s="100"/>
      <c r="R37" s="100"/>
      <c r="S37" s="100"/>
      <c r="T37" s="100"/>
      <c r="U37" s="100"/>
      <c r="V37" s="100"/>
    </row>
    <row r="38" spans="1:22" ht="21" customHeight="1" x14ac:dyDescent="0.15">
      <c r="A38" s="85"/>
      <c r="B38" s="85"/>
      <c r="C38" s="85"/>
      <c r="D38" s="85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98"/>
      <c r="P38" s="99"/>
      <c r="Q38" s="100"/>
      <c r="R38" s="100"/>
      <c r="S38" s="100"/>
      <c r="T38" s="100"/>
      <c r="U38" s="100"/>
      <c r="V38" s="100"/>
    </row>
    <row r="39" spans="1:22" ht="21" customHeight="1" x14ac:dyDescent="0.15">
      <c r="A39" s="85"/>
      <c r="B39" s="85"/>
      <c r="C39" s="85"/>
      <c r="D39" s="85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98"/>
      <c r="P39" s="99"/>
      <c r="Q39" s="100"/>
      <c r="R39" s="100"/>
      <c r="S39" s="100"/>
      <c r="T39" s="100"/>
      <c r="U39" s="100"/>
      <c r="V39" s="100"/>
    </row>
    <row r="40" spans="1:22" ht="21" customHeight="1" x14ac:dyDescent="0.15">
      <c r="A40" s="85"/>
      <c r="B40" s="85"/>
      <c r="C40" s="85"/>
      <c r="D40" s="85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98"/>
      <c r="P40" s="99"/>
      <c r="Q40" s="100"/>
      <c r="R40" s="100"/>
      <c r="S40" s="100"/>
      <c r="T40" s="100"/>
      <c r="U40" s="100"/>
      <c r="V40" s="100"/>
    </row>
    <row r="41" spans="1:22" ht="21" customHeight="1" x14ac:dyDescent="0.1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98"/>
      <c r="P41" s="99"/>
      <c r="Q41" s="100"/>
      <c r="R41" s="100"/>
      <c r="S41" s="100"/>
      <c r="T41" s="100"/>
      <c r="U41" s="100"/>
      <c r="V41" s="100"/>
    </row>
    <row r="42" spans="1:22" ht="21" customHeight="1" x14ac:dyDescent="0.1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98"/>
      <c r="P42" s="99"/>
      <c r="Q42" s="100"/>
      <c r="R42" s="100"/>
      <c r="S42" s="100"/>
      <c r="T42" s="100"/>
      <c r="U42" s="100"/>
      <c r="V42" s="100"/>
    </row>
    <row r="43" spans="1:22" ht="21" customHeight="1" x14ac:dyDescent="0.1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98"/>
      <c r="P43" s="99"/>
      <c r="Q43" s="100"/>
      <c r="R43" s="100"/>
      <c r="S43" s="100"/>
      <c r="T43" s="100"/>
      <c r="U43" s="100"/>
      <c r="V43" s="100"/>
    </row>
    <row r="44" spans="1:22" ht="21" customHeight="1" x14ac:dyDescent="0.1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98"/>
      <c r="P44" s="99"/>
      <c r="Q44" s="100"/>
      <c r="R44" s="100"/>
      <c r="S44" s="100"/>
      <c r="T44" s="100"/>
      <c r="U44" s="100"/>
      <c r="V44" s="100"/>
    </row>
    <row r="45" spans="1:22" ht="21" customHeight="1" x14ac:dyDescent="0.1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98"/>
      <c r="P45" s="99"/>
      <c r="Q45" s="100"/>
      <c r="R45" s="100"/>
      <c r="S45" s="100"/>
      <c r="T45" s="100"/>
      <c r="U45" s="100"/>
      <c r="V45" s="100"/>
    </row>
    <row r="46" spans="1:22" ht="21" customHeight="1" x14ac:dyDescent="0.1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98"/>
      <c r="P46" s="99"/>
      <c r="Q46" s="100"/>
      <c r="R46" s="100"/>
      <c r="S46" s="100"/>
      <c r="T46" s="100"/>
      <c r="U46" s="100"/>
      <c r="V46" s="100"/>
    </row>
    <row r="47" spans="1:22" ht="21" customHeight="1" x14ac:dyDescent="0.15">
      <c r="A47" s="85"/>
      <c r="B47" s="85"/>
      <c r="C47" s="85"/>
      <c r="D47" s="85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98"/>
      <c r="P47" s="99"/>
      <c r="Q47" s="100"/>
      <c r="R47" s="100"/>
      <c r="S47" s="100"/>
      <c r="T47" s="100"/>
      <c r="U47" s="100"/>
      <c r="V47" s="100"/>
    </row>
    <row r="48" spans="1:22" ht="21" customHeight="1" x14ac:dyDescent="0.15">
      <c r="A48" s="85"/>
      <c r="B48" s="85"/>
      <c r="C48" s="85"/>
      <c r="D48" s="85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98"/>
      <c r="P48" s="99"/>
      <c r="Q48" s="100"/>
      <c r="R48" s="100"/>
      <c r="S48" s="100"/>
      <c r="T48" s="100"/>
      <c r="U48" s="100"/>
      <c r="V48" s="100"/>
    </row>
    <row r="49" spans="1:22" ht="21" customHeight="1" x14ac:dyDescent="0.15">
      <c r="A49" s="85"/>
      <c r="B49" s="85"/>
      <c r="C49" s="85"/>
      <c r="D49" s="85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98"/>
      <c r="P49" s="99"/>
      <c r="Q49" s="100"/>
      <c r="R49" s="100"/>
      <c r="S49" s="100"/>
      <c r="T49" s="100"/>
      <c r="U49" s="100"/>
      <c r="V49" s="100"/>
    </row>
    <row r="50" spans="1:22" ht="21" customHeight="1" x14ac:dyDescent="0.15">
      <c r="A50" s="85"/>
      <c r="B50" s="85"/>
      <c r="C50" s="85"/>
      <c r="D50" s="85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98"/>
      <c r="P50" s="99"/>
      <c r="Q50" s="100"/>
      <c r="R50" s="100"/>
      <c r="S50" s="100"/>
      <c r="T50" s="100"/>
      <c r="U50" s="100"/>
      <c r="V50" s="100"/>
    </row>
    <row r="51" spans="1:22" ht="21" customHeight="1" x14ac:dyDescent="0.15">
      <c r="A51" s="85"/>
      <c r="B51" s="85"/>
      <c r="C51" s="85"/>
      <c r="D51" s="85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98"/>
      <c r="P51" s="99"/>
      <c r="Q51" s="100"/>
      <c r="R51" s="100"/>
      <c r="S51" s="100"/>
      <c r="T51" s="100"/>
      <c r="U51" s="100"/>
      <c r="V51" s="100"/>
    </row>
    <row r="52" spans="1:22" ht="21" customHeight="1" x14ac:dyDescent="0.15">
      <c r="A52" s="85"/>
      <c r="B52" s="85"/>
      <c r="C52" s="85"/>
      <c r="D52" s="85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98"/>
      <c r="P52" s="99"/>
      <c r="Q52" s="100"/>
      <c r="R52" s="100"/>
      <c r="S52" s="100"/>
      <c r="T52" s="100"/>
      <c r="U52" s="100"/>
      <c r="V52" s="100"/>
    </row>
    <row r="53" spans="1:22" ht="21" customHeight="1" x14ac:dyDescent="0.15">
      <c r="A53" s="85"/>
      <c r="B53" s="85"/>
      <c r="C53" s="85"/>
      <c r="D53" s="85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98"/>
      <c r="P53" s="99"/>
      <c r="Q53" s="100"/>
      <c r="R53" s="100"/>
      <c r="S53" s="100"/>
      <c r="T53" s="100"/>
      <c r="U53" s="100"/>
      <c r="V53" s="100"/>
    </row>
    <row r="54" spans="1:22" ht="21" customHeight="1" x14ac:dyDescent="0.1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98"/>
      <c r="P54" s="99"/>
      <c r="Q54" s="100"/>
      <c r="R54" s="100"/>
      <c r="S54" s="100"/>
      <c r="T54" s="100"/>
      <c r="U54" s="100"/>
      <c r="V54" s="100"/>
    </row>
    <row r="55" spans="1:22" ht="21" customHeight="1" x14ac:dyDescent="0.15">
      <c r="A55" s="85"/>
      <c r="B55" s="85"/>
      <c r="C55" s="85"/>
      <c r="D55" s="85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98"/>
      <c r="P55" s="99"/>
      <c r="Q55" s="100"/>
      <c r="R55" s="100"/>
      <c r="S55" s="100"/>
      <c r="T55" s="100"/>
      <c r="U55" s="100"/>
      <c r="V55" s="100"/>
    </row>
    <row r="56" spans="1:22" ht="21" customHeight="1" x14ac:dyDescent="0.15">
      <c r="A56" s="85"/>
      <c r="B56" s="85"/>
      <c r="C56" s="85"/>
      <c r="D56" s="85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98"/>
      <c r="P56" s="99"/>
      <c r="Q56" s="100"/>
      <c r="R56" s="100"/>
      <c r="S56" s="100"/>
      <c r="T56" s="100"/>
      <c r="U56" s="100"/>
      <c r="V56" s="100"/>
    </row>
    <row r="57" spans="1:22" ht="21" customHeight="1" x14ac:dyDescent="0.15">
      <c r="A57" s="85"/>
      <c r="B57" s="85"/>
      <c r="C57" s="85"/>
      <c r="D57" s="85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98"/>
      <c r="P57" s="99"/>
      <c r="Q57" s="100"/>
      <c r="R57" s="100"/>
      <c r="S57" s="100"/>
      <c r="T57" s="100"/>
      <c r="U57" s="100"/>
      <c r="V57" s="100"/>
    </row>
    <row r="58" spans="1:22" ht="21" customHeight="1" x14ac:dyDescent="0.15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98"/>
      <c r="P58" s="99"/>
      <c r="Q58" s="100"/>
      <c r="R58" s="100"/>
      <c r="S58" s="100"/>
      <c r="T58" s="100"/>
      <c r="U58" s="100"/>
      <c r="V58" s="100"/>
    </row>
    <row r="59" spans="1:22" ht="21" customHeight="1" x14ac:dyDescent="0.15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98"/>
      <c r="P59" s="99"/>
      <c r="Q59" s="100"/>
      <c r="R59" s="100"/>
      <c r="S59" s="100"/>
      <c r="T59" s="100"/>
      <c r="U59" s="100"/>
      <c r="V59" s="100"/>
    </row>
    <row r="60" spans="1:22" ht="21" customHeight="1" x14ac:dyDescent="0.15">
      <c r="A60" s="85"/>
      <c r="B60" s="85"/>
      <c r="C60" s="85"/>
      <c r="D60" s="85"/>
      <c r="E60" s="85"/>
      <c r="F60" s="85"/>
      <c r="G60" s="85"/>
      <c r="H60" s="85"/>
      <c r="I60" s="85"/>
      <c r="J60" s="85"/>
      <c r="K60" s="85"/>
      <c r="L60" s="85"/>
      <c r="M60" s="85"/>
      <c r="N60" s="85"/>
      <c r="O60" s="98"/>
      <c r="P60" s="99"/>
      <c r="Q60" s="100"/>
      <c r="R60" s="100"/>
      <c r="S60" s="100"/>
      <c r="T60" s="100"/>
      <c r="U60" s="100"/>
      <c r="V60" s="100"/>
    </row>
    <row r="61" spans="1:22" ht="21" customHeight="1" x14ac:dyDescent="0.15">
      <c r="A61" s="85"/>
      <c r="B61" s="85"/>
      <c r="C61" s="85"/>
      <c r="D61" s="85"/>
      <c r="E61" s="85"/>
      <c r="F61" s="85"/>
      <c r="G61" s="85"/>
      <c r="H61" s="85"/>
      <c r="I61" s="85"/>
      <c r="J61" s="85"/>
      <c r="K61" s="85"/>
      <c r="L61" s="85"/>
      <c r="M61" s="85"/>
      <c r="N61" s="85"/>
      <c r="O61" s="98"/>
      <c r="P61" s="99"/>
      <c r="Q61" s="100"/>
      <c r="R61" s="100"/>
      <c r="S61" s="100"/>
      <c r="T61" s="100"/>
      <c r="U61" s="100"/>
      <c r="V61" s="100"/>
    </row>
    <row r="62" spans="1:22" ht="21" customHeight="1" x14ac:dyDescent="0.15">
      <c r="A62" s="85"/>
      <c r="B62" s="85"/>
      <c r="C62" s="85"/>
      <c r="D62" s="85"/>
      <c r="E62" s="85"/>
      <c r="F62" s="85"/>
      <c r="G62" s="85"/>
      <c r="H62" s="85"/>
      <c r="I62" s="85"/>
      <c r="J62" s="85"/>
      <c r="K62" s="85"/>
      <c r="L62" s="85"/>
      <c r="M62" s="85"/>
      <c r="N62" s="85"/>
      <c r="O62" s="98"/>
      <c r="P62" s="99"/>
      <c r="Q62" s="100"/>
      <c r="R62" s="100"/>
      <c r="S62" s="100"/>
      <c r="T62" s="100"/>
      <c r="U62" s="100"/>
      <c r="V62" s="100"/>
    </row>
    <row r="63" spans="1:22" ht="21" customHeight="1" x14ac:dyDescent="0.15">
      <c r="A63" s="85"/>
      <c r="B63" s="85"/>
      <c r="C63" s="85"/>
      <c r="D63" s="85"/>
      <c r="E63" s="85"/>
      <c r="F63" s="85"/>
      <c r="G63" s="85"/>
      <c r="H63" s="85"/>
      <c r="I63" s="85"/>
      <c r="J63" s="85"/>
      <c r="K63" s="85"/>
      <c r="L63" s="85"/>
      <c r="M63" s="85"/>
      <c r="N63" s="85"/>
      <c r="O63" s="98"/>
      <c r="P63" s="99"/>
      <c r="Q63" s="100"/>
      <c r="R63" s="100"/>
      <c r="S63" s="100"/>
      <c r="T63" s="100"/>
      <c r="U63" s="100"/>
      <c r="V63" s="100"/>
    </row>
    <row r="64" spans="1:22" ht="21" customHeight="1" x14ac:dyDescent="0.15">
      <c r="A64" s="85"/>
      <c r="B64" s="85"/>
      <c r="C64" s="85"/>
      <c r="D64" s="85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98"/>
      <c r="P64" s="99"/>
      <c r="Q64" s="100"/>
      <c r="R64" s="100"/>
      <c r="S64" s="100"/>
      <c r="T64" s="100"/>
      <c r="U64" s="100"/>
      <c r="V64" s="100"/>
    </row>
    <row r="65" spans="1:22" ht="21" customHeight="1" x14ac:dyDescent="0.15">
      <c r="A65" s="85"/>
      <c r="B65" s="85"/>
      <c r="C65" s="85"/>
      <c r="D65" s="85"/>
      <c r="E65" s="85"/>
      <c r="F65" s="85"/>
      <c r="G65" s="85"/>
      <c r="H65" s="85"/>
      <c r="I65" s="85"/>
      <c r="J65" s="85"/>
      <c r="K65" s="85"/>
      <c r="L65" s="85"/>
      <c r="M65" s="85"/>
      <c r="N65" s="85"/>
      <c r="O65" s="98"/>
      <c r="P65" s="99"/>
      <c r="Q65" s="100"/>
      <c r="R65" s="100"/>
      <c r="S65" s="100"/>
      <c r="T65" s="100"/>
      <c r="U65" s="100"/>
      <c r="V65" s="100"/>
    </row>
    <row r="66" spans="1:22" ht="21" customHeight="1" x14ac:dyDescent="0.15">
      <c r="A66" s="85"/>
      <c r="B66" s="85"/>
      <c r="C66" s="85"/>
      <c r="D66" s="85"/>
      <c r="E66" s="85"/>
      <c r="F66" s="85"/>
      <c r="G66" s="85"/>
      <c r="H66" s="85"/>
      <c r="I66" s="85"/>
      <c r="J66" s="85"/>
      <c r="K66" s="85"/>
      <c r="L66" s="85"/>
      <c r="M66" s="85"/>
      <c r="N66" s="85"/>
      <c r="O66" s="98"/>
      <c r="P66" s="99"/>
      <c r="Q66" s="100"/>
      <c r="R66" s="100"/>
      <c r="S66" s="100"/>
      <c r="T66" s="100"/>
      <c r="U66" s="100"/>
      <c r="V66" s="100"/>
    </row>
    <row r="67" spans="1:22" ht="21" customHeight="1" x14ac:dyDescent="0.15">
      <c r="A67" s="85"/>
      <c r="B67" s="85"/>
      <c r="C67" s="85"/>
      <c r="D67" s="85"/>
      <c r="E67" s="85"/>
      <c r="F67" s="85"/>
      <c r="G67" s="85"/>
      <c r="H67" s="85"/>
      <c r="I67" s="85"/>
      <c r="J67" s="85"/>
      <c r="K67" s="85"/>
      <c r="L67" s="85"/>
      <c r="M67" s="85"/>
      <c r="N67" s="85"/>
      <c r="O67" s="98"/>
      <c r="P67" s="99"/>
      <c r="Q67" s="100"/>
      <c r="R67" s="100"/>
      <c r="S67" s="100"/>
      <c r="T67" s="100"/>
      <c r="U67" s="100"/>
      <c r="V67" s="100"/>
    </row>
    <row r="68" spans="1:22" ht="21" customHeight="1" x14ac:dyDescent="0.15">
      <c r="A68" s="85"/>
      <c r="B68" s="85"/>
      <c r="C68" s="85"/>
      <c r="D68" s="85"/>
      <c r="E68" s="85"/>
      <c r="F68" s="85"/>
      <c r="G68" s="85"/>
      <c r="H68" s="85"/>
      <c r="I68" s="85"/>
      <c r="J68" s="85"/>
      <c r="K68" s="85"/>
      <c r="L68" s="85"/>
      <c r="M68" s="85"/>
      <c r="N68" s="85"/>
      <c r="O68" s="98"/>
      <c r="P68" s="99"/>
      <c r="Q68" s="100"/>
      <c r="R68" s="100"/>
      <c r="S68" s="100"/>
      <c r="T68" s="100"/>
      <c r="U68" s="100"/>
      <c r="V68" s="100"/>
    </row>
    <row r="69" spans="1:22" ht="21" customHeight="1" x14ac:dyDescent="0.15">
      <c r="A69" s="85"/>
      <c r="B69" s="85"/>
      <c r="C69" s="85"/>
      <c r="D69" s="85"/>
      <c r="E69" s="85"/>
      <c r="F69" s="85"/>
      <c r="G69" s="85"/>
      <c r="H69" s="85"/>
      <c r="I69" s="85"/>
      <c r="J69" s="85"/>
      <c r="K69" s="85"/>
      <c r="L69" s="85"/>
      <c r="M69" s="85"/>
      <c r="N69" s="85"/>
      <c r="O69" s="98"/>
      <c r="P69" s="99"/>
      <c r="Q69" s="100"/>
      <c r="R69" s="100"/>
      <c r="S69" s="100"/>
      <c r="T69" s="100"/>
      <c r="U69" s="100"/>
      <c r="V69" s="100"/>
    </row>
    <row r="70" spans="1:22" ht="21" customHeight="1" x14ac:dyDescent="0.15">
      <c r="A70" s="85"/>
      <c r="B70" s="85"/>
      <c r="C70" s="85"/>
      <c r="D70" s="85"/>
      <c r="E70" s="85"/>
      <c r="F70" s="85"/>
      <c r="G70" s="85"/>
      <c r="H70" s="85"/>
      <c r="I70" s="85"/>
      <c r="J70" s="85"/>
      <c r="K70" s="85"/>
      <c r="L70" s="85"/>
      <c r="M70" s="85"/>
      <c r="N70" s="85"/>
      <c r="O70" s="98"/>
      <c r="P70" s="99"/>
      <c r="Q70" s="100"/>
      <c r="R70" s="100"/>
      <c r="S70" s="100"/>
      <c r="T70" s="100"/>
      <c r="U70" s="100"/>
      <c r="V70" s="100"/>
    </row>
    <row r="71" spans="1:22" ht="21" customHeight="1" x14ac:dyDescent="0.15">
      <c r="A71" s="85"/>
      <c r="B71" s="85"/>
      <c r="C71" s="85"/>
      <c r="D71" s="85"/>
      <c r="E71" s="85"/>
      <c r="F71" s="85"/>
      <c r="G71" s="85"/>
      <c r="H71" s="85"/>
      <c r="I71" s="85"/>
      <c r="J71" s="85"/>
      <c r="K71" s="85"/>
      <c r="L71" s="85"/>
      <c r="M71" s="85"/>
      <c r="N71" s="85"/>
      <c r="O71" s="98"/>
      <c r="P71" s="99"/>
      <c r="Q71" s="100"/>
      <c r="R71" s="100"/>
      <c r="S71" s="100"/>
      <c r="T71" s="100"/>
      <c r="U71" s="100"/>
      <c r="V71" s="100"/>
    </row>
    <row r="72" spans="1:22" ht="21" customHeight="1" x14ac:dyDescent="0.15">
      <c r="A72" s="85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85"/>
      <c r="M72" s="85"/>
      <c r="N72" s="85"/>
      <c r="O72" s="98"/>
      <c r="P72" s="99"/>
      <c r="Q72" s="100"/>
      <c r="R72" s="100"/>
      <c r="S72" s="100"/>
      <c r="T72" s="100"/>
      <c r="U72" s="100"/>
      <c r="V72" s="100"/>
    </row>
    <row r="73" spans="1:22" ht="21" customHeight="1" x14ac:dyDescent="0.15">
      <c r="A73" s="85"/>
      <c r="B73" s="85"/>
      <c r="C73" s="85"/>
      <c r="D73" s="85"/>
      <c r="E73" s="85"/>
      <c r="F73" s="85"/>
      <c r="G73" s="85"/>
      <c r="H73" s="85"/>
      <c r="I73" s="85"/>
      <c r="J73" s="85"/>
      <c r="K73" s="85"/>
      <c r="L73" s="85"/>
      <c r="M73" s="85"/>
      <c r="N73" s="85"/>
      <c r="O73" s="98"/>
      <c r="P73" s="99"/>
      <c r="Q73" s="100"/>
      <c r="R73" s="100"/>
      <c r="S73" s="100"/>
      <c r="T73" s="100"/>
      <c r="U73" s="100"/>
      <c r="V73" s="100"/>
    </row>
    <row r="74" spans="1:22" ht="21" customHeight="1" x14ac:dyDescent="0.15">
      <c r="A74" s="85"/>
      <c r="B74" s="85"/>
      <c r="C74" s="85"/>
      <c r="D74" s="85"/>
      <c r="E74" s="85"/>
      <c r="F74" s="85"/>
      <c r="G74" s="85"/>
      <c r="H74" s="85"/>
      <c r="I74" s="85"/>
      <c r="J74" s="85"/>
      <c r="K74" s="85"/>
      <c r="L74" s="85"/>
      <c r="M74" s="85"/>
      <c r="N74" s="85"/>
      <c r="O74" s="98"/>
      <c r="P74" s="99"/>
      <c r="Q74" s="100"/>
      <c r="R74" s="100"/>
      <c r="S74" s="100"/>
      <c r="T74" s="100"/>
      <c r="U74" s="100"/>
      <c r="V74" s="100"/>
    </row>
    <row r="75" spans="1:22" ht="21" customHeight="1" x14ac:dyDescent="0.15">
      <c r="A75" s="85"/>
      <c r="B75" s="85"/>
      <c r="C75" s="85"/>
      <c r="D75" s="85"/>
      <c r="E75" s="85"/>
      <c r="F75" s="85"/>
      <c r="G75" s="85"/>
      <c r="H75" s="85"/>
      <c r="I75" s="85"/>
      <c r="J75" s="85"/>
      <c r="K75" s="85"/>
      <c r="L75" s="85"/>
      <c r="M75" s="85"/>
      <c r="N75" s="85"/>
      <c r="O75" s="98"/>
      <c r="P75" s="99"/>
      <c r="Q75" s="100"/>
      <c r="R75" s="100"/>
      <c r="S75" s="100"/>
      <c r="T75" s="100"/>
      <c r="U75" s="100"/>
      <c r="V75" s="100"/>
    </row>
    <row r="76" spans="1:22" ht="21" customHeight="1" x14ac:dyDescent="0.15">
      <c r="A76" s="85"/>
      <c r="B76" s="85"/>
      <c r="C76" s="85"/>
      <c r="D76" s="85"/>
      <c r="E76" s="85"/>
      <c r="F76" s="85"/>
      <c r="G76" s="85"/>
      <c r="H76" s="85"/>
      <c r="I76" s="85"/>
      <c r="J76" s="85"/>
      <c r="K76" s="85"/>
      <c r="L76" s="85"/>
      <c r="M76" s="85"/>
      <c r="N76" s="85"/>
      <c r="O76" s="98"/>
      <c r="P76" s="99"/>
      <c r="Q76" s="100"/>
      <c r="R76" s="100"/>
      <c r="S76" s="100"/>
      <c r="T76" s="100"/>
      <c r="U76" s="100"/>
      <c r="V76" s="100"/>
    </row>
    <row r="77" spans="1:22" ht="21" customHeight="1" x14ac:dyDescent="0.15">
      <c r="A77" s="85"/>
      <c r="B77" s="85"/>
      <c r="C77" s="85"/>
      <c r="D77" s="85"/>
      <c r="E77" s="85"/>
      <c r="F77" s="85"/>
      <c r="G77" s="85"/>
      <c r="H77" s="85"/>
      <c r="I77" s="85"/>
      <c r="J77" s="85"/>
      <c r="K77" s="85"/>
      <c r="L77" s="85"/>
      <c r="M77" s="85"/>
      <c r="N77" s="85"/>
      <c r="O77" s="98"/>
      <c r="P77" s="99"/>
      <c r="Q77" s="100"/>
      <c r="R77" s="100"/>
      <c r="S77" s="100"/>
      <c r="T77" s="100"/>
      <c r="U77" s="100"/>
      <c r="V77" s="100"/>
    </row>
    <row r="78" spans="1:22" ht="21" customHeight="1" x14ac:dyDescent="0.15">
      <c r="A78" s="85"/>
      <c r="B78" s="85"/>
      <c r="C78" s="85"/>
      <c r="D78" s="85"/>
      <c r="E78" s="85"/>
      <c r="F78" s="85"/>
      <c r="G78" s="85"/>
      <c r="H78" s="85"/>
      <c r="I78" s="85"/>
      <c r="J78" s="85"/>
      <c r="K78" s="85"/>
      <c r="L78" s="85"/>
      <c r="M78" s="85"/>
      <c r="N78" s="85"/>
      <c r="O78" s="98"/>
      <c r="P78" s="99"/>
      <c r="Q78" s="100"/>
      <c r="R78" s="100"/>
      <c r="S78" s="100"/>
      <c r="T78" s="100"/>
      <c r="U78" s="100"/>
      <c r="V78" s="100"/>
    </row>
    <row r="79" spans="1:22" ht="21" customHeight="1" x14ac:dyDescent="0.15">
      <c r="A79" s="85"/>
      <c r="B79" s="85"/>
      <c r="C79" s="85"/>
      <c r="D79" s="85"/>
      <c r="E79" s="85"/>
      <c r="F79" s="85"/>
      <c r="G79" s="85"/>
      <c r="H79" s="85"/>
      <c r="I79" s="85"/>
      <c r="J79" s="85"/>
      <c r="K79" s="85"/>
      <c r="L79" s="85"/>
      <c r="M79" s="85"/>
      <c r="N79" s="85"/>
      <c r="O79" s="98"/>
      <c r="P79" s="99"/>
      <c r="Q79" s="100"/>
      <c r="R79" s="100"/>
      <c r="S79" s="100"/>
      <c r="T79" s="100"/>
      <c r="U79" s="100"/>
      <c r="V79" s="100"/>
    </row>
    <row r="80" spans="1:22" ht="21" customHeight="1" x14ac:dyDescent="0.15">
      <c r="A80" s="85"/>
      <c r="B80" s="85"/>
      <c r="C80" s="85"/>
      <c r="D80" s="85"/>
      <c r="E80" s="85"/>
      <c r="F80" s="85"/>
      <c r="G80" s="85"/>
      <c r="H80" s="85"/>
      <c r="I80" s="85"/>
      <c r="J80" s="85"/>
      <c r="K80" s="85"/>
      <c r="L80" s="85"/>
      <c r="M80" s="85"/>
      <c r="N80" s="85"/>
      <c r="O80" s="98"/>
      <c r="P80" s="99"/>
      <c r="Q80" s="100"/>
      <c r="R80" s="100"/>
      <c r="S80" s="100"/>
      <c r="T80" s="100"/>
      <c r="U80" s="100"/>
      <c r="V80" s="100"/>
    </row>
    <row r="81" spans="1:22" ht="21" customHeight="1" x14ac:dyDescent="0.15">
      <c r="A81" s="85"/>
      <c r="B81" s="85"/>
      <c r="C81" s="85"/>
      <c r="D81" s="85"/>
      <c r="E81" s="85"/>
      <c r="F81" s="85"/>
      <c r="G81" s="85"/>
      <c r="H81" s="85"/>
      <c r="I81" s="85"/>
      <c r="J81" s="85"/>
      <c r="K81" s="85"/>
      <c r="L81" s="85"/>
      <c r="M81" s="85"/>
      <c r="N81" s="85"/>
      <c r="O81" s="98"/>
      <c r="P81" s="99"/>
      <c r="Q81" s="100"/>
      <c r="R81" s="100"/>
      <c r="S81" s="100"/>
      <c r="T81" s="100"/>
      <c r="U81" s="100"/>
      <c r="V81" s="100"/>
    </row>
    <row r="82" spans="1:22" ht="21" customHeight="1" x14ac:dyDescent="0.15">
      <c r="A82" s="85"/>
      <c r="B82" s="85"/>
      <c r="C82" s="85"/>
      <c r="D82" s="85"/>
      <c r="E82" s="85"/>
      <c r="F82" s="85"/>
      <c r="G82" s="85"/>
      <c r="H82" s="85"/>
      <c r="I82" s="85"/>
      <c r="J82" s="85"/>
      <c r="K82" s="85"/>
      <c r="L82" s="85"/>
      <c r="M82" s="85"/>
      <c r="N82" s="85"/>
      <c r="O82" s="98"/>
      <c r="P82" s="99"/>
      <c r="Q82" s="100"/>
      <c r="R82" s="100"/>
      <c r="S82" s="100"/>
      <c r="T82" s="100"/>
      <c r="U82" s="100"/>
      <c r="V82" s="100"/>
    </row>
    <row r="83" spans="1:22" ht="21" customHeight="1" x14ac:dyDescent="0.15">
      <c r="A83" s="85"/>
      <c r="B83" s="85"/>
      <c r="C83" s="85"/>
      <c r="D83" s="85"/>
      <c r="E83" s="85"/>
      <c r="F83" s="85"/>
      <c r="G83" s="85"/>
      <c r="H83" s="85"/>
      <c r="I83" s="85"/>
      <c r="J83" s="85"/>
      <c r="K83" s="85"/>
      <c r="L83" s="85"/>
      <c r="M83" s="85"/>
      <c r="N83" s="85"/>
      <c r="O83" s="98"/>
      <c r="P83" s="99"/>
      <c r="Q83" s="100"/>
      <c r="R83" s="100"/>
      <c r="S83" s="100"/>
      <c r="T83" s="100"/>
      <c r="U83" s="100"/>
      <c r="V83" s="100"/>
    </row>
    <row r="84" spans="1:22" ht="21" customHeight="1" x14ac:dyDescent="0.15">
      <c r="A84" s="85"/>
      <c r="B84" s="85"/>
      <c r="C84" s="85"/>
      <c r="D84" s="85"/>
      <c r="E84" s="85"/>
      <c r="F84" s="85"/>
      <c r="G84" s="85"/>
      <c r="H84" s="85"/>
      <c r="I84" s="85"/>
      <c r="J84" s="85"/>
      <c r="K84" s="85"/>
      <c r="L84" s="85"/>
      <c r="M84" s="85"/>
      <c r="N84" s="85"/>
      <c r="O84" s="98"/>
      <c r="P84" s="99"/>
      <c r="Q84" s="100"/>
      <c r="R84" s="100"/>
      <c r="S84" s="100"/>
      <c r="T84" s="100"/>
      <c r="U84" s="100"/>
      <c r="V84" s="100"/>
    </row>
    <row r="85" spans="1:22" ht="21" customHeight="1" x14ac:dyDescent="0.15">
      <c r="A85" s="85"/>
      <c r="B85" s="85"/>
      <c r="C85" s="85"/>
      <c r="D85" s="85"/>
      <c r="E85" s="85"/>
      <c r="F85" s="85"/>
      <c r="G85" s="85"/>
      <c r="H85" s="85"/>
      <c r="I85" s="85"/>
      <c r="J85" s="85"/>
      <c r="K85" s="85"/>
      <c r="L85" s="85"/>
      <c r="M85" s="85"/>
      <c r="N85" s="85"/>
      <c r="O85" s="98"/>
      <c r="P85" s="99"/>
      <c r="Q85" s="100"/>
      <c r="R85" s="100"/>
      <c r="S85" s="100"/>
      <c r="T85" s="100"/>
      <c r="U85" s="100"/>
      <c r="V85" s="100"/>
    </row>
    <row r="86" spans="1:22" ht="21" customHeight="1" x14ac:dyDescent="0.15">
      <c r="A86" s="85"/>
      <c r="B86" s="85"/>
      <c r="C86" s="85"/>
      <c r="D86" s="85"/>
      <c r="E86" s="85"/>
      <c r="F86" s="85"/>
      <c r="G86" s="85"/>
      <c r="H86" s="85"/>
      <c r="I86" s="85"/>
      <c r="J86" s="85"/>
      <c r="K86" s="85"/>
      <c r="L86" s="85"/>
      <c r="M86" s="85"/>
      <c r="N86" s="85"/>
      <c r="O86" s="98"/>
      <c r="P86" s="99"/>
      <c r="Q86" s="100"/>
      <c r="R86" s="100"/>
      <c r="S86" s="100"/>
      <c r="T86" s="100"/>
      <c r="U86" s="100"/>
      <c r="V86" s="100"/>
    </row>
    <row r="87" spans="1:22" ht="21" customHeight="1" x14ac:dyDescent="0.15">
      <c r="A87" s="85"/>
      <c r="B87" s="85"/>
      <c r="C87" s="85"/>
      <c r="D87" s="85"/>
      <c r="E87" s="85"/>
      <c r="F87" s="85"/>
      <c r="G87" s="85"/>
      <c r="H87" s="85"/>
      <c r="I87" s="85"/>
      <c r="J87" s="85"/>
      <c r="K87" s="85"/>
      <c r="L87" s="85"/>
      <c r="M87" s="85"/>
      <c r="N87" s="85"/>
      <c r="O87" s="98"/>
      <c r="P87" s="99"/>
      <c r="Q87" s="100"/>
      <c r="R87" s="100"/>
      <c r="S87" s="100"/>
      <c r="T87" s="100"/>
      <c r="U87" s="100"/>
      <c r="V87" s="100"/>
    </row>
    <row r="88" spans="1:22" ht="21" customHeight="1" x14ac:dyDescent="0.15">
      <c r="A88" s="85"/>
      <c r="B88" s="85"/>
      <c r="C88" s="85"/>
      <c r="D88" s="85"/>
      <c r="E88" s="85"/>
      <c r="F88" s="85"/>
      <c r="G88" s="85"/>
      <c r="H88" s="85"/>
      <c r="I88" s="85"/>
      <c r="J88" s="85"/>
      <c r="K88" s="85"/>
      <c r="L88" s="85"/>
      <c r="M88" s="85"/>
      <c r="N88" s="85"/>
      <c r="O88" s="98"/>
      <c r="P88" s="99"/>
      <c r="Q88" s="100"/>
      <c r="R88" s="100"/>
      <c r="S88" s="100"/>
      <c r="T88" s="100"/>
      <c r="U88" s="100"/>
      <c r="V88" s="100"/>
    </row>
    <row r="89" spans="1:22" ht="21" customHeight="1" x14ac:dyDescent="0.15">
      <c r="A89" s="85"/>
      <c r="B89" s="85"/>
      <c r="C89" s="85"/>
      <c r="D89" s="85"/>
      <c r="E89" s="85"/>
      <c r="F89" s="85"/>
      <c r="G89" s="85"/>
      <c r="H89" s="85"/>
      <c r="I89" s="85"/>
      <c r="J89" s="85"/>
      <c r="K89" s="85"/>
      <c r="L89" s="85"/>
      <c r="M89" s="85"/>
      <c r="N89" s="85"/>
      <c r="O89" s="98"/>
      <c r="P89" s="99"/>
      <c r="Q89" s="100"/>
      <c r="R89" s="100"/>
      <c r="S89" s="100"/>
      <c r="T89" s="100"/>
      <c r="U89" s="100"/>
      <c r="V89" s="100"/>
    </row>
    <row r="90" spans="1:22" ht="21" customHeight="1" x14ac:dyDescent="0.15">
      <c r="A90" s="85"/>
      <c r="B90" s="85"/>
      <c r="C90" s="85"/>
      <c r="D90" s="85"/>
      <c r="E90" s="85"/>
      <c r="F90" s="85"/>
      <c r="G90" s="85"/>
      <c r="H90" s="85"/>
      <c r="I90" s="85"/>
      <c r="J90" s="85"/>
      <c r="K90" s="85"/>
      <c r="L90" s="85"/>
      <c r="M90" s="85"/>
      <c r="N90" s="85"/>
      <c r="O90" s="98"/>
      <c r="P90" s="99"/>
      <c r="Q90" s="100"/>
      <c r="R90" s="100"/>
      <c r="S90" s="100"/>
      <c r="T90" s="100"/>
      <c r="U90" s="100"/>
      <c r="V90" s="100"/>
    </row>
    <row r="91" spans="1:22" ht="21" customHeight="1" x14ac:dyDescent="0.15">
      <c r="A91" s="85"/>
      <c r="B91" s="85"/>
      <c r="C91" s="85"/>
      <c r="D91" s="85"/>
      <c r="E91" s="85"/>
      <c r="F91" s="85"/>
      <c r="G91" s="85"/>
      <c r="H91" s="85"/>
      <c r="I91" s="85"/>
      <c r="J91" s="85"/>
      <c r="K91" s="85"/>
      <c r="L91" s="85"/>
      <c r="M91" s="85"/>
      <c r="N91" s="85"/>
      <c r="O91" s="98"/>
      <c r="P91" s="99"/>
      <c r="Q91" s="100"/>
      <c r="R91" s="100"/>
      <c r="S91" s="100"/>
      <c r="T91" s="100"/>
      <c r="U91" s="100"/>
      <c r="V91" s="100"/>
    </row>
    <row r="92" spans="1:22" ht="21" customHeight="1" x14ac:dyDescent="0.15">
      <c r="A92" s="85"/>
      <c r="B92" s="85"/>
      <c r="C92" s="85"/>
      <c r="D92" s="85"/>
      <c r="E92" s="85"/>
      <c r="F92" s="85"/>
      <c r="G92" s="85"/>
      <c r="H92" s="85"/>
      <c r="I92" s="85"/>
      <c r="J92" s="85"/>
      <c r="K92" s="85"/>
      <c r="L92" s="85"/>
      <c r="M92" s="85"/>
      <c r="N92" s="85"/>
      <c r="O92" s="98"/>
      <c r="P92" s="99"/>
      <c r="Q92" s="100"/>
      <c r="R92" s="100"/>
      <c r="S92" s="100"/>
      <c r="T92" s="100"/>
      <c r="U92" s="100"/>
      <c r="V92" s="100"/>
    </row>
    <row r="93" spans="1:22" ht="21" customHeight="1" x14ac:dyDescent="0.15">
      <c r="A93" s="85"/>
      <c r="B93" s="85"/>
      <c r="C93" s="85"/>
      <c r="D93" s="85"/>
      <c r="E93" s="85"/>
      <c r="F93" s="85"/>
      <c r="G93" s="85"/>
      <c r="H93" s="85"/>
      <c r="I93" s="85"/>
      <c r="J93" s="85"/>
      <c r="K93" s="85"/>
      <c r="L93" s="85"/>
      <c r="M93" s="85"/>
      <c r="N93" s="85"/>
      <c r="O93" s="98"/>
      <c r="P93" s="99"/>
      <c r="Q93" s="100"/>
      <c r="R93" s="100"/>
      <c r="S93" s="100"/>
      <c r="T93" s="100"/>
      <c r="U93" s="100"/>
      <c r="V93" s="100"/>
    </row>
    <row r="94" spans="1:22" ht="21" customHeight="1" x14ac:dyDescent="0.15">
      <c r="A94" s="85"/>
      <c r="B94" s="85"/>
      <c r="C94" s="85"/>
      <c r="D94" s="85"/>
      <c r="E94" s="85"/>
      <c r="F94" s="85"/>
      <c r="G94" s="85"/>
      <c r="H94" s="85"/>
      <c r="I94" s="85"/>
      <c r="J94" s="85"/>
      <c r="K94" s="85"/>
      <c r="L94" s="85"/>
      <c r="M94" s="85"/>
      <c r="N94" s="85"/>
      <c r="O94" s="98"/>
      <c r="P94" s="99"/>
      <c r="Q94" s="100"/>
      <c r="R94" s="100"/>
      <c r="S94" s="100"/>
      <c r="T94" s="100"/>
      <c r="U94" s="100"/>
      <c r="V94" s="100"/>
    </row>
    <row r="95" spans="1:22" ht="21" customHeight="1" x14ac:dyDescent="0.15">
      <c r="A95" s="85"/>
      <c r="B95" s="85"/>
      <c r="C95" s="85"/>
      <c r="D95" s="85"/>
      <c r="E95" s="85"/>
      <c r="F95" s="85"/>
      <c r="G95" s="85"/>
      <c r="H95" s="85"/>
      <c r="I95" s="85"/>
      <c r="J95" s="85"/>
      <c r="K95" s="85"/>
      <c r="L95" s="85"/>
      <c r="M95" s="85"/>
      <c r="N95" s="85"/>
      <c r="O95" s="98"/>
      <c r="P95" s="99"/>
      <c r="Q95" s="100"/>
      <c r="R95" s="100"/>
      <c r="S95" s="100"/>
      <c r="T95" s="100"/>
      <c r="U95" s="100"/>
      <c r="V95" s="100"/>
    </row>
    <row r="96" spans="1:22" ht="21" customHeight="1" x14ac:dyDescent="0.15">
      <c r="A96" s="85"/>
      <c r="B96" s="85"/>
      <c r="C96" s="85"/>
      <c r="D96" s="85"/>
      <c r="E96" s="85"/>
      <c r="F96" s="85"/>
      <c r="G96" s="85"/>
      <c r="H96" s="85"/>
      <c r="I96" s="85"/>
      <c r="J96" s="85"/>
      <c r="K96" s="85"/>
      <c r="L96" s="85"/>
      <c r="M96" s="85"/>
      <c r="N96" s="85"/>
      <c r="O96" s="98"/>
      <c r="P96" s="99"/>
      <c r="Q96" s="100"/>
      <c r="R96" s="100"/>
      <c r="S96" s="100"/>
      <c r="T96" s="100"/>
      <c r="U96" s="100"/>
      <c r="V96" s="100"/>
    </row>
    <row r="97" spans="1:22" ht="21" customHeight="1" x14ac:dyDescent="0.15">
      <c r="A97" s="85"/>
      <c r="B97" s="85"/>
      <c r="C97" s="85"/>
      <c r="D97" s="85"/>
      <c r="E97" s="85"/>
      <c r="F97" s="85"/>
      <c r="G97" s="85"/>
      <c r="H97" s="85"/>
      <c r="I97" s="85"/>
      <c r="J97" s="85"/>
      <c r="K97" s="85"/>
      <c r="L97" s="85"/>
      <c r="M97" s="85"/>
      <c r="N97" s="85"/>
      <c r="O97" s="98"/>
      <c r="P97" s="99"/>
      <c r="Q97" s="100"/>
      <c r="R97" s="100"/>
      <c r="S97" s="100"/>
      <c r="T97" s="100"/>
      <c r="U97" s="100"/>
      <c r="V97" s="100"/>
    </row>
    <row r="98" spans="1:22" ht="21" customHeight="1" x14ac:dyDescent="0.15">
      <c r="A98" s="85"/>
      <c r="B98" s="85"/>
      <c r="C98" s="85"/>
      <c r="D98" s="85"/>
      <c r="E98" s="85"/>
      <c r="F98" s="85"/>
      <c r="G98" s="85"/>
      <c r="H98" s="85"/>
      <c r="I98" s="85"/>
      <c r="J98" s="85"/>
      <c r="K98" s="85"/>
      <c r="L98" s="85"/>
      <c r="M98" s="85"/>
      <c r="N98" s="85"/>
      <c r="O98" s="98"/>
      <c r="P98" s="99"/>
      <c r="Q98" s="100"/>
      <c r="R98" s="100"/>
      <c r="S98" s="100"/>
      <c r="T98" s="100"/>
      <c r="U98" s="100"/>
      <c r="V98" s="100"/>
    </row>
    <row r="99" spans="1:22" ht="21" customHeight="1" x14ac:dyDescent="0.15">
      <c r="A99" s="85"/>
      <c r="B99" s="85"/>
      <c r="C99" s="85"/>
      <c r="D99" s="85"/>
      <c r="E99" s="85"/>
      <c r="F99" s="85"/>
      <c r="G99" s="85"/>
      <c r="H99" s="85"/>
      <c r="I99" s="85"/>
      <c r="J99" s="85"/>
      <c r="K99" s="85"/>
      <c r="L99" s="85"/>
      <c r="M99" s="85"/>
      <c r="N99" s="85"/>
      <c r="O99" s="98"/>
      <c r="P99" s="99"/>
      <c r="Q99" s="100"/>
      <c r="R99" s="100"/>
      <c r="S99" s="100"/>
      <c r="T99" s="100"/>
      <c r="U99" s="100"/>
      <c r="V99" s="100"/>
    </row>
    <row r="100" spans="1:22" ht="21" customHeight="1" x14ac:dyDescent="0.15">
      <c r="A100" s="85"/>
      <c r="B100" s="85"/>
      <c r="C100" s="85"/>
      <c r="D100" s="85"/>
      <c r="E100" s="85"/>
      <c r="F100" s="85"/>
      <c r="G100" s="85"/>
      <c r="H100" s="85"/>
      <c r="I100" s="85"/>
      <c r="J100" s="85"/>
      <c r="K100" s="85"/>
      <c r="L100" s="85"/>
      <c r="M100" s="85"/>
      <c r="N100" s="85"/>
      <c r="O100" s="98"/>
      <c r="P100" s="99"/>
      <c r="Q100" s="100"/>
      <c r="R100" s="100"/>
      <c r="S100" s="100"/>
      <c r="T100" s="100"/>
      <c r="U100" s="100"/>
      <c r="V100" s="100"/>
    </row>
    <row r="101" spans="1:22" ht="21" customHeight="1" x14ac:dyDescent="0.15">
      <c r="A101" s="85"/>
      <c r="B101" s="85"/>
      <c r="C101" s="85"/>
      <c r="D101" s="85"/>
      <c r="E101" s="85"/>
      <c r="F101" s="85"/>
      <c r="G101" s="85"/>
      <c r="H101" s="85"/>
      <c r="I101" s="85"/>
      <c r="J101" s="85"/>
      <c r="K101" s="85"/>
      <c r="L101" s="85"/>
      <c r="M101" s="85"/>
      <c r="N101" s="85"/>
      <c r="O101" s="98"/>
      <c r="P101" s="99"/>
      <c r="Q101" s="100"/>
      <c r="R101" s="100"/>
      <c r="S101" s="100"/>
      <c r="T101" s="100"/>
      <c r="U101" s="100"/>
      <c r="V101" s="100"/>
    </row>
    <row r="102" spans="1:22" ht="21" customHeight="1" x14ac:dyDescent="0.15">
      <c r="A102" s="85"/>
      <c r="B102" s="85"/>
      <c r="C102" s="85"/>
      <c r="D102" s="85"/>
      <c r="E102" s="85"/>
      <c r="F102" s="85"/>
      <c r="G102" s="85"/>
      <c r="H102" s="85"/>
      <c r="I102" s="85"/>
      <c r="J102" s="85"/>
      <c r="K102" s="85"/>
      <c r="L102" s="85"/>
      <c r="M102" s="85"/>
      <c r="N102" s="85"/>
      <c r="O102" s="98"/>
      <c r="P102" s="99"/>
      <c r="Q102" s="100"/>
      <c r="R102" s="100"/>
      <c r="S102" s="100"/>
      <c r="T102" s="100"/>
      <c r="U102" s="100"/>
      <c r="V102" s="100"/>
    </row>
    <row r="103" spans="1:22" ht="21" customHeight="1" x14ac:dyDescent="0.15">
      <c r="A103" s="85"/>
      <c r="B103" s="85"/>
      <c r="C103" s="85"/>
      <c r="D103" s="85"/>
      <c r="E103" s="85"/>
      <c r="F103" s="85"/>
      <c r="G103" s="85"/>
      <c r="H103" s="85"/>
      <c r="I103" s="85"/>
      <c r="J103" s="85"/>
      <c r="K103" s="85"/>
      <c r="L103" s="85"/>
      <c r="M103" s="85"/>
      <c r="N103" s="85"/>
      <c r="O103" s="98"/>
      <c r="P103" s="99"/>
      <c r="Q103" s="100"/>
      <c r="R103" s="100"/>
      <c r="S103" s="100"/>
      <c r="T103" s="100"/>
      <c r="U103" s="100"/>
      <c r="V103" s="100"/>
    </row>
    <row r="104" spans="1:22" ht="21" customHeight="1" x14ac:dyDescent="0.15">
      <c r="A104" s="85"/>
      <c r="B104" s="85"/>
      <c r="C104" s="85"/>
      <c r="D104" s="85"/>
      <c r="E104" s="85"/>
      <c r="F104" s="85"/>
      <c r="G104" s="85"/>
      <c r="H104" s="85"/>
      <c r="I104" s="85"/>
      <c r="J104" s="85"/>
      <c r="K104" s="85"/>
      <c r="L104" s="85"/>
      <c r="M104" s="85"/>
      <c r="N104" s="85"/>
      <c r="O104" s="98"/>
      <c r="P104" s="99"/>
      <c r="Q104" s="100"/>
      <c r="R104" s="100"/>
      <c r="S104" s="100"/>
      <c r="T104" s="100"/>
      <c r="U104" s="100"/>
      <c r="V104" s="100"/>
    </row>
    <row r="105" spans="1:22" ht="21" customHeight="1" x14ac:dyDescent="0.15">
      <c r="A105" s="85"/>
      <c r="B105" s="85"/>
      <c r="C105" s="85"/>
      <c r="D105" s="85"/>
      <c r="E105" s="85"/>
      <c r="F105" s="85"/>
      <c r="G105" s="85"/>
      <c r="H105" s="85"/>
      <c r="I105" s="85"/>
      <c r="J105" s="85"/>
      <c r="K105" s="85"/>
      <c r="L105" s="85"/>
      <c r="M105" s="85"/>
      <c r="N105" s="85"/>
      <c r="O105" s="98"/>
      <c r="P105" s="99"/>
      <c r="Q105" s="100"/>
      <c r="R105" s="100"/>
      <c r="S105" s="100"/>
      <c r="T105" s="100"/>
      <c r="U105" s="100"/>
      <c r="V105" s="100"/>
    </row>
    <row r="106" spans="1:22" ht="21" customHeight="1" x14ac:dyDescent="0.15">
      <c r="A106" s="85"/>
      <c r="B106" s="85"/>
      <c r="C106" s="85"/>
      <c r="D106" s="85"/>
      <c r="E106" s="85"/>
      <c r="F106" s="85"/>
      <c r="G106" s="85"/>
      <c r="H106" s="85"/>
      <c r="I106" s="85"/>
      <c r="J106" s="85"/>
      <c r="K106" s="85"/>
      <c r="L106" s="85"/>
      <c r="M106" s="85"/>
      <c r="N106" s="85"/>
      <c r="O106" s="98"/>
      <c r="P106" s="99"/>
      <c r="Q106" s="100"/>
      <c r="R106" s="100"/>
      <c r="S106" s="100"/>
      <c r="T106" s="100"/>
      <c r="U106" s="100"/>
      <c r="V106" s="100"/>
    </row>
    <row r="107" spans="1:22" ht="21" customHeight="1" x14ac:dyDescent="0.15">
      <c r="A107" s="85"/>
      <c r="B107" s="85"/>
      <c r="C107" s="85"/>
      <c r="D107" s="85"/>
      <c r="E107" s="85"/>
      <c r="F107" s="85"/>
      <c r="G107" s="85"/>
      <c r="H107" s="85"/>
      <c r="I107" s="85"/>
      <c r="J107" s="85"/>
      <c r="K107" s="85"/>
      <c r="L107" s="85"/>
      <c r="M107" s="85"/>
      <c r="N107" s="85"/>
      <c r="O107" s="98"/>
      <c r="P107" s="99"/>
      <c r="Q107" s="100"/>
      <c r="R107" s="100"/>
      <c r="S107" s="100"/>
      <c r="T107" s="100"/>
      <c r="U107" s="100"/>
      <c r="V107" s="100"/>
    </row>
    <row r="108" spans="1:22" ht="21" customHeight="1" x14ac:dyDescent="0.15">
      <c r="A108" s="85"/>
      <c r="B108" s="85"/>
      <c r="C108" s="85"/>
      <c r="D108" s="85"/>
      <c r="E108" s="85"/>
      <c r="F108" s="85"/>
      <c r="G108" s="85"/>
      <c r="H108" s="85"/>
      <c r="I108" s="85"/>
      <c r="J108" s="85"/>
      <c r="K108" s="85"/>
      <c r="L108" s="85"/>
      <c r="M108" s="85"/>
      <c r="N108" s="85"/>
      <c r="O108" s="98"/>
      <c r="P108" s="99"/>
      <c r="Q108" s="100"/>
      <c r="R108" s="100"/>
      <c r="S108" s="100"/>
      <c r="T108" s="100"/>
      <c r="U108" s="100"/>
      <c r="V108" s="100"/>
    </row>
    <row r="109" spans="1:22" ht="21" customHeight="1" x14ac:dyDescent="0.15">
      <c r="A109" s="85"/>
      <c r="B109" s="85"/>
      <c r="C109" s="85"/>
      <c r="D109" s="85"/>
      <c r="E109" s="85"/>
      <c r="F109" s="85"/>
      <c r="G109" s="85"/>
      <c r="H109" s="85"/>
      <c r="I109" s="85"/>
      <c r="J109" s="85"/>
      <c r="K109" s="85"/>
      <c r="L109" s="85"/>
      <c r="M109" s="85"/>
      <c r="N109" s="85"/>
      <c r="O109" s="98"/>
      <c r="P109" s="99"/>
      <c r="Q109" s="100"/>
      <c r="R109" s="100"/>
      <c r="S109" s="100"/>
      <c r="T109" s="100"/>
      <c r="U109" s="100"/>
      <c r="V109" s="100"/>
    </row>
    <row r="110" spans="1:22" ht="21" customHeight="1" x14ac:dyDescent="0.15">
      <c r="A110" s="85"/>
      <c r="B110" s="85"/>
      <c r="C110" s="85"/>
      <c r="D110" s="85"/>
      <c r="E110" s="85"/>
      <c r="F110" s="85"/>
      <c r="G110" s="85"/>
      <c r="H110" s="85"/>
      <c r="I110" s="85"/>
      <c r="J110" s="85"/>
      <c r="K110" s="85"/>
      <c r="L110" s="85"/>
      <c r="M110" s="85"/>
      <c r="N110" s="85"/>
      <c r="O110" s="98"/>
      <c r="P110" s="99"/>
      <c r="Q110" s="100"/>
      <c r="R110" s="100"/>
      <c r="S110" s="100"/>
      <c r="T110" s="100"/>
      <c r="U110" s="100"/>
      <c r="V110" s="100"/>
    </row>
    <row r="111" spans="1:22" ht="21" customHeight="1" x14ac:dyDescent="0.15">
      <c r="A111" s="85"/>
      <c r="B111" s="85"/>
      <c r="C111" s="85"/>
      <c r="D111" s="85"/>
      <c r="E111" s="85"/>
      <c r="F111" s="85"/>
      <c r="G111" s="85"/>
      <c r="H111" s="85"/>
      <c r="I111" s="85"/>
      <c r="J111" s="85"/>
      <c r="K111" s="85"/>
      <c r="L111" s="85"/>
      <c r="M111" s="85"/>
      <c r="N111" s="85"/>
      <c r="O111" s="98"/>
      <c r="P111" s="99"/>
      <c r="Q111" s="100"/>
      <c r="R111" s="100"/>
      <c r="S111" s="100"/>
      <c r="T111" s="100"/>
      <c r="U111" s="100"/>
      <c r="V111" s="100"/>
    </row>
    <row r="112" spans="1:22" ht="21" customHeight="1" x14ac:dyDescent="0.15">
      <c r="A112" s="85"/>
      <c r="B112" s="85"/>
      <c r="C112" s="85"/>
      <c r="D112" s="85"/>
      <c r="E112" s="85"/>
      <c r="F112" s="85"/>
      <c r="G112" s="85"/>
      <c r="H112" s="85"/>
      <c r="I112" s="85"/>
      <c r="J112" s="85"/>
      <c r="K112" s="85"/>
      <c r="L112" s="85"/>
      <c r="M112" s="85"/>
      <c r="N112" s="85"/>
      <c r="O112" s="98"/>
      <c r="P112" s="99"/>
      <c r="Q112" s="100"/>
      <c r="R112" s="100"/>
      <c r="S112" s="100"/>
      <c r="T112" s="100"/>
      <c r="U112" s="100"/>
      <c r="V112" s="100"/>
    </row>
    <row r="113" spans="1:22" ht="21" customHeight="1" x14ac:dyDescent="0.15">
      <c r="A113" s="85"/>
      <c r="B113" s="85"/>
      <c r="C113" s="85"/>
      <c r="D113" s="85"/>
      <c r="E113" s="85"/>
      <c r="F113" s="85"/>
      <c r="G113" s="85"/>
      <c r="H113" s="85"/>
      <c r="I113" s="85"/>
      <c r="J113" s="85"/>
      <c r="K113" s="85"/>
      <c r="L113" s="85"/>
      <c r="M113" s="85"/>
      <c r="N113" s="85"/>
      <c r="O113" s="98"/>
      <c r="P113" s="99"/>
      <c r="Q113" s="100"/>
      <c r="R113" s="100"/>
      <c r="S113" s="100"/>
      <c r="T113" s="100"/>
      <c r="U113" s="100"/>
      <c r="V113" s="100"/>
    </row>
    <row r="114" spans="1:22" ht="21" customHeight="1" x14ac:dyDescent="0.15">
      <c r="A114" s="85"/>
      <c r="B114" s="85"/>
      <c r="C114" s="85"/>
      <c r="D114" s="85"/>
      <c r="E114" s="85"/>
      <c r="F114" s="85"/>
      <c r="G114" s="85"/>
      <c r="H114" s="85"/>
      <c r="I114" s="85"/>
      <c r="J114" s="85"/>
      <c r="K114" s="85"/>
      <c r="L114" s="85"/>
      <c r="M114" s="85"/>
      <c r="N114" s="85"/>
      <c r="O114" s="98"/>
      <c r="P114" s="99"/>
      <c r="Q114" s="100"/>
      <c r="R114" s="100"/>
      <c r="S114" s="100"/>
      <c r="T114" s="100"/>
      <c r="U114" s="100"/>
      <c r="V114" s="100"/>
    </row>
    <row r="115" spans="1:22" ht="21" customHeight="1" x14ac:dyDescent="0.15">
      <c r="A115" s="85"/>
      <c r="B115" s="85"/>
      <c r="C115" s="85"/>
      <c r="D115" s="85"/>
      <c r="E115" s="85"/>
      <c r="F115" s="85"/>
      <c r="G115" s="85"/>
      <c r="H115" s="85"/>
      <c r="I115" s="85"/>
      <c r="J115" s="85"/>
      <c r="K115" s="85"/>
      <c r="L115" s="85"/>
      <c r="M115" s="85"/>
      <c r="N115" s="85"/>
      <c r="O115" s="98"/>
      <c r="P115" s="99"/>
      <c r="Q115" s="100"/>
      <c r="R115" s="100"/>
      <c r="S115" s="100"/>
      <c r="T115" s="100"/>
      <c r="U115" s="100"/>
      <c r="V115" s="100"/>
    </row>
    <row r="116" spans="1:22" ht="21" customHeight="1" x14ac:dyDescent="0.15">
      <c r="A116" s="85"/>
      <c r="B116" s="85"/>
      <c r="C116" s="85"/>
      <c r="D116" s="85"/>
      <c r="E116" s="85"/>
      <c r="F116" s="85"/>
      <c r="G116" s="85"/>
      <c r="H116" s="85"/>
      <c r="I116" s="85"/>
      <c r="J116" s="85"/>
      <c r="K116" s="85"/>
      <c r="L116" s="85"/>
      <c r="M116" s="85"/>
      <c r="N116" s="85"/>
      <c r="O116" s="98"/>
      <c r="P116" s="99"/>
      <c r="Q116" s="100"/>
      <c r="R116" s="100"/>
      <c r="S116" s="100"/>
      <c r="T116" s="100"/>
      <c r="U116" s="100"/>
      <c r="V116" s="100"/>
    </row>
    <row r="117" spans="1:22" ht="21" customHeight="1" x14ac:dyDescent="0.15">
      <c r="A117" s="85"/>
      <c r="B117" s="85"/>
      <c r="C117" s="85"/>
      <c r="D117" s="85"/>
      <c r="E117" s="85"/>
      <c r="F117" s="85"/>
      <c r="G117" s="85"/>
      <c r="H117" s="85"/>
      <c r="I117" s="85"/>
      <c r="J117" s="85"/>
      <c r="K117" s="85"/>
      <c r="L117" s="85"/>
      <c r="M117" s="85"/>
      <c r="N117" s="85"/>
      <c r="O117" s="98"/>
      <c r="P117" s="99"/>
      <c r="Q117" s="100"/>
      <c r="R117" s="100"/>
      <c r="S117" s="100"/>
      <c r="T117" s="100"/>
      <c r="U117" s="100"/>
      <c r="V117" s="100"/>
    </row>
    <row r="118" spans="1:22" ht="21" customHeight="1" x14ac:dyDescent="0.15">
      <c r="A118" s="85"/>
      <c r="B118" s="85"/>
      <c r="C118" s="85"/>
      <c r="D118" s="85"/>
      <c r="E118" s="85"/>
      <c r="F118" s="85"/>
      <c r="G118" s="85"/>
      <c r="H118" s="85"/>
      <c r="I118" s="85"/>
      <c r="J118" s="85"/>
      <c r="K118" s="85"/>
      <c r="L118" s="85"/>
      <c r="M118" s="85"/>
      <c r="N118" s="85"/>
      <c r="O118" s="98"/>
      <c r="P118" s="99"/>
      <c r="Q118" s="100"/>
      <c r="R118" s="100"/>
      <c r="S118" s="100"/>
      <c r="T118" s="100"/>
      <c r="U118" s="100"/>
      <c r="V118" s="100"/>
    </row>
    <row r="119" spans="1:22" ht="21" customHeight="1" x14ac:dyDescent="0.15">
      <c r="A119" s="85"/>
      <c r="B119" s="85"/>
      <c r="C119" s="85"/>
      <c r="D119" s="85"/>
      <c r="E119" s="85"/>
      <c r="F119" s="85"/>
      <c r="G119" s="85"/>
      <c r="H119" s="85"/>
      <c r="I119" s="85"/>
      <c r="J119" s="85"/>
      <c r="K119" s="85"/>
      <c r="L119" s="85"/>
      <c r="M119" s="85"/>
      <c r="N119" s="85"/>
      <c r="O119" s="98"/>
      <c r="P119" s="99"/>
      <c r="Q119" s="100"/>
      <c r="R119" s="100"/>
      <c r="S119" s="100"/>
      <c r="T119" s="100"/>
      <c r="U119" s="100"/>
      <c r="V119" s="100"/>
    </row>
    <row r="120" spans="1:22" ht="21" customHeight="1" x14ac:dyDescent="0.15">
      <c r="A120" s="85"/>
      <c r="B120" s="85"/>
      <c r="C120" s="85"/>
      <c r="D120" s="85"/>
      <c r="E120" s="85"/>
      <c r="F120" s="85"/>
      <c r="G120" s="85"/>
      <c r="H120" s="85"/>
      <c r="I120" s="85"/>
      <c r="J120" s="85"/>
      <c r="K120" s="85"/>
      <c r="L120" s="85"/>
      <c r="M120" s="85"/>
      <c r="N120" s="85"/>
      <c r="O120" s="98"/>
      <c r="P120" s="99"/>
      <c r="Q120" s="100"/>
      <c r="R120" s="100"/>
      <c r="S120" s="100"/>
      <c r="T120" s="100"/>
      <c r="U120" s="100"/>
      <c r="V120" s="100"/>
    </row>
    <row r="121" spans="1:22" ht="21" customHeight="1" x14ac:dyDescent="0.15">
      <c r="A121" s="85"/>
      <c r="B121" s="85"/>
      <c r="C121" s="85"/>
      <c r="D121" s="85"/>
      <c r="E121" s="85"/>
      <c r="F121" s="85"/>
      <c r="G121" s="85"/>
      <c r="H121" s="85"/>
      <c r="I121" s="85"/>
      <c r="J121" s="85"/>
      <c r="K121" s="85"/>
      <c r="L121" s="85"/>
      <c r="M121" s="85"/>
      <c r="N121" s="85"/>
      <c r="O121" s="98"/>
      <c r="P121" s="99"/>
      <c r="Q121" s="100"/>
      <c r="R121" s="100"/>
      <c r="S121" s="100"/>
      <c r="T121" s="100"/>
      <c r="U121" s="100"/>
      <c r="V121" s="100"/>
    </row>
    <row r="122" spans="1:22" ht="21" customHeight="1" x14ac:dyDescent="0.15">
      <c r="A122" s="85"/>
      <c r="B122" s="85"/>
      <c r="C122" s="85"/>
      <c r="D122" s="85"/>
      <c r="E122" s="85"/>
      <c r="F122" s="85"/>
      <c r="G122" s="85"/>
      <c r="H122" s="85"/>
      <c r="I122" s="85"/>
      <c r="J122" s="85"/>
      <c r="K122" s="85"/>
      <c r="L122" s="85"/>
      <c r="M122" s="85"/>
      <c r="N122" s="85"/>
      <c r="O122" s="98"/>
      <c r="P122" s="99"/>
      <c r="Q122" s="100"/>
      <c r="R122" s="100"/>
      <c r="S122" s="100"/>
      <c r="T122" s="100"/>
      <c r="U122" s="100"/>
      <c r="V122" s="100"/>
    </row>
    <row r="123" spans="1:22" ht="21" customHeight="1" x14ac:dyDescent="0.15">
      <c r="A123" s="85"/>
      <c r="B123" s="85"/>
      <c r="C123" s="85"/>
      <c r="D123" s="85"/>
      <c r="E123" s="85"/>
      <c r="F123" s="85"/>
      <c r="G123" s="85"/>
      <c r="H123" s="85"/>
      <c r="I123" s="85"/>
      <c r="J123" s="85"/>
      <c r="K123" s="85"/>
      <c r="L123" s="85"/>
      <c r="M123" s="85"/>
      <c r="N123" s="85"/>
      <c r="O123" s="98"/>
      <c r="P123" s="99"/>
      <c r="Q123" s="100"/>
      <c r="R123" s="100"/>
      <c r="S123" s="100"/>
      <c r="T123" s="100"/>
      <c r="U123" s="100"/>
      <c r="V123" s="100"/>
    </row>
    <row r="124" spans="1:22" ht="21" customHeight="1" x14ac:dyDescent="0.15">
      <c r="A124" s="85"/>
      <c r="B124" s="85"/>
      <c r="C124" s="85"/>
      <c r="D124" s="85"/>
      <c r="E124" s="85"/>
      <c r="F124" s="85"/>
      <c r="G124" s="85"/>
      <c r="H124" s="85"/>
      <c r="I124" s="85"/>
      <c r="J124" s="85"/>
      <c r="K124" s="85"/>
      <c r="L124" s="85"/>
      <c r="M124" s="85"/>
      <c r="N124" s="85"/>
      <c r="O124" s="98"/>
      <c r="P124" s="99"/>
      <c r="Q124" s="100"/>
      <c r="R124" s="100"/>
      <c r="S124" s="100"/>
      <c r="T124" s="100"/>
      <c r="U124" s="100"/>
      <c r="V124" s="100"/>
    </row>
    <row r="125" spans="1:22" ht="21" customHeight="1" x14ac:dyDescent="0.15">
      <c r="A125" s="85"/>
      <c r="B125" s="85"/>
      <c r="C125" s="85"/>
      <c r="D125" s="85"/>
      <c r="E125" s="85"/>
      <c r="F125" s="85"/>
      <c r="G125" s="85"/>
      <c r="H125" s="85"/>
      <c r="I125" s="85"/>
      <c r="J125" s="85"/>
      <c r="K125" s="85"/>
      <c r="L125" s="85"/>
      <c r="M125" s="85"/>
      <c r="N125" s="85"/>
      <c r="O125" s="98"/>
      <c r="P125" s="99"/>
      <c r="Q125" s="100"/>
      <c r="R125" s="100"/>
      <c r="S125" s="100"/>
      <c r="T125" s="100"/>
      <c r="U125" s="100"/>
      <c r="V125" s="100"/>
    </row>
    <row r="126" spans="1:22" ht="21" customHeight="1" x14ac:dyDescent="0.15">
      <c r="A126" s="85"/>
      <c r="B126" s="85"/>
      <c r="C126" s="85"/>
      <c r="D126" s="85"/>
      <c r="E126" s="85"/>
      <c r="F126" s="85"/>
      <c r="G126" s="85"/>
      <c r="H126" s="85"/>
      <c r="I126" s="85"/>
      <c r="J126" s="85"/>
      <c r="K126" s="85"/>
      <c r="L126" s="85"/>
      <c r="M126" s="85"/>
      <c r="N126" s="85"/>
      <c r="O126" s="98"/>
      <c r="P126" s="99"/>
      <c r="Q126" s="100"/>
      <c r="R126" s="100"/>
      <c r="S126" s="100"/>
      <c r="T126" s="100"/>
      <c r="U126" s="100"/>
      <c r="V126" s="100"/>
    </row>
    <row r="127" spans="1:22" ht="21" customHeight="1" x14ac:dyDescent="0.15">
      <c r="A127" s="85"/>
      <c r="B127" s="85"/>
      <c r="C127" s="85"/>
      <c r="D127" s="85"/>
      <c r="E127" s="85"/>
      <c r="F127" s="85"/>
      <c r="G127" s="85"/>
      <c r="H127" s="85"/>
      <c r="I127" s="85"/>
      <c r="J127" s="85"/>
      <c r="K127" s="85"/>
      <c r="L127" s="85"/>
      <c r="M127" s="85"/>
      <c r="N127" s="85"/>
      <c r="O127" s="98"/>
      <c r="P127" s="99"/>
      <c r="Q127" s="100"/>
      <c r="R127" s="100"/>
      <c r="S127" s="100"/>
      <c r="T127" s="100"/>
      <c r="U127" s="100"/>
      <c r="V127" s="100"/>
    </row>
    <row r="128" spans="1:22" ht="21" customHeight="1" x14ac:dyDescent="0.15">
      <c r="A128" s="85"/>
      <c r="B128" s="85"/>
      <c r="C128" s="85"/>
      <c r="D128" s="85"/>
      <c r="E128" s="85"/>
      <c r="F128" s="85"/>
      <c r="G128" s="85"/>
      <c r="H128" s="85"/>
      <c r="I128" s="85"/>
      <c r="J128" s="85"/>
      <c r="K128" s="85"/>
      <c r="L128" s="85"/>
      <c r="M128" s="85"/>
      <c r="N128" s="85"/>
      <c r="O128" s="98"/>
      <c r="P128" s="99"/>
      <c r="Q128" s="100"/>
      <c r="R128" s="100"/>
      <c r="S128" s="100"/>
      <c r="T128" s="100"/>
      <c r="U128" s="100"/>
      <c r="V128" s="100"/>
    </row>
    <row r="129" spans="1:22" ht="21" customHeight="1" x14ac:dyDescent="0.15">
      <c r="A129" s="85"/>
      <c r="B129" s="85"/>
      <c r="C129" s="85"/>
      <c r="D129" s="85"/>
      <c r="E129" s="85"/>
      <c r="F129" s="85"/>
      <c r="G129" s="85"/>
      <c r="H129" s="85"/>
      <c r="I129" s="85"/>
      <c r="J129" s="85"/>
      <c r="K129" s="85"/>
      <c r="L129" s="85"/>
      <c r="M129" s="85"/>
      <c r="N129" s="85"/>
      <c r="O129" s="98"/>
      <c r="P129" s="99"/>
      <c r="Q129" s="100"/>
      <c r="R129" s="100"/>
      <c r="S129" s="100"/>
      <c r="T129" s="100"/>
      <c r="U129" s="100"/>
      <c r="V129" s="100"/>
    </row>
    <row r="130" spans="1:22" ht="21" customHeight="1" x14ac:dyDescent="0.15">
      <c r="A130" s="85"/>
      <c r="B130" s="85"/>
      <c r="C130" s="85"/>
      <c r="D130" s="85"/>
      <c r="E130" s="85"/>
      <c r="F130" s="85"/>
      <c r="G130" s="85"/>
      <c r="H130" s="85"/>
      <c r="I130" s="85"/>
      <c r="J130" s="85"/>
      <c r="K130" s="85"/>
      <c r="L130" s="85"/>
      <c r="M130" s="85"/>
      <c r="N130" s="85"/>
      <c r="O130" s="98"/>
      <c r="P130" s="99"/>
      <c r="Q130" s="100"/>
      <c r="R130" s="100"/>
      <c r="S130" s="100"/>
      <c r="T130" s="100"/>
      <c r="U130" s="100"/>
      <c r="V130" s="100"/>
    </row>
    <row r="131" spans="1:22" ht="21" customHeight="1" x14ac:dyDescent="0.15">
      <c r="A131" s="85"/>
      <c r="B131" s="85"/>
      <c r="C131" s="85"/>
      <c r="D131" s="85"/>
      <c r="E131" s="85"/>
      <c r="F131" s="85"/>
      <c r="G131" s="85"/>
      <c r="H131" s="85"/>
      <c r="I131" s="85"/>
      <c r="J131" s="85"/>
      <c r="K131" s="85"/>
      <c r="L131" s="85"/>
      <c r="M131" s="85"/>
      <c r="N131" s="85"/>
      <c r="O131" s="98"/>
      <c r="P131" s="99"/>
      <c r="Q131" s="100"/>
      <c r="R131" s="100"/>
      <c r="S131" s="100"/>
      <c r="T131" s="100"/>
      <c r="U131" s="100"/>
      <c r="V131" s="100"/>
    </row>
    <row r="132" spans="1:22" ht="21" customHeight="1" x14ac:dyDescent="0.15">
      <c r="A132" s="85"/>
      <c r="B132" s="85"/>
      <c r="C132" s="85"/>
      <c r="D132" s="85"/>
      <c r="E132" s="85"/>
      <c r="F132" s="85"/>
      <c r="G132" s="85"/>
      <c r="H132" s="85"/>
      <c r="I132" s="85"/>
      <c r="J132" s="85"/>
      <c r="K132" s="85"/>
      <c r="L132" s="85"/>
      <c r="M132" s="85"/>
      <c r="N132" s="85"/>
      <c r="O132" s="98"/>
      <c r="P132" s="99"/>
      <c r="Q132" s="100"/>
      <c r="R132" s="100"/>
      <c r="S132" s="100"/>
      <c r="T132" s="100"/>
      <c r="U132" s="100"/>
      <c r="V132" s="100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2" t="s">
        <v>10</v>
      </c>
      <c r="B1" s="22" t="s">
        <v>13</v>
      </c>
      <c r="C1" s="13" t="s">
        <v>15</v>
      </c>
      <c r="D1" s="13" t="s">
        <v>16</v>
      </c>
      <c r="E1" s="13" t="s">
        <v>17</v>
      </c>
      <c r="F1" s="12" t="s">
        <v>2</v>
      </c>
      <c r="G1" s="51" t="s">
        <v>88</v>
      </c>
      <c r="H1" s="51" t="s">
        <v>89</v>
      </c>
      <c r="I1" s="52" t="s">
        <v>90</v>
      </c>
      <c r="J1" s="52" t="s">
        <v>91</v>
      </c>
      <c r="K1" s="52" t="s">
        <v>92</v>
      </c>
      <c r="L1" s="52" t="s">
        <v>93</v>
      </c>
      <c r="M1" s="52" t="s">
        <v>94</v>
      </c>
      <c r="N1" s="12" t="s">
        <v>18</v>
      </c>
      <c r="O1" s="12" t="s">
        <v>19</v>
      </c>
      <c r="P1" s="12" t="s">
        <v>20</v>
      </c>
      <c r="Q1" s="12" t="s">
        <v>21</v>
      </c>
    </row>
    <row r="2" spans="1:17" ht="21" customHeight="1" x14ac:dyDescent="0.15">
      <c r="A2" s="77"/>
      <c r="B2" s="77"/>
      <c r="C2" s="78"/>
      <c r="D2" s="78"/>
      <c r="E2" s="78"/>
      <c r="F2" s="78"/>
      <c r="G2" s="1"/>
      <c r="H2" s="1"/>
      <c r="I2" s="1"/>
      <c r="J2" s="1"/>
      <c r="K2" s="1"/>
      <c r="L2" s="1"/>
      <c r="M2" s="1"/>
      <c r="N2" s="78"/>
      <c r="O2" s="78"/>
      <c r="P2" s="78"/>
      <c r="Q2" s="79"/>
    </row>
    <row r="3" spans="1:17" ht="21" customHeight="1" x14ac:dyDescent="0.15">
      <c r="A3" s="77"/>
      <c r="B3" s="77"/>
      <c r="G3" s="85"/>
      <c r="H3" s="85"/>
      <c r="I3" s="85"/>
      <c r="J3" s="85"/>
      <c r="K3" s="85"/>
      <c r="L3" s="85"/>
      <c r="M3" s="85"/>
      <c r="N3" s="78"/>
      <c r="O3" s="78"/>
      <c r="P3" s="78"/>
      <c r="Q3" s="79"/>
    </row>
    <row r="4" spans="1:17" ht="21" customHeight="1" x14ac:dyDescent="0.15">
      <c r="A4" s="77"/>
      <c r="B4" s="77"/>
      <c r="G4" s="85"/>
      <c r="H4" s="85"/>
      <c r="I4" s="85"/>
      <c r="J4" s="85"/>
      <c r="K4" s="85"/>
      <c r="L4" s="85"/>
      <c r="M4" s="85"/>
      <c r="N4" s="78"/>
      <c r="O4" s="78"/>
      <c r="P4" s="78"/>
      <c r="Q4" s="79"/>
    </row>
    <row r="5" spans="1:17" ht="21" customHeight="1" x14ac:dyDescent="0.15">
      <c r="A5" s="77"/>
      <c r="B5" s="77"/>
      <c r="G5" s="85"/>
      <c r="H5" s="85"/>
      <c r="I5" s="85"/>
      <c r="J5" s="85"/>
      <c r="K5" s="85"/>
      <c r="L5" s="85"/>
      <c r="M5" s="85"/>
      <c r="N5" s="78"/>
      <c r="O5" s="78"/>
      <c r="P5" s="78"/>
      <c r="Q5" s="79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9">
        <v>668</v>
      </c>
      <c r="B246" s="7" t="str">
        <f>VLOOKUP(A246,[1]characters!$A:$C,3,FALSE)</f>
        <v>アグニ</v>
      </c>
    </row>
    <row r="247" spans="1:2" x14ac:dyDescent="0.15">
      <c r="A247" s="59">
        <v>669</v>
      </c>
      <c r="B247" s="7" t="str">
        <f>VLOOKUP(A247,[1]characters!$A:$C,3,FALSE)</f>
        <v>天地の仲界 アグニ</v>
      </c>
    </row>
    <row r="248" spans="1:2" x14ac:dyDescent="0.15">
      <c r="A248" s="59">
        <v>670</v>
      </c>
      <c r="B248" s="7" t="str">
        <f>VLOOKUP(A248,[1]characters!$A:$C,3,FALSE)</f>
        <v>陽天の噴煙 アグニ</v>
      </c>
    </row>
    <row r="249" spans="1:2" x14ac:dyDescent="0.15">
      <c r="A249" s="59">
        <v>671</v>
      </c>
      <c r="B249" s="7" t="str">
        <f>VLOOKUP(A249,[1]characters!$A:$C,3,FALSE)</f>
        <v>ハヌマーン</v>
      </c>
    </row>
    <row r="250" spans="1:2" x14ac:dyDescent="0.15">
      <c r="A250" s="59">
        <v>672</v>
      </c>
      <c r="B250" s="7" t="str">
        <f>VLOOKUP(A250,[1]characters!$A:$C,3,FALSE)</f>
        <v>西遊韋駄天 ハヌマーン</v>
      </c>
    </row>
    <row r="251" spans="1:2" x14ac:dyDescent="0.15">
      <c r="A251" s="59">
        <v>673</v>
      </c>
      <c r="B251" s="7" t="str">
        <f>VLOOKUP(A251,[1]characters!$A:$C,3,FALSE)</f>
        <v>変幻自在の猿王 ハヌマーン</v>
      </c>
    </row>
    <row r="252" spans="1:2" x14ac:dyDescent="0.15">
      <c r="A252" s="59">
        <v>674</v>
      </c>
      <c r="B252" s="7" t="str">
        <f>VLOOKUP(A252,[1]characters!$A:$C,3,FALSE)</f>
        <v>サラスヴァティ</v>
      </c>
    </row>
    <row r="253" spans="1:2" x14ac:dyDescent="0.15">
      <c r="A253" s="59">
        <v>675</v>
      </c>
      <c r="B253" s="7" t="str">
        <f>VLOOKUP(A253,[1]characters!$A:$C,3,FALSE)</f>
        <v>芸楽の奔流 サラスヴァティ</v>
      </c>
    </row>
    <row r="254" spans="1:2" x14ac:dyDescent="0.15">
      <c r="A254" s="59">
        <v>676</v>
      </c>
      <c r="B254" s="7" t="str">
        <f>VLOOKUP(A254,[1]characters!$A:$C,3,FALSE)</f>
        <v>ヴィシュヌ</v>
      </c>
    </row>
    <row r="255" spans="1:2" x14ac:dyDescent="0.15">
      <c r="A255" s="59">
        <v>677</v>
      </c>
      <c r="B255" s="7" t="str">
        <f>VLOOKUP(A255,[1]characters!$A:$C,3,FALSE)</f>
        <v>武遊闊歩 ヴィシュヌ</v>
      </c>
    </row>
    <row r="256" spans="1:2" x14ac:dyDescent="0.15">
      <c r="A256" s="59">
        <v>770</v>
      </c>
      <c r="B256" s="7" t="str">
        <f>VLOOKUP(A256,[1]characters!$A:$C,3,FALSE)</f>
        <v>ハヅル</v>
      </c>
    </row>
    <row r="257" spans="1:2" x14ac:dyDescent="0.15">
      <c r="A257" s="59">
        <v>771</v>
      </c>
      <c r="B257" s="7" t="str">
        <f>VLOOKUP(A257,[1]characters!$A:$C,3,FALSE)</f>
        <v>天織羽鶴 ハヅル</v>
      </c>
    </row>
    <row r="258" spans="1:2" x14ac:dyDescent="0.15">
      <c r="A258" s="59">
        <v>772</v>
      </c>
      <c r="B258" s="7" t="str">
        <f>VLOOKUP(A258,[1]characters!$A:$C,3,FALSE)</f>
        <v>イナバ</v>
      </c>
    </row>
    <row r="259" spans="1:2" x14ac:dyDescent="0.15">
      <c r="A259" s="59">
        <v>773</v>
      </c>
      <c r="B259" s="7" t="str">
        <f>VLOOKUP(A259,[1]characters!$A:$C,3,FALSE)</f>
        <v>浮跳天兎 イナバ</v>
      </c>
    </row>
    <row r="260" spans="1:2" x14ac:dyDescent="0.15">
      <c r="A260" s="59">
        <v>774</v>
      </c>
      <c r="B260" s="7" t="str">
        <f>VLOOKUP(A260,[1]characters!$A:$C,3,FALSE)</f>
        <v>ミズチ</v>
      </c>
    </row>
    <row r="261" spans="1:2" x14ac:dyDescent="0.15">
      <c r="A261" s="59">
        <v>775</v>
      </c>
      <c r="B261" s="7" t="str">
        <f>VLOOKUP(A261,[1]characters!$A:$C,3,FALSE)</f>
        <v>水底霊竜 ミズチ</v>
      </c>
    </row>
    <row r="262" spans="1:2" x14ac:dyDescent="0.15">
      <c r="A262" s="59">
        <v>776</v>
      </c>
      <c r="B262" s="7" t="str">
        <f>VLOOKUP(A262,[1]characters!$A:$C,3,FALSE)</f>
        <v>水竜底主 ミズチ</v>
      </c>
    </row>
    <row r="263" spans="1:2" x14ac:dyDescent="0.15">
      <c r="A263" s="59">
        <v>777</v>
      </c>
      <c r="B263" s="7" t="str">
        <f>VLOOKUP(A263,[1]characters!$A:$C,3,FALSE)</f>
        <v>ガメック</v>
      </c>
    </row>
    <row r="264" spans="1:2" x14ac:dyDescent="0.15">
      <c r="A264" s="59">
        <v>778</v>
      </c>
      <c r="B264" s="7" t="str">
        <f>VLOOKUP(A264,[1]characters!$A:$C,3,FALSE)</f>
        <v>一亀懸明 ガメック</v>
      </c>
    </row>
    <row r="265" spans="1:2" x14ac:dyDescent="0.15">
      <c r="A265" s="59">
        <v>779</v>
      </c>
      <c r="B265" s="7" t="str">
        <f>VLOOKUP(A265,[1]characters!$A:$C,3,FALSE)</f>
        <v>頑堅咬亀 ガメック</v>
      </c>
    </row>
    <row r="266" spans="1:2" x14ac:dyDescent="0.15">
      <c r="A266" s="59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7" t="s">
        <v>61</v>
      </c>
      <c r="B1" s="37"/>
    </row>
    <row r="2" spans="1:2" x14ac:dyDescent="0.15">
      <c r="A2" s="32" t="s">
        <v>1</v>
      </c>
      <c r="B2" s="36" t="s">
        <v>65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2">
        <v>169</v>
      </c>
      <c r="B6" s="36" t="str">
        <f>VLOOKUP(A6,[1]characters!$A:$C,3,FALSE)</f>
        <v>オセ</v>
      </c>
    </row>
    <row r="7" spans="1:2" x14ac:dyDescent="0.15">
      <c r="A7" s="32">
        <v>170</v>
      </c>
      <c r="B7" s="36" t="str">
        <f>VLOOKUP(A7,[1]characters!$A:$C,3,FALSE)</f>
        <v>識徒 オセ</v>
      </c>
    </row>
    <row r="8" spans="1:2" x14ac:dyDescent="0.15">
      <c r="A8" s="32">
        <v>171</v>
      </c>
      <c r="B8" s="36" t="str">
        <f>VLOOKUP(A8,[1]characters!$A:$C,3,FALSE)</f>
        <v>精解の預知者 オセ</v>
      </c>
    </row>
    <row r="9" spans="1:2" x14ac:dyDescent="0.15">
      <c r="A9" s="32">
        <v>172</v>
      </c>
      <c r="B9" s="36" t="str">
        <f>VLOOKUP(A9,[1]characters!$A:$C,3,FALSE)</f>
        <v>フォルネウス</v>
      </c>
    </row>
    <row r="10" spans="1:2" x14ac:dyDescent="0.15">
      <c r="A10" s="32">
        <v>173</v>
      </c>
      <c r="B10" s="36" t="str">
        <f>VLOOKUP(A10,[1]characters!$A:$C,3,FALSE)</f>
        <v>公爵 フォルネウス</v>
      </c>
    </row>
    <row r="11" spans="1:2" x14ac:dyDescent="0.15">
      <c r="A11" s="32">
        <v>174</v>
      </c>
      <c r="B11" s="36" t="str">
        <f>VLOOKUP(A11,[1]characters!$A:$C,3,FALSE)</f>
        <v>偽愛の大公爵 フォルネウス</v>
      </c>
    </row>
    <row r="12" spans="1:2" x14ac:dyDescent="0.15">
      <c r="A12" s="32">
        <v>235</v>
      </c>
      <c r="B12" s="36" t="str">
        <f>VLOOKUP(A12,[1]characters!$A:$C,3,FALSE)</f>
        <v>イザナミ</v>
      </c>
    </row>
    <row r="13" spans="1:2" x14ac:dyDescent="0.15">
      <c r="A13" s="32">
        <v>236</v>
      </c>
      <c r="B13" s="36" t="str">
        <f>VLOOKUP(A13,[1]characters!$A:$C,3,FALSE)</f>
        <v>神産 イザナミ</v>
      </c>
    </row>
    <row r="14" spans="1:2" x14ac:dyDescent="0.15">
      <c r="A14" s="32">
        <v>237</v>
      </c>
      <c r="B14" s="36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input_510010</vt:lpstr>
      <vt:lpstr>tables_510010</vt:lpstr>
      <vt:lpstr>input_510100</vt:lpstr>
      <vt:lpstr>tables_510100</vt:lpstr>
      <vt:lpstr>tables_settle_510100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2017-01-17T09:11:43Z</dcterms:modified>
</cp:coreProperties>
</file>