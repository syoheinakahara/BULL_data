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user/BULL_data/BULL_data/master_excel/"/>
    </mc:Choice>
  </mc:AlternateContent>
  <bookViews>
    <workbookView xWindow="0" yWindow="460" windowWidth="27320" windowHeight="13960" tabRatio="870"/>
  </bookViews>
  <sheets>
    <sheet name="output" sheetId="18" r:id="rId1"/>
    <sheet name="ranking_quests" sheetId="6" r:id="rId2"/>
    <sheet name="ranking_points" sheetId="20" r:id="rId3"/>
    <sheet name="ranking_titles" sheetId="21" r:id="rId4"/>
  </sheets>
  <externalReferences>
    <externalReference r:id="rId5"/>
  </externalReferenc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8" i="6" l="1"/>
  <c r="B27" i="6"/>
  <c r="B26" i="6"/>
  <c r="B25" i="6"/>
  <c r="B24" i="6"/>
  <c r="B23" i="6"/>
  <c r="B22" i="6"/>
  <c r="B21" i="6"/>
  <c r="B19" i="6"/>
  <c r="B20" i="6"/>
  <c r="B18" i="6"/>
  <c r="B17" i="6"/>
  <c r="B16" i="6"/>
  <c r="B15" i="6"/>
  <c r="B14" i="6"/>
  <c r="B13" i="6"/>
  <c r="B12" i="6"/>
  <c r="B11" i="6"/>
  <c r="B10" i="6"/>
  <c r="B9" i="6"/>
  <c r="I8" i="6"/>
  <c r="B8" i="6"/>
  <c r="M1" i="20"/>
  <c r="M3" i="20"/>
  <c r="M2" i="20"/>
  <c r="M4" i="20"/>
  <c r="L4" i="20"/>
  <c r="K4" i="21"/>
  <c r="K5" i="21"/>
  <c r="K6" i="21"/>
  <c r="K7" i="21"/>
  <c r="K8" i="21"/>
  <c r="K9" i="21"/>
  <c r="K10" i="21"/>
  <c r="K3" i="21"/>
  <c r="B7" i="6"/>
  <c r="B6" i="6"/>
  <c r="B5" i="6"/>
  <c r="B4" i="6"/>
  <c r="B3" i="6"/>
  <c r="E5" i="18"/>
  <c r="E6" i="18"/>
  <c r="E4" i="18"/>
  <c r="E3" i="18"/>
  <c r="B2" i="6"/>
  <c r="E2" i="18"/>
  <c r="B4" i="21"/>
  <c r="B10" i="21"/>
  <c r="B9" i="21"/>
  <c r="B8" i="21"/>
  <c r="B7" i="21"/>
  <c r="B6" i="21"/>
  <c r="B5" i="21"/>
</calcChain>
</file>

<file path=xl/comments1.xml><?xml version="1.0" encoding="utf-8"?>
<comments xmlns="http://schemas.openxmlformats.org/spreadsheetml/2006/main">
  <authors>
    <author>加藤 雅大</author>
  </authors>
  <commentList>
    <comment ref="I3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2"/>
            <charset val="128"/>
          </rPr>
          <t xml:space="preserve">
集計中メッセージ</t>
        </r>
      </text>
    </comment>
    <comment ref="J3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2"/>
            <charset val="128"/>
          </rPr>
          <t xml:space="preserve">
結果表示中メッセージ</t>
        </r>
      </text>
    </comment>
    <comment ref="K3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2"/>
            <charset val="128"/>
          </rPr>
          <t xml:space="preserve">
Lバナー</t>
        </r>
      </text>
    </comment>
  </commentList>
</comments>
</file>

<file path=xl/comments2.xml><?xml version="1.0" encoding="utf-8"?>
<comments xmlns="http://schemas.openxmlformats.org/spreadsheetml/2006/main">
  <authors>
    <author>加藤 雅大</author>
  </authors>
  <commentList>
    <comment ref="G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2"/>
            <charset val="128"/>
          </rPr>
          <t xml:space="preserve">
集計中メッセージ</t>
        </r>
      </text>
    </comment>
    <comment ref="H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2"/>
            <charset val="128"/>
          </rPr>
          <t xml:space="preserve">
結果表示中メッセージ</t>
        </r>
      </text>
    </comment>
    <comment ref="I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2"/>
            <charset val="128"/>
          </rPr>
          <t xml:space="preserve">
Lバナー</t>
        </r>
      </text>
    </comment>
  </commentList>
</comments>
</file>

<file path=xl/sharedStrings.xml><?xml version="1.0" encoding="utf-8"?>
<sst xmlns="http://schemas.openxmlformats.org/spreadsheetml/2006/main" count="293" uniqueCount="148">
  <si>
    <t>ja</t>
    <phoneticPr fontId="5"/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</si>
  <si>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</si>
  <si>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</si>
  <si>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</si>
  <si>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</si>
  <si>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</si>
  <si>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</si>
  <si>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.csv</t>
    <phoneticPr fontId="5"/>
  </si>
  <si>
    <t>出力flg</t>
    <rPh sb="0" eb="2">
      <t>シュツリョク</t>
    </rPh>
    <phoneticPr fontId="5"/>
  </si>
  <si>
    <t>quest_id</t>
  </si>
  <si>
    <t>need_rank</t>
  </si>
  <si>
    <t>valid_start_date</t>
  </si>
  <si>
    <t>valid_end_date</t>
  </si>
  <si>
    <t>クエスト名</t>
    <rPh sb="4" eb="5">
      <t>メイ</t>
    </rPh>
    <phoneticPr fontId="5"/>
  </si>
  <si>
    <t>ranking_expanded_quests</t>
    <phoneticPr fontId="5"/>
  </si>
  <si>
    <t>ranking_quests</t>
    <phoneticPr fontId="5"/>
  </si>
  <si>
    <t>language</t>
  </si>
  <si>
    <t>language</t>
    <phoneticPr fontId="5"/>
  </si>
  <si>
    <t>message_term_calc</t>
    <phoneticPr fontId="5"/>
  </si>
  <si>
    <t>message_term_result</t>
    <phoneticPr fontId="5"/>
  </si>
  <si>
    <t>image_filename</t>
  </si>
  <si>
    <t>image_filename</t>
    <phoneticPr fontId="5"/>
  </si>
  <si>
    <t>ja</t>
  </si>
  <si>
    <t>ja</t>
    <phoneticPr fontId="5"/>
  </si>
  <si>
    <t>集計中です</t>
    <rPh sb="0" eb="3">
      <t>シュウケイチュウ</t>
    </rPh>
    <phoneticPr fontId="5"/>
  </si>
  <si>
    <t>結果出ました！</t>
    <rPh sb="0" eb="2">
      <t>ケッカ</t>
    </rPh>
    <rPh sb="2" eb="3">
      <t>デ</t>
    </rPh>
    <phoneticPr fontId="5"/>
  </si>
  <si>
    <t>ranking_quests_i18n</t>
    <phoneticPr fontId="5"/>
  </si>
  <si>
    <t>quest_id</t>
    <phoneticPr fontId="5"/>
  </si>
  <si>
    <t>upper_ranking</t>
  </si>
  <si>
    <t>upper_ranking</t>
    <phoneticPr fontId="5"/>
  </si>
  <si>
    <t>lower_ranking</t>
  </si>
  <si>
    <t>lower_ranking</t>
    <phoneticPr fontId="5"/>
  </si>
  <si>
    <t>ranking_point</t>
  </si>
  <si>
    <t>ranking_point</t>
    <phoneticPr fontId="5"/>
  </si>
  <si>
    <t>ranking_points</t>
    <phoneticPr fontId="5"/>
  </si>
  <si>
    <t>ranking_points</t>
    <phoneticPr fontId="5"/>
  </si>
  <si>
    <t>ranking_titles</t>
  </si>
  <si>
    <t>ranking_titles</t>
    <phoneticPr fontId="5"/>
  </si>
  <si>
    <t>ranking_titles_i18n</t>
    <phoneticPr fontId="5"/>
  </si>
  <si>
    <t>ranking_title_id</t>
  </si>
  <si>
    <t>upper_ranking_point</t>
  </si>
  <si>
    <t>lower_ranking_point</t>
  </si>
  <si>
    <t>title</t>
  </si>
  <si>
    <t>ico_Ranker_00.png</t>
  </si>
  <si>
    <t>ico_Ranker_01.png</t>
    <phoneticPr fontId="5"/>
  </si>
  <si>
    <t>old</t>
    <phoneticPr fontId="5"/>
  </si>
  <si>
    <t>2016-03-10 11:00:00</t>
    <phoneticPr fontId="5"/>
  </si>
  <si>
    <t>2016-03-14 18:59:59</t>
    <phoneticPr fontId="5"/>
  </si>
  <si>
    <t>2016-03-15 11:00:00</t>
    <phoneticPr fontId="5"/>
  </si>
  <si>
    <t>2016-03-17 18:59:59</t>
    <phoneticPr fontId="5"/>
  </si>
  <si>
    <t>2016-03-18 11:00:00</t>
    <phoneticPr fontId="5"/>
  </si>
  <si>
    <t>2016-03-22 18:59:59</t>
    <phoneticPr fontId="5"/>
  </si>
  <si>
    <t>2016-03-23 11:00:00</t>
    <phoneticPr fontId="5"/>
  </si>
  <si>
    <t>2016-03-24 18:59:59</t>
    <phoneticPr fontId="5"/>
  </si>
  <si>
    <t>btb_0001-01.png</t>
  </si>
  <si>
    <t>btb_0001-01.png</t>
    <phoneticPr fontId="5"/>
  </si>
  <si>
    <t>btb_0001-01.png</t>
    <phoneticPr fontId="5"/>
  </si>
  <si>
    <t>ico_Ranker_02.png</t>
  </si>
  <si>
    <t>ico_Ranker_03.png</t>
  </si>
  <si>
    <t>ico_Ranker_04.png</t>
  </si>
  <si>
    <t>ico_Ranker_05.png</t>
  </si>
  <si>
    <t>ico_Ranker_06.png</t>
  </si>
  <si>
    <t>ico_Ranker_07.png</t>
  </si>
  <si>
    <t>有名クラファー</t>
    <rPh sb="0" eb="2">
      <t>ユウメ</t>
    </rPh>
    <phoneticPr fontId="5"/>
  </si>
  <si>
    <t>ico_Ranker_08.png</t>
  </si>
  <si>
    <t>ja</t>
    <phoneticPr fontId="5"/>
  </si>
  <si>
    <t>駆出しクラファー</t>
    <rPh sb="0" eb="3">
      <t>kakedasi</t>
    </rPh>
    <phoneticPr fontId="5"/>
  </si>
  <si>
    <t>見習いクラファー</t>
    <rPh sb="0" eb="3">
      <t>ミン</t>
    </rPh>
    <phoneticPr fontId="5"/>
  </si>
  <si>
    <t>超人クラファー</t>
    <rPh sb="0" eb="7">
      <t>チョウクラファ</t>
    </rPh>
    <phoneticPr fontId="5"/>
  </si>
  <si>
    <t>神クラファー</t>
    <rPh sb="0" eb="1">
      <t>カm</t>
    </rPh>
    <rPh sb="1" eb="6">
      <t>チョウクラファ</t>
    </rPh>
    <phoneticPr fontId="5"/>
  </si>
  <si>
    <t>Wizクラファー</t>
    <phoneticPr fontId="5"/>
  </si>
  <si>
    <t>超Wizクラファー</t>
    <rPh sb="0" eb="1">
      <t>チョ</t>
    </rPh>
    <phoneticPr fontId="5"/>
  </si>
  <si>
    <t>クラファー</t>
    <phoneticPr fontId="5"/>
  </si>
  <si>
    <t>2016-04-04 18:59:59</t>
    <phoneticPr fontId="5"/>
  </si>
  <si>
    <t>2016-04-01 11:00:00</t>
    <phoneticPr fontId="5"/>
  </si>
  <si>
    <t>駆け出し</t>
    <rPh sb="0" eb="1">
      <t>カケダシ</t>
    </rPh>
    <phoneticPr fontId="5"/>
  </si>
  <si>
    <t>超ウィザード</t>
    <rPh sb="0" eb="1">
      <t>チョウ</t>
    </rPh>
    <phoneticPr fontId="5"/>
  </si>
  <si>
    <t>ウィザード</t>
    <phoneticPr fontId="5"/>
  </si>
  <si>
    <t>超ウィザード級</t>
    <rPh sb="0" eb="1">
      <t>チョウ</t>
    </rPh>
    <rPh sb="6" eb="7">
      <t>キュウ</t>
    </rPh>
    <phoneticPr fontId="5"/>
  </si>
  <si>
    <t>ウィザード級</t>
    <rPh sb="5" eb="6">
      <t>キュウ</t>
    </rPh>
    <phoneticPr fontId="5"/>
  </si>
  <si>
    <t>-</t>
    <phoneticPr fontId="5"/>
  </si>
  <si>
    <t>超絶級</t>
    <rPh sb="0" eb="2">
      <t>チョウゼツ</t>
    </rPh>
    <rPh sb="2" eb="3">
      <t>キュウ</t>
    </rPh>
    <phoneticPr fontId="5"/>
  </si>
  <si>
    <t>超級</t>
    <rPh sb="0" eb="2">
      <t>チョウキュウ</t>
    </rPh>
    <phoneticPr fontId="5"/>
  </si>
  <si>
    <t>上級</t>
    <rPh sb="0" eb="2">
      <t>ジョウキュウ</t>
    </rPh>
    <phoneticPr fontId="5"/>
  </si>
  <si>
    <t>中級</t>
    <rPh sb="0" eb="2">
      <t>チュウキュウ</t>
    </rPh>
    <phoneticPr fontId="5"/>
  </si>
  <si>
    <t>初級</t>
    <rPh sb="0" eb="2">
      <t>ショキュウ</t>
    </rPh>
    <phoneticPr fontId="5"/>
  </si>
  <si>
    <t>-</t>
    <phoneticPr fontId="5"/>
  </si>
  <si>
    <t>ホワイトラビット</t>
    <phoneticPr fontId="5"/>
  </si>
  <si>
    <t>ジャック</t>
    <phoneticPr fontId="5"/>
  </si>
  <si>
    <t>キング</t>
    <phoneticPr fontId="5"/>
  </si>
  <si>
    <t>エース</t>
    <phoneticPr fontId="5"/>
  </si>
  <si>
    <t>ジョーカー</t>
    <phoneticPr fontId="5"/>
  </si>
  <si>
    <t>ラビットLv1</t>
    <phoneticPr fontId="5"/>
  </si>
  <si>
    <t>ラビットLv2</t>
    <phoneticPr fontId="5"/>
  </si>
  <si>
    <t>ラビットLv3</t>
    <phoneticPr fontId="5"/>
  </si>
  <si>
    <t>エース</t>
    <phoneticPr fontId="5"/>
  </si>
  <si>
    <t>適合者</t>
    <rPh sb="0" eb="3">
      <t>テキゴウシャ</t>
    </rPh>
    <phoneticPr fontId="5"/>
  </si>
  <si>
    <t>備考</t>
    <rPh sb="0" eb="2">
      <t>ビコウ</t>
    </rPh>
    <phoneticPr fontId="5"/>
  </si>
  <si>
    <t>5000位以内</t>
    <rPh sb="4" eb="5">
      <t>イ</t>
    </rPh>
    <rPh sb="5" eb="7">
      <t>イナイ</t>
    </rPh>
    <phoneticPr fontId="5"/>
  </si>
  <si>
    <t>2500位以内</t>
    <rPh sb="4" eb="5">
      <t>イ</t>
    </rPh>
    <rPh sb="5" eb="7">
      <t>イナイ</t>
    </rPh>
    <phoneticPr fontId="5"/>
  </si>
  <si>
    <t>1000位以内</t>
    <rPh sb="4" eb="5">
      <t>イ</t>
    </rPh>
    <rPh sb="5" eb="7">
      <t>イナイ</t>
    </rPh>
    <phoneticPr fontId="5"/>
  </si>
  <si>
    <t>10位以内</t>
    <rPh sb="2" eb="3">
      <t>イ</t>
    </rPh>
    <rPh sb="3" eb="5">
      <t>イナイ</t>
    </rPh>
    <phoneticPr fontId="5"/>
  </si>
  <si>
    <t>30位以内</t>
    <rPh sb="2" eb="3">
      <t>イ</t>
    </rPh>
    <rPh sb="3" eb="5">
      <t>イナイ</t>
    </rPh>
    <phoneticPr fontId="5"/>
  </si>
  <si>
    <t>100位以内</t>
    <rPh sb="3" eb="4">
      <t>イ</t>
    </rPh>
    <rPh sb="4" eb="6">
      <t>イナイ</t>
    </rPh>
    <phoneticPr fontId="5"/>
  </si>
  <si>
    <t>3位以内</t>
    <rPh sb="1" eb="2">
      <t>イ</t>
    </rPh>
    <rPh sb="2" eb="4">
      <t>イナイ</t>
    </rPh>
    <phoneticPr fontId="5"/>
  </si>
  <si>
    <t>2016-04-20 12:00:00</t>
    <phoneticPr fontId="5"/>
  </si>
  <si>
    <t>称号なし</t>
    <rPh sb="0" eb="2">
      <t>ショウゴウ</t>
    </rPh>
    <phoneticPr fontId="5"/>
  </si>
  <si>
    <t>ランキングクエストは終了しました
現在集計中です 結果発表までお待ちください</t>
    <phoneticPr fontId="5"/>
  </si>
  <si>
    <t>ランキングの結果を発表中です
報酬をお送りしておりますので
「ギフト」よりご確認ください</t>
    <rPh sb="9" eb="12">
      <t>ハッピョウチュウ</t>
    </rPh>
    <phoneticPr fontId="5"/>
  </si>
  <si>
    <t>2016-04-28 12:00:00</t>
    <phoneticPr fontId="5"/>
  </si>
  <si>
    <t>2016-04-21 23:59:59</t>
    <phoneticPr fontId="5"/>
  </si>
  <si>
    <t>2016-05-05 14:59:59</t>
    <phoneticPr fontId="5"/>
  </si>
  <si>
    <t>skip</t>
    <phoneticPr fontId="5"/>
  </si>
  <si>
    <t>need_rank(廃止)</t>
    <rPh sb="10" eb="12">
      <t>ハイシ</t>
    </rPh>
    <phoneticPr fontId="5"/>
  </si>
  <si>
    <t>valid_start_date(廃止)</t>
    <phoneticPr fontId="5"/>
  </si>
  <si>
    <t>valid_end_date(廃止)</t>
    <phoneticPr fontId="5"/>
  </si>
  <si>
    <t>ja</t>
    <phoneticPr fontId="5"/>
  </si>
  <si>
    <t>QuestTop_60006.png</t>
    <phoneticPr fontId="5"/>
  </si>
  <si>
    <t>QuestTop_60010.png</t>
    <phoneticPr fontId="5"/>
  </si>
  <si>
    <t>ランキングクエストは終了しました
現在集計中です 結果発表までお待ちください</t>
    <phoneticPr fontId="5"/>
  </si>
  <si>
    <t>ランキングクエストは終了しました
現在集計中です 結果発表までお待ちください</t>
    <phoneticPr fontId="5"/>
  </si>
  <si>
    <t>ゴッド</t>
    <phoneticPr fontId="5"/>
  </si>
  <si>
    <t>キング</t>
    <phoneticPr fontId="5"/>
  </si>
  <si>
    <t>マスター</t>
    <phoneticPr fontId="5"/>
  </si>
  <si>
    <t>エース</t>
    <phoneticPr fontId="5"/>
  </si>
  <si>
    <t>ハイランカー</t>
    <phoneticPr fontId="5"/>
  </si>
  <si>
    <t>ランカー</t>
    <phoneticPr fontId="5"/>
  </si>
  <si>
    <t>レジェンド</t>
    <phoneticPr fontId="5"/>
  </si>
  <si>
    <t>QuestTop_60011.png</t>
    <phoneticPr fontId="5"/>
  </si>
  <si>
    <t>ランキングクエストは終了しました
現在集計中です 報酬配布までお待ちください</t>
    <phoneticPr fontId="5"/>
  </si>
  <si>
    <t>ランキングクエストは終了しました
現在集計中です 報酬配布までお待ちください</t>
    <phoneticPr fontId="5"/>
  </si>
  <si>
    <t>QuestTop_60013.png</t>
    <phoneticPr fontId="5"/>
  </si>
  <si>
    <t>QuestTop_60014.png</t>
    <phoneticPr fontId="5"/>
  </si>
  <si>
    <t>QuestTop_60015.png</t>
    <phoneticPr fontId="5"/>
  </si>
  <si>
    <t>QuestTop_60016.png</t>
    <phoneticPr fontId="5"/>
  </si>
  <si>
    <t>ランキングクエストは終了しました
現在集計中です 報酬配布までお待ちください</t>
    <phoneticPr fontId="5"/>
  </si>
  <si>
    <t>QuestTop_60011.png</t>
    <phoneticPr fontId="5"/>
  </si>
  <si>
    <t>QuestTop_60018.png</t>
    <phoneticPr fontId="5"/>
  </si>
  <si>
    <t>QuestTop_60020.png</t>
    <phoneticPr fontId="5"/>
  </si>
  <si>
    <t>QuestTop_60019.png</t>
    <phoneticPr fontId="5"/>
  </si>
  <si>
    <t>QuestTop_60025.png</t>
    <phoneticPr fontId="5"/>
  </si>
  <si>
    <t>QuestTop_60018.png</t>
    <phoneticPr fontId="5"/>
  </si>
  <si>
    <t>QuestTop_60026.png</t>
    <phoneticPr fontId="5"/>
  </si>
  <si>
    <t>QuestTop_60028.png</t>
    <phoneticPr fontId="5"/>
  </si>
  <si>
    <t>QuestTop_60029.png</t>
    <phoneticPr fontId="5"/>
  </si>
  <si>
    <t>QuestTop_60030.png</t>
    <phoneticPr fontId="5"/>
  </si>
  <si>
    <t>QuestTop_60031.png</t>
    <phoneticPr fontId="5"/>
  </si>
  <si>
    <t>QuestTop_60032.png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</si>
</sst>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8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0"/>
      <color indexed="8"/>
      <name val="Arial"/>
      <family val="2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indexed="81"/>
      <name val="ＭＳ Ｐゴシック"/>
      <family val="2"/>
      <charset val="128"/>
    </font>
    <font>
      <b/>
      <sz val="10"/>
      <color indexed="81"/>
      <name val="ＭＳ Ｐゴシック"/>
      <family val="2"/>
      <charset val="128"/>
    </font>
    <font>
      <sz val="12"/>
      <color rgb="FF00000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2"/>
      <name val="ＭＳ Ｐゴシック"/>
      <family val="3"/>
      <charset val="128"/>
      <scheme val="minor"/>
    </font>
    <font>
      <sz val="13"/>
      <color theme="1"/>
      <name val="Arial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DCE6F1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2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38" fontId="4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9" fillId="3" borderId="2" applyNumberFormat="0" applyAlignment="0" applyProtection="0"/>
    <xf numFmtId="0" fontId="10" fillId="4" borderId="0" applyNumberFormat="0" applyBorder="0" applyAlignment="0" applyProtection="0"/>
    <xf numFmtId="0" fontId="11" fillId="5" borderId="3" applyNumberFormat="0" applyAlignment="0" applyProtection="0"/>
    <xf numFmtId="0" fontId="12" fillId="0" borderId="0" applyNumberFormat="0" applyFill="0" applyBorder="0" applyAlignment="0" applyProtection="0"/>
    <xf numFmtId="0" fontId="13" fillId="6" borderId="0" applyNumberFormat="0" applyBorder="0" applyAlignment="0" applyProtection="0"/>
    <xf numFmtId="0" fontId="14" fillId="7" borderId="4" applyNumberFormat="0" applyAlignment="0" applyProtection="0"/>
    <xf numFmtId="0" fontId="15" fillId="0" borderId="0" applyNumberFormat="0" applyFill="0" applyBorder="0" applyAlignment="0" applyProtection="0"/>
    <xf numFmtId="0" fontId="16" fillId="0" borderId="5" applyNumberFormat="0" applyFill="0" applyAlignment="0" applyProtection="0"/>
    <xf numFmtId="0" fontId="17" fillId="0" borderId="6" applyNumberFormat="0" applyFill="0" applyAlignment="0" applyProtection="0"/>
    <xf numFmtId="0" fontId="18" fillId="0" borderId="7" applyNumberFormat="0" applyFill="0" applyAlignment="0" applyProtection="0"/>
    <xf numFmtId="0" fontId="18" fillId="0" borderId="0" applyNumberFormat="0" applyFill="0" applyBorder="0" applyAlignment="0" applyProtection="0"/>
    <xf numFmtId="0" fontId="19" fillId="5" borderId="0" applyNumberFormat="0" applyBorder="0" applyAlignment="0" applyProtection="0"/>
    <xf numFmtId="0" fontId="19" fillId="4" borderId="0" applyNumberFormat="0" applyBorder="0" applyAlignment="0" applyProtection="0"/>
    <xf numFmtId="0" fontId="19" fillId="8" borderId="0" applyNumberFormat="0" applyBorder="0" applyAlignment="0" applyProtection="0"/>
    <xf numFmtId="0" fontId="19" fillId="5" borderId="0" applyNumberFormat="0" applyBorder="0" applyAlignment="0" applyProtection="0"/>
    <xf numFmtId="0" fontId="19" fillId="9" borderId="0" applyNumberFormat="0" applyBorder="0" applyAlignment="0" applyProtection="0"/>
    <xf numFmtId="0" fontId="19" fillId="3" borderId="0" applyNumberFormat="0" applyBorder="0" applyAlignment="0" applyProtection="0"/>
    <xf numFmtId="0" fontId="19" fillId="5" borderId="0" applyNumberFormat="0" applyBorder="0" applyAlignment="0" applyProtection="0"/>
    <xf numFmtId="0" fontId="19" fillId="10" borderId="0" applyNumberFormat="0" applyBorder="0" applyAlignment="0" applyProtection="0"/>
    <xf numFmtId="0" fontId="19" fillId="8" borderId="0" applyNumberFormat="0" applyBorder="0" applyAlignment="0" applyProtection="0"/>
    <xf numFmtId="0" fontId="19" fillId="5" borderId="0" applyNumberFormat="0" applyBorder="0" applyAlignment="0" applyProtection="0"/>
    <xf numFmtId="0" fontId="19" fillId="11" borderId="0" applyNumberFormat="0" applyBorder="0" applyAlignment="0" applyProtection="0"/>
    <xf numFmtId="0" fontId="19" fillId="4" borderId="0" applyNumberFormat="0" applyBorder="0" applyAlignment="0" applyProtection="0"/>
    <xf numFmtId="0" fontId="20" fillId="12" borderId="0" applyNumberFormat="0" applyBorder="0" applyAlignment="0" applyProtection="0"/>
    <xf numFmtId="0" fontId="20" fillId="10" borderId="0" applyNumberFormat="0" applyBorder="0" applyAlignment="0" applyProtection="0"/>
    <xf numFmtId="0" fontId="20" fillId="8" borderId="0" applyNumberFormat="0" applyBorder="0" applyAlignment="0" applyProtection="0"/>
    <xf numFmtId="0" fontId="20" fillId="5" borderId="0" applyNumberFormat="0" applyBorder="0" applyAlignment="0" applyProtection="0"/>
    <xf numFmtId="0" fontId="20" fillId="12" borderId="0" applyNumberFormat="0" applyBorder="0" applyAlignment="0" applyProtection="0"/>
    <xf numFmtId="0" fontId="20" fillId="4" borderId="0" applyNumberFormat="0" applyBorder="0" applyAlignment="0" applyProtection="0"/>
    <xf numFmtId="0" fontId="12" fillId="0" borderId="0" applyNumberFormat="0" applyFill="0" applyBorder="0" applyAlignment="0" applyProtection="0"/>
    <xf numFmtId="0" fontId="20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8" borderId="0" applyNumberFormat="0" applyBorder="0" applyAlignment="0" applyProtection="0"/>
    <xf numFmtId="0" fontId="20" fillId="14" borderId="0" applyNumberFormat="0" applyBorder="0" applyAlignment="0" applyProtection="0"/>
    <xf numFmtId="0" fontId="20" fillId="12" borderId="0" applyNumberFormat="0" applyBorder="0" applyAlignment="0" applyProtection="0"/>
    <xf numFmtId="0" fontId="20" fillId="10" borderId="0" applyNumberFormat="0" applyBorder="0" applyAlignment="0" applyProtection="0"/>
    <xf numFmtId="0" fontId="21" fillId="15" borderId="0" applyNumberFormat="0" applyBorder="0" applyAlignment="0" applyProtection="0"/>
    <xf numFmtId="0" fontId="10" fillId="4" borderId="0" applyNumberFormat="0" applyBorder="0" applyAlignment="0" applyProtection="0"/>
    <xf numFmtId="0" fontId="22" fillId="0" borderId="0"/>
    <xf numFmtId="0" fontId="23" fillId="0" borderId="8" applyNumberFormat="0" applyFill="0" applyAlignment="0" applyProtection="0"/>
    <xf numFmtId="0" fontId="24" fillId="5" borderId="9" applyNumberFormat="0" applyAlignment="0" applyProtection="0"/>
    <xf numFmtId="0" fontId="24" fillId="16" borderId="9" applyNumberFormat="0" applyAlignment="0" applyProtection="0"/>
    <xf numFmtId="0" fontId="11" fillId="4" borderId="3" applyNumberFormat="0" applyAlignment="0" applyProtection="0"/>
    <xf numFmtId="0" fontId="25" fillId="0" borderId="10" applyNumberFormat="0" applyFill="0" applyAlignment="0" applyProtection="0"/>
    <xf numFmtId="0" fontId="26" fillId="16" borderId="3" applyNumberFormat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11" applyNumberFormat="0" applyFill="0" applyAlignment="0" applyProtection="0"/>
    <xf numFmtId="0" fontId="29" fillId="17" borderId="0" applyNumberFormat="0" applyBorder="0" applyAlignment="0" applyProtection="0"/>
    <xf numFmtId="0" fontId="30" fillId="18" borderId="0" applyNumberFormat="0" applyBorder="0" applyAlignment="0" applyProtection="0"/>
    <xf numFmtId="0" fontId="9" fillId="0" borderId="0"/>
    <xf numFmtId="0" fontId="3" fillId="0" borderId="0"/>
    <xf numFmtId="0" fontId="31" fillId="18" borderId="0" applyNumberFormat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2" fillId="0" borderId="0"/>
    <xf numFmtId="0" fontId="2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/>
    <xf numFmtId="0" fontId="35" fillId="20" borderId="1" xfId="0" applyFont="1" applyFill="1" applyBorder="1"/>
    <xf numFmtId="0" fontId="0" fillId="20" borderId="1" xfId="0" applyFill="1" applyBorder="1"/>
    <xf numFmtId="0" fontId="0" fillId="0" borderId="1" xfId="0" applyFill="1" applyBorder="1"/>
    <xf numFmtId="0" fontId="0" fillId="19" borderId="1" xfId="0" applyFill="1" applyBorder="1" applyAlignment="1">
      <alignment horizontal="center" vertical="center"/>
    </xf>
    <xf numFmtId="0" fontId="0" fillId="0" borderId="1" xfId="0" quotePrefix="1" applyFill="1" applyBorder="1" applyAlignment="1">
      <alignment vertical="center"/>
    </xf>
    <xf numFmtId="0" fontId="36" fillId="21" borderId="1" xfId="0" applyFont="1" applyFill="1" applyBorder="1" applyAlignment="1">
      <alignment horizontal="center" vertical="center"/>
    </xf>
    <xf numFmtId="0" fontId="0" fillId="22" borderId="1" xfId="0" applyFill="1" applyBorder="1" applyAlignment="1">
      <alignment horizontal="center" vertical="center"/>
    </xf>
    <xf numFmtId="0" fontId="0" fillId="22" borderId="1" xfId="0" applyFill="1" applyBorder="1" applyAlignment="1">
      <alignment vertical="center"/>
    </xf>
    <xf numFmtId="0" fontId="0" fillId="2" borderId="1" xfId="0" applyFill="1" applyBorder="1"/>
    <xf numFmtId="0" fontId="34" fillId="23" borderId="1" xfId="0" applyFont="1" applyFill="1" applyBorder="1"/>
    <xf numFmtId="0" fontId="34" fillId="23" borderId="12" xfId="0" applyFont="1" applyFill="1" applyBorder="1"/>
    <xf numFmtId="0" fontId="0" fillId="22" borderId="1" xfId="0" applyFill="1" applyBorder="1"/>
    <xf numFmtId="0" fontId="34" fillId="0" borderId="1" xfId="0" applyFont="1" applyBorder="1"/>
    <xf numFmtId="0" fontId="34" fillId="0" borderId="12" xfId="0" applyFont="1" applyBorder="1"/>
    <xf numFmtId="0" fontId="37" fillId="0" borderId="1" xfId="0" applyFont="1" applyBorder="1"/>
    <xf numFmtId="0" fontId="0" fillId="24" borderId="1" xfId="0" applyFill="1" applyBorder="1"/>
    <xf numFmtId="0" fontId="0" fillId="0" borderId="1" xfId="0" applyBorder="1" applyAlignment="1">
      <alignment vertical="center" wrapText="1"/>
    </xf>
    <xf numFmtId="0" fontId="0" fillId="22" borderId="13" xfId="0" applyFill="1" applyBorder="1"/>
    <xf numFmtId="0" fontId="0" fillId="0" borderId="0" xfId="0" applyFill="1" applyBorder="1"/>
    <xf numFmtId="0" fontId="0" fillId="25" borderId="1" xfId="0" applyFill="1" applyBorder="1" applyAlignment="1">
      <alignment vertical="center"/>
    </xf>
    <xf numFmtId="0" fontId="0" fillId="20" borderId="1" xfId="0" applyFill="1" applyBorder="1" applyAlignment="1">
      <alignment horizontal="center" vertical="center"/>
    </xf>
    <xf numFmtId="0" fontId="0" fillId="20" borderId="1" xfId="0" quotePrefix="1" applyFill="1" applyBorder="1" applyAlignment="1">
      <alignment vertical="center"/>
    </xf>
    <xf numFmtId="22" fontId="0" fillId="20" borderId="1" xfId="0" quotePrefix="1" applyNumberFormat="1" applyFill="1" applyBorder="1" applyAlignment="1">
      <alignment vertical="center"/>
    </xf>
    <xf numFmtId="0" fontId="34" fillId="25" borderId="1" xfId="0" applyFont="1" applyFill="1" applyBorder="1"/>
    <xf numFmtId="0" fontId="34" fillId="25" borderId="12" xfId="0" applyFont="1" applyFill="1" applyBorder="1"/>
    <xf numFmtId="0" fontId="0" fillId="25" borderId="1" xfId="0" applyFill="1" applyBorder="1"/>
  </cellXfs>
  <cellStyles count="2249">
    <cellStyle name="20% - ANZg1" xfId="290"/>
    <cellStyle name="20% - ANZg2" xfId="291"/>
    <cellStyle name="20% - ANZg3" xfId="292"/>
    <cellStyle name="20% - ANZg4" xfId="293"/>
    <cellStyle name="20% - ANZg5" xfId="294"/>
    <cellStyle name="20% - ANZg6" xfId="295"/>
    <cellStyle name="40% - ANZg1" xfId="296"/>
    <cellStyle name="40% - ANZg2" xfId="297"/>
    <cellStyle name="40% - ANZg3" xfId="298"/>
    <cellStyle name="40% - ANZg4" xfId="299"/>
    <cellStyle name="40% - ANZg5" xfId="300"/>
    <cellStyle name="40% - ANZg6" xfId="301"/>
    <cellStyle name="60% - ANZg1" xfId="302"/>
    <cellStyle name="60% - ANZg2" xfId="303"/>
    <cellStyle name="60% - ANZg3" xfId="304"/>
    <cellStyle name="60% - ANZg4" xfId="305"/>
    <cellStyle name="60% - ANZg5" xfId="306"/>
    <cellStyle name="60% - ANZg6" xfId="307"/>
    <cellStyle name="Excel Built-in Normal" xfId="317"/>
    <cellStyle name="^Cg" xfId="285"/>
    <cellStyle name="`FbN Z" xfId="284"/>
    <cellStyle name="ANZg 1" xfId="309"/>
    <cellStyle name="ANZg 2" xfId="310"/>
    <cellStyle name="ANZg 3" xfId="311"/>
    <cellStyle name="ANZg 4" xfId="312"/>
    <cellStyle name="ANZg 5" xfId="313"/>
    <cellStyle name="ANZg 6" xfId="314"/>
    <cellStyle name="" xfId="279"/>
    <cellStyle name="N Z" xfId="318"/>
    <cellStyle name="_" xfId="280"/>
    <cellStyle name="«¢" xfId="283"/>
    <cellStyle name="vZ" xfId="323"/>
    <cellStyle name="x÷" xfId="325"/>
    <cellStyle name="x¶" xfId="324"/>
    <cellStyle name="ýo_ 1" xfId="326"/>
    <cellStyle name="©oµ 1" xfId="286"/>
    <cellStyle name="©oµ 2" xfId="287"/>
    <cellStyle name="©oµ 3" xfId="288"/>
    <cellStyle name="©oµ 4" xfId="289"/>
    <cellStyle name="v" xfId="322"/>
    <cellStyle name="o_" xfId="319"/>
    <cellStyle name="oÍ" xfId="320"/>
    <cellStyle name="__÷" xfId="282"/>
    <cellStyle name="à¾¶" xfId="308"/>
    <cellStyle name="__" xfId="281"/>
    <cellStyle name="üÍ" xfId="321"/>
    <cellStyle name="Ê" xfId="316"/>
    <cellStyle name="Ç¢" xfId="31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桁区切り 2" xfId="139"/>
    <cellStyle name="標準" xfId="0" builtinId="0"/>
    <cellStyle name="標準 2" xfId="238"/>
    <cellStyle name="標準 3" xfId="329"/>
    <cellStyle name="標準 4" xfId="330"/>
    <cellStyle name="標準 4 2" xfId="389"/>
    <cellStyle name="標準 4 3" xfId="2082"/>
    <cellStyle name="標準 5" xfId="388"/>
    <cellStyle name="標準 5 2" xfId="2083"/>
    <cellStyle name="標準 6" xfId="2084"/>
    <cellStyle name="無題1" xfId="331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赤字強調" xfId="328"/>
    <cellStyle name="青字強調" xfId="327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externalLink" Target="externalLinks/externalLink1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</row>
        <row r="2">
          <cell r="A2">
            <v>0</v>
          </cell>
          <cell r="B2" t="str">
            <v>tutorial</v>
          </cell>
          <cell r="C2" t="str">
            <v>ja</v>
          </cell>
          <cell r="D2" t="str">
            <v>チュートリアル</v>
          </cell>
        </row>
        <row r="3">
          <cell r="A3">
            <v>1</v>
          </cell>
          <cell r="B3" t="str">
            <v>normal</v>
          </cell>
          <cell r="C3" t="str">
            <v>ja</v>
          </cell>
          <cell r="D3" t="str">
            <v>1．ALICEの入り口</v>
          </cell>
        </row>
        <row r="4">
          <cell r="A4">
            <v>2</v>
          </cell>
          <cell r="B4" t="str">
            <v>normal</v>
          </cell>
          <cell r="C4" t="str">
            <v>ja</v>
          </cell>
          <cell r="D4" t="str">
            <v>2．火之柄神社</v>
          </cell>
        </row>
        <row r="5">
          <cell r="A5">
            <v>3</v>
          </cell>
          <cell r="B5" t="str">
            <v>normal</v>
          </cell>
          <cell r="C5" t="str">
            <v>ja</v>
          </cell>
          <cell r="D5" t="str">
            <v>3．グリーンモール</v>
          </cell>
        </row>
        <row r="6">
          <cell r="A6">
            <v>4</v>
          </cell>
          <cell r="B6" t="str">
            <v>normal</v>
          </cell>
          <cell r="C6" t="str">
            <v>ja</v>
          </cell>
          <cell r="D6" t="str">
            <v>4．イエロープラント</v>
          </cell>
        </row>
        <row r="7">
          <cell r="A7">
            <v>5</v>
          </cell>
          <cell r="B7" t="str">
            <v>normal</v>
          </cell>
          <cell r="C7" t="str">
            <v>ja</v>
          </cell>
          <cell r="D7" t="str">
            <v>5．ウォーターランド</v>
          </cell>
        </row>
        <row r="8">
          <cell r="A8">
            <v>6</v>
          </cell>
          <cell r="B8" t="str">
            <v>normal</v>
          </cell>
          <cell r="C8" t="str">
            <v>ja</v>
          </cell>
          <cell r="D8" t="str">
            <v>6．ドリームパーク</v>
          </cell>
        </row>
        <row r="9">
          <cell r="A9">
            <v>7</v>
          </cell>
          <cell r="B9" t="str">
            <v>normal</v>
          </cell>
          <cell r="C9" t="str">
            <v>ja</v>
          </cell>
          <cell r="D9" t="str">
            <v>7．ローガ密林</v>
          </cell>
        </row>
        <row r="10">
          <cell r="A10">
            <v>8</v>
          </cell>
          <cell r="B10" t="str">
            <v>normal</v>
          </cell>
          <cell r="C10" t="str">
            <v>ja</v>
          </cell>
          <cell r="D10" t="str">
            <v>8．ヴィクリー砂漠</v>
          </cell>
        </row>
        <row r="11">
          <cell r="A11">
            <v>9</v>
          </cell>
          <cell r="B11" t="str">
            <v>normal</v>
          </cell>
          <cell r="C11" t="str">
            <v>ja</v>
          </cell>
          <cell r="D11" t="str">
            <v>9．ラバーズ氷河</v>
          </cell>
        </row>
        <row r="12">
          <cell r="A12">
            <v>10</v>
          </cell>
          <cell r="B12" t="str">
            <v>normal</v>
          </cell>
          <cell r="C12" t="str">
            <v>ja</v>
          </cell>
          <cell r="D12" t="str">
            <v>10．奥散水の紅葉岩</v>
          </cell>
        </row>
        <row r="13">
          <cell r="A13">
            <v>11</v>
          </cell>
          <cell r="B13" t="str">
            <v>normal</v>
          </cell>
          <cell r="C13" t="str">
            <v>ja</v>
          </cell>
          <cell r="D13" t="str">
            <v>11．ディープソート戦場跡</v>
          </cell>
        </row>
        <row r="14">
          <cell r="A14">
            <v>12</v>
          </cell>
          <cell r="B14" t="str">
            <v>normal</v>
          </cell>
          <cell r="C14" t="str">
            <v>ja</v>
          </cell>
          <cell r="D14" t="str">
            <v>12．電脳街アキハバラ2.0</v>
          </cell>
        </row>
        <row r="15">
          <cell r="A15">
            <v>13</v>
          </cell>
          <cell r="B15" t="str">
            <v>normal</v>
          </cell>
          <cell r="C15" t="str">
            <v>ja</v>
          </cell>
          <cell r="D15" t="str">
            <v>13．天空城マドーラ</v>
          </cell>
        </row>
        <row r="16">
          <cell r="A16">
            <v>14</v>
          </cell>
          <cell r="B16" t="str">
            <v>normal</v>
          </cell>
          <cell r="C16" t="str">
            <v>ja</v>
          </cell>
          <cell r="D16" t="str">
            <v>14．機械都市マッシュ</v>
          </cell>
        </row>
        <row r="17">
          <cell r="A17">
            <v>15</v>
          </cell>
          <cell r="B17" t="str">
            <v>normal</v>
          </cell>
          <cell r="C17" t="str">
            <v>ja</v>
          </cell>
          <cell r="D17" t="str">
            <v>15．ハイサイスタジアム</v>
          </cell>
        </row>
        <row r="18">
          <cell r="A18">
            <v>16</v>
          </cell>
          <cell r="B18" t="str">
            <v>normal</v>
          </cell>
          <cell r="C18" t="str">
            <v>ja</v>
          </cell>
          <cell r="D18" t="str">
            <v>16．H&amp;Gスイートハウス</v>
          </cell>
        </row>
        <row r="19">
          <cell r="A19">
            <v>17</v>
          </cell>
          <cell r="B19" t="str">
            <v>normal</v>
          </cell>
          <cell r="C19" t="str">
            <v>ja</v>
          </cell>
          <cell r="D19" t="str">
            <v>17．エナリオス海中神殿</v>
          </cell>
        </row>
        <row r="20">
          <cell r="A20">
            <v>18</v>
          </cell>
          <cell r="B20" t="str">
            <v>normal</v>
          </cell>
          <cell r="C20" t="str">
            <v>ja</v>
          </cell>
          <cell r="D20" t="str">
            <v>18．アリスボウル</v>
          </cell>
        </row>
        <row r="21">
          <cell r="A21">
            <v>19</v>
          </cell>
          <cell r="B21" t="str">
            <v>normal</v>
          </cell>
          <cell r="C21" t="str">
            <v>ja</v>
          </cell>
          <cell r="D21" t="str">
            <v>19．アレイスター王立図書館</v>
          </cell>
        </row>
        <row r="22">
          <cell r="A22">
            <v>20</v>
          </cell>
          <cell r="B22" t="str">
            <v>normal</v>
          </cell>
          <cell r="C22" t="str">
            <v>ja</v>
          </cell>
          <cell r="D22" t="str">
            <v>20．コロシアム</v>
          </cell>
        </row>
        <row r="23">
          <cell r="A23">
            <v>21</v>
          </cell>
          <cell r="B23" t="str">
            <v>normal</v>
          </cell>
          <cell r="C23" t="str">
            <v>ja</v>
          </cell>
          <cell r="D23" t="str">
            <v>21．胡蝶舞う植物園</v>
          </cell>
        </row>
        <row r="24">
          <cell r="A24">
            <v>22</v>
          </cell>
          <cell r="B24" t="str">
            <v>normal</v>
          </cell>
          <cell r="C24" t="str">
            <v>ja</v>
          </cell>
          <cell r="D24" t="str">
            <v>22．紫炎の例大祭</v>
          </cell>
        </row>
        <row r="25">
          <cell r="A25">
            <v>23</v>
          </cell>
          <cell r="B25" t="str">
            <v>normal</v>
          </cell>
          <cell r="C25" t="str">
            <v>ja</v>
          </cell>
          <cell r="D25" t="str">
            <v>23．ファングフォレスト</v>
          </cell>
        </row>
        <row r="26">
          <cell r="A26">
            <v>24</v>
          </cell>
          <cell r="B26" t="str">
            <v>normal</v>
          </cell>
          <cell r="C26" t="str">
            <v>ja</v>
          </cell>
          <cell r="D26" t="str">
            <v>24．バトルフィールドヘヴン</v>
          </cell>
        </row>
        <row r="27">
          <cell r="A27">
            <v>25</v>
          </cell>
          <cell r="B27" t="str">
            <v>normal</v>
          </cell>
          <cell r="C27" t="str">
            <v>ja</v>
          </cell>
          <cell r="D27" t="str">
            <v>25．サディスティックパーティ</v>
          </cell>
        </row>
        <row r="28">
          <cell r="A28">
            <v>26</v>
          </cell>
          <cell r="B28" t="str">
            <v>normal</v>
          </cell>
          <cell r="C28" t="str">
            <v>ja</v>
          </cell>
          <cell r="D28" t="str">
            <v>26．クラブ クラッシュビーツ</v>
          </cell>
        </row>
        <row r="29">
          <cell r="A29">
            <v>27</v>
          </cell>
          <cell r="B29" t="str">
            <v>normal</v>
          </cell>
          <cell r="C29" t="str">
            <v>ja</v>
          </cell>
          <cell r="D29">
            <v>0</v>
          </cell>
        </row>
        <row r="30">
          <cell r="A30">
            <v>28</v>
          </cell>
          <cell r="B30" t="str">
            <v>normal</v>
          </cell>
          <cell r="C30" t="str">
            <v>ja</v>
          </cell>
          <cell r="D30">
            <v>0</v>
          </cell>
        </row>
        <row r="31">
          <cell r="A31">
            <v>29</v>
          </cell>
          <cell r="B31" t="str">
            <v>normal</v>
          </cell>
          <cell r="C31" t="str">
            <v>ja</v>
          </cell>
          <cell r="D31">
            <v>0</v>
          </cell>
        </row>
        <row r="32">
          <cell r="A32">
            <v>30</v>
          </cell>
          <cell r="B32" t="str">
            <v>normal</v>
          </cell>
          <cell r="C32" t="str">
            <v>ja</v>
          </cell>
          <cell r="D32">
            <v>0</v>
          </cell>
        </row>
        <row r="33">
          <cell r="A33">
            <v>31</v>
          </cell>
          <cell r="B33" t="str">
            <v>normal</v>
          </cell>
          <cell r="C33" t="str">
            <v>ja</v>
          </cell>
          <cell r="D33">
            <v>0</v>
          </cell>
        </row>
        <row r="34">
          <cell r="A34">
            <v>10008</v>
          </cell>
          <cell r="B34" t="str">
            <v>event</v>
          </cell>
          <cell r="C34" t="str">
            <v>ja</v>
          </cell>
          <cell r="D34" t="str">
            <v>【1回のみ】幸せのカタチ</v>
          </cell>
        </row>
        <row r="35">
          <cell r="A35">
            <v>10010</v>
          </cell>
          <cell r="B35" t="str">
            <v>event</v>
          </cell>
          <cell r="C35" t="str">
            <v>ja</v>
          </cell>
          <cell r="D35" t="str">
            <v>【1回のみ】幼女増殖！！</v>
          </cell>
        </row>
        <row r="36">
          <cell r="A36">
            <v>10015</v>
          </cell>
          <cell r="B36" t="str">
            <v>event</v>
          </cell>
          <cell r="C36" t="str">
            <v>ja</v>
          </cell>
          <cell r="D36" t="str">
            <v>【1回のみ】静かなる混乱</v>
          </cell>
        </row>
        <row r="37">
          <cell r="A37">
            <v>10020</v>
          </cell>
          <cell r="B37" t="str">
            <v>event</v>
          </cell>
          <cell r="C37" t="str">
            <v>ja</v>
          </cell>
          <cell r="D37" t="str">
            <v>【1回のみ】紅き侵入者</v>
          </cell>
        </row>
        <row r="38">
          <cell r="A38">
            <v>10025</v>
          </cell>
          <cell r="B38" t="str">
            <v>event</v>
          </cell>
          <cell r="C38" t="str">
            <v>ja</v>
          </cell>
          <cell r="D38" t="str">
            <v>【1回のみ】イブとトモダチと狼男</v>
          </cell>
        </row>
        <row r="39">
          <cell r="A39">
            <v>10030</v>
          </cell>
          <cell r="B39" t="str">
            <v>event</v>
          </cell>
          <cell r="C39" t="str">
            <v>ja</v>
          </cell>
          <cell r="D39" t="str">
            <v>【1回のみ】陸と海</v>
          </cell>
        </row>
        <row r="40">
          <cell r="A40">
            <v>10035</v>
          </cell>
          <cell r="B40" t="str">
            <v>event</v>
          </cell>
          <cell r="C40" t="str">
            <v>ja</v>
          </cell>
          <cell r="D40" t="str">
            <v>【1回のみ】二人の関係は？</v>
          </cell>
        </row>
        <row r="41">
          <cell r="A41">
            <v>10040</v>
          </cell>
          <cell r="B41" t="str">
            <v>event</v>
          </cell>
          <cell r="C41" t="str">
            <v>ja</v>
          </cell>
          <cell r="D41" t="str">
            <v>【1回のみ】大地の杖</v>
          </cell>
        </row>
        <row r="42">
          <cell r="A42">
            <v>10045</v>
          </cell>
          <cell r="B42" t="str">
            <v>event</v>
          </cell>
          <cell r="C42" t="str">
            <v>ja</v>
          </cell>
          <cell r="D42" t="str">
            <v>【1回のみ】迅雷</v>
          </cell>
        </row>
        <row r="43">
          <cell r="A43">
            <v>10050</v>
          </cell>
          <cell r="B43" t="str">
            <v>event</v>
          </cell>
          <cell r="C43" t="str">
            <v>ja</v>
          </cell>
          <cell r="D43" t="str">
            <v>【1回のみ】噛み合わない二柱</v>
          </cell>
        </row>
        <row r="44">
          <cell r="A44">
            <v>10055</v>
          </cell>
          <cell r="B44" t="str">
            <v>event</v>
          </cell>
          <cell r="C44" t="str">
            <v>ja</v>
          </cell>
          <cell r="D44" t="str">
            <v>【1回のみ】美女と美獣</v>
          </cell>
        </row>
        <row r="45">
          <cell r="A45">
            <v>10060</v>
          </cell>
          <cell r="B45" t="str">
            <v>event</v>
          </cell>
          <cell r="C45" t="str">
            <v>ja</v>
          </cell>
          <cell r="D45" t="str">
            <v>【1回のみ】東と西の女神</v>
          </cell>
        </row>
        <row r="46">
          <cell r="A46">
            <v>10065</v>
          </cell>
          <cell r="B46" t="str">
            <v>event</v>
          </cell>
          <cell r="C46" t="str">
            <v>ja</v>
          </cell>
          <cell r="D46" t="str">
            <v>【ランク65開放】【1回のみ】 奪還！太陽神！【仮開放】</v>
          </cell>
        </row>
        <row r="47">
          <cell r="A47">
            <v>10090</v>
          </cell>
          <cell r="B47" t="str">
            <v>event</v>
          </cell>
          <cell r="C47" t="str">
            <v>ja</v>
          </cell>
          <cell r="D47" t="str">
            <v>【ランク90開放】【1回のみ】 星の降る夜に</v>
          </cell>
        </row>
        <row r="48">
          <cell r="A48">
            <v>10100</v>
          </cell>
          <cell r="B48" t="str">
            <v>event</v>
          </cell>
          <cell r="C48" t="str">
            <v>ja</v>
          </cell>
          <cell r="D48" t="str">
            <v>【ランク100開放】【1回のみ】 お前のものは誰のもの？</v>
          </cell>
        </row>
        <row r="49">
          <cell r="A49">
            <v>11001</v>
          </cell>
          <cell r="B49" t="str">
            <v>weekly</v>
          </cell>
          <cell r="C49" t="str">
            <v>ja</v>
          </cell>
          <cell r="D49" t="str">
            <v>【月曜限定】 黄の素材</v>
          </cell>
        </row>
        <row r="50">
          <cell r="A50">
            <v>11002</v>
          </cell>
          <cell r="B50" t="str">
            <v>weekly</v>
          </cell>
          <cell r="C50" t="str">
            <v>ja</v>
          </cell>
          <cell r="D50" t="str">
            <v>【火曜限定】 赤の素材</v>
          </cell>
        </row>
        <row r="51">
          <cell r="A51">
            <v>11003</v>
          </cell>
          <cell r="B51" t="str">
            <v>weekly</v>
          </cell>
          <cell r="C51" t="str">
            <v>ja</v>
          </cell>
          <cell r="D51" t="str">
            <v>【水曜限定】 青の素材</v>
          </cell>
        </row>
        <row r="52">
          <cell r="A52">
            <v>11004</v>
          </cell>
          <cell r="B52" t="str">
            <v>weekly</v>
          </cell>
          <cell r="C52" t="str">
            <v>ja</v>
          </cell>
          <cell r="D52" t="str">
            <v>【木曜限定】 緑の素材</v>
          </cell>
        </row>
        <row r="53">
          <cell r="A53">
            <v>11005</v>
          </cell>
          <cell r="B53" t="str">
            <v>weekly</v>
          </cell>
          <cell r="C53" t="str">
            <v>ja</v>
          </cell>
          <cell r="D53" t="str">
            <v>【金曜限定】 帽子屋を追え！</v>
          </cell>
        </row>
        <row r="54">
          <cell r="A54">
            <v>11006</v>
          </cell>
          <cell r="B54" t="str">
            <v>weekly</v>
          </cell>
          <cell r="C54" t="str">
            <v>ja</v>
          </cell>
          <cell r="D54" t="str">
            <v>【土日限定】 ゴールドカジノ</v>
          </cell>
        </row>
        <row r="55">
          <cell r="A55">
            <v>11007</v>
          </cell>
          <cell r="B55" t="str">
            <v>weekly</v>
          </cell>
          <cell r="C55" t="str">
            <v>ja</v>
          </cell>
          <cell r="D55" t="str">
            <v>【土曜限定】 赤と緑の素材</v>
          </cell>
        </row>
        <row r="56">
          <cell r="A56">
            <v>11008</v>
          </cell>
          <cell r="B56" t="str">
            <v>weekly</v>
          </cell>
          <cell r="C56" t="str">
            <v>ja</v>
          </cell>
          <cell r="D56" t="str">
            <v>【日曜限定】 青と黄の素材</v>
          </cell>
        </row>
        <row r="57">
          <cell r="A57">
            <v>11101</v>
          </cell>
          <cell r="B57" t="str">
            <v>event</v>
          </cell>
          <cell r="C57" t="str">
            <v>ja</v>
          </cell>
          <cell r="D57" t="str">
            <v>【期間限定】 黄の素材</v>
          </cell>
        </row>
        <row r="58">
          <cell r="A58">
            <v>11102</v>
          </cell>
          <cell r="B58" t="str">
            <v>event</v>
          </cell>
          <cell r="C58" t="str">
            <v>ja</v>
          </cell>
          <cell r="D58" t="str">
            <v>【期間限定】 赤の素材</v>
          </cell>
        </row>
        <row r="59">
          <cell r="A59">
            <v>11103</v>
          </cell>
          <cell r="B59" t="str">
            <v>event</v>
          </cell>
          <cell r="C59" t="str">
            <v>ja</v>
          </cell>
          <cell r="D59" t="str">
            <v>【期間限定】 青の素材</v>
          </cell>
        </row>
        <row r="60">
          <cell r="A60">
            <v>11104</v>
          </cell>
          <cell r="B60" t="str">
            <v>event</v>
          </cell>
          <cell r="C60" t="str">
            <v>ja</v>
          </cell>
          <cell r="D60" t="str">
            <v>【期間限定】 緑の素材</v>
          </cell>
        </row>
        <row r="61">
          <cell r="A61">
            <v>11105</v>
          </cell>
          <cell r="B61" t="str">
            <v>event</v>
          </cell>
          <cell r="C61" t="str">
            <v>ja</v>
          </cell>
          <cell r="D61" t="str">
            <v>【期間限定】 帽子屋を追え！</v>
          </cell>
        </row>
        <row r="62">
          <cell r="A62">
            <v>11106</v>
          </cell>
          <cell r="B62" t="str">
            <v>event</v>
          </cell>
          <cell r="C62" t="str">
            <v>ja</v>
          </cell>
          <cell r="D62" t="str">
            <v>【キャンペーン限定】 ゴールドカジノ</v>
          </cell>
        </row>
        <row r="63">
          <cell r="A63">
            <v>11206</v>
          </cell>
          <cell r="B63" t="str">
            <v>event</v>
          </cell>
          <cell r="C63" t="str">
            <v>ja</v>
          </cell>
          <cell r="D63" t="str">
            <v>【キャンペーン限定】 ゴールドカジノ</v>
          </cell>
        </row>
        <row r="64">
          <cell r="A64">
            <v>11016</v>
          </cell>
          <cell r="B64" t="str">
            <v>event</v>
          </cell>
          <cell r="C64" t="str">
            <v>ja</v>
          </cell>
          <cell r="D64" t="str">
            <v>【マルチ専用1/2】 ゴールドカジノ</v>
          </cell>
        </row>
        <row r="65">
          <cell r="A65">
            <v>11017</v>
          </cell>
          <cell r="B65" t="str">
            <v>event</v>
          </cell>
          <cell r="C65" t="str">
            <v>ja</v>
          </cell>
          <cell r="D65" t="str">
            <v>【期間限定】リトルハンプティを追え！</v>
          </cell>
        </row>
        <row r="66">
          <cell r="A66">
            <v>11018</v>
          </cell>
          <cell r="B66" t="str">
            <v>event</v>
          </cell>
          <cell r="C66" t="str">
            <v>ja</v>
          </cell>
          <cell r="D66" t="str">
            <v>【エナジー1/2】 ゴールドカジノ</v>
          </cell>
        </row>
        <row r="67">
          <cell r="A67">
            <v>11207</v>
          </cell>
          <cell r="B67" t="str">
            <v>event</v>
          </cell>
          <cell r="C67" t="str">
            <v>ja</v>
          </cell>
          <cell r="D67" t="str">
            <v>果実達の大宴会</v>
          </cell>
        </row>
        <row r="68">
          <cell r="A68">
            <v>11208</v>
          </cell>
          <cell r="B68" t="str">
            <v>event</v>
          </cell>
          <cell r="C68" t="str">
            <v>ja</v>
          </cell>
          <cell r="D68" t="str">
            <v>果実達の大宴会</v>
          </cell>
        </row>
        <row r="69">
          <cell r="A69">
            <v>11209</v>
          </cell>
          <cell r="B69" t="str">
            <v>event</v>
          </cell>
          <cell r="C69" t="str">
            <v>ja</v>
          </cell>
          <cell r="D69" t="str">
            <v>スタートダッシュキャンペーンクエスト</v>
          </cell>
        </row>
        <row r="70">
          <cell r="A70">
            <v>11210</v>
          </cell>
          <cell r="B70" t="str">
            <v>guerilla</v>
          </cell>
          <cell r="C70" t="str">
            <v>ja</v>
          </cell>
          <cell r="D70" t="str">
            <v>100万DL記念★育成ブースト！</v>
          </cell>
        </row>
        <row r="71">
          <cell r="A71">
            <v>11211</v>
          </cell>
          <cell r="B71" t="str">
            <v>event</v>
          </cell>
          <cell r="C71" t="str">
            <v>ja</v>
          </cell>
          <cell r="D71" t="str">
            <v>※欠番</v>
          </cell>
        </row>
        <row r="72">
          <cell r="A72">
            <v>11212</v>
          </cell>
          <cell r="B72" t="str">
            <v>event</v>
          </cell>
          <cell r="C72" t="str">
            <v>ja</v>
          </cell>
          <cell r="D72" t="str">
            <v>100万DL記念★特別クエスト</v>
          </cell>
        </row>
        <row r="73">
          <cell r="A73">
            <v>11213</v>
          </cell>
          <cell r="B73" t="str">
            <v>event</v>
          </cell>
          <cell r="C73" t="str">
            <v>ja</v>
          </cell>
          <cell r="D73" t="str">
            <v>クエスト名</v>
          </cell>
        </row>
        <row r="74">
          <cell r="A74">
            <v>11214</v>
          </cell>
          <cell r="B74" t="str">
            <v>event</v>
          </cell>
          <cell r="C74" t="str">
            <v>ja</v>
          </cell>
          <cell r="D74" t="str">
            <v>プロメテウスの恋</v>
          </cell>
        </row>
        <row r="75">
          <cell r="A75">
            <v>11215</v>
          </cell>
          <cell r="B75" t="str">
            <v>guerilla</v>
          </cell>
          <cell r="C75" t="str">
            <v>ja</v>
          </cell>
          <cell r="D75" t="str">
            <v>【マルチ】サンタダックを捕獲せよ！</v>
          </cell>
        </row>
        <row r="76">
          <cell r="A76">
            <v>11216</v>
          </cell>
          <cell r="B76" t="str">
            <v>event</v>
          </cell>
          <cell r="C76" t="str">
            <v>ja</v>
          </cell>
          <cell r="D76" t="str">
            <v>年越し★特別クエスト</v>
          </cell>
        </row>
        <row r="77">
          <cell r="A77">
            <v>11217</v>
          </cell>
          <cell r="B77" t="str">
            <v>event</v>
          </cell>
          <cell r="C77" t="str">
            <v>ja</v>
          </cell>
          <cell r="D77" t="str">
            <v>年明け★特別クエスト</v>
          </cell>
        </row>
        <row r="78">
          <cell r="A78">
            <v>11218</v>
          </cell>
          <cell r="B78" t="str">
            <v>event</v>
          </cell>
          <cell r="C78" t="str">
            <v>ja</v>
          </cell>
          <cell r="D78" t="str">
            <v>バレンタイン★特別クエスト</v>
          </cell>
        </row>
        <row r="79">
          <cell r="A79">
            <v>11219</v>
          </cell>
          <cell r="B79" t="str">
            <v>event</v>
          </cell>
          <cell r="C79" t="str">
            <v>ja</v>
          </cell>
          <cell r="D79" t="str">
            <v>200万DL記念★特別クエスト</v>
          </cell>
        </row>
        <row r="80">
          <cell r="A80">
            <v>11220</v>
          </cell>
          <cell r="B80" t="str">
            <v>event</v>
          </cell>
          <cell r="C80" t="str">
            <v>ja</v>
          </cell>
          <cell r="D80" t="str">
            <v>ホワイトデー★特別クエスト</v>
          </cell>
        </row>
        <row r="81">
          <cell r="A81">
            <v>11221</v>
          </cell>
          <cell r="B81" t="str">
            <v>event</v>
          </cell>
          <cell r="C81" t="str">
            <v>ja</v>
          </cell>
          <cell r="D81" t="str">
            <v>新生活★応援クエスト</v>
          </cell>
        </row>
        <row r="82">
          <cell r="A82">
            <v>11224</v>
          </cell>
          <cell r="B82" t="str">
            <v>event</v>
          </cell>
          <cell r="C82" t="str">
            <v>ja</v>
          </cell>
          <cell r="D82" t="str">
            <v>TVCM放送記念★特別クエスト</v>
          </cell>
        </row>
        <row r="83">
          <cell r="A83">
            <v>11225</v>
          </cell>
          <cell r="B83" t="str">
            <v>event</v>
          </cell>
          <cell r="C83" t="str">
            <v>ja</v>
          </cell>
          <cell r="D83" t="str">
            <v>400万DL記念★特別クエスト</v>
          </cell>
        </row>
        <row r="84">
          <cell r="A84">
            <v>11226</v>
          </cell>
          <cell r="B84" t="str">
            <v>event</v>
          </cell>
          <cell r="C84" t="str">
            <v>ja</v>
          </cell>
          <cell r="D84" t="str">
            <v>1周年記念★特別クエスト</v>
          </cell>
        </row>
        <row r="85">
          <cell r="A85">
            <v>11227</v>
          </cell>
          <cell r="B85" t="str">
            <v>event</v>
          </cell>
          <cell r="C85" t="str">
            <v>ja</v>
          </cell>
          <cell r="D85" t="str">
            <v>TVCM第2弾放送記念★特別クエスト</v>
          </cell>
        </row>
        <row r="86">
          <cell r="A86">
            <v>11228</v>
          </cell>
          <cell r="B86" t="str">
            <v>event</v>
          </cell>
          <cell r="C86" t="str">
            <v>ja</v>
          </cell>
          <cell r="D86" t="str">
            <v>バレンタイン★特別クエスト</v>
          </cell>
        </row>
        <row r="87">
          <cell r="A87">
            <v>11229</v>
          </cell>
          <cell r="B87" t="str">
            <v>event</v>
          </cell>
          <cell r="C87" t="str">
            <v>ja</v>
          </cell>
          <cell r="D87" t="str">
            <v>ホワイトデー★特別クエスト</v>
          </cell>
        </row>
        <row r="88">
          <cell r="A88">
            <v>11230</v>
          </cell>
          <cell r="B88" t="str">
            <v>event</v>
          </cell>
          <cell r="C88" t="str">
            <v>ja</v>
          </cell>
          <cell r="D88" t="str">
            <v>未知のウィルス大捜査！</v>
          </cell>
        </row>
        <row r="89">
          <cell r="A89">
            <v>11231</v>
          </cell>
          <cell r="B89" t="str">
            <v>event</v>
          </cell>
          <cell r="C89" t="str">
            <v>ja</v>
          </cell>
          <cell r="D89" t="str">
            <v>桜姫の招待状</v>
          </cell>
        </row>
        <row r="90">
          <cell r="A90">
            <v>12001</v>
          </cell>
          <cell r="B90" t="str">
            <v>guerilla</v>
          </cell>
          <cell r="C90" t="str">
            <v>ja</v>
          </cell>
          <cell r="D90" t="str">
            <v>【緊急！！】 アヒル捕獲作戦</v>
          </cell>
        </row>
        <row r="91">
          <cell r="A91">
            <v>12002</v>
          </cell>
          <cell r="B91" t="str">
            <v>guerilla</v>
          </cell>
          <cell r="C91" t="str">
            <v>ja</v>
          </cell>
          <cell r="D91" t="str">
            <v>【マルチ専用1/2】 アヒル捕獲作戦</v>
          </cell>
        </row>
        <row r="92">
          <cell r="A92">
            <v>12003</v>
          </cell>
          <cell r="B92" t="str">
            <v>guerilla</v>
          </cell>
          <cell r="C92" t="str">
            <v>ja</v>
          </cell>
          <cell r="D92" t="str">
            <v>【超緊急！！】メタルジェントルを追え</v>
          </cell>
        </row>
        <row r="93">
          <cell r="A93">
            <v>12004</v>
          </cell>
          <cell r="B93" t="str">
            <v>event</v>
          </cell>
          <cell r="C93" t="str">
            <v>ja</v>
          </cell>
          <cell r="D93" t="str">
            <v>メタルフロッグをもとめて</v>
          </cell>
        </row>
        <row r="94">
          <cell r="A94">
            <v>13001</v>
          </cell>
          <cell r="B94" t="str">
            <v>event</v>
          </cell>
          <cell r="C94" t="str">
            <v>ja</v>
          </cell>
          <cell r="D94" t="str">
            <v>チャレンジタワー(ソロ専用)</v>
          </cell>
        </row>
        <row r="95">
          <cell r="A95">
            <v>13101</v>
          </cell>
          <cell r="B95" t="str">
            <v>event</v>
          </cell>
          <cell r="C95" t="str">
            <v>ja</v>
          </cell>
          <cell r="D95" t="str">
            <v>チャレンジタワー</v>
          </cell>
        </row>
        <row r="96">
          <cell r="A96">
            <v>13300</v>
          </cell>
          <cell r="B96" t="str">
            <v>event</v>
          </cell>
          <cell r="C96" t="str">
            <v>ja</v>
          </cell>
          <cell r="D96" t="str">
            <v>タワーオブザクイーン -アヴァルシア-</v>
          </cell>
        </row>
        <row r="97">
          <cell r="A97">
            <v>13301</v>
          </cell>
          <cell r="B97" t="str">
            <v>event</v>
          </cell>
          <cell r="C97" t="str">
            <v>ja</v>
          </cell>
          <cell r="D97" t="str">
            <v>タワーオブザクイーン -アヴァルシア-</v>
          </cell>
        </row>
        <row r="98">
          <cell r="A98">
            <v>13302</v>
          </cell>
          <cell r="B98" t="str">
            <v>loop</v>
          </cell>
          <cell r="C98" t="str">
            <v>ja</v>
          </cell>
          <cell r="D98" t="str">
            <v>タワーオブザクイーン -アヴァルシア-</v>
          </cell>
        </row>
        <row r="99">
          <cell r="A99">
            <v>13400</v>
          </cell>
          <cell r="B99" t="str">
            <v>loop</v>
          </cell>
          <cell r="C99" t="str">
            <v>ja</v>
          </cell>
          <cell r="D99" t="str">
            <v>タワーオブザクイーン -エルフラム-</v>
          </cell>
        </row>
        <row r="100">
          <cell r="A100">
            <v>14001</v>
          </cell>
          <cell r="B100" t="str">
            <v>lock</v>
          </cell>
          <cell r="C100" t="str">
            <v>ja</v>
          </cell>
          <cell r="D100" t="str">
            <v>【ロック】経験値/ソロ</v>
          </cell>
        </row>
        <row r="101">
          <cell r="A101">
            <v>14002</v>
          </cell>
          <cell r="B101" t="str">
            <v>lock</v>
          </cell>
          <cell r="C101" t="str">
            <v>ja</v>
          </cell>
          <cell r="D101" t="str">
            <v>【ロック】ビット/ソロ</v>
          </cell>
        </row>
        <row r="102">
          <cell r="A102">
            <v>14003</v>
          </cell>
          <cell r="B102" t="str">
            <v>lock</v>
          </cell>
          <cell r="C102" t="str">
            <v>ja</v>
          </cell>
          <cell r="D102" t="str">
            <v>【ロック】限界突破/ソロ</v>
          </cell>
        </row>
        <row r="103">
          <cell r="A103">
            <v>14004</v>
          </cell>
          <cell r="B103" t="str">
            <v>lock</v>
          </cell>
          <cell r="C103" t="str">
            <v>ja</v>
          </cell>
          <cell r="D103" t="str">
            <v>【ロック】経験値/LINEマルチ</v>
          </cell>
        </row>
        <row r="104">
          <cell r="A104">
            <v>14005</v>
          </cell>
          <cell r="B104" t="str">
            <v>lock</v>
          </cell>
          <cell r="C104" t="str">
            <v>ja</v>
          </cell>
          <cell r="D104" t="str">
            <v>【ロック】ビット/LINEマルチ</v>
          </cell>
        </row>
        <row r="105">
          <cell r="A105">
            <v>14006</v>
          </cell>
          <cell r="B105" t="str">
            <v>lock</v>
          </cell>
          <cell r="C105" t="str">
            <v>ja</v>
          </cell>
          <cell r="D105" t="str">
            <v>【ロック】限界突破/LINEマルチ</v>
          </cell>
        </row>
        <row r="106">
          <cell r="A106">
            <v>15027</v>
          </cell>
          <cell r="B106" t="str">
            <v>normal</v>
          </cell>
          <cell r="C106" t="str">
            <v>ja</v>
          </cell>
          <cell r="D106" t="str">
            <v>27. 雷雨の登山道</v>
          </cell>
        </row>
        <row r="107">
          <cell r="A107">
            <v>15028</v>
          </cell>
          <cell r="B107" t="str">
            <v>normal</v>
          </cell>
          <cell r="C107" t="str">
            <v>ja</v>
          </cell>
          <cell r="D107" t="str">
            <v>28. 暴風と灼熱の罪浄</v>
          </cell>
        </row>
        <row r="108">
          <cell r="A108">
            <v>15029</v>
          </cell>
          <cell r="B108" t="str">
            <v>normal</v>
          </cell>
          <cell r="C108" t="str">
            <v>ja</v>
          </cell>
          <cell r="D108" t="str">
            <v>29. 雪の望郷</v>
          </cell>
        </row>
        <row r="109">
          <cell r="A109">
            <v>15030</v>
          </cell>
          <cell r="B109" t="str">
            <v>normal</v>
          </cell>
          <cell r="C109" t="str">
            <v>ja</v>
          </cell>
          <cell r="D109" t="str">
            <v>30. 月夜のオールドシティ</v>
          </cell>
        </row>
        <row r="110">
          <cell r="A110">
            <v>15031</v>
          </cell>
          <cell r="B110" t="str">
            <v>normal</v>
          </cell>
          <cell r="C110" t="str">
            <v>ja</v>
          </cell>
          <cell r="D110" t="str">
            <v>31. 桜花乱城</v>
          </cell>
        </row>
        <row r="111">
          <cell r="A111">
            <v>20001</v>
          </cell>
          <cell r="B111" t="str">
            <v>event</v>
          </cell>
          <cell r="C111" t="str">
            <v>ja</v>
          </cell>
          <cell r="D111" t="str">
            <v>紅き執行者</v>
          </cell>
        </row>
        <row r="112">
          <cell r="A112">
            <v>20002</v>
          </cell>
          <cell r="B112" t="str">
            <v>event</v>
          </cell>
          <cell r="C112" t="str">
            <v>ja</v>
          </cell>
          <cell r="D112" t="str">
            <v>孤高の一角獣</v>
          </cell>
        </row>
        <row r="113">
          <cell r="A113">
            <v>20003</v>
          </cell>
          <cell r="B113" t="str">
            <v>event</v>
          </cell>
          <cell r="C113" t="str">
            <v>ja</v>
          </cell>
          <cell r="D113" t="str">
            <v>忍び寄る短剣</v>
          </cell>
        </row>
        <row r="114">
          <cell r="A114">
            <v>20004</v>
          </cell>
          <cell r="B114" t="str">
            <v>event</v>
          </cell>
          <cell r="C114" t="str">
            <v>ja</v>
          </cell>
          <cell r="D114" t="str">
            <v>雷雲からの刺客</v>
          </cell>
        </row>
        <row r="115">
          <cell r="A115">
            <v>20005</v>
          </cell>
          <cell r="B115" t="str">
            <v>event</v>
          </cell>
          <cell r="C115" t="str">
            <v>ja</v>
          </cell>
          <cell r="D115" t="str">
            <v>ザ・キャノン</v>
          </cell>
        </row>
        <row r="116">
          <cell r="A116">
            <v>20006</v>
          </cell>
          <cell r="B116" t="str">
            <v>event</v>
          </cell>
          <cell r="C116" t="str">
            <v>ja</v>
          </cell>
          <cell r="D116" t="str">
            <v>スチール・プレデター</v>
          </cell>
        </row>
        <row r="117">
          <cell r="A117">
            <v>20007</v>
          </cell>
          <cell r="B117" t="str">
            <v>event</v>
          </cell>
          <cell r="C117" t="str">
            <v>ja</v>
          </cell>
          <cell r="D117" t="str">
            <v>女王陛下の処刑龍</v>
          </cell>
        </row>
        <row r="118">
          <cell r="A118">
            <v>20008</v>
          </cell>
          <cell r="B118" t="str">
            <v>event</v>
          </cell>
          <cell r="C118" t="str">
            <v>ja</v>
          </cell>
          <cell r="D118" t="str">
            <v>天翔ける金轟機龍</v>
          </cell>
        </row>
        <row r="119">
          <cell r="A119">
            <v>20009</v>
          </cell>
          <cell r="B119" t="str">
            <v>event</v>
          </cell>
          <cell r="C119" t="str">
            <v>ja</v>
          </cell>
          <cell r="D119" t="str">
            <v>迫り来る窒息</v>
          </cell>
        </row>
        <row r="120">
          <cell r="A120">
            <v>20010</v>
          </cell>
          <cell r="B120" t="str">
            <v>event</v>
          </cell>
          <cell r="C120" t="str">
            <v>ja</v>
          </cell>
          <cell r="D120" t="str">
            <v>悪夢の一目惚れ</v>
          </cell>
        </row>
        <row r="121">
          <cell r="A121">
            <v>20011</v>
          </cell>
          <cell r="B121" t="str">
            <v>event</v>
          </cell>
          <cell r="C121" t="str">
            <v>ja</v>
          </cell>
          <cell r="D121" t="str">
            <v>すべてが灰になる</v>
          </cell>
        </row>
        <row r="122">
          <cell r="A122">
            <v>20012</v>
          </cell>
          <cell r="B122" t="str">
            <v>event</v>
          </cell>
          <cell r="C122" t="str">
            <v>ja</v>
          </cell>
          <cell r="D122" t="str">
            <v>罪と劇薬</v>
          </cell>
        </row>
        <row r="123">
          <cell r="A123">
            <v>20013</v>
          </cell>
          <cell r="B123" t="str">
            <v>event</v>
          </cell>
          <cell r="C123" t="str">
            <v>ja</v>
          </cell>
          <cell r="D123" t="str">
            <v>天の時、地の利、人の和</v>
          </cell>
        </row>
        <row r="124">
          <cell r="A124">
            <v>20014</v>
          </cell>
          <cell r="B124" t="str">
            <v>event</v>
          </cell>
          <cell r="C124" t="str">
            <v>ja</v>
          </cell>
          <cell r="D124" t="str">
            <v>魅了する歌声</v>
          </cell>
        </row>
        <row r="125">
          <cell r="A125">
            <v>20015</v>
          </cell>
          <cell r="B125" t="str">
            <v>event</v>
          </cell>
          <cell r="C125" t="str">
            <v>ja</v>
          </cell>
          <cell r="D125" t="str">
            <v>妄執とり憑く美貌の妃</v>
          </cell>
        </row>
        <row r="126">
          <cell r="A126">
            <v>20016</v>
          </cell>
          <cell r="B126" t="str">
            <v>event</v>
          </cell>
          <cell r="C126" t="str">
            <v>ja</v>
          </cell>
          <cell r="D126" t="str">
            <v>寡黙な翼竜の侵攻</v>
          </cell>
        </row>
        <row r="127">
          <cell r="A127">
            <v>20017</v>
          </cell>
          <cell r="B127" t="str">
            <v>event</v>
          </cell>
          <cell r="C127" t="str">
            <v>ja</v>
          </cell>
          <cell r="D127" t="str">
            <v>隻腕の提督</v>
          </cell>
        </row>
        <row r="128">
          <cell r="A128">
            <v>20018</v>
          </cell>
          <cell r="B128" t="str">
            <v>event</v>
          </cell>
          <cell r="C128" t="str">
            <v>ja</v>
          </cell>
          <cell r="D128" t="str">
            <v>魂を屠る黒影</v>
          </cell>
        </row>
        <row r="129">
          <cell r="A129">
            <v>20019</v>
          </cell>
          <cell r="B129" t="str">
            <v>event</v>
          </cell>
          <cell r="C129" t="str">
            <v>ja</v>
          </cell>
          <cell r="D129" t="str">
            <v>灼熱の舞姫</v>
          </cell>
        </row>
        <row r="130">
          <cell r="A130">
            <v>20020</v>
          </cell>
          <cell r="B130" t="str">
            <v>event</v>
          </cell>
          <cell r="C130" t="str">
            <v>ja</v>
          </cell>
          <cell r="D130" t="str">
            <v>変幻自在の風</v>
          </cell>
        </row>
        <row r="131">
          <cell r="A131">
            <v>20021</v>
          </cell>
          <cell r="B131" t="str">
            <v>event</v>
          </cell>
          <cell r="C131" t="str">
            <v>ja</v>
          </cell>
          <cell r="D131" t="str">
            <v>ペインター・オブ・ラブ</v>
          </cell>
        </row>
        <row r="132">
          <cell r="A132">
            <v>20022</v>
          </cell>
          <cell r="B132" t="str">
            <v>event</v>
          </cell>
          <cell r="C132" t="str">
            <v>ja</v>
          </cell>
          <cell r="D132" t="str">
            <v>年を越える宴</v>
          </cell>
        </row>
        <row r="133">
          <cell r="A133">
            <v>30001</v>
          </cell>
          <cell r="B133" t="str">
            <v>event</v>
          </cell>
          <cell r="C133" t="str">
            <v>ja</v>
          </cell>
          <cell r="D133" t="str">
            <v>ハンター・オブ・ハンター</v>
          </cell>
        </row>
        <row r="134">
          <cell r="A134">
            <v>30002</v>
          </cell>
          <cell r="B134" t="str">
            <v>event</v>
          </cell>
          <cell r="C134" t="str">
            <v>ja</v>
          </cell>
          <cell r="D134" t="str">
            <v>トリックスター</v>
          </cell>
        </row>
        <row r="135">
          <cell r="A135">
            <v>30003</v>
          </cell>
          <cell r="B135" t="str">
            <v>event</v>
          </cell>
          <cell r="C135" t="str">
            <v>ja</v>
          </cell>
          <cell r="D135" t="str">
            <v>打ち下ろされる砕棒</v>
          </cell>
        </row>
        <row r="136">
          <cell r="A136">
            <v>30004</v>
          </cell>
          <cell r="B136" t="str">
            <v>event</v>
          </cell>
          <cell r="C136" t="str">
            <v>ja</v>
          </cell>
          <cell r="D136" t="str">
            <v>危険な仲裁者</v>
          </cell>
        </row>
        <row r="137">
          <cell r="A137">
            <v>30005</v>
          </cell>
          <cell r="B137" t="str">
            <v>event</v>
          </cell>
          <cell r="C137" t="str">
            <v>ja</v>
          </cell>
          <cell r="D137" t="str">
            <v>ニンゲンにしてあげる☆</v>
          </cell>
        </row>
        <row r="138">
          <cell r="A138">
            <v>30006</v>
          </cell>
          <cell r="B138" t="str">
            <v>event</v>
          </cell>
          <cell r="C138" t="str">
            <v>ja</v>
          </cell>
          <cell r="D138" t="str">
            <v>それはお前を食べるためさ</v>
          </cell>
        </row>
        <row r="139">
          <cell r="A139">
            <v>30007</v>
          </cell>
          <cell r="B139" t="str">
            <v>event</v>
          </cell>
          <cell r="C139" t="str">
            <v>ja</v>
          </cell>
          <cell r="D139" t="str">
            <v>ガラスの靴は私のもの</v>
          </cell>
        </row>
        <row r="140">
          <cell r="A140">
            <v>30008</v>
          </cell>
          <cell r="B140" t="str">
            <v>event</v>
          </cell>
          <cell r="C140" t="str">
            <v>ja</v>
          </cell>
          <cell r="D140" t="str">
            <v>わたしの嫁を返してもらおう</v>
          </cell>
        </row>
        <row r="141">
          <cell r="A141">
            <v>30009</v>
          </cell>
          <cell r="B141" t="str">
            <v>event</v>
          </cell>
          <cell r="C141" t="str">
            <v>ja</v>
          </cell>
          <cell r="D141" t="str">
            <v>復活の捕食者</v>
          </cell>
        </row>
        <row r="142">
          <cell r="A142">
            <v>30010</v>
          </cell>
          <cell r="B142" t="str">
            <v>event</v>
          </cell>
          <cell r="C142" t="str">
            <v>ja</v>
          </cell>
          <cell r="D142" t="str">
            <v>最大最凶</v>
          </cell>
        </row>
        <row r="143">
          <cell r="A143">
            <v>30011</v>
          </cell>
          <cell r="B143" t="str">
            <v>event</v>
          </cell>
          <cell r="C143" t="str">
            <v>ja</v>
          </cell>
          <cell r="D143" t="str">
            <v>気怠い巨読者</v>
          </cell>
        </row>
        <row r="144">
          <cell r="A144">
            <v>30012</v>
          </cell>
          <cell r="B144" t="str">
            <v>event</v>
          </cell>
          <cell r="C144" t="str">
            <v>ja</v>
          </cell>
          <cell r="D144" t="str">
            <v>底なしの胃袋</v>
          </cell>
        </row>
        <row r="145">
          <cell r="A145">
            <v>30013</v>
          </cell>
          <cell r="B145" t="str">
            <v>event</v>
          </cell>
          <cell r="C145" t="str">
            <v>ja</v>
          </cell>
          <cell r="D145" t="str">
            <v>決戦・竜宮城</v>
          </cell>
        </row>
        <row r="146">
          <cell r="A146">
            <v>30014</v>
          </cell>
          <cell r="B146" t="str">
            <v>event</v>
          </cell>
          <cell r="C146" t="str">
            <v>ja</v>
          </cell>
          <cell r="D146" t="str">
            <v>親指を突き立てろ！</v>
          </cell>
        </row>
        <row r="147">
          <cell r="A147">
            <v>30015</v>
          </cell>
          <cell r="B147" t="str">
            <v>event</v>
          </cell>
          <cell r="C147" t="str">
            <v>ja</v>
          </cell>
          <cell r="D147" t="str">
            <v>兄妹の大冒険</v>
          </cell>
        </row>
        <row r="148">
          <cell r="A148">
            <v>30016</v>
          </cell>
          <cell r="B148" t="str">
            <v>event</v>
          </cell>
          <cell r="C148" t="str">
            <v>ja</v>
          </cell>
          <cell r="D148" t="str">
            <v>私がワニの天敵よ？</v>
          </cell>
        </row>
        <row r="149">
          <cell r="A149">
            <v>30017</v>
          </cell>
          <cell r="B149" t="str">
            <v>event</v>
          </cell>
          <cell r="C149" t="str">
            <v>ja</v>
          </cell>
          <cell r="D149" t="str">
            <v>狩人の挽歌</v>
          </cell>
        </row>
        <row r="150">
          <cell r="A150">
            <v>30018</v>
          </cell>
          <cell r="B150" t="str">
            <v>event</v>
          </cell>
          <cell r="C150" t="str">
            <v>ja</v>
          </cell>
          <cell r="D150" t="str">
            <v>バックストリートファイト</v>
          </cell>
        </row>
        <row r="151">
          <cell r="A151">
            <v>30019</v>
          </cell>
          <cell r="B151" t="str">
            <v>event</v>
          </cell>
          <cell r="C151" t="str">
            <v>ja</v>
          </cell>
          <cell r="D151" t="str">
            <v>狙撃は終わらない</v>
          </cell>
        </row>
        <row r="152">
          <cell r="A152">
            <v>30020</v>
          </cell>
          <cell r="B152" t="str">
            <v>event</v>
          </cell>
          <cell r="C152" t="str">
            <v>ja</v>
          </cell>
          <cell r="D152" t="str">
            <v>若造よ、身の程を知れ</v>
          </cell>
        </row>
        <row r="153">
          <cell r="A153">
            <v>30021</v>
          </cell>
          <cell r="B153" t="str">
            <v>event</v>
          </cell>
          <cell r="C153" t="str">
            <v>ja</v>
          </cell>
          <cell r="D153" t="str">
            <v>野獣死すべしっ！</v>
          </cell>
        </row>
        <row r="154">
          <cell r="A154">
            <v>30022</v>
          </cell>
          <cell r="B154" t="str">
            <v>event</v>
          </cell>
          <cell r="C154" t="str">
            <v>ja</v>
          </cell>
          <cell r="D154" t="str">
            <v>凶鼠ネコを咬む</v>
          </cell>
        </row>
        <row r="155">
          <cell r="A155">
            <v>30023</v>
          </cell>
          <cell r="B155" t="str">
            <v>event</v>
          </cell>
          <cell r="C155" t="str">
            <v>ja</v>
          </cell>
          <cell r="D155" t="str">
            <v>隔離からのエスケイプ</v>
          </cell>
        </row>
        <row r="156">
          <cell r="A156">
            <v>30024</v>
          </cell>
          <cell r="B156" t="str">
            <v>event</v>
          </cell>
          <cell r="C156" t="str">
            <v>ja</v>
          </cell>
          <cell r="D156" t="str">
            <v>雷鎚の選定</v>
          </cell>
        </row>
        <row r="157">
          <cell r="A157">
            <v>30025</v>
          </cell>
          <cell r="B157" t="str">
            <v>event</v>
          </cell>
          <cell r="C157" t="str">
            <v>ja</v>
          </cell>
          <cell r="D157" t="str">
            <v>真実の探求者</v>
          </cell>
        </row>
        <row r="158">
          <cell r="A158">
            <v>30026</v>
          </cell>
          <cell r="B158" t="str">
            <v>event</v>
          </cell>
          <cell r="C158" t="str">
            <v>ja</v>
          </cell>
          <cell r="D158" t="str">
            <v>道を阻む妖精夫婦</v>
          </cell>
        </row>
        <row r="159">
          <cell r="A159">
            <v>30027</v>
          </cell>
          <cell r="B159" t="str">
            <v>event</v>
          </cell>
          <cell r="C159" t="str">
            <v>ja</v>
          </cell>
          <cell r="D159" t="str">
            <v>凍りつくまで愛してあげる</v>
          </cell>
        </row>
        <row r="160">
          <cell r="A160">
            <v>30028</v>
          </cell>
          <cell r="B160" t="str">
            <v>event</v>
          </cell>
          <cell r="C160" t="str">
            <v>ja</v>
          </cell>
          <cell r="D160" t="str">
            <v>最悪の刺客</v>
          </cell>
        </row>
        <row r="161">
          <cell r="A161">
            <v>30029</v>
          </cell>
          <cell r="B161" t="str">
            <v>event</v>
          </cell>
          <cell r="C161" t="str">
            <v>ja</v>
          </cell>
          <cell r="D161" t="str">
            <v>全ては主のために</v>
          </cell>
        </row>
        <row r="162">
          <cell r="A162">
            <v>30030</v>
          </cell>
          <cell r="B162" t="str">
            <v>event</v>
          </cell>
          <cell r="C162" t="str">
            <v>ja</v>
          </cell>
          <cell r="D162" t="str">
            <v>ここは誰の箱庭じゃ？</v>
          </cell>
        </row>
        <row r="163">
          <cell r="A163">
            <v>30031</v>
          </cell>
          <cell r="B163" t="str">
            <v>event</v>
          </cell>
          <cell r="C163" t="str">
            <v>ja</v>
          </cell>
          <cell r="D163" t="str">
            <v>力への羨望</v>
          </cell>
        </row>
        <row r="164">
          <cell r="A164">
            <v>30032</v>
          </cell>
          <cell r="B164" t="str">
            <v>event</v>
          </cell>
          <cell r="C164" t="str">
            <v>ja</v>
          </cell>
          <cell r="D164" t="str">
            <v>赤き竜の制裁</v>
          </cell>
        </row>
        <row r="165">
          <cell r="A165">
            <v>30033</v>
          </cell>
          <cell r="B165" t="str">
            <v>event</v>
          </cell>
          <cell r="C165" t="str">
            <v>ja</v>
          </cell>
          <cell r="D165" t="str">
            <v>御館様の懐刀</v>
          </cell>
        </row>
        <row r="166">
          <cell r="A166">
            <v>30034</v>
          </cell>
          <cell r="B166" t="str">
            <v>event</v>
          </cell>
          <cell r="C166" t="str">
            <v>ja</v>
          </cell>
          <cell r="D166" t="str">
            <v>孤高の焔翼</v>
          </cell>
        </row>
        <row r="167">
          <cell r="A167">
            <v>30035</v>
          </cell>
          <cell r="B167" t="str">
            <v>event</v>
          </cell>
          <cell r="C167" t="str">
            <v>ja</v>
          </cell>
          <cell r="D167" t="str">
            <v>大鯨の呼び声</v>
          </cell>
        </row>
        <row r="168">
          <cell r="A168">
            <v>30036</v>
          </cell>
          <cell r="B168" t="str">
            <v>event</v>
          </cell>
          <cell r="C168" t="str">
            <v>ja</v>
          </cell>
          <cell r="D168" t="str">
            <v>猛然たる炎獣使い</v>
          </cell>
        </row>
        <row r="169">
          <cell r="A169">
            <v>30037</v>
          </cell>
          <cell r="B169" t="str">
            <v>event</v>
          </cell>
          <cell r="C169" t="str">
            <v>ja</v>
          </cell>
          <cell r="D169" t="str">
            <v>灯り火の麗人</v>
          </cell>
        </row>
        <row r="170">
          <cell r="A170">
            <v>30038</v>
          </cell>
          <cell r="B170" t="str">
            <v>event</v>
          </cell>
          <cell r="C170" t="str">
            <v>ja</v>
          </cell>
          <cell r="D170" t="str">
            <v>毒絶神の願い</v>
          </cell>
        </row>
        <row r="171">
          <cell r="A171">
            <v>30039</v>
          </cell>
          <cell r="B171" t="str">
            <v>event</v>
          </cell>
          <cell r="C171" t="str">
            <v>ja</v>
          </cell>
          <cell r="D171" t="str">
            <v>ゼロワン・ゲーム</v>
          </cell>
        </row>
        <row r="172">
          <cell r="A172">
            <v>30040</v>
          </cell>
          <cell r="B172" t="str">
            <v>event</v>
          </cell>
          <cell r="C172" t="str">
            <v>ja</v>
          </cell>
          <cell r="D172" t="str">
            <v>闇ヨリ出ル魔獣</v>
          </cell>
        </row>
        <row r="173">
          <cell r="A173">
            <v>30041</v>
          </cell>
          <cell r="B173" t="str">
            <v>event</v>
          </cell>
          <cell r="C173" t="str">
            <v>ja</v>
          </cell>
          <cell r="D173" t="str">
            <v>パラノイア・アート</v>
          </cell>
        </row>
        <row r="174">
          <cell r="A174">
            <v>30042</v>
          </cell>
          <cell r="B174" t="str">
            <v>event</v>
          </cell>
          <cell r="C174" t="str">
            <v>ja</v>
          </cell>
          <cell r="D174" t="str">
            <v>馬中に赤兎あり！</v>
          </cell>
        </row>
        <row r="175">
          <cell r="A175">
            <v>30043</v>
          </cell>
          <cell r="B175" t="str">
            <v>event</v>
          </cell>
          <cell r="C175" t="str">
            <v>ja</v>
          </cell>
          <cell r="D175" t="str">
            <v>小さな破壊竜</v>
          </cell>
        </row>
        <row r="176">
          <cell r="A176">
            <v>30044</v>
          </cell>
          <cell r="B176" t="str">
            <v>event</v>
          </cell>
          <cell r="C176" t="str">
            <v>ja</v>
          </cell>
          <cell r="D176" t="str">
            <v>冷酷なる遂行者</v>
          </cell>
        </row>
        <row r="177">
          <cell r="A177">
            <v>30045</v>
          </cell>
          <cell r="B177" t="str">
            <v>event</v>
          </cell>
          <cell r="C177" t="str">
            <v>ja</v>
          </cell>
          <cell r="D177" t="str">
            <v>れもん色の衝動</v>
          </cell>
        </row>
        <row r="178">
          <cell r="A178">
            <v>30046</v>
          </cell>
          <cell r="B178" t="str">
            <v>event</v>
          </cell>
          <cell r="C178" t="str">
            <v>ja</v>
          </cell>
          <cell r="D178" t="str">
            <v>千利の道も一歩から！</v>
          </cell>
        </row>
        <row r="179">
          <cell r="A179">
            <v>30047</v>
          </cell>
          <cell r="B179" t="str">
            <v>event</v>
          </cell>
          <cell r="C179" t="str">
            <v>ja</v>
          </cell>
          <cell r="D179" t="str">
            <v>終末の旋律</v>
          </cell>
        </row>
        <row r="180">
          <cell r="A180">
            <v>30048</v>
          </cell>
          <cell r="B180" t="str">
            <v>event</v>
          </cell>
          <cell r="C180" t="str">
            <v>ja</v>
          </cell>
          <cell r="D180" t="str">
            <v>惑乱の双神使！？</v>
          </cell>
        </row>
        <row r="181">
          <cell r="A181">
            <v>30049</v>
          </cell>
          <cell r="B181" t="str">
            <v>event</v>
          </cell>
          <cell r="C181" t="str">
            <v>ja</v>
          </cell>
          <cell r="D181" t="str">
            <v>鉄壁の子豚要塞</v>
          </cell>
        </row>
        <row r="182">
          <cell r="A182">
            <v>30050</v>
          </cell>
          <cell r="B182" t="str">
            <v>event</v>
          </cell>
          <cell r="C182" t="str">
            <v>ja</v>
          </cell>
          <cell r="D182" t="str">
            <v>忍耐と服従</v>
          </cell>
        </row>
        <row r="183">
          <cell r="A183">
            <v>38101</v>
          </cell>
          <cell r="B183" t="str">
            <v>event</v>
          </cell>
          <cell r="C183" t="str">
            <v>ja</v>
          </cell>
          <cell r="D183" t="str">
            <v>安多</v>
          </cell>
        </row>
        <row r="184">
          <cell r="A184">
            <v>39001</v>
          </cell>
          <cell r="B184" t="str">
            <v>event</v>
          </cell>
          <cell r="C184" t="str">
            <v>ja</v>
          </cell>
          <cell r="D184" t="str">
            <v>雪の歌姫</v>
          </cell>
        </row>
        <row r="185">
          <cell r="A185">
            <v>39002</v>
          </cell>
          <cell r="B185" t="str">
            <v>event</v>
          </cell>
          <cell r="C185" t="str">
            <v>ja</v>
          </cell>
          <cell r="D185" t="str">
            <v>黄巾賊の暴走を止めろ！</v>
          </cell>
        </row>
        <row r="186">
          <cell r="A186">
            <v>39003</v>
          </cell>
          <cell r="B186" t="str">
            <v>event</v>
          </cell>
          <cell r="C186" t="str">
            <v>ja</v>
          </cell>
          <cell r="D186" t="str">
            <v>ブルースクウェアを追え！</v>
          </cell>
        </row>
        <row r="187">
          <cell r="A187">
            <v>39004</v>
          </cell>
          <cell r="B187" t="str">
            <v>event</v>
          </cell>
          <cell r="C187" t="str">
            <v>ja</v>
          </cell>
          <cell r="D187" t="str">
            <v xml:space="preserve">ニムダのおきにいり♪ </v>
          </cell>
        </row>
        <row r="188">
          <cell r="A188">
            <v>39005</v>
          </cell>
          <cell r="B188" t="str">
            <v>event</v>
          </cell>
          <cell r="C188" t="str">
            <v>ja</v>
          </cell>
          <cell r="D188" t="str">
            <v xml:space="preserve">ポ </v>
          </cell>
        </row>
        <row r="189">
          <cell r="A189">
            <v>39006</v>
          </cell>
          <cell r="B189" t="str">
            <v>event</v>
          </cell>
          <cell r="C189" t="str">
            <v>ja</v>
          </cell>
          <cell r="D189" t="str">
            <v>シガンシナ区攻防戦</v>
          </cell>
        </row>
        <row r="190">
          <cell r="A190">
            <v>39007</v>
          </cell>
          <cell r="B190" t="str">
            <v>event</v>
          </cell>
          <cell r="C190" t="str">
            <v>ja</v>
          </cell>
          <cell r="D190" t="str">
            <v>ニムダ（台）</v>
          </cell>
        </row>
        <row r="191">
          <cell r="A191">
            <v>39008</v>
          </cell>
          <cell r="B191" t="str">
            <v>event</v>
          </cell>
          <cell r="C191" t="str">
            <v>ja</v>
          </cell>
          <cell r="D191" t="str">
            <v>雪の歌姫</v>
          </cell>
        </row>
        <row r="192">
          <cell r="A192">
            <v>39009</v>
          </cell>
          <cell r="B192" t="str">
            <v>event</v>
          </cell>
          <cell r="C192" t="str">
            <v>ja</v>
          </cell>
          <cell r="D192" t="str">
            <v>星空の歌姫</v>
          </cell>
        </row>
        <row r="193">
          <cell r="A193">
            <v>39010</v>
          </cell>
          <cell r="B193" t="str">
            <v>event</v>
          </cell>
          <cell r="C193" t="str">
            <v>ja</v>
          </cell>
          <cell r="D193" t="str">
            <v>黄巾賊の暴走を止めろ！</v>
          </cell>
        </row>
        <row r="194">
          <cell r="A194">
            <v>39011</v>
          </cell>
          <cell r="B194" t="str">
            <v>event</v>
          </cell>
          <cell r="C194" t="str">
            <v>ja</v>
          </cell>
          <cell r="D194" t="str">
            <v>ブルースクウェアを追え！</v>
          </cell>
        </row>
        <row r="195">
          <cell r="A195">
            <v>39012</v>
          </cell>
          <cell r="B195" t="str">
            <v>event</v>
          </cell>
          <cell r="C195" t="str">
            <v>ja</v>
          </cell>
          <cell r="D195" t="str">
            <v>侵略！？にゃんこ軍団現る！</v>
          </cell>
        </row>
        <row r="196">
          <cell r="A196">
            <v>39013</v>
          </cell>
          <cell r="B196" t="str">
            <v>event</v>
          </cell>
          <cell r="C196" t="str">
            <v>ja</v>
          </cell>
          <cell r="D196" t="str">
            <v>兄左</v>
          </cell>
        </row>
        <row r="197">
          <cell r="A197">
            <v>39014</v>
          </cell>
          <cell r="B197" t="str">
            <v>event</v>
          </cell>
          <cell r="C197" t="str">
            <v>ja</v>
          </cell>
          <cell r="D197" t="str">
            <v>金券</v>
          </cell>
        </row>
        <row r="198">
          <cell r="A198">
            <v>40001</v>
          </cell>
          <cell r="B198" t="str">
            <v>event</v>
          </cell>
          <cell r="C198" t="str">
            <v>ja</v>
          </cell>
          <cell r="D198" t="str">
            <v>アマテラス襲来！</v>
          </cell>
        </row>
        <row r="199">
          <cell r="A199">
            <v>40002</v>
          </cell>
          <cell r="B199" t="str">
            <v>event</v>
          </cell>
          <cell r="C199" t="str">
            <v>ja</v>
          </cell>
          <cell r="D199" t="str">
            <v>アザゼル襲来！</v>
          </cell>
        </row>
        <row r="200">
          <cell r="A200">
            <v>40003</v>
          </cell>
          <cell r="B200" t="str">
            <v>event</v>
          </cell>
          <cell r="C200" t="str">
            <v>ja</v>
          </cell>
          <cell r="D200" t="str">
            <v>ジャンヌ襲来！</v>
          </cell>
        </row>
        <row r="201">
          <cell r="A201">
            <v>40004</v>
          </cell>
          <cell r="B201" t="str">
            <v>event</v>
          </cell>
          <cell r="C201" t="str">
            <v>ja</v>
          </cell>
          <cell r="D201" t="str">
            <v>宮本武蔵襲来！</v>
          </cell>
        </row>
        <row r="202">
          <cell r="A202">
            <v>40005</v>
          </cell>
          <cell r="B202" t="str">
            <v>event</v>
          </cell>
          <cell r="C202" t="str">
            <v>ja</v>
          </cell>
          <cell r="D202" t="str">
            <v>オズ襲来！</v>
          </cell>
        </row>
        <row r="203">
          <cell r="A203">
            <v>40006</v>
          </cell>
          <cell r="B203" t="str">
            <v>event</v>
          </cell>
          <cell r="C203" t="str">
            <v>ja</v>
          </cell>
          <cell r="D203" t="str">
            <v>アーサー襲来！</v>
          </cell>
        </row>
        <row r="204">
          <cell r="A204">
            <v>40007</v>
          </cell>
          <cell r="B204" t="str">
            <v>event</v>
          </cell>
          <cell r="C204" t="str">
            <v>ja</v>
          </cell>
          <cell r="D204" t="str">
            <v>グリム襲来！</v>
          </cell>
        </row>
        <row r="205">
          <cell r="A205">
            <v>40008</v>
          </cell>
          <cell r="B205" t="str">
            <v>event</v>
          </cell>
          <cell r="C205" t="str">
            <v>ja</v>
          </cell>
          <cell r="D205" t="str">
            <v>Gスター襲来！</v>
          </cell>
        </row>
        <row r="206">
          <cell r="A206">
            <v>40009</v>
          </cell>
          <cell r="B206" t="str">
            <v>event</v>
          </cell>
          <cell r="C206" t="str">
            <v>ja</v>
          </cell>
          <cell r="D206" t="str">
            <v>フギンとムニン襲来！</v>
          </cell>
        </row>
        <row r="207">
          <cell r="A207">
            <v>40010</v>
          </cell>
          <cell r="B207" t="str">
            <v>event</v>
          </cell>
          <cell r="C207" t="str">
            <v>ja</v>
          </cell>
          <cell r="D207" t="str">
            <v>フレイ襲来！</v>
          </cell>
        </row>
        <row r="208">
          <cell r="A208">
            <v>40011</v>
          </cell>
          <cell r="B208" t="str">
            <v>event</v>
          </cell>
          <cell r="C208" t="str">
            <v>ja</v>
          </cell>
          <cell r="D208" t="str">
            <v>ヨミ襲来！</v>
          </cell>
        </row>
        <row r="209">
          <cell r="A209">
            <v>40012</v>
          </cell>
          <cell r="B209" t="str">
            <v>event</v>
          </cell>
          <cell r="C209" t="str">
            <v>ja</v>
          </cell>
          <cell r="D209" t="str">
            <v>ショウキ襲来！</v>
          </cell>
        </row>
        <row r="210">
          <cell r="A210">
            <v>40013</v>
          </cell>
          <cell r="B210" t="str">
            <v>event</v>
          </cell>
          <cell r="C210" t="str">
            <v>ja</v>
          </cell>
          <cell r="D210" t="str">
            <v>カーマ襲来！</v>
          </cell>
        </row>
        <row r="211">
          <cell r="A211">
            <v>40014</v>
          </cell>
          <cell r="B211" t="str">
            <v>event</v>
          </cell>
          <cell r="C211" t="str">
            <v>ja</v>
          </cell>
          <cell r="D211" t="str">
            <v>シヴァ襲来！</v>
          </cell>
        </row>
        <row r="212">
          <cell r="A212">
            <v>40015</v>
          </cell>
          <cell r="B212" t="str">
            <v>event</v>
          </cell>
          <cell r="C212" t="str">
            <v>ja</v>
          </cell>
          <cell r="D212" t="str">
            <v>ガレス襲来！</v>
          </cell>
        </row>
        <row r="213">
          <cell r="A213">
            <v>40016</v>
          </cell>
          <cell r="B213" t="str">
            <v>event</v>
          </cell>
          <cell r="C213" t="str">
            <v>ja</v>
          </cell>
          <cell r="D213" t="str">
            <v>武田信玄襲来！</v>
          </cell>
        </row>
        <row r="214">
          <cell r="A214">
            <v>40017</v>
          </cell>
          <cell r="B214" t="str">
            <v>event</v>
          </cell>
          <cell r="C214" t="str">
            <v>ja</v>
          </cell>
          <cell r="D214" t="str">
            <v>ベルゼブブ襲来！</v>
          </cell>
        </row>
        <row r="215">
          <cell r="A215">
            <v>40018</v>
          </cell>
          <cell r="B215" t="str">
            <v>event</v>
          </cell>
          <cell r="C215" t="str">
            <v>ja</v>
          </cell>
          <cell r="D215" t="str">
            <v>ジーナ襲来！</v>
          </cell>
        </row>
        <row r="216">
          <cell r="A216">
            <v>40019</v>
          </cell>
          <cell r="B216" t="str">
            <v>event</v>
          </cell>
          <cell r="C216" t="str">
            <v>ja</v>
          </cell>
          <cell r="D216" t="str">
            <v>テュポーン襲来！</v>
          </cell>
        </row>
        <row r="217">
          <cell r="A217">
            <v>40021</v>
          </cell>
          <cell r="B217" t="str">
            <v>event</v>
          </cell>
          <cell r="C217" t="str">
            <v>ja</v>
          </cell>
          <cell r="D217" t="str">
            <v>ルイ16世襲来！</v>
          </cell>
        </row>
        <row r="218">
          <cell r="A218">
            <v>40022</v>
          </cell>
          <cell r="B218" t="str">
            <v>event</v>
          </cell>
          <cell r="C218" t="str">
            <v>ja</v>
          </cell>
          <cell r="D218" t="str">
            <v>オシリス襲来！</v>
          </cell>
        </row>
        <row r="219">
          <cell r="A219">
            <v>40023</v>
          </cell>
          <cell r="B219" t="str">
            <v>event</v>
          </cell>
          <cell r="C219" t="str">
            <v>ja</v>
          </cell>
          <cell r="D219" t="str">
            <v>武蔵坊弁慶襲来！</v>
          </cell>
        </row>
        <row r="220">
          <cell r="A220">
            <v>40024</v>
          </cell>
          <cell r="B220" t="str">
            <v>event</v>
          </cell>
          <cell r="C220" t="str">
            <v>ja</v>
          </cell>
          <cell r="D220" t="str">
            <v>アトラス襲来！</v>
          </cell>
        </row>
        <row r="221">
          <cell r="A221">
            <v>40025</v>
          </cell>
          <cell r="B221" t="str">
            <v>event</v>
          </cell>
          <cell r="C221" t="str">
            <v>ja</v>
          </cell>
          <cell r="D221" t="str">
            <v>ティアマト襲来！</v>
          </cell>
        </row>
        <row r="222">
          <cell r="A222">
            <v>40026</v>
          </cell>
          <cell r="B222" t="str">
            <v>event</v>
          </cell>
          <cell r="C222" t="str">
            <v>ja</v>
          </cell>
          <cell r="D222" t="str">
            <v>ミケランジェロ襲来！</v>
          </cell>
        </row>
        <row r="223">
          <cell r="A223">
            <v>40027</v>
          </cell>
          <cell r="B223" t="str">
            <v>event</v>
          </cell>
          <cell r="C223" t="str">
            <v>ja</v>
          </cell>
          <cell r="D223" t="str">
            <v>コルキス襲来！</v>
          </cell>
        </row>
        <row r="224">
          <cell r="A224">
            <v>40028</v>
          </cell>
          <cell r="B224" t="str">
            <v>event</v>
          </cell>
          <cell r="C224" t="str">
            <v>ja</v>
          </cell>
          <cell r="D224" t="str">
            <v>ルピカ襲来！</v>
          </cell>
        </row>
        <row r="225">
          <cell r="A225">
            <v>40029</v>
          </cell>
          <cell r="B225" t="str">
            <v>event</v>
          </cell>
          <cell r="C225" t="str">
            <v>ja</v>
          </cell>
          <cell r="D225" t="str">
            <v>カスケード襲来！</v>
          </cell>
        </row>
        <row r="226">
          <cell r="A226">
            <v>40030</v>
          </cell>
          <cell r="B226" t="str">
            <v>event</v>
          </cell>
          <cell r="C226" t="str">
            <v>ja</v>
          </cell>
          <cell r="D226" t="str">
            <v>エリス襲来！</v>
          </cell>
        </row>
        <row r="227">
          <cell r="A227">
            <v>40031</v>
          </cell>
          <cell r="B227" t="str">
            <v>event</v>
          </cell>
          <cell r="C227" t="str">
            <v>ja</v>
          </cell>
          <cell r="D227" t="str">
            <v>董卓襲来！</v>
          </cell>
        </row>
        <row r="228">
          <cell r="A228">
            <v>40032</v>
          </cell>
          <cell r="B228" t="str">
            <v>event</v>
          </cell>
          <cell r="C228" t="str">
            <v>ja</v>
          </cell>
          <cell r="D228" t="str">
            <v>貂蝉襲来！</v>
          </cell>
        </row>
        <row r="229">
          <cell r="A229">
            <v>40033</v>
          </cell>
          <cell r="B229" t="str">
            <v>event</v>
          </cell>
          <cell r="C229" t="str">
            <v>ja</v>
          </cell>
          <cell r="D229" t="str">
            <v>アテナ襲来！</v>
          </cell>
        </row>
        <row r="230">
          <cell r="A230">
            <v>40034</v>
          </cell>
          <cell r="B230" t="str">
            <v>event</v>
          </cell>
          <cell r="C230" t="str">
            <v>ja</v>
          </cell>
          <cell r="D230" t="str">
            <v>カーリー襲来！</v>
          </cell>
        </row>
        <row r="231">
          <cell r="A231">
            <v>40035</v>
          </cell>
          <cell r="B231" t="str">
            <v>event</v>
          </cell>
          <cell r="C231" t="str">
            <v>ja</v>
          </cell>
          <cell r="D231" t="str">
            <v>ブラフマー襲来！</v>
          </cell>
        </row>
        <row r="232">
          <cell r="A232">
            <v>40036</v>
          </cell>
          <cell r="B232" t="str">
            <v>event</v>
          </cell>
          <cell r="C232" t="str">
            <v>ja</v>
          </cell>
          <cell r="D232" t="str">
            <v>ウラヌス襲来！</v>
          </cell>
        </row>
        <row r="233">
          <cell r="A233">
            <v>40037</v>
          </cell>
          <cell r="B233" t="str">
            <v>event</v>
          </cell>
          <cell r="C233" t="str">
            <v>ja</v>
          </cell>
          <cell r="D233" t="str">
            <v>デルピュネー襲来！</v>
          </cell>
        </row>
        <row r="234">
          <cell r="A234">
            <v>40038</v>
          </cell>
          <cell r="B234" t="str">
            <v>event</v>
          </cell>
          <cell r="C234" t="str">
            <v>ja</v>
          </cell>
          <cell r="D234" t="str">
            <v>太宰治襲来！</v>
          </cell>
        </row>
        <row r="235">
          <cell r="A235">
            <v>40039</v>
          </cell>
          <cell r="B235" t="str">
            <v>event</v>
          </cell>
          <cell r="C235" t="str">
            <v>ja</v>
          </cell>
          <cell r="D235" t="str">
            <v>シェイクスピア襲来！</v>
          </cell>
        </row>
        <row r="236">
          <cell r="A236">
            <v>40040</v>
          </cell>
          <cell r="B236" t="str">
            <v>event</v>
          </cell>
          <cell r="C236" t="str">
            <v>ja</v>
          </cell>
          <cell r="D236" t="str">
            <v>竹中半兵衛襲来！</v>
          </cell>
        </row>
        <row r="237">
          <cell r="A237">
            <v>40041</v>
          </cell>
          <cell r="B237" t="str">
            <v>event</v>
          </cell>
          <cell r="C237" t="str">
            <v>ja</v>
          </cell>
          <cell r="D237" t="str">
            <v>ポーラとダニー襲来！</v>
          </cell>
        </row>
        <row r="238">
          <cell r="A238">
            <v>40042</v>
          </cell>
          <cell r="B238" t="str">
            <v>event</v>
          </cell>
          <cell r="C238" t="str">
            <v>ja</v>
          </cell>
          <cell r="D238" t="str">
            <v>ヘル襲来！</v>
          </cell>
        </row>
        <row r="239">
          <cell r="A239">
            <v>40043</v>
          </cell>
          <cell r="B239" t="str">
            <v>event</v>
          </cell>
          <cell r="C239" t="str">
            <v>ja</v>
          </cell>
          <cell r="D239" t="str">
            <v>ワカヒルメ襲来！</v>
          </cell>
        </row>
        <row r="240">
          <cell r="A240">
            <v>40044</v>
          </cell>
          <cell r="B240" t="str">
            <v>event</v>
          </cell>
          <cell r="C240" t="str">
            <v>ja</v>
          </cell>
          <cell r="D240" t="str">
            <v>ジキル&amp;ハイド襲来！</v>
          </cell>
        </row>
        <row r="241">
          <cell r="A241">
            <v>40045</v>
          </cell>
          <cell r="B241" t="str">
            <v>event</v>
          </cell>
          <cell r="C241" t="str">
            <v>ja</v>
          </cell>
          <cell r="D241" t="str">
            <v>服部半蔵襲来！</v>
          </cell>
        </row>
        <row r="242">
          <cell r="A242">
            <v>40046</v>
          </cell>
          <cell r="B242" t="str">
            <v>event</v>
          </cell>
          <cell r="C242" t="str">
            <v>ja</v>
          </cell>
          <cell r="D242" t="str">
            <v>ゼノビア襲来！</v>
          </cell>
        </row>
        <row r="243">
          <cell r="A243">
            <v>48001</v>
          </cell>
          <cell r="B243" t="str">
            <v>event</v>
          </cell>
          <cell r="C243" t="str">
            <v>ja</v>
          </cell>
          <cell r="D243" t="str">
            <v>蛟龍襲来！</v>
          </cell>
        </row>
        <row r="244">
          <cell r="A244">
            <v>48002</v>
          </cell>
          <cell r="B244" t="str">
            <v>event</v>
          </cell>
          <cell r="C244" t="str">
            <v>ja</v>
          </cell>
          <cell r="D244" t="str">
            <v>孫悟空襲来！</v>
          </cell>
        </row>
        <row r="245">
          <cell r="A245">
            <v>48003</v>
          </cell>
          <cell r="B245" t="str">
            <v>event</v>
          </cell>
          <cell r="C245" t="str">
            <v>ja</v>
          </cell>
          <cell r="D245" t="str">
            <v>月下老人襲来！</v>
          </cell>
        </row>
        <row r="246">
          <cell r="A246">
            <v>48004</v>
          </cell>
          <cell r="B246" t="str">
            <v>event</v>
          </cell>
          <cell r="C246" t="str">
            <v>ja</v>
          </cell>
          <cell r="D246" t="str">
            <v>蛟龍襲来！</v>
          </cell>
        </row>
        <row r="247">
          <cell r="A247">
            <v>48005</v>
          </cell>
          <cell r="B247" t="str">
            <v>event</v>
          </cell>
          <cell r="C247" t="str">
            <v>ja</v>
          </cell>
          <cell r="D247" t="str">
            <v>孫悟空襲来！</v>
          </cell>
        </row>
        <row r="248">
          <cell r="A248">
            <v>48006</v>
          </cell>
          <cell r="B248" t="str">
            <v>event</v>
          </cell>
          <cell r="C248" t="str">
            <v>ja</v>
          </cell>
          <cell r="D248" t="str">
            <v>牛頭馬面襲来！</v>
          </cell>
        </row>
        <row r="249">
          <cell r="A249">
            <v>48007</v>
          </cell>
          <cell r="B249" t="str">
            <v>event</v>
          </cell>
          <cell r="C249" t="str">
            <v>ja</v>
          </cell>
          <cell r="D249" t="str">
            <v>紅鬼襲来！</v>
          </cell>
        </row>
        <row r="250">
          <cell r="A250">
            <v>48008</v>
          </cell>
          <cell r="B250" t="str">
            <v>event</v>
          </cell>
          <cell r="C250" t="str">
            <v>ja</v>
          </cell>
          <cell r="D250" t="str">
            <v>紀昌襲来！</v>
          </cell>
        </row>
        <row r="251">
          <cell r="A251">
            <v>48009</v>
          </cell>
          <cell r="B251" t="str">
            <v>event</v>
          </cell>
          <cell r="C251" t="str">
            <v>ja</v>
          </cell>
          <cell r="D251" t="str">
            <v>藍采和襲来！</v>
          </cell>
        </row>
        <row r="252">
          <cell r="A252">
            <v>48010</v>
          </cell>
          <cell r="B252" t="str">
            <v>event</v>
          </cell>
          <cell r="C252" t="str">
            <v>ja</v>
          </cell>
          <cell r="D252" t="str">
            <v>バハムートダックより祝福を</v>
          </cell>
        </row>
        <row r="253">
          <cell r="A253">
            <v>48011</v>
          </cell>
          <cell r="B253" t="str">
            <v>event</v>
          </cell>
          <cell r="C253" t="str">
            <v>ja</v>
          </cell>
          <cell r="D253" t="str">
            <v>年獣襲来！</v>
          </cell>
        </row>
        <row r="254">
          <cell r="A254">
            <v>48012</v>
          </cell>
          <cell r="B254" t="str">
            <v>event</v>
          </cell>
          <cell r="C254" t="str">
            <v>ja</v>
          </cell>
          <cell r="D254" t="str">
            <v>張果老襲来！</v>
          </cell>
        </row>
        <row r="255">
          <cell r="A255">
            <v>48013</v>
          </cell>
          <cell r="B255" t="str">
            <v>event</v>
          </cell>
          <cell r="C255" t="str">
            <v>ja</v>
          </cell>
          <cell r="D255" t="str">
            <v>法海襲来！</v>
          </cell>
        </row>
        <row r="256">
          <cell r="A256">
            <v>48014</v>
          </cell>
          <cell r="B256" t="str">
            <v>event</v>
          </cell>
          <cell r="C256" t="str">
            <v>ja</v>
          </cell>
          <cell r="D256" t="str">
            <v>藍采和襲来！</v>
          </cell>
        </row>
        <row r="257">
          <cell r="A257">
            <v>48015</v>
          </cell>
          <cell r="B257" t="str">
            <v>event</v>
          </cell>
          <cell r="C257" t="str">
            <v>ja</v>
          </cell>
          <cell r="D257" t="str">
            <v>牛頭馬面襲来！</v>
          </cell>
        </row>
        <row r="258">
          <cell r="A258">
            <v>48101</v>
          </cell>
          <cell r="B258" t="str">
            <v>event</v>
          </cell>
          <cell r="C258" t="str">
            <v>ja</v>
          </cell>
          <cell r="D258" t="str">
            <v>喀耳刻襲来！</v>
          </cell>
        </row>
        <row r="259">
          <cell r="A259">
            <v>48501</v>
          </cell>
          <cell r="B259" t="str">
            <v>event</v>
          </cell>
          <cell r="C259" t="str">
            <v>ja</v>
          </cell>
          <cell r="D259" t="str">
            <v>ナーガ襲来！</v>
          </cell>
        </row>
        <row r="260">
          <cell r="A260">
            <v>48502</v>
          </cell>
          <cell r="B260" t="str">
            <v>event</v>
          </cell>
          <cell r="C260" t="str">
            <v>ja</v>
          </cell>
          <cell r="D260" t="str">
            <v>ヘルシング襲来！</v>
          </cell>
        </row>
        <row r="261">
          <cell r="A261">
            <v>48503</v>
          </cell>
          <cell r="B261" t="str">
            <v>event</v>
          </cell>
          <cell r="C261" t="str">
            <v>ja</v>
          </cell>
          <cell r="D261" t="str">
            <v>ナーガ襲来！</v>
          </cell>
        </row>
        <row r="262">
          <cell r="A262">
            <v>48701</v>
          </cell>
          <cell r="B262" t="str">
            <v>event</v>
          </cell>
          <cell r="C262" t="str">
            <v>ja</v>
          </cell>
          <cell r="D262" t="str">
            <v>M.Dragon襲来！</v>
          </cell>
        </row>
        <row r="263">
          <cell r="A263">
            <v>48702</v>
          </cell>
          <cell r="B263" t="str">
            <v>event</v>
          </cell>
          <cell r="C263" t="str">
            <v>ja</v>
          </cell>
          <cell r="D263" t="str">
            <v>田禹治襲来！</v>
          </cell>
        </row>
        <row r="264">
          <cell r="A264">
            <v>41001</v>
          </cell>
          <cell r="B264" t="str">
            <v>event</v>
          </cell>
          <cell r="C264" t="str">
            <v>ja</v>
          </cell>
          <cell r="D264" t="str">
            <v>アマテラス襲来！</v>
          </cell>
        </row>
        <row r="265">
          <cell r="A265">
            <v>41002</v>
          </cell>
          <cell r="B265" t="str">
            <v>event</v>
          </cell>
          <cell r="C265" t="str">
            <v>ja</v>
          </cell>
          <cell r="D265" t="str">
            <v>アザゼル襲来！</v>
          </cell>
        </row>
        <row r="266">
          <cell r="A266">
            <v>41003</v>
          </cell>
          <cell r="B266" t="str">
            <v>event</v>
          </cell>
          <cell r="C266" t="str">
            <v>ja</v>
          </cell>
          <cell r="D266" t="str">
            <v>ジャンヌ襲来！</v>
          </cell>
        </row>
        <row r="267">
          <cell r="A267">
            <v>41004</v>
          </cell>
          <cell r="B267" t="str">
            <v>event</v>
          </cell>
          <cell r="C267" t="str">
            <v>ja</v>
          </cell>
          <cell r="D267" t="str">
            <v>宮本武蔵襲来！</v>
          </cell>
        </row>
        <row r="268">
          <cell r="A268">
            <v>41005</v>
          </cell>
          <cell r="B268" t="str">
            <v>event</v>
          </cell>
          <cell r="C268" t="str">
            <v>ja</v>
          </cell>
          <cell r="D268" t="str">
            <v>オズ襲来！</v>
          </cell>
        </row>
        <row r="269">
          <cell r="A269">
            <v>41006</v>
          </cell>
          <cell r="B269" t="str">
            <v>event</v>
          </cell>
          <cell r="C269" t="str">
            <v>ja</v>
          </cell>
          <cell r="D269" t="str">
            <v>アーサー襲来！</v>
          </cell>
        </row>
        <row r="270">
          <cell r="A270">
            <v>41007</v>
          </cell>
          <cell r="B270" t="str">
            <v>event</v>
          </cell>
          <cell r="C270" t="str">
            <v>ja</v>
          </cell>
          <cell r="D270" t="str">
            <v>グリム襲来！</v>
          </cell>
        </row>
        <row r="271">
          <cell r="A271">
            <v>41008</v>
          </cell>
          <cell r="B271" t="str">
            <v>event</v>
          </cell>
          <cell r="C271" t="str">
            <v>ja</v>
          </cell>
          <cell r="D271" t="str">
            <v>Gスター襲来！</v>
          </cell>
        </row>
        <row r="272">
          <cell r="A272">
            <v>41009</v>
          </cell>
          <cell r="B272" t="str">
            <v>event</v>
          </cell>
          <cell r="C272" t="str">
            <v>ja</v>
          </cell>
          <cell r="D272" t="str">
            <v>フギンとムニン襲来！</v>
          </cell>
        </row>
        <row r="273">
          <cell r="A273">
            <v>41010</v>
          </cell>
          <cell r="B273" t="str">
            <v>event</v>
          </cell>
          <cell r="C273" t="str">
            <v>ja</v>
          </cell>
          <cell r="D273" t="str">
            <v>フレイ襲来！</v>
          </cell>
        </row>
        <row r="274">
          <cell r="A274">
            <v>41011</v>
          </cell>
          <cell r="B274" t="str">
            <v>event</v>
          </cell>
          <cell r="C274" t="str">
            <v>ja</v>
          </cell>
          <cell r="D274" t="str">
            <v>ヨミ襲来！</v>
          </cell>
        </row>
        <row r="275">
          <cell r="A275">
            <v>41012</v>
          </cell>
          <cell r="B275" t="str">
            <v>event</v>
          </cell>
          <cell r="C275" t="str">
            <v>ja</v>
          </cell>
          <cell r="D275" t="str">
            <v>ショウキ襲来！</v>
          </cell>
        </row>
        <row r="276">
          <cell r="A276">
            <v>41013</v>
          </cell>
          <cell r="B276" t="str">
            <v>event</v>
          </cell>
          <cell r="C276" t="str">
            <v>ja</v>
          </cell>
          <cell r="D276" t="str">
            <v>カーマ襲来！</v>
          </cell>
        </row>
        <row r="277">
          <cell r="A277">
            <v>41014</v>
          </cell>
          <cell r="B277" t="str">
            <v>event</v>
          </cell>
          <cell r="C277" t="str">
            <v>ja</v>
          </cell>
          <cell r="D277" t="str">
            <v>シヴァ襲来！</v>
          </cell>
        </row>
        <row r="278">
          <cell r="A278">
            <v>41015</v>
          </cell>
          <cell r="B278" t="str">
            <v>event</v>
          </cell>
          <cell r="C278" t="str">
            <v>ja</v>
          </cell>
          <cell r="D278" t="str">
            <v>ガレス襲来！</v>
          </cell>
        </row>
        <row r="279">
          <cell r="A279">
            <v>47001</v>
          </cell>
          <cell r="B279" t="str">
            <v>event</v>
          </cell>
          <cell r="C279" t="str">
            <v>ja</v>
          </cell>
          <cell r="D279" t="str">
            <v>彦星襲来！</v>
          </cell>
        </row>
        <row r="280">
          <cell r="A280">
            <v>47002</v>
          </cell>
          <cell r="B280" t="str">
            <v>event</v>
          </cell>
          <cell r="C280" t="str">
            <v>ja</v>
          </cell>
          <cell r="D280" t="str">
            <v>夏☆襲来！</v>
          </cell>
        </row>
        <row r="281">
          <cell r="A281">
            <v>47003</v>
          </cell>
          <cell r="B281" t="str">
            <v>event</v>
          </cell>
          <cell r="C281" t="str">
            <v>ja</v>
          </cell>
          <cell r="D281" t="str">
            <v>ハロウィンナイトパニック！</v>
          </cell>
        </row>
        <row r="282">
          <cell r="A282">
            <v>47004</v>
          </cell>
          <cell r="B282" t="str">
            <v>event</v>
          </cell>
          <cell r="C282" t="str">
            <v>ja</v>
          </cell>
          <cell r="D282" t="str">
            <v>聖なる夜に祝福を</v>
          </cell>
        </row>
        <row r="283">
          <cell r="A283">
            <v>47005</v>
          </cell>
          <cell r="B283" t="str">
            <v>event</v>
          </cell>
          <cell r="C283" t="str">
            <v>ja</v>
          </cell>
          <cell r="D283" t="str">
            <v>年を越える儀式</v>
          </cell>
        </row>
        <row r="284">
          <cell r="A284">
            <v>47006</v>
          </cell>
          <cell r="B284" t="str">
            <v>event</v>
          </cell>
          <cell r="C284" t="str">
            <v>ja</v>
          </cell>
          <cell r="D284" t="str">
            <v>酉の初めはたまごから</v>
          </cell>
        </row>
        <row r="285">
          <cell r="A285">
            <v>47007</v>
          </cell>
          <cell r="B285" t="str">
            <v>event</v>
          </cell>
          <cell r="C285" t="str">
            <v>ja</v>
          </cell>
          <cell r="D285" t="str">
            <v>ツンデレ少女の恋心</v>
          </cell>
        </row>
        <row r="286">
          <cell r="A286">
            <v>47008</v>
          </cell>
          <cell r="B286" t="str">
            <v>event</v>
          </cell>
          <cell r="C286" t="str">
            <v>ja</v>
          </cell>
          <cell r="D286" t="str">
            <v>ふんわり少女の恋心</v>
          </cell>
        </row>
        <row r="287">
          <cell r="A287">
            <v>47009</v>
          </cell>
          <cell r="B287" t="str">
            <v>event</v>
          </cell>
          <cell r="C287" t="str">
            <v>ja</v>
          </cell>
          <cell r="D287" t="str">
            <v>夏☆襲来！</v>
          </cell>
        </row>
        <row r="288">
          <cell r="A288">
            <v>47010</v>
          </cell>
          <cell r="B288" t="str">
            <v>event</v>
          </cell>
          <cell r="C288" t="str">
            <v>ja</v>
          </cell>
          <cell r="D288" t="str">
            <v>僕の愛よあの子にとどけ！</v>
          </cell>
        </row>
        <row r="289">
          <cell r="A289">
            <v>47011</v>
          </cell>
          <cell r="B289" t="str">
            <v>event</v>
          </cell>
          <cell r="C289" t="str">
            <v>ja</v>
          </cell>
          <cell r="D289" t="str">
            <v>ツンデレ少女にお返しを！</v>
          </cell>
        </row>
        <row r="290">
          <cell r="A290">
            <v>47012</v>
          </cell>
          <cell r="B290" t="str">
            <v>event</v>
          </cell>
          <cell r="C290" t="str">
            <v>ja</v>
          </cell>
          <cell r="D290" t="str">
            <v>春呼ぶキミの行方</v>
          </cell>
        </row>
        <row r="291">
          <cell r="A291">
            <v>47013</v>
          </cell>
          <cell r="B291" t="str">
            <v>event</v>
          </cell>
          <cell r="C291" t="str">
            <v>ja</v>
          </cell>
          <cell r="D291" t="str">
            <v>スカルズ襲来！</v>
          </cell>
        </row>
        <row r="292">
          <cell r="A292">
            <v>47014</v>
          </cell>
          <cell r="B292" t="str">
            <v>event</v>
          </cell>
          <cell r="C292" t="str">
            <v>ja</v>
          </cell>
          <cell r="D292" t="str">
            <v>ヘルレイザー襲来！</v>
          </cell>
        </row>
        <row r="293">
          <cell r="A293">
            <v>47015</v>
          </cell>
          <cell r="B293" t="str">
            <v>event</v>
          </cell>
          <cell r="C293" t="str">
            <v>ja</v>
          </cell>
          <cell r="D293" t="str">
            <v>御光射す白無垢装束</v>
          </cell>
        </row>
        <row r="294">
          <cell r="A294">
            <v>47016</v>
          </cell>
          <cell r="B294" t="str">
            <v>event</v>
          </cell>
          <cell r="C294" t="str">
            <v>ja</v>
          </cell>
          <cell r="D294" t="str">
            <v>嫁入り道具はチェーンソー</v>
          </cell>
        </row>
        <row r="295">
          <cell r="A295">
            <v>49001</v>
          </cell>
          <cell r="B295" t="str">
            <v>event</v>
          </cell>
          <cell r="C295" t="str">
            <v>ja</v>
          </cell>
          <cell r="D295" t="str">
            <v>熱唱！初音ミクV3</v>
          </cell>
        </row>
        <row r="296">
          <cell r="A296">
            <v>49002</v>
          </cell>
          <cell r="B296" t="str">
            <v>event</v>
          </cell>
          <cell r="C296" t="str">
            <v>ja</v>
          </cell>
          <cell r="D296" t="str">
            <v>園原杏里襲来！</v>
          </cell>
        </row>
        <row r="297">
          <cell r="A297">
            <v>49003</v>
          </cell>
          <cell r="B297" t="str">
            <v>event</v>
          </cell>
          <cell r="C297" t="str">
            <v>ja</v>
          </cell>
          <cell r="D297" t="str">
            <v>折原臨也襲来！</v>
          </cell>
        </row>
        <row r="298">
          <cell r="A298">
            <v>49004</v>
          </cell>
          <cell r="B298" t="str">
            <v>event</v>
          </cell>
          <cell r="C298" t="str">
            <v>ja</v>
          </cell>
          <cell r="D298" t="str">
            <v>サンリオ好きなのだーれだ♪</v>
          </cell>
        </row>
        <row r="299">
          <cell r="A299">
            <v>49005</v>
          </cell>
          <cell r="B299" t="str">
            <v>event</v>
          </cell>
          <cell r="C299" t="str">
            <v>ja</v>
          </cell>
          <cell r="D299" t="str">
            <v>襲来クエスト</v>
          </cell>
        </row>
        <row r="300">
          <cell r="A300">
            <v>49006</v>
          </cell>
          <cell r="B300" t="str">
            <v>event</v>
          </cell>
          <cell r="C300" t="str">
            <v>ja</v>
          </cell>
          <cell r="D300" t="str">
            <v>超大型巨人襲来！</v>
          </cell>
        </row>
        <row r="301">
          <cell r="A301">
            <v>49007</v>
          </cell>
          <cell r="B301" t="str">
            <v>event</v>
          </cell>
          <cell r="C301" t="str">
            <v>ja</v>
          </cell>
          <cell r="D301" t="str">
            <v>アザゼル（台）</v>
          </cell>
        </row>
        <row r="302">
          <cell r="A302">
            <v>49008</v>
          </cell>
          <cell r="B302" t="str">
            <v>event</v>
          </cell>
          <cell r="C302" t="str">
            <v>ja</v>
          </cell>
          <cell r="D302" t="str">
            <v>熱唱！初音ミクV3</v>
          </cell>
        </row>
        <row r="303">
          <cell r="A303">
            <v>49009</v>
          </cell>
          <cell r="B303" t="str">
            <v>event</v>
          </cell>
          <cell r="C303" t="str">
            <v>ja</v>
          </cell>
          <cell r="D303" t="str">
            <v>電子音協奏曲</v>
          </cell>
        </row>
        <row r="304">
          <cell r="A304">
            <v>49010</v>
          </cell>
          <cell r="B304" t="str">
            <v>event</v>
          </cell>
          <cell r="C304" t="str">
            <v>ja</v>
          </cell>
          <cell r="D304" t="str">
            <v>走り抜けろ！ALICE GP</v>
          </cell>
        </row>
        <row r="305">
          <cell r="A305">
            <v>49011</v>
          </cell>
          <cell r="B305" t="str">
            <v>event</v>
          </cell>
          <cell r="C305" t="str">
            <v>ja</v>
          </cell>
          <cell r="D305" t="str">
            <v>秘密のイベント潜入作戦</v>
          </cell>
        </row>
        <row r="306">
          <cell r="A306">
            <v>49012</v>
          </cell>
          <cell r="B306" t="str">
            <v>event</v>
          </cell>
          <cell r="C306" t="str">
            <v>ja</v>
          </cell>
          <cell r="D306" t="str">
            <v>園原杏里襲来！</v>
          </cell>
        </row>
        <row r="307">
          <cell r="A307">
            <v>49013</v>
          </cell>
          <cell r="B307" t="str">
            <v>event</v>
          </cell>
          <cell r="C307" t="str">
            <v>ja</v>
          </cell>
          <cell r="D307" t="str">
            <v>折原臨也襲来！</v>
          </cell>
        </row>
        <row r="308">
          <cell r="A308">
            <v>49014</v>
          </cell>
          <cell r="B308" t="str">
            <v>event</v>
          </cell>
          <cell r="C308" t="str">
            <v>ja</v>
          </cell>
          <cell r="D308" t="str">
            <v>ネコムート襲来！</v>
          </cell>
        </row>
        <row r="309">
          <cell r="A309">
            <v>49015</v>
          </cell>
          <cell r="B309" t="str">
            <v>event</v>
          </cell>
          <cell r="C309" t="str">
            <v>ja</v>
          </cell>
          <cell r="D309" t="str">
            <v>スカー襲来！</v>
          </cell>
        </row>
        <row r="310">
          <cell r="A310">
            <v>49016</v>
          </cell>
          <cell r="B310" t="str">
            <v>event</v>
          </cell>
          <cell r="C310" t="str">
            <v>ja</v>
          </cell>
          <cell r="D310" t="str">
            <v>栗転</v>
          </cell>
        </row>
        <row r="311">
          <cell r="A311">
            <v>50001</v>
          </cell>
          <cell r="B311" t="str">
            <v>event</v>
          </cell>
          <cell r="C311" t="str">
            <v>ja</v>
          </cell>
          <cell r="D311" t="str">
            <v>麒麟襲来！</v>
          </cell>
        </row>
        <row r="312">
          <cell r="A312">
            <v>50002</v>
          </cell>
          <cell r="B312" t="str">
            <v>event</v>
          </cell>
          <cell r="C312" t="str">
            <v>ja</v>
          </cell>
          <cell r="D312" t="str">
            <v>オーディン襲来！</v>
          </cell>
        </row>
        <row r="313">
          <cell r="A313">
            <v>50003</v>
          </cell>
          <cell r="B313" t="str">
            <v>event</v>
          </cell>
          <cell r="C313" t="str">
            <v>ja</v>
          </cell>
          <cell r="D313" t="str">
            <v>織田信長襲来！</v>
          </cell>
        </row>
        <row r="314">
          <cell r="A314">
            <v>50004</v>
          </cell>
          <cell r="B314" t="str">
            <v>event</v>
          </cell>
          <cell r="C314" t="str">
            <v>ja</v>
          </cell>
          <cell r="D314" t="str">
            <v>ルシファー襲来！</v>
          </cell>
        </row>
        <row r="315">
          <cell r="A315">
            <v>50005</v>
          </cell>
          <cell r="B315" t="str">
            <v>event</v>
          </cell>
          <cell r="C315" t="str">
            <v>ja</v>
          </cell>
          <cell r="D315" t="str">
            <v>ゼウス襲来！</v>
          </cell>
        </row>
        <row r="316">
          <cell r="A316">
            <v>50006</v>
          </cell>
          <cell r="B316" t="str">
            <v>event</v>
          </cell>
          <cell r="C316" t="str">
            <v>ja</v>
          </cell>
          <cell r="D316" t="str">
            <v>セト襲来！</v>
          </cell>
        </row>
        <row r="317">
          <cell r="A317">
            <v>50007</v>
          </cell>
          <cell r="B317" t="str">
            <v>event</v>
          </cell>
          <cell r="C317" t="str">
            <v>ja</v>
          </cell>
          <cell r="D317" t="str">
            <v>ギルガメッシュ襲来！</v>
          </cell>
        </row>
        <row r="318">
          <cell r="A318">
            <v>50008</v>
          </cell>
          <cell r="B318" t="str">
            <v>event</v>
          </cell>
          <cell r="C318" t="str">
            <v>ja</v>
          </cell>
          <cell r="D318" t="str">
            <v>呂布襲来！</v>
          </cell>
        </row>
        <row r="319">
          <cell r="A319">
            <v>50009</v>
          </cell>
          <cell r="B319" t="str">
            <v>event</v>
          </cell>
          <cell r="C319" t="str">
            <v>ja</v>
          </cell>
          <cell r="D319" t="str">
            <v>ヘラ襲来！</v>
          </cell>
        </row>
        <row r="320">
          <cell r="A320">
            <v>50010</v>
          </cell>
          <cell r="B320" t="str">
            <v>event</v>
          </cell>
          <cell r="C320" t="str">
            <v>ja</v>
          </cell>
          <cell r="D320" t="str">
            <v>カフカ襲来！</v>
          </cell>
        </row>
        <row r="321">
          <cell r="A321">
            <v>50011</v>
          </cell>
          <cell r="B321" t="str">
            <v>event</v>
          </cell>
          <cell r="C321" t="str">
            <v>ja</v>
          </cell>
          <cell r="D321" t="str">
            <v>ヘラ襲来！</v>
          </cell>
        </row>
        <row r="322">
          <cell r="A322">
            <v>50012</v>
          </cell>
          <cell r="B322" t="str">
            <v>event</v>
          </cell>
          <cell r="C322" t="str">
            <v>ja</v>
          </cell>
          <cell r="D322" t="str">
            <v>豊臣秀吉襲来！</v>
          </cell>
        </row>
        <row r="323">
          <cell r="A323">
            <v>50013</v>
          </cell>
          <cell r="B323" t="str">
            <v>event</v>
          </cell>
          <cell r="C323" t="str">
            <v>ja</v>
          </cell>
          <cell r="D323" t="str">
            <v>ロキ襲来！</v>
          </cell>
        </row>
        <row r="324">
          <cell r="A324">
            <v>50014</v>
          </cell>
          <cell r="B324" t="str">
            <v>event</v>
          </cell>
          <cell r="C324" t="str">
            <v>ja</v>
          </cell>
          <cell r="D324" t="str">
            <v>スサノオ襲来！</v>
          </cell>
        </row>
        <row r="325">
          <cell r="A325">
            <v>50015</v>
          </cell>
          <cell r="B325" t="str">
            <v>event</v>
          </cell>
          <cell r="C325" t="str">
            <v>ja</v>
          </cell>
          <cell r="D325" t="str">
            <v>アンデルセン襲来！</v>
          </cell>
        </row>
        <row r="326">
          <cell r="A326">
            <v>50016</v>
          </cell>
          <cell r="B326" t="str">
            <v>event</v>
          </cell>
          <cell r="C326" t="str">
            <v>ja</v>
          </cell>
          <cell r="D326" t="str">
            <v>アレキサンダー襲来！</v>
          </cell>
        </row>
        <row r="327">
          <cell r="A327">
            <v>51001</v>
          </cell>
          <cell r="B327" t="str">
            <v>event</v>
          </cell>
          <cell r="C327" t="str">
            <v>ja</v>
          </cell>
          <cell r="D327" t="str">
            <v>麒麟襲来！</v>
          </cell>
        </row>
        <row r="328">
          <cell r="A328">
            <v>51002</v>
          </cell>
          <cell r="B328" t="str">
            <v>event</v>
          </cell>
          <cell r="C328" t="str">
            <v>ja</v>
          </cell>
          <cell r="D328" t="str">
            <v>オーディン襲来！</v>
          </cell>
        </row>
        <row r="329">
          <cell r="A329">
            <v>58001</v>
          </cell>
          <cell r="B329" t="str">
            <v>event</v>
          </cell>
          <cell r="C329" t="str">
            <v>ja</v>
          </cell>
          <cell r="D329" t="str">
            <v>曹操襲来！</v>
          </cell>
        </row>
        <row r="330">
          <cell r="A330">
            <v>58002</v>
          </cell>
          <cell r="B330" t="str">
            <v>event</v>
          </cell>
          <cell r="C330" t="str">
            <v>ja</v>
          </cell>
          <cell r="D330" t="str">
            <v>始皇贏政襲来！</v>
          </cell>
        </row>
        <row r="331">
          <cell r="A331">
            <v>58003</v>
          </cell>
          <cell r="B331" t="str">
            <v>event</v>
          </cell>
          <cell r="C331" t="str">
            <v>ja</v>
          </cell>
          <cell r="D331" t="str">
            <v>曹操襲来！</v>
          </cell>
        </row>
        <row r="332">
          <cell r="A332">
            <v>58101</v>
          </cell>
          <cell r="B332" t="str">
            <v>event</v>
          </cell>
          <cell r="C332" t="str">
            <v>ja</v>
          </cell>
          <cell r="D332" t="str">
            <v>路西法襲来！</v>
          </cell>
        </row>
        <row r="333">
          <cell r="A333">
            <v>59001</v>
          </cell>
          <cell r="B333" t="str">
            <v>event</v>
          </cell>
          <cell r="C333" t="str">
            <v>ja</v>
          </cell>
          <cell r="D333" t="str">
            <v>電子歌姫の堕天使</v>
          </cell>
        </row>
        <row r="334">
          <cell r="A334">
            <v>59002</v>
          </cell>
          <cell r="B334" t="str">
            <v>event</v>
          </cell>
          <cell r="C334" t="str">
            <v>ja</v>
          </cell>
          <cell r="D334" t="str">
            <v>狂乱のネコ降臨</v>
          </cell>
        </row>
        <row r="335">
          <cell r="A335">
            <v>59003</v>
          </cell>
          <cell r="B335" t="str">
            <v>event</v>
          </cell>
          <cell r="C335" t="str">
            <v>ja</v>
          </cell>
          <cell r="D335" t="str">
            <v>風雷</v>
          </cell>
        </row>
        <row r="336">
          <cell r="A336">
            <v>60001</v>
          </cell>
          <cell r="B336" t="str">
            <v>ranking</v>
          </cell>
          <cell r="C336" t="str">
            <v>ja</v>
          </cell>
          <cell r="D336" t="str">
            <v>ヘンペルチャレンジ</v>
          </cell>
        </row>
        <row r="337">
          <cell r="A337">
            <v>60002</v>
          </cell>
          <cell r="B337" t="str">
            <v>ranking</v>
          </cell>
          <cell r="C337" t="str">
            <v>ja</v>
          </cell>
          <cell r="D337" t="str">
            <v>ヘンペルチャレンジ</v>
          </cell>
        </row>
        <row r="338">
          <cell r="A338">
            <v>60003</v>
          </cell>
          <cell r="B338" t="str">
            <v>ranking</v>
          </cell>
          <cell r="C338" t="str">
            <v>ja</v>
          </cell>
          <cell r="D338" t="str">
            <v>ヘンペルチャレンジ</v>
          </cell>
        </row>
        <row r="339">
          <cell r="A339">
            <v>60004</v>
          </cell>
          <cell r="B339" t="str">
            <v>ranking</v>
          </cell>
          <cell r="C339" t="str">
            <v>ja</v>
          </cell>
          <cell r="D339" t="str">
            <v>ヘンペルチャレンジ</v>
          </cell>
        </row>
        <row r="340">
          <cell r="A340">
            <v>60005</v>
          </cell>
          <cell r="B340" t="str">
            <v>ranking</v>
          </cell>
          <cell r="C340" t="str">
            <v>ja</v>
          </cell>
          <cell r="D340" t="str">
            <v>オイラーチャレンジ</v>
          </cell>
        </row>
        <row r="341">
          <cell r="A341">
            <v>60006</v>
          </cell>
          <cell r="B341" t="str">
            <v>ranking</v>
          </cell>
          <cell r="C341" t="str">
            <v>ja</v>
          </cell>
          <cell r="D341" t="str">
            <v>オイラーチャレンジ</v>
          </cell>
        </row>
        <row r="342">
          <cell r="A342">
            <v>60007</v>
          </cell>
          <cell r="B342" t="str">
            <v>ranking</v>
          </cell>
          <cell r="C342" t="str">
            <v>ja</v>
          </cell>
          <cell r="D342" t="str">
            <v>オイラーチャレンジ</v>
          </cell>
        </row>
        <row r="343">
          <cell r="A343">
            <v>60010</v>
          </cell>
          <cell r="B343" t="str">
            <v>ranking</v>
          </cell>
          <cell r="C343" t="str">
            <v>ja</v>
          </cell>
          <cell r="D343" t="str">
            <v>ラグランジュチャレンジ</v>
          </cell>
        </row>
        <row r="344">
          <cell r="A344">
            <v>60011</v>
          </cell>
          <cell r="B344" t="str">
            <v>ranking</v>
          </cell>
          <cell r="C344" t="str">
            <v>ja</v>
          </cell>
          <cell r="D344" t="str">
            <v>ユークリッドチャレンジ</v>
          </cell>
        </row>
        <row r="345">
          <cell r="A345">
            <v>61011</v>
          </cell>
          <cell r="B345" t="str">
            <v>ranking</v>
          </cell>
          <cell r="C345" t="str">
            <v>ja</v>
          </cell>
          <cell r="D345" t="str">
            <v>ユークリッドチャレンジコピー</v>
          </cell>
        </row>
        <row r="346">
          <cell r="A346">
            <v>60012</v>
          </cell>
          <cell r="B346" t="str">
            <v>ranking</v>
          </cell>
          <cell r="C346" t="str">
            <v>ja</v>
          </cell>
          <cell r="D346" t="str">
            <v>ユークリッドチャレンジ</v>
          </cell>
        </row>
        <row r="347">
          <cell r="A347">
            <v>60013</v>
          </cell>
          <cell r="B347" t="str">
            <v>ranking</v>
          </cell>
          <cell r="C347" t="str">
            <v>ja</v>
          </cell>
          <cell r="D347" t="str">
            <v>オイラーチャレンジ</v>
          </cell>
        </row>
        <row r="348">
          <cell r="A348">
            <v>60014</v>
          </cell>
          <cell r="B348" t="str">
            <v>ranking</v>
          </cell>
          <cell r="C348" t="str">
            <v>ja</v>
          </cell>
          <cell r="D348" t="str">
            <v xml:space="preserve">クロネッカーチャレンジ </v>
          </cell>
        </row>
        <row r="349">
          <cell r="A349">
            <v>60015</v>
          </cell>
          <cell r="B349" t="str">
            <v>ranking</v>
          </cell>
          <cell r="C349" t="str">
            <v>ja</v>
          </cell>
          <cell r="D349" t="str">
            <v>ラグランジュチャレンジ</v>
          </cell>
        </row>
        <row r="350">
          <cell r="A350">
            <v>60016</v>
          </cell>
          <cell r="B350" t="str">
            <v>ranking</v>
          </cell>
          <cell r="C350" t="str">
            <v>ja</v>
          </cell>
          <cell r="D350" t="str">
            <v>シュレディンガーチャレンジ</v>
          </cell>
        </row>
        <row r="351">
          <cell r="A351">
            <v>60017</v>
          </cell>
          <cell r="B351" t="str">
            <v>ranking</v>
          </cell>
          <cell r="C351" t="str">
            <v>ja</v>
          </cell>
          <cell r="D351" t="str">
            <v>ユークリッドチャレンジ</v>
          </cell>
        </row>
        <row r="352">
          <cell r="A352">
            <v>60018</v>
          </cell>
          <cell r="B352" t="str">
            <v>ranking</v>
          </cell>
          <cell r="C352" t="str">
            <v>ja</v>
          </cell>
          <cell r="D352" t="str">
            <v>チューリングチャレンジ</v>
          </cell>
        </row>
        <row r="353">
          <cell r="A353">
            <v>60019</v>
          </cell>
          <cell r="B353" t="str">
            <v>ranking</v>
          </cell>
          <cell r="C353" t="str">
            <v>ja</v>
          </cell>
          <cell r="D353" t="str">
            <v>ヘンペルチャレンジ</v>
          </cell>
        </row>
        <row r="354">
          <cell r="A354">
            <v>60020</v>
          </cell>
          <cell r="B354" t="str">
            <v>ranking</v>
          </cell>
          <cell r="C354" t="str">
            <v>ja</v>
          </cell>
          <cell r="D354" t="str">
            <v>シュレディンガーチャレンジ</v>
          </cell>
        </row>
        <row r="355">
          <cell r="A355">
            <v>60025</v>
          </cell>
          <cell r="B355" t="str">
            <v>ranking</v>
          </cell>
          <cell r="C355" t="str">
            <v>ja</v>
          </cell>
          <cell r="D355" t="str">
            <v>マリアチャレンジ</v>
          </cell>
        </row>
        <row r="356">
          <cell r="A356">
            <v>60026</v>
          </cell>
          <cell r="B356" t="str">
            <v>ranking</v>
          </cell>
          <cell r="C356" t="str">
            <v>ja</v>
          </cell>
          <cell r="D356" t="str">
            <v>ハップルチャレンジ</v>
          </cell>
        </row>
        <row r="357">
          <cell r="A357">
            <v>60027</v>
          </cell>
          <cell r="B357" t="str">
            <v>ranking</v>
          </cell>
          <cell r="C357" t="str">
            <v>ja</v>
          </cell>
          <cell r="D357" t="str">
            <v>チューリングチャレンジ</v>
          </cell>
        </row>
        <row r="358">
          <cell r="A358">
            <v>60028</v>
          </cell>
          <cell r="B358" t="str">
            <v>ranking</v>
          </cell>
          <cell r="C358" t="str">
            <v>ja</v>
          </cell>
          <cell r="D358" t="str">
            <v xml:space="preserve">クロネッカーチャレンジ </v>
          </cell>
        </row>
        <row r="359">
          <cell r="A359">
            <v>60029</v>
          </cell>
          <cell r="B359" t="str">
            <v>ranking</v>
          </cell>
          <cell r="C359" t="str">
            <v>ja</v>
          </cell>
          <cell r="D359" t="str">
            <v xml:space="preserve">オイラーチャレンジ </v>
          </cell>
        </row>
        <row r="360">
          <cell r="A360">
            <v>60030</v>
          </cell>
          <cell r="B360" t="str">
            <v>ranking</v>
          </cell>
          <cell r="C360" t="str">
            <v>ja</v>
          </cell>
          <cell r="D360" t="str">
            <v xml:space="preserve">フロイトチャレンジ </v>
          </cell>
        </row>
        <row r="361">
          <cell r="A361">
            <v>60031</v>
          </cell>
          <cell r="B361" t="str">
            <v>ranking</v>
          </cell>
          <cell r="C361" t="str">
            <v>ja</v>
          </cell>
          <cell r="D361" t="str">
            <v xml:space="preserve">ヘンペルチャレンジ </v>
          </cell>
        </row>
        <row r="362">
          <cell r="A362">
            <v>60032</v>
          </cell>
          <cell r="B362" t="str">
            <v>ranking</v>
          </cell>
          <cell r="C362" t="str">
            <v>ja</v>
          </cell>
          <cell r="D362" t="str">
            <v xml:space="preserve">ラグランジュチャレンジ </v>
          </cell>
        </row>
        <row r="363">
          <cell r="A363">
            <v>65523</v>
          </cell>
          <cell r="B363" t="str">
            <v>event</v>
          </cell>
          <cell r="C363" t="str">
            <v>ja</v>
          </cell>
          <cell r="D363" t="str">
            <v>【LB尾崎】検証クエスト</v>
          </cell>
        </row>
        <row r="364">
          <cell r="A364">
            <v>65524</v>
          </cell>
          <cell r="B364" t="str">
            <v>event</v>
          </cell>
          <cell r="C364" t="str">
            <v>ja</v>
          </cell>
          <cell r="D364" t="str">
            <v>【LB田頭】検証クエスト</v>
          </cell>
        </row>
        <row r="365">
          <cell r="A365">
            <v>65525</v>
          </cell>
          <cell r="B365" t="str">
            <v>event</v>
          </cell>
          <cell r="C365" t="str">
            <v>ja</v>
          </cell>
          <cell r="D365" t="str">
            <v>【LB田邉】検証クエスト</v>
          </cell>
        </row>
        <row r="366">
          <cell r="A366">
            <v>65526</v>
          </cell>
          <cell r="B366" t="str">
            <v>event</v>
          </cell>
          <cell r="C366" t="str">
            <v>ja</v>
          </cell>
          <cell r="D366" t="str">
            <v>【LB加藤】検証クエスト</v>
          </cell>
        </row>
        <row r="367">
          <cell r="A367">
            <v>65527</v>
          </cell>
          <cell r="B367" t="str">
            <v>event</v>
          </cell>
          <cell r="C367" t="str">
            <v>ja</v>
          </cell>
          <cell r="D367" t="str">
            <v>【LB石川】検証クエスト</v>
          </cell>
        </row>
        <row r="368">
          <cell r="A368">
            <v>65528</v>
          </cell>
          <cell r="B368" t="str">
            <v>event</v>
          </cell>
          <cell r="C368" t="str">
            <v>ja</v>
          </cell>
          <cell r="D368" t="str">
            <v>【LB保堂】検証クエスト</v>
          </cell>
        </row>
        <row r="369">
          <cell r="A369">
            <v>65529</v>
          </cell>
          <cell r="B369" t="str">
            <v>event</v>
          </cell>
          <cell r="C369" t="str">
            <v>ja</v>
          </cell>
          <cell r="D369" t="str">
            <v>【LB植松】検証クエスト</v>
          </cell>
        </row>
        <row r="370">
          <cell r="A370">
            <v>65530</v>
          </cell>
          <cell r="B370" t="str">
            <v>event</v>
          </cell>
          <cell r="C370" t="str">
            <v>ja</v>
          </cell>
          <cell r="D370" t="str">
            <v>【LB渡邉】検証クエスト</v>
          </cell>
        </row>
        <row r="371">
          <cell r="A371">
            <v>65531</v>
          </cell>
          <cell r="B371" t="str">
            <v>event</v>
          </cell>
          <cell r="C371" t="str">
            <v>ja</v>
          </cell>
          <cell r="D371" t="str">
            <v>【LB塚本】検証クエスト</v>
          </cell>
        </row>
        <row r="372">
          <cell r="A372">
            <v>65532</v>
          </cell>
          <cell r="B372" t="str">
            <v>event</v>
          </cell>
          <cell r="C372" t="str">
            <v>ja</v>
          </cell>
          <cell r="D372" t="str">
            <v>【LB山川】検証クエスト</v>
          </cell>
        </row>
        <row r="373">
          <cell r="A373">
            <v>65533</v>
          </cell>
          <cell r="B373" t="str">
            <v>event</v>
          </cell>
          <cell r="C373" t="str">
            <v>ja</v>
          </cell>
          <cell r="D373" t="str">
            <v>【程塚】検証クエスト</v>
          </cell>
        </row>
        <row r="374">
          <cell r="A374">
            <v>65534</v>
          </cell>
          <cell r="B374" t="str">
            <v>event</v>
          </cell>
          <cell r="C374" t="str">
            <v>ja</v>
          </cell>
          <cell r="D374" t="str">
            <v>【LB大野】検証クエスト</v>
          </cell>
        </row>
        <row r="375">
          <cell r="A375">
            <v>65535</v>
          </cell>
          <cell r="B375" t="str">
            <v>event</v>
          </cell>
          <cell r="C375" t="str">
            <v>ja</v>
          </cell>
          <cell r="D375" t="str">
            <v>１２３４５６７８９０１２３４５６７８９０１２３４５６７８９０</v>
          </cell>
        </row>
        <row r="376">
          <cell r="A376">
            <v>60021</v>
          </cell>
          <cell r="B376" t="str">
            <v>event</v>
          </cell>
          <cell r="C376" t="str">
            <v>ja</v>
          </cell>
          <cell r="D376" t="str">
            <v>【月曜限定】 黄の素材verハンプ検証</v>
          </cell>
        </row>
        <row r="377">
          <cell r="A377">
            <v>60022</v>
          </cell>
          <cell r="B377" t="str">
            <v>event</v>
          </cell>
          <cell r="C377" t="str">
            <v>ja</v>
          </cell>
          <cell r="D377" t="str">
            <v>【火曜限定】 赤の素材verハンプ検証</v>
          </cell>
        </row>
        <row r="378">
          <cell r="A378">
            <v>60023</v>
          </cell>
          <cell r="B378" t="str">
            <v>event</v>
          </cell>
          <cell r="C378" t="str">
            <v>ja</v>
          </cell>
          <cell r="D378" t="str">
            <v>【水曜限定】 青の素材verハンプ検証</v>
          </cell>
        </row>
        <row r="379">
          <cell r="A379">
            <v>60024</v>
          </cell>
          <cell r="B379" t="str">
            <v>event</v>
          </cell>
          <cell r="C379" t="str">
            <v>ja</v>
          </cell>
          <cell r="D379" t="str">
            <v>【木曜限定】 緑の素材verハンプ検証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M6"/>
  <sheetViews>
    <sheetView tabSelected="1" workbookViewId="0">
      <selection activeCell="D24" sqref="D24"/>
    </sheetView>
  </sheetViews>
  <sheetFormatPr baseColWidth="12" defaultRowHeight="15" x14ac:dyDescent="0.15"/>
  <cols>
    <col min="2" max="2" width="17.1640625" bestFit="1" customWidth="1"/>
    <col min="5" max="5" width="20.5" bestFit="1" customWidth="1"/>
    <col min="6" max="6" width="16" bestFit="1" customWidth="1"/>
  </cols>
  <sheetData>
    <row r="1" spans="1:13" x14ac:dyDescent="0.15">
      <c r="A1" s="4" t="s">
        <v>8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5"/>
      <c r="I1" s="5"/>
      <c r="J1" s="5"/>
      <c r="K1" s="5"/>
      <c r="L1" s="5"/>
      <c r="M1" s="5"/>
    </row>
    <row r="2" spans="1:13" x14ac:dyDescent="0.15">
      <c r="A2" s="3" t="s">
        <v>112</v>
      </c>
      <c r="B2" s="3" t="s">
        <v>14</v>
      </c>
      <c r="C2" s="3"/>
      <c r="D2" s="3" t="s">
        <v>7</v>
      </c>
      <c r="E2" s="5" t="str">
        <f t="shared" ref="E2" si="0">B2&amp;C2&amp;D2</f>
        <v>ranking_expanded_quests.csv</v>
      </c>
      <c r="F2" s="3" t="s">
        <v>15</v>
      </c>
      <c r="G2" s="7" t="s">
        <v>9</v>
      </c>
      <c r="H2" s="7" t="s">
        <v>10</v>
      </c>
      <c r="I2" s="7" t="s">
        <v>11</v>
      </c>
      <c r="J2" s="7" t="s">
        <v>12</v>
      </c>
      <c r="K2" s="3"/>
      <c r="L2" s="3"/>
      <c r="M2" s="3"/>
    </row>
    <row r="3" spans="1:13" x14ac:dyDescent="0.15">
      <c r="A3" s="3" t="s">
        <v>45</v>
      </c>
      <c r="B3" s="3" t="s">
        <v>26</v>
      </c>
      <c r="C3" s="3"/>
      <c r="D3" s="3" t="s">
        <v>7</v>
      </c>
      <c r="E3" s="5" t="str">
        <f t="shared" ref="E3" si="1">B3&amp;C3&amp;D3</f>
        <v>ranking_quests_i18n.csv</v>
      </c>
      <c r="F3" s="3" t="s">
        <v>15</v>
      </c>
      <c r="G3" s="7" t="s">
        <v>9</v>
      </c>
      <c r="H3" s="10" t="s">
        <v>17</v>
      </c>
      <c r="I3" s="11" t="s">
        <v>18</v>
      </c>
      <c r="J3" s="11" t="s">
        <v>19</v>
      </c>
      <c r="K3" s="11" t="s">
        <v>21</v>
      </c>
      <c r="L3" s="3"/>
      <c r="M3" s="3"/>
    </row>
    <row r="4" spans="1:13" x14ac:dyDescent="0.15">
      <c r="A4" s="3" t="s">
        <v>45</v>
      </c>
      <c r="B4" s="3" t="s">
        <v>34</v>
      </c>
      <c r="C4" s="3"/>
      <c r="D4" s="3" t="s">
        <v>7</v>
      </c>
      <c r="E4" s="5" t="str">
        <f t="shared" ref="E4:E6" si="2">B4&amp;C4&amp;D4</f>
        <v>ranking_points.csv</v>
      </c>
      <c r="F4" s="3" t="s">
        <v>35</v>
      </c>
      <c r="G4" s="13" t="s">
        <v>9</v>
      </c>
      <c r="H4" s="14" t="s">
        <v>28</v>
      </c>
      <c r="I4" s="14" t="s">
        <v>30</v>
      </c>
      <c r="J4" s="14" t="s">
        <v>32</v>
      </c>
      <c r="K4" s="3"/>
      <c r="L4" s="3"/>
      <c r="M4" s="3"/>
    </row>
    <row r="5" spans="1:13" x14ac:dyDescent="0.15">
      <c r="A5" s="3" t="s">
        <v>45</v>
      </c>
      <c r="B5" s="3" t="s">
        <v>37</v>
      </c>
      <c r="C5" s="3"/>
      <c r="D5" s="3" t="s">
        <v>7</v>
      </c>
      <c r="E5" s="5" t="str">
        <f t="shared" si="2"/>
        <v>ranking_titles.csv</v>
      </c>
      <c r="F5" s="3" t="s">
        <v>36</v>
      </c>
      <c r="G5" s="12" t="s">
        <v>39</v>
      </c>
      <c r="H5" s="12" t="s">
        <v>40</v>
      </c>
      <c r="I5" s="12" t="s">
        <v>41</v>
      </c>
      <c r="J5" s="3"/>
      <c r="K5" s="3"/>
      <c r="L5" s="3"/>
      <c r="M5" s="3"/>
    </row>
    <row r="6" spans="1:13" x14ac:dyDescent="0.15">
      <c r="A6" s="3" t="s">
        <v>45</v>
      </c>
      <c r="B6" s="3" t="s">
        <v>38</v>
      </c>
      <c r="C6" s="3"/>
      <c r="D6" s="3" t="s">
        <v>7</v>
      </c>
      <c r="E6" s="5" t="str">
        <f t="shared" si="2"/>
        <v>ranking_titles_i18n.csv</v>
      </c>
      <c r="F6" s="3" t="s">
        <v>36</v>
      </c>
      <c r="G6" s="12" t="s">
        <v>39</v>
      </c>
      <c r="H6" s="15" t="s">
        <v>16</v>
      </c>
      <c r="I6" s="15" t="s">
        <v>42</v>
      </c>
      <c r="J6" s="15" t="s">
        <v>20</v>
      </c>
      <c r="K6" s="3"/>
      <c r="L6" s="3"/>
      <c r="M6" s="3"/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I28"/>
  <sheetViews>
    <sheetView showGridLines="0" workbookViewId="0">
      <pane ySplit="1" topLeftCell="A14" activePane="bottomLeft" state="frozen"/>
      <selection pane="bottomLeft" activeCell="I29" sqref="I29"/>
    </sheetView>
  </sheetViews>
  <sheetFormatPr baseColWidth="12" defaultColWidth="8.83203125" defaultRowHeight="21" customHeight="1" outlineLevelCol="1" x14ac:dyDescent="0.15"/>
  <cols>
    <col min="1" max="1" width="8.83203125" style="1"/>
    <col min="2" max="2" width="10.1640625" style="1" bestFit="1" customWidth="1"/>
    <col min="3" max="5" width="23.6640625" style="1" customWidth="1" outlineLevel="1"/>
    <col min="6" max="6" width="8.83203125" style="1"/>
    <col min="7" max="7" width="53" style="1" customWidth="1"/>
    <col min="8" max="8" width="18.6640625" style="1" bestFit="1" customWidth="1"/>
    <col min="9" max="9" width="13.83203125" style="1" bestFit="1" customWidth="1"/>
    <col min="10" max="16384" width="8.83203125" style="1"/>
  </cols>
  <sheetData>
    <row r="1" spans="1:9" ht="21" customHeight="1" x14ac:dyDescent="0.15">
      <c r="A1" s="7" t="s">
        <v>9</v>
      </c>
      <c r="B1" s="9" t="s">
        <v>13</v>
      </c>
      <c r="C1" s="24" t="s">
        <v>113</v>
      </c>
      <c r="D1" s="24" t="s">
        <v>114</v>
      </c>
      <c r="E1" s="24" t="s">
        <v>115</v>
      </c>
      <c r="F1" s="10" t="s">
        <v>17</v>
      </c>
      <c r="G1" s="11" t="s">
        <v>18</v>
      </c>
      <c r="H1" s="11" t="s">
        <v>19</v>
      </c>
      <c r="I1" s="11" t="s">
        <v>21</v>
      </c>
    </row>
    <row r="2" spans="1:9" ht="21" customHeight="1" x14ac:dyDescent="0.15">
      <c r="A2" s="8">
        <v>60001</v>
      </c>
      <c r="B2" s="8" t="str">
        <f>VLOOKUP(A2,[1]quests!$A:$D,4,FALSE)</f>
        <v>ヘンペルチャレンジ</v>
      </c>
      <c r="C2" s="25">
        <v>10</v>
      </c>
      <c r="D2" s="26" t="s">
        <v>46</v>
      </c>
      <c r="E2" s="26" t="s">
        <v>47</v>
      </c>
      <c r="F2" s="2" t="s">
        <v>23</v>
      </c>
      <c r="G2" s="2" t="s">
        <v>24</v>
      </c>
      <c r="H2" s="2" t="s">
        <v>25</v>
      </c>
      <c r="I2" s="2" t="s">
        <v>55</v>
      </c>
    </row>
    <row r="3" spans="1:9" ht="21" customHeight="1" x14ac:dyDescent="0.15">
      <c r="A3" s="8">
        <v>60002</v>
      </c>
      <c r="B3" s="8" t="str">
        <f>VLOOKUP(A3,[1]quests!$A:$D,4,FALSE)</f>
        <v>ヘンペルチャレンジ</v>
      </c>
      <c r="C3" s="25">
        <v>10</v>
      </c>
      <c r="D3" s="26" t="s">
        <v>48</v>
      </c>
      <c r="E3" s="26" t="s">
        <v>49</v>
      </c>
      <c r="F3" s="2" t="s">
        <v>0</v>
      </c>
      <c r="G3" s="2" t="s">
        <v>24</v>
      </c>
      <c r="H3" s="2" t="s">
        <v>25</v>
      </c>
      <c r="I3" s="2" t="s">
        <v>56</v>
      </c>
    </row>
    <row r="4" spans="1:9" ht="21" customHeight="1" x14ac:dyDescent="0.15">
      <c r="A4" s="8">
        <v>60003</v>
      </c>
      <c r="B4" s="8" t="str">
        <f>VLOOKUP(A4,[1]quests!$A:$D,4,FALSE)</f>
        <v>ヘンペルチャレンジ</v>
      </c>
      <c r="C4" s="25">
        <v>10</v>
      </c>
      <c r="D4" s="26" t="s">
        <v>50</v>
      </c>
      <c r="E4" s="26" t="s">
        <v>51</v>
      </c>
      <c r="F4" s="2" t="s">
        <v>0</v>
      </c>
      <c r="G4" s="2" t="s">
        <v>24</v>
      </c>
      <c r="H4" s="2" t="s">
        <v>25</v>
      </c>
      <c r="I4" s="2" t="s">
        <v>54</v>
      </c>
    </row>
    <row r="5" spans="1:9" ht="21" customHeight="1" x14ac:dyDescent="0.15">
      <c r="A5" s="8">
        <v>60004</v>
      </c>
      <c r="B5" s="8" t="str">
        <f>VLOOKUP(A5,[1]quests!$A:$D,4,FALSE)</f>
        <v>ヘンペルチャレンジ</v>
      </c>
      <c r="C5" s="25">
        <v>10</v>
      </c>
      <c r="D5" s="26" t="s">
        <v>52</v>
      </c>
      <c r="E5" s="26" t="s">
        <v>53</v>
      </c>
      <c r="F5" s="2" t="s">
        <v>0</v>
      </c>
      <c r="G5" s="2" t="s">
        <v>24</v>
      </c>
      <c r="H5" s="2" t="s">
        <v>25</v>
      </c>
      <c r="I5" s="2" t="s">
        <v>54</v>
      </c>
    </row>
    <row r="6" spans="1:9" ht="21" customHeight="1" x14ac:dyDescent="0.15">
      <c r="A6" s="8">
        <v>60005</v>
      </c>
      <c r="B6" s="8" t="str">
        <f>VLOOKUP(A6,[1]quests!$A:$D,4,FALSE)</f>
        <v>オイラーチャレンジ</v>
      </c>
      <c r="C6" s="25">
        <v>10</v>
      </c>
      <c r="D6" s="26" t="s">
        <v>74</v>
      </c>
      <c r="E6" s="26" t="s">
        <v>73</v>
      </c>
      <c r="F6" s="2" t="s">
        <v>0</v>
      </c>
      <c r="G6" s="2" t="s">
        <v>24</v>
      </c>
      <c r="H6" s="2" t="s">
        <v>25</v>
      </c>
      <c r="I6" s="2" t="s">
        <v>54</v>
      </c>
    </row>
    <row r="7" spans="1:9" ht="21" customHeight="1" x14ac:dyDescent="0.15">
      <c r="A7" s="8">
        <v>60006</v>
      </c>
      <c r="B7" s="8" t="str">
        <f>VLOOKUP(A7,[1]quests!$A:$D,4,FALSE)</f>
        <v>オイラーチャレンジ</v>
      </c>
      <c r="C7" s="25">
        <v>30</v>
      </c>
      <c r="D7" s="26" t="s">
        <v>105</v>
      </c>
      <c r="E7" s="26" t="s">
        <v>110</v>
      </c>
      <c r="F7" s="2" t="s">
        <v>0</v>
      </c>
      <c r="G7" s="20" t="s">
        <v>119</v>
      </c>
      <c r="H7" s="20" t="s">
        <v>108</v>
      </c>
      <c r="I7" s="2" t="s">
        <v>117</v>
      </c>
    </row>
    <row r="8" spans="1:9" ht="21" customHeight="1" x14ac:dyDescent="0.15">
      <c r="A8" s="8">
        <v>60007</v>
      </c>
      <c r="B8" s="8" t="str">
        <f>VLOOKUP(A8,[1]quests!$A:$D,4,FALSE)</f>
        <v>オイラーチャレンジ</v>
      </c>
      <c r="C8" s="25">
        <v>30</v>
      </c>
      <c r="D8" s="26" t="s">
        <v>109</v>
      </c>
      <c r="E8" s="26" t="s">
        <v>111</v>
      </c>
      <c r="F8" s="2" t="s">
        <v>0</v>
      </c>
      <c r="G8" s="20" t="s">
        <v>120</v>
      </c>
      <c r="H8" s="20" t="s">
        <v>108</v>
      </c>
      <c r="I8" s="23" t="str">
        <f>I7</f>
        <v>QuestTop_60006.png</v>
      </c>
    </row>
    <row r="9" spans="1:9" ht="21" customHeight="1" x14ac:dyDescent="0.15">
      <c r="A9" s="6">
        <v>60010</v>
      </c>
      <c r="B9" s="8" t="str">
        <f>VLOOKUP(A9,[1]quests!$A:$D,4,FALSE)</f>
        <v>ラグランジュチャレンジ</v>
      </c>
      <c r="C9" s="25">
        <v>30</v>
      </c>
      <c r="D9" s="26" t="s">
        <v>109</v>
      </c>
      <c r="E9" s="26" t="s">
        <v>111</v>
      </c>
      <c r="F9" s="2" t="s">
        <v>116</v>
      </c>
      <c r="G9" s="20" t="s">
        <v>107</v>
      </c>
      <c r="H9" s="20" t="s">
        <v>108</v>
      </c>
      <c r="I9" s="23" t="s">
        <v>118</v>
      </c>
    </row>
    <row r="10" spans="1:9" ht="21" customHeight="1" x14ac:dyDescent="0.15">
      <c r="A10" s="6">
        <v>60011</v>
      </c>
      <c r="B10" s="8" t="str">
        <f>VLOOKUP(A10,[1]quests!$A:$D,4,FALSE)</f>
        <v>ユークリッドチャレンジ</v>
      </c>
      <c r="C10" s="25">
        <v>30</v>
      </c>
      <c r="D10" s="26" t="s">
        <v>109</v>
      </c>
      <c r="E10" s="26" t="s">
        <v>111</v>
      </c>
      <c r="F10" s="2" t="s">
        <v>116</v>
      </c>
      <c r="G10" s="20" t="s">
        <v>129</v>
      </c>
      <c r="H10" s="20" t="s">
        <v>108</v>
      </c>
      <c r="I10" s="23" t="s">
        <v>128</v>
      </c>
    </row>
    <row r="11" spans="1:9" ht="21" customHeight="1" x14ac:dyDescent="0.15">
      <c r="A11" s="6">
        <v>61011</v>
      </c>
      <c r="B11" s="8" t="str">
        <f>VLOOKUP(A11,[1]quests!$A:$D,4,FALSE)</f>
        <v>ユークリッドチャレンジコピー</v>
      </c>
      <c r="C11" s="25">
        <v>30</v>
      </c>
      <c r="D11" s="26" t="s">
        <v>109</v>
      </c>
      <c r="E11" s="26" t="s">
        <v>111</v>
      </c>
      <c r="F11" s="2" t="s">
        <v>116</v>
      </c>
      <c r="G11" s="20" t="s">
        <v>129</v>
      </c>
      <c r="H11" s="20" t="s">
        <v>108</v>
      </c>
      <c r="I11" s="23" t="s">
        <v>136</v>
      </c>
    </row>
    <row r="12" spans="1:9" ht="21" customHeight="1" x14ac:dyDescent="0.15">
      <c r="A12" s="6">
        <v>60012</v>
      </c>
      <c r="B12" s="8" t="str">
        <f>VLOOKUP(A12,[1]quests!$A:$D,4,FALSE)</f>
        <v>ユークリッドチャレンジ</v>
      </c>
      <c r="C12" s="25">
        <v>30</v>
      </c>
      <c r="D12" s="26" t="s">
        <v>109</v>
      </c>
      <c r="E12" s="26" t="s">
        <v>111</v>
      </c>
      <c r="F12" s="2" t="s">
        <v>0</v>
      </c>
      <c r="G12" s="20" t="s">
        <v>130</v>
      </c>
      <c r="H12" s="20" t="s">
        <v>108</v>
      </c>
      <c r="I12" s="23" t="s">
        <v>128</v>
      </c>
    </row>
    <row r="13" spans="1:9" ht="21" customHeight="1" x14ac:dyDescent="0.15">
      <c r="A13" s="6">
        <v>60013</v>
      </c>
      <c r="B13" s="8" t="str">
        <f>VLOOKUP(A13,[1]quests!$A:$D,4,FALSE)</f>
        <v>オイラーチャレンジ</v>
      </c>
      <c r="C13" s="25">
        <v>30</v>
      </c>
      <c r="D13" s="26" t="s">
        <v>109</v>
      </c>
      <c r="E13" s="26" t="s">
        <v>111</v>
      </c>
      <c r="F13" s="2" t="s">
        <v>0</v>
      </c>
      <c r="G13" s="20" t="s">
        <v>129</v>
      </c>
      <c r="H13" s="20" t="s">
        <v>108</v>
      </c>
      <c r="I13" s="23" t="s">
        <v>131</v>
      </c>
    </row>
    <row r="14" spans="1:9" ht="21" customHeight="1" x14ac:dyDescent="0.15">
      <c r="A14" s="6">
        <v>60014</v>
      </c>
      <c r="B14" s="8" t="str">
        <f>VLOOKUP(A14,[1]quests!$A:$D,4,FALSE)</f>
        <v xml:space="preserve">クロネッカーチャレンジ </v>
      </c>
      <c r="C14" s="25">
        <v>30</v>
      </c>
      <c r="D14" s="26" t="s">
        <v>109</v>
      </c>
      <c r="E14" s="26" t="s">
        <v>111</v>
      </c>
      <c r="F14" s="2" t="s">
        <v>0</v>
      </c>
      <c r="G14" s="20" t="s">
        <v>129</v>
      </c>
      <c r="H14" s="20" t="s">
        <v>108</v>
      </c>
      <c r="I14" s="23" t="s">
        <v>132</v>
      </c>
    </row>
    <row r="15" spans="1:9" ht="21" customHeight="1" x14ac:dyDescent="0.15">
      <c r="A15" s="6">
        <v>60015</v>
      </c>
      <c r="B15" s="8" t="str">
        <f>VLOOKUP(A15,[1]quests!$A:$D,4,FALSE)</f>
        <v>ラグランジュチャレンジ</v>
      </c>
      <c r="C15" s="25">
        <v>30</v>
      </c>
      <c r="D15" s="26" t="s">
        <v>109</v>
      </c>
      <c r="E15" s="26" t="s">
        <v>111</v>
      </c>
      <c r="F15" s="2" t="s">
        <v>0</v>
      </c>
      <c r="G15" s="20" t="s">
        <v>129</v>
      </c>
      <c r="H15" s="20" t="s">
        <v>108</v>
      </c>
      <c r="I15" s="23" t="s">
        <v>133</v>
      </c>
    </row>
    <row r="16" spans="1:9" ht="21" customHeight="1" x14ac:dyDescent="0.15">
      <c r="A16" s="6">
        <v>60016</v>
      </c>
      <c r="B16" s="8" t="str">
        <f>VLOOKUP(A16,[1]quests!$A:$D,4,FALSE)</f>
        <v>シュレディンガーチャレンジ</v>
      </c>
      <c r="C16" s="25">
        <v>30</v>
      </c>
      <c r="D16" s="26" t="s">
        <v>109</v>
      </c>
      <c r="E16" s="26" t="s">
        <v>111</v>
      </c>
      <c r="F16" s="2" t="s">
        <v>0</v>
      </c>
      <c r="G16" s="20" t="s">
        <v>135</v>
      </c>
      <c r="H16" s="20" t="s">
        <v>108</v>
      </c>
      <c r="I16" s="23" t="s">
        <v>134</v>
      </c>
    </row>
    <row r="17" spans="1:9" ht="21" customHeight="1" x14ac:dyDescent="0.15">
      <c r="A17" s="6">
        <v>60017</v>
      </c>
      <c r="B17" s="8" t="str">
        <f>VLOOKUP(A17,[1]quests!$A:$D,4,FALSE)</f>
        <v>ユークリッドチャレンジ</v>
      </c>
      <c r="C17" s="25">
        <v>30</v>
      </c>
      <c r="D17" s="26" t="s">
        <v>109</v>
      </c>
      <c r="E17" s="26" t="s">
        <v>111</v>
      </c>
      <c r="F17" s="2" t="s">
        <v>0</v>
      </c>
      <c r="G17" s="20" t="s">
        <v>135</v>
      </c>
      <c r="H17" s="20" t="s">
        <v>108</v>
      </c>
      <c r="I17" s="23" t="s">
        <v>136</v>
      </c>
    </row>
    <row r="18" spans="1:9" ht="21" customHeight="1" x14ac:dyDescent="0.15">
      <c r="A18" s="6">
        <v>60018</v>
      </c>
      <c r="B18" s="8" t="str">
        <f>VLOOKUP(A18,[1]quests!$A:$D,4,FALSE)</f>
        <v>チューリングチャレンジ</v>
      </c>
      <c r="C18" s="25">
        <v>30</v>
      </c>
      <c r="D18" s="26" t="s">
        <v>109</v>
      </c>
      <c r="E18" s="26" t="s">
        <v>111</v>
      </c>
      <c r="F18" s="2" t="s">
        <v>0</v>
      </c>
      <c r="G18" s="20" t="s">
        <v>135</v>
      </c>
      <c r="H18" s="20" t="s">
        <v>108</v>
      </c>
      <c r="I18" s="23" t="s">
        <v>137</v>
      </c>
    </row>
    <row r="19" spans="1:9" ht="21" customHeight="1" x14ac:dyDescent="0.15">
      <c r="A19" s="6">
        <v>60019</v>
      </c>
      <c r="B19" s="8" t="str">
        <f>VLOOKUP(A19,[1]quests!$A:$D,4,FALSE)</f>
        <v>ヘンペルチャレンジ</v>
      </c>
      <c r="C19" s="25">
        <v>30</v>
      </c>
      <c r="D19" s="26" t="s">
        <v>109</v>
      </c>
      <c r="E19" s="26" t="s">
        <v>111</v>
      </c>
      <c r="F19" s="2" t="s">
        <v>0</v>
      </c>
      <c r="G19" s="20" t="s">
        <v>129</v>
      </c>
      <c r="H19" s="20" t="s">
        <v>108</v>
      </c>
      <c r="I19" s="23" t="s">
        <v>139</v>
      </c>
    </row>
    <row r="20" spans="1:9" ht="21" customHeight="1" x14ac:dyDescent="0.15">
      <c r="A20" s="6">
        <v>60020</v>
      </c>
      <c r="B20" s="8" t="str">
        <f>VLOOKUP(A20,[1]quests!$A:$D,4,FALSE)</f>
        <v>シュレディンガーチャレンジ</v>
      </c>
      <c r="C20" s="25">
        <v>30</v>
      </c>
      <c r="D20" s="26" t="s">
        <v>109</v>
      </c>
      <c r="E20" s="26" t="s">
        <v>111</v>
      </c>
      <c r="F20" s="2" t="s">
        <v>0</v>
      </c>
      <c r="G20" s="20" t="s">
        <v>135</v>
      </c>
      <c r="H20" s="20" t="s">
        <v>108</v>
      </c>
      <c r="I20" s="23" t="s">
        <v>138</v>
      </c>
    </row>
    <row r="21" spans="1:9" ht="21" customHeight="1" x14ac:dyDescent="0.15">
      <c r="A21" s="6">
        <v>60025</v>
      </c>
      <c r="B21" s="8" t="str">
        <f>VLOOKUP(A21,[1]quests!$A:$D,4,FALSE)</f>
        <v>マリアチャレンジ</v>
      </c>
      <c r="C21" s="25">
        <v>30</v>
      </c>
      <c r="D21" s="26" t="s">
        <v>109</v>
      </c>
      <c r="E21" s="26" t="s">
        <v>111</v>
      </c>
      <c r="F21" s="2" t="s">
        <v>0</v>
      </c>
      <c r="G21" s="20" t="s">
        <v>135</v>
      </c>
      <c r="H21" s="20" t="s">
        <v>108</v>
      </c>
      <c r="I21" s="23" t="s">
        <v>140</v>
      </c>
    </row>
    <row r="22" spans="1:9" ht="21" customHeight="1" x14ac:dyDescent="0.15">
      <c r="A22" s="6">
        <v>60026</v>
      </c>
      <c r="B22" s="8" t="str">
        <f>VLOOKUP(A22,[1]quests!$A:$D,4,FALSE)</f>
        <v>ハップルチャレンジ</v>
      </c>
      <c r="C22" s="25">
        <v>30</v>
      </c>
      <c r="D22" s="26" t="s">
        <v>109</v>
      </c>
      <c r="E22" s="26" t="s">
        <v>111</v>
      </c>
      <c r="F22" s="2" t="s">
        <v>0</v>
      </c>
      <c r="G22" s="20" t="s">
        <v>135</v>
      </c>
      <c r="H22" s="20" t="s">
        <v>108</v>
      </c>
      <c r="I22" s="23" t="s">
        <v>142</v>
      </c>
    </row>
    <row r="23" spans="1:9" ht="21" customHeight="1" x14ac:dyDescent="0.15">
      <c r="A23" s="6">
        <v>60027</v>
      </c>
      <c r="B23" s="8" t="str">
        <f>VLOOKUP(A23,[1]quests!$A:$D,4,FALSE)</f>
        <v>チューリングチャレンジ</v>
      </c>
      <c r="C23" s="25">
        <v>30</v>
      </c>
      <c r="D23" s="26" t="s">
        <v>109</v>
      </c>
      <c r="E23" s="26" t="s">
        <v>111</v>
      </c>
      <c r="F23" s="2" t="s">
        <v>0</v>
      </c>
      <c r="G23" s="20" t="s">
        <v>135</v>
      </c>
      <c r="H23" s="20" t="s">
        <v>108</v>
      </c>
      <c r="I23" s="23" t="s">
        <v>141</v>
      </c>
    </row>
    <row r="24" spans="1:9" ht="21" customHeight="1" x14ac:dyDescent="0.15">
      <c r="A24" s="6">
        <v>60028</v>
      </c>
      <c r="B24" s="8" t="str">
        <f>VLOOKUP(A24,[1]quests!$A:$D,4,FALSE)</f>
        <v xml:space="preserve">クロネッカーチャレンジ </v>
      </c>
      <c r="C24" s="25">
        <v>30</v>
      </c>
      <c r="D24" s="26" t="s">
        <v>109</v>
      </c>
      <c r="E24" s="26" t="s">
        <v>111</v>
      </c>
      <c r="F24" s="2" t="s">
        <v>0</v>
      </c>
      <c r="G24" s="20" t="s">
        <v>129</v>
      </c>
      <c r="H24" s="20" t="s">
        <v>108</v>
      </c>
      <c r="I24" s="23" t="s">
        <v>143</v>
      </c>
    </row>
    <row r="25" spans="1:9" ht="21" customHeight="1" x14ac:dyDescent="0.15">
      <c r="A25" s="6">
        <v>60029</v>
      </c>
      <c r="B25" s="8" t="str">
        <f>VLOOKUP(A25,[1]quests!$A:$D,4,FALSE)</f>
        <v xml:space="preserve">オイラーチャレンジ </v>
      </c>
      <c r="C25" s="25">
        <v>30</v>
      </c>
      <c r="D25" s="26" t="s">
        <v>109</v>
      </c>
      <c r="E25" s="26" t="s">
        <v>111</v>
      </c>
      <c r="F25" s="2" t="s">
        <v>0</v>
      </c>
      <c r="G25" s="20" t="s">
        <v>129</v>
      </c>
      <c r="H25" s="20" t="s">
        <v>108</v>
      </c>
      <c r="I25" s="23" t="s">
        <v>144</v>
      </c>
    </row>
    <row r="26" spans="1:9" ht="21" customHeight="1" x14ac:dyDescent="0.15">
      <c r="A26" s="6">
        <v>60030</v>
      </c>
      <c r="B26" s="8" t="str">
        <f>VLOOKUP(A26,[1]quests!$A:$D,4,FALSE)</f>
        <v xml:space="preserve">フロイトチャレンジ </v>
      </c>
      <c r="C26" s="25">
        <v>30</v>
      </c>
      <c r="D26" s="26" t="s">
        <v>109</v>
      </c>
      <c r="E26" s="26" t="s">
        <v>111</v>
      </c>
      <c r="F26" s="2" t="s">
        <v>0</v>
      </c>
      <c r="G26" s="20" t="s">
        <v>129</v>
      </c>
      <c r="H26" s="20" t="s">
        <v>108</v>
      </c>
      <c r="I26" s="23" t="s">
        <v>145</v>
      </c>
    </row>
    <row r="27" spans="1:9" ht="21" customHeight="1" x14ac:dyDescent="0.15">
      <c r="A27" s="6">
        <v>60031</v>
      </c>
      <c r="B27" s="8" t="str">
        <f>VLOOKUP(A27,[1]quests!$A:$D,4,FALSE)</f>
        <v xml:space="preserve">ヘンペルチャレンジ </v>
      </c>
      <c r="C27" s="25">
        <v>30</v>
      </c>
      <c r="D27" s="26" t="s">
        <v>109</v>
      </c>
      <c r="E27" s="26" t="s">
        <v>111</v>
      </c>
      <c r="F27" s="2" t="s">
        <v>0</v>
      </c>
      <c r="G27" s="20" t="s">
        <v>129</v>
      </c>
      <c r="H27" s="20" t="s">
        <v>108</v>
      </c>
      <c r="I27" s="23" t="s">
        <v>146</v>
      </c>
    </row>
    <row r="28" spans="1:9" ht="21" customHeight="1" x14ac:dyDescent="0.15">
      <c r="A28" s="6">
        <v>60032</v>
      </c>
      <c r="B28" s="8" t="str">
        <f>VLOOKUP(A28,[1]quests!$A:$D,4,FALSE)</f>
        <v xml:space="preserve">ラグランジュチャレンジ </v>
      </c>
      <c r="C28" s="25">
        <v>30</v>
      </c>
      <c r="D28" s="26" t="s">
        <v>109</v>
      </c>
      <c r="E28" s="26" t="s">
        <v>111</v>
      </c>
      <c r="F28" s="2" t="s">
        <v>0</v>
      </c>
      <c r="G28" s="20" t="s">
        <v>129</v>
      </c>
      <c r="H28" s="20" t="s">
        <v>108</v>
      </c>
      <c r="I28" s="23" t="s">
        <v>147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</sheetPr>
  <dimension ref="A1:M203"/>
  <sheetViews>
    <sheetView topLeftCell="A176" workbookViewId="0">
      <selection activeCell="A197" sqref="A197:A203"/>
    </sheetView>
  </sheetViews>
  <sheetFormatPr baseColWidth="12" defaultRowHeight="15" x14ac:dyDescent="0.15"/>
  <sheetData>
    <row r="1" spans="1:13" x14ac:dyDescent="0.15">
      <c r="A1" s="12" t="s">
        <v>27</v>
      </c>
      <c r="B1" s="12" t="s">
        <v>29</v>
      </c>
      <c r="C1" s="12" t="s">
        <v>31</v>
      </c>
      <c r="D1" s="12" t="s">
        <v>33</v>
      </c>
      <c r="G1" s="16">
        <v>60006</v>
      </c>
      <c r="H1" s="17">
        <v>1</v>
      </c>
      <c r="I1" s="17">
        <v>3</v>
      </c>
      <c r="J1" s="3">
        <v>80</v>
      </c>
      <c r="L1">
        <v>1</v>
      </c>
      <c r="M1">
        <f>VLOOKUP(L1,H:J,3)</f>
        <v>80</v>
      </c>
    </row>
    <row r="2" spans="1:13" x14ac:dyDescent="0.15">
      <c r="A2" s="3">
        <v>60001</v>
      </c>
      <c r="B2" s="3">
        <v>1</v>
      </c>
      <c r="C2" s="3">
        <v>1</v>
      </c>
      <c r="D2" s="3">
        <v>1000</v>
      </c>
      <c r="G2" s="16">
        <v>60006</v>
      </c>
      <c r="H2" s="17">
        <v>4</v>
      </c>
      <c r="I2" s="17">
        <v>10</v>
      </c>
      <c r="J2" s="3">
        <v>70</v>
      </c>
      <c r="L2">
        <v>1</v>
      </c>
      <c r="M2">
        <f t="shared" ref="M2:M3" si="0">VLOOKUP(L2,H:J,3)</f>
        <v>80</v>
      </c>
    </row>
    <row r="3" spans="1:13" x14ac:dyDescent="0.15">
      <c r="A3" s="3">
        <v>60002</v>
      </c>
      <c r="B3" s="3">
        <v>1</v>
      </c>
      <c r="C3" s="3">
        <v>1</v>
      </c>
      <c r="D3" s="3">
        <v>1000</v>
      </c>
      <c r="G3" s="16">
        <v>60006</v>
      </c>
      <c r="H3" s="17">
        <v>11</v>
      </c>
      <c r="I3" s="17">
        <v>30</v>
      </c>
      <c r="J3" s="3">
        <v>60</v>
      </c>
      <c r="L3">
        <v>30</v>
      </c>
      <c r="M3">
        <f t="shared" si="0"/>
        <v>60</v>
      </c>
    </row>
    <row r="4" spans="1:13" x14ac:dyDescent="0.15">
      <c r="A4" s="16">
        <v>60003</v>
      </c>
      <c r="B4" s="17">
        <v>1</v>
      </c>
      <c r="C4" s="17">
        <v>1</v>
      </c>
      <c r="D4" s="3">
        <v>5000000</v>
      </c>
      <c r="G4" s="16">
        <v>60006</v>
      </c>
      <c r="H4" s="17">
        <v>31</v>
      </c>
      <c r="I4" s="17">
        <v>100</v>
      </c>
      <c r="J4" s="3">
        <v>50</v>
      </c>
      <c r="L4">
        <f>AVERAGE(L1:L3)</f>
        <v>10.666666666666666</v>
      </c>
      <c r="M4">
        <f>AVERAGE(M1:M3)</f>
        <v>73.333333333333329</v>
      </c>
    </row>
    <row r="5" spans="1:13" ht="17" x14ac:dyDescent="0.2">
      <c r="A5" s="16">
        <v>60003</v>
      </c>
      <c r="B5" s="18">
        <v>2</v>
      </c>
      <c r="C5" s="18">
        <v>2</v>
      </c>
      <c r="D5" s="3">
        <v>3500000</v>
      </c>
      <c r="G5" s="16">
        <v>60006</v>
      </c>
      <c r="H5" s="17">
        <v>101</v>
      </c>
      <c r="I5" s="17">
        <v>1000</v>
      </c>
      <c r="J5" s="3">
        <v>40</v>
      </c>
    </row>
    <row r="6" spans="1:13" ht="17" x14ac:dyDescent="0.2">
      <c r="A6" s="16">
        <v>60003</v>
      </c>
      <c r="B6" s="18">
        <v>3</v>
      </c>
      <c r="C6" s="18">
        <v>3</v>
      </c>
      <c r="D6" s="3">
        <v>2000000</v>
      </c>
      <c r="G6" s="16">
        <v>60006</v>
      </c>
      <c r="H6" s="17">
        <v>1001</v>
      </c>
      <c r="I6" s="17">
        <v>2500</v>
      </c>
      <c r="J6" s="3">
        <v>30</v>
      </c>
    </row>
    <row r="7" spans="1:13" ht="17" x14ac:dyDescent="0.2">
      <c r="A7" s="16">
        <v>60003</v>
      </c>
      <c r="B7" s="18">
        <v>4</v>
      </c>
      <c r="C7" s="18">
        <v>6</v>
      </c>
      <c r="D7" s="3">
        <v>1500000</v>
      </c>
      <c r="G7" s="16">
        <v>60006</v>
      </c>
      <c r="H7" s="17">
        <v>2501</v>
      </c>
      <c r="I7" s="17">
        <v>5000</v>
      </c>
      <c r="J7" s="3">
        <v>20</v>
      </c>
    </row>
    <row r="8" spans="1:13" ht="17" x14ac:dyDescent="0.2">
      <c r="A8" s="16">
        <v>60003</v>
      </c>
      <c r="B8" s="18">
        <v>7</v>
      </c>
      <c r="C8" s="18">
        <v>9</v>
      </c>
      <c r="D8" s="3">
        <v>1000000</v>
      </c>
      <c r="G8" s="16">
        <v>60006</v>
      </c>
      <c r="H8" s="17">
        <v>5001</v>
      </c>
      <c r="I8" s="17">
        <v>10000000</v>
      </c>
      <c r="J8" s="3">
        <v>10</v>
      </c>
    </row>
    <row r="9" spans="1:13" ht="17" x14ac:dyDescent="0.2">
      <c r="A9" s="16">
        <v>60003</v>
      </c>
      <c r="B9" s="18">
        <v>10</v>
      </c>
      <c r="C9" s="18">
        <v>10</v>
      </c>
      <c r="D9" s="3">
        <v>500000</v>
      </c>
      <c r="G9" s="16"/>
      <c r="H9" s="17"/>
      <c r="I9" s="17"/>
      <c r="J9" s="3"/>
    </row>
    <row r="10" spans="1:13" ht="17" x14ac:dyDescent="0.2">
      <c r="A10" s="16">
        <v>60003</v>
      </c>
      <c r="B10" s="18">
        <v>11</v>
      </c>
      <c r="C10" s="18">
        <v>11</v>
      </c>
      <c r="D10" s="3">
        <v>250000</v>
      </c>
      <c r="G10" s="16"/>
      <c r="H10" s="17"/>
      <c r="I10" s="17"/>
      <c r="J10" s="3"/>
    </row>
    <row r="11" spans="1:13" x14ac:dyDescent="0.15">
      <c r="A11" s="16">
        <v>60003</v>
      </c>
      <c r="B11" s="17">
        <v>11</v>
      </c>
      <c r="C11" s="17">
        <v>10000</v>
      </c>
      <c r="D11" s="3">
        <v>0</v>
      </c>
    </row>
    <row r="12" spans="1:13" x14ac:dyDescent="0.15">
      <c r="A12" s="16">
        <v>60004</v>
      </c>
      <c r="B12" s="17">
        <v>1</v>
      </c>
      <c r="C12" s="17">
        <v>1</v>
      </c>
      <c r="D12" s="3">
        <v>5000000</v>
      </c>
    </row>
    <row r="13" spans="1:13" ht="17" x14ac:dyDescent="0.2">
      <c r="A13" s="16">
        <v>60004</v>
      </c>
      <c r="B13" s="18">
        <v>2</v>
      </c>
      <c r="C13" s="18">
        <v>2</v>
      </c>
      <c r="D13" s="3">
        <v>3500000</v>
      </c>
    </row>
    <row r="14" spans="1:13" ht="17" x14ac:dyDescent="0.2">
      <c r="A14" s="16">
        <v>60004</v>
      </c>
      <c r="B14" s="18">
        <v>3</v>
      </c>
      <c r="C14" s="18">
        <v>3</v>
      </c>
      <c r="D14" s="3">
        <v>2000000</v>
      </c>
    </row>
    <row r="15" spans="1:13" ht="17" x14ac:dyDescent="0.2">
      <c r="A15" s="16">
        <v>60004</v>
      </c>
      <c r="B15" s="18">
        <v>4</v>
      </c>
      <c r="C15" s="18">
        <v>6</v>
      </c>
      <c r="D15" s="3">
        <v>1500000</v>
      </c>
    </row>
    <row r="16" spans="1:13" ht="17" x14ac:dyDescent="0.2">
      <c r="A16" s="16">
        <v>60004</v>
      </c>
      <c r="B16" s="18">
        <v>7</v>
      </c>
      <c r="C16" s="18">
        <v>9</v>
      </c>
      <c r="D16" s="3">
        <v>1000000</v>
      </c>
    </row>
    <row r="17" spans="1:4" ht="17" x14ac:dyDescent="0.2">
      <c r="A17" s="16">
        <v>60004</v>
      </c>
      <c r="B17" s="18">
        <v>10</v>
      </c>
      <c r="C17" s="18">
        <v>10</v>
      </c>
      <c r="D17" s="3">
        <v>500000</v>
      </c>
    </row>
    <row r="18" spans="1:4" ht="17" x14ac:dyDescent="0.2">
      <c r="A18" s="16">
        <v>60004</v>
      </c>
      <c r="B18" s="18">
        <v>11</v>
      </c>
      <c r="C18" s="18">
        <v>11</v>
      </c>
      <c r="D18" s="3">
        <v>250000</v>
      </c>
    </row>
    <row r="19" spans="1:4" x14ac:dyDescent="0.15">
      <c r="A19" s="16">
        <v>60004</v>
      </c>
      <c r="B19" s="17">
        <v>11</v>
      </c>
      <c r="C19" s="17">
        <v>10000</v>
      </c>
      <c r="D19" s="3">
        <v>0</v>
      </c>
    </row>
    <row r="20" spans="1:4" x14ac:dyDescent="0.15">
      <c r="A20" s="16">
        <v>60005</v>
      </c>
      <c r="B20" s="17">
        <v>1</v>
      </c>
      <c r="C20" s="17">
        <v>1</v>
      </c>
      <c r="D20" s="3">
        <v>5000000</v>
      </c>
    </row>
    <row r="21" spans="1:4" ht="17" x14ac:dyDescent="0.2">
      <c r="A21" s="16">
        <v>60005</v>
      </c>
      <c r="B21" s="18">
        <v>2</v>
      </c>
      <c r="C21" s="18">
        <v>2</v>
      </c>
      <c r="D21" s="3">
        <v>3500000</v>
      </c>
    </row>
    <row r="22" spans="1:4" ht="17" x14ac:dyDescent="0.2">
      <c r="A22" s="16">
        <v>60005</v>
      </c>
      <c r="B22" s="18">
        <v>3</v>
      </c>
      <c r="C22" s="18">
        <v>3</v>
      </c>
      <c r="D22" s="3">
        <v>2000000</v>
      </c>
    </row>
    <row r="23" spans="1:4" ht="17" x14ac:dyDescent="0.2">
      <c r="A23" s="16">
        <v>60005</v>
      </c>
      <c r="B23" s="18">
        <v>4</v>
      </c>
      <c r="C23" s="18">
        <v>6</v>
      </c>
      <c r="D23" s="3">
        <v>1500000</v>
      </c>
    </row>
    <row r="24" spans="1:4" ht="17" x14ac:dyDescent="0.2">
      <c r="A24" s="16">
        <v>60005</v>
      </c>
      <c r="B24" s="18">
        <v>7</v>
      </c>
      <c r="C24" s="18">
        <v>9</v>
      </c>
      <c r="D24" s="3">
        <v>1000000</v>
      </c>
    </row>
    <row r="25" spans="1:4" ht="17" x14ac:dyDescent="0.2">
      <c r="A25" s="16">
        <v>60005</v>
      </c>
      <c r="B25" s="18">
        <v>10</v>
      </c>
      <c r="C25" s="18">
        <v>10</v>
      </c>
      <c r="D25" s="3">
        <v>500000</v>
      </c>
    </row>
    <row r="26" spans="1:4" ht="17" x14ac:dyDescent="0.2">
      <c r="A26" s="16">
        <v>60005</v>
      </c>
      <c r="B26" s="18">
        <v>11</v>
      </c>
      <c r="C26" s="18">
        <v>11</v>
      </c>
      <c r="D26" s="3">
        <v>250000</v>
      </c>
    </row>
    <row r="27" spans="1:4" x14ac:dyDescent="0.15">
      <c r="A27" s="16">
        <v>60005</v>
      </c>
      <c r="B27" s="17">
        <v>11</v>
      </c>
      <c r="C27" s="17">
        <v>10000</v>
      </c>
      <c r="D27" s="3">
        <v>0</v>
      </c>
    </row>
    <row r="28" spans="1:4" x14ac:dyDescent="0.15">
      <c r="A28" s="16">
        <v>60006</v>
      </c>
      <c r="B28" s="17">
        <v>1</v>
      </c>
      <c r="C28" s="17">
        <v>3</v>
      </c>
      <c r="D28" s="3">
        <v>80</v>
      </c>
    </row>
    <row r="29" spans="1:4" x14ac:dyDescent="0.15">
      <c r="A29" s="16">
        <v>60006</v>
      </c>
      <c r="B29" s="17">
        <v>4</v>
      </c>
      <c r="C29" s="17">
        <v>10</v>
      </c>
      <c r="D29" s="3">
        <v>70</v>
      </c>
    </row>
    <row r="30" spans="1:4" x14ac:dyDescent="0.15">
      <c r="A30" s="16">
        <v>60006</v>
      </c>
      <c r="B30" s="17">
        <v>11</v>
      </c>
      <c r="C30" s="17">
        <v>30</v>
      </c>
      <c r="D30" s="3">
        <v>60</v>
      </c>
    </row>
    <row r="31" spans="1:4" x14ac:dyDescent="0.15">
      <c r="A31" s="16">
        <v>60006</v>
      </c>
      <c r="B31" s="17">
        <v>31</v>
      </c>
      <c r="C31" s="17">
        <v>100</v>
      </c>
      <c r="D31" s="3">
        <v>50</v>
      </c>
    </row>
    <row r="32" spans="1:4" x14ac:dyDescent="0.15">
      <c r="A32" s="16">
        <v>60006</v>
      </c>
      <c r="B32" s="17">
        <v>101</v>
      </c>
      <c r="C32" s="17">
        <v>1000</v>
      </c>
      <c r="D32" s="3">
        <v>40</v>
      </c>
    </row>
    <row r="33" spans="1:4" x14ac:dyDescent="0.15">
      <c r="A33" s="16">
        <v>60006</v>
      </c>
      <c r="B33" s="17">
        <v>1001</v>
      </c>
      <c r="C33" s="17">
        <v>2500</v>
      </c>
      <c r="D33" s="3">
        <v>30</v>
      </c>
    </row>
    <row r="34" spans="1:4" x14ac:dyDescent="0.15">
      <c r="A34" s="16">
        <v>60006</v>
      </c>
      <c r="B34" s="17">
        <v>2501</v>
      </c>
      <c r="C34" s="17">
        <v>5000</v>
      </c>
      <c r="D34" s="3">
        <v>20</v>
      </c>
    </row>
    <row r="35" spans="1:4" x14ac:dyDescent="0.15">
      <c r="A35" s="16">
        <v>60006</v>
      </c>
      <c r="B35" s="17">
        <v>5001</v>
      </c>
      <c r="C35" s="17">
        <v>10000000</v>
      </c>
      <c r="D35" s="3">
        <v>10</v>
      </c>
    </row>
    <row r="36" spans="1:4" x14ac:dyDescent="0.15">
      <c r="A36" s="16">
        <v>60007</v>
      </c>
      <c r="B36" s="17">
        <v>1</v>
      </c>
      <c r="C36" s="17">
        <v>3</v>
      </c>
      <c r="D36" s="3">
        <v>80</v>
      </c>
    </row>
    <row r="37" spans="1:4" x14ac:dyDescent="0.15">
      <c r="A37" s="16">
        <v>60007</v>
      </c>
      <c r="B37" s="17">
        <v>4</v>
      </c>
      <c r="C37" s="17">
        <v>10</v>
      </c>
      <c r="D37" s="3">
        <v>70</v>
      </c>
    </row>
    <row r="38" spans="1:4" x14ac:dyDescent="0.15">
      <c r="A38" s="16">
        <v>60007</v>
      </c>
      <c r="B38" s="17">
        <v>11</v>
      </c>
      <c r="C38" s="17">
        <v>30</v>
      </c>
      <c r="D38" s="3">
        <v>60</v>
      </c>
    </row>
    <row r="39" spans="1:4" x14ac:dyDescent="0.15">
      <c r="A39" s="16">
        <v>60007</v>
      </c>
      <c r="B39" s="17">
        <v>31</v>
      </c>
      <c r="C39" s="17">
        <v>100</v>
      </c>
      <c r="D39" s="3">
        <v>50</v>
      </c>
    </row>
    <row r="40" spans="1:4" x14ac:dyDescent="0.15">
      <c r="A40" s="16">
        <v>60007</v>
      </c>
      <c r="B40" s="17">
        <v>101</v>
      </c>
      <c r="C40" s="17">
        <v>1000</v>
      </c>
      <c r="D40" s="3">
        <v>40</v>
      </c>
    </row>
    <row r="41" spans="1:4" x14ac:dyDescent="0.15">
      <c r="A41" s="16">
        <v>60007</v>
      </c>
      <c r="B41" s="17">
        <v>1001</v>
      </c>
      <c r="C41" s="17">
        <v>2500</v>
      </c>
      <c r="D41" s="3">
        <v>30</v>
      </c>
    </row>
    <row r="42" spans="1:4" x14ac:dyDescent="0.15">
      <c r="A42" s="16">
        <v>60007</v>
      </c>
      <c r="B42" s="17">
        <v>2501</v>
      </c>
      <c r="C42" s="17">
        <v>5000</v>
      </c>
      <c r="D42" s="3">
        <v>20</v>
      </c>
    </row>
    <row r="43" spans="1:4" x14ac:dyDescent="0.15">
      <c r="A43" s="16">
        <v>60007</v>
      </c>
      <c r="B43" s="17">
        <v>5001</v>
      </c>
      <c r="C43" s="17">
        <v>10000000</v>
      </c>
      <c r="D43" s="3">
        <v>10</v>
      </c>
    </row>
    <row r="44" spans="1:4" x14ac:dyDescent="0.15">
      <c r="A44" s="16">
        <v>60010</v>
      </c>
      <c r="B44" s="17">
        <v>1</v>
      </c>
      <c r="C44" s="17">
        <v>3</v>
      </c>
      <c r="D44" s="3">
        <v>80</v>
      </c>
    </row>
    <row r="45" spans="1:4" x14ac:dyDescent="0.15">
      <c r="A45" s="16">
        <v>60010</v>
      </c>
      <c r="B45" s="17">
        <v>4</v>
      </c>
      <c r="C45" s="17">
        <v>10</v>
      </c>
      <c r="D45" s="3">
        <v>70</v>
      </c>
    </row>
    <row r="46" spans="1:4" x14ac:dyDescent="0.15">
      <c r="A46" s="16">
        <v>60010</v>
      </c>
      <c r="B46" s="17">
        <v>11</v>
      </c>
      <c r="C46" s="17">
        <v>30</v>
      </c>
      <c r="D46" s="3">
        <v>60</v>
      </c>
    </row>
    <row r="47" spans="1:4" x14ac:dyDescent="0.15">
      <c r="A47" s="16">
        <v>60010</v>
      </c>
      <c r="B47" s="17">
        <v>31</v>
      </c>
      <c r="C47" s="17">
        <v>100</v>
      </c>
      <c r="D47" s="3">
        <v>50</v>
      </c>
    </row>
    <row r="48" spans="1:4" x14ac:dyDescent="0.15">
      <c r="A48" s="16">
        <v>60010</v>
      </c>
      <c r="B48" s="17">
        <v>101</v>
      </c>
      <c r="C48" s="17">
        <v>1000</v>
      </c>
      <c r="D48" s="3">
        <v>40</v>
      </c>
    </row>
    <row r="49" spans="1:4" x14ac:dyDescent="0.15">
      <c r="A49" s="16">
        <v>60010</v>
      </c>
      <c r="B49" s="17">
        <v>1001</v>
      </c>
      <c r="C49" s="17">
        <v>2500</v>
      </c>
      <c r="D49" s="3">
        <v>30</v>
      </c>
    </row>
    <row r="50" spans="1:4" x14ac:dyDescent="0.15">
      <c r="A50" s="16">
        <v>60010</v>
      </c>
      <c r="B50" s="17">
        <v>2501</v>
      </c>
      <c r="C50" s="17">
        <v>5000</v>
      </c>
      <c r="D50" s="3">
        <v>20</v>
      </c>
    </row>
    <row r="51" spans="1:4" x14ac:dyDescent="0.15">
      <c r="A51" s="16">
        <v>60010</v>
      </c>
      <c r="B51" s="17">
        <v>5001</v>
      </c>
      <c r="C51" s="17">
        <v>10000000</v>
      </c>
      <c r="D51" s="3">
        <v>10</v>
      </c>
    </row>
    <row r="52" spans="1:4" x14ac:dyDescent="0.15">
      <c r="A52" s="16">
        <v>60011</v>
      </c>
      <c r="B52" s="17">
        <v>1</v>
      </c>
      <c r="C52" s="17">
        <v>3</v>
      </c>
      <c r="D52" s="3">
        <v>80</v>
      </c>
    </row>
    <row r="53" spans="1:4" x14ac:dyDescent="0.15">
      <c r="A53" s="16">
        <v>60011</v>
      </c>
      <c r="B53" s="17">
        <v>4</v>
      </c>
      <c r="C53" s="17">
        <v>10</v>
      </c>
      <c r="D53" s="3">
        <v>70</v>
      </c>
    </row>
    <row r="54" spans="1:4" x14ac:dyDescent="0.15">
      <c r="A54" s="16">
        <v>60011</v>
      </c>
      <c r="B54" s="17">
        <v>11</v>
      </c>
      <c r="C54" s="17">
        <v>30</v>
      </c>
      <c r="D54" s="3">
        <v>60</v>
      </c>
    </row>
    <row r="55" spans="1:4" x14ac:dyDescent="0.15">
      <c r="A55" s="16">
        <v>60011</v>
      </c>
      <c r="B55" s="17">
        <v>31</v>
      </c>
      <c r="C55" s="17">
        <v>100</v>
      </c>
      <c r="D55" s="3">
        <v>50</v>
      </c>
    </row>
    <row r="56" spans="1:4" x14ac:dyDescent="0.15">
      <c r="A56" s="16">
        <v>60011</v>
      </c>
      <c r="B56" s="17">
        <v>101</v>
      </c>
      <c r="C56" s="17">
        <v>1000</v>
      </c>
      <c r="D56" s="3">
        <v>40</v>
      </c>
    </row>
    <row r="57" spans="1:4" x14ac:dyDescent="0.15">
      <c r="A57" s="16">
        <v>60011</v>
      </c>
      <c r="B57" s="17">
        <v>1001</v>
      </c>
      <c r="C57" s="17">
        <v>2500</v>
      </c>
      <c r="D57" s="3">
        <v>30</v>
      </c>
    </row>
    <row r="58" spans="1:4" x14ac:dyDescent="0.15">
      <c r="A58" s="16">
        <v>60011</v>
      </c>
      <c r="B58" s="17">
        <v>2501</v>
      </c>
      <c r="C58" s="17">
        <v>5000</v>
      </c>
      <c r="D58" s="3">
        <v>20</v>
      </c>
    </row>
    <row r="59" spans="1:4" x14ac:dyDescent="0.15">
      <c r="A59" s="16">
        <v>60011</v>
      </c>
      <c r="B59" s="17">
        <v>5001</v>
      </c>
      <c r="C59" s="17">
        <v>10000000</v>
      </c>
      <c r="D59" s="3">
        <v>10</v>
      </c>
    </row>
    <row r="60" spans="1:4" x14ac:dyDescent="0.15">
      <c r="A60" s="16">
        <v>61011</v>
      </c>
      <c r="B60" s="17">
        <v>1</v>
      </c>
      <c r="C60" s="17">
        <v>3</v>
      </c>
      <c r="D60" s="3">
        <v>80</v>
      </c>
    </row>
    <row r="61" spans="1:4" x14ac:dyDescent="0.15">
      <c r="A61" s="16">
        <v>61011</v>
      </c>
      <c r="B61" s="17">
        <v>4</v>
      </c>
      <c r="C61" s="17">
        <v>10</v>
      </c>
      <c r="D61" s="3">
        <v>70</v>
      </c>
    </row>
    <row r="62" spans="1:4" x14ac:dyDescent="0.15">
      <c r="A62" s="16">
        <v>61011</v>
      </c>
      <c r="B62" s="17">
        <v>11</v>
      </c>
      <c r="C62" s="17">
        <v>30</v>
      </c>
      <c r="D62" s="3">
        <v>60</v>
      </c>
    </row>
    <row r="63" spans="1:4" x14ac:dyDescent="0.15">
      <c r="A63" s="16">
        <v>61011</v>
      </c>
      <c r="B63" s="17">
        <v>31</v>
      </c>
      <c r="C63" s="17">
        <v>100</v>
      </c>
      <c r="D63" s="3">
        <v>50</v>
      </c>
    </row>
    <row r="64" spans="1:4" x14ac:dyDescent="0.15">
      <c r="A64" s="16">
        <v>61011</v>
      </c>
      <c r="B64" s="17">
        <v>101</v>
      </c>
      <c r="C64" s="17">
        <v>1000</v>
      </c>
      <c r="D64" s="3">
        <v>40</v>
      </c>
    </row>
    <row r="65" spans="1:4" x14ac:dyDescent="0.15">
      <c r="A65" s="16">
        <v>61011</v>
      </c>
      <c r="B65" s="17">
        <v>1001</v>
      </c>
      <c r="C65" s="17">
        <v>2500</v>
      </c>
      <c r="D65" s="3">
        <v>30</v>
      </c>
    </row>
    <row r="66" spans="1:4" x14ac:dyDescent="0.15">
      <c r="A66" s="16">
        <v>61011</v>
      </c>
      <c r="B66" s="17">
        <v>2501</v>
      </c>
      <c r="C66" s="17">
        <v>5000</v>
      </c>
      <c r="D66" s="3">
        <v>20</v>
      </c>
    </row>
    <row r="67" spans="1:4" x14ac:dyDescent="0.15">
      <c r="A67" s="16">
        <v>61011</v>
      </c>
      <c r="B67" s="17">
        <v>5001</v>
      </c>
      <c r="C67" s="17">
        <v>10000000</v>
      </c>
      <c r="D67" s="3">
        <v>10</v>
      </c>
    </row>
    <row r="68" spans="1:4" x14ac:dyDescent="0.15">
      <c r="A68" s="16">
        <v>60012</v>
      </c>
      <c r="B68" s="17">
        <v>1</v>
      </c>
      <c r="C68" s="17">
        <v>3</v>
      </c>
      <c r="D68" s="3">
        <v>80</v>
      </c>
    </row>
    <row r="69" spans="1:4" x14ac:dyDescent="0.15">
      <c r="A69" s="16">
        <v>60012</v>
      </c>
      <c r="B69" s="17">
        <v>4</v>
      </c>
      <c r="C69" s="17">
        <v>10</v>
      </c>
      <c r="D69" s="3">
        <v>70</v>
      </c>
    </row>
    <row r="70" spans="1:4" x14ac:dyDescent="0.15">
      <c r="A70" s="16">
        <v>60012</v>
      </c>
      <c r="B70" s="17">
        <v>11</v>
      </c>
      <c r="C70" s="17">
        <v>30</v>
      </c>
      <c r="D70" s="3">
        <v>60</v>
      </c>
    </row>
    <row r="71" spans="1:4" x14ac:dyDescent="0.15">
      <c r="A71" s="16">
        <v>60012</v>
      </c>
      <c r="B71" s="17">
        <v>31</v>
      </c>
      <c r="C71" s="17">
        <v>100</v>
      </c>
      <c r="D71" s="3">
        <v>50</v>
      </c>
    </row>
    <row r="72" spans="1:4" x14ac:dyDescent="0.15">
      <c r="A72" s="16">
        <v>60012</v>
      </c>
      <c r="B72" s="17">
        <v>101</v>
      </c>
      <c r="C72" s="17">
        <v>1000</v>
      </c>
      <c r="D72" s="3">
        <v>40</v>
      </c>
    </row>
    <row r="73" spans="1:4" x14ac:dyDescent="0.15">
      <c r="A73" s="16">
        <v>60012</v>
      </c>
      <c r="B73" s="17">
        <v>1001</v>
      </c>
      <c r="C73" s="17">
        <v>2500</v>
      </c>
      <c r="D73" s="3">
        <v>30</v>
      </c>
    </row>
    <row r="74" spans="1:4" x14ac:dyDescent="0.15">
      <c r="A74" s="16">
        <v>60012</v>
      </c>
      <c r="B74" s="17">
        <v>2501</v>
      </c>
      <c r="C74" s="17">
        <v>5000</v>
      </c>
      <c r="D74" s="3">
        <v>20</v>
      </c>
    </row>
    <row r="75" spans="1:4" x14ac:dyDescent="0.15">
      <c r="A75" s="16">
        <v>60012</v>
      </c>
      <c r="B75" s="17">
        <v>5001</v>
      </c>
      <c r="C75" s="17">
        <v>10000000</v>
      </c>
      <c r="D75" s="3">
        <v>10</v>
      </c>
    </row>
    <row r="76" spans="1:4" x14ac:dyDescent="0.15">
      <c r="A76" s="16">
        <v>60013</v>
      </c>
      <c r="B76" s="17">
        <v>1</v>
      </c>
      <c r="C76" s="17">
        <v>3</v>
      </c>
      <c r="D76" s="3">
        <v>80</v>
      </c>
    </row>
    <row r="77" spans="1:4" x14ac:dyDescent="0.15">
      <c r="A77" s="16">
        <v>60013</v>
      </c>
      <c r="B77" s="17">
        <v>4</v>
      </c>
      <c r="C77" s="17">
        <v>10</v>
      </c>
      <c r="D77" s="3">
        <v>70</v>
      </c>
    </row>
    <row r="78" spans="1:4" x14ac:dyDescent="0.15">
      <c r="A78" s="16">
        <v>60013</v>
      </c>
      <c r="B78" s="17">
        <v>11</v>
      </c>
      <c r="C78" s="17">
        <v>30</v>
      </c>
      <c r="D78" s="3">
        <v>60</v>
      </c>
    </row>
    <row r="79" spans="1:4" x14ac:dyDescent="0.15">
      <c r="A79" s="16">
        <v>60013</v>
      </c>
      <c r="B79" s="17">
        <v>31</v>
      </c>
      <c r="C79" s="17">
        <v>100</v>
      </c>
      <c r="D79" s="3">
        <v>50</v>
      </c>
    </row>
    <row r="80" spans="1:4" x14ac:dyDescent="0.15">
      <c r="A80" s="16">
        <v>60013</v>
      </c>
      <c r="B80" s="17">
        <v>101</v>
      </c>
      <c r="C80" s="17">
        <v>1000</v>
      </c>
      <c r="D80" s="3">
        <v>40</v>
      </c>
    </row>
    <row r="81" spans="1:4" x14ac:dyDescent="0.15">
      <c r="A81" s="16">
        <v>60013</v>
      </c>
      <c r="B81" s="17">
        <v>1001</v>
      </c>
      <c r="C81" s="17">
        <v>2500</v>
      </c>
      <c r="D81" s="3">
        <v>30</v>
      </c>
    </row>
    <row r="82" spans="1:4" x14ac:dyDescent="0.15">
      <c r="A82" s="16">
        <v>60013</v>
      </c>
      <c r="B82" s="17">
        <v>2501</v>
      </c>
      <c r="C82" s="17">
        <v>5000</v>
      </c>
      <c r="D82" s="3">
        <v>20</v>
      </c>
    </row>
    <row r="83" spans="1:4" x14ac:dyDescent="0.15">
      <c r="A83" s="16">
        <v>60013</v>
      </c>
      <c r="B83" s="17">
        <v>5001</v>
      </c>
      <c r="C83" s="17">
        <v>10000000</v>
      </c>
      <c r="D83" s="3">
        <v>10</v>
      </c>
    </row>
    <row r="84" spans="1:4" x14ac:dyDescent="0.15">
      <c r="A84" s="16">
        <v>60014</v>
      </c>
      <c r="B84" s="17">
        <v>1</v>
      </c>
      <c r="C84" s="17">
        <v>3</v>
      </c>
      <c r="D84" s="3">
        <v>80</v>
      </c>
    </row>
    <row r="85" spans="1:4" x14ac:dyDescent="0.15">
      <c r="A85" s="16">
        <v>60014</v>
      </c>
      <c r="B85" s="17">
        <v>4</v>
      </c>
      <c r="C85" s="17">
        <v>10</v>
      </c>
      <c r="D85" s="3">
        <v>70</v>
      </c>
    </row>
    <row r="86" spans="1:4" x14ac:dyDescent="0.15">
      <c r="A86" s="16">
        <v>60014</v>
      </c>
      <c r="B86" s="17">
        <v>11</v>
      </c>
      <c r="C86" s="17">
        <v>30</v>
      </c>
      <c r="D86" s="3">
        <v>60</v>
      </c>
    </row>
    <row r="87" spans="1:4" x14ac:dyDescent="0.15">
      <c r="A87" s="16">
        <v>60014</v>
      </c>
      <c r="B87" s="17">
        <v>31</v>
      </c>
      <c r="C87" s="17">
        <v>100</v>
      </c>
      <c r="D87" s="3">
        <v>50</v>
      </c>
    </row>
    <row r="88" spans="1:4" x14ac:dyDescent="0.15">
      <c r="A88" s="16">
        <v>60014</v>
      </c>
      <c r="B88" s="17">
        <v>101</v>
      </c>
      <c r="C88" s="17">
        <v>1000</v>
      </c>
      <c r="D88" s="3">
        <v>40</v>
      </c>
    </row>
    <row r="89" spans="1:4" x14ac:dyDescent="0.15">
      <c r="A89" s="16">
        <v>60014</v>
      </c>
      <c r="B89" s="17">
        <v>1001</v>
      </c>
      <c r="C89" s="17">
        <v>2500</v>
      </c>
      <c r="D89" s="3">
        <v>30</v>
      </c>
    </row>
    <row r="90" spans="1:4" x14ac:dyDescent="0.15">
      <c r="A90" s="16">
        <v>60014</v>
      </c>
      <c r="B90" s="17">
        <v>2501</v>
      </c>
      <c r="C90" s="17">
        <v>5000</v>
      </c>
      <c r="D90" s="3">
        <v>20</v>
      </c>
    </row>
    <row r="91" spans="1:4" x14ac:dyDescent="0.15">
      <c r="A91" s="16">
        <v>60014</v>
      </c>
      <c r="B91" s="17">
        <v>5001</v>
      </c>
      <c r="C91" s="17">
        <v>10000000</v>
      </c>
      <c r="D91" s="3">
        <v>10</v>
      </c>
    </row>
    <row r="92" spans="1:4" x14ac:dyDescent="0.15">
      <c r="A92" s="16">
        <v>60015</v>
      </c>
      <c r="B92" s="17">
        <v>1</v>
      </c>
      <c r="C92" s="17">
        <v>3</v>
      </c>
      <c r="D92" s="3">
        <v>80</v>
      </c>
    </row>
    <row r="93" spans="1:4" x14ac:dyDescent="0.15">
      <c r="A93" s="16">
        <v>60015</v>
      </c>
      <c r="B93" s="17">
        <v>4</v>
      </c>
      <c r="C93" s="17">
        <v>10</v>
      </c>
      <c r="D93" s="3">
        <v>70</v>
      </c>
    </row>
    <row r="94" spans="1:4" x14ac:dyDescent="0.15">
      <c r="A94" s="16">
        <v>60015</v>
      </c>
      <c r="B94" s="17">
        <v>11</v>
      </c>
      <c r="C94" s="17">
        <v>30</v>
      </c>
      <c r="D94" s="3">
        <v>60</v>
      </c>
    </row>
    <row r="95" spans="1:4" x14ac:dyDescent="0.15">
      <c r="A95" s="16">
        <v>60015</v>
      </c>
      <c r="B95" s="17">
        <v>31</v>
      </c>
      <c r="C95" s="17">
        <v>100</v>
      </c>
      <c r="D95" s="3">
        <v>50</v>
      </c>
    </row>
    <row r="96" spans="1:4" x14ac:dyDescent="0.15">
      <c r="A96" s="16">
        <v>60015</v>
      </c>
      <c r="B96" s="17">
        <v>101</v>
      </c>
      <c r="C96" s="17">
        <v>1000</v>
      </c>
      <c r="D96" s="3">
        <v>40</v>
      </c>
    </row>
    <row r="97" spans="1:4" x14ac:dyDescent="0.15">
      <c r="A97" s="16">
        <v>60015</v>
      </c>
      <c r="B97" s="17">
        <v>1001</v>
      </c>
      <c r="C97" s="17">
        <v>2500</v>
      </c>
      <c r="D97" s="3">
        <v>30</v>
      </c>
    </row>
    <row r="98" spans="1:4" x14ac:dyDescent="0.15">
      <c r="A98" s="16">
        <v>60015</v>
      </c>
      <c r="B98" s="17">
        <v>2501</v>
      </c>
      <c r="C98" s="17">
        <v>5000</v>
      </c>
      <c r="D98" s="3">
        <v>20</v>
      </c>
    </row>
    <row r="99" spans="1:4" x14ac:dyDescent="0.15">
      <c r="A99" s="16">
        <v>60015</v>
      </c>
      <c r="B99" s="17">
        <v>5001</v>
      </c>
      <c r="C99" s="17">
        <v>10000000</v>
      </c>
      <c r="D99" s="3">
        <v>10</v>
      </c>
    </row>
    <row r="100" spans="1:4" x14ac:dyDescent="0.15">
      <c r="A100" s="16">
        <v>60016</v>
      </c>
      <c r="B100" s="17">
        <v>1</v>
      </c>
      <c r="C100" s="17">
        <v>3</v>
      </c>
      <c r="D100" s="3">
        <v>80</v>
      </c>
    </row>
    <row r="101" spans="1:4" x14ac:dyDescent="0.15">
      <c r="A101" s="16">
        <v>60016</v>
      </c>
      <c r="B101" s="17">
        <v>4</v>
      </c>
      <c r="C101" s="17">
        <v>10</v>
      </c>
      <c r="D101" s="3">
        <v>70</v>
      </c>
    </row>
    <row r="102" spans="1:4" x14ac:dyDescent="0.15">
      <c r="A102" s="16">
        <v>60016</v>
      </c>
      <c r="B102" s="17">
        <v>11</v>
      </c>
      <c r="C102" s="17">
        <v>30</v>
      </c>
      <c r="D102" s="3">
        <v>60</v>
      </c>
    </row>
    <row r="103" spans="1:4" x14ac:dyDescent="0.15">
      <c r="A103" s="16">
        <v>60016</v>
      </c>
      <c r="B103" s="17">
        <v>31</v>
      </c>
      <c r="C103" s="17">
        <v>100</v>
      </c>
      <c r="D103" s="3">
        <v>50</v>
      </c>
    </row>
    <row r="104" spans="1:4" x14ac:dyDescent="0.15">
      <c r="A104" s="16">
        <v>60016</v>
      </c>
      <c r="B104" s="17">
        <v>101</v>
      </c>
      <c r="C104" s="17">
        <v>1000</v>
      </c>
      <c r="D104" s="3">
        <v>40</v>
      </c>
    </row>
    <row r="105" spans="1:4" x14ac:dyDescent="0.15">
      <c r="A105" s="16">
        <v>60016</v>
      </c>
      <c r="B105" s="17">
        <v>1001</v>
      </c>
      <c r="C105" s="17">
        <v>2500</v>
      </c>
      <c r="D105" s="3">
        <v>30</v>
      </c>
    </row>
    <row r="106" spans="1:4" x14ac:dyDescent="0.15">
      <c r="A106" s="16">
        <v>60016</v>
      </c>
      <c r="B106" s="17">
        <v>2501</v>
      </c>
      <c r="C106" s="17">
        <v>5000</v>
      </c>
      <c r="D106" s="3">
        <v>20</v>
      </c>
    </row>
    <row r="107" spans="1:4" x14ac:dyDescent="0.15">
      <c r="A107" s="16">
        <v>60016</v>
      </c>
      <c r="B107" s="17">
        <v>5001</v>
      </c>
      <c r="C107" s="17">
        <v>10000000</v>
      </c>
      <c r="D107" s="3">
        <v>10</v>
      </c>
    </row>
    <row r="108" spans="1:4" x14ac:dyDescent="0.15">
      <c r="A108" s="16">
        <v>60017</v>
      </c>
      <c r="B108" s="17">
        <v>1</v>
      </c>
      <c r="C108" s="17">
        <v>3</v>
      </c>
      <c r="D108" s="3">
        <v>80</v>
      </c>
    </row>
    <row r="109" spans="1:4" x14ac:dyDescent="0.15">
      <c r="A109" s="16">
        <v>60017</v>
      </c>
      <c r="B109" s="17">
        <v>4</v>
      </c>
      <c r="C109" s="17">
        <v>10</v>
      </c>
      <c r="D109" s="3">
        <v>70</v>
      </c>
    </row>
    <row r="110" spans="1:4" x14ac:dyDescent="0.15">
      <c r="A110" s="16">
        <v>60017</v>
      </c>
      <c r="B110" s="17">
        <v>11</v>
      </c>
      <c r="C110" s="17">
        <v>30</v>
      </c>
      <c r="D110" s="3">
        <v>60</v>
      </c>
    </row>
    <row r="111" spans="1:4" x14ac:dyDescent="0.15">
      <c r="A111" s="16">
        <v>60017</v>
      </c>
      <c r="B111" s="17">
        <v>31</v>
      </c>
      <c r="C111" s="17">
        <v>100</v>
      </c>
      <c r="D111" s="3">
        <v>50</v>
      </c>
    </row>
    <row r="112" spans="1:4" x14ac:dyDescent="0.15">
      <c r="A112" s="16">
        <v>60017</v>
      </c>
      <c r="B112" s="17">
        <v>101</v>
      </c>
      <c r="C112" s="17">
        <v>1000</v>
      </c>
      <c r="D112" s="3">
        <v>40</v>
      </c>
    </row>
    <row r="113" spans="1:4" x14ac:dyDescent="0.15">
      <c r="A113" s="16">
        <v>60017</v>
      </c>
      <c r="B113" s="17">
        <v>1001</v>
      </c>
      <c r="C113" s="17">
        <v>2500</v>
      </c>
      <c r="D113" s="3">
        <v>30</v>
      </c>
    </row>
    <row r="114" spans="1:4" x14ac:dyDescent="0.15">
      <c r="A114" s="16">
        <v>60017</v>
      </c>
      <c r="B114" s="17">
        <v>2501</v>
      </c>
      <c r="C114" s="17">
        <v>5000</v>
      </c>
      <c r="D114" s="3">
        <v>20</v>
      </c>
    </row>
    <row r="115" spans="1:4" x14ac:dyDescent="0.15">
      <c r="A115" s="16">
        <v>60017</v>
      </c>
      <c r="B115" s="17">
        <v>5001</v>
      </c>
      <c r="C115" s="17">
        <v>10000000</v>
      </c>
      <c r="D115" s="3">
        <v>10</v>
      </c>
    </row>
    <row r="116" spans="1:4" x14ac:dyDescent="0.15">
      <c r="A116" s="16">
        <v>60018</v>
      </c>
      <c r="B116" s="17">
        <v>1</v>
      </c>
      <c r="C116" s="17">
        <v>3</v>
      </c>
      <c r="D116" s="3">
        <v>80</v>
      </c>
    </row>
    <row r="117" spans="1:4" x14ac:dyDescent="0.15">
      <c r="A117" s="16">
        <v>60018</v>
      </c>
      <c r="B117" s="17">
        <v>4</v>
      </c>
      <c r="C117" s="17">
        <v>10</v>
      </c>
      <c r="D117" s="3">
        <v>70</v>
      </c>
    </row>
    <row r="118" spans="1:4" x14ac:dyDescent="0.15">
      <c r="A118" s="16">
        <v>60018</v>
      </c>
      <c r="B118" s="17">
        <v>11</v>
      </c>
      <c r="C118" s="17">
        <v>30</v>
      </c>
      <c r="D118" s="3">
        <v>60</v>
      </c>
    </row>
    <row r="119" spans="1:4" x14ac:dyDescent="0.15">
      <c r="A119" s="16">
        <v>60018</v>
      </c>
      <c r="B119" s="17">
        <v>31</v>
      </c>
      <c r="C119" s="17">
        <v>100</v>
      </c>
      <c r="D119" s="3">
        <v>50</v>
      </c>
    </row>
    <row r="120" spans="1:4" x14ac:dyDescent="0.15">
      <c r="A120" s="16">
        <v>60018</v>
      </c>
      <c r="B120" s="17">
        <v>101</v>
      </c>
      <c r="C120" s="17">
        <v>1000</v>
      </c>
      <c r="D120" s="3">
        <v>40</v>
      </c>
    </row>
    <row r="121" spans="1:4" x14ac:dyDescent="0.15">
      <c r="A121" s="16">
        <v>60018</v>
      </c>
      <c r="B121" s="17">
        <v>1001</v>
      </c>
      <c r="C121" s="17">
        <v>2500</v>
      </c>
      <c r="D121" s="3">
        <v>30</v>
      </c>
    </row>
    <row r="122" spans="1:4" x14ac:dyDescent="0.15">
      <c r="A122" s="16">
        <v>60018</v>
      </c>
      <c r="B122" s="17">
        <v>2501</v>
      </c>
      <c r="C122" s="17">
        <v>5000</v>
      </c>
      <c r="D122" s="3">
        <v>20</v>
      </c>
    </row>
    <row r="123" spans="1:4" x14ac:dyDescent="0.15">
      <c r="A123" s="16">
        <v>60018</v>
      </c>
      <c r="B123" s="17">
        <v>5001</v>
      </c>
      <c r="C123" s="17">
        <v>10000000</v>
      </c>
      <c r="D123" s="3">
        <v>10</v>
      </c>
    </row>
    <row r="124" spans="1:4" x14ac:dyDescent="0.15">
      <c r="A124" s="16">
        <v>60019</v>
      </c>
      <c r="B124" s="17">
        <v>1</v>
      </c>
      <c r="C124" s="17">
        <v>3</v>
      </c>
      <c r="D124" s="3">
        <v>80</v>
      </c>
    </row>
    <row r="125" spans="1:4" x14ac:dyDescent="0.15">
      <c r="A125" s="16">
        <v>60019</v>
      </c>
      <c r="B125" s="17">
        <v>4</v>
      </c>
      <c r="C125" s="17">
        <v>10</v>
      </c>
      <c r="D125" s="3">
        <v>70</v>
      </c>
    </row>
    <row r="126" spans="1:4" x14ac:dyDescent="0.15">
      <c r="A126" s="16">
        <v>60019</v>
      </c>
      <c r="B126" s="17">
        <v>11</v>
      </c>
      <c r="C126" s="17">
        <v>30</v>
      </c>
      <c r="D126" s="3">
        <v>60</v>
      </c>
    </row>
    <row r="127" spans="1:4" x14ac:dyDescent="0.15">
      <c r="A127" s="16">
        <v>60019</v>
      </c>
      <c r="B127" s="17">
        <v>31</v>
      </c>
      <c r="C127" s="17">
        <v>100</v>
      </c>
      <c r="D127" s="3">
        <v>50</v>
      </c>
    </row>
    <row r="128" spans="1:4" x14ac:dyDescent="0.15">
      <c r="A128" s="16">
        <v>60019</v>
      </c>
      <c r="B128" s="17">
        <v>101</v>
      </c>
      <c r="C128" s="17">
        <v>1000</v>
      </c>
      <c r="D128" s="3">
        <v>40</v>
      </c>
    </row>
    <row r="129" spans="1:4" x14ac:dyDescent="0.15">
      <c r="A129" s="16">
        <v>60019</v>
      </c>
      <c r="B129" s="17">
        <v>1001</v>
      </c>
      <c r="C129" s="17">
        <v>2500</v>
      </c>
      <c r="D129" s="3">
        <v>30</v>
      </c>
    </row>
    <row r="130" spans="1:4" x14ac:dyDescent="0.15">
      <c r="A130" s="16">
        <v>60019</v>
      </c>
      <c r="B130" s="17">
        <v>2501</v>
      </c>
      <c r="C130" s="17">
        <v>5000</v>
      </c>
      <c r="D130" s="3">
        <v>20</v>
      </c>
    </row>
    <row r="131" spans="1:4" x14ac:dyDescent="0.15">
      <c r="A131" s="16">
        <v>60019</v>
      </c>
      <c r="B131" s="17">
        <v>5001</v>
      </c>
      <c r="C131" s="17">
        <v>10000000</v>
      </c>
      <c r="D131" s="3">
        <v>10</v>
      </c>
    </row>
    <row r="132" spans="1:4" x14ac:dyDescent="0.15">
      <c r="A132" s="16">
        <v>60020</v>
      </c>
      <c r="B132" s="17">
        <v>1</v>
      </c>
      <c r="C132" s="17">
        <v>3</v>
      </c>
      <c r="D132" s="3">
        <v>80</v>
      </c>
    </row>
    <row r="133" spans="1:4" x14ac:dyDescent="0.15">
      <c r="A133" s="16">
        <v>60020</v>
      </c>
      <c r="B133" s="17">
        <v>4</v>
      </c>
      <c r="C133" s="17">
        <v>10</v>
      </c>
      <c r="D133" s="3">
        <v>70</v>
      </c>
    </row>
    <row r="134" spans="1:4" x14ac:dyDescent="0.15">
      <c r="A134" s="16">
        <v>60020</v>
      </c>
      <c r="B134" s="17">
        <v>11</v>
      </c>
      <c r="C134" s="17">
        <v>30</v>
      </c>
      <c r="D134" s="3">
        <v>60</v>
      </c>
    </row>
    <row r="135" spans="1:4" x14ac:dyDescent="0.15">
      <c r="A135" s="16">
        <v>60020</v>
      </c>
      <c r="B135" s="17">
        <v>31</v>
      </c>
      <c r="C135" s="17">
        <v>100</v>
      </c>
      <c r="D135" s="3">
        <v>50</v>
      </c>
    </row>
    <row r="136" spans="1:4" x14ac:dyDescent="0.15">
      <c r="A136" s="16">
        <v>60020</v>
      </c>
      <c r="B136" s="17">
        <v>101</v>
      </c>
      <c r="C136" s="17">
        <v>1000</v>
      </c>
      <c r="D136" s="3">
        <v>40</v>
      </c>
    </row>
    <row r="137" spans="1:4" x14ac:dyDescent="0.15">
      <c r="A137" s="16">
        <v>60020</v>
      </c>
      <c r="B137" s="17">
        <v>1001</v>
      </c>
      <c r="C137" s="17">
        <v>2500</v>
      </c>
      <c r="D137" s="3">
        <v>30</v>
      </c>
    </row>
    <row r="138" spans="1:4" x14ac:dyDescent="0.15">
      <c r="A138" s="16">
        <v>60020</v>
      </c>
      <c r="B138" s="17">
        <v>2501</v>
      </c>
      <c r="C138" s="17">
        <v>5000</v>
      </c>
      <c r="D138" s="3">
        <v>20</v>
      </c>
    </row>
    <row r="139" spans="1:4" x14ac:dyDescent="0.15">
      <c r="A139" s="16">
        <v>60020</v>
      </c>
      <c r="B139" s="17">
        <v>5001</v>
      </c>
      <c r="C139" s="17">
        <v>10000000</v>
      </c>
      <c r="D139" s="3">
        <v>10</v>
      </c>
    </row>
    <row r="140" spans="1:4" x14ac:dyDescent="0.15">
      <c r="A140" s="16">
        <v>60025</v>
      </c>
      <c r="B140" s="17">
        <v>1</v>
      </c>
      <c r="C140" s="17">
        <v>3</v>
      </c>
      <c r="D140" s="3">
        <v>80</v>
      </c>
    </row>
    <row r="141" spans="1:4" x14ac:dyDescent="0.15">
      <c r="A141" s="16">
        <v>60025</v>
      </c>
      <c r="B141" s="17">
        <v>4</v>
      </c>
      <c r="C141" s="17">
        <v>10</v>
      </c>
      <c r="D141" s="3">
        <v>70</v>
      </c>
    </row>
    <row r="142" spans="1:4" x14ac:dyDescent="0.15">
      <c r="A142" s="16">
        <v>60025</v>
      </c>
      <c r="B142" s="17">
        <v>11</v>
      </c>
      <c r="C142" s="17">
        <v>30</v>
      </c>
      <c r="D142" s="3">
        <v>60</v>
      </c>
    </row>
    <row r="143" spans="1:4" x14ac:dyDescent="0.15">
      <c r="A143" s="16">
        <v>60025</v>
      </c>
      <c r="B143" s="17">
        <v>31</v>
      </c>
      <c r="C143" s="17">
        <v>100</v>
      </c>
      <c r="D143" s="3">
        <v>50</v>
      </c>
    </row>
    <row r="144" spans="1:4" x14ac:dyDescent="0.15">
      <c r="A144" s="16">
        <v>60025</v>
      </c>
      <c r="B144" s="17">
        <v>101</v>
      </c>
      <c r="C144" s="17">
        <v>1000</v>
      </c>
      <c r="D144" s="3">
        <v>40</v>
      </c>
    </row>
    <row r="145" spans="1:4" x14ac:dyDescent="0.15">
      <c r="A145" s="16">
        <v>60025</v>
      </c>
      <c r="B145" s="17">
        <v>1001</v>
      </c>
      <c r="C145" s="17">
        <v>2500</v>
      </c>
      <c r="D145" s="3">
        <v>30</v>
      </c>
    </row>
    <row r="146" spans="1:4" x14ac:dyDescent="0.15">
      <c r="A146" s="16">
        <v>60025</v>
      </c>
      <c r="B146" s="17">
        <v>2501</v>
      </c>
      <c r="C146" s="17">
        <v>5000</v>
      </c>
      <c r="D146" s="3">
        <v>20</v>
      </c>
    </row>
    <row r="147" spans="1:4" x14ac:dyDescent="0.15">
      <c r="A147" s="16">
        <v>60025</v>
      </c>
      <c r="B147" s="17">
        <v>5001</v>
      </c>
      <c r="C147" s="17">
        <v>10000000</v>
      </c>
      <c r="D147" s="3">
        <v>10</v>
      </c>
    </row>
    <row r="148" spans="1:4" x14ac:dyDescent="0.15">
      <c r="A148" s="16">
        <v>60026</v>
      </c>
      <c r="B148" s="17">
        <v>1</v>
      </c>
      <c r="C148" s="17">
        <v>3</v>
      </c>
      <c r="D148" s="3">
        <v>80</v>
      </c>
    </row>
    <row r="149" spans="1:4" x14ac:dyDescent="0.15">
      <c r="A149" s="16">
        <v>60026</v>
      </c>
      <c r="B149" s="17">
        <v>4</v>
      </c>
      <c r="C149" s="17">
        <v>10</v>
      </c>
      <c r="D149" s="3">
        <v>70</v>
      </c>
    </row>
    <row r="150" spans="1:4" x14ac:dyDescent="0.15">
      <c r="A150" s="16">
        <v>60026</v>
      </c>
      <c r="B150" s="17">
        <v>11</v>
      </c>
      <c r="C150" s="17">
        <v>30</v>
      </c>
      <c r="D150" s="3">
        <v>60</v>
      </c>
    </row>
    <row r="151" spans="1:4" x14ac:dyDescent="0.15">
      <c r="A151" s="16">
        <v>60026</v>
      </c>
      <c r="B151" s="17">
        <v>31</v>
      </c>
      <c r="C151" s="17">
        <v>100</v>
      </c>
      <c r="D151" s="3">
        <v>50</v>
      </c>
    </row>
    <row r="152" spans="1:4" x14ac:dyDescent="0.15">
      <c r="A152" s="16">
        <v>60026</v>
      </c>
      <c r="B152" s="17">
        <v>101</v>
      </c>
      <c r="C152" s="17">
        <v>1000</v>
      </c>
      <c r="D152" s="3">
        <v>40</v>
      </c>
    </row>
    <row r="153" spans="1:4" x14ac:dyDescent="0.15">
      <c r="A153" s="16">
        <v>60026</v>
      </c>
      <c r="B153" s="17">
        <v>1001</v>
      </c>
      <c r="C153" s="17">
        <v>2500</v>
      </c>
      <c r="D153" s="3">
        <v>30</v>
      </c>
    </row>
    <row r="154" spans="1:4" x14ac:dyDescent="0.15">
      <c r="A154" s="16">
        <v>60026</v>
      </c>
      <c r="B154" s="17">
        <v>2501</v>
      </c>
      <c r="C154" s="17">
        <v>5000</v>
      </c>
      <c r="D154" s="3">
        <v>20</v>
      </c>
    </row>
    <row r="155" spans="1:4" x14ac:dyDescent="0.15">
      <c r="A155" s="16">
        <v>60026</v>
      </c>
      <c r="B155" s="17">
        <v>5001</v>
      </c>
      <c r="C155" s="17">
        <v>10000000</v>
      </c>
      <c r="D155" s="3">
        <v>10</v>
      </c>
    </row>
    <row r="156" spans="1:4" x14ac:dyDescent="0.15">
      <c r="A156" s="16">
        <v>60027</v>
      </c>
      <c r="B156" s="17">
        <v>1</v>
      </c>
      <c r="C156" s="17">
        <v>3</v>
      </c>
      <c r="D156" s="3">
        <v>80</v>
      </c>
    </row>
    <row r="157" spans="1:4" x14ac:dyDescent="0.15">
      <c r="A157" s="16">
        <v>60027</v>
      </c>
      <c r="B157" s="17">
        <v>4</v>
      </c>
      <c r="C157" s="17">
        <v>10</v>
      </c>
      <c r="D157" s="3">
        <v>70</v>
      </c>
    </row>
    <row r="158" spans="1:4" x14ac:dyDescent="0.15">
      <c r="A158" s="16">
        <v>60027</v>
      </c>
      <c r="B158" s="17">
        <v>11</v>
      </c>
      <c r="C158" s="17">
        <v>30</v>
      </c>
      <c r="D158" s="3">
        <v>60</v>
      </c>
    </row>
    <row r="159" spans="1:4" x14ac:dyDescent="0.15">
      <c r="A159" s="16">
        <v>60027</v>
      </c>
      <c r="B159" s="17">
        <v>31</v>
      </c>
      <c r="C159" s="17">
        <v>100</v>
      </c>
      <c r="D159" s="3">
        <v>50</v>
      </c>
    </row>
    <row r="160" spans="1:4" x14ac:dyDescent="0.15">
      <c r="A160" s="16">
        <v>60027</v>
      </c>
      <c r="B160" s="17">
        <v>101</v>
      </c>
      <c r="C160" s="17">
        <v>1000</v>
      </c>
      <c r="D160" s="3">
        <v>40</v>
      </c>
    </row>
    <row r="161" spans="1:4" x14ac:dyDescent="0.15">
      <c r="A161" s="16">
        <v>60027</v>
      </c>
      <c r="B161" s="17">
        <v>1001</v>
      </c>
      <c r="C161" s="17">
        <v>2500</v>
      </c>
      <c r="D161" s="3">
        <v>30</v>
      </c>
    </row>
    <row r="162" spans="1:4" x14ac:dyDescent="0.15">
      <c r="A162" s="16">
        <v>60027</v>
      </c>
      <c r="B162" s="17">
        <v>2501</v>
      </c>
      <c r="C162" s="17">
        <v>5000</v>
      </c>
      <c r="D162" s="3">
        <v>20</v>
      </c>
    </row>
    <row r="163" spans="1:4" x14ac:dyDescent="0.15">
      <c r="A163" s="16">
        <v>60027</v>
      </c>
      <c r="B163" s="17">
        <v>5001</v>
      </c>
      <c r="C163" s="17">
        <v>10000000</v>
      </c>
      <c r="D163" s="3">
        <v>10</v>
      </c>
    </row>
    <row r="164" spans="1:4" x14ac:dyDescent="0.15">
      <c r="A164" s="16">
        <v>60028</v>
      </c>
      <c r="B164" s="17">
        <v>1</v>
      </c>
      <c r="C164" s="17">
        <v>3</v>
      </c>
      <c r="D164" s="3">
        <v>80</v>
      </c>
    </row>
    <row r="165" spans="1:4" x14ac:dyDescent="0.15">
      <c r="A165" s="16">
        <v>60028</v>
      </c>
      <c r="B165" s="17">
        <v>4</v>
      </c>
      <c r="C165" s="17">
        <v>10</v>
      </c>
      <c r="D165" s="3">
        <v>70</v>
      </c>
    </row>
    <row r="166" spans="1:4" x14ac:dyDescent="0.15">
      <c r="A166" s="16">
        <v>60028</v>
      </c>
      <c r="B166" s="17">
        <v>11</v>
      </c>
      <c r="C166" s="17">
        <v>30</v>
      </c>
      <c r="D166" s="3">
        <v>60</v>
      </c>
    </row>
    <row r="167" spans="1:4" x14ac:dyDescent="0.15">
      <c r="A167" s="16">
        <v>60028</v>
      </c>
      <c r="B167" s="17">
        <v>31</v>
      </c>
      <c r="C167" s="17">
        <v>100</v>
      </c>
      <c r="D167" s="3">
        <v>50</v>
      </c>
    </row>
    <row r="168" spans="1:4" x14ac:dyDescent="0.15">
      <c r="A168" s="16">
        <v>60028</v>
      </c>
      <c r="B168" s="17">
        <v>101</v>
      </c>
      <c r="C168" s="17">
        <v>1000</v>
      </c>
      <c r="D168" s="3">
        <v>40</v>
      </c>
    </row>
    <row r="169" spans="1:4" x14ac:dyDescent="0.15">
      <c r="A169" s="16">
        <v>60028</v>
      </c>
      <c r="B169" s="17">
        <v>1001</v>
      </c>
      <c r="C169" s="17">
        <v>2500</v>
      </c>
      <c r="D169" s="3">
        <v>30</v>
      </c>
    </row>
    <row r="170" spans="1:4" x14ac:dyDescent="0.15">
      <c r="A170" s="16">
        <v>60028</v>
      </c>
      <c r="B170" s="17">
        <v>2501</v>
      </c>
      <c r="C170" s="17">
        <v>5000</v>
      </c>
      <c r="D170" s="3">
        <v>20</v>
      </c>
    </row>
    <row r="171" spans="1:4" x14ac:dyDescent="0.15">
      <c r="A171" s="16">
        <v>60028</v>
      </c>
      <c r="B171" s="17">
        <v>5001</v>
      </c>
      <c r="C171" s="17">
        <v>10000000</v>
      </c>
      <c r="D171" s="3">
        <v>10</v>
      </c>
    </row>
    <row r="172" spans="1:4" x14ac:dyDescent="0.15">
      <c r="A172" s="27">
        <v>60029</v>
      </c>
      <c r="B172" s="28">
        <v>1</v>
      </c>
      <c r="C172" s="28">
        <v>3</v>
      </c>
      <c r="D172" s="29">
        <v>80</v>
      </c>
    </row>
    <row r="173" spans="1:4" x14ac:dyDescent="0.15">
      <c r="A173" s="27">
        <v>60029</v>
      </c>
      <c r="B173" s="28">
        <v>4</v>
      </c>
      <c r="C173" s="28">
        <v>10</v>
      </c>
      <c r="D173" s="29">
        <v>70</v>
      </c>
    </row>
    <row r="174" spans="1:4" x14ac:dyDescent="0.15">
      <c r="A174" s="27">
        <v>60029</v>
      </c>
      <c r="B174" s="28">
        <v>11</v>
      </c>
      <c r="C174" s="28">
        <v>30</v>
      </c>
      <c r="D174" s="29">
        <v>60</v>
      </c>
    </row>
    <row r="175" spans="1:4" x14ac:dyDescent="0.15">
      <c r="A175" s="27">
        <v>60029</v>
      </c>
      <c r="B175" s="28">
        <v>31</v>
      </c>
      <c r="C175" s="28">
        <v>100</v>
      </c>
      <c r="D175" s="29">
        <v>50</v>
      </c>
    </row>
    <row r="176" spans="1:4" x14ac:dyDescent="0.15">
      <c r="A176" s="27">
        <v>60029</v>
      </c>
      <c r="B176" s="28">
        <v>101</v>
      </c>
      <c r="C176" s="28">
        <v>1000</v>
      </c>
      <c r="D176" s="29">
        <v>40</v>
      </c>
    </row>
    <row r="177" spans="1:4" x14ac:dyDescent="0.15">
      <c r="A177" s="27">
        <v>60029</v>
      </c>
      <c r="B177" s="28">
        <v>1001</v>
      </c>
      <c r="C177" s="28">
        <v>2500</v>
      </c>
      <c r="D177" s="29">
        <v>30</v>
      </c>
    </row>
    <row r="178" spans="1:4" x14ac:dyDescent="0.15">
      <c r="A178" s="27">
        <v>60029</v>
      </c>
      <c r="B178" s="28">
        <v>2501</v>
      </c>
      <c r="C178" s="28">
        <v>5000</v>
      </c>
      <c r="D178" s="29">
        <v>20</v>
      </c>
    </row>
    <row r="179" spans="1:4" x14ac:dyDescent="0.15">
      <c r="A179" s="27">
        <v>60029</v>
      </c>
      <c r="B179" s="28">
        <v>5001</v>
      </c>
      <c r="C179" s="28">
        <v>10000000</v>
      </c>
      <c r="D179" s="29">
        <v>10</v>
      </c>
    </row>
    <row r="180" spans="1:4" x14ac:dyDescent="0.15">
      <c r="A180" s="16">
        <v>60030</v>
      </c>
      <c r="B180" s="17">
        <v>1</v>
      </c>
      <c r="C180" s="17">
        <v>3</v>
      </c>
      <c r="D180" s="3">
        <v>80</v>
      </c>
    </row>
    <row r="181" spans="1:4" x14ac:dyDescent="0.15">
      <c r="A181" s="16">
        <v>60030</v>
      </c>
      <c r="B181" s="17">
        <v>4</v>
      </c>
      <c r="C181" s="17">
        <v>10</v>
      </c>
      <c r="D181" s="3">
        <v>70</v>
      </c>
    </row>
    <row r="182" spans="1:4" x14ac:dyDescent="0.15">
      <c r="A182" s="16">
        <v>60030</v>
      </c>
      <c r="B182" s="17">
        <v>11</v>
      </c>
      <c r="C182" s="17">
        <v>30</v>
      </c>
      <c r="D182" s="3">
        <v>60</v>
      </c>
    </row>
    <row r="183" spans="1:4" x14ac:dyDescent="0.15">
      <c r="A183" s="16">
        <v>60030</v>
      </c>
      <c r="B183" s="17">
        <v>31</v>
      </c>
      <c r="C183" s="17">
        <v>100</v>
      </c>
      <c r="D183" s="3">
        <v>50</v>
      </c>
    </row>
    <row r="184" spans="1:4" x14ac:dyDescent="0.15">
      <c r="A184" s="16">
        <v>60030</v>
      </c>
      <c r="B184" s="17">
        <v>101</v>
      </c>
      <c r="C184" s="17">
        <v>1000</v>
      </c>
      <c r="D184" s="3">
        <v>40</v>
      </c>
    </row>
    <row r="185" spans="1:4" x14ac:dyDescent="0.15">
      <c r="A185" s="16">
        <v>60030</v>
      </c>
      <c r="B185" s="17">
        <v>1001</v>
      </c>
      <c r="C185" s="17">
        <v>2500</v>
      </c>
      <c r="D185" s="3">
        <v>30</v>
      </c>
    </row>
    <row r="186" spans="1:4" x14ac:dyDescent="0.15">
      <c r="A186" s="16">
        <v>60030</v>
      </c>
      <c r="B186" s="17">
        <v>2501</v>
      </c>
      <c r="C186" s="17">
        <v>5000</v>
      </c>
      <c r="D186" s="3">
        <v>20</v>
      </c>
    </row>
    <row r="187" spans="1:4" x14ac:dyDescent="0.15">
      <c r="A187" s="16">
        <v>60030</v>
      </c>
      <c r="B187" s="17">
        <v>5001</v>
      </c>
      <c r="C187" s="17">
        <v>10000000</v>
      </c>
      <c r="D187" s="3">
        <v>10</v>
      </c>
    </row>
    <row r="188" spans="1:4" x14ac:dyDescent="0.15">
      <c r="A188" s="27">
        <v>60031</v>
      </c>
      <c r="B188" s="28">
        <v>1</v>
      </c>
      <c r="C188" s="28">
        <v>3</v>
      </c>
      <c r="D188" s="29">
        <v>80</v>
      </c>
    </row>
    <row r="189" spans="1:4" x14ac:dyDescent="0.15">
      <c r="A189" s="27">
        <v>60031</v>
      </c>
      <c r="B189" s="28">
        <v>4</v>
      </c>
      <c r="C189" s="28">
        <v>10</v>
      </c>
      <c r="D189" s="29">
        <v>70</v>
      </c>
    </row>
    <row r="190" spans="1:4" x14ac:dyDescent="0.15">
      <c r="A190" s="27">
        <v>60031</v>
      </c>
      <c r="B190" s="28">
        <v>11</v>
      </c>
      <c r="C190" s="28">
        <v>30</v>
      </c>
      <c r="D190" s="29">
        <v>60</v>
      </c>
    </row>
    <row r="191" spans="1:4" x14ac:dyDescent="0.15">
      <c r="A191" s="27">
        <v>60031</v>
      </c>
      <c r="B191" s="28">
        <v>31</v>
      </c>
      <c r="C191" s="28">
        <v>100</v>
      </c>
      <c r="D191" s="29">
        <v>50</v>
      </c>
    </row>
    <row r="192" spans="1:4" x14ac:dyDescent="0.15">
      <c r="A192" s="27">
        <v>60031</v>
      </c>
      <c r="B192" s="28">
        <v>101</v>
      </c>
      <c r="C192" s="28">
        <v>1000</v>
      </c>
      <c r="D192" s="29">
        <v>40</v>
      </c>
    </row>
    <row r="193" spans="1:4" x14ac:dyDescent="0.15">
      <c r="A193" s="27">
        <v>60031</v>
      </c>
      <c r="B193" s="28">
        <v>1001</v>
      </c>
      <c r="C193" s="28">
        <v>2500</v>
      </c>
      <c r="D193" s="29">
        <v>30</v>
      </c>
    </row>
    <row r="194" spans="1:4" x14ac:dyDescent="0.15">
      <c r="A194" s="27">
        <v>60031</v>
      </c>
      <c r="B194" s="28">
        <v>2501</v>
      </c>
      <c r="C194" s="28">
        <v>5000</v>
      </c>
      <c r="D194" s="29">
        <v>20</v>
      </c>
    </row>
    <row r="195" spans="1:4" x14ac:dyDescent="0.15">
      <c r="A195" s="27">
        <v>60031</v>
      </c>
      <c r="B195" s="28">
        <v>5001</v>
      </c>
      <c r="C195" s="28">
        <v>10000000</v>
      </c>
      <c r="D195" s="29">
        <v>10</v>
      </c>
    </row>
    <row r="196" spans="1:4" x14ac:dyDescent="0.15">
      <c r="A196" s="16">
        <v>60032</v>
      </c>
      <c r="B196" s="17">
        <v>1</v>
      </c>
      <c r="C196" s="17">
        <v>3</v>
      </c>
      <c r="D196" s="3">
        <v>80</v>
      </c>
    </row>
    <row r="197" spans="1:4" x14ac:dyDescent="0.15">
      <c r="A197" s="16">
        <v>60032</v>
      </c>
      <c r="B197" s="17">
        <v>4</v>
      </c>
      <c r="C197" s="17">
        <v>10</v>
      </c>
      <c r="D197" s="3">
        <v>70</v>
      </c>
    </row>
    <row r="198" spans="1:4" x14ac:dyDescent="0.15">
      <c r="A198" s="16">
        <v>60032</v>
      </c>
      <c r="B198" s="17">
        <v>11</v>
      </c>
      <c r="C198" s="17">
        <v>30</v>
      </c>
      <c r="D198" s="3">
        <v>60</v>
      </c>
    </row>
    <row r="199" spans="1:4" x14ac:dyDescent="0.15">
      <c r="A199" s="16">
        <v>60032</v>
      </c>
      <c r="B199" s="17">
        <v>31</v>
      </c>
      <c r="C199" s="17">
        <v>100</v>
      </c>
      <c r="D199" s="3">
        <v>50</v>
      </c>
    </row>
    <row r="200" spans="1:4" x14ac:dyDescent="0.15">
      <c r="A200" s="16">
        <v>60032</v>
      </c>
      <c r="B200" s="17">
        <v>101</v>
      </c>
      <c r="C200" s="17">
        <v>1000</v>
      </c>
      <c r="D200" s="3">
        <v>40</v>
      </c>
    </row>
    <row r="201" spans="1:4" x14ac:dyDescent="0.15">
      <c r="A201" s="16">
        <v>60032</v>
      </c>
      <c r="B201" s="17">
        <v>1001</v>
      </c>
      <c r="C201" s="17">
        <v>2500</v>
      </c>
      <c r="D201" s="3">
        <v>30</v>
      </c>
    </row>
    <row r="202" spans="1:4" x14ac:dyDescent="0.15">
      <c r="A202" s="16">
        <v>60032</v>
      </c>
      <c r="B202" s="17">
        <v>2501</v>
      </c>
      <c r="C202" s="17">
        <v>5000</v>
      </c>
      <c r="D202" s="3">
        <v>20</v>
      </c>
    </row>
    <row r="203" spans="1:4" x14ac:dyDescent="0.15">
      <c r="A203" s="16">
        <v>60032</v>
      </c>
      <c r="B203" s="17">
        <v>5001</v>
      </c>
      <c r="C203" s="17">
        <v>10000000</v>
      </c>
      <c r="D203" s="3">
        <v>10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0000FF"/>
  </sheetPr>
  <dimension ref="A1:O15"/>
  <sheetViews>
    <sheetView workbookViewId="0">
      <selection activeCell="F12" sqref="F12"/>
    </sheetView>
  </sheetViews>
  <sheetFormatPr baseColWidth="12" defaultRowHeight="15" x14ac:dyDescent="0.15"/>
  <cols>
    <col min="5" max="5" width="16.6640625" customWidth="1"/>
    <col min="6" max="6" width="16.33203125" bestFit="1" customWidth="1"/>
  </cols>
  <sheetData>
    <row r="1" spans="1:15" x14ac:dyDescent="0.15">
      <c r="A1" s="12" t="s">
        <v>39</v>
      </c>
      <c r="B1" s="12" t="s">
        <v>40</v>
      </c>
      <c r="C1" s="12" t="s">
        <v>41</v>
      </c>
      <c r="D1" s="15" t="s">
        <v>16</v>
      </c>
      <c r="E1" s="15" t="s">
        <v>42</v>
      </c>
      <c r="F1" s="15" t="s">
        <v>20</v>
      </c>
      <c r="G1" s="21" t="s">
        <v>97</v>
      </c>
    </row>
    <row r="2" spans="1:15" x14ac:dyDescent="0.15">
      <c r="A2" s="3">
        <v>0</v>
      </c>
      <c r="B2" s="3">
        <v>0</v>
      </c>
      <c r="C2" s="3">
        <v>0</v>
      </c>
      <c r="D2" s="3" t="s">
        <v>22</v>
      </c>
      <c r="E2" s="3" t="s">
        <v>106</v>
      </c>
      <c r="F2" s="3" t="s">
        <v>43</v>
      </c>
      <c r="J2" t="s">
        <v>80</v>
      </c>
      <c r="M2" t="s">
        <v>86</v>
      </c>
    </row>
    <row r="3" spans="1:15" ht="17" x14ac:dyDescent="0.2">
      <c r="A3" s="3">
        <v>1</v>
      </c>
      <c r="B3" s="19">
        <v>5000000</v>
      </c>
      <c r="C3" s="18">
        <v>80</v>
      </c>
      <c r="D3" s="3" t="s">
        <v>0</v>
      </c>
      <c r="E3" t="s">
        <v>121</v>
      </c>
      <c r="F3" s="3" t="s">
        <v>44</v>
      </c>
      <c r="G3" s="22" t="s">
        <v>104</v>
      </c>
      <c r="H3" s="3" t="s">
        <v>71</v>
      </c>
      <c r="J3" t="s">
        <v>78</v>
      </c>
      <c r="K3">
        <f>LEN(J3)</f>
        <v>7</v>
      </c>
      <c r="M3" t="s">
        <v>89</v>
      </c>
    </row>
    <row r="4" spans="1:15" ht="17" x14ac:dyDescent="0.2">
      <c r="A4" s="3">
        <v>2</v>
      </c>
      <c r="B4" s="19">
        <f>C3-1</f>
        <v>79</v>
      </c>
      <c r="C4" s="18">
        <v>70</v>
      </c>
      <c r="D4" s="3" t="s">
        <v>22</v>
      </c>
      <c r="E4" t="s">
        <v>127</v>
      </c>
      <c r="F4" s="3" t="s">
        <v>57</v>
      </c>
      <c r="G4" s="22" t="s">
        <v>101</v>
      </c>
      <c r="H4" s="3" t="s">
        <v>70</v>
      </c>
      <c r="J4" t="s">
        <v>79</v>
      </c>
      <c r="K4">
        <f t="shared" ref="K4:K10" si="0">LEN(J4)</f>
        <v>6</v>
      </c>
      <c r="M4" t="s">
        <v>76</v>
      </c>
    </row>
    <row r="5" spans="1:15" ht="17" x14ac:dyDescent="0.2">
      <c r="A5" s="3">
        <v>3</v>
      </c>
      <c r="B5" s="19">
        <f t="shared" ref="B5:B10" si="1">C4-1</f>
        <v>69</v>
      </c>
      <c r="C5" s="18">
        <v>60</v>
      </c>
      <c r="D5" s="3" t="s">
        <v>0</v>
      </c>
      <c r="E5" t="s">
        <v>122</v>
      </c>
      <c r="F5" s="3" t="s">
        <v>58</v>
      </c>
      <c r="G5" s="22" t="s">
        <v>102</v>
      </c>
      <c r="H5" s="3" t="s">
        <v>69</v>
      </c>
      <c r="J5" t="s">
        <v>81</v>
      </c>
      <c r="K5">
        <f t="shared" si="0"/>
        <v>3</v>
      </c>
      <c r="M5" t="s">
        <v>77</v>
      </c>
      <c r="O5" t="s">
        <v>91</v>
      </c>
    </row>
    <row r="6" spans="1:15" ht="17" x14ac:dyDescent="0.2">
      <c r="A6" s="3">
        <v>4</v>
      </c>
      <c r="B6" s="19">
        <f t="shared" si="1"/>
        <v>59</v>
      </c>
      <c r="C6" s="18">
        <v>50</v>
      </c>
      <c r="D6" s="3" t="s">
        <v>22</v>
      </c>
      <c r="E6" t="s">
        <v>123</v>
      </c>
      <c r="F6" s="3" t="s">
        <v>59</v>
      </c>
      <c r="G6" s="22" t="s">
        <v>103</v>
      </c>
      <c r="H6" s="3" t="s">
        <v>68</v>
      </c>
      <c r="J6" t="s">
        <v>82</v>
      </c>
      <c r="K6">
        <f t="shared" si="0"/>
        <v>2</v>
      </c>
      <c r="M6" t="s">
        <v>95</v>
      </c>
      <c r="O6" t="s">
        <v>89</v>
      </c>
    </row>
    <row r="7" spans="1:15" ht="17" x14ac:dyDescent="0.2">
      <c r="A7" s="3">
        <v>5</v>
      </c>
      <c r="B7" s="19">
        <f t="shared" si="1"/>
        <v>49</v>
      </c>
      <c r="C7" s="18">
        <v>40</v>
      </c>
      <c r="D7" s="3" t="s">
        <v>0</v>
      </c>
      <c r="E7" t="s">
        <v>124</v>
      </c>
      <c r="F7" s="3" t="s">
        <v>60</v>
      </c>
      <c r="G7" s="22" t="s">
        <v>100</v>
      </c>
      <c r="H7" s="3" t="s">
        <v>63</v>
      </c>
      <c r="J7" t="s">
        <v>83</v>
      </c>
      <c r="K7">
        <f t="shared" si="0"/>
        <v>2</v>
      </c>
      <c r="M7" t="s">
        <v>94</v>
      </c>
      <c r="O7" t="s">
        <v>88</v>
      </c>
    </row>
    <row r="8" spans="1:15" ht="17" x14ac:dyDescent="0.2">
      <c r="A8" s="3">
        <v>6</v>
      </c>
      <c r="B8" s="19">
        <f t="shared" si="1"/>
        <v>39</v>
      </c>
      <c r="C8" s="18">
        <v>30</v>
      </c>
      <c r="D8" s="3" t="s">
        <v>22</v>
      </c>
      <c r="E8" t="s">
        <v>125</v>
      </c>
      <c r="F8" s="3" t="s">
        <v>61</v>
      </c>
      <c r="G8" s="22" t="s">
        <v>99</v>
      </c>
      <c r="H8" s="3" t="s">
        <v>66</v>
      </c>
      <c r="J8" t="s">
        <v>84</v>
      </c>
      <c r="K8">
        <f t="shared" si="0"/>
        <v>2</v>
      </c>
      <c r="M8" t="s">
        <v>93</v>
      </c>
      <c r="O8" t="s">
        <v>90</v>
      </c>
    </row>
    <row r="9" spans="1:15" ht="17" x14ac:dyDescent="0.2">
      <c r="A9" s="3">
        <v>7</v>
      </c>
      <c r="B9" s="19">
        <f t="shared" si="1"/>
        <v>29</v>
      </c>
      <c r="C9" s="18">
        <v>20</v>
      </c>
      <c r="D9" s="3" t="s">
        <v>0</v>
      </c>
      <c r="E9" t="s">
        <v>126</v>
      </c>
      <c r="F9" s="3" t="s">
        <v>62</v>
      </c>
      <c r="G9" s="22" t="s">
        <v>98</v>
      </c>
      <c r="H9" s="3" t="s">
        <v>67</v>
      </c>
      <c r="J9" t="s">
        <v>85</v>
      </c>
      <c r="K9">
        <f t="shared" si="0"/>
        <v>2</v>
      </c>
      <c r="M9" t="s">
        <v>92</v>
      </c>
    </row>
    <row r="10" spans="1:15" ht="17" x14ac:dyDescent="0.2">
      <c r="A10" s="3">
        <v>8</v>
      </c>
      <c r="B10" s="19">
        <f t="shared" si="1"/>
        <v>19</v>
      </c>
      <c r="C10" s="18">
        <v>1</v>
      </c>
      <c r="D10" s="3" t="s">
        <v>65</v>
      </c>
      <c r="E10" t="s">
        <v>96</v>
      </c>
      <c r="F10" s="3" t="s">
        <v>64</v>
      </c>
      <c r="H10" s="3" t="s">
        <v>72</v>
      </c>
      <c r="J10" t="s">
        <v>75</v>
      </c>
      <c r="K10">
        <f t="shared" si="0"/>
        <v>4</v>
      </c>
      <c r="M10" t="s">
        <v>96</v>
      </c>
      <c r="O10" t="s">
        <v>87</v>
      </c>
    </row>
    <row r="11" spans="1:15" x14ac:dyDescent="0.15">
      <c r="A11" s="3"/>
      <c r="B11" s="3"/>
      <c r="C11" s="3"/>
      <c r="D11" s="3"/>
      <c r="E11" s="3"/>
      <c r="F11" s="3"/>
    </row>
    <row r="12" spans="1:15" x14ac:dyDescent="0.15">
      <c r="A12" s="3"/>
      <c r="B12" s="3"/>
      <c r="C12" s="3"/>
      <c r="D12" s="3"/>
      <c r="E12" s="3"/>
      <c r="F12" s="3"/>
    </row>
    <row r="13" spans="1:15" x14ac:dyDescent="0.15">
      <c r="A13" s="3"/>
      <c r="B13" s="3"/>
      <c r="C13" s="3"/>
      <c r="D13" s="3"/>
      <c r="E13" s="3"/>
      <c r="F13" s="3"/>
    </row>
    <row r="14" spans="1:15" x14ac:dyDescent="0.15">
      <c r="A14" s="3"/>
      <c r="B14" s="3"/>
      <c r="C14" s="3"/>
      <c r="D14" s="3"/>
      <c r="E14" s="3"/>
      <c r="F14" s="3"/>
    </row>
    <row r="15" spans="1:15" x14ac:dyDescent="0.15">
      <c r="A15" s="3"/>
      <c r="B15" s="3"/>
      <c r="C15" s="3"/>
      <c r="D15" s="3"/>
      <c r="E15" s="3"/>
      <c r="F15" s="3"/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output</vt:lpstr>
      <vt:lpstr>ranking_quests</vt:lpstr>
      <vt:lpstr>ranking_points</vt:lpstr>
      <vt:lpstr>ranking_titles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¥98</dc:creator>
  <cp:lastModifiedBy>Microsoft Office ユーザー</cp:lastModifiedBy>
  <dcterms:created xsi:type="dcterms:W3CDTF">2013-10-07T08:00:17Z</dcterms:created>
  <dcterms:modified xsi:type="dcterms:W3CDTF">2017-05-30T06:57:11Z</dcterms:modified>
</cp:coreProperties>
</file>