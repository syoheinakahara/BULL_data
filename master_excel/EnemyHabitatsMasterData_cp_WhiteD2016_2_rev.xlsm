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inkedbrain/BULL_data/master_excel/"/>
    </mc:Choice>
  </mc:AlternateContent>
  <bookViews>
    <workbookView xWindow="0" yWindow="0" windowWidth="38400" windowHeight="21520" tabRatio="740" activeTab="9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enemy_habitat_S!$B$1:$Y$2</definedName>
    <definedName name="_xlnm._FilterDatabase" localSheetId="2" hidden="1">enemy_habitats!$B$1:$AH$5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21" l="1"/>
  <c r="C3" i="21"/>
  <c r="D3" i="21"/>
  <c r="F3" i="21"/>
  <c r="G3" i="21"/>
  <c r="I3" i="21"/>
  <c r="J3" i="21"/>
  <c r="B2" i="21"/>
  <c r="A2" i="18"/>
  <c r="C4" i="16"/>
  <c r="C5" i="16"/>
  <c r="C6" i="16"/>
  <c r="C7" i="16"/>
  <c r="C8" i="16"/>
  <c r="C9" i="16"/>
  <c r="C10" i="16"/>
  <c r="C11" i="16"/>
  <c r="C12" i="16"/>
  <c r="C13" i="16"/>
  <c r="C3" i="16"/>
  <c r="E11" i="16"/>
  <c r="J30" i="11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G19" i="9"/>
  <c r="H19" i="9"/>
  <c r="I19" i="9"/>
  <c r="J19" i="9"/>
  <c r="K19" i="9"/>
  <c r="L19" i="9"/>
  <c r="M19" i="9"/>
  <c r="N19" i="9"/>
  <c r="J19" i="11"/>
  <c r="O19" i="9"/>
  <c r="G20" i="9"/>
  <c r="H20" i="9"/>
  <c r="I20" i="9"/>
  <c r="J20" i="9"/>
  <c r="K20" i="9"/>
  <c r="L20" i="9"/>
  <c r="M20" i="9"/>
  <c r="N20" i="9"/>
  <c r="J20" i="11"/>
  <c r="O20" i="9"/>
  <c r="G21" i="9"/>
  <c r="H21" i="9"/>
  <c r="I21" i="9"/>
  <c r="J21" i="9"/>
  <c r="K21" i="9"/>
  <c r="L21" i="9"/>
  <c r="M21" i="9"/>
  <c r="N21" i="9"/>
  <c r="J21" i="11"/>
  <c r="O21" i="9"/>
  <c r="G22" i="9"/>
  <c r="H22" i="9"/>
  <c r="I22" i="9"/>
  <c r="J22" i="9"/>
  <c r="K22" i="9"/>
  <c r="L22" i="9"/>
  <c r="M22" i="9"/>
  <c r="N22" i="9"/>
  <c r="J22" i="11"/>
  <c r="O22" i="9"/>
  <c r="G23" i="9"/>
  <c r="H23" i="9"/>
  <c r="I23" i="9"/>
  <c r="J23" i="9"/>
  <c r="K23" i="9"/>
  <c r="L23" i="9"/>
  <c r="M23" i="9"/>
  <c r="N23" i="9"/>
  <c r="J23" i="11"/>
  <c r="O23" i="9"/>
  <c r="G24" i="9"/>
  <c r="H24" i="9"/>
  <c r="I24" i="9"/>
  <c r="J24" i="9"/>
  <c r="K24" i="9"/>
  <c r="L24" i="9"/>
  <c r="M24" i="9"/>
  <c r="N24" i="9"/>
  <c r="J24" i="11"/>
  <c r="O24" i="9"/>
  <c r="G25" i="9"/>
  <c r="H25" i="9"/>
  <c r="I25" i="9"/>
  <c r="J25" i="9"/>
  <c r="K25" i="9"/>
  <c r="L25" i="9"/>
  <c r="M25" i="9"/>
  <c r="N25" i="9"/>
  <c r="J25" i="11"/>
  <c r="O25" i="9"/>
  <c r="G26" i="9"/>
  <c r="H26" i="9"/>
  <c r="I26" i="9"/>
  <c r="J26" i="9"/>
  <c r="K26" i="9"/>
  <c r="L26" i="9"/>
  <c r="M26" i="9"/>
  <c r="N26" i="9"/>
  <c r="J26" i="11"/>
  <c r="O26" i="9"/>
  <c r="G27" i="9"/>
  <c r="H27" i="9"/>
  <c r="I27" i="9"/>
  <c r="J27" i="9"/>
  <c r="K27" i="9"/>
  <c r="L27" i="9"/>
  <c r="M27" i="9"/>
  <c r="N27" i="9"/>
  <c r="J27" i="11"/>
  <c r="O27" i="9"/>
  <c r="G28" i="9"/>
  <c r="H28" i="9"/>
  <c r="I28" i="9"/>
  <c r="J28" i="9"/>
  <c r="K28" i="9"/>
  <c r="L28" i="9"/>
  <c r="M28" i="9"/>
  <c r="N28" i="9"/>
  <c r="J28" i="11"/>
  <c r="O28" i="9"/>
  <c r="G29" i="9"/>
  <c r="H29" i="9"/>
  <c r="I29" i="9"/>
  <c r="J29" i="9"/>
  <c r="K29" i="9"/>
  <c r="L29" i="9"/>
  <c r="M29" i="9"/>
  <c r="N29" i="9"/>
  <c r="J29" i="11"/>
  <c r="O29" i="9"/>
  <c r="A28" i="9"/>
  <c r="D28" i="9"/>
  <c r="E28" i="9"/>
  <c r="A29" i="9"/>
  <c r="D29" i="9"/>
  <c r="E29" i="9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G27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A27" i="9"/>
  <c r="D27" i="9"/>
  <c r="E27" i="9"/>
  <c r="A26" i="9"/>
  <c r="AB4" i="1"/>
  <c r="AD4" i="1"/>
  <c r="AG4" i="1"/>
  <c r="AE4" i="1"/>
  <c r="AC4" i="1"/>
  <c r="AA4" i="1"/>
  <c r="V4" i="1"/>
  <c r="Q4" i="1"/>
  <c r="P4" i="1"/>
  <c r="O4" i="1"/>
  <c r="N4" i="1"/>
  <c r="M4" i="1"/>
  <c r="H4" i="1"/>
  <c r="G2" i="2"/>
  <c r="A2" i="2"/>
  <c r="G3" i="2"/>
  <c r="A3" i="2"/>
  <c r="G4" i="2"/>
  <c r="A4" i="2"/>
  <c r="G5" i="2"/>
  <c r="A5" i="2"/>
  <c r="G6" i="2"/>
  <c r="A6" i="2"/>
  <c r="J4" i="1"/>
  <c r="I4" i="1"/>
  <c r="D4" i="1"/>
  <c r="F4" i="1"/>
  <c r="E4" i="1"/>
  <c r="A4" i="1"/>
  <c r="AB3" i="1"/>
  <c r="AD3" i="1"/>
  <c r="AG3" i="1"/>
  <c r="AE3" i="1"/>
  <c r="AC3" i="1"/>
  <c r="AA3" i="1"/>
  <c r="V3" i="1"/>
  <c r="Q3" i="1"/>
  <c r="P3" i="1"/>
  <c r="O3" i="1"/>
  <c r="N3" i="1"/>
  <c r="M3" i="1"/>
  <c r="H3" i="1"/>
  <c r="J3" i="1"/>
  <c r="I3" i="1"/>
  <c r="D3" i="1"/>
  <c r="F3" i="1"/>
  <c r="E3" i="1"/>
  <c r="A3" i="1"/>
  <c r="AB2" i="1"/>
  <c r="AD2" i="1"/>
  <c r="AG2" i="1"/>
  <c r="AE2" i="1"/>
  <c r="AC2" i="1"/>
  <c r="AA2" i="1"/>
  <c r="V2" i="1"/>
  <c r="Q2" i="1"/>
  <c r="P2" i="1"/>
  <c r="O2" i="1"/>
  <c r="N2" i="1"/>
  <c r="M2" i="1"/>
  <c r="H2" i="1"/>
  <c r="J2" i="1"/>
  <c r="I2" i="1"/>
  <c r="D2" i="1"/>
  <c r="F2" i="1"/>
  <c r="E2" i="1"/>
  <c r="A2" i="1"/>
  <c r="AA10" i="1"/>
  <c r="A10" i="1"/>
  <c r="D10" i="1"/>
  <c r="E10" i="1"/>
  <c r="F10" i="1"/>
  <c r="H10" i="1"/>
  <c r="I10" i="1"/>
  <c r="J10" i="1"/>
  <c r="M10" i="1"/>
  <c r="N10" i="1"/>
  <c r="O10" i="1"/>
  <c r="P10" i="1"/>
  <c r="Q10" i="1"/>
  <c r="V10" i="1"/>
  <c r="AB10" i="1"/>
  <c r="AC10" i="1"/>
  <c r="AD10" i="1"/>
  <c r="AE10" i="1"/>
  <c r="AG10" i="1"/>
  <c r="AB11" i="1"/>
  <c r="AD11" i="1"/>
  <c r="AG11" i="1"/>
  <c r="AE11" i="1"/>
  <c r="AC11" i="1"/>
  <c r="AA11" i="1"/>
  <c r="V11" i="1"/>
  <c r="Q11" i="1"/>
  <c r="P11" i="1"/>
  <c r="O11" i="1"/>
  <c r="N11" i="1"/>
  <c r="M11" i="1"/>
  <c r="H11" i="1"/>
  <c r="J11" i="1"/>
  <c r="I11" i="1"/>
  <c r="D11" i="1"/>
  <c r="F11" i="1"/>
  <c r="E11" i="1"/>
  <c r="A11" i="1"/>
  <c r="H14" i="9"/>
  <c r="H15" i="9"/>
  <c r="H16" i="9"/>
  <c r="H17" i="9"/>
  <c r="H18" i="9"/>
  <c r="A24" i="9"/>
  <c r="D24" i="9"/>
  <c r="E24" i="9"/>
  <c r="A25" i="9"/>
  <c r="D25" i="9"/>
  <c r="E25" i="9"/>
  <c r="D26" i="9"/>
  <c r="E26" i="9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A23" i="9"/>
  <c r="D23" i="9"/>
  <c r="E23" i="9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5" i="10"/>
  <c r="T5" i="10"/>
  <c r="W5" i="10"/>
  <c r="V5" i="10"/>
  <c r="X5" i="10"/>
  <c r="U5" i="10"/>
  <c r="Y5" i="10"/>
  <c r="M20" i="10"/>
  <c r="N20" i="10"/>
  <c r="Q20" i="10"/>
  <c r="P20" i="10"/>
  <c r="R20" i="10"/>
  <c r="O20" i="10"/>
  <c r="S20" i="10"/>
  <c r="N5" i="10"/>
  <c r="Q5" i="10"/>
  <c r="P5" i="10"/>
  <c r="R5" i="10"/>
  <c r="O5" i="10"/>
  <c r="S5" i="10"/>
  <c r="G5" i="10"/>
  <c r="J5" i="10"/>
  <c r="I5" i="10"/>
  <c r="K5" i="10"/>
  <c r="H5" i="10"/>
  <c r="L5" i="10"/>
  <c r="M16" i="9"/>
  <c r="A22" i="9"/>
  <c r="D22" i="9"/>
  <c r="E22" i="9"/>
  <c r="A11" i="9"/>
  <c r="D11" i="9"/>
  <c r="E11" i="9"/>
  <c r="G11" i="9"/>
  <c r="H11" i="9"/>
  <c r="I11" i="9"/>
  <c r="J11" i="9"/>
  <c r="K11" i="9"/>
  <c r="L11" i="9"/>
  <c r="M11" i="9"/>
  <c r="N11" i="9"/>
  <c r="J11" i="11"/>
  <c r="O11" i="9"/>
  <c r="A12" i="9"/>
  <c r="D12" i="9"/>
  <c r="E12" i="9"/>
  <c r="G12" i="9"/>
  <c r="H12" i="9"/>
  <c r="I12" i="9"/>
  <c r="J12" i="9"/>
  <c r="K12" i="9"/>
  <c r="L12" i="9"/>
  <c r="M12" i="9"/>
  <c r="N12" i="9"/>
  <c r="J12" i="11"/>
  <c r="O12" i="9"/>
  <c r="A13" i="9"/>
  <c r="D13" i="9"/>
  <c r="E13" i="9"/>
  <c r="H13" i="9"/>
  <c r="I13" i="9"/>
  <c r="J13" i="9"/>
  <c r="K13" i="9"/>
  <c r="L13" i="9"/>
  <c r="M13" i="9"/>
  <c r="N13" i="9"/>
  <c r="J13" i="11"/>
  <c r="O13" i="9"/>
  <c r="A14" i="9"/>
  <c r="D14" i="9"/>
  <c r="E14" i="9"/>
  <c r="G14" i="9"/>
  <c r="I14" i="9"/>
  <c r="J14" i="9"/>
  <c r="K14" i="9"/>
  <c r="L14" i="9"/>
  <c r="M14" i="9"/>
  <c r="J14" i="11"/>
  <c r="O14" i="9"/>
  <c r="A15" i="9"/>
  <c r="D15" i="9"/>
  <c r="E15" i="9"/>
  <c r="I15" i="9"/>
  <c r="J15" i="9"/>
  <c r="K15" i="9"/>
  <c r="L15" i="9"/>
  <c r="M15" i="9"/>
  <c r="N15" i="9"/>
  <c r="J15" i="11"/>
  <c r="O15" i="9"/>
  <c r="A16" i="9"/>
  <c r="D16" i="9"/>
  <c r="E16" i="9"/>
  <c r="G16" i="9"/>
  <c r="I16" i="9"/>
  <c r="J16" i="9"/>
  <c r="K16" i="9"/>
  <c r="L16" i="9"/>
  <c r="N16" i="9"/>
  <c r="J16" i="11"/>
  <c r="O16" i="9"/>
  <c r="A17" i="9"/>
  <c r="D17" i="9"/>
  <c r="E17" i="9"/>
  <c r="G17" i="9"/>
  <c r="I17" i="9"/>
  <c r="J17" i="9"/>
  <c r="K17" i="9"/>
  <c r="L17" i="9"/>
  <c r="M17" i="9"/>
  <c r="N17" i="9"/>
  <c r="J17" i="11"/>
  <c r="O17" i="9"/>
  <c r="A18" i="9"/>
  <c r="D18" i="9"/>
  <c r="E18" i="9"/>
  <c r="G18" i="9"/>
  <c r="I18" i="9"/>
  <c r="J18" i="9"/>
  <c r="K18" i="9"/>
  <c r="L18" i="9"/>
  <c r="M18" i="9"/>
  <c r="N18" i="9"/>
  <c r="J18" i="11"/>
  <c r="O18" i="9"/>
  <c r="A19" i="9"/>
  <c r="D19" i="9"/>
  <c r="E19" i="9"/>
  <c r="A20" i="9"/>
  <c r="D20" i="9"/>
  <c r="E20" i="9"/>
  <c r="A21" i="9"/>
  <c r="D21" i="9"/>
  <c r="E21" i="9"/>
  <c r="G23" i="10"/>
  <c r="J23" i="10"/>
  <c r="I23" i="10"/>
  <c r="K23" i="10"/>
  <c r="H23" i="10"/>
  <c r="L2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G19" i="10"/>
  <c r="H19" i="10"/>
  <c r="I19" i="10"/>
  <c r="J19" i="10"/>
  <c r="K19" i="10"/>
  <c r="L19" i="10"/>
  <c r="M19" i="10"/>
  <c r="N19" i="10"/>
  <c r="O19" i="10"/>
  <c r="P19" i="10"/>
  <c r="Q19" i="10"/>
  <c r="R19" i="10"/>
  <c r="S19" i="10"/>
  <c r="T19" i="10"/>
  <c r="U19" i="10"/>
  <c r="V19" i="10"/>
  <c r="W19" i="10"/>
  <c r="X19" i="10"/>
  <c r="Y19" i="10"/>
  <c r="G20" i="10"/>
  <c r="H20" i="10"/>
  <c r="I20" i="10"/>
  <c r="J20" i="10"/>
  <c r="K20" i="10"/>
  <c r="L20" i="10"/>
  <c r="T20" i="10"/>
  <c r="U20" i="10"/>
  <c r="V20" i="10"/>
  <c r="W20" i="10"/>
  <c r="X20" i="10"/>
  <c r="Y20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G25" i="10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G26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Y4" i="7"/>
  <c r="W4" i="7"/>
  <c r="R4" i="7"/>
  <c r="Q4" i="7"/>
  <c r="P4" i="7"/>
  <c r="O4" i="7"/>
  <c r="N4" i="7"/>
  <c r="H4" i="7"/>
  <c r="J4" i="7"/>
  <c r="I4" i="7"/>
  <c r="D4" i="7"/>
  <c r="F4" i="7"/>
  <c r="E4" i="7"/>
  <c r="A4" i="7"/>
  <c r="AB9" i="1"/>
  <c r="AD9" i="1"/>
  <c r="AG9" i="1"/>
  <c r="AE9" i="1"/>
  <c r="AC9" i="1"/>
  <c r="AA9" i="1"/>
  <c r="V9" i="1"/>
  <c r="Q9" i="1"/>
  <c r="P9" i="1"/>
  <c r="O9" i="1"/>
  <c r="N9" i="1"/>
  <c r="M9" i="1"/>
  <c r="H9" i="1"/>
  <c r="J9" i="1"/>
  <c r="I9" i="1"/>
  <c r="D9" i="1"/>
  <c r="F9" i="1"/>
  <c r="E9" i="1"/>
  <c r="A9" i="1"/>
  <c r="A7" i="9"/>
  <c r="D7" i="9"/>
  <c r="E7" i="9"/>
  <c r="G7" i="9"/>
  <c r="H7" i="9"/>
  <c r="I7" i="9"/>
  <c r="J7" i="9"/>
  <c r="K7" i="9"/>
  <c r="L7" i="9"/>
  <c r="M7" i="9"/>
  <c r="N7" i="9"/>
  <c r="J7" i="11"/>
  <c r="O7" i="9"/>
  <c r="A8" i="9"/>
  <c r="D8" i="9"/>
  <c r="E8" i="9"/>
  <c r="G8" i="9"/>
  <c r="H8" i="9"/>
  <c r="I8" i="9"/>
  <c r="J8" i="9"/>
  <c r="K8" i="9"/>
  <c r="L8" i="9"/>
  <c r="M8" i="9"/>
  <c r="J8" i="11"/>
  <c r="O8" i="9"/>
  <c r="A9" i="9"/>
  <c r="D9" i="9"/>
  <c r="E9" i="9"/>
  <c r="G9" i="9"/>
  <c r="H9" i="9"/>
  <c r="I9" i="9"/>
  <c r="J9" i="9"/>
  <c r="K9" i="9"/>
  <c r="L9" i="9"/>
  <c r="M9" i="9"/>
  <c r="J9" i="11"/>
  <c r="O9" i="9"/>
  <c r="A10" i="9"/>
  <c r="D10" i="9"/>
  <c r="E10" i="9"/>
  <c r="G10" i="9"/>
  <c r="H10" i="9"/>
  <c r="I10" i="9"/>
  <c r="J10" i="9"/>
  <c r="K10" i="9"/>
  <c r="L10" i="9"/>
  <c r="M10" i="9"/>
  <c r="J10" i="11"/>
  <c r="O10" i="9"/>
  <c r="A3" i="9"/>
  <c r="D3" i="9"/>
  <c r="E3" i="9"/>
  <c r="G3" i="9"/>
  <c r="H3" i="9"/>
  <c r="I3" i="9"/>
  <c r="J3" i="9"/>
  <c r="K3" i="9"/>
  <c r="L3" i="9"/>
  <c r="M3" i="9"/>
  <c r="N3" i="9"/>
  <c r="J3" i="11"/>
  <c r="O3" i="9"/>
  <c r="A4" i="9"/>
  <c r="D4" i="9"/>
  <c r="E4" i="9"/>
  <c r="G4" i="9"/>
  <c r="H4" i="9"/>
  <c r="I4" i="9"/>
  <c r="J4" i="9"/>
  <c r="K4" i="9"/>
  <c r="L4" i="9"/>
  <c r="M4" i="9"/>
  <c r="N4" i="9"/>
  <c r="J4" i="11"/>
  <c r="O4" i="9"/>
  <c r="A5" i="9"/>
  <c r="D5" i="9"/>
  <c r="E5" i="9"/>
  <c r="G5" i="9"/>
  <c r="H5" i="9"/>
  <c r="I5" i="9"/>
  <c r="J5" i="9"/>
  <c r="K5" i="9"/>
  <c r="L5" i="9"/>
  <c r="M5" i="9"/>
  <c r="N5" i="9"/>
  <c r="J5" i="11"/>
  <c r="O5" i="9"/>
  <c r="A6" i="9"/>
  <c r="D6" i="9"/>
  <c r="E6" i="9"/>
  <c r="G6" i="9"/>
  <c r="H6" i="9"/>
  <c r="I6" i="9"/>
  <c r="J6" i="9"/>
  <c r="K6" i="9"/>
  <c r="L6" i="9"/>
  <c r="M6" i="9"/>
  <c r="N6" i="9"/>
  <c r="J6" i="11"/>
  <c r="O6" i="9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G6" i="10"/>
  <c r="H6" i="10"/>
  <c r="I6" i="10"/>
  <c r="J6" i="10"/>
  <c r="K6" i="10"/>
  <c r="L6" i="10"/>
  <c r="M6" i="10"/>
  <c r="N6" i="10"/>
  <c r="O6" i="10"/>
  <c r="P6" i="10"/>
  <c r="Q6" i="10"/>
  <c r="R6" i="10"/>
  <c r="S6" i="10"/>
  <c r="T6" i="10"/>
  <c r="U6" i="10"/>
  <c r="V6" i="10"/>
  <c r="W6" i="10"/>
  <c r="X6" i="10"/>
  <c r="Y6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G3" i="10"/>
  <c r="H3" i="10"/>
  <c r="I3" i="10"/>
  <c r="J3" i="10"/>
  <c r="K3" i="10"/>
  <c r="L3" i="10"/>
  <c r="M3" i="10"/>
  <c r="N3" i="10"/>
  <c r="O3" i="10"/>
  <c r="P3" i="10"/>
  <c r="Q3" i="10"/>
  <c r="R3" i="10"/>
  <c r="S3" i="10"/>
  <c r="T3" i="10"/>
  <c r="U3" i="10"/>
  <c r="V3" i="10"/>
  <c r="W3" i="10"/>
  <c r="X3" i="10"/>
  <c r="Y3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A3" i="7"/>
  <c r="D3" i="7"/>
  <c r="E3" i="7"/>
  <c r="F3" i="7"/>
  <c r="H3" i="7"/>
  <c r="I3" i="7"/>
  <c r="J3" i="7"/>
  <c r="N3" i="7"/>
  <c r="O3" i="7"/>
  <c r="P3" i="7"/>
  <c r="Q3" i="7"/>
  <c r="R3" i="7"/>
  <c r="W3" i="7"/>
  <c r="Y3" i="7"/>
  <c r="AA6" i="1"/>
  <c r="A6" i="1"/>
  <c r="D6" i="1"/>
  <c r="E6" i="1"/>
  <c r="F6" i="1"/>
  <c r="H6" i="1"/>
  <c r="I6" i="1"/>
  <c r="J6" i="1"/>
  <c r="M6" i="1"/>
  <c r="N6" i="1"/>
  <c r="O6" i="1"/>
  <c r="P6" i="1"/>
  <c r="Q6" i="1"/>
  <c r="V6" i="1"/>
  <c r="AB6" i="1"/>
  <c r="AC6" i="1"/>
  <c r="AD6" i="1"/>
  <c r="AE6" i="1"/>
  <c r="AG6" i="1"/>
  <c r="AA7" i="1"/>
  <c r="A7" i="1"/>
  <c r="D7" i="1"/>
  <c r="E7" i="1"/>
  <c r="F7" i="1"/>
  <c r="H7" i="1"/>
  <c r="I7" i="1"/>
  <c r="J7" i="1"/>
  <c r="M7" i="1"/>
  <c r="N7" i="1"/>
  <c r="O7" i="1"/>
  <c r="P7" i="1"/>
  <c r="Q7" i="1"/>
  <c r="V7" i="1"/>
  <c r="AB7" i="1"/>
  <c r="AC7" i="1"/>
  <c r="AD7" i="1"/>
  <c r="AE7" i="1"/>
  <c r="AG7" i="1"/>
  <c r="AA8" i="1"/>
  <c r="A8" i="1"/>
  <c r="D8" i="1"/>
  <c r="E8" i="1"/>
  <c r="F8" i="1"/>
  <c r="H8" i="1"/>
  <c r="I8" i="1"/>
  <c r="J8" i="1"/>
  <c r="M8" i="1"/>
  <c r="N8" i="1"/>
  <c r="O8" i="1"/>
  <c r="P8" i="1"/>
  <c r="Q8" i="1"/>
  <c r="V8" i="1"/>
  <c r="AB8" i="1"/>
  <c r="AC8" i="1"/>
  <c r="AD8" i="1"/>
  <c r="AE8" i="1"/>
  <c r="AG8" i="1"/>
  <c r="H5" i="1"/>
  <c r="B3" i="2"/>
  <c r="D3" i="2"/>
  <c r="E3" i="2"/>
  <c r="H3" i="2"/>
  <c r="B4" i="2"/>
  <c r="D4" i="2"/>
  <c r="E4" i="2"/>
  <c r="H4" i="2"/>
  <c r="B5" i="2"/>
  <c r="D5" i="2"/>
  <c r="E5" i="2"/>
  <c r="H5" i="2"/>
  <c r="B6" i="2"/>
  <c r="D6" i="2"/>
  <c r="E6" i="2"/>
  <c r="H6" i="2"/>
  <c r="I2" i="21"/>
  <c r="J2" i="21"/>
  <c r="G2" i="21"/>
  <c r="F2" i="21"/>
  <c r="D2" i="21"/>
  <c r="C2" i="21"/>
  <c r="E13" i="16"/>
  <c r="E12" i="16"/>
  <c r="E10" i="16"/>
  <c r="C2" i="18"/>
  <c r="D2" i="18"/>
  <c r="J2" i="11"/>
  <c r="O2" i="9"/>
  <c r="N2" i="9"/>
  <c r="M2" i="9"/>
  <c r="L2" i="9"/>
  <c r="K2" i="9"/>
  <c r="J2" i="9"/>
  <c r="I2" i="9"/>
  <c r="H2" i="9"/>
  <c r="G2" i="9"/>
  <c r="E2" i="9"/>
  <c r="D2" i="9"/>
  <c r="Y2" i="7"/>
  <c r="E9" i="16"/>
  <c r="W2" i="7"/>
  <c r="V5" i="1"/>
  <c r="R2" i="7"/>
  <c r="Q2" i="7"/>
  <c r="P2" i="7"/>
  <c r="O2" i="7"/>
  <c r="N2" i="7"/>
  <c r="AB5" i="1"/>
  <c r="AE5" i="1"/>
  <c r="AD5" i="1"/>
  <c r="AC5" i="1"/>
  <c r="AA5" i="1"/>
  <c r="Q5" i="1"/>
  <c r="P5" i="1"/>
  <c r="O5" i="1"/>
  <c r="N5" i="1"/>
  <c r="M5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G5" i="1"/>
  <c r="H2" i="7"/>
  <c r="J2" i="7"/>
  <c r="E8" i="16"/>
  <c r="E7" i="16"/>
  <c r="E6" i="16"/>
  <c r="E5" i="16"/>
  <c r="E4" i="16"/>
  <c r="E3" i="16"/>
  <c r="E2" i="16"/>
  <c r="A5" i="1"/>
  <c r="A2" i="9"/>
  <c r="A2" i="7"/>
  <c r="I2" i="7"/>
  <c r="D2" i="7"/>
  <c r="F2" i="7"/>
  <c r="E2" i="7"/>
  <c r="J5" i="1"/>
  <c r="I5" i="1"/>
  <c r="D2" i="2"/>
  <c r="E2" i="2"/>
  <c r="H2" i="2"/>
  <c r="D5" i="1"/>
  <c r="E5" i="1"/>
  <c r="F5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<sst xmlns="http://schemas.openxmlformats.org/spreadsheetml/2006/main" count="599" uniqueCount="329">
  <si>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</si>
  <si>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</si>
  <si>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</si>
  <si>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</si>
  <si>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</si>
  <si>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</si>
  <si>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</si>
  <si>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</si>
  <si>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</si>
  <si>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</si>
  <si>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</si>
  <si>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</si>
  <si>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</si>
  <si>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</si>
  <si>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</si>
  <si>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</si>
  <si>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</si>
  <si>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</si>
  <si>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</si>
  <si>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</si>
  <si>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</si>
  <si>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</si>
  <si>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</si>
  <si>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</si>
  <si>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</si>
  <si>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</si>
  <si>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</si>
  <si>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</si>
  <si>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</si>
  <si>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</si>
  <si>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</si>
  <si>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</si>
  <si>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</si>
  <si>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</si>
  <si>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</si>
  <si>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</si>
  <si>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</si>
  <si>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</si>
  <si>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</si>
  <si>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</si>
  <si>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</si>
  <si>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</si>
  <si>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</si>
  <si>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</si>
  <si>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</si>
  <si>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</si>
  <si>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</si>
  <si>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</si>
  <si>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</si>
  <si>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</si>
  <si>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</si>
  <si>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</si>
  <si>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</si>
  <si>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</si>
  <si>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</si>
  <si>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</si>
  <si>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</si>
  <si>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</si>
  <si>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</si>
  <si>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</si>
  <si>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</si>
  <si>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</si>
  <si>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</si>
  <si>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</si>
  <si>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</si>
  <si>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</si>
  <si>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</si>
  <si>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</si>
  <si>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</si>
  <si>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</si>
  <si>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</si>
  <si>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</si>
  <si>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</si>
  <si>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</si>
  <si>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</si>
  <si>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</si>
  <si>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</si>
  <si>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</si>
  <si>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</si>
  <si>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</si>
  <si>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</si>
  <si>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</si>
  <si>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</si>
  <si>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</si>
  <si>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</si>
  <si>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</si>
  <si>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</si>
  <si>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</si>
  <si>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</si>
  <si>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</si>
  <si>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</si>
  <si>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</si>
  <si>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</si>
  <si>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</si>
  <si>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</si>
  <si>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</si>
  <si>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</si>
  <si>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</si>
  <si>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</si>
  <si>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</si>
  <si>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</si>
  <si>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</si>
  <si>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</si>
  <si>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</si>
  <si>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</si>
  <si>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</si>
  <si>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</si>
  <si>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</si>
  <si>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</si>
  <si>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</si>
  <si>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</si>
  <si>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</si>
  <si>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</si>
  <si>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</si>
  <si>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</si>
  <si>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</si>
  <si>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</si>
  <si>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</si>
  <si>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</si>
  <si>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</si>
  <si>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</si>
  <si>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</si>
  <si>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</si>
  <si>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</si>
  <si>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</si>
  <si>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</si>
  <si>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</si>
  <si>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</si>
  <si>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</si>
  <si>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</si>
  <si>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</si>
  <si>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</si>
  <si>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</si>
  <si>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</si>
  <si>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</si>
  <si>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</si>
  <si>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</si>
  <si>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</si>
  <si>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</si>
  <si>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</si>
  <si>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</si>
  <si>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</si>
  <si>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</si>
  <si>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</si>
  <si>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</si>
  <si>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</si>
  <si>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</si>
  <si>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</si>
  <si>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</si>
  <si>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</si>
  <si>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</si>
  <si>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</si>
  <si>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</si>
  <si>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</si>
  <si>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</si>
  <si>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</si>
  <si>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</si>
  <si>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</si>
  <si>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</si>
  <si>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</si>
  <si>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</si>
  <si>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</si>
  <si>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</si>
  <si>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</si>
  <si>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</si>
  <si>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</si>
  <si>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</si>
  <si>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</si>
  <si>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</si>
  <si>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</si>
  <si>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null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</si>
  <si>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</si>
  <si>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</si>
  <si>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</si>
  <si>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</si>
  <si>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</si>
  <si>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</si>
  <si>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</si>
  <si>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</si>
  <si>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</si>
  <si>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</si>
  <si>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</si>
  <si>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</si>
  <si>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</si>
  <si>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</si>
  <si>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</si>
  <si>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</si>
  <si>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</si>
  <si>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</si>
  <si>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</si>
  <si>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</si>
  <si>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</si>
  <si>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</si>
  <si>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</si>
  <si>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</si>
  <si>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</si>
  <si>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</si>
  <si>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</si>
  <si>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</si>
  <si>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</si>
  <si>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</si>
  <si>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</si>
  <si>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</si>
  <si>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</si>
  <si>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</si>
  <si>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</si>
  <si>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</si>
  <si>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</si>
  <si>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</si>
  <si>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</si>
  <si>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</si>
  <si>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</si>
  <si>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</si>
  <si>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old</t>
    <phoneticPr fontId="5"/>
  </si>
  <si>
    <t>skip</t>
    <phoneticPr fontId="5"/>
  </si>
  <si>
    <t>「ホワイトデー独騒曲」</t>
    <rPh sb="7" eb="8">
      <t>ヒt</t>
    </rPh>
    <rPh sb="8" eb="9">
      <t>サワg</t>
    </rPh>
    <rPh sb="9" eb="10">
      <t>キョk</t>
    </rPh>
    <phoneticPr fontId="5"/>
  </si>
  <si>
    <t>ja</t>
    <phoneticPr fontId="5"/>
  </si>
  <si>
    <t>ja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</si>
  <si>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</si>
  <si>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</si>
  <si>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</si>
  <si>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</si>
  <si>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</si>
  <si>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</si>
  <si>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</si>
  <si>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</si>
  <si>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</si>
  <si>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</si>
  <si>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</si>
  <si>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今年のバレンタインも…</t>
    <rPh sb="0" eb="2">
      <t>コトs</t>
    </rPh>
    <phoneticPr fontId="5"/>
  </si>
  <si>
    <t>何事もなかったケロ…</t>
    <rPh sb="0" eb="3">
      <t>ナン</t>
    </rPh>
    <phoneticPr fontId="5"/>
  </si>
  <si>
    <t>でも、今年のホワイトデーこそ…</t>
    <rPh sb="3" eb="6">
      <t>コトs</t>
    </rPh>
    <phoneticPr fontId="5"/>
  </si>
  <si>
    <t>あの人に気持ちを伝えるケロ！</t>
    <rPh sb="2" eb="3">
      <t>h</t>
    </rPh>
    <rPh sb="4" eb="8">
      <t>キモt</t>
    </rPh>
    <rPh sb="8" eb="11">
      <t>ツタ</t>
    </rPh>
    <phoneticPr fontId="5"/>
  </si>
  <si>
    <t>ケロケロが勇気を出したその時</t>
    <rPh sb="5" eb="8">
      <t>ユ</t>
    </rPh>
    <rPh sb="8" eb="11">
      <t>ダs</t>
    </rPh>
    <rPh sb="13" eb="14">
      <t>トk</t>
    </rPh>
    <phoneticPr fontId="5"/>
  </si>
  <si>
    <t>叶わぬ恋に打ちひしがれている</t>
    <rPh sb="0" eb="1">
      <t>カナ</t>
    </rPh>
    <rPh sb="3" eb="4">
      <t>コ</t>
    </rPh>
    <rPh sb="5" eb="14">
      <t>ウチヒs</t>
    </rPh>
    <phoneticPr fontId="5"/>
  </si>
  <si>
    <t>トボトボと去っていった…</t>
    <rPh sb="5" eb="11">
      <t>サッt</t>
    </rPh>
    <phoneticPr fontId="5"/>
  </si>
  <si>
    <t>…これは…？</t>
    <phoneticPr fontId="5"/>
  </si>
  <si>
    <t>何をしようと無駄だ…</t>
    <rPh sb="0" eb="2">
      <t>ナン</t>
    </rPh>
    <rPh sb="6" eb="8">
      <t>m</t>
    </rPh>
    <phoneticPr fontId="5"/>
  </si>
  <si>
    <t>null</t>
    <phoneticPr fontId="5"/>
  </si>
  <si>
    <t>何者かが割って入った！</t>
    <rPh sb="0" eb="3">
      <t>ナン</t>
    </rPh>
    <rPh sb="4" eb="7">
      <t>ワッt</t>
    </rPh>
    <rPh sb="7" eb="10">
      <t>ハイッt</t>
    </rPh>
    <phoneticPr fontId="5"/>
  </si>
  <si>
    <t>ゴーテルが割って入ってきた！</t>
    <rPh sb="5" eb="8">
      <t>ワッt</t>
    </rPh>
    <rPh sb="8" eb="13">
      <t>ハイッt</t>
    </rPh>
    <phoneticPr fontId="5"/>
  </si>
  <si>
    <t>楽しそうにクッキーを渡した</t>
    <rPh sb="0" eb="4">
      <t>タン</t>
    </rPh>
    <rPh sb="10" eb="13">
      <t>ワタs</t>
    </rPh>
    <phoneticPr fontId="5"/>
  </si>
  <si>
    <t>あ…ゴーテル、待って…</t>
    <rPh sb="7" eb="10">
      <t>マッt</t>
    </rPh>
    <phoneticPr fontId="5"/>
  </si>
  <si>
    <t>カエル如きに何ができる？</t>
    <rPh sb="3" eb="4">
      <t>ゴト</t>
    </rPh>
    <rPh sb="6" eb="8">
      <t>ナン</t>
    </rPh>
    <phoneticPr fontId="5"/>
  </si>
  <si>
    <t>ゴーテルは去って行った</t>
    <rPh sb="5" eb="11">
      <t>サッt</t>
    </rPh>
    <phoneticPr fontId="5"/>
  </si>
  <si>
    <t>今日はホワイトデーよ♪</t>
    <rPh sb="0" eb="2">
      <t>キョ</t>
    </rPh>
    <phoneticPr fontId="5"/>
  </si>
  <si>
    <t>null</t>
    <phoneticPr fontId="5"/>
  </si>
  <si>
    <t>null</t>
    <phoneticPr fontId="5"/>
  </si>
  <si>
    <t>悠然と構えている</t>
    <rPh sb="0" eb="2">
      <t>ユウゼン</t>
    </rPh>
    <rPh sb="3" eb="8">
      <t>カマ</t>
    </rPh>
    <phoneticPr fontId="5"/>
  </si>
  <si>
    <t>ボク一人じゃないケロ！！</t>
    <rPh sb="2" eb="4">
      <t>ヒt</t>
    </rPh>
    <phoneticPr fontId="5"/>
  </si>
  <si>
    <t>この間は世話になったな！</t>
    <rPh sb="2" eb="3">
      <t>アイダ</t>
    </rPh>
    <rPh sb="4" eb="11">
      <t>セw</t>
    </rPh>
    <phoneticPr fontId="5"/>
  </si>
  <si>
    <t>石のクッキーを与えよう！</t>
    <rPh sb="0" eb="1">
      <t>イs</t>
    </rPh>
    <rPh sb="6" eb="7">
      <t>オキモン</t>
    </rPh>
    <rPh sb="7" eb="11">
      <t>アタ</t>
    </rPh>
    <phoneticPr fontId="5"/>
  </si>
  <si>
    <t>ラプンツェルは困っている</t>
    <rPh sb="7" eb="12">
      <t>コマッt</t>
    </rPh>
    <phoneticPr fontId="5"/>
  </si>
  <si>
    <t>ラプンツェルはますます困っている</t>
    <rPh sb="11" eb="16">
      <t>コマッt</t>
    </rPh>
    <phoneticPr fontId="5"/>
  </si>
  <si>
    <t>オズは話を聞いていない</t>
    <rPh sb="3" eb="4">
      <t>ハン</t>
    </rPh>
    <rPh sb="5" eb="11">
      <t>キ</t>
    </rPh>
    <phoneticPr fontId="5"/>
  </si>
  <si>
    <t>ホワイトデーのお返しのようだ</t>
    <rPh sb="8" eb="10">
      <t>カエs</t>
    </rPh>
    <phoneticPr fontId="5"/>
  </si>
  <si>
    <t>あなた…誰？</t>
    <rPh sb="4" eb="5">
      <t>ダr</t>
    </rPh>
    <phoneticPr fontId="5"/>
  </si>
  <si>
    <t>あの…ラプンツェ</t>
    <phoneticPr fontId="5"/>
  </si>
  <si>
    <t>ja</t>
    <phoneticPr fontId="5"/>
  </si>
  <si>
    <t>なんとケロケロの姿が！？</t>
    <rPh sb="8" eb="9">
      <t>スガt</t>
    </rPh>
    <phoneticPr fontId="5"/>
  </si>
  <si>
    <t>ケロケロが助けに来た！</t>
    <rPh sb="5" eb="8">
      <t>タスk</t>
    </rPh>
    <rPh sb="8" eb="10">
      <t>キt</t>
    </rPh>
    <phoneticPr fontId="5"/>
  </si>
  <si>
    <t>ラプンツェルは嬉しそうだ</t>
    <rPh sb="7" eb="12">
      <t>ウレs</t>
    </rPh>
    <phoneticPr fontId="5"/>
  </si>
  <si>
    <t>あいつを倒してケロ！</t>
    <rPh sb="4" eb="7">
      <t>タオs</t>
    </rPh>
    <phoneticPr fontId="5"/>
  </si>
  <si>
    <t>null</t>
    <phoneticPr fontId="5"/>
  </si>
  <si>
    <t>null</t>
    <phoneticPr fontId="5"/>
  </si>
  <si>
    <t>ケロ！？</t>
    <phoneticPr fontId="5"/>
  </si>
  <si>
    <t>そろそろ飽きてきたぞ…</t>
    <rPh sb="4" eb="9">
      <t>アk</t>
    </rPh>
    <phoneticPr fontId="5"/>
  </si>
  <si>
    <t>次のターン超強力な攻撃！</t>
    <rPh sb="0" eb="1">
      <t>ツg</t>
    </rPh>
    <rPh sb="5" eb="6">
      <t>チョ</t>
    </rPh>
    <rPh sb="6" eb="9">
      <t>キョ</t>
    </rPh>
    <rPh sb="9" eb="11">
      <t>コウゲk</t>
    </rPh>
    <phoneticPr fontId="5"/>
  </si>
  <si>
    <t>痛恨の一撃！</t>
    <rPh sb="0" eb="2">
      <t>ツウコン</t>
    </rPh>
    <rPh sb="3" eb="5">
      <t>イチゲk</t>
    </rPh>
    <phoneticPr fontId="5"/>
  </si>
  <si>
    <t>これで終わりだ！</t>
    <rPh sb="3" eb="7">
      <t>オワr</t>
    </rPh>
    <phoneticPr fontId="5"/>
  </si>
  <si>
    <t>null</t>
    <phoneticPr fontId="5"/>
  </si>
  <si>
    <t>は、早く倒すケロ！</t>
    <rPh sb="2" eb="4">
      <t>ハy</t>
    </rPh>
    <rPh sb="4" eb="8">
      <t>タオs</t>
    </rPh>
    <phoneticPr fontId="5"/>
  </si>
  <si>
    <t>早くオズを倒そう！</t>
    <rPh sb="0" eb="2">
      <t>ハy</t>
    </rPh>
    <rPh sb="5" eb="8">
      <t>タオソ</t>
    </rPh>
    <phoneticPr fontId="5"/>
  </si>
  <si>
    <t>ケロケロの願い</t>
    <rPh sb="5" eb="6">
      <t>ネガ</t>
    </rPh>
    <phoneticPr fontId="5"/>
  </si>
  <si>
    <t>old</t>
    <phoneticPr fontId="5"/>
  </si>
  <si>
    <t>old</t>
    <phoneticPr fontId="7"/>
  </si>
  <si>
    <t>女王の呪いが解けました</t>
    <rPh sb="0" eb="2">
      <t>ジョオウ</t>
    </rPh>
    <rPh sb="3" eb="5">
      <t>ノロ</t>
    </rPh>
    <rPh sb="6" eb="11">
      <t>トケマs</t>
    </rPh>
    <phoneticPr fontId="5"/>
  </si>
  <si>
    <t>stage_hints_i18n_c_</t>
    <phoneticPr fontId="5"/>
  </si>
  <si>
    <t>ボクの願いを聞いてケロ！</t>
    <rPh sb="3" eb="5">
      <t>ネガ</t>
    </rPh>
    <rPh sb="6" eb="11">
      <t>キ</t>
    </rPh>
    <phoneticPr fontId="5"/>
  </si>
  <si>
    <t>…ありがとう</t>
    <phoneticPr fontId="5"/>
  </si>
  <si>
    <t>さあ、塔に帰りましょ！</t>
    <rPh sb="3" eb="4">
      <t>トウ</t>
    </rPh>
    <rPh sb="4" eb="5">
      <t>イッsy</t>
    </rPh>
    <rPh sb="5" eb="10">
      <t>カエr</t>
    </rPh>
    <phoneticPr fontId="5"/>
  </si>
  <si>
    <t>skip</t>
  </si>
  <si>
    <t>[effect:enemy_message, val1:1.2, val2:1.2],[effect:fix_speed, target:myself, turn:1]</t>
    <phoneticPr fontId="5"/>
  </si>
  <si>
    <t>[effect:enemy_message, val1:1.5, val2:1.4],[effect:suicide, val:1, dead_type:escape, target:myself, animation:enemy_escape],[effect:sleep, target:unit_all, turn:2, rate:1]</t>
    <phoneticPr fontId="5"/>
  </si>
  <si>
    <t>[effect:enemy_message, val1:1.2, val2:1.4],[effect:suicide, val:1, dead_type:suicide, target:myself]</t>
    <phoneticPr fontId="5"/>
  </si>
  <si>
    <t>[effect:enemy_message, val1:1.3, val2:1.4],[effect:fix_speed, target:myself, turn:1],[effect:fix_speed, target:enemy_yellow, turn:2]</t>
    <phoneticPr fontId="5"/>
  </si>
  <si>
    <t>[effect:enemy_message, val1:1.2, val2:1.3],[effect:fix_speed, target:myself, turn:1]</t>
    <phoneticPr fontId="5"/>
  </si>
  <si>
    <t>[effect:enemy_message, val1:1.2, val2:1.4],[effect:suicide, val:1, dead_type:escape, target:myself, animation:enemy_escape]</t>
    <phoneticPr fontId="5"/>
  </si>
  <si>
    <t>[effect:enemy_message, val1:1.5, val2:1.2],[effect:suicide, val:1, dead_type:escape, target:myself, animation:enemy_escape]</t>
    <phoneticPr fontId="5"/>
  </si>
  <si>
    <t>[effect:enemy_message, val1:1.2, val2:1.2],[effect:fix_speed, target:myself, turn:1]</t>
    <phoneticPr fontId="5"/>
  </si>
  <si>
    <t>[effect:enemy_message, val1:1.3, val2:1.6],[effect:fix_speed, target:myself, turn:1]</t>
    <phoneticPr fontId="5"/>
  </si>
  <si>
    <t>[effect:enemy_message, val1:1.2, val2:1.2],[effect:suicide, val:1, dead_type:escape, target:myself, animation:enemy_escape]</t>
    <phoneticPr fontId="5"/>
  </si>
  <si>
    <t>[effect:enemy_message, val1:1.3, val2:1.2],[effect:fix_speed, target:myself, turn:1],[effect:sleep, target:unit_all, turn:1, rate:1],[effect:tolerance, target:myself, turn:-1, tolerance_effect:all, count:-1]</t>
    <phoneticPr fontId="5"/>
  </si>
  <si>
    <t>[effect:enemy_message, val1:1.2, val2:1.6],[effect:force_change_block, new_block:jammer, target:block_all, count:9, val:0,animation:change_block],[effect:cure, bad_status:dark, animation:cure01],[effect:fix_speed, target:myself, turn:1]</t>
    <phoneticPr fontId="5"/>
  </si>
  <si>
    <t>[effect:enemy_message, val1:1.2, val2:1.4],[effect:force_change_block, new_block:jammer, target:block_all, count:18, val:0,animation:change_block],[effect:fix_speed, target:myself, turn:1]</t>
    <phoneticPr fontId="5"/>
  </si>
  <si>
    <t>[effect:enemy_message, val1:1.3, val2:1.2],[effect:force_change_block, new_block:jammer, target:block_all, count:0, val:0,animation:change_block],[effect:fix_speed, target:myself, turn:1]</t>
    <phoneticPr fontId="5"/>
  </si>
  <si>
    <t>[effect:enemy_message, val1:1.2, val2:1.3],[effect:force_change_block, new_block:jammer, target:block_all, count:0, val:0,animation:change_block],[effect:fix_speed, target:myself, turn:1]</t>
    <phoneticPr fontId="5"/>
  </si>
  <si>
    <t>[effect:enemy_message, val1:1.2, val2:1.2],[effect:fix_speed, target:myself, turn:2]</t>
    <phoneticPr fontId="5"/>
  </si>
  <si>
    <t>[effect:enemy_message, val1:1.2, val2:1.6],[effect:enhance_fever, val:1000.0, animation:fevergauge_up04],[effect:enhance_enemy, target:unit_all, turn:4, status:attack, val:1, animation:enemy_enhance_attack]</t>
    <phoneticPr fontId="5"/>
  </si>
  <si>
    <t>[effect:enemy_message, val1:1.2, val2:1.2],[effect:fix_speed, target:myself, turn:3]</t>
    <phoneticPr fontId="5"/>
  </si>
  <si>
    <t>[effect:enemy_message, val1:1.2, val2:1.2],[effect:fix_speed, target:enemy_all, turn:1],[effect:sleep, target:unit_all, turn:1, rate:1],[effect:degrade_unit, target:unit_all, turn:-1, status:action, val:2.0],[effect:suicide, val:0.7, dead_type:escape, target:myself, animation:enemy_escape]</t>
    <phoneticPr fontId="5"/>
  </si>
  <si>
    <t>[effect:enemy_message, val1:1.4, val2:1.2],[effect:force_change_block, new_block:block_heart, target:block_all, count:0, val:0,animation:change_block]</t>
    <phoneticPr fontId="5"/>
  </si>
  <si>
    <t>[effect:enemy_message, val1:1.5, val2:1.2],[effect:suicide, val:1, dead_type:escape, target:myself, animation:enemy_escape],[effect:degrade_unit, target:unit_all, turn:-1, status:action, val:2.0],[effect:force_change_block, new_block:block_heart, target:block_all, count:0, val:0,animation:change_block],[effect:fix_speed, target:myself, turn:1]</t>
    <phoneticPr fontId="5"/>
  </si>
  <si>
    <t>[effect:enemy_message, val1:1.2, val2:1.4],[effect:suicide, val:1, dead_type:escape, target:myself, animation:enemy_suicide]</t>
    <phoneticPr fontId="5"/>
  </si>
  <si>
    <t>[effect:enemy_message, val1:1.2, val2:1.2],[effect:fix_speed, target:myself, turn:1]</t>
    <phoneticPr fontId="5"/>
  </si>
  <si>
    <t>[effect:enemy_message, val1:1.2, val2:1.2], [effect:spread, val:999.9]</t>
    <phoneticPr fontId="5"/>
  </si>
  <si>
    <t>[effect:enemy_message, val1:1.2, val2:1.2],[effect:fix_speed, target:myself, turn:1]</t>
    <phoneticPr fontId="5"/>
  </si>
  <si>
    <t>[effect:enemy_message, val1:1.2, val2:1.4],[effect:dark, turn:-1,target:unit_all,animation:enemy_dark],[effect:fix_speed, target:myself, turn:1],[effect:dis_panel, target:block_red, turn:1],[effect:dis_panel, target:block_blue, turn:1],[effect:dis_panel, target:block_green, turn:1],[effect:dis_panel, target:block_yellow, turn:1]</t>
    <phoneticPr fontId="5"/>
  </si>
  <si>
    <t>[effect:enemy_message, val1:1.2, val2:1.2],[effect:force_change_block, new_block:block_blue, target:block_red, count:0, val:0,animation:change_block],[effect:force_change_block, new_block:block_heart, target:block_green, count:0, val:0,animation:change_block],[effect:force_change_block, new_block:block_heart, target:block_yellow, count:0, val:0,animation:change_block],[effect:suicide, val:1, dead_type:escape, target:myself, animation:enemy_escape]</t>
    <phoneticPr fontId="5"/>
  </si>
  <si>
    <t>[effect:enemy_message, val1:1.2, val2:1.2],[effect:ability_lock, target:unit_all, turn:-1],[effect:sleep, target:unit_all, turn:1, rate:1],[effect:hungup, target:unit_all, turn:-1, rate:1],[effect:suicide, val:1, dead_type:escape, target:enemy_all],[effect:crash_condition, target:unit_all, turn:-1, val:50, animation:enemy_crash_extend],[effect:degrade_unit, target:unit_all, turn:-1, status:attack, val:1.0, calc:mul]</t>
    <phoneticPr fontId="5"/>
  </si>
  <si>
    <t>たとえ自分がどうなろうとも
ラプンツェルを守りたいケロケロ
全力でフィーバーして
暴走するオズを倒してあげましょう</t>
    <rPh sb="3" eb="5">
      <t>ジブン</t>
    </rPh>
    <rPh sb="21" eb="22">
      <t>マモ</t>
    </rPh>
    <rPh sb="31" eb="33">
      <t>ゼンリョク</t>
    </rPh>
    <rPh sb="42" eb="44">
      <t>ボウソウ</t>
    </rPh>
    <rPh sb="49" eb="50">
      <t>タオ</t>
    </rPh>
    <phoneticPr fontId="5"/>
  </si>
  <si>
    <t>カエルにされた王子様</t>
    <rPh sb="7" eb="10">
      <t>オウジサマ</t>
    </rPh>
    <phoneticPr fontId="5"/>
  </si>
  <si>
    <t>女王の呪いによりカエルに姿を変えられた
とある国の王子様
井戸から見上げた塔に住む
美しい髪の少女に恋をしていたようです</t>
    <rPh sb="0" eb="2">
      <t>ジョオウ</t>
    </rPh>
    <rPh sb="3" eb="4">
      <t>ノロ</t>
    </rPh>
    <rPh sb="12" eb="13">
      <t>スガタ</t>
    </rPh>
    <rPh sb="14" eb="15">
      <t>カ</t>
    </rPh>
    <rPh sb="23" eb="24">
      <t>クニ</t>
    </rPh>
    <rPh sb="25" eb="28">
      <t>オウジサマ</t>
    </rPh>
    <rPh sb="30" eb="32">
      <t>イド</t>
    </rPh>
    <rPh sb="34" eb="36">
      <t>ミア</t>
    </rPh>
    <rPh sb="38" eb="39">
      <t>tou</t>
    </rPh>
    <rPh sb="40" eb="42">
      <t>スm</t>
    </rPh>
    <rPh sb="43" eb="44">
      <t>ウツク</t>
    </rPh>
    <rPh sb="46" eb="47">
      <t>カミ</t>
    </rPh>
    <rPh sb="48" eb="50">
      <t>ショウジョ</t>
    </rPh>
    <rPh sb="50" eb="51">
      <t>コ</t>
    </rPh>
    <rPh sb="51" eb="52">
      <t>コイゴコロ</t>
    </rPh>
    <phoneticPr fontId="5"/>
  </si>
  <si>
    <t>ありがとう…
アナタのおかげで</t>
    <phoneticPr fontId="5"/>
  </si>
  <si>
    <t>ありのままの自分で
今度こそ…</t>
    <rPh sb="6" eb="9">
      <t>ジブン</t>
    </rPh>
    <rPh sb="10" eb="12">
      <t>コンド</t>
    </rPh>
    <phoneticPr fontId="5"/>
  </si>
  <si>
    <t>ラプンツェル！
逃げてケロ！</t>
    <rPh sb="8" eb="11">
      <t>ニg</t>
    </rPh>
    <phoneticPr fontId="5"/>
  </si>
  <si>
    <t>ラプンツェル！
ここにいたのね</t>
    <phoneticPr fontId="5"/>
  </si>
  <si>
    <t>やっぱりボクなんか…</t>
    <phoneticPr fontId="5"/>
  </si>
  <si>
    <t>どうだ！
素晴らしいだろう！</t>
    <rPh sb="5" eb="13">
      <t>スバラシ</t>
    </rPh>
    <phoneticPr fontId="5"/>
  </si>
  <si>
    <t>あなたにチョコ…
あげてない…</t>
    <phoneticPr fontId="5"/>
  </si>
  <si>
    <t>そんなものいらな…
え！？</t>
    <phoneticPr fontId="5"/>
  </si>
  <si>
    <t>暴走のアバター
オズが襲来した！</t>
    <rPh sb="0" eb="2">
      <t>ボウソ</t>
    </rPh>
    <rPh sb="11" eb="15">
      <t>sy</t>
    </rPh>
    <phoneticPr fontId="5"/>
  </si>
  <si>
    <t>余裕の笑みを
浮かべている</t>
    <rPh sb="0" eb="2">
      <t>ヨユウ</t>
    </rPh>
    <rPh sb="3" eb="4">
      <t>エ</t>
    </rPh>
    <rPh sb="7" eb="8">
      <t>ウ</t>
    </rPh>
    <phoneticPr fontId="5"/>
  </si>
  <si>
    <t>ボクもろとも
オズを倒してケロ！</t>
    <rPh sb="10" eb="13">
      <t>タオs</t>
    </rPh>
    <phoneticPr fontId="5"/>
  </si>
  <si>
    <t>まばゆい光が
あたりを包む！</t>
    <rPh sb="4" eb="5">
      <t>ヒカリ</t>
    </rPh>
    <rPh sb="11" eb="12">
      <t>ツツ</t>
    </rPh>
    <phoneticPr fontId="5"/>
  </si>
  <si>
    <t>あの人に
想いを！</t>
    <rPh sb="2" eb="3">
      <t>h</t>
    </rPh>
    <rPh sb="5" eb="8">
      <t>オモ</t>
    </rPh>
    <phoneticPr fontId="5"/>
  </si>
  <si>
    <t>井戸に帰って
ふて寝するケロ…</t>
    <rPh sb="0" eb="3">
      <t>イド</t>
    </rPh>
    <rPh sb="3" eb="6">
      <t>カ</t>
    </rPh>
    <rPh sb="9" eb="10">
      <t>ン</t>
    </rPh>
    <phoneticPr fontId="5"/>
  </si>
  <si>
    <t>ラプンツェルも
あとを追った</t>
    <rPh sb="11" eb="12">
      <t>オッタ</t>
    </rPh>
    <phoneticPr fontId="5"/>
  </si>
  <si>
    <t>小さな恋の物語ケロ</t>
    <rPh sb="0" eb="3">
      <t>チイs</t>
    </rPh>
    <rPh sb="3" eb="4">
      <t>コ</t>
    </rPh>
    <rPh sb="5" eb="7">
      <t>モノガタr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</si>
</sst>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9"/>
      <color theme="1"/>
      <name val="メイリオ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83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14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6" fillId="0" borderId="0" xfId="0" applyFont="1"/>
    <xf numFmtId="0" fontId="11" fillId="0" borderId="7" xfId="0" applyFont="1" applyBorder="1" applyAlignment="1">
      <alignment vertical="center"/>
    </xf>
    <xf numFmtId="0" fontId="11" fillId="0" borderId="12" xfId="0" applyFont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0" fontId="0" fillId="0" borderId="7" xfId="0" applyFont="1" applyFill="1" applyBorder="1" applyAlignment="1">
      <alignment wrapText="1"/>
    </xf>
    <xf numFmtId="0" fontId="26" fillId="0" borderId="7" xfId="0" applyFont="1" applyFill="1" applyBorder="1"/>
    <xf numFmtId="0" fontId="2" fillId="6" borderId="7" xfId="615" applyFill="1" applyBorder="1"/>
    <xf numFmtId="0" fontId="0" fillId="31" borderId="7" xfId="0" applyFill="1" applyBorder="1"/>
    <xf numFmtId="0" fontId="51" fillId="6" borderId="7" xfId="0" applyFont="1" applyFill="1" applyBorder="1" applyAlignment="1">
      <alignment horizontal="center" vertical="center"/>
    </xf>
    <xf numFmtId="0" fontId="51" fillId="3" borderId="7" xfId="0" applyFont="1" applyFill="1" applyBorder="1" applyAlignment="1">
      <alignment horizontal="center" vertical="center"/>
    </xf>
    <xf numFmtId="0" fontId="51" fillId="0" borderId="0" xfId="0" applyFont="1" applyFill="1" applyAlignment="1">
      <alignment vertical="center"/>
    </xf>
    <xf numFmtId="0" fontId="51" fillId="0" borderId="7" xfId="0" applyFont="1" applyFill="1" applyBorder="1" applyAlignment="1">
      <alignment vertical="center"/>
    </xf>
    <xf numFmtId="0" fontId="51" fillId="0" borderId="7" xfId="0" applyFont="1" applyFill="1" applyBorder="1" applyAlignment="1">
      <alignment horizontal="left" vertical="center"/>
    </xf>
    <xf numFmtId="0" fontId="51" fillId="0" borderId="7" xfId="0" applyFont="1" applyFill="1" applyBorder="1" applyAlignment="1">
      <alignment horizontal="left" vertical="center" wrapText="1"/>
    </xf>
    <xf numFmtId="0" fontId="51" fillId="3" borderId="7" xfId="0" applyFont="1" applyFill="1" applyBorder="1" applyAlignment="1">
      <alignment horizontal="left" vertical="center" wrapText="1"/>
    </xf>
    <xf numFmtId="0" fontId="51" fillId="3" borderId="7" xfId="0" applyFont="1" applyFill="1" applyBorder="1" applyAlignment="1">
      <alignment vertical="center"/>
    </xf>
    <xf numFmtId="14" fontId="51" fillId="0" borderId="7" xfId="0" applyNumberFormat="1" applyFont="1" applyFill="1" applyBorder="1" applyAlignment="1">
      <alignment horizontal="left" vertical="center"/>
    </xf>
    <xf numFmtId="0" fontId="51" fillId="32" borderId="7" xfId="0" applyFont="1" applyFill="1" applyBorder="1" applyAlignment="1">
      <alignment wrapText="1"/>
    </xf>
    <xf numFmtId="0" fontId="51" fillId="6" borderId="7" xfId="0" applyFont="1" applyFill="1" applyBorder="1" applyAlignment="1">
      <alignment horizontal="center" vertical="center" wrapText="1"/>
    </xf>
    <xf numFmtId="0" fontId="51" fillId="0" borderId="7" xfId="0" applyFont="1" applyFill="1" applyBorder="1" applyAlignment="1">
      <alignment vertical="center" wrapText="1"/>
    </xf>
    <xf numFmtId="0" fontId="51" fillId="0" borderId="0" xfId="0" applyFont="1" applyFill="1" applyAlignment="1">
      <alignment vertical="center" wrapText="1"/>
    </xf>
    <xf numFmtId="0" fontId="51" fillId="13" borderId="7" xfId="0" applyFont="1" applyFill="1" applyBorder="1" applyAlignment="1">
      <alignment horizontal="left" vertical="center" wrapText="1"/>
    </xf>
  </cellXfs>
  <cellStyles count="83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赤字強調" xfId="431"/>
    <cellStyle name="青字強調" xfId="43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externalLink" Target="externalLinks/externalLink5.xml"/><Relationship Id="rId16" Type="http://schemas.openxmlformats.org/officeDocument/2006/relationships/externalLink" Target="externalLinks/externalLink6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41001</v>
          </cell>
        </row>
        <row r="247">
          <cell r="A247">
            <v>41002</v>
          </cell>
        </row>
        <row r="248">
          <cell r="A248">
            <v>41003</v>
          </cell>
        </row>
        <row r="249">
          <cell r="A249">
            <v>41004</v>
          </cell>
        </row>
        <row r="250">
          <cell r="A250">
            <v>41005</v>
          </cell>
        </row>
        <row r="251">
          <cell r="A251">
            <v>41006</v>
          </cell>
        </row>
        <row r="252">
          <cell r="A252">
            <v>41007</v>
          </cell>
        </row>
        <row r="253">
          <cell r="A253">
            <v>41008</v>
          </cell>
        </row>
        <row r="254">
          <cell r="A254">
            <v>41009</v>
          </cell>
        </row>
        <row r="255">
          <cell r="A255">
            <v>41010</v>
          </cell>
        </row>
        <row r="256">
          <cell r="A256">
            <v>41011</v>
          </cell>
        </row>
        <row r="257">
          <cell r="A257">
            <v>41012</v>
          </cell>
        </row>
        <row r="258">
          <cell r="A258">
            <v>41013</v>
          </cell>
        </row>
        <row r="259">
          <cell r="A259">
            <v>41014</v>
          </cell>
        </row>
        <row r="260">
          <cell r="A260">
            <v>41015</v>
          </cell>
        </row>
        <row r="261">
          <cell r="A261">
            <v>47001</v>
          </cell>
        </row>
        <row r="262">
          <cell r="A262">
            <v>47002</v>
          </cell>
        </row>
        <row r="263">
          <cell r="A263">
            <v>47003</v>
          </cell>
        </row>
        <row r="264">
          <cell r="A264">
            <v>47004</v>
          </cell>
        </row>
        <row r="265">
          <cell r="A265">
            <v>47005</v>
          </cell>
        </row>
        <row r="266">
          <cell r="A266">
            <v>47006</v>
          </cell>
        </row>
        <row r="267">
          <cell r="A267">
            <v>47007</v>
          </cell>
        </row>
        <row r="268">
          <cell r="A268">
            <v>47008</v>
          </cell>
        </row>
        <row r="269">
          <cell r="A269">
            <v>47009</v>
          </cell>
        </row>
        <row r="270">
          <cell r="A270">
            <v>47010</v>
          </cell>
        </row>
        <row r="271">
          <cell r="A271">
            <v>49001</v>
          </cell>
        </row>
        <row r="272">
          <cell r="A272">
            <v>49002</v>
          </cell>
        </row>
        <row r="273">
          <cell r="A273">
            <v>49003</v>
          </cell>
        </row>
        <row r="274">
          <cell r="A274">
            <v>49004</v>
          </cell>
        </row>
        <row r="275">
          <cell r="A275">
            <v>49005</v>
          </cell>
        </row>
        <row r="276">
          <cell r="A276">
            <v>49006</v>
          </cell>
        </row>
        <row r="277">
          <cell r="A277">
            <v>49007</v>
          </cell>
        </row>
        <row r="278">
          <cell r="A278">
            <v>49008</v>
          </cell>
        </row>
        <row r="279">
          <cell r="A279">
            <v>49009</v>
          </cell>
        </row>
        <row r="280">
          <cell r="A280">
            <v>49010</v>
          </cell>
        </row>
        <row r="281">
          <cell r="A281">
            <v>49011</v>
          </cell>
        </row>
        <row r="282">
          <cell r="A282">
            <v>49012</v>
          </cell>
        </row>
        <row r="283">
          <cell r="A283">
            <v>49013</v>
          </cell>
        </row>
        <row r="284">
          <cell r="A284">
            <v>49014</v>
          </cell>
        </row>
        <row r="285">
          <cell r="A285">
            <v>50001</v>
          </cell>
        </row>
        <row r="286">
          <cell r="A286">
            <v>50002</v>
          </cell>
        </row>
        <row r="287">
          <cell r="A287">
            <v>50003</v>
          </cell>
        </row>
        <row r="288">
          <cell r="A288">
            <v>50004</v>
          </cell>
        </row>
        <row r="289">
          <cell r="A289">
            <v>50005</v>
          </cell>
        </row>
        <row r="290">
          <cell r="A290">
            <v>50006</v>
          </cell>
        </row>
        <row r="291">
          <cell r="A291">
            <v>50007</v>
          </cell>
        </row>
        <row r="292">
          <cell r="A292">
            <v>50008</v>
          </cell>
        </row>
        <row r="293">
          <cell r="A293">
            <v>50009</v>
          </cell>
        </row>
        <row r="294">
          <cell r="A294">
            <v>50010</v>
          </cell>
        </row>
        <row r="295">
          <cell r="A295">
            <v>50011</v>
          </cell>
        </row>
        <row r="296">
          <cell r="A296">
            <v>50012</v>
          </cell>
        </row>
        <row r="297">
          <cell r="A297">
            <v>50013</v>
          </cell>
        </row>
        <row r="298">
          <cell r="A298">
            <v>50014</v>
          </cell>
        </row>
        <row r="299">
          <cell r="A299">
            <v>51001</v>
          </cell>
        </row>
        <row r="300">
          <cell r="A300">
            <v>51002</v>
          </cell>
        </row>
        <row r="301">
          <cell r="A301">
            <v>58001</v>
          </cell>
        </row>
        <row r="302">
          <cell r="A302">
            <v>59001</v>
          </cell>
        </row>
        <row r="303">
          <cell r="A303">
            <v>59002</v>
          </cell>
        </row>
        <row r="304">
          <cell r="A304">
            <v>60001</v>
          </cell>
        </row>
        <row r="305">
          <cell r="A305">
            <v>60002</v>
          </cell>
        </row>
        <row r="306">
          <cell r="A306">
            <v>60003</v>
          </cell>
        </row>
        <row r="307">
          <cell r="A307">
            <v>60004</v>
          </cell>
        </row>
        <row r="308">
          <cell r="A308">
            <v>60005</v>
          </cell>
        </row>
        <row r="309">
          <cell r="A309">
            <v>60006</v>
          </cell>
        </row>
        <row r="310">
          <cell r="A310">
            <v>60007</v>
          </cell>
        </row>
        <row r="311">
          <cell r="A311">
            <v>60010</v>
          </cell>
        </row>
        <row r="312">
          <cell r="A312">
            <v>60011</v>
          </cell>
        </row>
        <row r="313">
          <cell r="A313">
            <v>61011</v>
          </cell>
        </row>
        <row r="314">
          <cell r="A314">
            <v>60012</v>
          </cell>
        </row>
        <row r="315">
          <cell r="A315">
            <v>60013</v>
          </cell>
        </row>
        <row r="316">
          <cell r="A316">
            <v>60014</v>
          </cell>
        </row>
        <row r="317">
          <cell r="A317">
            <v>60015</v>
          </cell>
        </row>
        <row r="318">
          <cell r="A318">
            <v>60016</v>
          </cell>
        </row>
        <row r="319">
          <cell r="A319">
            <v>60017</v>
          </cell>
        </row>
        <row r="320">
          <cell r="A320">
            <v>60018</v>
          </cell>
        </row>
        <row r="321">
          <cell r="A321">
            <v>60019</v>
          </cell>
        </row>
        <row r="322">
          <cell r="A322">
            <v>60020</v>
          </cell>
        </row>
        <row r="323">
          <cell r="A323">
            <v>60025</v>
          </cell>
        </row>
        <row r="324">
          <cell r="A324">
            <v>60026</v>
          </cell>
        </row>
        <row r="325">
          <cell r="A325">
            <v>60027</v>
          </cell>
        </row>
        <row r="326">
          <cell r="A326">
            <v>65525</v>
          </cell>
        </row>
        <row r="327">
          <cell r="A327">
            <v>65526</v>
          </cell>
        </row>
        <row r="328">
          <cell r="A328">
            <v>65527</v>
          </cell>
        </row>
        <row r="329">
          <cell r="A329">
            <v>65528</v>
          </cell>
        </row>
        <row r="330">
          <cell r="A330">
            <v>65529</v>
          </cell>
        </row>
        <row r="331">
          <cell r="A331">
            <v>65530</v>
          </cell>
        </row>
        <row r="332">
          <cell r="A332">
            <v>65531</v>
          </cell>
        </row>
        <row r="333">
          <cell r="A333">
            <v>65532</v>
          </cell>
        </row>
        <row r="334">
          <cell r="A334">
            <v>65533</v>
          </cell>
        </row>
        <row r="335">
          <cell r="A335">
            <v>65534</v>
          </cell>
        </row>
        <row r="336">
          <cell r="A336">
            <v>65535</v>
          </cell>
        </row>
        <row r="337">
          <cell r="A337">
            <v>60021</v>
          </cell>
        </row>
        <row r="338">
          <cell r="A338">
            <v>60022</v>
          </cell>
        </row>
        <row r="339">
          <cell r="A339">
            <v>60023</v>
          </cell>
        </row>
        <row r="340">
          <cell r="A340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12001_1</v>
          </cell>
        </row>
        <row r="300">
          <cell r="A300" t="str">
            <v>12001_2</v>
          </cell>
        </row>
        <row r="301">
          <cell r="A301" t="str">
            <v>12001_3</v>
          </cell>
        </row>
        <row r="302">
          <cell r="A302" t="str">
            <v>12002_1</v>
          </cell>
        </row>
        <row r="303">
          <cell r="A303" t="str">
            <v>12002_2</v>
          </cell>
        </row>
        <row r="304">
          <cell r="A304" t="str">
            <v>12003_1</v>
          </cell>
        </row>
        <row r="305">
          <cell r="A305" t="str">
            <v>12003_2</v>
          </cell>
        </row>
        <row r="306">
          <cell r="A306" t="str">
            <v>12003_3</v>
          </cell>
        </row>
        <row r="307">
          <cell r="A307" t="str">
            <v>12003_4</v>
          </cell>
        </row>
        <row r="308">
          <cell r="A308" t="str">
            <v>12004_1</v>
          </cell>
        </row>
        <row r="309">
          <cell r="A309" t="str">
            <v>13001_1</v>
          </cell>
        </row>
        <row r="310">
          <cell r="A310" t="str">
            <v>13001_2</v>
          </cell>
        </row>
        <row r="311">
          <cell r="A311" t="str">
            <v>13001_3</v>
          </cell>
        </row>
        <row r="312">
          <cell r="A312" t="str">
            <v>13001_4</v>
          </cell>
        </row>
        <row r="313">
          <cell r="A313" t="str">
            <v>13001_5</v>
          </cell>
        </row>
        <row r="314">
          <cell r="A314" t="str">
            <v>13001_6</v>
          </cell>
        </row>
        <row r="315">
          <cell r="A315" t="str">
            <v>13001_7</v>
          </cell>
        </row>
        <row r="316">
          <cell r="A316" t="str">
            <v>13001_8</v>
          </cell>
        </row>
        <row r="317">
          <cell r="A317" t="str">
            <v>13001_9</v>
          </cell>
        </row>
        <row r="318">
          <cell r="A318" t="str">
            <v>13001_10</v>
          </cell>
        </row>
        <row r="319">
          <cell r="A319" t="str">
            <v>13001_11</v>
          </cell>
        </row>
        <row r="320">
          <cell r="A320" t="str">
            <v>13001_12</v>
          </cell>
        </row>
        <row r="321">
          <cell r="A321" t="str">
            <v>13001_13</v>
          </cell>
        </row>
        <row r="322">
          <cell r="A322" t="str">
            <v>13001_14</v>
          </cell>
        </row>
        <row r="323">
          <cell r="A323" t="str">
            <v>13001_15</v>
          </cell>
        </row>
        <row r="324">
          <cell r="A324" t="str">
            <v>13001_16</v>
          </cell>
        </row>
        <row r="325">
          <cell r="A325" t="str">
            <v>13001_17</v>
          </cell>
        </row>
        <row r="326">
          <cell r="A326" t="str">
            <v>13001_18</v>
          </cell>
        </row>
        <row r="327">
          <cell r="A327" t="str">
            <v>13001_19</v>
          </cell>
        </row>
        <row r="328">
          <cell r="A328" t="str">
            <v>13001_20</v>
          </cell>
        </row>
        <row r="329">
          <cell r="A329" t="str">
            <v>13001_21</v>
          </cell>
        </row>
        <row r="330">
          <cell r="A330" t="str">
            <v>13001_22</v>
          </cell>
        </row>
        <row r="331">
          <cell r="A331" t="str">
            <v>13001_23</v>
          </cell>
        </row>
        <row r="332">
          <cell r="A332" t="str">
            <v>13001_24</v>
          </cell>
        </row>
        <row r="333">
          <cell r="A333" t="str">
            <v>13001_25</v>
          </cell>
        </row>
        <row r="334">
          <cell r="A334" t="str">
            <v>13101_1</v>
          </cell>
        </row>
        <row r="335">
          <cell r="A335" t="str">
            <v>13101_2</v>
          </cell>
        </row>
        <row r="336">
          <cell r="A336" t="str">
            <v>13101_3</v>
          </cell>
        </row>
        <row r="337">
          <cell r="A337" t="str">
            <v>13101_4</v>
          </cell>
        </row>
        <row r="338">
          <cell r="A338" t="str">
            <v>13101_5</v>
          </cell>
        </row>
        <row r="339">
          <cell r="A339" t="str">
            <v>13101_6</v>
          </cell>
        </row>
        <row r="340">
          <cell r="A340" t="str">
            <v>13101_7</v>
          </cell>
        </row>
        <row r="341">
          <cell r="A341" t="str">
            <v>13101_8</v>
          </cell>
        </row>
        <row r="342">
          <cell r="A342" t="str">
            <v>13101_9</v>
          </cell>
        </row>
        <row r="343">
          <cell r="A343" t="str">
            <v>13101_10</v>
          </cell>
        </row>
        <row r="344">
          <cell r="A344" t="str">
            <v>13101_11</v>
          </cell>
        </row>
        <row r="345">
          <cell r="A345" t="str">
            <v>13101_12</v>
          </cell>
        </row>
        <row r="346">
          <cell r="A346" t="str">
            <v>13101_13</v>
          </cell>
        </row>
        <row r="347">
          <cell r="A347" t="str">
            <v>13101_14</v>
          </cell>
        </row>
        <row r="348">
          <cell r="A348" t="str">
            <v>13101_15</v>
          </cell>
        </row>
        <row r="349">
          <cell r="A349" t="str">
            <v>13101_16</v>
          </cell>
        </row>
        <row r="350">
          <cell r="A350" t="str">
            <v>13101_17</v>
          </cell>
        </row>
        <row r="351">
          <cell r="A351" t="str">
            <v>13101_18</v>
          </cell>
        </row>
        <row r="352">
          <cell r="A352" t="str">
            <v>13101_19</v>
          </cell>
        </row>
        <row r="353">
          <cell r="A353" t="str">
            <v>13101_20</v>
          </cell>
        </row>
        <row r="354">
          <cell r="A354" t="str">
            <v>13101_21</v>
          </cell>
        </row>
        <row r="355">
          <cell r="A355" t="str">
            <v>13101_22</v>
          </cell>
        </row>
        <row r="356">
          <cell r="A356" t="str">
            <v>13101_23</v>
          </cell>
        </row>
        <row r="357">
          <cell r="A357" t="str">
            <v>13101_24</v>
          </cell>
        </row>
        <row r="358">
          <cell r="A358" t="str">
            <v>13101_25</v>
          </cell>
        </row>
        <row r="359">
          <cell r="A359" t="str">
            <v>13300_1</v>
          </cell>
        </row>
        <row r="360">
          <cell r="A360" t="str">
            <v>13300_2</v>
          </cell>
        </row>
        <row r="361">
          <cell r="A361" t="str">
            <v>13300_3</v>
          </cell>
        </row>
        <row r="362">
          <cell r="A362" t="str">
            <v>13300_4</v>
          </cell>
        </row>
        <row r="363">
          <cell r="A363" t="str">
            <v>13300_5</v>
          </cell>
        </row>
        <row r="364">
          <cell r="A364" t="str">
            <v>13300_6</v>
          </cell>
        </row>
        <row r="365">
          <cell r="A365" t="str">
            <v>13300_7</v>
          </cell>
        </row>
        <row r="366">
          <cell r="A366" t="str">
            <v>13300_8</v>
          </cell>
        </row>
        <row r="367">
          <cell r="A367" t="str">
            <v>13300_9</v>
          </cell>
        </row>
        <row r="368">
          <cell r="A368" t="str">
            <v>13300_10</v>
          </cell>
        </row>
        <row r="369">
          <cell r="A369" t="str">
            <v>13300_11</v>
          </cell>
        </row>
        <row r="370">
          <cell r="A370" t="str">
            <v>13300_12</v>
          </cell>
        </row>
        <row r="371">
          <cell r="A371" t="str">
            <v>13300_13</v>
          </cell>
        </row>
        <row r="372">
          <cell r="A372" t="str">
            <v>13300_14</v>
          </cell>
        </row>
        <row r="373">
          <cell r="A373" t="str">
            <v>13300_15</v>
          </cell>
        </row>
        <row r="374">
          <cell r="A374" t="str">
            <v>13301_1</v>
          </cell>
        </row>
        <row r="375">
          <cell r="A375" t="str">
            <v>13301_2</v>
          </cell>
        </row>
        <row r="376">
          <cell r="A376" t="str">
            <v>13301_3</v>
          </cell>
        </row>
        <row r="377">
          <cell r="A377" t="str">
            <v>13301_4</v>
          </cell>
        </row>
        <row r="378">
          <cell r="A378" t="str">
            <v>13301_5</v>
          </cell>
        </row>
        <row r="379">
          <cell r="A379" t="str">
            <v>13301_6</v>
          </cell>
        </row>
        <row r="380">
          <cell r="A380" t="str">
            <v>13301_7</v>
          </cell>
        </row>
        <row r="381">
          <cell r="A381" t="str">
            <v>13301_8</v>
          </cell>
        </row>
        <row r="382">
          <cell r="A382" t="str">
            <v>13301_9</v>
          </cell>
        </row>
        <row r="383">
          <cell r="A383" t="str">
            <v>13301_10</v>
          </cell>
        </row>
        <row r="384">
          <cell r="A384" t="str">
            <v>13301_11</v>
          </cell>
        </row>
        <row r="385">
          <cell r="A385" t="str">
            <v>13301_12</v>
          </cell>
        </row>
        <row r="386">
          <cell r="A386" t="str">
            <v>13301_13</v>
          </cell>
        </row>
        <row r="387">
          <cell r="A387" t="str">
            <v>13301_14</v>
          </cell>
        </row>
        <row r="388">
          <cell r="A388" t="str">
            <v>13301_15</v>
          </cell>
        </row>
        <row r="389">
          <cell r="A389" t="str">
            <v>13302_1</v>
          </cell>
        </row>
        <row r="390">
          <cell r="A390" t="str">
            <v>13302_2</v>
          </cell>
        </row>
        <row r="391">
          <cell r="A391" t="str">
            <v>13302_3</v>
          </cell>
        </row>
        <row r="392">
          <cell r="A392" t="str">
            <v>13302_4</v>
          </cell>
        </row>
        <row r="393">
          <cell r="A393" t="str">
            <v>13302_5</v>
          </cell>
        </row>
        <row r="394">
          <cell r="A394" t="str">
            <v>13302_6</v>
          </cell>
        </row>
        <row r="395">
          <cell r="A395" t="str">
            <v>13302_7</v>
          </cell>
        </row>
        <row r="396">
          <cell r="A396" t="str">
            <v>13302_8</v>
          </cell>
        </row>
        <row r="397">
          <cell r="A397" t="str">
            <v>13302_9</v>
          </cell>
        </row>
        <row r="398">
          <cell r="A398" t="str">
            <v>13302_10</v>
          </cell>
        </row>
        <row r="399">
          <cell r="A399" t="str">
            <v>13302_11</v>
          </cell>
        </row>
        <row r="400">
          <cell r="A400" t="str">
            <v>13302_12</v>
          </cell>
        </row>
        <row r="401">
          <cell r="A401" t="str">
            <v>13302_13</v>
          </cell>
        </row>
        <row r="402">
          <cell r="A402" t="str">
            <v>13302_14</v>
          </cell>
        </row>
        <row r="403">
          <cell r="A403" t="str">
            <v>13302_15</v>
          </cell>
        </row>
        <row r="404">
          <cell r="A404" t="str">
            <v>13400_1</v>
          </cell>
        </row>
        <row r="405">
          <cell r="A405" t="str">
            <v>13400_2</v>
          </cell>
        </row>
        <row r="406">
          <cell r="A406" t="str">
            <v>13400_3</v>
          </cell>
        </row>
        <row r="407">
          <cell r="A407" t="str">
            <v>13400_4</v>
          </cell>
        </row>
        <row r="408">
          <cell r="A408" t="str">
            <v>13400_5</v>
          </cell>
        </row>
        <row r="409">
          <cell r="A409" t="str">
            <v>13400_6</v>
          </cell>
        </row>
        <row r="410">
          <cell r="A410" t="str">
            <v>13400_7</v>
          </cell>
        </row>
        <row r="411">
          <cell r="A411" t="str">
            <v>13400_8</v>
          </cell>
        </row>
        <row r="412">
          <cell r="A412" t="str">
            <v>13400_9</v>
          </cell>
        </row>
        <row r="413">
          <cell r="A413" t="str">
            <v>13400_10</v>
          </cell>
        </row>
        <row r="414">
          <cell r="A414" t="str">
            <v>13400_11</v>
          </cell>
        </row>
        <row r="415">
          <cell r="A415" t="str">
            <v>13400_12</v>
          </cell>
        </row>
        <row r="416">
          <cell r="A416" t="str">
            <v>13400_13</v>
          </cell>
        </row>
        <row r="417">
          <cell r="A417" t="str">
            <v>13400_14</v>
          </cell>
        </row>
        <row r="418">
          <cell r="A418" t="str">
            <v>13400_15</v>
          </cell>
        </row>
        <row r="419">
          <cell r="A419" t="str">
            <v>14001_1</v>
          </cell>
        </row>
        <row r="420">
          <cell r="A420" t="str">
            <v>14001_2</v>
          </cell>
        </row>
        <row r="421">
          <cell r="A421" t="str">
            <v>14001_3</v>
          </cell>
        </row>
        <row r="422">
          <cell r="A422" t="str">
            <v>14001_4</v>
          </cell>
        </row>
        <row r="423">
          <cell r="A423" t="str">
            <v>14001_5</v>
          </cell>
        </row>
        <row r="424">
          <cell r="A424" t="str">
            <v>14001_6</v>
          </cell>
        </row>
        <row r="425">
          <cell r="A425" t="str">
            <v>14001_7</v>
          </cell>
        </row>
        <row r="426">
          <cell r="A426" t="str">
            <v>14001_8</v>
          </cell>
        </row>
        <row r="427">
          <cell r="A427" t="str">
            <v>14002_1</v>
          </cell>
        </row>
        <row r="428">
          <cell r="A428" t="str">
            <v>14002_2</v>
          </cell>
        </row>
        <row r="429">
          <cell r="A429" t="str">
            <v>14003_1</v>
          </cell>
        </row>
        <row r="430">
          <cell r="A430" t="str">
            <v>14003_2</v>
          </cell>
        </row>
        <row r="431">
          <cell r="A431" t="str">
            <v>14003_3</v>
          </cell>
        </row>
        <row r="432">
          <cell r="A432" t="str">
            <v>14003_4</v>
          </cell>
        </row>
        <row r="433">
          <cell r="A433" t="str">
            <v>14004_1</v>
          </cell>
        </row>
        <row r="434">
          <cell r="A434" t="str">
            <v>14004_2</v>
          </cell>
        </row>
        <row r="435">
          <cell r="A435" t="str">
            <v>14004_3</v>
          </cell>
        </row>
        <row r="436">
          <cell r="A436" t="str">
            <v>14004_4</v>
          </cell>
        </row>
        <row r="437">
          <cell r="A437" t="str">
            <v>14005_1</v>
          </cell>
        </row>
        <row r="438">
          <cell r="A438" t="str">
            <v>14006_1</v>
          </cell>
        </row>
        <row r="439">
          <cell r="A439" t="str">
            <v>15027_1</v>
          </cell>
        </row>
        <row r="440">
          <cell r="A440" t="str">
            <v>15027_2</v>
          </cell>
        </row>
        <row r="441">
          <cell r="A441" t="str">
            <v>15027_3</v>
          </cell>
        </row>
        <row r="442">
          <cell r="A442" t="str">
            <v>15027_4</v>
          </cell>
        </row>
        <row r="443">
          <cell r="A443" t="str">
            <v>15028_1</v>
          </cell>
        </row>
        <row r="444">
          <cell r="A444" t="str">
            <v>15028_2</v>
          </cell>
        </row>
        <row r="445">
          <cell r="A445" t="str">
            <v>15028_3</v>
          </cell>
        </row>
        <row r="446">
          <cell r="A446" t="str">
            <v>15028_4</v>
          </cell>
        </row>
        <row r="447">
          <cell r="A447" t="str">
            <v>15029_1</v>
          </cell>
        </row>
        <row r="448">
          <cell r="A448" t="str">
            <v>15029_2</v>
          </cell>
        </row>
        <row r="449">
          <cell r="A449" t="str">
            <v>15029_3</v>
          </cell>
        </row>
        <row r="450">
          <cell r="A450" t="str">
            <v>15029_4</v>
          </cell>
        </row>
        <row r="451">
          <cell r="A451" t="str">
            <v>15030_1</v>
          </cell>
        </row>
        <row r="452">
          <cell r="A452" t="str">
            <v>15030_2</v>
          </cell>
        </row>
        <row r="453">
          <cell r="A453" t="str">
            <v>15030_3</v>
          </cell>
        </row>
        <row r="454">
          <cell r="A454" t="str">
            <v>15030_4</v>
          </cell>
        </row>
        <row r="455">
          <cell r="A455" t="str">
            <v>15031_1</v>
          </cell>
        </row>
        <row r="456">
          <cell r="A456" t="str">
            <v>15031_2</v>
          </cell>
        </row>
        <row r="457">
          <cell r="A457" t="str">
            <v>15031_3</v>
          </cell>
        </row>
        <row r="458">
          <cell r="A458" t="str">
            <v>15031_4</v>
          </cell>
        </row>
        <row r="459">
          <cell r="A459" t="str">
            <v>20001_1</v>
          </cell>
        </row>
        <row r="460">
          <cell r="A460" t="str">
            <v>20001_2</v>
          </cell>
        </row>
        <row r="461">
          <cell r="A461" t="str">
            <v>20001_3</v>
          </cell>
        </row>
        <row r="462">
          <cell r="A462" t="str">
            <v>20002_1</v>
          </cell>
        </row>
        <row r="463">
          <cell r="A463" t="str">
            <v>20002_2</v>
          </cell>
        </row>
        <row r="464">
          <cell r="A464" t="str">
            <v>20002_3</v>
          </cell>
        </row>
        <row r="465">
          <cell r="A465" t="str">
            <v>20003_1</v>
          </cell>
        </row>
        <row r="466">
          <cell r="A466" t="str">
            <v>20003_2</v>
          </cell>
        </row>
        <row r="467">
          <cell r="A467" t="str">
            <v>20003_3</v>
          </cell>
        </row>
        <row r="468">
          <cell r="A468" t="str">
            <v>20004_1</v>
          </cell>
        </row>
        <row r="469">
          <cell r="A469" t="str">
            <v>20004_2</v>
          </cell>
        </row>
        <row r="470">
          <cell r="A470" t="str">
            <v>20004_3</v>
          </cell>
        </row>
        <row r="471">
          <cell r="A471" t="str">
            <v>20005_1</v>
          </cell>
        </row>
        <row r="472">
          <cell r="A472" t="str">
            <v>20005_2</v>
          </cell>
        </row>
        <row r="473">
          <cell r="A473" t="str">
            <v>20005_3</v>
          </cell>
        </row>
        <row r="474">
          <cell r="A474" t="str">
            <v>20006_1</v>
          </cell>
        </row>
        <row r="475">
          <cell r="A475" t="str">
            <v>20006_2</v>
          </cell>
        </row>
        <row r="476">
          <cell r="A476" t="str">
            <v>20006_3</v>
          </cell>
        </row>
        <row r="477">
          <cell r="A477" t="str">
            <v>20007_1</v>
          </cell>
        </row>
        <row r="478">
          <cell r="A478" t="str">
            <v>20007_2</v>
          </cell>
        </row>
        <row r="479">
          <cell r="A479" t="str">
            <v>20007_3</v>
          </cell>
        </row>
        <row r="480">
          <cell r="A480" t="str">
            <v>20008_1</v>
          </cell>
        </row>
        <row r="481">
          <cell r="A481" t="str">
            <v>20008_2</v>
          </cell>
        </row>
        <row r="482">
          <cell r="A482" t="str">
            <v>20008_3</v>
          </cell>
        </row>
        <row r="483">
          <cell r="A483" t="str">
            <v>20009_1</v>
          </cell>
        </row>
        <row r="484">
          <cell r="A484" t="str">
            <v>20009_2</v>
          </cell>
        </row>
        <row r="485">
          <cell r="A485" t="str">
            <v>20009_3</v>
          </cell>
        </row>
        <row r="486">
          <cell r="A486" t="str">
            <v>20010_1</v>
          </cell>
        </row>
        <row r="487">
          <cell r="A487" t="str">
            <v>20010_2</v>
          </cell>
        </row>
        <row r="488">
          <cell r="A488" t="str">
            <v>20010_3</v>
          </cell>
        </row>
        <row r="489">
          <cell r="A489" t="str">
            <v>20011_1</v>
          </cell>
        </row>
        <row r="490">
          <cell r="A490" t="str">
            <v>20011_2</v>
          </cell>
        </row>
        <row r="491">
          <cell r="A491" t="str">
            <v>20011_3</v>
          </cell>
        </row>
        <row r="492">
          <cell r="A492" t="str">
            <v>20012_1</v>
          </cell>
        </row>
        <row r="493">
          <cell r="A493" t="str">
            <v>20012_2</v>
          </cell>
        </row>
        <row r="494">
          <cell r="A494" t="str">
            <v>20012_3</v>
          </cell>
        </row>
        <row r="495">
          <cell r="A495" t="str">
            <v>20013_1</v>
          </cell>
        </row>
        <row r="496">
          <cell r="A496" t="str">
            <v>20013_2</v>
          </cell>
        </row>
        <row r="497">
          <cell r="A497" t="str">
            <v>20013_3</v>
          </cell>
        </row>
        <row r="498">
          <cell r="A498" t="str">
            <v>20014_1</v>
          </cell>
        </row>
        <row r="499">
          <cell r="A499" t="str">
            <v>20014_2</v>
          </cell>
        </row>
        <row r="500">
          <cell r="A500" t="str">
            <v>20014_3</v>
          </cell>
        </row>
        <row r="501">
          <cell r="A501" t="str">
            <v>20015_1</v>
          </cell>
        </row>
        <row r="502">
          <cell r="A502" t="str">
            <v>20015_2</v>
          </cell>
        </row>
        <row r="503">
          <cell r="A503" t="str">
            <v>20015_3</v>
          </cell>
        </row>
        <row r="504">
          <cell r="A504" t="str">
            <v>20016_1</v>
          </cell>
        </row>
        <row r="505">
          <cell r="A505" t="str">
            <v>20016_2</v>
          </cell>
        </row>
        <row r="506">
          <cell r="A506" t="str">
            <v>20016_3</v>
          </cell>
        </row>
        <row r="507">
          <cell r="A507" t="str">
            <v>20017_1</v>
          </cell>
        </row>
        <row r="508">
          <cell r="A508" t="str">
            <v>20017_2</v>
          </cell>
        </row>
        <row r="509">
          <cell r="A509" t="str">
            <v>20017_3</v>
          </cell>
        </row>
        <row r="510">
          <cell r="A510" t="str">
            <v>20018_1</v>
          </cell>
        </row>
        <row r="511">
          <cell r="A511" t="str">
            <v>20018_2</v>
          </cell>
        </row>
        <row r="512">
          <cell r="A512" t="str">
            <v>20018_3</v>
          </cell>
        </row>
        <row r="513">
          <cell r="A513" t="str">
            <v>20019_1</v>
          </cell>
        </row>
        <row r="514">
          <cell r="A514" t="str">
            <v>20019_2</v>
          </cell>
        </row>
        <row r="515">
          <cell r="A515" t="str">
            <v>20019_3</v>
          </cell>
        </row>
        <row r="516">
          <cell r="A516" t="str">
            <v>20020_1</v>
          </cell>
        </row>
        <row r="517">
          <cell r="A517" t="str">
            <v>20020_2</v>
          </cell>
        </row>
        <row r="518">
          <cell r="A518" t="str">
            <v>20020_3</v>
          </cell>
        </row>
        <row r="519">
          <cell r="A519" t="str">
            <v>20021_1</v>
          </cell>
        </row>
        <row r="520">
          <cell r="A520" t="str">
            <v>20021_2</v>
          </cell>
        </row>
        <row r="521">
          <cell r="A521" t="str">
            <v>20021_3</v>
          </cell>
        </row>
        <row r="522">
          <cell r="A522" t="str">
            <v>20022_1</v>
          </cell>
        </row>
        <row r="523">
          <cell r="A523" t="str">
            <v>30001_1</v>
          </cell>
        </row>
        <row r="524">
          <cell r="A524" t="str">
            <v>30001_2</v>
          </cell>
        </row>
        <row r="525">
          <cell r="A525" t="str">
            <v>30001_3</v>
          </cell>
        </row>
        <row r="526">
          <cell r="A526" t="str">
            <v>30002_1</v>
          </cell>
        </row>
        <row r="527">
          <cell r="A527" t="str">
            <v>30002_2</v>
          </cell>
        </row>
        <row r="528">
          <cell r="A528" t="str">
            <v>30002_3</v>
          </cell>
        </row>
        <row r="529">
          <cell r="A529" t="str">
            <v>30003_1</v>
          </cell>
        </row>
        <row r="530">
          <cell r="A530" t="str">
            <v>30003_2</v>
          </cell>
        </row>
        <row r="531">
          <cell r="A531" t="str">
            <v>30003_3</v>
          </cell>
        </row>
        <row r="532">
          <cell r="A532" t="str">
            <v>30004_1</v>
          </cell>
        </row>
        <row r="533">
          <cell r="A533" t="str">
            <v>30004_2</v>
          </cell>
        </row>
        <row r="534">
          <cell r="A534" t="str">
            <v>30004_3</v>
          </cell>
        </row>
        <row r="535">
          <cell r="A535" t="str">
            <v>30005_1</v>
          </cell>
        </row>
        <row r="536">
          <cell r="A536" t="str">
            <v>30005_2</v>
          </cell>
        </row>
        <row r="537">
          <cell r="A537" t="str">
            <v>30005_3</v>
          </cell>
        </row>
        <row r="538">
          <cell r="A538" t="str">
            <v>30006_1</v>
          </cell>
        </row>
        <row r="539">
          <cell r="A539" t="str">
            <v>30006_2</v>
          </cell>
        </row>
        <row r="540">
          <cell r="A540" t="str">
            <v>30006_3</v>
          </cell>
        </row>
        <row r="541">
          <cell r="A541" t="str">
            <v>30007_1</v>
          </cell>
        </row>
        <row r="542">
          <cell r="A542" t="str">
            <v>30007_2</v>
          </cell>
        </row>
        <row r="543">
          <cell r="A543" t="str">
            <v>30007_3</v>
          </cell>
        </row>
        <row r="544">
          <cell r="A544" t="str">
            <v>30008_1</v>
          </cell>
        </row>
        <row r="545">
          <cell r="A545" t="str">
            <v>30008_2</v>
          </cell>
        </row>
        <row r="546">
          <cell r="A546" t="str">
            <v>30008_3</v>
          </cell>
        </row>
        <row r="547">
          <cell r="A547" t="str">
            <v>30009_3</v>
          </cell>
        </row>
        <row r="548">
          <cell r="A548" t="str">
            <v>30009_1</v>
          </cell>
        </row>
        <row r="549">
          <cell r="A549" t="str">
            <v>30009_2</v>
          </cell>
        </row>
        <row r="550">
          <cell r="A550" t="str">
            <v>30010_1</v>
          </cell>
        </row>
        <row r="551">
          <cell r="A551" t="str">
            <v>30010_2</v>
          </cell>
        </row>
        <row r="552">
          <cell r="A552" t="str">
            <v>30010_3</v>
          </cell>
        </row>
        <row r="553">
          <cell r="A553" t="str">
            <v>30011_1</v>
          </cell>
        </row>
        <row r="554">
          <cell r="A554" t="str">
            <v>30011_2</v>
          </cell>
        </row>
        <row r="555">
          <cell r="A555" t="str">
            <v>30011_3</v>
          </cell>
        </row>
        <row r="556">
          <cell r="A556" t="str">
            <v>30012_1</v>
          </cell>
        </row>
        <row r="557">
          <cell r="A557" t="str">
            <v>30012_2</v>
          </cell>
        </row>
        <row r="558">
          <cell r="A558" t="str">
            <v>30012_3</v>
          </cell>
        </row>
        <row r="559">
          <cell r="A559" t="str">
            <v>30013_1</v>
          </cell>
        </row>
        <row r="560">
          <cell r="A560" t="str">
            <v>30013_2</v>
          </cell>
        </row>
        <row r="561">
          <cell r="A561" t="str">
            <v>30014_1</v>
          </cell>
        </row>
        <row r="562">
          <cell r="A562" t="str">
            <v>30014_2</v>
          </cell>
        </row>
        <row r="563">
          <cell r="A563" t="str">
            <v>30015_1</v>
          </cell>
        </row>
        <row r="564">
          <cell r="A564" t="str">
            <v>30015_2</v>
          </cell>
        </row>
        <row r="565">
          <cell r="A565" t="str">
            <v>30016_1</v>
          </cell>
        </row>
        <row r="566">
          <cell r="A566" t="str">
            <v>30016_2</v>
          </cell>
        </row>
        <row r="567">
          <cell r="A567" t="str">
            <v>30017_1</v>
          </cell>
        </row>
        <row r="568">
          <cell r="A568" t="str">
            <v>30017_2</v>
          </cell>
        </row>
        <row r="569">
          <cell r="A569" t="str">
            <v>30018_1</v>
          </cell>
        </row>
        <row r="570">
          <cell r="A570" t="str">
            <v>30018_2</v>
          </cell>
        </row>
        <row r="571">
          <cell r="A571" t="str">
            <v>30019_1</v>
          </cell>
        </row>
        <row r="572">
          <cell r="A572" t="str">
            <v>30019_2</v>
          </cell>
        </row>
        <row r="573">
          <cell r="A573" t="str">
            <v>30020_1</v>
          </cell>
        </row>
        <row r="574">
          <cell r="A574" t="str">
            <v>30020_2</v>
          </cell>
        </row>
        <row r="575">
          <cell r="A575" t="str">
            <v>30021_1</v>
          </cell>
        </row>
        <row r="576">
          <cell r="A576" t="str">
            <v>30021_2</v>
          </cell>
        </row>
        <row r="577">
          <cell r="A577" t="str">
            <v>30021_3</v>
          </cell>
        </row>
        <row r="578">
          <cell r="A578" t="str">
            <v>30022_1</v>
          </cell>
        </row>
        <row r="579">
          <cell r="A579" t="str">
            <v>30022_2</v>
          </cell>
        </row>
        <row r="580">
          <cell r="A580" t="str">
            <v>30023_1</v>
          </cell>
        </row>
        <row r="581">
          <cell r="A581" t="str">
            <v>30023_2</v>
          </cell>
        </row>
        <row r="582">
          <cell r="A582" t="str">
            <v>30023_3</v>
          </cell>
        </row>
        <row r="583">
          <cell r="A583" t="str">
            <v>30024_1</v>
          </cell>
        </row>
        <row r="584">
          <cell r="A584" t="str">
            <v>30024_2</v>
          </cell>
        </row>
        <row r="585">
          <cell r="A585" t="str">
            <v>30024_3</v>
          </cell>
        </row>
        <row r="586">
          <cell r="A586" t="str">
            <v>30025_1</v>
          </cell>
        </row>
        <row r="587">
          <cell r="A587" t="str">
            <v>30025_2</v>
          </cell>
        </row>
        <row r="588">
          <cell r="A588" t="str">
            <v>30025_3</v>
          </cell>
        </row>
        <row r="589">
          <cell r="A589" t="str">
            <v>30026_1</v>
          </cell>
        </row>
        <row r="590">
          <cell r="A590" t="str">
            <v>30026_2</v>
          </cell>
        </row>
        <row r="591">
          <cell r="A591" t="str">
            <v>30026_3</v>
          </cell>
        </row>
        <row r="592">
          <cell r="A592" t="str">
            <v>30027_1</v>
          </cell>
        </row>
        <row r="593">
          <cell r="A593" t="str">
            <v>30027_2</v>
          </cell>
        </row>
        <row r="594">
          <cell r="A594" t="str">
            <v>30027_3</v>
          </cell>
        </row>
        <row r="595">
          <cell r="A595" t="str">
            <v>30028_1</v>
          </cell>
        </row>
        <row r="596">
          <cell r="A596" t="str">
            <v>30028_2</v>
          </cell>
        </row>
        <row r="597">
          <cell r="A597" t="str">
            <v>30028_3</v>
          </cell>
        </row>
        <row r="598">
          <cell r="A598" t="str">
            <v>30029_1</v>
          </cell>
        </row>
        <row r="599">
          <cell r="A599" t="str">
            <v>30029_2</v>
          </cell>
        </row>
        <row r="600">
          <cell r="A600" t="str">
            <v>30029_3</v>
          </cell>
        </row>
        <row r="601">
          <cell r="A601" t="str">
            <v>30030_1</v>
          </cell>
        </row>
        <row r="602">
          <cell r="A602" t="str">
            <v>30030_2</v>
          </cell>
        </row>
        <row r="603">
          <cell r="A603" t="str">
            <v>30030_3</v>
          </cell>
        </row>
        <row r="604">
          <cell r="A604" t="str">
            <v>30031_1</v>
          </cell>
        </row>
        <row r="605">
          <cell r="A605" t="str">
            <v>30031_2</v>
          </cell>
        </row>
        <row r="606">
          <cell r="A606" t="str">
            <v>30031_3</v>
          </cell>
        </row>
        <row r="607">
          <cell r="A607" t="str">
            <v>30032_1</v>
          </cell>
        </row>
        <row r="608">
          <cell r="A608" t="str">
            <v>30032_2</v>
          </cell>
        </row>
        <row r="609">
          <cell r="A609" t="str">
            <v>30032_3</v>
          </cell>
        </row>
        <row r="610">
          <cell r="A610" t="str">
            <v>30033_1</v>
          </cell>
        </row>
        <row r="611">
          <cell r="A611" t="str">
            <v>30033_2</v>
          </cell>
        </row>
        <row r="612">
          <cell r="A612" t="str">
            <v>30033_3</v>
          </cell>
        </row>
        <row r="613">
          <cell r="A613" t="str">
            <v>30034_1</v>
          </cell>
        </row>
        <row r="614">
          <cell r="A614" t="str">
            <v>30034_2</v>
          </cell>
        </row>
        <row r="615">
          <cell r="A615" t="str">
            <v>30034_3</v>
          </cell>
        </row>
        <row r="616">
          <cell r="A616" t="str">
            <v>30035_1</v>
          </cell>
        </row>
        <row r="617">
          <cell r="A617" t="str">
            <v>30035_2</v>
          </cell>
        </row>
        <row r="618">
          <cell r="A618" t="str">
            <v>30035_3</v>
          </cell>
        </row>
        <row r="619">
          <cell r="A619" t="str">
            <v>30036_1</v>
          </cell>
        </row>
        <row r="620">
          <cell r="A620" t="str">
            <v>30036_2</v>
          </cell>
        </row>
        <row r="621">
          <cell r="A621" t="str">
            <v>30036_3</v>
          </cell>
        </row>
        <row r="622">
          <cell r="A622" t="str">
            <v>30037_1</v>
          </cell>
        </row>
        <row r="623">
          <cell r="A623" t="str">
            <v>30037_2</v>
          </cell>
        </row>
        <row r="624">
          <cell r="A624" t="str">
            <v>30037_3</v>
          </cell>
        </row>
        <row r="625">
          <cell r="A625" t="str">
            <v>30038_1</v>
          </cell>
        </row>
        <row r="626">
          <cell r="A626" t="str">
            <v>30038_2</v>
          </cell>
        </row>
        <row r="627">
          <cell r="A627" t="str">
            <v>30038_3</v>
          </cell>
        </row>
        <row r="628">
          <cell r="A628" t="str">
            <v>30039_1</v>
          </cell>
        </row>
        <row r="629">
          <cell r="A629" t="str">
            <v>30039_2</v>
          </cell>
        </row>
        <row r="630">
          <cell r="A630" t="str">
            <v>30039_3</v>
          </cell>
        </row>
        <row r="631">
          <cell r="A631" t="str">
            <v>30040_1</v>
          </cell>
        </row>
        <row r="632">
          <cell r="A632" t="str">
            <v>30040_2</v>
          </cell>
        </row>
        <row r="633">
          <cell r="A633" t="str">
            <v>30040_3</v>
          </cell>
        </row>
        <row r="634">
          <cell r="A634" t="str">
            <v>30041_1</v>
          </cell>
        </row>
        <row r="635">
          <cell r="A635" t="str">
            <v>30041_2</v>
          </cell>
        </row>
        <row r="636">
          <cell r="A636" t="str">
            <v>30041_3</v>
          </cell>
        </row>
        <row r="637">
          <cell r="A637" t="str">
            <v>30042_1</v>
          </cell>
        </row>
        <row r="638">
          <cell r="A638" t="str">
            <v>30042_2</v>
          </cell>
        </row>
        <row r="639">
          <cell r="A639" t="str">
            <v>30042_3</v>
          </cell>
        </row>
        <row r="640">
          <cell r="A640" t="str">
            <v>30043_1</v>
          </cell>
        </row>
        <row r="641">
          <cell r="A641" t="str">
            <v>30043_2</v>
          </cell>
        </row>
        <row r="642">
          <cell r="A642" t="str">
            <v>30043_3</v>
          </cell>
        </row>
        <row r="643">
          <cell r="A643" t="str">
            <v>30044_1</v>
          </cell>
        </row>
        <row r="644">
          <cell r="A644" t="str">
            <v>30044_2</v>
          </cell>
        </row>
        <row r="645">
          <cell r="A645" t="str">
            <v>30044_3</v>
          </cell>
        </row>
        <row r="646">
          <cell r="A646" t="str">
            <v>30045_1</v>
          </cell>
        </row>
        <row r="647">
          <cell r="A647" t="str">
            <v>30045_2</v>
          </cell>
        </row>
        <row r="648">
          <cell r="A648" t="str">
            <v>30045_3</v>
          </cell>
        </row>
        <row r="649">
          <cell r="A649" t="str">
            <v>30046_1</v>
          </cell>
        </row>
        <row r="650">
          <cell r="A650" t="str">
            <v>30046_2</v>
          </cell>
        </row>
        <row r="651">
          <cell r="A651" t="str">
            <v>30046_3</v>
          </cell>
        </row>
        <row r="652">
          <cell r="A652" t="str">
            <v>30047_1</v>
          </cell>
        </row>
        <row r="653">
          <cell r="A653" t="str">
            <v>30047_2</v>
          </cell>
        </row>
        <row r="654">
          <cell r="A654" t="str">
            <v>30047_3</v>
          </cell>
        </row>
        <row r="655">
          <cell r="A655" t="str">
            <v>30048_1</v>
          </cell>
        </row>
        <row r="656">
          <cell r="A656" t="str">
            <v>30048_2</v>
          </cell>
        </row>
        <row r="657">
          <cell r="A657" t="str">
            <v>30048_3</v>
          </cell>
        </row>
        <row r="658">
          <cell r="A658" t="str">
            <v>39001_1</v>
          </cell>
        </row>
        <row r="659">
          <cell r="A659" t="str">
            <v>39001_2</v>
          </cell>
        </row>
        <row r="660">
          <cell r="A660" t="str">
            <v>39001_3</v>
          </cell>
        </row>
        <row r="661">
          <cell r="A661" t="str">
            <v>39001_4</v>
          </cell>
        </row>
        <row r="662">
          <cell r="A662" t="str">
            <v>39001_5</v>
          </cell>
        </row>
        <row r="663">
          <cell r="A663" t="str">
            <v>39002_1</v>
          </cell>
        </row>
        <row r="664">
          <cell r="A664" t="str">
            <v>39002_2</v>
          </cell>
        </row>
        <row r="665">
          <cell r="A665" t="str">
            <v>39002_3</v>
          </cell>
        </row>
        <row r="666">
          <cell r="A666" t="str">
            <v>39002_4</v>
          </cell>
        </row>
        <row r="667">
          <cell r="A667" t="str">
            <v>39003_1</v>
          </cell>
        </row>
        <row r="668">
          <cell r="A668" t="str">
            <v>39003_2</v>
          </cell>
        </row>
        <row r="669">
          <cell r="A669" t="str">
            <v>39003_3</v>
          </cell>
        </row>
        <row r="670">
          <cell r="A670" t="str">
            <v>39003_4</v>
          </cell>
        </row>
        <row r="671">
          <cell r="A671" t="str">
            <v>39004_1</v>
          </cell>
        </row>
        <row r="672">
          <cell r="A672" t="str">
            <v>39004_2</v>
          </cell>
        </row>
        <row r="673">
          <cell r="A673" t="str">
            <v>39004_3</v>
          </cell>
        </row>
        <row r="674">
          <cell r="A674" t="str">
            <v>39004_4</v>
          </cell>
        </row>
        <row r="675">
          <cell r="A675" t="str">
            <v>39005_1</v>
          </cell>
        </row>
        <row r="676">
          <cell r="A676" t="str">
            <v>39005_2</v>
          </cell>
        </row>
        <row r="677">
          <cell r="A677" t="str">
            <v>39005_3</v>
          </cell>
        </row>
        <row r="678">
          <cell r="A678" t="str">
            <v>39005_4</v>
          </cell>
        </row>
        <row r="679">
          <cell r="A679" t="str">
            <v>39005_5</v>
          </cell>
        </row>
        <row r="680">
          <cell r="A680" t="str">
            <v>39006_1</v>
          </cell>
        </row>
        <row r="681">
          <cell r="A681" t="str">
            <v>39006_2</v>
          </cell>
        </row>
        <row r="682">
          <cell r="A682" t="str">
            <v>39006_3</v>
          </cell>
        </row>
        <row r="683">
          <cell r="A683" t="str">
            <v>39006_4</v>
          </cell>
        </row>
        <row r="684">
          <cell r="A684" t="str">
            <v>39007_1</v>
          </cell>
        </row>
        <row r="685">
          <cell r="A685" t="str">
            <v>39007_2</v>
          </cell>
        </row>
        <row r="686">
          <cell r="A686" t="str">
            <v>39007_3</v>
          </cell>
        </row>
        <row r="687">
          <cell r="A687" t="str">
            <v>39007_4</v>
          </cell>
        </row>
        <row r="688">
          <cell r="A688" t="str">
            <v>39008_1</v>
          </cell>
        </row>
        <row r="689">
          <cell r="A689" t="str">
            <v>39008_2</v>
          </cell>
        </row>
        <row r="690">
          <cell r="A690" t="str">
            <v>39008_3</v>
          </cell>
        </row>
        <row r="691">
          <cell r="A691" t="str">
            <v>39008_4</v>
          </cell>
        </row>
        <row r="692">
          <cell r="A692" t="str">
            <v>39008_5</v>
          </cell>
        </row>
        <row r="693">
          <cell r="A693" t="str">
            <v>39009_1</v>
          </cell>
        </row>
        <row r="694">
          <cell r="A694" t="str">
            <v>39009_2</v>
          </cell>
        </row>
        <row r="695">
          <cell r="A695" t="str">
            <v>39009_3</v>
          </cell>
        </row>
        <row r="696">
          <cell r="A696" t="str">
            <v>39009_4</v>
          </cell>
        </row>
        <row r="697">
          <cell r="A697" t="str">
            <v>39009_5</v>
          </cell>
        </row>
        <row r="698">
          <cell r="A698" t="str">
            <v>39010_1</v>
          </cell>
        </row>
        <row r="699">
          <cell r="A699" t="str">
            <v>39010_2</v>
          </cell>
        </row>
        <row r="700">
          <cell r="A700" t="str">
            <v>39010_3</v>
          </cell>
        </row>
        <row r="701">
          <cell r="A701" t="str">
            <v>39010_4</v>
          </cell>
        </row>
        <row r="702">
          <cell r="A702" t="str">
            <v>39011_1</v>
          </cell>
        </row>
        <row r="703">
          <cell r="A703" t="str">
            <v>39011_2</v>
          </cell>
        </row>
        <row r="704">
          <cell r="A704" t="str">
            <v>39011_3</v>
          </cell>
        </row>
        <row r="705">
          <cell r="A705" t="str">
            <v>39011_4</v>
          </cell>
        </row>
        <row r="706">
          <cell r="A706" t="str">
            <v>39012_1</v>
          </cell>
        </row>
        <row r="707">
          <cell r="A707" t="str">
            <v>39012_2</v>
          </cell>
        </row>
        <row r="708">
          <cell r="A708" t="str">
            <v>39012_3</v>
          </cell>
        </row>
        <row r="709">
          <cell r="A709" t="str">
            <v>39012_4</v>
          </cell>
        </row>
        <row r="710">
          <cell r="A710" t="str">
            <v>39012_5</v>
          </cell>
        </row>
        <row r="711">
          <cell r="A711" t="str">
            <v>40001_1</v>
          </cell>
        </row>
        <row r="712">
          <cell r="A712" t="str">
            <v>40002_1</v>
          </cell>
        </row>
        <row r="713">
          <cell r="A713" t="str">
            <v>40002_2</v>
          </cell>
        </row>
        <row r="714">
          <cell r="A714" t="str">
            <v>40002_3</v>
          </cell>
        </row>
        <row r="715">
          <cell r="A715" t="str">
            <v>40003_1</v>
          </cell>
        </row>
        <row r="716">
          <cell r="A716" t="str">
            <v>40004_1</v>
          </cell>
        </row>
        <row r="717">
          <cell r="A717" t="str">
            <v>40005_1</v>
          </cell>
        </row>
        <row r="718">
          <cell r="A718" t="str">
            <v>40006_1</v>
          </cell>
        </row>
        <row r="719">
          <cell r="A719" t="str">
            <v>40007_1</v>
          </cell>
        </row>
        <row r="720">
          <cell r="A720" t="str">
            <v>40008_1</v>
          </cell>
        </row>
        <row r="721">
          <cell r="A721" t="str">
            <v>40009_1</v>
          </cell>
        </row>
        <row r="722">
          <cell r="A722" t="str">
            <v>40010_1</v>
          </cell>
        </row>
        <row r="723">
          <cell r="A723" t="str">
            <v>40011_1</v>
          </cell>
        </row>
        <row r="724">
          <cell r="A724" t="str">
            <v>40012_1</v>
          </cell>
        </row>
        <row r="725">
          <cell r="A725" t="str">
            <v>40013_1</v>
          </cell>
        </row>
        <row r="726">
          <cell r="A726" t="str">
            <v>40014_1</v>
          </cell>
        </row>
        <row r="727">
          <cell r="A727" t="str">
            <v>40015_1</v>
          </cell>
        </row>
        <row r="728">
          <cell r="A728" t="str">
            <v>40016_1</v>
          </cell>
        </row>
        <row r="729">
          <cell r="A729" t="str">
            <v>40016_2</v>
          </cell>
        </row>
        <row r="730">
          <cell r="A730" t="str">
            <v>40017_1</v>
          </cell>
        </row>
        <row r="731">
          <cell r="A731" t="str">
            <v>40017_2</v>
          </cell>
        </row>
        <row r="732">
          <cell r="A732" t="str">
            <v>40017_3</v>
          </cell>
        </row>
        <row r="733">
          <cell r="A733" t="str">
            <v>40018_1</v>
          </cell>
        </row>
        <row r="734">
          <cell r="A734" t="str">
            <v>40018_2</v>
          </cell>
        </row>
        <row r="735">
          <cell r="A735" t="str">
            <v>40018_3</v>
          </cell>
        </row>
        <row r="736">
          <cell r="A736" t="str">
            <v>40019_1</v>
          </cell>
        </row>
        <row r="737">
          <cell r="A737" t="str">
            <v>40019_2</v>
          </cell>
        </row>
        <row r="738">
          <cell r="A738" t="str">
            <v>40019_3</v>
          </cell>
        </row>
        <row r="739">
          <cell r="A739" t="str">
            <v>40021_1</v>
          </cell>
        </row>
        <row r="740">
          <cell r="A740" t="str">
            <v>40021_2</v>
          </cell>
        </row>
        <row r="741">
          <cell r="A741" t="str">
            <v>40022_1</v>
          </cell>
        </row>
        <row r="742">
          <cell r="A742" t="str">
            <v>40022_2</v>
          </cell>
        </row>
        <row r="743">
          <cell r="A743" t="str">
            <v>40023_1</v>
          </cell>
        </row>
        <row r="744">
          <cell r="A744" t="str">
            <v>40023_2</v>
          </cell>
        </row>
        <row r="745">
          <cell r="A745" t="str">
            <v>40024_1</v>
          </cell>
        </row>
        <row r="746">
          <cell r="A746" t="str">
            <v>40024_2</v>
          </cell>
        </row>
        <row r="747">
          <cell r="A747" t="str">
            <v>40025_1</v>
          </cell>
        </row>
        <row r="748">
          <cell r="A748" t="str">
            <v>40025_2</v>
          </cell>
        </row>
        <row r="749">
          <cell r="A749" t="str">
            <v>40026_1</v>
          </cell>
        </row>
        <row r="750">
          <cell r="A750" t="str">
            <v>40026_2</v>
          </cell>
        </row>
        <row r="751">
          <cell r="A751" t="str">
            <v>40027_1</v>
          </cell>
        </row>
        <row r="752">
          <cell r="A752" t="str">
            <v>40027_2</v>
          </cell>
        </row>
        <row r="753">
          <cell r="A753" t="str">
            <v>40028_1</v>
          </cell>
        </row>
        <row r="754">
          <cell r="A754" t="str">
            <v>40028_2</v>
          </cell>
        </row>
        <row r="755">
          <cell r="A755" t="str">
            <v>40029_1</v>
          </cell>
        </row>
        <row r="756">
          <cell r="A756" t="str">
            <v>40029_2</v>
          </cell>
        </row>
        <row r="757">
          <cell r="A757" t="str">
            <v>40030_1</v>
          </cell>
        </row>
        <row r="758">
          <cell r="A758" t="str">
            <v>40030_2</v>
          </cell>
        </row>
        <row r="759">
          <cell r="A759" t="str">
            <v>40031_1</v>
          </cell>
        </row>
        <row r="760">
          <cell r="A760" t="str">
            <v>40031_2</v>
          </cell>
        </row>
        <row r="761">
          <cell r="A761" t="str">
            <v>40032_1</v>
          </cell>
        </row>
        <row r="762">
          <cell r="A762" t="str">
            <v>40032_2</v>
          </cell>
        </row>
        <row r="763">
          <cell r="A763" t="str">
            <v>40033_1</v>
          </cell>
        </row>
        <row r="764">
          <cell r="A764" t="str">
            <v>40033_2</v>
          </cell>
        </row>
        <row r="765">
          <cell r="A765" t="str">
            <v>40034_1</v>
          </cell>
        </row>
        <row r="766">
          <cell r="A766" t="str">
            <v>40034_2</v>
          </cell>
        </row>
        <row r="767">
          <cell r="A767" t="str">
            <v>40035_1</v>
          </cell>
        </row>
        <row r="768">
          <cell r="A768" t="str">
            <v>40035_2</v>
          </cell>
        </row>
        <row r="769">
          <cell r="A769" t="str">
            <v>40036_1</v>
          </cell>
        </row>
        <row r="770">
          <cell r="A770" t="str">
            <v>40036_2</v>
          </cell>
        </row>
        <row r="771">
          <cell r="A771" t="str">
            <v>40037_1</v>
          </cell>
        </row>
        <row r="772">
          <cell r="A772" t="str">
            <v>40037_2</v>
          </cell>
        </row>
        <row r="773">
          <cell r="A773" t="str">
            <v>40038_1</v>
          </cell>
        </row>
        <row r="774">
          <cell r="A774" t="str">
            <v>40038_2</v>
          </cell>
        </row>
        <row r="775">
          <cell r="A775" t="str">
            <v>40039_1</v>
          </cell>
        </row>
        <row r="776">
          <cell r="A776" t="str">
            <v>40039_2</v>
          </cell>
        </row>
        <row r="777">
          <cell r="A777" t="str">
            <v>40040_1</v>
          </cell>
        </row>
        <row r="778">
          <cell r="A778" t="str">
            <v>40040_2</v>
          </cell>
        </row>
        <row r="779">
          <cell r="A779" t="str">
            <v>40041_1</v>
          </cell>
        </row>
        <row r="780">
          <cell r="A780" t="str">
            <v>40041_2</v>
          </cell>
        </row>
        <row r="781">
          <cell r="A781" t="str">
            <v>40042_1</v>
          </cell>
        </row>
        <row r="782">
          <cell r="A782" t="str">
            <v>40042_2</v>
          </cell>
        </row>
        <row r="783">
          <cell r="A783" t="str">
            <v>40043_1</v>
          </cell>
        </row>
        <row r="784">
          <cell r="A784" t="str">
            <v>40043_2</v>
          </cell>
        </row>
        <row r="785">
          <cell r="A785" t="str">
            <v>41001_1</v>
          </cell>
        </row>
        <row r="786">
          <cell r="A786" t="str">
            <v>41001_2</v>
          </cell>
        </row>
        <row r="787">
          <cell r="A787" t="str">
            <v>41001_3</v>
          </cell>
        </row>
        <row r="788">
          <cell r="A788" t="str">
            <v>41002_1</v>
          </cell>
        </row>
        <row r="789">
          <cell r="A789" t="str">
            <v>41002_2</v>
          </cell>
        </row>
        <row r="790">
          <cell r="A790" t="str">
            <v>41002_3</v>
          </cell>
        </row>
        <row r="791">
          <cell r="A791" t="str">
            <v>41003_1</v>
          </cell>
        </row>
        <row r="792">
          <cell r="A792" t="str">
            <v>41003_2</v>
          </cell>
        </row>
        <row r="793">
          <cell r="A793" t="str">
            <v>41003_3</v>
          </cell>
        </row>
        <row r="794">
          <cell r="A794" t="str">
            <v>41004_1</v>
          </cell>
        </row>
        <row r="795">
          <cell r="A795" t="str">
            <v>41004_2</v>
          </cell>
        </row>
        <row r="796">
          <cell r="A796" t="str">
            <v>41004_3</v>
          </cell>
        </row>
        <row r="797">
          <cell r="A797" t="str">
            <v>41005_1</v>
          </cell>
        </row>
        <row r="798">
          <cell r="A798" t="str">
            <v>41005_2</v>
          </cell>
        </row>
        <row r="799">
          <cell r="A799" t="str">
            <v>41005_3</v>
          </cell>
        </row>
        <row r="800">
          <cell r="A800" t="str">
            <v>41006_1</v>
          </cell>
        </row>
        <row r="801">
          <cell r="A801" t="str">
            <v>41006_2</v>
          </cell>
        </row>
        <row r="802">
          <cell r="A802" t="str">
            <v>41006_3</v>
          </cell>
        </row>
        <row r="803">
          <cell r="A803" t="str">
            <v>41007_1</v>
          </cell>
        </row>
        <row r="804">
          <cell r="A804" t="str">
            <v>41007_2</v>
          </cell>
        </row>
        <row r="805">
          <cell r="A805" t="str">
            <v>41007_3</v>
          </cell>
        </row>
        <row r="806">
          <cell r="A806" t="str">
            <v>41008_1</v>
          </cell>
        </row>
        <row r="807">
          <cell r="A807" t="str">
            <v>41008_2</v>
          </cell>
        </row>
        <row r="808">
          <cell r="A808" t="str">
            <v>41008_3</v>
          </cell>
        </row>
        <row r="809">
          <cell r="A809" t="str">
            <v>41009_1</v>
          </cell>
        </row>
        <row r="810">
          <cell r="A810" t="str">
            <v>41009_2</v>
          </cell>
        </row>
        <row r="811">
          <cell r="A811" t="str">
            <v>41009_3</v>
          </cell>
        </row>
        <row r="812">
          <cell r="A812" t="str">
            <v>41010_1</v>
          </cell>
        </row>
        <row r="813">
          <cell r="A813" t="str">
            <v>41010_2</v>
          </cell>
        </row>
        <row r="814">
          <cell r="A814" t="str">
            <v>41010_3</v>
          </cell>
        </row>
        <row r="815">
          <cell r="A815" t="str">
            <v>41011_1</v>
          </cell>
        </row>
        <row r="816">
          <cell r="A816" t="str">
            <v>41011_2</v>
          </cell>
        </row>
        <row r="817">
          <cell r="A817" t="str">
            <v>41012_1</v>
          </cell>
        </row>
        <row r="818">
          <cell r="A818" t="str">
            <v>41012_2</v>
          </cell>
        </row>
        <row r="819">
          <cell r="A819" t="str">
            <v>41013_1</v>
          </cell>
        </row>
        <row r="820">
          <cell r="A820" t="str">
            <v>41013_2</v>
          </cell>
        </row>
        <row r="821">
          <cell r="A821" t="str">
            <v>41014_1</v>
          </cell>
        </row>
        <row r="822">
          <cell r="A822" t="str">
            <v>41014_2</v>
          </cell>
        </row>
        <row r="823">
          <cell r="A823" t="str">
            <v>41015_1</v>
          </cell>
        </row>
        <row r="824">
          <cell r="A824" t="str">
            <v>41015_2</v>
          </cell>
        </row>
        <row r="825">
          <cell r="A825" t="str">
            <v>47001_1</v>
          </cell>
        </row>
        <row r="826">
          <cell r="A826" t="str">
            <v>47001_2</v>
          </cell>
        </row>
        <row r="827">
          <cell r="A827" t="str">
            <v>47002_1</v>
          </cell>
        </row>
        <row r="828">
          <cell r="A828" t="str">
            <v>47002_2</v>
          </cell>
        </row>
        <row r="829">
          <cell r="A829" t="str">
            <v>47003_1</v>
          </cell>
        </row>
        <row r="830">
          <cell r="A830" t="str">
            <v>47003_2</v>
          </cell>
        </row>
        <row r="831">
          <cell r="A831" t="str">
            <v>47003_3</v>
          </cell>
        </row>
        <row r="832">
          <cell r="A832" t="str">
            <v>47003_4</v>
          </cell>
        </row>
        <row r="833">
          <cell r="A833" t="str">
            <v>47004_1</v>
          </cell>
        </row>
        <row r="834">
          <cell r="A834" t="str">
            <v>47004_2</v>
          </cell>
        </row>
        <row r="835">
          <cell r="A835" t="str">
            <v>47004_3</v>
          </cell>
        </row>
        <row r="836">
          <cell r="A836" t="str">
            <v>47004_4</v>
          </cell>
        </row>
        <row r="837">
          <cell r="A837" t="str">
            <v>47005_1</v>
          </cell>
        </row>
        <row r="838">
          <cell r="A838" t="str">
            <v>47006_1</v>
          </cell>
        </row>
        <row r="839">
          <cell r="A839" t="str">
            <v>47006_2</v>
          </cell>
        </row>
        <row r="840">
          <cell r="A840" t="str">
            <v>47007_1</v>
          </cell>
        </row>
        <row r="841">
          <cell r="A841" t="str">
            <v>47007_2</v>
          </cell>
        </row>
        <row r="842">
          <cell r="A842" t="str">
            <v>47008_1</v>
          </cell>
        </row>
        <row r="843">
          <cell r="A843" t="str">
            <v>47008_2</v>
          </cell>
        </row>
        <row r="844">
          <cell r="A844" t="str">
            <v>47009_1</v>
          </cell>
        </row>
        <row r="845">
          <cell r="A845" t="str">
            <v>47009_2</v>
          </cell>
        </row>
        <row r="846">
          <cell r="A846" t="str">
            <v>47010_1</v>
          </cell>
        </row>
        <row r="847">
          <cell r="A847" t="str">
            <v>47010_2</v>
          </cell>
        </row>
        <row r="848">
          <cell r="A848" t="str">
            <v>48001_1</v>
          </cell>
        </row>
        <row r="849">
          <cell r="A849" t="str">
            <v>48002_1</v>
          </cell>
        </row>
        <row r="850">
          <cell r="A850" t="str">
            <v>48002_2</v>
          </cell>
        </row>
        <row r="851">
          <cell r="A851" t="str">
            <v>48002_3</v>
          </cell>
        </row>
        <row r="852">
          <cell r="A852" t="str">
            <v>48003_1</v>
          </cell>
        </row>
        <row r="853">
          <cell r="A853" t="str">
            <v>48003_2</v>
          </cell>
        </row>
        <row r="854">
          <cell r="A854" t="str">
            <v>48004_1</v>
          </cell>
        </row>
        <row r="855">
          <cell r="A855" t="str">
            <v>48004_2</v>
          </cell>
        </row>
        <row r="856">
          <cell r="A856" t="str">
            <v>48005_1</v>
          </cell>
        </row>
        <row r="857">
          <cell r="A857" t="str">
            <v>48005_2</v>
          </cell>
        </row>
        <row r="858">
          <cell r="A858" t="str">
            <v>48006_1</v>
          </cell>
        </row>
        <row r="859">
          <cell r="A859" t="str">
            <v>48006_2</v>
          </cell>
        </row>
        <row r="860">
          <cell r="A860" t="str">
            <v>48007_1</v>
          </cell>
        </row>
        <row r="861">
          <cell r="A861" t="str">
            <v>48007_2</v>
          </cell>
        </row>
        <row r="862">
          <cell r="A862" t="str">
            <v>48008_1</v>
          </cell>
        </row>
        <row r="863">
          <cell r="A863" t="str">
            <v>48008_2</v>
          </cell>
        </row>
        <row r="864">
          <cell r="A864" t="str">
            <v>48009_1</v>
          </cell>
        </row>
        <row r="865">
          <cell r="A865" t="str">
            <v>48009_2</v>
          </cell>
        </row>
        <row r="866">
          <cell r="A866" t="str">
            <v>48010_1</v>
          </cell>
        </row>
        <row r="867">
          <cell r="A867" t="str">
            <v>48011_1</v>
          </cell>
        </row>
        <row r="868">
          <cell r="A868" t="str">
            <v>48011_2</v>
          </cell>
        </row>
        <row r="869">
          <cell r="A869" t="str">
            <v>48501_1</v>
          </cell>
        </row>
        <row r="870">
          <cell r="A870" t="str">
            <v>48501_2</v>
          </cell>
        </row>
        <row r="871">
          <cell r="A871" t="str">
            <v>48502_1</v>
          </cell>
        </row>
        <row r="872">
          <cell r="A872" t="str">
            <v>48502_2</v>
          </cell>
        </row>
        <row r="873">
          <cell r="A873" t="str">
            <v>49001_1</v>
          </cell>
        </row>
        <row r="874">
          <cell r="A874" t="str">
            <v>49002_1</v>
          </cell>
        </row>
        <row r="875">
          <cell r="A875" t="str">
            <v>49002_2</v>
          </cell>
        </row>
        <row r="876">
          <cell r="A876" t="str">
            <v>49003_1</v>
          </cell>
        </row>
        <row r="877">
          <cell r="A877" t="str">
            <v>49003_2</v>
          </cell>
        </row>
        <row r="878">
          <cell r="A878" t="str">
            <v>49004_1</v>
          </cell>
        </row>
        <row r="879">
          <cell r="A879" t="str">
            <v>49004_2</v>
          </cell>
        </row>
        <row r="880">
          <cell r="A880" t="str">
            <v>49004_3</v>
          </cell>
        </row>
        <row r="881">
          <cell r="A881" t="str">
            <v>49005_1</v>
          </cell>
        </row>
        <row r="882">
          <cell r="A882" t="str">
            <v>49006_1</v>
          </cell>
        </row>
        <row r="883">
          <cell r="A883" t="str">
            <v>49006_2</v>
          </cell>
        </row>
        <row r="884">
          <cell r="A884" t="str">
            <v>49007_1</v>
          </cell>
        </row>
        <row r="885">
          <cell r="A885" t="str">
            <v>49007_2</v>
          </cell>
        </row>
        <row r="886">
          <cell r="A886" t="str">
            <v>49007_3</v>
          </cell>
        </row>
        <row r="887">
          <cell r="A887" t="str">
            <v>49008_1</v>
          </cell>
        </row>
        <row r="888">
          <cell r="A888" t="str">
            <v>49009_1</v>
          </cell>
        </row>
        <row r="889">
          <cell r="A889" t="str">
            <v>49010_1</v>
          </cell>
        </row>
        <row r="890">
          <cell r="A890" t="str">
            <v>49011_1</v>
          </cell>
        </row>
        <row r="891">
          <cell r="A891" t="str">
            <v>49012_1</v>
          </cell>
        </row>
        <row r="892">
          <cell r="A892" t="str">
            <v>49013_1</v>
          </cell>
        </row>
        <row r="893">
          <cell r="A893" t="str">
            <v>49014_1</v>
          </cell>
        </row>
        <row r="894">
          <cell r="A894" t="str">
            <v>49014_2</v>
          </cell>
        </row>
        <row r="895">
          <cell r="A895" t="str">
            <v>50001_1</v>
          </cell>
        </row>
        <row r="896">
          <cell r="A896" t="str">
            <v>50002_1</v>
          </cell>
        </row>
        <row r="897">
          <cell r="A897" t="str">
            <v>50003_1</v>
          </cell>
        </row>
        <row r="898">
          <cell r="A898" t="str">
            <v>50004_1</v>
          </cell>
        </row>
        <row r="899">
          <cell r="A899" t="str">
            <v>50005_1</v>
          </cell>
        </row>
        <row r="900">
          <cell r="A900" t="str">
            <v>50006_1</v>
          </cell>
        </row>
        <row r="901">
          <cell r="A901" t="str">
            <v>50007_1</v>
          </cell>
        </row>
        <row r="902">
          <cell r="A902" t="str">
            <v>50008_1</v>
          </cell>
        </row>
        <row r="903">
          <cell r="A903" t="str">
            <v>50009_1</v>
          </cell>
        </row>
        <row r="904">
          <cell r="A904" t="str">
            <v>50010_1</v>
          </cell>
        </row>
        <row r="905">
          <cell r="A905" t="str">
            <v>50011_1</v>
          </cell>
        </row>
        <row r="906">
          <cell r="A906" t="str">
            <v>50012_1</v>
          </cell>
        </row>
        <row r="907">
          <cell r="A907" t="str">
            <v>50013_1</v>
          </cell>
        </row>
        <row r="908">
          <cell r="A908" t="str">
            <v>50014_1</v>
          </cell>
        </row>
        <row r="909">
          <cell r="A909" t="str">
            <v>51001_1</v>
          </cell>
        </row>
        <row r="910">
          <cell r="A910" t="str">
            <v>51002_1</v>
          </cell>
        </row>
        <row r="911">
          <cell r="A911" t="str">
            <v>58001_1</v>
          </cell>
        </row>
        <row r="912">
          <cell r="A912" t="str">
            <v>59001_1</v>
          </cell>
        </row>
        <row r="913">
          <cell r="A913" t="str">
            <v>59002_1</v>
          </cell>
        </row>
        <row r="914">
          <cell r="A914" t="str">
            <v>60001_1</v>
          </cell>
        </row>
        <row r="915">
          <cell r="A915" t="str">
            <v>60002_1</v>
          </cell>
        </row>
        <row r="916">
          <cell r="A916" t="str">
            <v>60002_2</v>
          </cell>
        </row>
        <row r="917">
          <cell r="A917" t="str">
            <v>60003_1</v>
          </cell>
        </row>
        <row r="918">
          <cell r="A918" t="str">
            <v>60003_2</v>
          </cell>
        </row>
        <row r="919">
          <cell r="A919" t="str">
            <v>60003_3</v>
          </cell>
        </row>
        <row r="920">
          <cell r="A920" t="str">
            <v>60004_1</v>
          </cell>
        </row>
        <row r="921">
          <cell r="A921" t="str">
            <v>60005_1</v>
          </cell>
        </row>
        <row r="922">
          <cell r="A922" t="str">
            <v>60006_1</v>
          </cell>
        </row>
        <row r="923">
          <cell r="A923" t="str">
            <v>60006_2</v>
          </cell>
        </row>
        <row r="924">
          <cell r="A924" t="str">
            <v>60006_3</v>
          </cell>
        </row>
        <row r="925">
          <cell r="A925" t="str">
            <v>60007_1</v>
          </cell>
        </row>
        <row r="926">
          <cell r="A926" t="str">
            <v>60007_2</v>
          </cell>
        </row>
        <row r="927">
          <cell r="A927" t="str">
            <v>60007_3</v>
          </cell>
        </row>
        <row r="928">
          <cell r="A928" t="str">
            <v>60010_1</v>
          </cell>
        </row>
        <row r="929">
          <cell r="A929" t="str">
            <v>60011_1</v>
          </cell>
        </row>
        <row r="930">
          <cell r="A930" t="str">
            <v>60011_2</v>
          </cell>
        </row>
        <row r="931">
          <cell r="A931" t="str">
            <v>60012_1</v>
          </cell>
        </row>
        <row r="932">
          <cell r="A932" t="str">
            <v>60013_1</v>
          </cell>
        </row>
        <row r="933">
          <cell r="A933" t="str">
            <v>60013_2</v>
          </cell>
        </row>
        <row r="934">
          <cell r="A934" t="str">
            <v>60013_3</v>
          </cell>
        </row>
        <row r="935">
          <cell r="A935" t="str">
            <v>60014_1</v>
          </cell>
        </row>
        <row r="936">
          <cell r="A936" t="str">
            <v>60015_1</v>
          </cell>
        </row>
        <row r="937">
          <cell r="A937" t="str">
            <v>60016_1</v>
          </cell>
        </row>
        <row r="938">
          <cell r="A938" t="str">
            <v>60017_1</v>
          </cell>
        </row>
        <row r="939">
          <cell r="A939" t="str">
            <v>60018_1</v>
          </cell>
        </row>
        <row r="940">
          <cell r="A940" t="str">
            <v>60019_1</v>
          </cell>
        </row>
        <row r="941">
          <cell r="A941" t="str">
            <v>60020_1</v>
          </cell>
        </row>
        <row r="942">
          <cell r="A942" t="str">
            <v>60021_3</v>
          </cell>
        </row>
        <row r="943">
          <cell r="A943" t="str">
            <v>60022_3</v>
          </cell>
        </row>
        <row r="944">
          <cell r="A944" t="str">
            <v>60023_3</v>
          </cell>
        </row>
        <row r="945">
          <cell r="A945" t="str">
            <v>60024_3</v>
          </cell>
        </row>
        <row r="946">
          <cell r="A946" t="str">
            <v>60025_1</v>
          </cell>
        </row>
        <row r="947">
          <cell r="A947" t="str">
            <v>60026_1</v>
          </cell>
        </row>
        <row r="948">
          <cell r="A948" t="str">
            <v>61011_1</v>
          </cell>
        </row>
        <row r="949">
          <cell r="A949" t="str">
            <v>60027_1</v>
          </cell>
        </row>
        <row r="950">
          <cell r="A950" t="str">
            <v>65525_1</v>
          </cell>
        </row>
        <row r="951">
          <cell r="A951" t="str">
            <v>65526_1</v>
          </cell>
        </row>
        <row r="952">
          <cell r="A952" t="str">
            <v>65526_2</v>
          </cell>
        </row>
        <row r="953">
          <cell r="A953" t="str">
            <v>65527_1</v>
          </cell>
        </row>
        <row r="954">
          <cell r="A954" t="str">
            <v>65528_1</v>
          </cell>
        </row>
        <row r="955">
          <cell r="A955" t="str">
            <v>65529_1</v>
          </cell>
        </row>
        <row r="956">
          <cell r="A956" t="str">
            <v>65530_1</v>
          </cell>
        </row>
        <row r="957">
          <cell r="A957" t="str">
            <v>65531_1</v>
          </cell>
        </row>
        <row r="958">
          <cell r="A958" t="str">
            <v>65531_2</v>
          </cell>
        </row>
        <row r="959">
          <cell r="A959" t="str">
            <v>65532_1</v>
          </cell>
        </row>
        <row r="960">
          <cell r="A960" t="str">
            <v>65532_2</v>
          </cell>
        </row>
        <row r="961">
          <cell r="A961" t="str">
            <v>65533_1</v>
          </cell>
        </row>
        <row r="962">
          <cell r="A962" t="str">
            <v>65533_2</v>
          </cell>
        </row>
        <row r="963">
          <cell r="A963" t="str">
            <v>65534_1</v>
          </cell>
        </row>
        <row r="964">
          <cell r="A964" t="str">
            <v>65534_2</v>
          </cell>
        </row>
        <row r="965">
          <cell r="A965" t="str">
            <v>65535_1</v>
          </cell>
        </row>
        <row r="966">
          <cell r="A966" t="str">
            <v>65535_2</v>
          </cell>
        </row>
        <row r="967">
          <cell r="A967" t="str">
            <v>65535_3</v>
          </cell>
        </row>
        <row r="968">
          <cell r="A968" t="str">
            <v>65535_4</v>
          </cell>
        </row>
        <row r="969">
          <cell r="A969" t="str">
            <v>65535_5</v>
          </cell>
        </row>
        <row r="970">
          <cell r="A970" t="str">
            <v>65535_6</v>
          </cell>
        </row>
        <row r="971">
          <cell r="A971" t="str">
            <v>65535_7</v>
          </cell>
        </row>
        <row r="972">
          <cell r="A972" t="str">
            <v>65535_8</v>
          </cell>
        </row>
        <row r="973">
          <cell r="A973" t="str">
            <v>65535_9</v>
          </cell>
        </row>
        <row r="974">
          <cell r="A974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1504</v>
          </cell>
        </row>
        <row r="1337">
          <cell r="A1337">
            <v>1505</v>
          </cell>
        </row>
        <row r="1338">
          <cell r="A1338">
            <v>1506</v>
          </cell>
        </row>
        <row r="1339">
          <cell r="A1339">
            <v>1507</v>
          </cell>
        </row>
        <row r="1340">
          <cell r="A1340">
            <v>1508</v>
          </cell>
        </row>
        <row r="1341">
          <cell r="A1341">
            <v>1509</v>
          </cell>
        </row>
        <row r="1342">
          <cell r="A1342">
            <v>1510</v>
          </cell>
        </row>
        <row r="1343">
          <cell r="A1343">
            <v>1511</v>
          </cell>
        </row>
        <row r="1344">
          <cell r="A1344">
            <v>1512</v>
          </cell>
        </row>
        <row r="1345">
          <cell r="A1345">
            <v>1523</v>
          </cell>
        </row>
        <row r="1346">
          <cell r="A1346">
            <v>1524</v>
          </cell>
        </row>
        <row r="1347">
          <cell r="A1347">
            <v>1525</v>
          </cell>
        </row>
        <row r="1348">
          <cell r="A1348">
            <v>1526</v>
          </cell>
        </row>
        <row r="1349">
          <cell r="A1349">
            <v>5001</v>
          </cell>
        </row>
        <row r="1350">
          <cell r="A1350">
            <v>5002</v>
          </cell>
        </row>
        <row r="1351">
          <cell r="A1351">
            <v>5003</v>
          </cell>
        </row>
        <row r="1352">
          <cell r="A1352">
            <v>5004</v>
          </cell>
        </row>
        <row r="1353">
          <cell r="A1353">
            <v>5005</v>
          </cell>
        </row>
        <row r="1354">
          <cell r="A1354">
            <v>5006</v>
          </cell>
        </row>
        <row r="1355">
          <cell r="A1355">
            <v>5007</v>
          </cell>
        </row>
        <row r="1356">
          <cell r="A1356">
            <v>5008</v>
          </cell>
        </row>
        <row r="1357">
          <cell r="A1357">
            <v>6001</v>
          </cell>
        </row>
        <row r="1358">
          <cell r="A1358">
            <v>6002</v>
          </cell>
        </row>
        <row r="1359">
          <cell r="A1359">
            <v>6003</v>
          </cell>
        </row>
        <row r="1360">
          <cell r="A1360">
            <v>6004</v>
          </cell>
        </row>
        <row r="1361">
          <cell r="A1361">
            <v>6005</v>
          </cell>
        </row>
        <row r="1362">
          <cell r="A1362">
            <v>6006</v>
          </cell>
        </row>
        <row r="1363">
          <cell r="A1363">
            <v>6007</v>
          </cell>
        </row>
        <row r="1364">
          <cell r="A1364">
            <v>6008</v>
          </cell>
        </row>
        <row r="1365">
          <cell r="A1365">
            <v>6009</v>
          </cell>
        </row>
        <row r="1366">
          <cell r="A1366">
            <v>6010</v>
          </cell>
        </row>
        <row r="1367">
          <cell r="A1367">
            <v>6011</v>
          </cell>
        </row>
        <row r="1368">
          <cell r="A1368">
            <v>6012</v>
          </cell>
        </row>
        <row r="1369">
          <cell r="A1369">
            <v>6013</v>
          </cell>
        </row>
        <row r="1370">
          <cell r="A1370">
            <v>6014</v>
          </cell>
        </row>
        <row r="1371">
          <cell r="A1371">
            <v>6015</v>
          </cell>
        </row>
        <row r="1372">
          <cell r="A1372">
            <v>6016</v>
          </cell>
        </row>
        <row r="1373">
          <cell r="A1373">
            <v>6017</v>
          </cell>
        </row>
        <row r="1374">
          <cell r="A1374">
            <v>6018</v>
          </cell>
        </row>
        <row r="1375">
          <cell r="A1375">
            <v>6019</v>
          </cell>
        </row>
        <row r="1376">
          <cell r="A1376">
            <v>6020</v>
          </cell>
        </row>
        <row r="1377">
          <cell r="A1377">
            <v>8001</v>
          </cell>
        </row>
        <row r="1378">
          <cell r="A1378">
            <v>8002</v>
          </cell>
        </row>
        <row r="1379">
          <cell r="A1379">
            <v>8003</v>
          </cell>
        </row>
        <row r="1380">
          <cell r="A1380">
            <v>8004</v>
          </cell>
        </row>
        <row r="1381">
          <cell r="A1381">
            <v>8005</v>
          </cell>
        </row>
        <row r="1382">
          <cell r="A1382">
            <v>8006</v>
          </cell>
        </row>
        <row r="1383">
          <cell r="A1383">
            <v>8007</v>
          </cell>
        </row>
        <row r="1384">
          <cell r="A1384">
            <v>8008</v>
          </cell>
        </row>
        <row r="1385">
          <cell r="A1385">
            <v>8009</v>
          </cell>
        </row>
        <row r="1386">
          <cell r="A1386">
            <v>8010</v>
          </cell>
        </row>
        <row r="1387">
          <cell r="A1387">
            <v>8011</v>
          </cell>
        </row>
        <row r="1388">
          <cell r="A1388">
            <v>8012</v>
          </cell>
        </row>
        <row r="1389">
          <cell r="A1389">
            <v>8013</v>
          </cell>
        </row>
        <row r="1390">
          <cell r="A1390">
            <v>8014</v>
          </cell>
        </row>
        <row r="1391">
          <cell r="A1391">
            <v>8015</v>
          </cell>
        </row>
        <row r="1392">
          <cell r="A1392">
            <v>8016</v>
          </cell>
        </row>
        <row r="1393">
          <cell r="A1393">
            <v>8017</v>
          </cell>
        </row>
        <row r="1394">
          <cell r="A1394">
            <v>8018</v>
          </cell>
        </row>
        <row r="1395">
          <cell r="A1395">
            <v>8019</v>
          </cell>
        </row>
        <row r="1396">
          <cell r="A1396">
            <v>8020</v>
          </cell>
        </row>
        <row r="1397">
          <cell r="A1397">
            <v>8021</v>
          </cell>
        </row>
        <row r="1398">
          <cell r="A1398">
            <v>8022</v>
          </cell>
        </row>
        <row r="1399">
          <cell r="A1399">
            <v>8023</v>
          </cell>
        </row>
        <row r="1400">
          <cell r="A1400">
            <v>8024</v>
          </cell>
        </row>
        <row r="1401">
          <cell r="A1401">
            <v>8025</v>
          </cell>
        </row>
        <row r="1402">
          <cell r="A1402">
            <v>8026</v>
          </cell>
        </row>
        <row r="1403">
          <cell r="A1403">
            <v>8027</v>
          </cell>
        </row>
        <row r="1404">
          <cell r="A1404">
            <v>8028</v>
          </cell>
        </row>
        <row r="1405">
          <cell r="A1405">
            <v>8029</v>
          </cell>
        </row>
        <row r="1406">
          <cell r="A1406">
            <v>8030</v>
          </cell>
        </row>
        <row r="1407">
          <cell r="A1407">
            <v>8031</v>
          </cell>
        </row>
        <row r="1408">
          <cell r="A1408">
            <v>8032</v>
          </cell>
        </row>
        <row r="1409">
          <cell r="A1409">
            <v>8033</v>
          </cell>
        </row>
        <row r="1410">
          <cell r="A1410">
            <v>8034</v>
          </cell>
        </row>
        <row r="1411">
          <cell r="A1411">
            <v>8035</v>
          </cell>
        </row>
        <row r="1412">
          <cell r="A1412">
            <v>8036</v>
          </cell>
        </row>
        <row r="1413">
          <cell r="A1413">
            <v>8037</v>
          </cell>
        </row>
        <row r="1414">
          <cell r="A1414">
            <v>8038</v>
          </cell>
        </row>
        <row r="1415">
          <cell r="A1415">
            <v>8039</v>
          </cell>
        </row>
        <row r="1416">
          <cell r="A1416">
            <v>8040</v>
          </cell>
        </row>
        <row r="1417">
          <cell r="A1417">
            <v>8041</v>
          </cell>
        </row>
        <row r="1418">
          <cell r="A1418">
            <v>8042</v>
          </cell>
        </row>
        <row r="1419">
          <cell r="A1419">
            <v>8043</v>
          </cell>
        </row>
        <row r="1420">
          <cell r="A1420">
            <v>8044</v>
          </cell>
        </row>
        <row r="1421">
          <cell r="A1421">
            <v>8045</v>
          </cell>
        </row>
        <row r="1422">
          <cell r="A1422">
            <v>8046</v>
          </cell>
        </row>
        <row r="1423">
          <cell r="A1423">
            <v>8047</v>
          </cell>
        </row>
        <row r="1424">
          <cell r="A1424">
            <v>8048</v>
          </cell>
        </row>
        <row r="1425">
          <cell r="A1425">
            <v>8049</v>
          </cell>
        </row>
        <row r="1426">
          <cell r="A1426">
            <v>8050</v>
          </cell>
        </row>
        <row r="1427">
          <cell r="A1427">
            <v>8051</v>
          </cell>
        </row>
        <row r="1428">
          <cell r="A1428">
            <v>8052</v>
          </cell>
        </row>
        <row r="1429">
          <cell r="A1429">
            <v>8053</v>
          </cell>
        </row>
        <row r="1430">
          <cell r="A1430">
            <v>8054</v>
          </cell>
        </row>
        <row r="1431">
          <cell r="A1431">
            <v>8055</v>
          </cell>
        </row>
        <row r="1432">
          <cell r="A1432">
            <v>8056</v>
          </cell>
        </row>
        <row r="1433">
          <cell r="A1433">
            <v>8057</v>
          </cell>
        </row>
        <row r="1434">
          <cell r="A1434">
            <v>8058</v>
          </cell>
        </row>
        <row r="1435">
          <cell r="A1435">
            <v>8059</v>
          </cell>
        </row>
        <row r="1436">
          <cell r="A1436">
            <v>8060</v>
          </cell>
        </row>
        <row r="1437">
          <cell r="A1437">
            <v>8061</v>
          </cell>
        </row>
        <row r="1438">
          <cell r="A1438">
            <v>8062</v>
          </cell>
        </row>
        <row r="1439">
          <cell r="A1439">
            <v>8063</v>
          </cell>
        </row>
        <row r="1440">
          <cell r="A1440">
            <v>8064</v>
          </cell>
        </row>
        <row r="1441">
          <cell r="A1441">
            <v>8065</v>
          </cell>
        </row>
        <row r="1442">
          <cell r="A1442">
            <v>8066</v>
          </cell>
        </row>
        <row r="1443">
          <cell r="A1443">
            <v>8067</v>
          </cell>
        </row>
        <row r="1444">
          <cell r="A1444">
            <v>8068</v>
          </cell>
        </row>
        <row r="1445">
          <cell r="A1445">
            <v>8069</v>
          </cell>
        </row>
        <row r="1446">
          <cell r="A1446">
            <v>8070</v>
          </cell>
        </row>
        <row r="1447">
          <cell r="A1447">
            <v>8071</v>
          </cell>
        </row>
        <row r="1448">
          <cell r="A1448">
            <v>8072</v>
          </cell>
        </row>
        <row r="1449">
          <cell r="A1449">
            <v>8073</v>
          </cell>
        </row>
        <row r="1450">
          <cell r="A1450">
            <v>8074</v>
          </cell>
        </row>
        <row r="1451">
          <cell r="A1451">
            <v>8077</v>
          </cell>
        </row>
        <row r="1452">
          <cell r="A1452">
            <v>8078</v>
          </cell>
        </row>
        <row r="1453">
          <cell r="A1453">
            <v>8079</v>
          </cell>
        </row>
        <row r="1454">
          <cell r="A1454">
            <v>8080</v>
          </cell>
        </row>
        <row r="1455">
          <cell r="A1455">
            <v>8081</v>
          </cell>
        </row>
        <row r="1456">
          <cell r="A1456">
            <v>8082</v>
          </cell>
        </row>
        <row r="1457">
          <cell r="A1457">
            <v>8083</v>
          </cell>
        </row>
        <row r="1458">
          <cell r="A1458">
            <v>8084</v>
          </cell>
        </row>
        <row r="1459">
          <cell r="A1459">
            <v>8087</v>
          </cell>
        </row>
        <row r="1460">
          <cell r="A1460">
            <v>8088</v>
          </cell>
        </row>
        <row r="1461">
          <cell r="A1461">
            <v>8089</v>
          </cell>
        </row>
        <row r="1462">
          <cell r="A1462">
            <v>8090</v>
          </cell>
        </row>
        <row r="1463">
          <cell r="A1463">
            <v>8095</v>
          </cell>
        </row>
        <row r="1464">
          <cell r="A1464">
            <v>8096</v>
          </cell>
        </row>
        <row r="1465">
          <cell r="A1465">
            <v>8097</v>
          </cell>
        </row>
        <row r="1466">
          <cell r="A1466">
            <v>8098</v>
          </cell>
        </row>
        <row r="1467">
          <cell r="A1467">
            <v>8099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1409</v>
          </cell>
        </row>
        <row r="1383">
          <cell r="A1383">
            <v>1410</v>
          </cell>
        </row>
        <row r="1384">
          <cell r="A1384">
            <v>1414</v>
          </cell>
        </row>
        <row r="1385">
          <cell r="A1385">
            <v>1415</v>
          </cell>
        </row>
        <row r="1386">
          <cell r="A1386">
            <v>1416</v>
          </cell>
        </row>
        <row r="1387">
          <cell r="A1387">
            <v>1417</v>
          </cell>
        </row>
        <row r="1388">
          <cell r="A1388">
            <v>1418</v>
          </cell>
        </row>
        <row r="1389">
          <cell r="A1389">
            <v>1419</v>
          </cell>
        </row>
        <row r="1390">
          <cell r="A1390">
            <v>1420</v>
          </cell>
        </row>
        <row r="1391">
          <cell r="A1391">
            <v>1421</v>
          </cell>
        </row>
        <row r="1392">
          <cell r="A1392">
            <v>1422</v>
          </cell>
        </row>
        <row r="1393">
          <cell r="A1393">
            <v>1423</v>
          </cell>
        </row>
        <row r="1394">
          <cell r="A1394">
            <v>1424</v>
          </cell>
        </row>
        <row r="1395">
          <cell r="A1395">
            <v>1504</v>
          </cell>
        </row>
        <row r="1396">
          <cell r="A1396">
            <v>1505</v>
          </cell>
        </row>
        <row r="1397">
          <cell r="A1397">
            <v>1506</v>
          </cell>
        </row>
        <row r="1398">
          <cell r="A1398">
            <v>1507</v>
          </cell>
        </row>
        <row r="1399">
          <cell r="A1399">
            <v>1508</v>
          </cell>
        </row>
        <row r="1400">
          <cell r="A1400">
            <v>1509</v>
          </cell>
        </row>
        <row r="1401">
          <cell r="A1401">
            <v>1510</v>
          </cell>
        </row>
        <row r="1402">
          <cell r="A1402">
            <v>1511</v>
          </cell>
        </row>
        <row r="1403">
          <cell r="A1403">
            <v>1512</v>
          </cell>
        </row>
        <row r="1404">
          <cell r="A1404">
            <v>1513</v>
          </cell>
        </row>
        <row r="1405">
          <cell r="A1405">
            <v>1514</v>
          </cell>
        </row>
        <row r="1406">
          <cell r="A1406">
            <v>1515</v>
          </cell>
        </row>
        <row r="1407">
          <cell r="A1407">
            <v>1516</v>
          </cell>
        </row>
        <row r="1408">
          <cell r="A1408">
            <v>1517</v>
          </cell>
        </row>
        <row r="1409">
          <cell r="A1409">
            <v>1518</v>
          </cell>
        </row>
        <row r="1410">
          <cell r="A1410">
            <v>1519</v>
          </cell>
        </row>
        <row r="1411">
          <cell r="A1411">
            <v>1520</v>
          </cell>
        </row>
        <row r="1412">
          <cell r="A1412">
            <v>1521</v>
          </cell>
        </row>
        <row r="1413">
          <cell r="A1413">
            <v>1522</v>
          </cell>
        </row>
        <row r="1414">
          <cell r="A1414">
            <v>1523</v>
          </cell>
        </row>
        <row r="1415">
          <cell r="A1415">
            <v>1524</v>
          </cell>
        </row>
        <row r="1416">
          <cell r="A1416">
            <v>1525</v>
          </cell>
        </row>
        <row r="1417">
          <cell r="A1417">
            <v>1526</v>
          </cell>
        </row>
        <row r="1418">
          <cell r="A1418">
            <v>1527</v>
          </cell>
        </row>
        <row r="1419">
          <cell r="A1419">
            <v>1528</v>
          </cell>
        </row>
        <row r="1420">
          <cell r="A1420">
            <v>1529</v>
          </cell>
        </row>
        <row r="1421">
          <cell r="A1421">
            <v>1530</v>
          </cell>
        </row>
        <row r="1422">
          <cell r="A1422">
            <v>1531</v>
          </cell>
        </row>
        <row r="1423">
          <cell r="A1423">
            <v>1532</v>
          </cell>
        </row>
        <row r="1424">
          <cell r="A1424">
            <v>1533</v>
          </cell>
        </row>
        <row r="1425">
          <cell r="A1425">
            <v>1534</v>
          </cell>
        </row>
        <row r="1426">
          <cell r="A1426">
            <v>1535</v>
          </cell>
        </row>
        <row r="1427">
          <cell r="A1427">
            <v>1536</v>
          </cell>
        </row>
        <row r="1428">
          <cell r="A1428">
            <v>1537</v>
          </cell>
        </row>
        <row r="1429">
          <cell r="A1429">
            <v>1538</v>
          </cell>
        </row>
        <row r="1430">
          <cell r="A1430">
            <v>1539</v>
          </cell>
        </row>
        <row r="1431">
          <cell r="A1431">
            <v>1540</v>
          </cell>
        </row>
        <row r="1432">
          <cell r="A1432">
            <v>1541</v>
          </cell>
        </row>
        <row r="1433">
          <cell r="A1433">
            <v>1542</v>
          </cell>
        </row>
        <row r="1434">
          <cell r="A1434">
            <v>1543</v>
          </cell>
        </row>
        <row r="1435">
          <cell r="A1435">
            <v>1544</v>
          </cell>
        </row>
        <row r="1436">
          <cell r="A1436">
            <v>1545</v>
          </cell>
        </row>
        <row r="1437">
          <cell r="A1437">
            <v>1546</v>
          </cell>
        </row>
        <row r="1438">
          <cell r="A1438">
            <v>1547</v>
          </cell>
        </row>
        <row r="1439">
          <cell r="A1439">
            <v>1548</v>
          </cell>
        </row>
        <row r="1440">
          <cell r="A1440">
            <v>1549</v>
          </cell>
        </row>
        <row r="1441">
          <cell r="A1441">
            <v>1550</v>
          </cell>
        </row>
        <row r="1442">
          <cell r="A1442">
            <v>5001</v>
          </cell>
        </row>
        <row r="1443">
          <cell r="A1443">
            <v>5002</v>
          </cell>
        </row>
        <row r="1444">
          <cell r="A1444">
            <v>5003</v>
          </cell>
        </row>
        <row r="1445">
          <cell r="A1445">
            <v>5004</v>
          </cell>
        </row>
        <row r="1446">
          <cell r="A1446">
            <v>5005</v>
          </cell>
        </row>
        <row r="1447">
          <cell r="A1447">
            <v>5006</v>
          </cell>
        </row>
        <row r="1448">
          <cell r="A1448">
            <v>5007</v>
          </cell>
        </row>
        <row r="1449">
          <cell r="A1449">
            <v>5008</v>
          </cell>
        </row>
        <row r="1450">
          <cell r="A1450">
            <v>6001</v>
          </cell>
        </row>
        <row r="1451">
          <cell r="A1451">
            <v>6002</v>
          </cell>
        </row>
        <row r="1452">
          <cell r="A1452">
            <v>6003</v>
          </cell>
        </row>
        <row r="1453">
          <cell r="A1453">
            <v>6004</v>
          </cell>
        </row>
        <row r="1454">
          <cell r="A1454">
            <v>6005</v>
          </cell>
        </row>
        <row r="1455">
          <cell r="A1455">
            <v>6006</v>
          </cell>
        </row>
        <row r="1456">
          <cell r="A1456">
            <v>6007</v>
          </cell>
        </row>
        <row r="1457">
          <cell r="A1457">
            <v>6008</v>
          </cell>
        </row>
        <row r="1458">
          <cell r="A1458">
            <v>6009</v>
          </cell>
        </row>
        <row r="1459">
          <cell r="A1459">
            <v>6010</v>
          </cell>
        </row>
        <row r="1460">
          <cell r="A1460">
            <v>6011</v>
          </cell>
        </row>
        <row r="1461">
          <cell r="A1461">
            <v>6012</v>
          </cell>
        </row>
        <row r="1462">
          <cell r="A1462">
            <v>6013</v>
          </cell>
        </row>
        <row r="1463">
          <cell r="A1463">
            <v>6014</v>
          </cell>
        </row>
        <row r="1464">
          <cell r="A1464">
            <v>6015</v>
          </cell>
        </row>
        <row r="1465">
          <cell r="A1465">
            <v>6016</v>
          </cell>
        </row>
        <row r="1466">
          <cell r="A1466">
            <v>6017</v>
          </cell>
        </row>
        <row r="1467">
          <cell r="A1467">
            <v>6018</v>
          </cell>
        </row>
        <row r="1468">
          <cell r="A1468">
            <v>6019</v>
          </cell>
        </row>
        <row r="1469">
          <cell r="A1469">
            <v>6020</v>
          </cell>
        </row>
        <row r="1470">
          <cell r="A1470">
            <v>8001</v>
          </cell>
        </row>
        <row r="1471">
          <cell r="A1471">
            <v>8002</v>
          </cell>
        </row>
        <row r="1472">
          <cell r="A1472">
            <v>8003</v>
          </cell>
        </row>
        <row r="1473">
          <cell r="A1473">
            <v>8004</v>
          </cell>
        </row>
        <row r="1474">
          <cell r="A1474">
            <v>8005</v>
          </cell>
        </row>
        <row r="1475">
          <cell r="A1475">
            <v>8006</v>
          </cell>
        </row>
        <row r="1476">
          <cell r="A1476">
            <v>8007</v>
          </cell>
        </row>
        <row r="1477">
          <cell r="A1477">
            <v>8008</v>
          </cell>
        </row>
        <row r="1478">
          <cell r="A1478">
            <v>8009</v>
          </cell>
        </row>
        <row r="1479">
          <cell r="A1479">
            <v>8010</v>
          </cell>
        </row>
        <row r="1480">
          <cell r="A1480">
            <v>8011</v>
          </cell>
        </row>
        <row r="1481">
          <cell r="A1481">
            <v>8012</v>
          </cell>
        </row>
        <row r="1482">
          <cell r="A1482">
            <v>8013</v>
          </cell>
        </row>
        <row r="1483">
          <cell r="A1483">
            <v>8014</v>
          </cell>
        </row>
        <row r="1484">
          <cell r="A1484">
            <v>8015</v>
          </cell>
        </row>
        <row r="1485">
          <cell r="A1485">
            <v>8016</v>
          </cell>
        </row>
        <row r="1486">
          <cell r="A1486">
            <v>8017</v>
          </cell>
        </row>
        <row r="1487">
          <cell r="A1487">
            <v>8018</v>
          </cell>
        </row>
        <row r="1488">
          <cell r="A1488">
            <v>8019</v>
          </cell>
        </row>
        <row r="1489">
          <cell r="A1489">
            <v>8020</v>
          </cell>
        </row>
        <row r="1490">
          <cell r="A1490">
            <v>8021</v>
          </cell>
        </row>
        <row r="1491">
          <cell r="A1491">
            <v>8022</v>
          </cell>
        </row>
        <row r="1492">
          <cell r="A1492">
            <v>8023</v>
          </cell>
        </row>
        <row r="1493">
          <cell r="A1493">
            <v>8024</v>
          </cell>
        </row>
        <row r="1494">
          <cell r="A1494">
            <v>8025</v>
          </cell>
        </row>
        <row r="1495">
          <cell r="A1495">
            <v>8026</v>
          </cell>
        </row>
        <row r="1496">
          <cell r="A1496">
            <v>8027</v>
          </cell>
        </row>
        <row r="1497">
          <cell r="A1497">
            <v>8028</v>
          </cell>
        </row>
        <row r="1498">
          <cell r="A1498">
            <v>8029</v>
          </cell>
        </row>
        <row r="1499">
          <cell r="A1499">
            <v>8030</v>
          </cell>
        </row>
        <row r="1500">
          <cell r="A1500">
            <v>8031</v>
          </cell>
        </row>
        <row r="1501">
          <cell r="A1501">
            <v>8032</v>
          </cell>
        </row>
        <row r="1502">
          <cell r="A1502">
            <v>8033</v>
          </cell>
        </row>
        <row r="1503">
          <cell r="A1503">
            <v>8034</v>
          </cell>
        </row>
        <row r="1504">
          <cell r="A1504">
            <v>8035</v>
          </cell>
        </row>
        <row r="1505">
          <cell r="A1505">
            <v>8036</v>
          </cell>
        </row>
        <row r="1506">
          <cell r="A1506">
            <v>8037</v>
          </cell>
        </row>
        <row r="1507">
          <cell r="A1507">
            <v>8038</v>
          </cell>
        </row>
        <row r="1508">
          <cell r="A1508">
            <v>8039</v>
          </cell>
        </row>
        <row r="1509">
          <cell r="A1509">
            <v>8040</v>
          </cell>
        </row>
        <row r="1510">
          <cell r="A1510">
            <v>8041</v>
          </cell>
        </row>
        <row r="1511">
          <cell r="A1511">
            <v>8042</v>
          </cell>
        </row>
        <row r="1512">
          <cell r="A1512">
            <v>8043</v>
          </cell>
        </row>
        <row r="1513">
          <cell r="A1513">
            <v>8044</v>
          </cell>
        </row>
        <row r="1514">
          <cell r="A1514">
            <v>8045</v>
          </cell>
        </row>
        <row r="1515">
          <cell r="A1515">
            <v>8046</v>
          </cell>
        </row>
        <row r="1516">
          <cell r="A1516">
            <v>8047</v>
          </cell>
        </row>
        <row r="1517">
          <cell r="A1517">
            <v>8048</v>
          </cell>
        </row>
        <row r="1518">
          <cell r="A1518">
            <v>8049</v>
          </cell>
        </row>
        <row r="1519">
          <cell r="A1519">
            <v>8050</v>
          </cell>
        </row>
        <row r="1520">
          <cell r="A1520">
            <v>8051</v>
          </cell>
        </row>
        <row r="1521">
          <cell r="A1521">
            <v>8052</v>
          </cell>
        </row>
        <row r="1522">
          <cell r="A1522">
            <v>8053</v>
          </cell>
        </row>
        <row r="1523">
          <cell r="A1523">
            <v>8054</v>
          </cell>
        </row>
        <row r="1524">
          <cell r="A1524">
            <v>8055</v>
          </cell>
        </row>
        <row r="1525">
          <cell r="A1525">
            <v>8056</v>
          </cell>
        </row>
        <row r="1526">
          <cell r="A1526">
            <v>8057</v>
          </cell>
        </row>
        <row r="1527">
          <cell r="A1527">
            <v>8058</v>
          </cell>
        </row>
        <row r="1528">
          <cell r="A1528">
            <v>8059</v>
          </cell>
        </row>
        <row r="1529">
          <cell r="A1529">
            <v>8060</v>
          </cell>
        </row>
        <row r="1530">
          <cell r="A1530">
            <v>8061</v>
          </cell>
        </row>
        <row r="1531">
          <cell r="A1531">
            <v>8062</v>
          </cell>
        </row>
        <row r="1532">
          <cell r="A1532">
            <v>8063</v>
          </cell>
        </row>
        <row r="1533">
          <cell r="A1533">
            <v>8064</v>
          </cell>
        </row>
        <row r="1534">
          <cell r="A1534">
            <v>8065</v>
          </cell>
        </row>
        <row r="1535">
          <cell r="A1535">
            <v>8066</v>
          </cell>
        </row>
        <row r="1536">
          <cell r="A1536">
            <v>8067</v>
          </cell>
        </row>
        <row r="1537">
          <cell r="A1537">
            <v>8068</v>
          </cell>
        </row>
        <row r="1538">
          <cell r="A1538">
            <v>8069</v>
          </cell>
        </row>
        <row r="1539">
          <cell r="A1539">
            <v>8070</v>
          </cell>
        </row>
        <row r="1540">
          <cell r="A1540">
            <v>8071</v>
          </cell>
        </row>
        <row r="1541">
          <cell r="A1541">
            <v>8072</v>
          </cell>
        </row>
        <row r="1542">
          <cell r="A1542">
            <v>8073</v>
          </cell>
        </row>
        <row r="1543">
          <cell r="A1543">
            <v>8074</v>
          </cell>
        </row>
        <row r="1544">
          <cell r="A1544">
            <v>8075</v>
          </cell>
        </row>
        <row r="1545">
          <cell r="A1545">
            <v>8076</v>
          </cell>
        </row>
        <row r="1546">
          <cell r="A1546">
            <v>8077</v>
          </cell>
        </row>
        <row r="1547">
          <cell r="A1547">
            <v>8078</v>
          </cell>
        </row>
        <row r="1548">
          <cell r="A1548">
            <v>8079</v>
          </cell>
        </row>
        <row r="1549">
          <cell r="A1549">
            <v>8080</v>
          </cell>
        </row>
        <row r="1550">
          <cell r="A1550">
            <v>8081</v>
          </cell>
        </row>
        <row r="1551">
          <cell r="A1551">
            <v>8082</v>
          </cell>
        </row>
        <row r="1552">
          <cell r="A1552">
            <v>8083</v>
          </cell>
        </row>
        <row r="1553">
          <cell r="A1553">
            <v>8084</v>
          </cell>
        </row>
        <row r="1554">
          <cell r="A1554">
            <v>8087</v>
          </cell>
        </row>
        <row r="1555">
          <cell r="A1555">
            <v>8088</v>
          </cell>
        </row>
        <row r="1556">
          <cell r="A1556">
            <v>8089</v>
          </cell>
        </row>
        <row r="1557">
          <cell r="A1557">
            <v>8090</v>
          </cell>
        </row>
        <row r="1558">
          <cell r="A1558">
            <v>8095</v>
          </cell>
        </row>
        <row r="1559">
          <cell r="A1559">
            <v>8096</v>
          </cell>
        </row>
        <row r="1560">
          <cell r="A1560">
            <v>8097</v>
          </cell>
        </row>
        <row r="1561">
          <cell r="A1561">
            <v>8098</v>
          </cell>
        </row>
        <row r="1562">
          <cell r="A1562">
            <v>8099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I27" sqref="I27"/>
    </sheetView>
  </sheetViews>
  <sheetFormatPr baseColWidth="12" defaultRowHeight="15" x14ac:dyDescent="0.15"/>
  <cols>
    <col min="2" max="2" width="21" bestFit="1" customWidth="1"/>
    <col min="5" max="5" width="26.83203125" bestFit="1" customWidth="1"/>
    <col min="6" max="6" width="22.1640625" bestFit="1" customWidth="1"/>
  </cols>
  <sheetData>
    <row r="1" spans="1:30" x14ac:dyDescent="0.15">
      <c r="A1" s="57" t="s">
        <v>131</v>
      </c>
      <c r="B1" s="52" t="s">
        <v>101</v>
      </c>
      <c r="C1" s="52" t="s">
        <v>102</v>
      </c>
      <c r="D1" s="52" t="s">
        <v>103</v>
      </c>
      <c r="E1" s="52" t="s">
        <v>104</v>
      </c>
      <c r="F1" s="52" t="s">
        <v>105</v>
      </c>
      <c r="G1" s="52" t="s">
        <v>106</v>
      </c>
      <c r="H1" s="52"/>
      <c r="I1" s="52"/>
      <c r="J1" s="52"/>
      <c r="K1" s="52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</row>
    <row r="2" spans="1:30" x14ac:dyDescent="0.15">
      <c r="A2" s="58" t="s">
        <v>213</v>
      </c>
      <c r="B2" s="54" t="s">
        <v>107</v>
      </c>
      <c r="C2" s="59">
        <v>11229</v>
      </c>
      <c r="D2" s="54" t="s">
        <v>108</v>
      </c>
      <c r="E2" s="53" t="str">
        <f>B2&amp;C2&amp;D2</f>
        <v>floors_11229.tmp</v>
      </c>
      <c r="F2" s="54" t="s">
        <v>109</v>
      </c>
      <c r="G2" s="55" t="s">
        <v>0</v>
      </c>
      <c r="H2" s="55" t="s">
        <v>1</v>
      </c>
      <c r="I2" s="55" t="s">
        <v>13</v>
      </c>
      <c r="J2" s="55" t="s">
        <v>14</v>
      </c>
      <c r="K2" s="55" t="s">
        <v>15</v>
      </c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54"/>
      <c r="AC2" s="54"/>
    </row>
    <row r="3" spans="1:30" x14ac:dyDescent="0.15">
      <c r="A3" s="58" t="s">
        <v>213</v>
      </c>
      <c r="B3" s="54" t="s">
        <v>110</v>
      </c>
      <c r="C3" s="99">
        <f>$C$2</f>
        <v>11229</v>
      </c>
      <c r="D3" s="54" t="s">
        <v>108</v>
      </c>
      <c r="E3" s="53" t="str">
        <f>B3&amp;C3&amp;D3</f>
        <v>enemy_habitats_11229.tmp</v>
      </c>
      <c r="F3" s="54" t="s">
        <v>111</v>
      </c>
      <c r="G3" s="55" t="s">
        <v>0</v>
      </c>
      <c r="H3" s="55" t="s">
        <v>1</v>
      </c>
      <c r="I3" s="55" t="s">
        <v>13</v>
      </c>
      <c r="J3" s="55" t="s">
        <v>2</v>
      </c>
      <c r="K3" s="55" t="s">
        <v>3</v>
      </c>
      <c r="L3" s="55" t="s">
        <v>47</v>
      </c>
      <c r="M3" s="55" t="s">
        <v>49</v>
      </c>
      <c r="N3" s="55" t="s">
        <v>51</v>
      </c>
      <c r="O3" s="55" t="s">
        <v>22</v>
      </c>
      <c r="P3" s="55" t="s">
        <v>5</v>
      </c>
      <c r="Q3" s="55" t="s">
        <v>6</v>
      </c>
      <c r="R3" s="55" t="s">
        <v>7</v>
      </c>
      <c r="S3" s="55" t="s">
        <v>8</v>
      </c>
      <c r="T3" s="55" t="s">
        <v>9</v>
      </c>
      <c r="U3" s="55" t="s">
        <v>10</v>
      </c>
      <c r="V3" s="55" t="s">
        <v>11</v>
      </c>
      <c r="W3" s="55" t="s">
        <v>12</v>
      </c>
      <c r="X3" s="55" t="s">
        <v>37</v>
      </c>
      <c r="Y3" s="55" t="s">
        <v>39</v>
      </c>
      <c r="Z3" s="55" t="s">
        <v>41</v>
      </c>
      <c r="AA3" s="55" t="s">
        <v>43</v>
      </c>
      <c r="AB3" s="55" t="s">
        <v>45</v>
      </c>
      <c r="AC3" s="55" t="s">
        <v>54</v>
      </c>
      <c r="AD3" s="55" t="s">
        <v>180</v>
      </c>
    </row>
    <row r="4" spans="1:30" x14ac:dyDescent="0.15">
      <c r="A4" s="58" t="s">
        <v>213</v>
      </c>
      <c r="B4" s="54" t="s">
        <v>112</v>
      </c>
      <c r="C4" s="99">
        <f t="shared" ref="C4:C13" si="0">$C$2</f>
        <v>11229</v>
      </c>
      <c r="D4" s="54" t="s">
        <v>108</v>
      </c>
      <c r="E4" s="53" t="str">
        <f>B4&amp;C4&amp;D4</f>
        <v>enemy_habitat_S_11229.tmp</v>
      </c>
      <c r="F4" s="54" t="s">
        <v>113</v>
      </c>
      <c r="G4" s="55" t="s">
        <v>0</v>
      </c>
      <c r="H4" s="55" t="s">
        <v>1</v>
      </c>
      <c r="I4" s="55" t="s">
        <v>13</v>
      </c>
      <c r="J4" s="55" t="s">
        <v>54</v>
      </c>
      <c r="K4" s="55" t="s">
        <v>55</v>
      </c>
      <c r="L4" s="55" t="s">
        <v>56</v>
      </c>
      <c r="M4" s="55" t="s">
        <v>57</v>
      </c>
      <c r="N4" s="55" t="s">
        <v>58</v>
      </c>
      <c r="O4" s="55" t="s">
        <v>59</v>
      </c>
      <c r="P4" s="55" t="s">
        <v>48</v>
      </c>
      <c r="Q4" s="55" t="s">
        <v>50</v>
      </c>
      <c r="R4" s="55" t="s">
        <v>52</v>
      </c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</row>
    <row r="5" spans="1:30" x14ac:dyDescent="0.15">
      <c r="A5" s="58" t="s">
        <v>213</v>
      </c>
      <c r="B5" s="54" t="s">
        <v>114</v>
      </c>
      <c r="C5" s="99">
        <f t="shared" si="0"/>
        <v>11229</v>
      </c>
      <c r="D5" s="54" t="s">
        <v>108</v>
      </c>
      <c r="E5" s="53" t="str">
        <f>B5&amp;C5&amp;D5</f>
        <v>enemy_skill_sets_11229.tmp</v>
      </c>
      <c r="F5" s="54" t="s">
        <v>115</v>
      </c>
      <c r="G5" s="56" t="s">
        <v>22</v>
      </c>
      <c r="H5" s="56" t="s">
        <v>100</v>
      </c>
      <c r="I5" s="56" t="s">
        <v>95</v>
      </c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/>
    </row>
    <row r="6" spans="1:30" x14ac:dyDescent="0.15">
      <c r="A6" s="58" t="s">
        <v>213</v>
      </c>
      <c r="B6" s="54" t="s">
        <v>116</v>
      </c>
      <c r="C6" s="99">
        <f t="shared" si="0"/>
        <v>11229</v>
      </c>
      <c r="D6" s="54" t="s">
        <v>117</v>
      </c>
      <c r="E6" s="53" t="str">
        <f t="shared" ref="E6:E11" si="1">B6&amp;C6&amp;D6</f>
        <v>enemy_skills_tmp_11229.tmp</v>
      </c>
      <c r="F6" s="54" t="s">
        <v>91</v>
      </c>
      <c r="G6" s="55" t="s">
        <v>79</v>
      </c>
      <c r="H6" s="55" t="s">
        <v>80</v>
      </c>
      <c r="I6" s="55" t="s">
        <v>81</v>
      </c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</row>
    <row r="7" spans="1:30" x14ac:dyDescent="0.15">
      <c r="A7" s="58" t="s">
        <v>213</v>
      </c>
      <c r="B7" s="54" t="s">
        <v>118</v>
      </c>
      <c r="C7" s="99">
        <f t="shared" si="0"/>
        <v>11229</v>
      </c>
      <c r="D7" s="54" t="s">
        <v>108</v>
      </c>
      <c r="E7" s="53" t="str">
        <f>B7&amp;C7&amp;D7</f>
        <v>enemy_skills_i18n_11229.tmp</v>
      </c>
      <c r="F7" s="54" t="s">
        <v>119</v>
      </c>
      <c r="G7" s="55" t="s">
        <v>79</v>
      </c>
      <c r="H7" s="55" t="s">
        <v>92</v>
      </c>
      <c r="I7" s="55" t="s">
        <v>93</v>
      </c>
      <c r="J7" s="55" t="s">
        <v>94</v>
      </c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</row>
    <row r="8" spans="1:30" x14ac:dyDescent="0.15">
      <c r="A8" s="58" t="s">
        <v>213</v>
      </c>
      <c r="B8" s="54" t="s">
        <v>120</v>
      </c>
      <c r="C8" s="99">
        <f t="shared" si="0"/>
        <v>11229</v>
      </c>
      <c r="D8" s="54" t="s">
        <v>121</v>
      </c>
      <c r="E8" s="53" t="str">
        <f t="shared" si="1"/>
        <v>enemy_skill_triggers_11229.tmp</v>
      </c>
      <c r="F8" s="54" t="s">
        <v>122</v>
      </c>
      <c r="G8" s="55" t="s">
        <v>95</v>
      </c>
      <c r="H8" s="55" t="s">
        <v>96</v>
      </c>
      <c r="I8" s="55" t="s">
        <v>97</v>
      </c>
      <c r="J8" s="55" t="s">
        <v>98</v>
      </c>
      <c r="K8" s="55" t="s">
        <v>123</v>
      </c>
      <c r="L8" s="55" t="s">
        <v>99</v>
      </c>
      <c r="M8" s="55" t="s">
        <v>124</v>
      </c>
      <c r="N8" s="55" t="s">
        <v>125</v>
      </c>
      <c r="O8" s="55" t="s">
        <v>126</v>
      </c>
      <c r="P8" s="55" t="s">
        <v>67</v>
      </c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</row>
    <row r="9" spans="1:30" x14ac:dyDescent="0.15">
      <c r="A9" s="58" t="s">
        <v>214</v>
      </c>
      <c r="B9" s="63" t="s">
        <v>179</v>
      </c>
      <c r="C9" s="99">
        <f t="shared" si="0"/>
        <v>11229</v>
      </c>
      <c r="D9" s="63" t="s">
        <v>173</v>
      </c>
      <c r="E9" s="64" t="str">
        <f t="shared" si="1"/>
        <v>stage_bug_bonuses_11229.tmp</v>
      </c>
      <c r="F9" s="63" t="s">
        <v>174</v>
      </c>
      <c r="G9" s="60" t="s">
        <v>151</v>
      </c>
      <c r="H9" s="60" t="s">
        <v>175</v>
      </c>
      <c r="I9" s="60" t="s">
        <v>176</v>
      </c>
      <c r="J9" s="62" t="s">
        <v>177</v>
      </c>
      <c r="K9" s="60" t="s">
        <v>178</v>
      </c>
      <c r="L9" s="60" t="s">
        <v>157</v>
      </c>
      <c r="M9" s="60" t="s">
        <v>158</v>
      </c>
      <c r="N9" s="60" t="s">
        <v>159</v>
      </c>
      <c r="O9" s="60" t="s">
        <v>160</v>
      </c>
      <c r="P9" s="60" t="s">
        <v>161</v>
      </c>
      <c r="Q9" s="60" t="s">
        <v>162</v>
      </c>
      <c r="R9" s="60" t="s">
        <v>163</v>
      </c>
      <c r="S9" s="60" t="s">
        <v>164</v>
      </c>
      <c r="T9" s="60" t="s">
        <v>165</v>
      </c>
      <c r="U9" s="60" t="s">
        <v>166</v>
      </c>
      <c r="V9" s="60" t="s">
        <v>167</v>
      </c>
      <c r="W9" s="60" t="s">
        <v>168</v>
      </c>
    </row>
    <row r="10" spans="1:30" s="71" customFormat="1" x14ac:dyDescent="0.15">
      <c r="A10" s="58" t="s">
        <v>281</v>
      </c>
      <c r="B10" s="63" t="s">
        <v>202</v>
      </c>
      <c r="C10" s="99">
        <f t="shared" si="0"/>
        <v>11229</v>
      </c>
      <c r="D10" s="63" t="s">
        <v>182</v>
      </c>
      <c r="E10" s="64" t="str">
        <f t="shared" si="1"/>
        <v>stage_hints_data_c_11229.tmp</v>
      </c>
      <c r="F10" s="63" t="s">
        <v>210</v>
      </c>
      <c r="G10" s="69" t="s">
        <v>183</v>
      </c>
      <c r="H10" s="69" t="s">
        <v>175</v>
      </c>
      <c r="I10" s="70" t="s">
        <v>184</v>
      </c>
      <c r="J10" s="62" t="s">
        <v>185</v>
      </c>
      <c r="K10" s="62" t="s">
        <v>186</v>
      </c>
    </row>
    <row r="11" spans="1:30" s="71" customFormat="1" x14ac:dyDescent="0.15">
      <c r="A11" s="58" t="s">
        <v>281</v>
      </c>
      <c r="B11" s="63" t="s">
        <v>277</v>
      </c>
      <c r="C11" s="99">
        <f t="shared" si="0"/>
        <v>11229</v>
      </c>
      <c r="D11" s="63" t="s">
        <v>173</v>
      </c>
      <c r="E11" s="64" t="str">
        <f t="shared" si="1"/>
        <v>stage_hints_i18n_c_11229.tmp</v>
      </c>
      <c r="F11" s="63" t="s">
        <v>210</v>
      </c>
      <c r="G11" s="70" t="s">
        <v>184</v>
      </c>
      <c r="H11" s="91" t="s">
        <v>127</v>
      </c>
      <c r="I11" s="69" t="s">
        <v>187</v>
      </c>
      <c r="J11" s="98" t="s">
        <v>208</v>
      </c>
      <c r="K11" s="62" t="s">
        <v>188</v>
      </c>
    </row>
    <row r="12" spans="1:30" s="71" customFormat="1" x14ac:dyDescent="0.15">
      <c r="A12" s="58" t="s">
        <v>274</v>
      </c>
      <c r="B12" s="63" t="s">
        <v>203</v>
      </c>
      <c r="C12" s="99">
        <f t="shared" si="0"/>
        <v>11229</v>
      </c>
      <c r="D12" s="63" t="s">
        <v>173</v>
      </c>
      <c r="E12" s="64" t="str">
        <f t="shared" ref="E12:E13" si="2">B12&amp;C12&amp;D12</f>
        <v>stage_hints_data_f_11229.tmp</v>
      </c>
      <c r="F12" s="63" t="s">
        <v>211</v>
      </c>
      <c r="G12" s="69" t="s">
        <v>183</v>
      </c>
      <c r="H12" s="69" t="s">
        <v>175</v>
      </c>
      <c r="I12" s="70" t="s">
        <v>184</v>
      </c>
      <c r="J12" s="62" t="s">
        <v>185</v>
      </c>
      <c r="K12" s="62" t="s">
        <v>186</v>
      </c>
    </row>
    <row r="13" spans="1:30" s="71" customFormat="1" x14ac:dyDescent="0.15">
      <c r="A13" s="63" t="s">
        <v>275</v>
      </c>
      <c r="B13" s="63" t="s">
        <v>204</v>
      </c>
      <c r="C13" s="99">
        <f t="shared" si="0"/>
        <v>11229</v>
      </c>
      <c r="D13" s="63" t="s">
        <v>173</v>
      </c>
      <c r="E13" s="64" t="str">
        <f t="shared" si="2"/>
        <v>stage_hints_i18n_11229.tmp</v>
      </c>
      <c r="F13" s="63" t="s">
        <v>212</v>
      </c>
      <c r="G13" s="70" t="s">
        <v>205</v>
      </c>
      <c r="H13" s="91" t="s">
        <v>206</v>
      </c>
      <c r="I13" s="69" t="s">
        <v>207</v>
      </c>
      <c r="J13" s="98" t="s">
        <v>208</v>
      </c>
      <c r="K13" s="62" t="s">
        <v>209</v>
      </c>
    </row>
  </sheetData>
  <phoneticPr fontId="5"/>
  <dataValidations count="1">
    <dataValidation type="list" allowBlank="1" showInputMessage="1" showErrorMessage="1" sqref="A2:A12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6"/>
  <sheetViews>
    <sheetView showGridLines="0" workbookViewId="0">
      <pane ySplit="1" topLeftCell="A2" activePane="bottomLeft" state="frozen"/>
      <selection activeCell="V2" sqref="V2:X34"/>
      <selection pane="bottomLeft" activeCell="I3" sqref="I3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11229_1-1</v>
      </c>
      <c r="B2" s="16" t="str">
        <f>IF(COUNTIF(enemy_habitats!$H:$H,A2),"OK","NG")</f>
        <v>OK</v>
      </c>
      <c r="C2" s="7">
        <v>11229</v>
      </c>
      <c r="D2" s="11" t="str">
        <f ca="1">VLOOKUP($C2,OFFSET([2]quests!$A$1,0,0,COUNTA([2]quests!$A:$A),MATCH(D$1,[2]quests!$1:$1,0)-MATCH($C$1,[2]quests!$1:$1,0)+1),MATCH(D$1,[2]quests!$1:$1,0)-MATCH($C$1,[2]quests!$1:$1,0)+1,FALSE)</f>
        <v>ホワイトデー★特別クエスト</v>
      </c>
      <c r="E2" s="18" t="str">
        <f ca="1">VLOOKUP($C2,OFFSET([2]quests!$A$1,0,0,COUNTA([2]quests!$A:$A),MATCH(E$1,[2]quests!$1:$1,0)-MATCH($C$1,[2]quests!$1:$1,0)+1),MATCH(E$1,[2]quests!$1:$1,0)-MATCH($C$1,[2]quests!$1:$1,0)+1,FALSE)</f>
        <v>2016年ホワイトデークエスト復刻</v>
      </c>
      <c r="F2" s="21">
        <v>1</v>
      </c>
      <c r="G2" s="23" t="str">
        <f>C2&amp;"_"&amp;F2</f>
        <v>11229_1</v>
      </c>
      <c r="H2" s="15" t="str">
        <f ca="1">VLOOKUP($G2,OFFSET([2]stages!$A$1,0,0,COUNTA([2]stages!$A:$A),MATCH(H$1,[2]stages!$2:$2,0)-MATCH($G$1,[2]stages!$2:$2,0)+1),MATCH(H$1,[2]stages!$2:$2,0)-MATCH($G$1,[2]stages!$2:$2,0)+1,FALSE)</f>
        <v>【ストーリー】ホワイトデー独騒曲</v>
      </c>
      <c r="I2" s="21">
        <v>1</v>
      </c>
      <c r="J2" s="12">
        <v>30</v>
      </c>
      <c r="K2" s="12">
        <v>30</v>
      </c>
    </row>
    <row r="3" spans="1:11" ht="21" customHeight="1" x14ac:dyDescent="0.15">
      <c r="A3" s="16" t="str">
        <f t="shared" ref="A3:A6" si="0">G3&amp;"-"&amp;I3</f>
        <v>11229_1-2</v>
      </c>
      <c r="B3" s="16" t="str">
        <f>IF(COUNTIF(enemy_habitats!$H:$H,A3),"OK","NG")</f>
        <v>OK</v>
      </c>
      <c r="C3" s="7">
        <v>11229</v>
      </c>
      <c r="D3" s="11" t="str">
        <f ca="1">VLOOKUP($C3,OFFSET([2]quests!$A$1,0,0,COUNTA([2]quests!$A:$A),MATCH(D$1,[2]quests!$1:$1,0)-MATCH($C$1,[2]quests!$1:$1,0)+1),MATCH(D$1,[2]quests!$1:$1,0)-MATCH($C$1,[2]quests!$1:$1,0)+1,FALSE)</f>
        <v>ホワイトデー★特別クエスト</v>
      </c>
      <c r="E3" s="18" t="str">
        <f ca="1">VLOOKUP($C3,OFFSET([2]quests!$A$1,0,0,COUNTA([2]quests!$A:$A),MATCH(E$1,[2]quests!$1:$1,0)-MATCH($C$1,[2]quests!$1:$1,0)+1),MATCH(E$1,[2]quests!$1:$1,0)-MATCH($C$1,[2]quests!$1:$1,0)+1,FALSE)</f>
        <v>2016年ホワイトデークエスト復刻</v>
      </c>
      <c r="F3" s="21">
        <v>1</v>
      </c>
      <c r="G3" s="23" t="str">
        <f t="shared" ref="G3:G6" si="1">C3&amp;"_"&amp;F3</f>
        <v>11229_1</v>
      </c>
      <c r="H3" s="15" t="str">
        <f ca="1">VLOOKUP($G3,OFFSET([2]stages!$A$1,0,0,COUNTA([2]stages!$A:$A),MATCH(H$1,[2]stages!$2:$2,0)-MATCH($G$1,[2]stages!$2:$2,0)+1),MATCH(H$1,[2]stages!$2:$2,0)-MATCH($G$1,[2]stages!$2:$2,0)+1,FALSE)</f>
        <v>【ストーリー】ホワイトデー独騒曲</v>
      </c>
      <c r="I3" s="21">
        <v>2</v>
      </c>
      <c r="J3" s="12">
        <v>15</v>
      </c>
      <c r="K3" s="12">
        <v>15</v>
      </c>
    </row>
    <row r="4" spans="1:11" ht="21" customHeight="1" x14ac:dyDescent="0.15">
      <c r="A4" s="16" t="str">
        <f t="shared" si="0"/>
        <v>11229_1-3</v>
      </c>
      <c r="B4" s="16" t="str">
        <f>IF(COUNTIF(enemy_habitats!$H:$H,A4),"OK","NG")</f>
        <v>OK</v>
      </c>
      <c r="C4" s="7">
        <v>11229</v>
      </c>
      <c r="D4" s="11" t="str">
        <f ca="1">VLOOKUP($C4,OFFSET([2]quests!$A$1,0,0,COUNTA([2]quests!$A:$A),MATCH(D$1,[2]quests!$1:$1,0)-MATCH($C$1,[2]quests!$1:$1,0)+1),MATCH(D$1,[2]quests!$1:$1,0)-MATCH($C$1,[2]quests!$1:$1,0)+1,FALSE)</f>
        <v>ホワイトデー★特別クエスト</v>
      </c>
      <c r="E4" s="18" t="str">
        <f ca="1">VLOOKUP($C4,OFFSET([2]quests!$A$1,0,0,COUNTA([2]quests!$A:$A),MATCH(E$1,[2]quests!$1:$1,0)-MATCH($C$1,[2]quests!$1:$1,0)+1),MATCH(E$1,[2]quests!$1:$1,0)-MATCH($C$1,[2]quests!$1:$1,0)+1,FALSE)</f>
        <v>2016年ホワイトデークエスト復刻</v>
      </c>
      <c r="F4" s="21">
        <v>1</v>
      </c>
      <c r="G4" s="23" t="str">
        <f t="shared" si="1"/>
        <v>11229_1</v>
      </c>
      <c r="H4" s="15" t="str">
        <f ca="1">VLOOKUP($G4,OFFSET([2]stages!$A$1,0,0,COUNTA([2]stages!$A:$A),MATCH(H$1,[2]stages!$2:$2,0)-MATCH($G$1,[2]stages!$2:$2,0)+1),MATCH(H$1,[2]stages!$2:$2,0)-MATCH($G$1,[2]stages!$2:$2,0)+1,FALSE)</f>
        <v>【ストーリー】ホワイトデー独騒曲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11229_1-4</v>
      </c>
      <c r="B5" s="16" t="str">
        <f>IF(COUNTIF(enemy_habitats!$H:$H,A5),"OK","NG")</f>
        <v>OK</v>
      </c>
      <c r="C5" s="7">
        <v>11229</v>
      </c>
      <c r="D5" s="11" t="str">
        <f ca="1">VLOOKUP($C5,OFFSET([2]quests!$A$1,0,0,COUNTA([2]quests!$A:$A),MATCH(D$1,[2]quests!$1:$1,0)-MATCH($C$1,[2]quests!$1:$1,0)+1),MATCH(D$1,[2]quests!$1:$1,0)-MATCH($C$1,[2]quests!$1:$1,0)+1,FALSE)</f>
        <v>ホワイトデー★特別クエスト</v>
      </c>
      <c r="E5" s="18" t="str">
        <f ca="1">VLOOKUP($C5,OFFSET([2]quests!$A$1,0,0,COUNTA([2]quests!$A:$A),MATCH(E$1,[2]quests!$1:$1,0)-MATCH($C$1,[2]quests!$1:$1,0)+1),MATCH(E$1,[2]quests!$1:$1,0)-MATCH($C$1,[2]quests!$1:$1,0)+1,FALSE)</f>
        <v>2016年ホワイトデークエスト復刻</v>
      </c>
      <c r="F5" s="21">
        <v>1</v>
      </c>
      <c r="G5" s="23" t="str">
        <f t="shared" si="1"/>
        <v>11229_1</v>
      </c>
      <c r="H5" s="15" t="str">
        <f ca="1">VLOOKUP($G5,OFFSET([2]stages!$A$1,0,0,COUNTA([2]stages!$A:$A),MATCH(H$1,[2]stages!$2:$2,0)-MATCH($G$1,[2]stages!$2:$2,0)+1),MATCH(H$1,[2]stages!$2:$2,0)-MATCH($G$1,[2]stages!$2:$2,0)+1,FALSE)</f>
        <v>【ストーリー】ホワイトデー独騒曲</v>
      </c>
      <c r="I5" s="21">
        <v>4</v>
      </c>
      <c r="J5" s="12">
        <v>60</v>
      </c>
      <c r="K5" s="12">
        <v>60</v>
      </c>
    </row>
    <row r="6" spans="1:11" ht="21" customHeight="1" x14ac:dyDescent="0.15">
      <c r="A6" s="16" t="str">
        <f t="shared" si="0"/>
        <v>11229_1-5</v>
      </c>
      <c r="B6" s="16" t="str">
        <f>IF(COUNTIF(enemy_habitats!$H:$H,A6),"OK","NG")</f>
        <v>OK</v>
      </c>
      <c r="C6" s="7">
        <v>11229</v>
      </c>
      <c r="D6" s="11" t="str">
        <f ca="1">VLOOKUP($C6,OFFSET([2]quests!$A$1,0,0,COUNTA([2]quests!$A:$A),MATCH(D$1,[2]quests!$1:$1,0)-MATCH($C$1,[2]quests!$1:$1,0)+1),MATCH(D$1,[2]quests!$1:$1,0)-MATCH($C$1,[2]quests!$1:$1,0)+1,FALSE)</f>
        <v>ホワイトデー★特別クエスト</v>
      </c>
      <c r="E6" s="18" t="str">
        <f ca="1">VLOOKUP($C6,OFFSET([2]quests!$A$1,0,0,COUNTA([2]quests!$A:$A),MATCH(E$1,[2]quests!$1:$1,0)-MATCH($C$1,[2]quests!$1:$1,0)+1),MATCH(E$1,[2]quests!$1:$1,0)-MATCH($C$1,[2]quests!$1:$1,0)+1,FALSE)</f>
        <v>2016年ホワイトデークエスト復刻</v>
      </c>
      <c r="F6" s="21">
        <v>1</v>
      </c>
      <c r="G6" s="23" t="str">
        <f t="shared" si="1"/>
        <v>11229_1</v>
      </c>
      <c r="H6" s="15" t="str">
        <f ca="1">VLOOKUP($G6,OFFSET([2]stages!$A$1,0,0,COUNTA([2]stages!$A:$A),MATCH(H$1,[2]stages!$2:$2,0)-MATCH($G$1,[2]stages!$2:$2,0)+1),MATCH(H$1,[2]stages!$2:$2,0)-MATCH($G$1,[2]stages!$2:$2,0)+1,FALSE)</f>
        <v>【ストーリー】ホワイトデー独騒曲</v>
      </c>
      <c r="I6" s="21">
        <v>5</v>
      </c>
      <c r="J6" s="12">
        <v>60</v>
      </c>
      <c r="K6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15"/>
  <sheetViews>
    <sheetView showGridLines="0" zoomScale="75" zoomScaleNormal="75" zoomScalePageLayoutView="75" workbookViewId="0">
      <pane xSplit="17" ySplit="1" topLeftCell="AB2" activePane="bottomRight" state="frozen"/>
      <selection pane="topRight" activeCell="N1" sqref="N1"/>
      <selection pane="bottomLeft" activeCell="A2" sqref="A2"/>
      <selection pane="bottomRight" activeCell="F15" sqref="F15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10" width="12.33203125" style="3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26" t="s">
        <v>50</v>
      </c>
      <c r="U1" s="26" t="s">
        <v>52</v>
      </c>
      <c r="V1" s="29" t="s">
        <v>31</v>
      </c>
      <c r="W1" s="28" t="s">
        <v>4</v>
      </c>
      <c r="X1" s="28" t="s">
        <v>5</v>
      </c>
      <c r="Y1" s="28" t="s">
        <v>6</v>
      </c>
      <c r="Z1" s="28" t="s">
        <v>7</v>
      </c>
      <c r="AA1" s="28" t="s">
        <v>8</v>
      </c>
      <c r="AB1" s="33" t="s">
        <v>9</v>
      </c>
      <c r="AC1" s="34" t="s">
        <v>16</v>
      </c>
      <c r="AD1" s="34" t="s">
        <v>17</v>
      </c>
      <c r="AE1" s="34" t="s">
        <v>27</v>
      </c>
      <c r="AF1" s="33" t="s">
        <v>10</v>
      </c>
      <c r="AG1" s="28" t="s">
        <v>11</v>
      </c>
      <c r="AH1" s="28" t="s">
        <v>12</v>
      </c>
      <c r="AI1" s="28" t="s">
        <v>38</v>
      </c>
      <c r="AJ1" s="28" t="s">
        <v>40</v>
      </c>
      <c r="AK1" s="28" t="s">
        <v>42</v>
      </c>
      <c r="AL1" s="28" t="s">
        <v>44</v>
      </c>
      <c r="AM1" s="28" t="s">
        <v>46</v>
      </c>
      <c r="AN1" s="36" t="s">
        <v>181</v>
      </c>
    </row>
    <row r="2" spans="1:40" ht="21" customHeight="1" x14ac:dyDescent="0.15">
      <c r="A2" s="16" t="str">
        <f ca="1">B2&amp;"_"&amp;C2&amp;"-"&amp;G2&amp;"/"&amp;L2&amp;"&lt;lv"&amp;R2&amp;"&gt;s"&amp;AA2</f>
        <v>11229_1-1/680&lt;lv10&gt;s3</v>
      </c>
      <c r="B2" s="22">
        <v>11229</v>
      </c>
      <c r="C2" s="21">
        <v>1</v>
      </c>
      <c r="D2" s="2" t="str">
        <f>B2&amp;"_"&amp;C2</f>
        <v>11229_1</v>
      </c>
      <c r="E2" s="4" t="str">
        <f ca="1">VLOOKUP($B2,OFFSET([2]quests!$A$1,0,0,COUNTA([2]quests!$A:$A),MATCH(E$1,[2]quests!$1:$1,0)-MATCH($B$1,[2]quests!$1:$1,0)+1),MATCH(E$1,[2]quests!$1:$1,0)-MATCH($B$1,[2]quests!$1:$1,0)+1,FALSE)</f>
        <v>ホワイトデー★特別クエスト</v>
      </c>
      <c r="F2" s="4" t="str">
        <f ca="1">VLOOKUP($D2,OFFSET([2]stages!$A$1,0,0,COUNTA([2]stages!$A:$A),MATCH(F$1,[2]stages!$2:$2,0)-MATCH($D$1,[2]stages!$2:$2,0)+1),MATCH(F$1,[2]stages!$2:$2,0)-MATCH($D$1,[2]stages!$2:$2,0)+1,FALSE)</f>
        <v>【ストーリー】ホワイトデー独騒曲</v>
      </c>
      <c r="G2" s="21">
        <v>1</v>
      </c>
      <c r="H2" s="15" t="str">
        <f>B2&amp;"_"&amp;C2&amp;"-"&amp;G2</f>
        <v>11229_1-1</v>
      </c>
      <c r="I2" s="4">
        <f ca="1">VLOOKUP($H2,OFFSET(floors!$A$1,0,0,COUNTA(floors!$A:$A),MATCH(I$1,floors!$1:$1,0)-MATCH($H$1,floors!$1:$1,0)+1),MATCH(I$1,floors!$1:$1,0)-MATCH($H$1,floors!$1:$1,0)+1,FALSE)</f>
        <v>30</v>
      </c>
      <c r="J2" s="4">
        <f ca="1">VLOOKUP($H2,OFFSET(floors!$A$1,0,0,COUNTA(floors!$A:$A),MATCH(J$1,floors!$1:$1,0)-MATCH($H$1,floors!$1:$1,0)+1),MATCH(J$1,floors!$1:$1,0)-MATCH($H$1,floors!$1:$1,0)+1,FALSE)</f>
        <v>30</v>
      </c>
      <c r="K2" s="38" t="s">
        <v>53</v>
      </c>
      <c r="L2" s="20">
        <v>680</v>
      </c>
      <c r="M2" s="17" t="str">
        <f ca="1">VLOOKUP($L2,OFFSET([3]enemies!$A$1,0,0,COUNTA([3]enemies!$A:$A),MATCH(M$1,[3]enemies!$1:$1,0)-MATCH($L$1,[3]enemies!$1:$1,0)+1),MATCH(M$1,[3]enemies!$1:$1,0)-MATCH($L$1,[3]enemies!$1:$1,0)+1,FALSE)</f>
        <v>炎のプレゼントケロケロ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Material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f ca="1">VLOOKUP($L2,OFFSET([3]enemies!$A$1,0,0,COUNTA([3]enemies!$A:$A),MATCH(Q$1,[3]enemies!$1:$1,0)-MATCH($L$1,[3]enemies!$1:$1,0)+1),MATCH(Q$1,[3]enemies!$1:$1,0)-MATCH($L$1,[3]enemies!$1:$1,0)+1,FALSE)</f>
        <v>30</v>
      </c>
      <c r="R2" s="5">
        <v>10</v>
      </c>
      <c r="S2" s="25">
        <v>1</v>
      </c>
      <c r="T2" s="25">
        <v>1</v>
      </c>
      <c r="U2" s="5">
        <v>0</v>
      </c>
      <c r="V2" s="4" t="e">
        <f ca="1">VLOOKUP($W2,OFFSET([5]enemy_skill_sets!$B$1,0,0,COUNTA([5]enemy_skill_sets!$B:$B),MATCH(M$1,[5]enemy_skill_sets!$1:$1,0)-MATCH($W$1,[5]enemy_skill_sets!$1:$1,0)+2),MATCH(M$1,[5]enemy_skill_sets!$1:$1,0)-MATCH($W$1,[5]enemy_skill_sets!$1:$1,0)+2,FALSE)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2" s="4">
        <v>11229001</v>
      </c>
      <c r="X2" s="6">
        <v>0</v>
      </c>
      <c r="Y2" s="6">
        <v>25</v>
      </c>
      <c r="Z2" s="6">
        <v>1</v>
      </c>
      <c r="AA2" s="17">
        <f ca="1">VLOOKUP($L2,OFFSET([3]enemies!$A$1,0,0,COUNTA([3]enemies!$A:$A),MATCH(AA$1,[3]enemies!$1:$1,0)-MATCH($L$1,[3]enemies!$1:$1,0)+1),MATCH(AA$1,[3]enemies!$1:$1,0)-MATCH($L$1,[3]enemies!$1:$1,0)+1,FALSE)</f>
        <v>3</v>
      </c>
      <c r="AB2" s="24">
        <f>L2</f>
        <v>680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炎のプレゼントケロケロ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5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" s="7">
        <v>1</v>
      </c>
      <c r="AG2" s="24">
        <f ca="1">AD2</f>
        <v>5</v>
      </c>
      <c r="AH2" s="8">
        <v>100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65">
        <v>1</v>
      </c>
    </row>
    <row r="3" spans="1:40" ht="21" customHeight="1" x14ac:dyDescent="0.15">
      <c r="A3" s="16" t="str">
        <f ca="1">B3&amp;"_"&amp;C3&amp;"-"&amp;G3&amp;"/"&amp;L3&amp;"&lt;lv"&amp;R3&amp;"&gt;s"&amp;AA3</f>
        <v>11229_1-1/682&lt;lv10&gt;s3</v>
      </c>
      <c r="B3" s="22">
        <v>11229</v>
      </c>
      <c r="C3" s="21">
        <v>1</v>
      </c>
      <c r="D3" s="2" t="str">
        <f>B3&amp;"_"&amp;C3</f>
        <v>11229_1</v>
      </c>
      <c r="E3" s="4" t="str">
        <f ca="1">VLOOKUP($B3,OFFSET([2]quests!$A$1,0,0,COUNTA([2]quests!$A:$A),MATCH(E$1,[2]quests!$1:$1,0)-MATCH($B$1,[2]quests!$1:$1,0)+1),MATCH(E$1,[2]quests!$1:$1,0)-MATCH($B$1,[2]quests!$1:$1,0)+1,FALSE)</f>
        <v>ホワイトデー★特別クエスト</v>
      </c>
      <c r="F3" s="4" t="str">
        <f ca="1">VLOOKUP($D3,OFFSET([2]stages!$A$1,0,0,COUNTA([2]stages!$A:$A),MATCH(F$1,[2]stages!$2:$2,0)-MATCH($D$1,[2]stages!$2:$2,0)+1),MATCH(F$1,[2]stages!$2:$2,0)-MATCH($D$1,[2]stages!$2:$2,0)+1,FALSE)</f>
        <v>【ストーリー】ホワイトデー独騒曲</v>
      </c>
      <c r="G3" s="21">
        <v>1</v>
      </c>
      <c r="H3" s="15" t="str">
        <f>B3&amp;"_"&amp;C3&amp;"-"&amp;G3</f>
        <v>11229_1-1</v>
      </c>
      <c r="I3" s="4">
        <f ca="1">VLOOKUP($H3,OFFSET(floors!$A$1,0,0,COUNTA(floors!$A:$A),MATCH(I$1,floors!$1:$1,0)-MATCH($H$1,floors!$1:$1,0)+1),MATCH(I$1,floors!$1:$1,0)-MATCH($H$1,floors!$1:$1,0)+1,FALSE)</f>
        <v>30</v>
      </c>
      <c r="J3" s="4">
        <f ca="1">VLOOKUP($H3,OFFSET(floors!$A$1,0,0,COUNTA(floors!$A:$A),MATCH(J$1,floors!$1:$1,0)-MATCH($H$1,floors!$1:$1,0)+1),MATCH(J$1,floors!$1:$1,0)-MATCH($H$1,floors!$1:$1,0)+1,FALSE)</f>
        <v>30</v>
      </c>
      <c r="K3" s="38" t="s">
        <v>53</v>
      </c>
      <c r="L3" s="20">
        <v>682</v>
      </c>
      <c r="M3" s="17" t="str">
        <f ca="1">VLOOKUP($L3,OFFSET([3]enemies!$A$1,0,0,COUNTA([3]enemies!$A:$A),MATCH(M$1,[3]enemies!$1:$1,0)-MATCH($L$1,[3]enemies!$1:$1,0)+1),MATCH(M$1,[3]enemies!$1:$1,0)-MATCH($L$1,[3]enemies!$1:$1,0)+1,FALSE)</f>
        <v>森のプレゼントケロケロ</v>
      </c>
      <c r="N3" s="17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Material</v>
      </c>
      <c r="P3" s="17" t="str">
        <f ca="1">VLOOKUP($L3,OFFSET([3]enemies!$A$1,0,0,COUNTA([3]enemies!$A:$A),MATCH(P$1,[3]enemies!$1:$1,0)-MATCH($L$1,[3]enemies!$1:$1,0)+1),MATCH(P$1,[3]enemies!$1:$1,0)-MATCH($L$1,[3]enemies!$1:$1,0)+1,FALSE)</f>
        <v>unknown</v>
      </c>
      <c r="Q3" s="17">
        <f ca="1">VLOOKUP($L3,OFFSET([3]enemies!$A$1,0,0,COUNTA([3]enemies!$A:$A),MATCH(Q$1,[3]enemies!$1:$1,0)-MATCH($L$1,[3]enemies!$1:$1,0)+1),MATCH(Q$1,[3]enemies!$1:$1,0)-MATCH($L$1,[3]enemies!$1:$1,0)+1,FALSE)</f>
        <v>30</v>
      </c>
      <c r="R3" s="5">
        <v>10</v>
      </c>
      <c r="S3" s="25">
        <v>1</v>
      </c>
      <c r="T3" s="25">
        <v>1</v>
      </c>
      <c r="U3" s="5">
        <v>0</v>
      </c>
      <c r="V3" s="4" t="e">
        <f ca="1">VLOOKUP($W3,OFFSET([5]enemy_skill_sets!$B$1,0,0,COUNTA([5]enemy_skill_sets!$B:$B),MATCH(M$1,[5]enemy_skill_sets!$1:$1,0)-MATCH($W$1,[5]enemy_skill_sets!$1:$1,0)+2),MATCH(M$1,[5]enemy_skill_sets!$1:$1,0)-MATCH($W$1,[5]enemy_skill_sets!$1:$1,0)+2,FALSE)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3" s="4">
        <v>11229001</v>
      </c>
      <c r="X3" s="6">
        <v>0</v>
      </c>
      <c r="Y3" s="6">
        <v>25</v>
      </c>
      <c r="Z3" s="6">
        <v>1</v>
      </c>
      <c r="AA3" s="17">
        <f ca="1">VLOOKUP($L3,OFFSET([3]enemies!$A$1,0,0,COUNTA([3]enemies!$A:$A),MATCH(AA$1,[3]enemies!$1:$1,0)-MATCH($L$1,[3]enemies!$1:$1,0)+1),MATCH(AA$1,[3]enemies!$1:$1,0)-MATCH($L$1,[3]enemies!$1:$1,0)+1,FALSE)</f>
        <v>3</v>
      </c>
      <c r="AB3" s="24">
        <f>L3</f>
        <v>682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森のプレゼントケロケロ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5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" s="7">
        <v>1</v>
      </c>
      <c r="AG3" s="24">
        <f ca="1">AD3</f>
        <v>5</v>
      </c>
      <c r="AH3" s="8">
        <v>100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65">
        <v>1</v>
      </c>
    </row>
    <row r="4" spans="1:40" ht="21" customHeight="1" x14ac:dyDescent="0.15">
      <c r="A4" s="16" t="str">
        <f ca="1">B4&amp;"_"&amp;C4&amp;"-"&amp;G4&amp;"/"&amp;L4&amp;"&lt;lv"&amp;R4&amp;"&gt;s"&amp;AA4</f>
        <v>11229_1-1/684&lt;lv10&gt;s3</v>
      </c>
      <c r="B4" s="22">
        <v>11229</v>
      </c>
      <c r="C4" s="21">
        <v>1</v>
      </c>
      <c r="D4" s="2" t="str">
        <f>B4&amp;"_"&amp;C4</f>
        <v>11229_1</v>
      </c>
      <c r="E4" s="4" t="str">
        <f ca="1">VLOOKUP($B4,OFFSET([2]quests!$A$1,0,0,COUNTA([2]quests!$A:$A),MATCH(E$1,[2]quests!$1:$1,0)-MATCH($B$1,[2]quests!$1:$1,0)+1),MATCH(E$1,[2]quests!$1:$1,0)-MATCH($B$1,[2]quests!$1:$1,0)+1,FALSE)</f>
        <v>ホワイトデー★特別クエスト</v>
      </c>
      <c r="F4" s="4" t="str">
        <f ca="1">VLOOKUP($D4,OFFSET([2]stages!$A$1,0,0,COUNTA([2]stages!$A:$A),MATCH(F$1,[2]stages!$2:$2,0)-MATCH($D$1,[2]stages!$2:$2,0)+1),MATCH(F$1,[2]stages!$2:$2,0)-MATCH($D$1,[2]stages!$2:$2,0)+1,FALSE)</f>
        <v>【ストーリー】ホワイトデー独騒曲</v>
      </c>
      <c r="G4" s="21">
        <v>1</v>
      </c>
      <c r="H4" s="15" t="str">
        <f>B4&amp;"_"&amp;C4&amp;"-"&amp;G4</f>
        <v>11229_1-1</v>
      </c>
      <c r="I4" s="4">
        <f ca="1">VLOOKUP($H4,OFFSET(floors!$A$1,0,0,COUNTA(floors!$A:$A),MATCH(I$1,floors!$1:$1,0)-MATCH($H$1,floors!$1:$1,0)+1),MATCH(I$1,floors!$1:$1,0)-MATCH($H$1,floors!$1:$1,0)+1,FALSE)</f>
        <v>30</v>
      </c>
      <c r="J4" s="4">
        <f ca="1">VLOOKUP($H4,OFFSET(floors!$A$1,0,0,COUNTA(floors!$A:$A),MATCH(J$1,floors!$1:$1,0)-MATCH($H$1,floors!$1:$1,0)+1),MATCH(J$1,floors!$1:$1,0)-MATCH($H$1,floors!$1:$1,0)+1,FALSE)</f>
        <v>30</v>
      </c>
      <c r="K4" s="38" t="s">
        <v>53</v>
      </c>
      <c r="L4" s="20">
        <v>684</v>
      </c>
      <c r="M4" s="17" t="str">
        <f ca="1">VLOOKUP($L4,OFFSET([3]enemies!$A$1,0,0,COUNTA([3]enemies!$A:$A),MATCH(M$1,[3]enemies!$1:$1,0)-MATCH($L$1,[3]enemies!$1:$1,0)+1),MATCH(M$1,[3]enemies!$1:$1,0)-MATCH($L$1,[3]enemies!$1:$1,0)+1,FALSE)</f>
        <v>水のプレゼントケロケロ</v>
      </c>
      <c r="N4" s="17" t="str">
        <f ca="1">VLOOKUP($L4,OFFSET([3]enemies!$A$1,0,0,COUNTA([3]enemies!$A:$A),MATCH(N$1,[3]enemies!$1:$1,0)-MATCH($L$1,[3]enemies!$1:$1,0)+1),MATCH(N$1,[3]enemies!$1:$1,0)-MATCH($L$1,[3]enemies!$1:$1,0)+1,FALSE)</f>
        <v>blue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Material</v>
      </c>
      <c r="P4" s="17" t="str">
        <f ca="1">VLOOKUP($L4,OFFSET([3]enemies!$A$1,0,0,COUNTA([3]enemies!$A:$A),MATCH(P$1,[3]enemies!$1:$1,0)-MATCH($L$1,[3]enemies!$1:$1,0)+1),MATCH(P$1,[3]enemies!$1:$1,0)-MATCH($L$1,[3]enemies!$1:$1,0)+1,FALSE)</f>
        <v>unknown</v>
      </c>
      <c r="Q4" s="17">
        <f ca="1">VLOOKUP($L4,OFFSET([3]enemies!$A$1,0,0,COUNTA([3]enemies!$A:$A),MATCH(Q$1,[3]enemies!$1:$1,0)-MATCH($L$1,[3]enemies!$1:$1,0)+1),MATCH(Q$1,[3]enemies!$1:$1,0)-MATCH($L$1,[3]enemies!$1:$1,0)+1,FALSE)</f>
        <v>30</v>
      </c>
      <c r="R4" s="5">
        <v>10</v>
      </c>
      <c r="S4" s="25">
        <v>1</v>
      </c>
      <c r="T4" s="25">
        <v>1</v>
      </c>
      <c r="U4" s="5">
        <v>0</v>
      </c>
      <c r="V4" s="4" t="e">
        <f ca="1">VLOOKUP($W4,OFFSET([5]enemy_skill_sets!$B$1,0,0,COUNTA([5]enemy_skill_sets!$B:$B),MATCH(M$1,[5]enemy_skill_sets!$1:$1,0)-MATCH($W$1,[5]enemy_skill_sets!$1:$1,0)+2),MATCH(M$1,[5]enemy_skill_sets!$1:$1,0)-MATCH($W$1,[5]enemy_skill_sets!$1:$1,0)+2,FALSE)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4" s="4">
        <v>11229001</v>
      </c>
      <c r="X4" s="6">
        <v>0</v>
      </c>
      <c r="Y4" s="6">
        <v>25</v>
      </c>
      <c r="Z4" s="6">
        <v>1</v>
      </c>
      <c r="AA4" s="17">
        <f ca="1">VLOOKUP($L4,OFFSET([3]enemies!$A$1,0,0,COUNTA([3]enemies!$A:$A),MATCH(AA$1,[3]enemies!$1:$1,0)-MATCH($L$1,[3]enemies!$1:$1,0)+1),MATCH(AA$1,[3]enemies!$1:$1,0)-MATCH($L$1,[3]enemies!$1:$1,0)+1,FALSE)</f>
        <v>3</v>
      </c>
      <c r="AB4" s="24">
        <f>L4</f>
        <v>684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水のプレゼントケロケロ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5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" s="7">
        <v>1</v>
      </c>
      <c r="AG4" s="24">
        <f ca="1">AD4</f>
        <v>5</v>
      </c>
      <c r="AH4" s="8">
        <v>100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65">
        <v>1</v>
      </c>
    </row>
    <row r="5" spans="1:40" ht="21" customHeight="1" x14ac:dyDescent="0.15">
      <c r="A5" s="16" t="str">
        <f ca="1">B5&amp;"_"&amp;C5&amp;"-"&amp;G5&amp;"/"&amp;L5&amp;"&lt;lv"&amp;R5&amp;"&gt;s"&amp;AA5</f>
        <v>11229_1-1/686&lt;lv10&gt;s3</v>
      </c>
      <c r="B5" s="22">
        <v>11229</v>
      </c>
      <c r="C5" s="21">
        <v>1</v>
      </c>
      <c r="D5" s="2" t="str">
        <f>B5&amp;"_"&amp;C5</f>
        <v>11229_1</v>
      </c>
      <c r="E5" s="4" t="str">
        <f ca="1">VLOOKUP($B5,OFFSET([2]quests!$A$1,0,0,COUNTA([2]quests!$A:$A),MATCH(E$1,[2]quests!$1:$1,0)-MATCH($B$1,[2]quests!$1:$1,0)+1),MATCH(E$1,[2]quests!$1:$1,0)-MATCH($B$1,[2]quests!$1:$1,0)+1,FALSE)</f>
        <v>ホワイトデー★特別クエスト</v>
      </c>
      <c r="F5" s="4" t="str">
        <f ca="1">VLOOKUP($D5,OFFSET([2]stages!$A$1,0,0,COUNTA([2]stages!$A:$A),MATCH(F$1,[2]stages!$2:$2,0)-MATCH($D$1,[2]stages!$2:$2,0)+1),MATCH(F$1,[2]stages!$2:$2,0)-MATCH($D$1,[2]stages!$2:$2,0)+1,FALSE)</f>
        <v>【ストーリー】ホワイトデー独騒曲</v>
      </c>
      <c r="G5" s="21">
        <v>1</v>
      </c>
      <c r="H5" s="15" t="str">
        <f>B5&amp;"_"&amp;C5&amp;"-"&amp;G5</f>
        <v>11229_1-1</v>
      </c>
      <c r="I5" s="4">
        <f ca="1">VLOOKUP($H5,OFFSET(floors!$A$1,0,0,COUNTA(floors!$A:$A),MATCH(I$1,floors!$1:$1,0)-MATCH($H$1,floors!$1:$1,0)+1),MATCH(I$1,floors!$1:$1,0)-MATCH($H$1,floors!$1:$1,0)+1,FALSE)</f>
        <v>30</v>
      </c>
      <c r="J5" s="4">
        <f ca="1">VLOOKUP($H5,OFFSET(floors!$A$1,0,0,COUNTA(floors!$A:$A),MATCH(J$1,floors!$1:$1,0)-MATCH($H$1,floors!$1:$1,0)+1),MATCH(J$1,floors!$1:$1,0)-MATCH($H$1,floors!$1:$1,0)+1,FALSE)</f>
        <v>30</v>
      </c>
      <c r="K5" s="38" t="s">
        <v>53</v>
      </c>
      <c r="L5" s="20">
        <v>686</v>
      </c>
      <c r="M5" s="17" t="str">
        <f ca="1">VLOOKUP($L5,OFFSET([3]enemies!$A$1,0,0,COUNTA([3]enemies!$A:$A),MATCH(M$1,[3]enemies!$1:$1,0)-MATCH($L$1,[3]enemies!$1:$1,0)+1),MATCH(M$1,[3]enemies!$1:$1,0)-MATCH($L$1,[3]enemies!$1:$1,0)+1,FALSE)</f>
        <v>雷のプレゼントケロケロ</v>
      </c>
      <c r="N5" s="17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Material</v>
      </c>
      <c r="P5" s="17" t="str">
        <f ca="1">VLOOKUP($L5,OFFSET([3]enemies!$A$1,0,0,COUNTA([3]enemies!$A:$A),MATCH(P$1,[3]enemies!$1:$1,0)-MATCH($L$1,[3]enemies!$1:$1,0)+1),MATCH(P$1,[3]enemies!$1:$1,0)-MATCH($L$1,[3]enemies!$1:$1,0)+1,FALSE)</f>
        <v>unknown</v>
      </c>
      <c r="Q5" s="17">
        <f ca="1">VLOOKUP($L5,OFFSET([3]enemies!$A$1,0,0,COUNTA([3]enemies!$A:$A),MATCH(Q$1,[3]enemies!$1:$1,0)-MATCH($L$1,[3]enemies!$1:$1,0)+1),MATCH(Q$1,[3]enemies!$1:$1,0)-MATCH($L$1,[3]enemies!$1:$1,0)+1,FALSE)</f>
        <v>30</v>
      </c>
      <c r="R5" s="5">
        <v>10</v>
      </c>
      <c r="S5" s="25">
        <v>1</v>
      </c>
      <c r="T5" s="25">
        <v>1</v>
      </c>
      <c r="U5" s="5">
        <v>0</v>
      </c>
      <c r="V5" s="4" t="e">
        <f ca="1">VLOOKUP($W5,OFFSET([5]enemy_skill_sets!$B$1,0,0,COUNTA([5]enemy_skill_sets!$B:$B),MATCH(M$1,[5]enemy_skill_sets!$1:$1,0)-MATCH($W$1,[5]enemy_skill_sets!$1:$1,0)+2),MATCH(M$1,[5]enemy_skill_sets!$1:$1,0)-MATCH($W$1,[5]enemy_skill_sets!$1:$1,0)+2,FALSE)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5" s="4">
        <v>11229001</v>
      </c>
      <c r="X5" s="6">
        <v>0</v>
      </c>
      <c r="Y5" s="6">
        <v>25</v>
      </c>
      <c r="Z5" s="6">
        <v>1</v>
      </c>
      <c r="AA5" s="17">
        <f ca="1">VLOOKUP($L5,OFFSET([3]enemies!$A$1,0,0,COUNTA([3]enemies!$A:$A),MATCH(AA$1,[3]enemies!$1:$1,0)-MATCH($L$1,[3]enemies!$1:$1,0)+1),MATCH(AA$1,[3]enemies!$1:$1,0)-MATCH($L$1,[3]enemies!$1:$1,0)+1,FALSE)</f>
        <v>3</v>
      </c>
      <c r="AB5" s="24">
        <f>L5</f>
        <v>686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雷のプレゼントケロケロ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5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5" s="7">
        <v>1</v>
      </c>
      <c r="AG5" s="24">
        <f ca="1">AD5</f>
        <v>5</v>
      </c>
      <c r="AH5" s="8">
        <v>100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65">
        <v>1</v>
      </c>
    </row>
    <row r="6" spans="1:40" ht="21" customHeight="1" x14ac:dyDescent="0.15">
      <c r="A6" s="16" t="str">
        <f t="shared" ref="A6:A10" ca="1" si="0">B6&amp;"_"&amp;C6&amp;"-"&amp;G6&amp;"/"&amp;L6&amp;"&lt;lv"&amp;R6&amp;"&gt;s"&amp;AA6</f>
        <v>11229_1-2/350&lt;lv10&gt;s3</v>
      </c>
      <c r="B6" s="22">
        <v>11229</v>
      </c>
      <c r="C6" s="21">
        <v>1</v>
      </c>
      <c r="D6" s="2" t="str">
        <f t="shared" ref="D6:D10" si="1">B6&amp;"_"&amp;C6</f>
        <v>11229_1</v>
      </c>
      <c r="E6" s="4" t="str">
        <f ca="1">VLOOKUP($B6,OFFSET([2]quests!$A$1,0,0,COUNTA([2]quests!$A:$A),MATCH(E$1,[2]quests!$1:$1,0)-MATCH($B$1,[2]quests!$1:$1,0)+1),MATCH(E$1,[2]quests!$1:$1,0)-MATCH($B$1,[2]quests!$1:$1,0)+1,FALSE)</f>
        <v>ホワイトデー★特別クエスト</v>
      </c>
      <c r="F6" s="4" t="str">
        <f ca="1">VLOOKUP($D6,OFFSET([2]stages!$A$1,0,0,COUNTA([2]stages!$A:$A),MATCH(F$1,[2]stages!$2:$2,0)-MATCH($D$1,[2]stages!$2:$2,0)+1),MATCH(F$1,[2]stages!$2:$2,0)-MATCH($D$1,[2]stages!$2:$2,0)+1,FALSE)</f>
        <v>【ストーリー】ホワイトデー独騒曲</v>
      </c>
      <c r="G6" s="21">
        <v>2</v>
      </c>
      <c r="H6" s="15" t="str">
        <f t="shared" ref="H6:H10" si="2">B6&amp;"_"&amp;C6&amp;"-"&amp;G6</f>
        <v>11229_1-2</v>
      </c>
      <c r="I6" s="4">
        <f ca="1">VLOOKUP($H6,OFFSET(floors!$A$1,0,0,COUNTA(floors!$A:$A),MATCH(I$1,floors!$1:$1,0)-MATCH($H$1,floors!$1:$1,0)+1),MATCH(I$1,floors!$1:$1,0)-MATCH($H$1,floors!$1:$1,0)+1,FALSE)</f>
        <v>15</v>
      </c>
      <c r="J6" s="4">
        <f ca="1">VLOOKUP($H6,OFFSET(floors!$A$1,0,0,COUNTA(floors!$A:$A),MATCH(J$1,floors!$1:$1,0)-MATCH($H$1,floors!$1:$1,0)+1),MATCH(J$1,floors!$1:$1,0)-MATCH($H$1,floors!$1:$1,0)+1,FALSE)</f>
        <v>15</v>
      </c>
      <c r="K6" s="38" t="s">
        <v>53</v>
      </c>
      <c r="L6" s="20">
        <v>350</v>
      </c>
      <c r="M6" s="17" t="str">
        <f ca="1">VLOOKUP($L6,OFFSET([3]enemies!$A$1,0,0,COUNTA([3]enemies!$A:$A),MATCH(M$1,[3]enemies!$1:$1,0)-MATCH($L$1,[3]enemies!$1:$1,0)+1),MATCH(M$1,[3]enemies!$1:$1,0)-MATCH($L$1,[3]enemies!$1:$1,0)+1,FALSE)</f>
        <v>森のケロケロ</v>
      </c>
      <c r="N6" s="17" t="str">
        <f ca="1">VLOOKUP($L6,OFFSET([3]enemies!$A$1,0,0,COUNTA([3]enemies!$A:$A),MATCH(N$1,[3]enemies!$1:$1,0)-MATCH($L$1,[3]enemies!$1:$1,0)+1),MATCH(N$1,[3]enemies!$1:$1,0)-MATCH($L$1,[3]enemies!$1:$1,0)+1,FALSE)</f>
        <v>green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Material</v>
      </c>
      <c r="P6" s="17" t="str">
        <f ca="1">VLOOKUP($L6,OFFSET([3]enemies!$A$1,0,0,COUNTA([3]enemies!$A:$A),MATCH(P$1,[3]enemies!$1:$1,0)-MATCH($L$1,[3]enemies!$1:$1,0)+1),MATCH(P$1,[3]enemies!$1:$1,0)-MATCH($L$1,[3]enemies!$1:$1,0)+1,FALSE)</f>
        <v>unknown</v>
      </c>
      <c r="Q6" s="17">
        <f ca="1">VLOOKUP($L6,OFFSET([3]enemies!$A$1,0,0,COUNTA([3]enemies!$A:$A),MATCH(Q$1,[3]enemies!$1:$1,0)-MATCH($L$1,[3]enemies!$1:$1,0)+1),MATCH(Q$1,[3]enemies!$1:$1,0)-MATCH($L$1,[3]enemies!$1:$1,0)+1,FALSE)</f>
        <v>15</v>
      </c>
      <c r="R6" s="5">
        <v>10</v>
      </c>
      <c r="S6" s="25">
        <v>1</v>
      </c>
      <c r="T6" s="25">
        <v>1</v>
      </c>
      <c r="U6" s="5">
        <v>0</v>
      </c>
      <c r="V6" s="4" t="e">
        <f ca="1">VLOOKUP($W6,OFFSET([5]enemy_skill_sets!$B$1,0,0,COUNTA([5]enemy_skill_sets!$B:$B),MATCH(M$1,[5]enemy_skill_sets!$1:$1,0)-MATCH($W$1,[5]enemy_skill_sets!$1:$1,0)+2),MATCH(M$1,[5]enemy_skill_sets!$1:$1,0)-MATCH($W$1,[5]enemy_skill_sets!$1:$1,0)+2,FALSE)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6" s="4">
        <v>11229002</v>
      </c>
      <c r="X6" s="6">
        <v>1</v>
      </c>
      <c r="Y6" s="6">
        <v>100</v>
      </c>
      <c r="Z6" s="6">
        <v>1</v>
      </c>
      <c r="AA6" s="17">
        <f ca="1">VLOOKUP($L6,OFFSET([3]enemies!$A$1,0,0,COUNTA([3]enemies!$A:$A),MATCH(AA$1,[3]enemies!$1:$1,0)-MATCH($L$1,[3]enemies!$1:$1,0)+1),MATCH(AA$1,[3]enemies!$1:$1,0)-MATCH($L$1,[3]enemies!$1:$1,0)+1,FALSE)</f>
        <v>3</v>
      </c>
      <c r="AB6" s="24">
        <f t="shared" ref="AB6:AB10" si="3">L6</f>
        <v>350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森のケロケロ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5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6" s="7">
        <v>1</v>
      </c>
      <c r="AG6" s="24">
        <f t="shared" ref="AG6:AG10" ca="1" si="4">AD6</f>
        <v>5</v>
      </c>
      <c r="AH6" s="8">
        <v>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65">
        <v>1</v>
      </c>
    </row>
    <row r="7" spans="1:40" ht="21" customHeight="1" x14ac:dyDescent="0.15">
      <c r="A7" s="16" t="str">
        <f t="shared" ca="1" si="0"/>
        <v>11229_1-3/350&lt;lv10&gt;s3</v>
      </c>
      <c r="B7" s="22">
        <v>11229</v>
      </c>
      <c r="C7" s="21">
        <v>1</v>
      </c>
      <c r="D7" s="2" t="str">
        <f t="shared" si="1"/>
        <v>11229_1</v>
      </c>
      <c r="E7" s="4" t="str">
        <f ca="1">VLOOKUP($B7,OFFSET([2]quests!$A$1,0,0,COUNTA([2]quests!$A:$A),MATCH(E$1,[2]quests!$1:$1,0)-MATCH($B$1,[2]quests!$1:$1,0)+1),MATCH(E$1,[2]quests!$1:$1,0)-MATCH($B$1,[2]quests!$1:$1,0)+1,FALSE)</f>
        <v>ホワイトデー★特別クエスト</v>
      </c>
      <c r="F7" s="4" t="str">
        <f ca="1">VLOOKUP($D7,OFFSET([2]stages!$A$1,0,0,COUNTA([2]stages!$A:$A),MATCH(F$1,[2]stages!$2:$2,0)-MATCH($D$1,[2]stages!$2:$2,0)+1),MATCH(F$1,[2]stages!$2:$2,0)-MATCH($D$1,[2]stages!$2:$2,0)+1,FALSE)</f>
        <v>【ストーリー】ホワイトデー独騒曲</v>
      </c>
      <c r="G7" s="21">
        <v>3</v>
      </c>
      <c r="H7" s="15" t="str">
        <f t="shared" si="2"/>
        <v>11229_1-3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>
        <v>1</v>
      </c>
      <c r="L7" s="20">
        <v>350</v>
      </c>
      <c r="M7" s="17" t="str">
        <f ca="1">VLOOKUP($L7,OFFSET([3]enemies!$A$1,0,0,COUNTA([3]enemies!$A:$A),MATCH(M$1,[3]enemies!$1:$1,0)-MATCH($L$1,[3]enemies!$1:$1,0)+1),MATCH(M$1,[3]enemies!$1:$1,0)-MATCH($L$1,[3]enemies!$1:$1,0)+1,FALSE)</f>
        <v>森のケロケロ</v>
      </c>
      <c r="N7" s="17" t="str">
        <f ca="1">VLOOKUP($L7,OFFSET([3]enemies!$A$1,0,0,COUNTA([3]enemies!$A:$A),MATCH(N$1,[3]enemies!$1:$1,0)-MATCH($L$1,[3]enemies!$1:$1,0)+1),MATCH(N$1,[3]enemies!$1:$1,0)-MATCH($L$1,[3]enemies!$1:$1,0)+1,FALSE)</f>
        <v>green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Material</v>
      </c>
      <c r="P7" s="17" t="str">
        <f ca="1">VLOOKUP($L7,OFFSET([3]enemies!$A$1,0,0,COUNTA([3]enemies!$A:$A),MATCH(P$1,[3]enemies!$1:$1,0)-MATCH($L$1,[3]enemies!$1:$1,0)+1),MATCH(P$1,[3]enemies!$1:$1,0)-MATCH($L$1,[3]enemies!$1:$1,0)+1,FALSE)</f>
        <v>unknown</v>
      </c>
      <c r="Q7" s="17">
        <f ca="1">VLOOKUP($L7,OFFSET([3]enemies!$A$1,0,0,COUNTA([3]enemies!$A:$A),MATCH(Q$1,[3]enemies!$1:$1,0)-MATCH($L$1,[3]enemies!$1:$1,0)+1),MATCH(Q$1,[3]enemies!$1:$1,0)-MATCH($L$1,[3]enemies!$1:$1,0)+1,FALSE)</f>
        <v>15</v>
      </c>
      <c r="R7" s="5">
        <v>10</v>
      </c>
      <c r="S7" s="25">
        <v>1</v>
      </c>
      <c r="T7" s="25">
        <v>1</v>
      </c>
      <c r="U7" s="5">
        <v>0</v>
      </c>
      <c r="V7" s="4" t="e">
        <f ca="1">VLOOKUP($W7,OFFSET([5]enemy_skill_sets!$B$1,0,0,COUNTA([5]enemy_skill_sets!$B:$B),MATCH(M$1,[5]enemy_skill_sets!$1:$1,0)-MATCH($W$1,[5]enemy_skill_sets!$1:$1,0)+2),MATCH(M$1,[5]enemy_skill_sets!$1:$1,0)-MATCH($W$1,[5]enemy_skill_sets!$1:$1,0)+2,FALSE)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7" s="4">
        <v>11229003</v>
      </c>
      <c r="X7" s="6">
        <v>1</v>
      </c>
      <c r="Y7" s="6">
        <v>100</v>
      </c>
      <c r="Z7" s="6">
        <v>1</v>
      </c>
      <c r="AA7" s="17">
        <f ca="1">VLOOKUP($L7,OFFSET([3]enemies!$A$1,0,0,COUNTA([3]enemies!$A:$A),MATCH(AA$1,[3]enemies!$1:$1,0)-MATCH($L$1,[3]enemies!$1:$1,0)+1),MATCH(AA$1,[3]enemies!$1:$1,0)-MATCH($L$1,[3]enemies!$1:$1,0)+1,FALSE)</f>
        <v>3</v>
      </c>
      <c r="AB7" s="24">
        <f t="shared" si="3"/>
        <v>350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森のケロケロ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5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7" s="7">
        <v>1</v>
      </c>
      <c r="AG7" s="24">
        <f t="shared" ca="1" si="4"/>
        <v>5</v>
      </c>
      <c r="AH7" s="8">
        <v>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65">
        <v>1</v>
      </c>
    </row>
    <row r="8" spans="1:40" ht="21" customHeight="1" x14ac:dyDescent="0.15">
      <c r="A8" s="16" t="str">
        <f t="shared" ca="1" si="0"/>
        <v>11229_1-3/499&lt;lv10&gt;s3</v>
      </c>
      <c r="B8" s="22">
        <v>11229</v>
      </c>
      <c r="C8" s="21">
        <v>1</v>
      </c>
      <c r="D8" s="2" t="str">
        <f t="shared" si="1"/>
        <v>11229_1</v>
      </c>
      <c r="E8" s="4" t="str">
        <f ca="1">VLOOKUP($B8,OFFSET([2]quests!$A$1,0,0,COUNTA([2]quests!$A:$A),MATCH(E$1,[2]quests!$1:$1,0)-MATCH($B$1,[2]quests!$1:$1,0)+1),MATCH(E$1,[2]quests!$1:$1,0)-MATCH($B$1,[2]quests!$1:$1,0)+1,FALSE)</f>
        <v>ホワイトデー★特別クエスト</v>
      </c>
      <c r="F8" s="4" t="str">
        <f ca="1">VLOOKUP($D8,OFFSET([2]stages!$A$1,0,0,COUNTA([2]stages!$A:$A),MATCH(F$1,[2]stages!$2:$2,0)-MATCH($D$1,[2]stages!$2:$2,0)+1),MATCH(F$1,[2]stages!$2:$2,0)-MATCH($D$1,[2]stages!$2:$2,0)+1,FALSE)</f>
        <v>【ストーリー】ホワイトデー独騒曲</v>
      </c>
      <c r="G8" s="21">
        <v>3</v>
      </c>
      <c r="H8" s="15" t="str">
        <f t="shared" si="2"/>
        <v>11229_1-3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 t="s">
        <v>226</v>
      </c>
      <c r="L8" s="20">
        <v>499</v>
      </c>
      <c r="M8" s="17" t="str">
        <f ca="1">VLOOKUP($L8,OFFSET([3]enemies!$A$1,0,0,COUNTA([3]enemies!$A:$A),MATCH(M$1,[3]enemies!$1:$1,0)-MATCH($L$1,[3]enemies!$1:$1,0)+1),MATCH(M$1,[3]enemies!$1:$1,0)-MATCH($L$1,[3]enemies!$1:$1,0)+1,FALSE)</f>
        <v>ラプンツェル</v>
      </c>
      <c r="N8" s="17" t="str">
        <f ca="1">VLOOKUP($L8,OFFSET([3]enemies!$A$1,0,0,COUNTA([3]enemies!$A:$A),MATCH(N$1,[3]enemies!$1:$1,0)-MATCH($L$1,[3]enemies!$1:$1,0)+1),MATCH(N$1,[3]enemies!$1:$1,0)-MATCH($L$1,[3]enemies!$1:$1,0)+1,FALSE)</f>
        <v>yellow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PremiumSS</v>
      </c>
      <c r="P8" s="17" t="str">
        <f ca="1">VLOOKUP($L8,OFFSET([3]enemies!$A$1,0,0,COUNTA([3]enemies!$A:$A),MATCH(P$1,[3]enemies!$1:$1,0)-MATCH($L$1,[3]enemies!$1:$1,0)+1),MATCH(P$1,[3]enemies!$1:$1,0)-MATCH($L$1,[3]enemies!$1:$1,0)+1,FALSE)</f>
        <v>human</v>
      </c>
      <c r="Q8" s="17">
        <f ca="1">VLOOKUP($L8,OFFSET([3]enemies!$A$1,0,0,COUNTA([3]enemies!$A:$A),MATCH(Q$1,[3]enemies!$1:$1,0)-MATCH($L$1,[3]enemies!$1:$1,0)+1),MATCH(Q$1,[3]enemies!$1:$1,0)-MATCH($L$1,[3]enemies!$1:$1,0)+1,FALSE)</f>
        <v>30</v>
      </c>
      <c r="R8" s="5">
        <v>10</v>
      </c>
      <c r="S8" s="25">
        <v>1</v>
      </c>
      <c r="T8" s="25">
        <v>1</v>
      </c>
      <c r="U8" s="5">
        <v>0</v>
      </c>
      <c r="V8" s="4" t="e">
        <f ca="1">VLOOKUP($W8,OFFSET([5]enemy_skill_sets!$B$1,0,0,COUNTA([5]enemy_skill_sets!$B:$B),MATCH(M$1,[5]enemy_skill_sets!$1:$1,0)-MATCH($W$1,[5]enemy_skill_sets!$1:$1,0)+2),MATCH(M$1,[5]enemy_skill_sets!$1:$1,0)-MATCH($W$1,[5]enemy_skill_sets!$1:$1,0)+2,FALSE)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8" s="4">
        <v>11229005</v>
      </c>
      <c r="X8" s="6">
        <v>1</v>
      </c>
      <c r="Y8" s="6">
        <v>100</v>
      </c>
      <c r="Z8" s="6">
        <v>0</v>
      </c>
      <c r="AA8" s="17">
        <f ca="1">VLOOKUP($L8,OFFSET([3]enemies!$A$1,0,0,COUNTA([3]enemies!$A:$A),MATCH(AA$1,[3]enemies!$1:$1,0)-MATCH($L$1,[3]enemies!$1:$1,0)+1),MATCH(AA$1,[3]enemies!$1:$1,0)-MATCH($L$1,[3]enemies!$1:$1,0)+1,FALSE)</f>
        <v>3</v>
      </c>
      <c r="AB8" s="24">
        <f t="shared" si="3"/>
        <v>499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ラプンツェル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4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8" s="7">
        <v>1</v>
      </c>
      <c r="AG8" s="24">
        <f t="shared" ca="1" si="4"/>
        <v>4</v>
      </c>
      <c r="AH8" s="8">
        <v>0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  <c r="AN8" s="65">
        <v>1</v>
      </c>
    </row>
    <row r="9" spans="1:40" ht="21" customHeight="1" x14ac:dyDescent="0.15">
      <c r="A9" s="16" t="str">
        <f t="shared" ref="A9" ca="1" si="5">B9&amp;"_"&amp;C9&amp;"-"&amp;G9&amp;"/"&amp;L9&amp;"&lt;lv"&amp;R9&amp;"&gt;s"&amp;AA9</f>
        <v>11229_1-4/350&lt;lv10&gt;s3</v>
      </c>
      <c r="B9" s="22">
        <v>11229</v>
      </c>
      <c r="C9" s="21">
        <v>1</v>
      </c>
      <c r="D9" s="2" t="str">
        <f t="shared" ref="D9" si="6">B9&amp;"_"&amp;C9</f>
        <v>11229_1</v>
      </c>
      <c r="E9" s="4" t="str">
        <f ca="1">VLOOKUP($B9,OFFSET([2]quests!$A$1,0,0,COUNTA([2]quests!$A:$A),MATCH(E$1,[2]quests!$1:$1,0)-MATCH($B$1,[2]quests!$1:$1,0)+1),MATCH(E$1,[2]quests!$1:$1,0)-MATCH($B$1,[2]quests!$1:$1,0)+1,FALSE)</f>
        <v>ホワイトデー★特別クエスト</v>
      </c>
      <c r="F9" s="4" t="str">
        <f ca="1">VLOOKUP($D9,OFFSET([2]stages!$A$1,0,0,COUNTA([2]stages!$A:$A),MATCH(F$1,[2]stages!$2:$2,0)-MATCH($D$1,[2]stages!$2:$2,0)+1),MATCH(F$1,[2]stages!$2:$2,0)-MATCH($D$1,[2]stages!$2:$2,0)+1,FALSE)</f>
        <v>【ストーリー】ホワイトデー独騒曲</v>
      </c>
      <c r="G9" s="21">
        <v>4</v>
      </c>
      <c r="H9" s="15" t="str">
        <f t="shared" ref="H9" si="7">B9&amp;"_"&amp;C9&amp;"-"&amp;G9</f>
        <v>11229_1-4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 t="s">
        <v>225</v>
      </c>
      <c r="L9" s="20">
        <v>350</v>
      </c>
      <c r="M9" s="17" t="str">
        <f ca="1">VLOOKUP($L9,OFFSET([3]enemies!$A$1,0,0,COUNTA([3]enemies!$A:$A),MATCH(M$1,[3]enemies!$1:$1,0)-MATCH($L$1,[3]enemies!$1:$1,0)+1),MATCH(M$1,[3]enemies!$1:$1,0)-MATCH($L$1,[3]enemies!$1:$1,0)+1,FALSE)</f>
        <v>森のケロケロ</v>
      </c>
      <c r="N9" s="17" t="str">
        <f ca="1">VLOOKUP($L9,OFFSET([3]enemies!$A$1,0,0,COUNTA([3]enemies!$A:$A),MATCH(N$1,[3]enemies!$1:$1,0)-MATCH($L$1,[3]enemies!$1:$1,0)+1),MATCH(N$1,[3]enemies!$1:$1,0)-MATCH($L$1,[3]enemies!$1:$1,0)+1,FALSE)</f>
        <v>green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Material</v>
      </c>
      <c r="P9" s="17" t="str">
        <f ca="1">VLOOKUP($L9,OFFSET([3]enemies!$A$1,0,0,COUNTA([3]enemies!$A:$A),MATCH(P$1,[3]enemies!$1:$1,0)-MATCH($L$1,[3]enemies!$1:$1,0)+1),MATCH(P$1,[3]enemies!$1:$1,0)-MATCH($L$1,[3]enemies!$1:$1,0)+1,FALSE)</f>
        <v>unknown</v>
      </c>
      <c r="Q9" s="17">
        <f ca="1">VLOOKUP($L9,OFFSET([3]enemies!$A$1,0,0,COUNTA([3]enemies!$A:$A),MATCH(Q$1,[3]enemies!$1:$1,0)-MATCH($L$1,[3]enemies!$1:$1,0)+1),MATCH(Q$1,[3]enemies!$1:$1,0)-MATCH($L$1,[3]enemies!$1:$1,0)+1,FALSE)</f>
        <v>15</v>
      </c>
      <c r="R9" s="5">
        <v>10</v>
      </c>
      <c r="S9" s="25">
        <v>1</v>
      </c>
      <c r="T9" s="25">
        <v>1</v>
      </c>
      <c r="U9" s="5">
        <v>0</v>
      </c>
      <c r="V9" s="4" t="e">
        <f ca="1">VLOOKUP($W9,OFFSET([5]enemy_skill_sets!$B$1,0,0,COUNTA([5]enemy_skill_sets!$B:$B),MATCH(M$1,[5]enemy_skill_sets!$1:$1,0)-MATCH($W$1,[5]enemy_skill_sets!$1:$1,0)+2),MATCH(M$1,[5]enemy_skill_sets!$1:$1,0)-MATCH($W$1,[5]enemy_skill_sets!$1:$1,0)+2,FALSE)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9" s="4">
        <v>11229006</v>
      </c>
      <c r="X9" s="6">
        <v>1</v>
      </c>
      <c r="Y9" s="6">
        <v>100</v>
      </c>
      <c r="Z9" s="6">
        <v>1</v>
      </c>
      <c r="AA9" s="17">
        <f ca="1">VLOOKUP($L9,OFFSET([3]enemies!$A$1,0,0,COUNTA([3]enemies!$A:$A),MATCH(AA$1,[3]enemies!$1:$1,0)-MATCH($L$1,[3]enemies!$1:$1,0)+1),MATCH(AA$1,[3]enemies!$1:$1,0)-MATCH($L$1,[3]enemies!$1:$1,0)+1,FALSE)</f>
        <v>3</v>
      </c>
      <c r="AB9" s="24">
        <f t="shared" ref="AB9" si="8">L9</f>
        <v>350</v>
      </c>
      <c r="AC9" s="4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森のケロケロ</v>
      </c>
      <c r="AD9" s="4">
        <f ca="1">VLOOKUP($AB9,OFFSET([4]characters!$A$1,0,0,COUNTA([4]characters!$A:$A),MATCH(AD$1,[4]characters!$1:$1,0)-MATCH("character_id",[4]characters!$1:$1,0)+1),MATCH(AD$1,[4]characters!$1:$1,0)-MATCH("character_id",[4]characters!$1:$1,0)+1,FALSE)</f>
        <v>5</v>
      </c>
      <c r="AE9" s="4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9" s="7">
        <v>1</v>
      </c>
      <c r="AG9" s="24">
        <f t="shared" ref="AG9" ca="1" si="9">AD9</f>
        <v>5</v>
      </c>
      <c r="AH9" s="8">
        <v>0</v>
      </c>
      <c r="AI9" s="7">
        <v>0</v>
      </c>
      <c r="AJ9" s="7">
        <v>0</v>
      </c>
      <c r="AK9" s="7">
        <v>0</v>
      </c>
      <c r="AL9" s="7">
        <v>0</v>
      </c>
      <c r="AM9" s="7">
        <v>1</v>
      </c>
      <c r="AN9" s="65">
        <v>1</v>
      </c>
    </row>
    <row r="10" spans="1:40" ht="21" customHeight="1" x14ac:dyDescent="0.15">
      <c r="A10" s="16" t="str">
        <f t="shared" ca="1" si="0"/>
        <v>11229_1-5/460&lt;lv5&gt;s3</v>
      </c>
      <c r="B10" s="22">
        <v>11229</v>
      </c>
      <c r="C10" s="21">
        <v>1</v>
      </c>
      <c r="D10" s="2" t="str">
        <f t="shared" si="1"/>
        <v>11229_1</v>
      </c>
      <c r="E10" s="4" t="str">
        <f ca="1">VLOOKUP($B10,OFFSET([2]quests!$A$1,0,0,COUNTA([2]quests!$A:$A),MATCH(E$1,[2]quests!$1:$1,0)-MATCH($B$1,[2]quests!$1:$1,0)+1),MATCH(E$1,[2]quests!$1:$1,0)-MATCH($B$1,[2]quests!$1:$1,0)+1,FALSE)</f>
        <v>ホワイトデー★特別クエスト</v>
      </c>
      <c r="F10" s="4" t="str">
        <f ca="1">VLOOKUP($D10,OFFSET([2]stages!$A$1,0,0,COUNTA([2]stages!$A:$A),MATCH(F$1,[2]stages!$2:$2,0)-MATCH($D$1,[2]stages!$2:$2,0)+1),MATCH(F$1,[2]stages!$2:$2,0)-MATCH($D$1,[2]stages!$2:$2,0)+1,FALSE)</f>
        <v>【ストーリー】ホワイトデー独騒曲</v>
      </c>
      <c r="G10" s="21">
        <v>5</v>
      </c>
      <c r="H10" s="15" t="str">
        <f t="shared" si="2"/>
        <v>11229_1-5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 t="s">
        <v>227</v>
      </c>
      <c r="L10" s="20">
        <v>460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オズ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green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DropWizS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human</v>
      </c>
      <c r="Q10" s="17">
        <f ca="1">VLOOKUP($L10,OFFSET([3]enemies!$A$1,0,0,COUNTA([3]enemies!$A:$A),MATCH(Q$1,[3]enemies!$1:$1,0)-MATCH($L$1,[3]enemies!$1:$1,0)+1),MATCH(Q$1,[3]enemies!$1:$1,0)-MATCH($L$1,[3]enemies!$1:$1,0)+1,FALSE)</f>
        <v>30</v>
      </c>
      <c r="R10" s="5">
        <v>5</v>
      </c>
      <c r="S10" s="25">
        <v>1</v>
      </c>
      <c r="T10" s="25">
        <v>1</v>
      </c>
      <c r="U10" s="5">
        <v>0</v>
      </c>
      <c r="V10" s="4" t="e">
        <f ca="1">VLOOKUP($W10,OFFSET([5]enemy_skill_sets!$B$1,0,0,COUNTA([5]enemy_skill_sets!$B:$B),MATCH(M$1,[5]enemy_skill_sets!$1:$1,0)-MATCH($W$1,[5]enemy_skill_sets!$1:$1,0)+2),MATCH(M$1,[5]enemy_skill_sets!$1:$1,0)-MATCH($W$1,[5]enemy_skill_sets!$1:$1,0)+2,FALSE)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10" s="4">
        <v>11229008</v>
      </c>
      <c r="X10" s="6">
        <v>0</v>
      </c>
      <c r="Y10" s="6">
        <v>100</v>
      </c>
      <c r="Z10" s="6">
        <v>2</v>
      </c>
      <c r="AA10" s="17">
        <f ca="1">VLOOKUP($L10,OFFSET([3]enemies!$A$1,0,0,COUNTA([3]enemies!$A:$A),MATCH(AA$1,[3]enemies!$1:$1,0)-MATCH($L$1,[3]enemies!$1:$1,0)+1),MATCH(AA$1,[3]enemies!$1:$1,0)-MATCH($L$1,[3]enemies!$1:$1,0)+1,FALSE)</f>
        <v>3</v>
      </c>
      <c r="AB10" s="24">
        <f t="shared" si="3"/>
        <v>460</v>
      </c>
      <c r="AC10" s="4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オズ</v>
      </c>
      <c r="AD10" s="4">
        <f ca="1">VLOOKUP($AB10,OFFSET([4]characters!$A$1,0,0,COUNTA([4]characters!$A:$A),MATCH(AD$1,[4]characters!$1:$1,0)-MATCH("character_id",[4]characters!$1:$1,0)+1),MATCH(AD$1,[4]characters!$1:$1,0)-MATCH("character_id",[4]characters!$1:$1,0)+1,FALSE)</f>
        <v>4</v>
      </c>
      <c r="AE10" s="4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10" s="7">
        <v>1</v>
      </c>
      <c r="AG10" s="24">
        <f t="shared" ca="1" si="4"/>
        <v>4</v>
      </c>
      <c r="AH10" s="8">
        <v>0</v>
      </c>
      <c r="AI10" s="7">
        <v>0</v>
      </c>
      <c r="AJ10" s="7">
        <v>0</v>
      </c>
      <c r="AK10" s="7">
        <v>0</v>
      </c>
      <c r="AL10" s="7">
        <v>0</v>
      </c>
      <c r="AM10" s="7">
        <v>1</v>
      </c>
      <c r="AN10" s="65">
        <v>1</v>
      </c>
    </row>
    <row r="11" spans="1:40" ht="21" customHeight="1" x14ac:dyDescent="0.15">
      <c r="A11" s="16" t="str">
        <f t="shared" ref="A11" ca="1" si="10">B11&amp;"_"&amp;C11&amp;"-"&amp;G11&amp;"/"&amp;L11&amp;"&lt;lv"&amp;R11&amp;"&gt;s"&amp;AA11</f>
        <v>11229_1-5/499&lt;lv10&gt;s3</v>
      </c>
      <c r="B11" s="22">
        <v>11229</v>
      </c>
      <c r="C11" s="21">
        <v>1</v>
      </c>
      <c r="D11" s="2" t="str">
        <f t="shared" ref="D11" si="11">B11&amp;"_"&amp;C11</f>
        <v>11229_1</v>
      </c>
      <c r="E11" s="4" t="str">
        <f ca="1">VLOOKUP($B11,OFFSET([2]quests!$A$1,0,0,COUNTA([2]quests!$A:$A),MATCH(E$1,[2]quests!$1:$1,0)-MATCH($B$1,[2]quests!$1:$1,0)+1),MATCH(E$1,[2]quests!$1:$1,0)-MATCH($B$1,[2]quests!$1:$1,0)+1,FALSE)</f>
        <v>ホワイトデー★特別クエスト</v>
      </c>
      <c r="F11" s="4" t="str">
        <f ca="1">VLOOKUP($D11,OFFSET([2]stages!$A$1,0,0,COUNTA([2]stages!$A:$A),MATCH(F$1,[2]stages!$2:$2,0)-MATCH($D$1,[2]stages!$2:$2,0)+1),MATCH(F$1,[2]stages!$2:$2,0)-MATCH($D$1,[2]stages!$2:$2,0)+1,FALSE)</f>
        <v>【ストーリー】ホワイトデー独騒曲</v>
      </c>
      <c r="G11" s="21">
        <v>5</v>
      </c>
      <c r="H11" s="15" t="str">
        <f t="shared" ref="H11" si="12">B11&amp;"_"&amp;C11&amp;"-"&amp;G11</f>
        <v>11229_1-5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8">
        <v>1</v>
      </c>
      <c r="L11" s="20">
        <v>499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ラプンツェル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yellow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PremiumSS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human</v>
      </c>
      <c r="Q11" s="17">
        <f ca="1">VLOOKUP($L11,OFFSET([3]enemies!$A$1,0,0,COUNTA([3]enemies!$A:$A),MATCH(Q$1,[3]enemies!$1:$1,0)-MATCH($L$1,[3]enemies!$1:$1,0)+1),MATCH(Q$1,[3]enemies!$1:$1,0)-MATCH($L$1,[3]enemies!$1:$1,0)+1,FALSE)</f>
        <v>30</v>
      </c>
      <c r="R11" s="5">
        <v>10</v>
      </c>
      <c r="S11" s="25">
        <v>1</v>
      </c>
      <c r="T11" s="25">
        <v>1</v>
      </c>
      <c r="U11" s="5">
        <v>0</v>
      </c>
      <c r="V11" s="4" t="e">
        <f ca="1">VLOOKUP($W11,OFFSET([5]enemy_skill_sets!$B$1,0,0,COUNTA([5]enemy_skill_sets!$B:$B),MATCH(M$1,[5]enemy_skill_sets!$1:$1,0)-MATCH($W$1,[5]enemy_skill_sets!$1:$1,0)+2),MATCH(M$1,[5]enemy_skill_sets!$1:$1,0)-MATCH($W$1,[5]enemy_skill_sets!$1:$1,0)+2,FALSE)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11" s="4">
        <v>11229007</v>
      </c>
      <c r="X11" s="6">
        <v>0</v>
      </c>
      <c r="Y11" s="6">
        <v>100</v>
      </c>
      <c r="Z11" s="6">
        <v>1</v>
      </c>
      <c r="AA11" s="17">
        <f ca="1">VLOOKUP($L11,OFFSET([3]enemies!$A$1,0,0,COUNTA([3]enemies!$A:$A),MATCH(AA$1,[3]enemies!$1:$1,0)-MATCH($L$1,[3]enemies!$1:$1,0)+1),MATCH(AA$1,[3]enemies!$1:$1,0)-MATCH($L$1,[3]enemies!$1:$1,0)+1,FALSE)</f>
        <v>3</v>
      </c>
      <c r="AB11" s="24">
        <f t="shared" ref="AB11" si="13">L11</f>
        <v>499</v>
      </c>
      <c r="AC11" s="4" t="str">
        <f ca="1">VLOOKUP($AB11,OFFSET([4]characters!$A$1,0,0,COUNTA([4]characters!$A:$A),MATCH(AC$1,[4]characters!$1:$1,0)-MATCH("character_id",[4]characters!$1:$1,0)+1),MATCH(AC$1,[4]characters!$1:$1,0)-MATCH("character_id",[4]characters!$1:$1,0)+1,FALSE)</f>
        <v>ラプンツェル</v>
      </c>
      <c r="AD11" s="4">
        <f ca="1">VLOOKUP($AB11,OFFSET([4]characters!$A$1,0,0,COUNTA([4]characters!$A:$A),MATCH(AD$1,[4]characters!$1:$1,0)-MATCH("character_id",[4]characters!$1:$1,0)+1),MATCH(AD$1,[4]characters!$1:$1,0)-MATCH("character_id",[4]characters!$1:$1,0)+1,FALSE)</f>
        <v>4</v>
      </c>
      <c r="AE11" s="4" t="str">
        <f ca="1">VLOOKUP($AB11,OFFSET([4]characters!$A$1,0,0,COUNTA([4]characters!$A:$A),MATCH(AE$1,[4]characters!$1:$1,0)-MATCH("character_id",[4]characters!$1:$1,0)+1),MATCH(AE$1,[4]characters!$1:$1,0)-MATCH("character_id",[4]characters!$1:$1,0)+1,FALSE)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11" s="7">
        <v>1</v>
      </c>
      <c r="AG11" s="24">
        <f t="shared" ref="AG11" ca="1" si="14">AD11</f>
        <v>4</v>
      </c>
      <c r="AH11" s="8">
        <v>0</v>
      </c>
      <c r="AI11" s="7">
        <v>0</v>
      </c>
      <c r="AJ11" s="7">
        <v>0</v>
      </c>
      <c r="AK11" s="7">
        <v>0</v>
      </c>
      <c r="AL11" s="7">
        <v>0</v>
      </c>
      <c r="AM11" s="7">
        <v>1</v>
      </c>
      <c r="AN11" s="65">
        <v>1</v>
      </c>
    </row>
    <row r="12" spans="1:40" ht="21" customHeight="1" x14ac:dyDescent="0.15">
      <c r="A12" s="16"/>
      <c r="B12" s="22"/>
      <c r="C12" s="21"/>
      <c r="D12" s="2"/>
      <c r="E12" s="4"/>
      <c r="F12" s="4"/>
      <c r="G12" s="21"/>
      <c r="H12" s="15"/>
      <c r="I12" s="4"/>
      <c r="J12" s="4"/>
      <c r="K12" s="38"/>
      <c r="L12" s="20"/>
      <c r="M12" s="17"/>
      <c r="N12" s="17"/>
      <c r="O12" s="17"/>
      <c r="P12" s="17"/>
      <c r="Q12" s="17"/>
      <c r="R12" s="5"/>
      <c r="S12" s="25"/>
      <c r="T12" s="25"/>
      <c r="U12" s="5"/>
      <c r="V12" s="4"/>
      <c r="W12" s="4"/>
      <c r="X12" s="6"/>
      <c r="Y12" s="6"/>
      <c r="Z12" s="6"/>
      <c r="AA12" s="17"/>
      <c r="AB12" s="24"/>
      <c r="AC12" s="4"/>
      <c r="AD12" s="4"/>
      <c r="AE12" s="4"/>
      <c r="AF12" s="7"/>
      <c r="AG12" s="24"/>
      <c r="AH12" s="8"/>
      <c r="AI12" s="7"/>
      <c r="AJ12" s="7"/>
      <c r="AK12" s="7"/>
      <c r="AL12" s="7"/>
      <c r="AM12" s="7"/>
      <c r="AN12" s="65"/>
    </row>
    <row r="13" spans="1:40" ht="21" customHeight="1" x14ac:dyDescent="0.15">
      <c r="A13" s="16"/>
      <c r="B13" s="22"/>
      <c r="C13" s="21"/>
      <c r="D13" s="2"/>
      <c r="E13" s="4"/>
      <c r="F13" s="4"/>
      <c r="G13" s="21"/>
      <c r="H13" s="15"/>
      <c r="I13" s="4"/>
      <c r="J13" s="4"/>
      <c r="K13" s="38"/>
      <c r="L13" s="20"/>
      <c r="M13" s="17"/>
      <c r="N13" s="17"/>
      <c r="O13" s="17"/>
      <c r="P13" s="17"/>
      <c r="Q13" s="17"/>
      <c r="R13" s="5"/>
      <c r="S13" s="25"/>
      <c r="T13" s="25"/>
      <c r="U13" s="5"/>
      <c r="V13" s="4"/>
      <c r="W13" s="4"/>
      <c r="X13" s="6"/>
      <c r="Y13" s="6"/>
      <c r="Z13" s="6"/>
      <c r="AA13" s="17"/>
      <c r="AB13" s="24"/>
      <c r="AC13" s="4"/>
      <c r="AD13" s="4"/>
      <c r="AE13" s="4"/>
      <c r="AF13" s="7"/>
      <c r="AG13" s="24"/>
      <c r="AH13" s="8"/>
      <c r="AI13" s="7"/>
      <c r="AJ13" s="7"/>
      <c r="AK13" s="7"/>
      <c r="AL13" s="7"/>
      <c r="AM13" s="7"/>
      <c r="AN13" s="65"/>
    </row>
    <row r="15" spans="1:40" ht="21" customHeight="1" x14ac:dyDescent="0.15">
      <c r="Z15" s="3">
        <v>1</v>
      </c>
    </row>
  </sheetData>
  <sheetProtection selectLockedCells="1" selectUnlockedCells="1"/>
  <autoFilter ref="B1:AH5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5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L3" sqref="L3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25.66406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26" t="s">
        <v>50</v>
      </c>
      <c r="V1" s="26" t="s">
        <v>52</v>
      </c>
      <c r="W1" s="28" t="s">
        <v>130</v>
      </c>
      <c r="X1" s="29" t="s">
        <v>129</v>
      </c>
      <c r="Y1" s="28" t="s">
        <v>8</v>
      </c>
    </row>
    <row r="2" spans="1:25" ht="21" customHeight="1" x14ac:dyDescent="0.15">
      <c r="A2" s="16" t="str">
        <f>B2&amp;"_"&amp;C2&amp;"-"&amp;G2&amp;"/"&amp;M2&amp;"&lt;lv"&amp;S2&amp;"&gt;sq"&amp;K2&amp;"st"&amp;L2</f>
        <v>11229_1-3/506&lt;lv1&gt;sq1st2</v>
      </c>
      <c r="B2" s="22">
        <v>11229</v>
      </c>
      <c r="C2" s="21">
        <v>1</v>
      </c>
      <c r="D2" s="2" t="str">
        <f>B2&amp;"_"&amp;C2</f>
        <v>11229_1</v>
      </c>
      <c r="E2" s="4" t="str">
        <f ca="1">VLOOKUP($B2,OFFSET([2]quests!$A$1,0,0,COUNTA([2]quests!$A:$A),MATCH(E$1,[2]quests!$1:$1,0)-MATCH($B$1,[2]quests!$1:$1,0)+1),MATCH(E$1,[2]quests!$1:$1,0)-MATCH($B$1,[2]quests!$1:$1,0)+1,FALSE)</f>
        <v>ホワイトデー★特別クエスト</v>
      </c>
      <c r="F2" s="4" t="str">
        <f ca="1">VLOOKUP($D2,OFFSET([2]stages!$A$1,0,0,COUNTA([2]stages!$A:$A),MATCH(F$1,[2]stages!$2:$2,0)-MATCH($D$1,[2]stages!$2:$2,0)+1),MATCH(F$1,[2]stages!$2:$2,0)-MATCH($D$1,[2]stages!$2:$2,0)+1,FALSE)</f>
        <v>【ストーリー】ホワイトデー独騒曲</v>
      </c>
      <c r="G2" s="21">
        <v>3</v>
      </c>
      <c r="H2" s="15" t="str">
        <f>B2&amp;"_"&amp;C2&amp;"-"&amp;G2</f>
        <v>11229_1-3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506</v>
      </c>
      <c r="N2" s="17" t="str">
        <f ca="1">VLOOKUP($M2,OFFSET([3]enemies!$A$1,0,0,COUNTA([3]enemies!$A:$A),MATCH(N$1,[3]enemies!$1:$1,0)-MATCH($M$1,[3]enemies!$1:$1,0)+1),MATCH(N$1,[3]enemies!$1:$1,0)-MATCH($M$1,[3]enemies!$1:$1,0)+1,FALSE)</f>
        <v>ゴーテル</v>
      </c>
      <c r="O2" s="17" t="str">
        <f ca="1">VLOOKUP($M2,OFFSET([3]enemies!$A$1,0,0,COUNTA([3]enemies!$A:$A),MATCH(O$1,[3]enemies!$1:$1,0)-MATCH($M$1,[3]enemies!$1:$1,0)+1),MATCH(O$1,[3]enemies!$1:$1,0)-MATCH($M$1,[3]enemies!$1:$1,0)+1,FALSE)</f>
        <v>blue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Drop2N</v>
      </c>
      <c r="Q2" s="17" t="str">
        <f ca="1">VLOOKUP($M2,OFFSET([3]enemies!$A$1,0,0,COUNTA([3]enemies!$A:$A),MATCH(Q$1,[3]enemies!$1:$1,0)-MATCH($M$1,[3]enemies!$1:$1,0)+1),MATCH(Q$1,[3]enemies!$1:$1,0)-MATCH($M$1,[3]enemies!$1:$1,0)+1,FALSE)</f>
        <v>human</v>
      </c>
      <c r="R2" s="17">
        <f ca="1">VLOOKUP($M2,OFFSET([3]enemies!$A$1,0,0,COUNTA([3]enemies!$A:$A),MATCH(R$1,[3]enemies!$1:$1,0)-MATCH($M$1,[3]enemies!$1:$1,0)+1),MATCH(R$1,[3]enemies!$1:$1,0)-MATCH($M$1,[3]enemies!$1:$1,0)+1,FALSE)</f>
        <v>30</v>
      </c>
      <c r="S2" s="5">
        <v>1</v>
      </c>
      <c r="T2" s="25">
        <v>1</v>
      </c>
      <c r="U2" s="25">
        <v>1</v>
      </c>
      <c r="V2" s="5">
        <v>0</v>
      </c>
      <c r="W2" s="4" t="e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2" s="4">
        <v>11229004</v>
      </c>
      <c r="Y2" s="66">
        <f ca="1">VLOOKUP($M2,OFFSET([3]enemies!$A$1,0,0,COUNTA([3]enemies!$A:$A),MATCH(Y$1,[3]enemies!$1:$1,0)-MATCH($M$1,[3]enemies!$1:$1,0)+1),MATCH(Y$1,[3]enemies!$1:$1,0)-MATCH($M$1,[3]enemies!$1:$1,0)+1,FALSE)</f>
        <v>3</v>
      </c>
    </row>
    <row r="3" spans="1:25" ht="21" customHeight="1" x14ac:dyDescent="0.15">
      <c r="A3" s="16" t="str">
        <f t="shared" ref="A3" si="0">B3&amp;"_"&amp;C3&amp;"-"&amp;G3&amp;"/"&amp;M3&amp;"&lt;lv"&amp;S3&amp;"&gt;sq"&amp;K3&amp;"st"&amp;L3</f>
        <v>11229_1-5/350&lt;lv70&gt;sq1st2</v>
      </c>
      <c r="B3" s="22">
        <v>11229</v>
      </c>
      <c r="C3" s="21">
        <v>1</v>
      </c>
      <c r="D3" s="2" t="str">
        <f t="shared" ref="D3" si="1">B3&amp;"_"&amp;C3</f>
        <v>11229_1</v>
      </c>
      <c r="E3" s="4" t="str">
        <f ca="1">VLOOKUP($B3,OFFSET([2]quests!$A$1,0,0,COUNTA([2]quests!$A:$A),MATCH(E$1,[2]quests!$1:$1,0)-MATCH($B$1,[2]quests!$1:$1,0)+1),MATCH(E$1,[2]quests!$1:$1,0)-MATCH($B$1,[2]quests!$1:$1,0)+1,FALSE)</f>
        <v>ホワイトデー★特別クエスト</v>
      </c>
      <c r="F3" s="4" t="str">
        <f ca="1">VLOOKUP($D3,OFFSET([2]stages!$A$1,0,0,COUNTA([2]stages!$A:$A),MATCH(F$1,[2]stages!$2:$2,0)-MATCH($D$1,[2]stages!$2:$2,0)+1),MATCH(F$1,[2]stages!$2:$2,0)-MATCH($D$1,[2]stages!$2:$2,0)+1,FALSE)</f>
        <v>【ストーリー】ホワイトデー独騒曲</v>
      </c>
      <c r="G3" s="21">
        <v>5</v>
      </c>
      <c r="H3" s="15" t="str">
        <f t="shared" ref="H3" si="2">B3&amp;"_"&amp;C3&amp;"-"&amp;G3</f>
        <v>11229_1-5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1</v>
      </c>
      <c r="L3" s="38">
        <v>2</v>
      </c>
      <c r="M3" s="20">
        <v>350</v>
      </c>
      <c r="N3" s="17" t="str">
        <f ca="1">VLOOKUP($M3,OFFSET([3]enemies!$A$1,0,0,COUNTA([3]enemies!$A:$A),MATCH(N$1,[3]enemies!$1:$1,0)-MATCH($M$1,[3]enemies!$1:$1,0)+1),MATCH(N$1,[3]enemies!$1:$1,0)-MATCH($M$1,[3]enemies!$1:$1,0)+1,FALSE)</f>
        <v>森のケロケロ</v>
      </c>
      <c r="O3" s="17" t="str">
        <f ca="1">VLOOKUP($M3,OFFSET([3]enemies!$A$1,0,0,COUNTA([3]enemies!$A:$A),MATCH(O$1,[3]enemies!$1:$1,0)-MATCH($M$1,[3]enemies!$1:$1,0)+1),MATCH(O$1,[3]enemies!$1:$1,0)-MATCH($M$1,[3]enemies!$1:$1,0)+1,FALSE)</f>
        <v>green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Material</v>
      </c>
      <c r="Q3" s="17" t="str">
        <f ca="1">VLOOKUP($M3,OFFSET([3]enemies!$A$1,0,0,COUNTA([3]enemies!$A:$A),MATCH(Q$1,[3]enemies!$1:$1,0)-MATCH($M$1,[3]enemies!$1:$1,0)+1),MATCH(Q$1,[3]enemies!$1:$1,0)-MATCH($M$1,[3]enemies!$1:$1,0)+1,FALSE)</f>
        <v>unknown</v>
      </c>
      <c r="R3" s="17">
        <f ca="1">VLOOKUP($M3,OFFSET([3]enemies!$A$1,0,0,COUNTA([3]enemies!$A:$A),MATCH(R$1,[3]enemies!$1:$1,0)-MATCH($M$1,[3]enemies!$1:$1,0)+1),MATCH(R$1,[3]enemies!$1:$1,0)-MATCH($M$1,[3]enemies!$1:$1,0)+1,FALSE)</f>
        <v>15</v>
      </c>
      <c r="S3" s="5">
        <v>70</v>
      </c>
      <c r="T3" s="25">
        <v>1</v>
      </c>
      <c r="U3" s="25">
        <v>1</v>
      </c>
      <c r="V3" s="5">
        <v>65000</v>
      </c>
      <c r="W3" s="4" t="e">
        <f ca="1">VLOOKUP($X3,OFFSET([5]enemy_skill_sets!$B$1,0,0,COUNTA([5]enemy_skill_sets!$B:$B),MATCH(N$1,[5]enemy_skill_sets!$1:$1,0)-MATCH($X$1,[5]enemy_skill_sets!$1:$1,0)+2),MATCH(N$1,[5]enemy_skill_sets!$1:$1,0)-MATCH($X$1,[5]enemy_skill_sets!$1:$1,0)+2,FALSE)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3" s="4">
        <v>11229009</v>
      </c>
      <c r="Y3" s="66">
        <f ca="1">VLOOKUP($M3,OFFSET([3]enemies!$A$1,0,0,COUNTA([3]enemies!$A:$A),MATCH(Y$1,[3]enemies!$1:$1,0)-MATCH($M$1,[3]enemies!$1:$1,0)+1),MATCH(Y$1,[3]enemies!$1:$1,0)-MATCH($M$1,[3]enemies!$1:$1,0)+1,FALSE)</f>
        <v>3</v>
      </c>
    </row>
    <row r="4" spans="1:25" ht="21" customHeight="1" x14ac:dyDescent="0.15">
      <c r="A4" s="16" t="str">
        <f t="shared" ref="A4" si="3">B4&amp;"_"&amp;C4&amp;"-"&amp;G4&amp;"/"&amp;M4&amp;"&lt;lv"&amp;S4&amp;"&gt;sq"&amp;K4&amp;"st"&amp;L4</f>
        <v>11229_1-5/679&lt;lv40&gt;sq1st3</v>
      </c>
      <c r="B4" s="22">
        <v>11229</v>
      </c>
      <c r="C4" s="21">
        <v>1</v>
      </c>
      <c r="D4" s="2" t="str">
        <f t="shared" ref="D4" si="4">B4&amp;"_"&amp;C4</f>
        <v>11229_1</v>
      </c>
      <c r="E4" s="4" t="str">
        <f ca="1">VLOOKUP($B4,OFFSET([2]quests!$A$1,0,0,COUNTA([2]quests!$A:$A),MATCH(E$1,[2]quests!$1:$1,0)-MATCH($B$1,[2]quests!$1:$1,0)+1),MATCH(E$1,[2]quests!$1:$1,0)-MATCH($B$1,[2]quests!$1:$1,0)+1,FALSE)</f>
        <v>ホワイトデー★特別クエスト</v>
      </c>
      <c r="F4" s="4" t="str">
        <f ca="1">VLOOKUP($D4,OFFSET([2]stages!$A$1,0,0,COUNTA([2]stages!$A:$A),MATCH(F$1,[2]stages!$2:$2,0)-MATCH($D$1,[2]stages!$2:$2,0)+1),MATCH(F$1,[2]stages!$2:$2,0)-MATCH($D$1,[2]stages!$2:$2,0)+1,FALSE)</f>
        <v>【ストーリー】ホワイトデー独騒曲</v>
      </c>
      <c r="G4" s="21">
        <v>5</v>
      </c>
      <c r="H4" s="15" t="str">
        <f t="shared" ref="H4" si="5">B4&amp;"_"&amp;C4&amp;"-"&amp;G4</f>
        <v>11229_1-5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1</v>
      </c>
      <c r="L4" s="38">
        <v>3</v>
      </c>
      <c r="M4" s="20">
        <v>679</v>
      </c>
      <c r="N4" s="17" t="str">
        <f ca="1">VLOOKUP($M4,OFFSET([3]enemies!$A$1,0,0,COUNTA([3]enemies!$A:$A),MATCH(N$1,[3]enemies!$1:$1,0)-MATCH($M$1,[3]enemies!$1:$1,0)+1),MATCH(N$1,[3]enemies!$1:$1,0)-MATCH($M$1,[3]enemies!$1:$1,0)+1,FALSE)</f>
        <v>孤高の王子　レイヴン</v>
      </c>
      <c r="O4" s="17" t="str">
        <f ca="1">VLOOKUP($M4,OFFSET([3]enemies!$A$1,0,0,COUNTA([3]enemies!$A:$A),MATCH(O$1,[3]enemies!$1:$1,0)-MATCH($M$1,[3]enemies!$1:$1,0)+1),MATCH(O$1,[3]enemies!$1:$1,0)-MATCH($M$1,[3]enemies!$1:$1,0)+1,FALSE)</f>
        <v>green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PremiumSS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40</v>
      </c>
      <c r="T4" s="25">
        <v>10</v>
      </c>
      <c r="U4" s="25">
        <v>1</v>
      </c>
      <c r="V4" s="5">
        <v>65000</v>
      </c>
      <c r="W4" s="4" t="e">
        <f ca="1">VLOOKUP($X4,OFFSET([5]enemy_skill_sets!$B$1,0,0,COUNTA([5]enemy_skill_sets!$B:$B),MATCH(N$1,[5]enemy_skill_sets!$1:$1,0)-MATCH($X$1,[5]enemy_skill_sets!$1:$1,0)+2),MATCH(N$1,[5]enemy_skill_sets!$1:$1,0)-MATCH($X$1,[5]enemy_skill_sets!$1:$1,0)+2,FALSE)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4" s="4">
        <v>11229010</v>
      </c>
      <c r="Y4" s="66">
        <f ca="1">VLOOKUP($M4,OFFSET([3]enemies!$A$1,0,0,COUNTA([3]enemies!$A:$A),MATCH(Y$1,[3]enemies!$1:$1,0)-MATCH($M$1,[3]enemies!$1:$1,0)+1),MATCH(Y$1,[3]enemies!$1:$1,0)-MATCH($M$1,[3]enemies!$1:$1,0)+1,FALSE)</f>
        <v>3</v>
      </c>
    </row>
    <row r="5" spans="1:25" ht="21" customHeight="1" x14ac:dyDescent="0.15">
      <c r="A5" s="16"/>
      <c r="B5" s="22"/>
      <c r="C5" s="21"/>
      <c r="D5" s="2"/>
      <c r="E5" s="4"/>
      <c r="F5" s="4"/>
      <c r="G5" s="21"/>
      <c r="H5" s="15"/>
      <c r="I5" s="4"/>
      <c r="J5" s="4"/>
      <c r="K5" s="38"/>
      <c r="L5" s="38"/>
      <c r="M5" s="20"/>
      <c r="N5" s="17"/>
      <c r="O5" s="17"/>
      <c r="P5" s="17"/>
      <c r="Q5" s="17"/>
      <c r="R5" s="17"/>
      <c r="S5" s="5"/>
      <c r="T5" s="25"/>
      <c r="U5" s="25"/>
      <c r="V5" s="5"/>
      <c r="W5" s="4"/>
      <c r="X5" s="4"/>
      <c r="Y5" s="66"/>
    </row>
  </sheetData>
  <sheetProtection selectLockedCells="1" selectUnlockedCells="1"/>
  <autoFilter ref="B1:Y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29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A7" sqref="A7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35.8320312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11229001_11229001</v>
      </c>
      <c r="B2" s="47">
        <v>11229001</v>
      </c>
      <c r="C2" s="47">
        <v>11229001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小さな恋の物語ケロ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「ホワイトデー独騒曲」</v>
      </c>
      <c r="F2" s="47">
        <v>11229001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6" si="1">B3&amp;"_"&amp;C3</f>
        <v>11229002_11229002</v>
      </c>
      <c r="B3" s="47">
        <v>11229002</v>
      </c>
      <c r="C3" s="47">
        <v>11229002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今年のバレンタインも…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何事もなかったケロ…</v>
      </c>
      <c r="F3" s="47">
        <v>11229002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" s="48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  <row r="4" spans="1:18" ht="21" customHeight="1" x14ac:dyDescent="0.15">
      <c r="A4" s="39" t="str">
        <f t="shared" si="1"/>
        <v>11229002_11229003</v>
      </c>
      <c r="B4" s="47">
        <v>11229002</v>
      </c>
      <c r="C4" s="47">
        <v>11229003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でも、今年のホワイトデーこそ…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あの人に気持ちを伝えるケロ！</v>
      </c>
      <c r="F4" s="47">
        <v>11229003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  <row r="5" spans="1:18" ht="21" customHeight="1" x14ac:dyDescent="0.15">
      <c r="A5" s="39" t="str">
        <f t="shared" si="1"/>
        <v>11229003_11229004</v>
      </c>
      <c r="B5" s="47">
        <v>11229003</v>
      </c>
      <c r="C5" s="47">
        <v>11229004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あの…ラプンツェ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ケロケロが勇気を出したその時</v>
      </c>
      <c r="F5" s="47">
        <v>11229004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48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  <row r="6" spans="1:18" ht="21" customHeight="1" x14ac:dyDescent="0.15">
      <c r="A6" s="39" t="str">
        <f t="shared" si="1"/>
        <v>11229004_11229005</v>
      </c>
      <c r="B6" s="47">
        <v>11229004</v>
      </c>
      <c r="C6" s="47">
        <v>11229005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ラプンツェル！_x000D_ここにいたのね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ゴーテルが割って入ってきた！</v>
      </c>
      <c r="F6" s="47">
        <v>11229005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  <row r="7" spans="1:18" ht="21" customHeight="1" x14ac:dyDescent="0.15">
      <c r="A7" s="39" t="str">
        <f t="shared" ref="A7:A10" si="2">B7&amp;"_"&amp;C7</f>
        <v>11229004_11229006</v>
      </c>
      <c r="B7" s="47">
        <v>11229004</v>
      </c>
      <c r="C7" s="47">
        <v>11229006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今日はホワイトデーよ♪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楽しそうにクッキーを渡した</v>
      </c>
      <c r="F7" s="47">
        <v>11229006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  <row r="8" spans="1:18" ht="21" customHeight="1" x14ac:dyDescent="0.15">
      <c r="A8" s="39" t="str">
        <f t="shared" si="2"/>
        <v>11229004_11229007</v>
      </c>
      <c r="B8" s="47">
        <v>11229004</v>
      </c>
      <c r="C8" s="47">
        <v>11229007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さあ、塔に帰りましょ！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ゴーテルは去って行った</v>
      </c>
      <c r="F8" s="47">
        <v>11229007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">
        <v>246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  <row r="9" spans="1:18" ht="21" customHeight="1" x14ac:dyDescent="0.15">
      <c r="A9" s="39" t="str">
        <f t="shared" si="2"/>
        <v>11229005_11229008</v>
      </c>
      <c r="B9" s="47">
        <v>11229005</v>
      </c>
      <c r="C9" s="47">
        <v>11229008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…ありがとう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ラプンツェルは嬉しそうだ</v>
      </c>
      <c r="F9" s="47">
        <v>11229008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">
        <v>219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  <row r="10" spans="1:18" ht="21" customHeight="1" x14ac:dyDescent="0.15">
      <c r="A10" s="39" t="str">
        <f t="shared" si="2"/>
        <v>11229005_11229009</v>
      </c>
      <c r="B10" s="47">
        <v>11229005</v>
      </c>
      <c r="C10" s="47">
        <v>11229009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あ…ゴーテル、待って…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ラプンツェルも_x000D_あとを追った</v>
      </c>
      <c r="F10" s="47">
        <v>11229009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">
        <v>220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  <row r="11" spans="1:18" ht="21" customHeight="1" x14ac:dyDescent="0.15">
      <c r="A11" s="39" t="str">
        <f t="shared" ref="A11:A21" si="3">B11&amp;"_"&amp;C11</f>
        <v>11229006_11229010</v>
      </c>
      <c r="B11" s="47">
        <v>11229006</v>
      </c>
      <c r="C11" s="47">
        <v>11229010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やっぱりボクなんか…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叶わぬ恋に打ちひしがれている</v>
      </c>
      <c r="F11" s="47">
        <v>11229010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48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  <row r="12" spans="1:18" ht="21" customHeight="1" x14ac:dyDescent="0.15">
      <c r="A12" s="39" t="str">
        <f t="shared" si="3"/>
        <v>11229006_11229011</v>
      </c>
      <c r="B12" s="47">
        <v>11229006</v>
      </c>
      <c r="C12" s="47">
        <v>11229011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井戸に帰って_x000D_ふて寝するケロ…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トボトボと去っていった…</v>
      </c>
      <c r="F12" s="47">
        <v>11229011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 t="str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  <row r="13" spans="1:18" ht="21" customHeight="1" x14ac:dyDescent="0.15">
      <c r="A13" s="39" t="str">
        <f t="shared" si="3"/>
        <v>11229007_11229012</v>
      </c>
      <c r="B13" s="47">
        <v>11229007</v>
      </c>
      <c r="C13" s="47">
        <v>11229012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あなた…誰？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ラプンツェルは困っている</v>
      </c>
      <c r="F13" s="47">
        <v>11229012</v>
      </c>
      <c r="G13" s="48">
        <v>1</v>
      </c>
      <c r="H13" s="48" t="str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  <row r="14" spans="1:18" ht="21" customHeight="1" x14ac:dyDescent="0.15">
      <c r="A14" s="39" t="str">
        <f t="shared" si="3"/>
        <v>11229007_11229013</v>
      </c>
      <c r="B14" s="47">
        <v>11229007</v>
      </c>
      <c r="C14" s="47">
        <v>11229013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あなたにチョコ…_x000D_あげてない…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ラプンツェルはますます困っている</v>
      </c>
      <c r="F14" s="47">
        <v>11229013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">
        <v>223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  <row r="15" spans="1:18" ht="21" customHeight="1" x14ac:dyDescent="0.15">
      <c r="A15" s="39" t="str">
        <f t="shared" si="3"/>
        <v>11229007_11229014</v>
      </c>
      <c r="B15" s="47">
        <v>11229007</v>
      </c>
      <c r="C15" s="47">
        <v>11229014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そんなものいらな…_x000D_え！？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何者かが割って入った！</v>
      </c>
      <c r="F15" s="47">
        <v>11229014</v>
      </c>
      <c r="G15" s="48"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  <row r="16" spans="1:18" ht="21" customHeight="1" x14ac:dyDescent="0.15">
      <c r="A16" s="39" t="str">
        <f t="shared" si="3"/>
        <v>11229009_11229015</v>
      </c>
      <c r="B16" s="47">
        <v>11229009</v>
      </c>
      <c r="C16" s="47">
        <v>11229015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ラプンツェル！_x000D_逃げてケロ！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ケロケロが助けに来た！</v>
      </c>
      <c r="F16" s="47">
        <v>11229015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" s="48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  <row r="17" spans="1:15" ht="21" customHeight="1" x14ac:dyDescent="0.15">
      <c r="A17" s="39" t="str">
        <f t="shared" si="3"/>
        <v>11229008_11229016</v>
      </c>
      <c r="B17" s="47">
        <v>11229008</v>
      </c>
      <c r="C17" s="47">
        <v>11229016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この間は世話になったな！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暴走のアバター_x000D_オズが襲来した！</v>
      </c>
      <c r="F17" s="47">
        <v>11229016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" s="48" t="str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  <row r="18" spans="1:15" ht="21" customHeight="1" x14ac:dyDescent="0.15">
      <c r="A18" s="39" t="str">
        <f t="shared" si="3"/>
        <v>11229008_11229017</v>
      </c>
      <c r="B18" s="47">
        <v>11229008</v>
      </c>
      <c r="C18" s="47">
        <v>11229017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石のクッキーを与えよう！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ホワイトデーのお返しのようだ</v>
      </c>
      <c r="F18" s="47">
        <v>11229017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  <row r="19" spans="1:15" ht="21" customHeight="1" x14ac:dyDescent="0.15">
      <c r="A19" s="39" t="str">
        <f t="shared" si="3"/>
        <v>11229008_11229018</v>
      </c>
      <c r="B19" s="47">
        <v>11229008</v>
      </c>
      <c r="C19" s="47">
        <v>11229018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どうだ！_x000D_素晴らしいだろう！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オズは話を聞いていない</v>
      </c>
      <c r="F19" s="47">
        <v>11229018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  <row r="20" spans="1:15" ht="21" customHeight="1" x14ac:dyDescent="0.15">
      <c r="A20" s="39" t="str">
        <f t="shared" si="3"/>
        <v>11229008_11229019</v>
      </c>
      <c r="B20" s="47">
        <v>11229008</v>
      </c>
      <c r="C20" s="47">
        <v>11229019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カエル如きに何ができる？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余裕の笑みを_x000D_浮かべている</v>
      </c>
      <c r="F20" s="47">
        <v>11229019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  <row r="21" spans="1:15" ht="21" customHeight="1" x14ac:dyDescent="0.15">
      <c r="A21" s="39" t="str">
        <f t="shared" si="3"/>
        <v>11229008_11229020</v>
      </c>
      <c r="B21" s="47">
        <v>11229008</v>
      </c>
      <c r="C21" s="47">
        <v>11229020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何をしようと無駄だ…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悠然と構えている</v>
      </c>
      <c r="F21" s="47">
        <v>11229020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  <row r="22" spans="1:15" ht="21" customHeight="1" x14ac:dyDescent="0.15">
      <c r="A22" s="39" t="str">
        <f t="shared" ref="A22" si="4">B22&amp;"_"&amp;C22</f>
        <v>11229009_11229021</v>
      </c>
      <c r="B22" s="47">
        <v>11229009</v>
      </c>
      <c r="C22" s="47">
        <v>11229021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ボク一人じゃないケロ！！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ボクもろとも_x000D_オズを倒してケロ！</v>
      </c>
      <c r="F22" s="47">
        <v>11229021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  <row r="23" spans="1:15" ht="21" customHeight="1" x14ac:dyDescent="0.15">
      <c r="A23" s="39" t="str">
        <f t="shared" ref="A23" si="5">B23&amp;"_"&amp;C23</f>
        <v>11229009_11229022</v>
      </c>
      <c r="B23" s="47">
        <v>11229009</v>
      </c>
      <c r="C23" s="47">
        <v>11229022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ボクの願いを聞いてケロ！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あいつを倒してケロ！</v>
      </c>
      <c r="F23" s="47">
        <v>11229022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  <row r="24" spans="1:15" ht="21" customHeight="1" x14ac:dyDescent="0.15">
      <c r="A24" s="39" t="str">
        <f t="shared" ref="A24:A26" si="6">B24&amp;"_"&amp;C24</f>
        <v>11229010_11229023</v>
      </c>
      <c r="B24" s="47">
        <v>11229010</v>
      </c>
      <c r="C24" s="47">
        <v>11229023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…これは…？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なんとケロケロの姿が！？</v>
      </c>
      <c r="F24" s="47">
        <v>11229023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" s="48" t="str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  <row r="25" spans="1:15" ht="21" customHeight="1" x14ac:dyDescent="0.15">
      <c r="A25" s="39" t="str">
        <f t="shared" si="6"/>
        <v>11229010_11229024</v>
      </c>
      <c r="B25" s="47">
        <v>11229010</v>
      </c>
      <c r="C25" s="47">
        <v>11229024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ありがとう…_x000D_アナタのおかげで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女王の呪いが解けました</v>
      </c>
      <c r="F25" s="47">
        <v>11229024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  <row r="26" spans="1:15" ht="21" customHeight="1" x14ac:dyDescent="0.15">
      <c r="A26" s="39" t="str">
        <f t="shared" si="6"/>
        <v>11229010_11229025</v>
      </c>
      <c r="B26" s="47">
        <v>11229010</v>
      </c>
      <c r="C26" s="47">
        <v>11229025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ありのままの自分で_x000D_今度こそ…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あの人に_x000D_想いを！</v>
      </c>
      <c r="F26" s="47">
        <v>11229025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  <row r="27" spans="1:15" ht="21" customHeight="1" x14ac:dyDescent="0.15">
      <c r="A27" s="39" t="str">
        <f t="shared" ref="A27" si="7">B27&amp;"_"&amp;C27</f>
        <v>11229009_11229026</v>
      </c>
      <c r="B27" s="47">
        <v>11229009</v>
      </c>
      <c r="C27" s="47">
        <v>11229026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ケロ！？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まばゆい光が_x000D_あたりを包む！</v>
      </c>
      <c r="F27" s="47">
        <v>11229026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 t="str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460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  <row r="28" spans="1:15" ht="21" customHeight="1" x14ac:dyDescent="0.15">
      <c r="A28" s="39" t="str">
        <f t="shared" ref="A28:A29" si="8">B28&amp;"_"&amp;C28</f>
        <v>11229008_11229027</v>
      </c>
      <c r="B28" s="47">
        <v>11229008</v>
      </c>
      <c r="C28" s="47">
        <v>11229027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そろそろ飽きてきたぞ…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次のターン超強力な攻撃！</v>
      </c>
      <c r="F28" s="47">
        <v>11229027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  <row r="29" spans="1:15" ht="21" customHeight="1" x14ac:dyDescent="0.15">
      <c r="A29" s="39" t="str">
        <f t="shared" si="8"/>
        <v>11229008_11229028</v>
      </c>
      <c r="B29" s="47">
        <v>11229008</v>
      </c>
      <c r="C29" s="47">
        <v>11229028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これで終わりだ！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痛恨の一撃！</v>
      </c>
      <c r="F29" s="47">
        <v>11229028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0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31"/>
  <sheetViews>
    <sheetView showGridLines="0" workbookViewId="0">
      <pane ySplit="1" topLeftCell="A2" activePane="bottomLeft" state="frozenSplit"/>
      <selection pane="bottomLeft" activeCell="B2" sqref="B2"/>
    </sheetView>
  </sheetViews>
  <sheetFormatPr baseColWidth="12" defaultColWidth="12.83203125" defaultRowHeight="21" customHeight="1" outlineLevelCol="1" x14ac:dyDescent="0.15"/>
  <cols>
    <col min="1" max="1" width="12.83203125" style="102"/>
    <col min="2" max="2" width="91.5" style="112" customWidth="1"/>
    <col min="3" max="4" width="12.83203125" style="102"/>
    <col min="5" max="5" width="23.6640625" style="102" bestFit="1" customWidth="1"/>
    <col min="6" max="6" width="44.1640625" style="102" bestFit="1" customWidth="1"/>
    <col min="7" max="7" width="52" style="102" hidden="1" customWidth="1" outlineLevel="1"/>
    <col min="8" max="8" width="18.33203125" style="102" hidden="1" customWidth="1" outlineLevel="1"/>
    <col min="9" max="10" width="18.6640625" style="102" hidden="1" customWidth="1" outlineLevel="1"/>
    <col min="11" max="11" width="0.5" style="102" customWidth="1" outlineLevel="1"/>
    <col min="12" max="12" width="23.6640625" style="102" customWidth="1"/>
    <col min="13" max="18" width="23.6640625" style="102" hidden="1" customWidth="1" outlineLevel="1"/>
    <col min="19" max="19" width="23.6640625" style="102" customWidth="1" collapsed="1"/>
    <col min="20" max="24" width="23.6640625" style="102" hidden="1" customWidth="1" outlineLevel="1"/>
    <col min="25" max="25" width="23.6640625" style="102" customWidth="1" collapsed="1"/>
    <col min="26" max="27" width="12.83203125" style="102"/>
    <col min="28" max="28" width="44.5" style="102" customWidth="1"/>
    <col min="29" max="16384" width="12.83203125" style="102"/>
  </cols>
  <sheetData>
    <row r="1" spans="1:28" ht="21" customHeight="1" x14ac:dyDescent="0.15">
      <c r="A1" s="100" t="s">
        <v>79</v>
      </c>
      <c r="B1" s="110" t="s">
        <v>80</v>
      </c>
      <c r="C1" s="100" t="s">
        <v>81</v>
      </c>
      <c r="D1" s="100" t="s">
        <v>127</v>
      </c>
      <c r="E1" s="100" t="s">
        <v>82</v>
      </c>
      <c r="F1" s="100" t="s">
        <v>83</v>
      </c>
      <c r="G1" s="101" t="s">
        <v>133</v>
      </c>
      <c r="H1" s="101" t="s">
        <v>139</v>
      </c>
      <c r="I1" s="101" t="s">
        <v>141</v>
      </c>
      <c r="J1" s="101" t="s">
        <v>140</v>
      </c>
      <c r="K1" s="101" t="s">
        <v>142</v>
      </c>
      <c r="L1" s="101" t="s">
        <v>134</v>
      </c>
      <c r="M1" s="101" t="s">
        <v>132</v>
      </c>
      <c r="N1" s="101" t="s">
        <v>135</v>
      </c>
      <c r="O1" s="101" t="s">
        <v>143</v>
      </c>
      <c r="P1" s="101" t="s">
        <v>144</v>
      </c>
      <c r="Q1" s="101" t="s">
        <v>145</v>
      </c>
      <c r="R1" s="101" t="s">
        <v>146</v>
      </c>
      <c r="S1" s="101" t="s">
        <v>136</v>
      </c>
      <c r="T1" s="101" t="s">
        <v>137</v>
      </c>
      <c r="U1" s="101" t="s">
        <v>147</v>
      </c>
      <c r="V1" s="101" t="s">
        <v>148</v>
      </c>
      <c r="W1" s="101" t="s">
        <v>149</v>
      </c>
      <c r="X1" s="101" t="s">
        <v>150</v>
      </c>
      <c r="Y1" s="101" t="s">
        <v>138</v>
      </c>
      <c r="Z1" s="101" t="s">
        <v>76</v>
      </c>
      <c r="AA1" s="101" t="s">
        <v>77</v>
      </c>
      <c r="AB1" s="101" t="s">
        <v>78</v>
      </c>
    </row>
    <row r="2" spans="1:28" ht="71" customHeight="1" x14ac:dyDescent="0.3">
      <c r="A2" s="103">
        <v>11229001</v>
      </c>
      <c r="B2" s="109" t="s">
        <v>309</v>
      </c>
      <c r="C2" s="104">
        <v>3</v>
      </c>
      <c r="D2" s="104" t="s">
        <v>128</v>
      </c>
      <c r="E2" s="105" t="s">
        <v>328</v>
      </c>
      <c r="F2" s="105" t="s">
        <v>215</v>
      </c>
      <c r="G2" s="106" t="str">
        <f>IFERROR(LEFT(B2,FIND("],",B2)),B2)</f>
        <v>[effect:enemy_message, val1:1.2, val2:1.2]</v>
      </c>
      <c r="H2" s="106">
        <f>FIND("effect:",G2)+7</f>
        <v>9</v>
      </c>
      <c r="I2" s="106">
        <f>IFERROR(FIND(",",G2),LEN(G2))</f>
        <v>22</v>
      </c>
      <c r="J2" s="106" t="e">
        <f>FIND("target:",G2)+7</f>
        <v>#VALUE!</v>
      </c>
      <c r="K2" s="106">
        <f>FIND(",",G2,I2+1)</f>
        <v>32</v>
      </c>
      <c r="L2" s="106" t="str">
        <f>IFERROR(VLOOKUP(MID(G2,J2,K2-J2),[6]skilldef!$C:$D,2,FALSE),"-") &amp; " / " &amp; IFERROR(VLOOKUP(MID(G2,H2,I2-H2),[6]skilldef!$A:$B,2,FALSE),"-")</f>
        <v>- / -</v>
      </c>
      <c r="M2" s="106" t="str">
        <f>IFERROR(RIGHT(B2,LEN(B2)-FIND("],",B2)-1),"none")</f>
        <v>[effect:ability_lock, target:unit_all, turn:-1],[effect:sleep, target:unit_all, turn:1, rate:1],[effect:hungup, target:unit_all, turn:-1, rate:1],[effect:suicide, val:1, dead_type:escape, target:enemy_all],[effect:crash_condition, target:unit_all, turn:-1, val:50, animation:enemy_crash_extend],[effect:degrade_unit, target:unit_all, turn:-1, status:attack, val:1.0, calc:mul]</v>
      </c>
      <c r="N2" s="107" t="str">
        <f>IFERROR(LEFT(M2,FIND("],",M2)+S17),M2)</f>
        <v>[effect:ability_lock, target:unit_all, turn:-1],[effect:sleep, target:unit_all, turn:1, rate:1],[effect:hungup, target:unit_all, turn:-1, rate:1],[effect:suicide, val:1, dead_type:escape, target:enemy_all],[effect:crash_condition, target:unit_all, turn:-1, val:50, animation:enemy_crash_extend],[effect:degrade_unit, target:unit_all, turn:-1, status:attack, val:1.0, calc:mul]</v>
      </c>
      <c r="O2" s="106">
        <f>FIND("effect:",N2)+7</f>
        <v>9</v>
      </c>
      <c r="P2" s="106">
        <f>IFERROR(FIND(",",N2),LEN(N2))</f>
        <v>21</v>
      </c>
      <c r="Q2" s="106">
        <f>FIND("target:",N2)+7</f>
        <v>30</v>
      </c>
      <c r="R2" s="106">
        <f>FIND(",",N2,P2+1)</f>
        <v>38</v>
      </c>
      <c r="S2" s="106" t="str">
        <f>IFERROR(VLOOKUP(MID(N2,Q2,R2-Q2),[6]skilldef!$C:$D,2,FALSE),"-") &amp; " / " &amp; IFERROR(VLOOKUP(MID(N2,O2,P2-O2),[6]skilldef!$A:$B,2,FALSE),"-")</f>
        <v>味方全体に / -</v>
      </c>
      <c r="T2" s="107" t="str">
        <f>IFERROR(RIGHT(M2,LEN(M2)-FIND("],",M2)-1),"none")</f>
        <v>[effect:sleep, target:unit_all, turn:1, rate:1],[effect:hungup, target:unit_all, turn:-1, rate:1],[effect:suicide, val:1, dead_type:escape, target:enemy_all],[effect:crash_condition, target:unit_all, turn:-1, val:50, animation:enemy_crash_extend],[effect:degrade_unit, target:unit_all, turn:-1, status:attack, val:1.0, calc:mul]</v>
      </c>
      <c r="U2" s="106">
        <f>FIND("effect:",T2)+7</f>
        <v>9</v>
      </c>
      <c r="V2" s="106">
        <f>IFERROR(FIND(",",T2),LEN(T2))</f>
        <v>14</v>
      </c>
      <c r="W2" s="106">
        <f>FIND("target:",T2)+7</f>
        <v>23</v>
      </c>
      <c r="X2" s="106">
        <f>FIND(",",T2,V2+1)</f>
        <v>31</v>
      </c>
      <c r="Y2" s="106" t="str">
        <f>IFERROR(VLOOKUP(MID(T2,W2,X2-W2),[6]skilldef!$C:$D,2,FALSE),"-") &amp; " / " &amp; IFERROR(VLOOKUP(MID(T2,U2,V2-U2),[6]skilldef!$A:$B,2,FALSE),"-")</f>
        <v>味方全体に / スリープ</v>
      </c>
      <c r="Z2" s="104"/>
      <c r="AA2" s="108"/>
      <c r="AB2" s="104"/>
    </row>
    <row r="3" spans="1:28" ht="32" x14ac:dyDescent="0.3">
      <c r="A3" s="103">
        <v>11229002</v>
      </c>
      <c r="B3" s="109" t="s">
        <v>282</v>
      </c>
      <c r="C3" s="104">
        <v>3</v>
      </c>
      <c r="D3" s="104" t="s">
        <v>216</v>
      </c>
      <c r="E3" s="105" t="s">
        <v>229</v>
      </c>
      <c r="F3" s="105" t="s">
        <v>230</v>
      </c>
      <c r="G3" s="106" t="str">
        <f t="shared" ref="G3:G5" si="0">IFERROR(LEFT(B3,FIND("],",B3)),B3)</f>
        <v>[effect:enemy_message, val1:1.2, val2:1.2]</v>
      </c>
      <c r="H3" s="106">
        <f t="shared" ref="H3:H13" si="1">FIND("effect:",G3)+7</f>
        <v>9</v>
      </c>
      <c r="I3" s="106">
        <f t="shared" ref="I3:I5" si="2">IFERROR(FIND(",",G3),LEN(G3))</f>
        <v>22</v>
      </c>
      <c r="J3" s="106" t="e">
        <f t="shared" ref="J3:J5" si="3">FIND("target:",G3)+7</f>
        <v>#VALUE!</v>
      </c>
      <c r="K3" s="106">
        <f t="shared" ref="K3:K5" si="4">FIND(",",G3,I3+1)</f>
        <v>32</v>
      </c>
      <c r="L3" s="106" t="str">
        <f>IFERROR(VLOOKUP(MID(G3,J3,K3-J3),[6]skilldef!$C:$D,2,FALSE),"-") &amp; " / " &amp; IFERROR(VLOOKUP(MID(G3,H3,I3-H3),[6]skilldef!$A:$B,2,FALSE),"-")</f>
        <v>- / -</v>
      </c>
      <c r="M3" s="106" t="str">
        <f t="shared" ref="M3:M5" si="5">IFERROR(RIGHT(B3,LEN(B3)-FIND("],",B3)-1),"none")</f>
        <v>[effect:fix_speed, target:myself, turn:1]</v>
      </c>
      <c r="N3" s="107" t="str">
        <f>IFERROR(LEFT(M3,FIND("],",M3)+S19),M3)</f>
        <v>[effect:fix_speed, target:myself, turn:1]</v>
      </c>
      <c r="O3" s="106">
        <f t="shared" ref="O3:O13" si="6">FIND("effect:",N3)+7</f>
        <v>9</v>
      </c>
      <c r="P3" s="106">
        <f t="shared" ref="P3:P5" si="7">IFERROR(FIND(",",N3),LEN(N3))</f>
        <v>18</v>
      </c>
      <c r="Q3" s="106">
        <f t="shared" ref="Q3:Q5" si="8">FIND("target:",N3)+7</f>
        <v>27</v>
      </c>
      <c r="R3" s="106">
        <f t="shared" ref="R3:R5" si="9">FIND(",",N3,P3+1)</f>
        <v>33</v>
      </c>
      <c r="S3" s="106" t="str">
        <f>IFERROR(VLOOKUP(MID(N3,Q3,R3-Q3),[6]skilldef!$C:$D,2,FALSE),"-") &amp; " / " &amp; IFERROR(VLOOKUP(MID(N3,O3,P3-O3),[6]skilldef!$A:$B,2,FALSE),"-")</f>
        <v>自分自身に / 行動値設定</v>
      </c>
      <c r="T3" s="107" t="str">
        <f t="shared" ref="T3:T5" si="10">IFERROR(RIGHT(M3,LEN(M3)-FIND("],",M3)-1),"none")</f>
        <v>none</v>
      </c>
      <c r="U3" s="106" t="e">
        <f t="shared" ref="U3:U13" si="11">FIND("effect:",T3)+7</f>
        <v>#VALUE!</v>
      </c>
      <c r="V3" s="106">
        <f t="shared" ref="V3:V5" si="12">IFERROR(FIND(",",T3),LEN(T3))</f>
        <v>4</v>
      </c>
      <c r="W3" s="106" t="e">
        <f t="shared" ref="W3:W5" si="13">FIND("target:",T3)+7</f>
        <v>#VALUE!</v>
      </c>
      <c r="X3" s="106" t="e">
        <f t="shared" ref="X3:X5" si="14">FIND(",",T3,V3+1)</f>
        <v>#VALUE!</v>
      </c>
      <c r="Y3" s="106" t="str">
        <f>IFERROR(VLOOKUP(MID(T3,W3,X3-W3),[6]skilldef!$C:$D,2,FALSE),"-") &amp; " / " &amp; IFERROR(VLOOKUP(MID(T3,U3,V3-U3),[6]skilldef!$A:$B,2,FALSE),"-")</f>
        <v>- / -</v>
      </c>
      <c r="Z3" s="104"/>
      <c r="AA3" s="108"/>
      <c r="AB3" s="104"/>
    </row>
    <row r="4" spans="1:28" ht="96" x14ac:dyDescent="0.3">
      <c r="A4" s="103">
        <v>11229003</v>
      </c>
      <c r="B4" s="109" t="s">
        <v>283</v>
      </c>
      <c r="C4" s="104">
        <v>3</v>
      </c>
      <c r="D4" s="104" t="s">
        <v>217</v>
      </c>
      <c r="E4" s="105" t="s">
        <v>231</v>
      </c>
      <c r="F4" s="105" t="s">
        <v>232</v>
      </c>
      <c r="G4" s="106" t="str">
        <f t="shared" si="0"/>
        <v>[effect:enemy_message, val1:1.5, val2:1.4]</v>
      </c>
      <c r="H4" s="106">
        <f t="shared" si="1"/>
        <v>9</v>
      </c>
      <c r="I4" s="106">
        <f t="shared" si="2"/>
        <v>22</v>
      </c>
      <c r="J4" s="106" t="e">
        <f t="shared" si="3"/>
        <v>#VALUE!</v>
      </c>
      <c r="K4" s="106">
        <f t="shared" si="4"/>
        <v>32</v>
      </c>
      <c r="L4" s="106" t="str">
        <f>IFERROR(VLOOKUP(MID(G4,J4,K4-J4),[6]skilldef!$C:$D,2,FALSE),"-") &amp; " / " &amp; IFERROR(VLOOKUP(MID(G4,H4,I4-H4),[6]skilldef!$A:$B,2,FALSE),"-")</f>
        <v>- / -</v>
      </c>
      <c r="M4" s="106" t="str">
        <f t="shared" si="5"/>
        <v>[effect:suicide, val:1, dead_type:escape, target:myself, animation:enemy_escape],[effect:sleep, target:unit_all, turn:2, rate:1]</v>
      </c>
      <c r="N4" s="107" t="str">
        <f>IFERROR(LEFT(M4,FIND("],",M4)+S20),M4)</f>
        <v>[effect:suicide, val:1, dead_type:escape, target:myself, animation:enemy_escape],[effect:sleep, target:unit_all, turn:2, rate:1]</v>
      </c>
      <c r="O4" s="106">
        <f t="shared" si="6"/>
        <v>9</v>
      </c>
      <c r="P4" s="106">
        <f t="shared" si="7"/>
        <v>16</v>
      </c>
      <c r="Q4" s="106">
        <f t="shared" si="8"/>
        <v>50</v>
      </c>
      <c r="R4" s="106">
        <f t="shared" si="9"/>
        <v>23</v>
      </c>
      <c r="S4" s="106" t="str">
        <f>IFERROR(VLOOKUP(MID(N4,Q4,R4-Q4),[6]skilldef!$C:$D,2,FALSE),"-") &amp; " / " &amp; IFERROR(VLOOKUP(MID(N4,O4,P4-O4),[6]skilldef!$A:$B,2,FALSE),"-")</f>
        <v>- / -</v>
      </c>
      <c r="T4" s="107" t="str">
        <f t="shared" si="10"/>
        <v>[effect:sleep, target:unit_all, turn:2, rate:1]</v>
      </c>
      <c r="U4" s="106">
        <f t="shared" si="11"/>
        <v>9</v>
      </c>
      <c r="V4" s="106">
        <f t="shared" si="12"/>
        <v>14</v>
      </c>
      <c r="W4" s="106">
        <f t="shared" si="13"/>
        <v>23</v>
      </c>
      <c r="X4" s="106">
        <f t="shared" si="14"/>
        <v>31</v>
      </c>
      <c r="Y4" s="106" t="str">
        <f>IFERROR(VLOOKUP(MID(T4,W4,X4-W4),[6]skilldef!$C:$D,2,FALSE),"-") &amp; " / " &amp; IFERROR(VLOOKUP(MID(T4,U4,V4-U4),[6]skilldef!$A:$B,2,FALSE),"-")</f>
        <v>味方全体に / スリープ</v>
      </c>
      <c r="Z4" s="104"/>
      <c r="AA4" s="108"/>
      <c r="AB4" s="104"/>
    </row>
    <row r="5" spans="1:28" ht="48" x14ac:dyDescent="0.3">
      <c r="A5" s="103">
        <v>11229004</v>
      </c>
      <c r="B5" s="109" t="s">
        <v>284</v>
      </c>
      <c r="C5" s="104">
        <v>3</v>
      </c>
      <c r="D5" s="104" t="s">
        <v>128</v>
      </c>
      <c r="E5" s="105" t="s">
        <v>257</v>
      </c>
      <c r="F5" s="105" t="s">
        <v>233</v>
      </c>
      <c r="G5" s="106" t="str">
        <f t="shared" si="0"/>
        <v>[effect:enemy_message, val1:1.2, val2:1.4]</v>
      </c>
      <c r="H5" s="106">
        <f t="shared" ref="H5" si="15">FIND("effect:",G5)+7</f>
        <v>9</v>
      </c>
      <c r="I5" s="106">
        <f t="shared" si="2"/>
        <v>22</v>
      </c>
      <c r="J5" s="106" t="e">
        <f t="shared" si="3"/>
        <v>#VALUE!</v>
      </c>
      <c r="K5" s="106">
        <f t="shared" si="4"/>
        <v>32</v>
      </c>
      <c r="L5" s="106" t="str">
        <f>IFERROR(VLOOKUP(MID(G5,J5,K5-J5),[6]skilldef!$C:$D,2,FALSE),"-") &amp; " / " &amp; IFERROR(VLOOKUP(MID(G5,H5,I5-H5),[6]skilldef!$A:$B,2,FALSE),"-")</f>
        <v>- / -</v>
      </c>
      <c r="M5" s="106" t="str">
        <f t="shared" si="5"/>
        <v>[effect:suicide, val:1, dead_type:suicide, target:myself]</v>
      </c>
      <c r="N5" s="107" t="str">
        <f t="shared" ref="N5" si="16">IFERROR(LEFT(M5,FIND("],",M5)+S20),M5)</f>
        <v>[effect:suicide, val:1, dead_type:suicide, target:myself]</v>
      </c>
      <c r="O5" s="106">
        <f t="shared" ref="O5" si="17">FIND("effect:",N5)+7</f>
        <v>9</v>
      </c>
      <c r="P5" s="106">
        <f t="shared" si="7"/>
        <v>16</v>
      </c>
      <c r="Q5" s="106">
        <f t="shared" si="8"/>
        <v>51</v>
      </c>
      <c r="R5" s="106">
        <f t="shared" si="9"/>
        <v>23</v>
      </c>
      <c r="S5" s="106" t="str">
        <f>IFERROR(VLOOKUP(MID(N5,Q5,R5-Q5),[6]skilldef!$C:$D,2,FALSE),"-") &amp; " / " &amp; IFERROR(VLOOKUP(MID(N5,O5,P5-O5),[6]skilldef!$A:$B,2,FALSE),"-")</f>
        <v>- / -</v>
      </c>
      <c r="T5" s="107" t="str">
        <f t="shared" si="10"/>
        <v>none</v>
      </c>
      <c r="U5" s="106" t="e">
        <f t="shared" ref="U5" si="18">FIND("effect:",T5)+7</f>
        <v>#VALUE!</v>
      </c>
      <c r="V5" s="106">
        <f t="shared" si="12"/>
        <v>4</v>
      </c>
      <c r="W5" s="106" t="e">
        <f t="shared" si="13"/>
        <v>#VALUE!</v>
      </c>
      <c r="X5" s="106" t="e">
        <f t="shared" si="14"/>
        <v>#VALUE!</v>
      </c>
      <c r="Y5" s="106" t="str">
        <f>IFERROR(VLOOKUP(MID(T5,W5,X5-W5),[6]skilldef!$C:$D,2,FALSE),"-") &amp; " / " &amp; IFERROR(VLOOKUP(MID(T5,U5,V5-U5),[6]skilldef!$A:$B,2,FALSE),"-")</f>
        <v>- / -</v>
      </c>
      <c r="Z5" s="104"/>
      <c r="AA5" s="108"/>
      <c r="AB5" s="104"/>
    </row>
    <row r="6" spans="1:28" ht="64" x14ac:dyDescent="0.3">
      <c r="A6" s="103">
        <v>11229005</v>
      </c>
      <c r="B6" s="109" t="s">
        <v>285</v>
      </c>
      <c r="C6" s="104">
        <v>3</v>
      </c>
      <c r="D6" s="104" t="s">
        <v>217</v>
      </c>
      <c r="E6" s="113" t="s">
        <v>316</v>
      </c>
      <c r="F6" s="105" t="s">
        <v>240</v>
      </c>
      <c r="G6" s="106" t="str">
        <f t="shared" ref="G6:G9" si="19">IFERROR(LEFT(B6,FIND("],",B6)),B6)</f>
        <v>[effect:enemy_message, val1:1.3, val2:1.4]</v>
      </c>
      <c r="H6" s="106">
        <f t="shared" si="1"/>
        <v>9</v>
      </c>
      <c r="I6" s="106">
        <f t="shared" ref="I6:I9" si="20">IFERROR(FIND(",",G6),LEN(G6))</f>
        <v>22</v>
      </c>
      <c r="J6" s="106" t="e">
        <f t="shared" ref="J6:J9" si="21">FIND("target:",G6)+7</f>
        <v>#VALUE!</v>
      </c>
      <c r="K6" s="106">
        <f t="shared" ref="K6:K9" si="22">FIND(",",G6,I6+1)</f>
        <v>32</v>
      </c>
      <c r="L6" s="106" t="str">
        <f>IFERROR(VLOOKUP(MID(G6,J6,K6-J6),[6]skilldef!$C:$D,2,FALSE),"-") &amp; " / " &amp; IFERROR(VLOOKUP(MID(G6,H6,I6-H6),[6]skilldef!$A:$B,2,FALSE),"-")</f>
        <v>- / -</v>
      </c>
      <c r="M6" s="106" t="str">
        <f t="shared" ref="M6:M9" si="23">IFERROR(RIGHT(B6,LEN(B6)-FIND("],",B6)-1),"none")</f>
        <v>[effect:fix_speed, target:myself, turn:1],[effect:fix_speed, target:enemy_yellow, turn:2]</v>
      </c>
      <c r="N6" s="107" t="str">
        <f>IFERROR(LEFT(M6,FIND("],",M6)+S22),M6)</f>
        <v>[effect:fix_speed, target:myself, turn:1],[effect:fix_speed, target:enemy_yellow, turn:2]</v>
      </c>
      <c r="O6" s="106">
        <f t="shared" si="6"/>
        <v>9</v>
      </c>
      <c r="P6" s="106">
        <f t="shared" ref="P6:P9" si="24">IFERROR(FIND(",",N6),LEN(N6))</f>
        <v>18</v>
      </c>
      <c r="Q6" s="106">
        <f t="shared" ref="Q6:Q9" si="25">FIND("target:",N6)+7</f>
        <v>27</v>
      </c>
      <c r="R6" s="106">
        <f t="shared" ref="R6:R9" si="26">FIND(",",N6,P6+1)</f>
        <v>33</v>
      </c>
      <c r="S6" s="106" t="str">
        <f>IFERROR(VLOOKUP(MID(N6,Q6,R6-Q6),[6]skilldef!$C:$D,2,FALSE),"-") &amp; " / " &amp; IFERROR(VLOOKUP(MID(N6,O6,P6-O6),[6]skilldef!$A:$B,2,FALSE),"-")</f>
        <v>自分自身に / 行動値設定</v>
      </c>
      <c r="T6" s="107" t="str">
        <f t="shared" ref="T6:T9" si="27">IFERROR(RIGHT(M6,LEN(M6)-FIND("],",M6)-1),"none")</f>
        <v>[effect:fix_speed, target:enemy_yellow, turn:2]</v>
      </c>
      <c r="U6" s="106">
        <f t="shared" si="11"/>
        <v>9</v>
      </c>
      <c r="V6" s="106">
        <f t="shared" ref="V6:V9" si="28">IFERROR(FIND(",",T6),LEN(T6))</f>
        <v>18</v>
      </c>
      <c r="W6" s="106">
        <f t="shared" ref="W6:W9" si="29">FIND("target:",T6)+7</f>
        <v>27</v>
      </c>
      <c r="X6" s="106">
        <f t="shared" ref="X6:X9" si="30">FIND(",",T6,V6+1)</f>
        <v>39</v>
      </c>
      <c r="Y6" s="106" t="str">
        <f>IFERROR(VLOOKUP(MID(T6,W6,X6-W6),[6]skilldef!$C:$D,2,FALSE),"-") &amp; " / " &amp; IFERROR(VLOOKUP(MID(T6,U6,V6-U6),[6]skilldef!$A:$B,2,FALSE),"-")</f>
        <v>黄の敵に / 行動値設定</v>
      </c>
      <c r="Z6" s="104"/>
      <c r="AA6" s="108"/>
      <c r="AB6" s="104"/>
    </row>
    <row r="7" spans="1:28" ht="32" x14ac:dyDescent="0.3">
      <c r="A7" s="103">
        <v>11229006</v>
      </c>
      <c r="B7" s="109" t="s">
        <v>286</v>
      </c>
      <c r="C7" s="104">
        <v>3</v>
      </c>
      <c r="D7" s="104" t="s">
        <v>217</v>
      </c>
      <c r="E7" s="105" t="s">
        <v>245</v>
      </c>
      <c r="F7" s="105" t="s">
        <v>241</v>
      </c>
      <c r="G7" s="106" t="str">
        <f t="shared" si="19"/>
        <v>[effect:enemy_message, val1:1.2, val2:1.3]</v>
      </c>
      <c r="H7" s="106">
        <f t="shared" si="1"/>
        <v>9</v>
      </c>
      <c r="I7" s="106">
        <f t="shared" si="20"/>
        <v>22</v>
      </c>
      <c r="J7" s="106" t="e">
        <f t="shared" si="21"/>
        <v>#VALUE!</v>
      </c>
      <c r="K7" s="106">
        <f t="shared" si="22"/>
        <v>32</v>
      </c>
      <c r="L7" s="106" t="str">
        <f>IFERROR(VLOOKUP(MID(G7,J7,K7-J7),[6]skilldef!$C:$D,2,FALSE),"-") &amp; " / " &amp; IFERROR(VLOOKUP(MID(G7,H7,I7-H7),[6]skilldef!$A:$B,2,FALSE),"-")</f>
        <v>- / -</v>
      </c>
      <c r="M7" s="106" t="str">
        <f t="shared" si="23"/>
        <v>[effect:fix_speed, target:myself, turn:1]</v>
      </c>
      <c r="N7" s="107" t="str">
        <f>IFERROR(LEFT(M7,FIND("],",M7)+S23),M7)</f>
        <v>[effect:fix_speed, target:myself, turn:1]</v>
      </c>
      <c r="O7" s="106">
        <f t="shared" si="6"/>
        <v>9</v>
      </c>
      <c r="P7" s="106">
        <f t="shared" si="24"/>
        <v>18</v>
      </c>
      <c r="Q7" s="106">
        <f t="shared" si="25"/>
        <v>27</v>
      </c>
      <c r="R7" s="106">
        <f t="shared" si="26"/>
        <v>33</v>
      </c>
      <c r="S7" s="106" t="str">
        <f>IFERROR(VLOOKUP(MID(N7,Q7,R7-Q7),[6]skilldef!$C:$D,2,FALSE),"-") &amp; " / " &amp; IFERROR(VLOOKUP(MID(N7,O7,P7-O7),[6]skilldef!$A:$B,2,FALSE),"-")</f>
        <v>自分自身に / 行動値設定</v>
      </c>
      <c r="T7" s="107" t="str">
        <f t="shared" si="27"/>
        <v>none</v>
      </c>
      <c r="U7" s="106" t="e">
        <f t="shared" si="11"/>
        <v>#VALUE!</v>
      </c>
      <c r="V7" s="106">
        <f t="shared" si="28"/>
        <v>4</v>
      </c>
      <c r="W7" s="106" t="e">
        <f t="shared" si="29"/>
        <v>#VALUE!</v>
      </c>
      <c r="X7" s="106" t="e">
        <f t="shared" si="30"/>
        <v>#VALUE!</v>
      </c>
      <c r="Y7" s="106" t="str">
        <f>IFERROR(VLOOKUP(MID(T7,W7,X7-W7),[6]skilldef!$C:$D,2,FALSE),"-") &amp; " / " &amp; IFERROR(VLOOKUP(MID(T7,U7,V7-U7),[6]skilldef!$A:$B,2,FALSE),"-")</f>
        <v>- / -</v>
      </c>
      <c r="Z7" s="104"/>
      <c r="AA7" s="108"/>
      <c r="AB7" s="104"/>
    </row>
    <row r="8" spans="1:28" ht="256" x14ac:dyDescent="0.3">
      <c r="A8" s="103">
        <v>11229007</v>
      </c>
      <c r="B8" s="109" t="s">
        <v>308</v>
      </c>
      <c r="C8" s="104">
        <v>3</v>
      </c>
      <c r="D8" s="105" t="s">
        <v>216</v>
      </c>
      <c r="E8" s="105" t="s">
        <v>280</v>
      </c>
      <c r="F8" s="105" t="s">
        <v>244</v>
      </c>
      <c r="G8" s="106" t="str">
        <f t="shared" si="19"/>
        <v>[effect:enemy_message, val1:1.2, val2:1.2]</v>
      </c>
      <c r="H8" s="106">
        <f t="shared" si="1"/>
        <v>9</v>
      </c>
      <c r="I8" s="106">
        <f t="shared" si="20"/>
        <v>22</v>
      </c>
      <c r="J8" s="106" t="e">
        <f t="shared" si="21"/>
        <v>#VALUE!</v>
      </c>
      <c r="K8" s="106">
        <f t="shared" si="22"/>
        <v>32</v>
      </c>
      <c r="L8" s="106" t="str">
        <f>IFERROR(VLOOKUP(MID(G8,J8,K8-J8),[6]skilldef!$C:$D,2,FALSE),"-") &amp; " / " &amp; IFERROR(VLOOKUP(MID(G8,H8,I8-H8),[6]skilldef!$A:$B,2,FALSE),"-")</f>
        <v>- / -</v>
      </c>
      <c r="M8" s="106" t="str">
        <f t="shared" si="23"/>
        <v>[effect:force_change_block, new_block:block_blue, target:block_red, count:0, val:0,animation:change_block],[effect:force_change_block, new_block:block_heart, target:block_green, count:0, val:0,animation:change_block],[effect:force_change_block, new_block:block_heart, target:block_yellow, count:0, val:0,animation:change_block],[effect:suicide, val:1, dead_type:escape, target:myself, animation:enemy_escape]</v>
      </c>
      <c r="N8" s="107" t="str">
        <f>IFERROR(LEFT(M8,FIND("],",M8)+S25),M8)</f>
        <v>[effect:force_change_block, new_block:block_blue, target:block_red, count:0, val:0,animation:change_block],[effect:force_change_block, new_block:block_heart, target:block_green, count:0, val:0,animation:change_block],[effect:force_change_block, new_block:block_heart, target:block_yellow, count:0, val:0,animation:change_block],[effect:suicide, val:1, dead_type:escape, target:myself, animation:enemy_escape]</v>
      </c>
      <c r="O8" s="106">
        <f t="shared" si="6"/>
        <v>9</v>
      </c>
      <c r="P8" s="106">
        <f t="shared" si="24"/>
        <v>27</v>
      </c>
      <c r="Q8" s="106">
        <f t="shared" si="25"/>
        <v>58</v>
      </c>
      <c r="R8" s="106">
        <f t="shared" si="26"/>
        <v>49</v>
      </c>
      <c r="S8" s="106" t="str">
        <f>IFERROR(VLOOKUP(MID(N8,Q8,R8-Q8),[6]skilldef!$C:$D,2,FALSE),"-") &amp; " / " &amp; IFERROR(VLOOKUP(MID(N8,O8,P8-O8),[6]skilldef!$A:$B,2,FALSE),"-")</f>
        <v>- / -</v>
      </c>
      <c r="T8" s="107" t="str">
        <f t="shared" si="27"/>
        <v>[effect:force_change_block, new_block:block_heart, target:block_green, count:0, val:0,animation:change_block],[effect:force_change_block, new_block:block_heart, target:block_yellow, count:0, val:0,animation:change_block],[effect:suicide, val:1, dead_type:escape, target:myself, animation:enemy_escape]</v>
      </c>
      <c r="U8" s="106">
        <f t="shared" si="11"/>
        <v>9</v>
      </c>
      <c r="V8" s="106">
        <f t="shared" si="28"/>
        <v>27</v>
      </c>
      <c r="W8" s="106">
        <f t="shared" si="29"/>
        <v>59</v>
      </c>
      <c r="X8" s="106">
        <f t="shared" si="30"/>
        <v>50</v>
      </c>
      <c r="Y8" s="106" t="str">
        <f>IFERROR(VLOOKUP(MID(T8,W8,X8-W8),[6]skilldef!$C:$D,2,FALSE),"-") &amp; " / " &amp; IFERROR(VLOOKUP(MID(T8,U8,V8-U8),[6]skilldef!$A:$B,2,FALSE),"-")</f>
        <v>- / -</v>
      </c>
      <c r="Z8" s="104"/>
      <c r="AA8" s="108"/>
      <c r="AB8" s="104"/>
    </row>
    <row r="9" spans="1:28" ht="21" customHeight="1" x14ac:dyDescent="0.3">
      <c r="A9" s="103">
        <v>11229008</v>
      </c>
      <c r="B9" s="109" t="s">
        <v>282</v>
      </c>
      <c r="C9" s="104">
        <v>3</v>
      </c>
      <c r="D9" s="104" t="s">
        <v>217</v>
      </c>
      <c r="E9" s="105" t="s">
        <v>279</v>
      </c>
      <c r="F9" s="105" t="s">
        <v>261</v>
      </c>
      <c r="G9" s="106" t="str">
        <f t="shared" si="19"/>
        <v>[effect:enemy_message, val1:1.2, val2:1.2]</v>
      </c>
      <c r="H9" s="106">
        <f t="shared" si="1"/>
        <v>9</v>
      </c>
      <c r="I9" s="106">
        <f t="shared" si="20"/>
        <v>22</v>
      </c>
      <c r="J9" s="106" t="e">
        <f t="shared" si="21"/>
        <v>#VALUE!</v>
      </c>
      <c r="K9" s="106">
        <f t="shared" si="22"/>
        <v>32</v>
      </c>
      <c r="L9" s="106" t="str">
        <f>IFERROR(VLOOKUP(MID(G9,J9,K9-J9),[6]skilldef!$C:$D,2,FALSE),"-") &amp; " / " &amp; IFERROR(VLOOKUP(MID(G9,H9,I9-H9),[6]skilldef!$A:$B,2,FALSE),"-")</f>
        <v>- / -</v>
      </c>
      <c r="M9" s="106" t="str">
        <f t="shared" si="23"/>
        <v>[effect:fix_speed, target:myself, turn:1]</v>
      </c>
      <c r="N9" s="107" t="str">
        <f>IFERROR(LEFT(M9,FIND("],",M9)+S26),M9)</f>
        <v>[effect:fix_speed, target:myself, turn:1]</v>
      </c>
      <c r="O9" s="106">
        <f t="shared" si="6"/>
        <v>9</v>
      </c>
      <c r="P9" s="106">
        <f t="shared" si="24"/>
        <v>18</v>
      </c>
      <c r="Q9" s="106">
        <f t="shared" si="25"/>
        <v>27</v>
      </c>
      <c r="R9" s="106">
        <f t="shared" si="26"/>
        <v>33</v>
      </c>
      <c r="S9" s="106" t="str">
        <f>IFERROR(VLOOKUP(MID(N9,Q9,R9-Q9),[6]skilldef!$C:$D,2,FALSE),"-") &amp; " / " &amp; IFERROR(VLOOKUP(MID(N9,O9,P9-O9),[6]skilldef!$A:$B,2,FALSE),"-")</f>
        <v>自分自身に / 行動値設定</v>
      </c>
      <c r="T9" s="107" t="str">
        <f t="shared" si="27"/>
        <v>none</v>
      </c>
      <c r="U9" s="106" t="e">
        <f t="shared" si="11"/>
        <v>#VALUE!</v>
      </c>
      <c r="V9" s="106">
        <f t="shared" si="28"/>
        <v>4</v>
      </c>
      <c r="W9" s="106" t="e">
        <f t="shared" si="29"/>
        <v>#VALUE!</v>
      </c>
      <c r="X9" s="106" t="e">
        <f t="shared" si="30"/>
        <v>#VALUE!</v>
      </c>
      <c r="Y9" s="106" t="str">
        <f>IFERROR(VLOOKUP(MID(T9,W9,X9-W9),[6]skilldef!$C:$D,2,FALSE),"-") &amp; " / " &amp; IFERROR(VLOOKUP(MID(T9,U9,V9-U9),[6]skilldef!$A:$B,2,FALSE),"-")</f>
        <v>- / -</v>
      </c>
      <c r="Z9" s="104"/>
      <c r="AA9" s="108"/>
      <c r="AB9" s="104"/>
    </row>
    <row r="10" spans="1:28" ht="64" x14ac:dyDescent="0.3">
      <c r="A10" s="103">
        <v>11229009</v>
      </c>
      <c r="B10" s="109" t="s">
        <v>287</v>
      </c>
      <c r="C10" s="104">
        <v>3</v>
      </c>
      <c r="D10" s="104" t="s">
        <v>128</v>
      </c>
      <c r="E10" s="105" t="s">
        <v>242</v>
      </c>
      <c r="F10" s="113" t="s">
        <v>327</v>
      </c>
      <c r="G10" s="106" t="str">
        <f t="shared" ref="G10" si="31">IFERROR(LEFT(B10,FIND("],",B10)),B10)</f>
        <v>[effect:enemy_message, val1:1.2, val2:1.4]</v>
      </c>
      <c r="H10" s="106">
        <f t="shared" ref="H10" si="32">FIND("effect:",G10)+7</f>
        <v>9</v>
      </c>
      <c r="I10" s="106">
        <f t="shared" ref="I10" si="33">IFERROR(FIND(",",G10),LEN(G10))</f>
        <v>22</v>
      </c>
      <c r="J10" s="106" t="e">
        <f t="shared" ref="J10" si="34">FIND("target:",G10)+7</f>
        <v>#VALUE!</v>
      </c>
      <c r="K10" s="106">
        <f t="shared" ref="K10" si="35">FIND(",",G10,I10+1)</f>
        <v>32</v>
      </c>
      <c r="L10" s="106" t="str">
        <f>IFERROR(VLOOKUP(MID(G10,J10,K10-J10),[6]skilldef!$C:$D,2,FALSE),"-") &amp; " / " &amp; IFERROR(VLOOKUP(MID(G10,H10,I10-H10),[6]skilldef!$A:$B,2,FALSE),"-")</f>
        <v>- / -</v>
      </c>
      <c r="M10" s="106" t="str">
        <f t="shared" ref="M10" si="36">IFERROR(RIGHT(B10,LEN(B10)-FIND("],",B10)-1),"none")</f>
        <v>[effect:suicide, val:1, dead_type:escape, target:myself, animation:enemy_escape]</v>
      </c>
      <c r="N10" s="107" t="str">
        <f>IFERROR(LEFT(M10,FIND("],",M10)+S27),M10)</f>
        <v>[effect:suicide, val:1, dead_type:escape, target:myself, animation:enemy_escape]</v>
      </c>
      <c r="O10" s="106">
        <f t="shared" ref="O10" si="37">FIND("effect:",N10)+7</f>
        <v>9</v>
      </c>
      <c r="P10" s="106">
        <f t="shared" ref="P10" si="38">IFERROR(FIND(",",N10),LEN(N10))</f>
        <v>16</v>
      </c>
      <c r="Q10" s="106">
        <f t="shared" ref="Q10" si="39">FIND("target:",N10)+7</f>
        <v>50</v>
      </c>
      <c r="R10" s="106">
        <f t="shared" ref="R10" si="40">FIND(",",N10,P10+1)</f>
        <v>23</v>
      </c>
      <c r="S10" s="106" t="str">
        <f>IFERROR(VLOOKUP(MID(N10,Q10,R10-Q10),[6]skilldef!$C:$D,2,FALSE),"-") &amp; " / " &amp; IFERROR(VLOOKUP(MID(N10,O10,P10-O10),[6]skilldef!$A:$B,2,FALSE),"-")</f>
        <v>- / -</v>
      </c>
      <c r="T10" s="107" t="str">
        <f t="shared" ref="T10" si="41">IFERROR(RIGHT(M10,LEN(M10)-FIND("],",M10)-1),"none")</f>
        <v>none</v>
      </c>
      <c r="U10" s="106" t="e">
        <f t="shared" ref="U10" si="42">FIND("effect:",T10)+7</f>
        <v>#VALUE!</v>
      </c>
      <c r="V10" s="106">
        <f t="shared" ref="V10" si="43">IFERROR(FIND(",",T10),LEN(T10))</f>
        <v>4</v>
      </c>
      <c r="W10" s="106" t="e">
        <f t="shared" ref="W10" si="44">FIND("target:",T10)+7</f>
        <v>#VALUE!</v>
      </c>
      <c r="X10" s="106" t="e">
        <f t="shared" ref="X10" si="45">FIND(",",T10,V10+1)</f>
        <v>#VALUE!</v>
      </c>
      <c r="Y10" s="106" t="str">
        <f>IFERROR(VLOOKUP(MID(T10,W10,X10-W10),[6]skilldef!$C:$D,2,FALSE),"-") &amp; " / " &amp; IFERROR(VLOOKUP(MID(T10,U10,V10-U10),[6]skilldef!$A:$B,2,FALSE),"-")</f>
        <v>- / -</v>
      </c>
      <c r="Z10" s="104"/>
      <c r="AA10" s="108"/>
      <c r="AB10" s="104"/>
    </row>
    <row r="11" spans="1:28" ht="192" x14ac:dyDescent="0.3">
      <c r="A11" s="103">
        <v>11229010</v>
      </c>
      <c r="B11" s="109" t="s">
        <v>307</v>
      </c>
      <c r="C11" s="104">
        <v>3</v>
      </c>
      <c r="D11" s="104" t="s">
        <v>258</v>
      </c>
      <c r="E11" s="105" t="s">
        <v>317</v>
      </c>
      <c r="F11" s="105" t="s">
        <v>234</v>
      </c>
      <c r="G11" s="106" t="str">
        <f t="shared" ref="G11:G13" si="46">IFERROR(LEFT(B11,FIND("],",B11)),B11)</f>
        <v>[effect:enemy_message, val1:1.2, val2:1.4]</v>
      </c>
      <c r="H11" s="106">
        <f t="shared" si="1"/>
        <v>9</v>
      </c>
      <c r="I11" s="106">
        <f t="shared" ref="I11:I13" si="47">IFERROR(FIND(",",G11),LEN(G11))</f>
        <v>22</v>
      </c>
      <c r="J11" s="106" t="e">
        <f t="shared" ref="J11:J13" si="48">FIND("target:",G11)+7</f>
        <v>#VALUE!</v>
      </c>
      <c r="K11" s="106">
        <f t="shared" ref="K11:K13" si="49">FIND(",",G11,I11+1)</f>
        <v>32</v>
      </c>
      <c r="L11" s="106" t="str">
        <f>IFERROR(VLOOKUP(MID(G11,J11,K11-J11),[6]skilldef!$C:$D,2,FALSE),"-") &amp; " / " &amp; IFERROR(VLOOKUP(MID(G11,H11,I11-H11),[6]skilldef!$A:$B,2,FALSE),"-")</f>
        <v>- / -</v>
      </c>
      <c r="M11" s="106" t="str">
        <f t="shared" ref="M11:M13" si="50">IFERROR(RIGHT(B11,LEN(B11)-FIND("],",B11)-1),"none")</f>
        <v>[effect:dark, turn:-1,target:unit_all,animation:enemy_dark],[effect:fix_speed, target:myself, turn:1],[effect:dis_panel, target:block_red, turn:1],[effect:dis_panel, target:block_blue, turn:1],[effect:dis_panel, target:block_green, turn:1],[effect:dis_panel, target:block_yellow, turn:1]</v>
      </c>
      <c r="N11" s="107" t="str">
        <f>IFERROR(LEFT(M11,FIND("],",M11)+S27),M11)</f>
        <v>[effect:dark, turn:-1,target:unit_all,animation:enemy_dark],[effect:fix_speed, target:myself, turn:1],[effect:dis_panel, target:block_red, turn:1],[effect:dis_panel, target:block_blue, turn:1],[effect:dis_panel, target:block_green, turn:1],[effect:dis_panel, target:block_yellow, turn:1]</v>
      </c>
      <c r="O11" s="106">
        <f t="shared" si="6"/>
        <v>9</v>
      </c>
      <c r="P11" s="106">
        <f t="shared" ref="P11:P13" si="51">IFERROR(FIND(",",N11),LEN(N11))</f>
        <v>13</v>
      </c>
      <c r="Q11" s="106">
        <f t="shared" ref="Q11:Q13" si="52">FIND("target:",N11)+7</f>
        <v>30</v>
      </c>
      <c r="R11" s="106">
        <f t="shared" ref="R11:R13" si="53">FIND(",",N11,P11+1)</f>
        <v>22</v>
      </c>
      <c r="S11" s="106" t="str">
        <f>IFERROR(VLOOKUP(MID(N11,Q11,R11-Q11),[6]skilldef!$C:$D,2,FALSE),"-") &amp; " / " &amp; IFERROR(VLOOKUP(MID(N11,O11,P11-O11),[6]skilldef!$A:$B,2,FALSE),"-")</f>
        <v>- / 暗黒</v>
      </c>
      <c r="T11" s="107" t="str">
        <f t="shared" ref="T11:T13" si="54">IFERROR(RIGHT(M11,LEN(M11)-FIND("],",M11)-1),"none")</f>
        <v>[effect:fix_speed, target:myself, turn:1],[effect:dis_panel, target:block_red, turn:1],[effect:dis_panel, target:block_blue, turn:1],[effect:dis_panel, target:block_green, turn:1],[effect:dis_panel, target:block_yellow, turn:1]</v>
      </c>
      <c r="U11" s="106">
        <f t="shared" si="11"/>
        <v>9</v>
      </c>
      <c r="V11" s="106">
        <f t="shared" ref="V11:V13" si="55">IFERROR(FIND(",",T11),LEN(T11))</f>
        <v>18</v>
      </c>
      <c r="W11" s="106">
        <f t="shared" ref="W11:W13" si="56">FIND("target:",T11)+7</f>
        <v>27</v>
      </c>
      <c r="X11" s="106">
        <f t="shared" ref="X11:X13" si="57">FIND(",",T11,V11+1)</f>
        <v>33</v>
      </c>
      <c r="Y11" s="106" t="str">
        <f>IFERROR(VLOOKUP(MID(T11,W11,X11-W11),[6]skilldef!$C:$D,2,FALSE),"-") &amp; " / " &amp; IFERROR(VLOOKUP(MID(T11,U11,V11-U11),[6]skilldef!$A:$B,2,FALSE),"-")</f>
        <v>自分自身に / 行動値設定</v>
      </c>
      <c r="Z11" s="104"/>
      <c r="AA11" s="108"/>
      <c r="AB11" s="104"/>
    </row>
    <row r="12" spans="1:28" ht="69" customHeight="1" x14ac:dyDescent="0.3">
      <c r="A12" s="103">
        <v>11229011</v>
      </c>
      <c r="B12" s="109" t="s">
        <v>288</v>
      </c>
      <c r="C12" s="104">
        <v>3</v>
      </c>
      <c r="D12" s="104" t="s">
        <v>199</v>
      </c>
      <c r="E12" s="113" t="s">
        <v>326</v>
      </c>
      <c r="F12" s="105" t="s">
        <v>235</v>
      </c>
      <c r="G12" s="106" t="str">
        <f t="shared" ref="G12" si="58">IFERROR(LEFT(B12,FIND("],",B12)),B12)</f>
        <v>[effect:enemy_message, val1:1.5, val2:1.2]</v>
      </c>
      <c r="H12" s="106">
        <f t="shared" ref="H12" si="59">FIND("effect:",G12)+7</f>
        <v>9</v>
      </c>
      <c r="I12" s="106">
        <f t="shared" ref="I12" si="60">IFERROR(FIND(",",G12),LEN(G12))</f>
        <v>22</v>
      </c>
      <c r="J12" s="106" t="e">
        <f t="shared" ref="J12" si="61">FIND("target:",G12)+7</f>
        <v>#VALUE!</v>
      </c>
      <c r="K12" s="106">
        <f t="shared" ref="K12" si="62">FIND(",",G12,I12+1)</f>
        <v>32</v>
      </c>
      <c r="L12" s="106" t="str">
        <f>IFERROR(VLOOKUP(MID(G12,J12,K12-J12),[6]skilldef!$C:$D,2,FALSE),"-") &amp; " / " &amp; IFERROR(VLOOKUP(MID(G12,H12,I12-H12),[6]skilldef!$A:$B,2,FALSE),"-")</f>
        <v>- / -</v>
      </c>
      <c r="M12" s="106" t="str">
        <f t="shared" ref="M12" si="63">IFERROR(RIGHT(B12,LEN(B12)-FIND("],",B12)-1),"none")</f>
        <v>[effect:suicide, val:1, dead_type:escape, target:myself, animation:enemy_escape]</v>
      </c>
      <c r="N12" s="107" t="str">
        <f>IFERROR(LEFT(M12,FIND("],",M12)+#REF!),M12)</f>
        <v>[effect:suicide, val:1, dead_type:escape, target:myself, animation:enemy_escape]</v>
      </c>
      <c r="O12" s="106">
        <f t="shared" ref="O12" si="64">FIND("effect:",N12)+7</f>
        <v>9</v>
      </c>
      <c r="P12" s="106">
        <f t="shared" ref="P12" si="65">IFERROR(FIND(",",N12),LEN(N12))</f>
        <v>16</v>
      </c>
      <c r="Q12" s="106">
        <f t="shared" ref="Q12" si="66">FIND("target:",N12)+7</f>
        <v>50</v>
      </c>
      <c r="R12" s="106">
        <f t="shared" ref="R12" si="67">FIND(",",N12,P12+1)</f>
        <v>23</v>
      </c>
      <c r="S12" s="106" t="str">
        <f>IFERROR(VLOOKUP(MID(N12,Q12,R12-Q12),[6]skilldef!$C:$D,2,FALSE),"-") &amp; " / " &amp; IFERROR(VLOOKUP(MID(N12,O12,P12-O12),[6]skilldef!$A:$B,2,FALSE),"-")</f>
        <v>- / -</v>
      </c>
      <c r="T12" s="107" t="str">
        <f t="shared" ref="T12" si="68">IFERROR(RIGHT(M12,LEN(M12)-FIND("],",M12)-1),"none")</f>
        <v>none</v>
      </c>
      <c r="U12" s="106" t="e">
        <f t="shared" ref="U12" si="69">FIND("effect:",T12)+7</f>
        <v>#VALUE!</v>
      </c>
      <c r="V12" s="106">
        <f t="shared" ref="V12" si="70">IFERROR(FIND(",",T12),LEN(T12))</f>
        <v>4</v>
      </c>
      <c r="W12" s="106" t="e">
        <f t="shared" ref="W12" si="71">FIND("target:",T12)+7</f>
        <v>#VALUE!</v>
      </c>
      <c r="X12" s="106" t="e">
        <f t="shared" ref="X12" si="72">FIND(",",T12,V12+1)</f>
        <v>#VALUE!</v>
      </c>
      <c r="Y12" s="106" t="str">
        <f>IFERROR(VLOOKUP(MID(T12,W12,X12-W12),[6]skilldef!$C:$D,2,FALSE),"-") &amp; " / " &amp; IFERROR(VLOOKUP(MID(T12,U12,V12-U12),[6]skilldef!$A:$B,2,FALSE),"-")</f>
        <v>- / -</v>
      </c>
      <c r="Z12" s="104"/>
      <c r="AA12" s="108"/>
      <c r="AB12" s="104"/>
    </row>
    <row r="13" spans="1:28" ht="21" customHeight="1" x14ac:dyDescent="0.3">
      <c r="A13" s="103">
        <v>11229012</v>
      </c>
      <c r="B13" s="109" t="s">
        <v>289</v>
      </c>
      <c r="C13" s="104">
        <v>3</v>
      </c>
      <c r="D13" s="104" t="s">
        <v>217</v>
      </c>
      <c r="E13" s="105" t="s">
        <v>256</v>
      </c>
      <c r="F13" s="105" t="s">
        <v>252</v>
      </c>
      <c r="G13" s="106" t="str">
        <f t="shared" si="46"/>
        <v>[effect:enemy_message, val1:1.2, val2:1.2]</v>
      </c>
      <c r="H13" s="106">
        <f t="shared" si="1"/>
        <v>9</v>
      </c>
      <c r="I13" s="106">
        <f t="shared" si="47"/>
        <v>22</v>
      </c>
      <c r="J13" s="106" t="e">
        <f t="shared" si="48"/>
        <v>#VALUE!</v>
      </c>
      <c r="K13" s="106">
        <f t="shared" si="49"/>
        <v>32</v>
      </c>
      <c r="L13" s="106" t="str">
        <f>IFERROR(VLOOKUP(MID(G13,J13,K13-J13),[6]skilldef!$C:$D,2,FALSE),"-") &amp; " / " &amp; IFERROR(VLOOKUP(MID(G13,H13,I13-H13),[6]skilldef!$A:$B,2,FALSE),"-")</f>
        <v>- / -</v>
      </c>
      <c r="M13" s="106" t="str">
        <f t="shared" si="50"/>
        <v>[effect:fix_speed, target:myself, turn:1]</v>
      </c>
      <c r="N13" s="107" t="str">
        <f>IFERROR(LEFT(M13,FIND("],",M13)+#REF!),M13)</f>
        <v>[effect:fix_speed, target:myself, turn:1]</v>
      </c>
      <c r="O13" s="106">
        <f t="shared" si="6"/>
        <v>9</v>
      </c>
      <c r="P13" s="106">
        <f t="shared" si="51"/>
        <v>18</v>
      </c>
      <c r="Q13" s="106">
        <f t="shared" si="52"/>
        <v>27</v>
      </c>
      <c r="R13" s="106">
        <f t="shared" si="53"/>
        <v>33</v>
      </c>
      <c r="S13" s="106" t="str">
        <f>IFERROR(VLOOKUP(MID(N13,Q13,R13-Q13),[6]skilldef!$C:$D,2,FALSE),"-") &amp; " / " &amp; IFERROR(VLOOKUP(MID(N13,O13,P13-O13),[6]skilldef!$A:$B,2,FALSE),"-")</f>
        <v>自分自身に / 行動値設定</v>
      </c>
      <c r="T13" s="107" t="str">
        <f t="shared" si="54"/>
        <v>none</v>
      </c>
      <c r="U13" s="106" t="e">
        <f t="shared" si="11"/>
        <v>#VALUE!</v>
      </c>
      <c r="V13" s="106">
        <f t="shared" si="55"/>
        <v>4</v>
      </c>
      <c r="W13" s="106" t="e">
        <f t="shared" si="56"/>
        <v>#VALUE!</v>
      </c>
      <c r="X13" s="106" t="e">
        <f t="shared" si="57"/>
        <v>#VALUE!</v>
      </c>
      <c r="Y13" s="106" t="str">
        <f>IFERROR(VLOOKUP(MID(T13,W13,X13-W13),[6]skilldef!$C:$D,2,FALSE),"-") &amp; " / " &amp; IFERROR(VLOOKUP(MID(T13,U13,V13-U13),[6]skilldef!$A:$B,2,FALSE),"-")</f>
        <v>- / -</v>
      </c>
      <c r="Z13" s="104"/>
      <c r="AA13" s="108"/>
      <c r="AB13" s="104"/>
    </row>
    <row r="14" spans="1:28" ht="32" x14ac:dyDescent="0.3">
      <c r="A14" s="103">
        <v>11229013</v>
      </c>
      <c r="B14" s="109" t="s">
        <v>290</v>
      </c>
      <c r="C14" s="104">
        <v>3</v>
      </c>
      <c r="D14" s="104" t="s">
        <v>199</v>
      </c>
      <c r="E14" s="113" t="s">
        <v>319</v>
      </c>
      <c r="F14" s="105" t="s">
        <v>253</v>
      </c>
      <c r="G14" s="106" t="str">
        <f t="shared" ref="G14:G26" si="73">IFERROR(LEFT(B14,FIND("],",B14)),B14)</f>
        <v>[effect:enemy_message, val1:1.3, val2:1.6]</v>
      </c>
      <c r="H14" s="106">
        <f t="shared" ref="H14:H26" si="74">FIND("effect:",G14)+7</f>
        <v>9</v>
      </c>
      <c r="I14" s="106">
        <f t="shared" ref="I14:I26" si="75">IFERROR(FIND(",",G14),LEN(G14))</f>
        <v>22</v>
      </c>
      <c r="J14" s="106" t="e">
        <f t="shared" ref="J14:J26" si="76">FIND("target:",G14)+7</f>
        <v>#VALUE!</v>
      </c>
      <c r="K14" s="106">
        <f t="shared" ref="K14:K26" si="77">FIND(",",G14,I14+1)</f>
        <v>32</v>
      </c>
      <c r="L14" s="106" t="str">
        <f>IFERROR(VLOOKUP(MID(G14,J14,K14-J14),[6]skilldef!$C:$D,2,FALSE),"-") &amp; " / " &amp; IFERROR(VLOOKUP(MID(G14,H14,I14-H14),[6]skilldef!$A:$B,2,FALSE),"-")</f>
        <v>- / -</v>
      </c>
      <c r="M14" s="106" t="str">
        <f t="shared" ref="M14:M26" si="78">IFERROR(RIGHT(B14,LEN(B14)-FIND("],",B14)-1),"none")</f>
        <v>[effect:fix_speed, target:myself, turn:1]</v>
      </c>
      <c r="N14" s="107" t="str">
        <f>IFERROR(LEFT(M14,FIND("],",M14)+#REF!),M14)</f>
        <v>[effect:fix_speed, target:myself, turn:1]</v>
      </c>
      <c r="O14" s="106">
        <f t="shared" ref="O14:O26" si="79">FIND("effect:",N14)+7</f>
        <v>9</v>
      </c>
      <c r="P14" s="106">
        <f t="shared" ref="P14:P26" si="80">IFERROR(FIND(",",N14),LEN(N14))</f>
        <v>18</v>
      </c>
      <c r="Q14" s="106">
        <f t="shared" ref="Q14:Q26" si="81">FIND("target:",N14)+7</f>
        <v>27</v>
      </c>
      <c r="R14" s="106">
        <f t="shared" ref="R14:R26" si="82">FIND(",",N14,P14+1)</f>
        <v>33</v>
      </c>
      <c r="S14" s="106" t="str">
        <f>IFERROR(VLOOKUP(MID(N14,Q14,R14-Q14),[6]skilldef!$C:$D,2,FALSE),"-") &amp; " / " &amp; IFERROR(VLOOKUP(MID(N14,O14,P14-O14),[6]skilldef!$A:$B,2,FALSE),"-")</f>
        <v>自分自身に / 行動値設定</v>
      </c>
      <c r="T14" s="107" t="str">
        <f t="shared" ref="T14:T26" si="83">IFERROR(RIGHT(M14,LEN(M14)-FIND("],",M14)-1),"none")</f>
        <v>none</v>
      </c>
      <c r="U14" s="106" t="e">
        <f t="shared" ref="U14:U26" si="84">FIND("effect:",T14)+7</f>
        <v>#VALUE!</v>
      </c>
      <c r="V14" s="106">
        <f t="shared" ref="V14:V26" si="85">IFERROR(FIND(",",T14),LEN(T14))</f>
        <v>4</v>
      </c>
      <c r="W14" s="106" t="e">
        <f t="shared" ref="W14:W26" si="86">FIND("target:",T14)+7</f>
        <v>#VALUE!</v>
      </c>
      <c r="X14" s="106" t="e">
        <f t="shared" ref="X14:X26" si="87">FIND(",",T14,V14+1)</f>
        <v>#VALUE!</v>
      </c>
      <c r="Y14" s="106" t="str">
        <f>IFERROR(VLOOKUP(MID(T14,W14,X14-W14),[6]skilldef!$C:$D,2,FALSE),"-") &amp; " / " &amp; IFERROR(VLOOKUP(MID(T14,U14,V14-U14),[6]skilldef!$A:$B,2,FALSE),"-")</f>
        <v>- / -</v>
      </c>
      <c r="Z14" s="104"/>
      <c r="AA14" s="108"/>
      <c r="AB14" s="104"/>
    </row>
    <row r="15" spans="1:28" ht="53" customHeight="1" x14ac:dyDescent="0.3">
      <c r="A15" s="103">
        <v>11229014</v>
      </c>
      <c r="B15" s="109" t="s">
        <v>291</v>
      </c>
      <c r="C15" s="104">
        <v>3</v>
      </c>
      <c r="D15" s="104" t="s">
        <v>128</v>
      </c>
      <c r="E15" s="113" t="s">
        <v>320</v>
      </c>
      <c r="F15" s="105" t="s">
        <v>239</v>
      </c>
      <c r="G15" s="106" t="str">
        <f t="shared" ref="G15" si="88">IFERROR(LEFT(B15,FIND("],",B15)),B15)</f>
        <v>[effect:enemy_message, val1:1.2, val2:1.2]</v>
      </c>
      <c r="H15" s="106">
        <f t="shared" ref="H15" si="89">FIND("effect:",G15)+7</f>
        <v>9</v>
      </c>
      <c r="I15" s="106">
        <f t="shared" ref="I15" si="90">IFERROR(FIND(",",G15),LEN(G15))</f>
        <v>22</v>
      </c>
      <c r="J15" s="106" t="e">
        <f t="shared" ref="J15" si="91">FIND("target:",G15)+7</f>
        <v>#VALUE!</v>
      </c>
      <c r="K15" s="106">
        <f t="shared" ref="K15" si="92">FIND(",",G15,I15+1)</f>
        <v>32</v>
      </c>
      <c r="L15" s="106" t="str">
        <f>IFERROR(VLOOKUP(MID(G15,J15,K15-J15),[6]skilldef!$C:$D,2,FALSE),"-") &amp; " / " &amp; IFERROR(VLOOKUP(MID(G15,H15,I15-H15),[6]skilldef!$A:$B,2,FALSE),"-")</f>
        <v>- / -</v>
      </c>
      <c r="M15" s="106" t="str">
        <f t="shared" ref="M15" si="93">IFERROR(RIGHT(B15,LEN(B15)-FIND("],",B15)-1),"none")</f>
        <v>[effect:suicide, val:1, dead_type:escape, target:myself, animation:enemy_escape]</v>
      </c>
      <c r="N15" s="107" t="str">
        <f>IFERROR(LEFT(M15,FIND("],",M15)+S30),M15)</f>
        <v>[effect:suicide, val:1, dead_type:escape, target:myself, animation:enemy_escape]</v>
      </c>
      <c r="O15" s="106">
        <f t="shared" ref="O15" si="94">FIND("effect:",N15)+7</f>
        <v>9</v>
      </c>
      <c r="P15" s="106">
        <f t="shared" ref="P15" si="95">IFERROR(FIND(",",N15),LEN(N15))</f>
        <v>16</v>
      </c>
      <c r="Q15" s="106">
        <f t="shared" ref="Q15" si="96">FIND("target:",N15)+7</f>
        <v>50</v>
      </c>
      <c r="R15" s="106">
        <f t="shared" ref="R15" si="97">FIND(",",N15,P15+1)</f>
        <v>23</v>
      </c>
      <c r="S15" s="106" t="str">
        <f>IFERROR(VLOOKUP(MID(N15,Q15,R15-Q15),[6]skilldef!$C:$D,2,FALSE),"-") &amp; " / " &amp; IFERROR(VLOOKUP(MID(N15,O15,P15-O15),[6]skilldef!$A:$B,2,FALSE),"-")</f>
        <v>- / -</v>
      </c>
      <c r="T15" s="107" t="str">
        <f t="shared" ref="T15" si="98">IFERROR(RIGHT(M15,LEN(M15)-FIND("],",M15)-1),"none")</f>
        <v>none</v>
      </c>
      <c r="U15" s="106" t="e">
        <f t="shared" ref="U15" si="99">FIND("effect:",T15)+7</f>
        <v>#VALUE!</v>
      </c>
      <c r="V15" s="106">
        <f t="shared" ref="V15" si="100">IFERROR(FIND(",",T15),LEN(T15))</f>
        <v>4</v>
      </c>
      <c r="W15" s="106" t="e">
        <f t="shared" ref="W15" si="101">FIND("target:",T15)+7</f>
        <v>#VALUE!</v>
      </c>
      <c r="X15" s="106" t="e">
        <f t="shared" ref="X15" si="102">FIND(",",T15,V15+1)</f>
        <v>#VALUE!</v>
      </c>
      <c r="Y15" s="106" t="str">
        <f>IFERROR(VLOOKUP(MID(T15,W15,X15-W15),[6]skilldef!$C:$D,2,FALSE),"-") &amp; " / " &amp; IFERROR(VLOOKUP(MID(T15,U15,V15-U15),[6]skilldef!$A:$B,2,FALSE),"-")</f>
        <v>- / -</v>
      </c>
      <c r="Z15" s="104"/>
      <c r="AA15" s="108"/>
      <c r="AB15" s="104"/>
    </row>
    <row r="16" spans="1:28" ht="112" x14ac:dyDescent="0.3">
      <c r="A16" s="103">
        <v>11229015</v>
      </c>
      <c r="B16" s="109" t="s">
        <v>292</v>
      </c>
      <c r="C16" s="104">
        <v>3</v>
      </c>
      <c r="D16" s="104" t="s">
        <v>128</v>
      </c>
      <c r="E16" s="113" t="s">
        <v>315</v>
      </c>
      <c r="F16" s="105" t="s">
        <v>260</v>
      </c>
      <c r="G16" s="106" t="str">
        <f t="shared" ref="G16" si="103">IFERROR(LEFT(B16,FIND("],",B16)),B16)</f>
        <v>[effect:enemy_message, val1:1.3, val2:1.2]</v>
      </c>
      <c r="H16" s="106">
        <f t="shared" ref="H16" si="104">FIND("effect:",G16)+7</f>
        <v>9</v>
      </c>
      <c r="I16" s="106">
        <f t="shared" ref="I16" si="105">IFERROR(FIND(",",G16),LEN(G16))</f>
        <v>22</v>
      </c>
      <c r="J16" s="106" t="e">
        <f t="shared" ref="J16" si="106">FIND("target:",G16)+7</f>
        <v>#VALUE!</v>
      </c>
      <c r="K16" s="106">
        <f t="shared" ref="K16" si="107">FIND(",",G16,I16+1)</f>
        <v>32</v>
      </c>
      <c r="L16" s="106" t="str">
        <f>IFERROR(VLOOKUP(MID(G16,J16,K16-J16),[6]skilldef!$C:$D,2,FALSE),"-") &amp; " / " &amp; IFERROR(VLOOKUP(MID(G16,H16,I16-H16),[6]skilldef!$A:$B,2,FALSE),"-")</f>
        <v>- / -</v>
      </c>
      <c r="M16" s="106" t="str">
        <f t="shared" ref="M16" si="108">IFERROR(RIGHT(B16,LEN(B16)-FIND("],",B16)-1),"none")</f>
        <v>[effect:fix_speed, target:myself, turn:1],[effect:sleep, target:unit_all, turn:1, rate:1],[effect:tolerance, target:myself, turn:-1, tolerance_effect:all, count:-1]</v>
      </c>
      <c r="N16" s="107" t="str">
        <f>IFERROR(LEFT(M16,FIND("],",M16)+S31),M16)</f>
        <v>[effect:fix_speed, target:myself, turn:1]</v>
      </c>
      <c r="O16" s="106">
        <f t="shared" ref="O16" si="109">FIND("effect:",N16)+7</f>
        <v>9</v>
      </c>
      <c r="P16" s="106">
        <f t="shared" ref="P16" si="110">IFERROR(FIND(",",N16),LEN(N16))</f>
        <v>18</v>
      </c>
      <c r="Q16" s="106">
        <f t="shared" ref="Q16" si="111">FIND("target:",N16)+7</f>
        <v>27</v>
      </c>
      <c r="R16" s="106">
        <f t="shared" ref="R16" si="112">FIND(",",N16,P16+1)</f>
        <v>33</v>
      </c>
      <c r="S16" s="106" t="str">
        <f>IFERROR(VLOOKUP(MID(N16,Q16,R16-Q16),[6]skilldef!$C:$D,2,FALSE),"-") &amp; " / " &amp; IFERROR(VLOOKUP(MID(N16,O16,P16-O16),[6]skilldef!$A:$B,2,FALSE),"-")</f>
        <v>自分自身に / 行動値設定</v>
      </c>
      <c r="T16" s="107" t="str">
        <f t="shared" ref="T16" si="113">IFERROR(RIGHT(M16,LEN(M16)-FIND("],",M16)-1),"none")</f>
        <v>[effect:sleep, target:unit_all, turn:1, rate:1],[effect:tolerance, target:myself, turn:-1, tolerance_effect:all, count:-1]</v>
      </c>
      <c r="U16" s="106">
        <f t="shared" ref="U16" si="114">FIND("effect:",T16)+7</f>
        <v>9</v>
      </c>
      <c r="V16" s="106">
        <f t="shared" ref="V16" si="115">IFERROR(FIND(",",T16),LEN(T16))</f>
        <v>14</v>
      </c>
      <c r="W16" s="106">
        <f t="shared" ref="W16" si="116">FIND("target:",T16)+7</f>
        <v>23</v>
      </c>
      <c r="X16" s="106">
        <f t="shared" ref="X16" si="117">FIND(",",T16,V16+1)</f>
        <v>31</v>
      </c>
      <c r="Y16" s="106" t="str">
        <f>IFERROR(VLOOKUP(MID(T16,W16,X16-W16),[6]skilldef!$C:$D,2,FALSE),"-") &amp; " / " &amp; IFERROR(VLOOKUP(MID(T16,U16,V16-U16),[6]skilldef!$A:$B,2,FALSE),"-")</f>
        <v>味方全体に / スリープ</v>
      </c>
      <c r="Z16" s="104"/>
      <c r="AA16" s="108"/>
      <c r="AB16" s="104"/>
    </row>
    <row r="17" spans="1:28" ht="112" x14ac:dyDescent="0.3">
      <c r="A17" s="103">
        <v>11229016</v>
      </c>
      <c r="B17" s="109" t="s">
        <v>293</v>
      </c>
      <c r="C17" s="104">
        <v>3</v>
      </c>
      <c r="D17" s="104" t="s">
        <v>199</v>
      </c>
      <c r="E17" s="105" t="s">
        <v>250</v>
      </c>
      <c r="F17" s="113" t="s">
        <v>321</v>
      </c>
      <c r="G17" s="106" t="str">
        <f t="shared" ref="G17:G18" si="118">IFERROR(LEFT(B17,FIND("],",B17)),B17)</f>
        <v>[effect:enemy_message, val1:1.2, val2:1.6]</v>
      </c>
      <c r="H17" s="106">
        <f t="shared" ref="H17:H18" si="119">FIND("effect:",G17)+7</f>
        <v>9</v>
      </c>
      <c r="I17" s="106">
        <f t="shared" ref="I17:I18" si="120">IFERROR(FIND(",",G17),LEN(G17))</f>
        <v>22</v>
      </c>
      <c r="J17" s="106" t="e">
        <f t="shared" ref="J17:J18" si="121">FIND("target:",G17)+7</f>
        <v>#VALUE!</v>
      </c>
      <c r="K17" s="106">
        <f t="shared" ref="K17:K18" si="122">FIND(",",G17,I17+1)</f>
        <v>32</v>
      </c>
      <c r="L17" s="106" t="str">
        <f>IFERROR(VLOOKUP(MID(G17,J17,K17-J17),[6]skilldef!$C:$D,2,FALSE),"-") &amp; " / " &amp; IFERROR(VLOOKUP(MID(G17,H17,I17-H17),[6]skilldef!$A:$B,2,FALSE),"-")</f>
        <v>- / -</v>
      </c>
      <c r="M17" s="106" t="str">
        <f t="shared" ref="M17:M18" si="123">IFERROR(RIGHT(B17,LEN(B17)-FIND("],",B17)-1),"none")</f>
        <v>[effect:force_change_block, new_block:jammer, target:block_all, count:9, val:0,animation:change_block],[effect:cure, bad_status:dark, animation:cure01],[effect:fix_speed, target:myself, turn:1]</v>
      </c>
      <c r="N17" s="107" t="str">
        <f>IFERROR(LEFT(M17,FIND("],",M17)+S30),M17)</f>
        <v>[effect:force_change_block, new_block:jammer, target:block_all, count:9, val:0,animation:change_block],[effect:cure, bad_status:dark, animation:cure01],[effect:fix_speed, target:myself, turn:1]</v>
      </c>
      <c r="O17" s="106">
        <f t="shared" ref="O17:O18" si="124">FIND("effect:",N17)+7</f>
        <v>9</v>
      </c>
      <c r="P17" s="106">
        <f t="shared" ref="P17:P18" si="125">IFERROR(FIND(",",N17),LEN(N17))</f>
        <v>27</v>
      </c>
      <c r="Q17" s="106">
        <f t="shared" ref="Q17:Q18" si="126">FIND("target:",N17)+7</f>
        <v>54</v>
      </c>
      <c r="R17" s="106">
        <f t="shared" ref="R17:R18" si="127">FIND(",",N17,P17+1)</f>
        <v>45</v>
      </c>
      <c r="S17" s="106" t="str">
        <f>IFERROR(VLOOKUP(MID(N17,Q17,R17-Q17),[6]skilldef!$C:$D,2,FALSE),"-") &amp; " / " &amp; IFERROR(VLOOKUP(MID(N17,O17,P17-O17),[6]skilldef!$A:$B,2,FALSE),"-")</f>
        <v>- / -</v>
      </c>
      <c r="T17" s="107" t="str">
        <f t="shared" ref="T17:T18" si="128">IFERROR(RIGHT(M17,LEN(M17)-FIND("],",M17)-1),"none")</f>
        <v>[effect:cure, bad_status:dark, animation:cure01],[effect:fix_speed, target:myself, turn:1]</v>
      </c>
      <c r="U17" s="106">
        <f t="shared" ref="U17:U18" si="129">FIND("effect:",T17)+7</f>
        <v>9</v>
      </c>
      <c r="V17" s="106">
        <f t="shared" ref="V17:V18" si="130">IFERROR(FIND(",",T17),LEN(T17))</f>
        <v>13</v>
      </c>
      <c r="W17" s="106">
        <f t="shared" ref="W17:W18" si="131">FIND("target:",T17)+7</f>
        <v>76</v>
      </c>
      <c r="X17" s="106">
        <f t="shared" ref="X17:X18" si="132">FIND(",",T17,V17+1)</f>
        <v>30</v>
      </c>
      <c r="Y17" s="106" t="str">
        <f>IFERROR(VLOOKUP(MID(T17,W17,X17-W17),[6]skilldef!$C:$D,2,FALSE),"-") &amp; " / " &amp; IFERROR(VLOOKUP(MID(T17,U17,V17-U17),[6]skilldef!$A:$B,2,FALSE),"-")</f>
        <v>- / -</v>
      </c>
      <c r="Z17" s="104"/>
      <c r="AA17" s="108"/>
      <c r="AB17" s="104"/>
    </row>
    <row r="18" spans="1:28" ht="96" x14ac:dyDescent="0.3">
      <c r="A18" s="103">
        <v>11229017</v>
      </c>
      <c r="B18" s="109" t="s">
        <v>294</v>
      </c>
      <c r="C18" s="104">
        <v>3</v>
      </c>
      <c r="D18" s="104" t="s">
        <v>128</v>
      </c>
      <c r="E18" s="105" t="s">
        <v>251</v>
      </c>
      <c r="F18" s="105" t="s">
        <v>255</v>
      </c>
      <c r="G18" s="106" t="str">
        <f t="shared" si="118"/>
        <v>[effect:enemy_message, val1:1.2, val2:1.4]</v>
      </c>
      <c r="H18" s="106">
        <f t="shared" si="119"/>
        <v>9</v>
      </c>
      <c r="I18" s="106">
        <f t="shared" si="120"/>
        <v>22</v>
      </c>
      <c r="J18" s="106" t="e">
        <f t="shared" si="121"/>
        <v>#VALUE!</v>
      </c>
      <c r="K18" s="106">
        <f t="shared" si="122"/>
        <v>32</v>
      </c>
      <c r="L18" s="106" t="str">
        <f>IFERROR(VLOOKUP(MID(G18,J18,K18-J18),[6]skilldef!$C:$D,2,FALSE),"-") &amp; " / " &amp; IFERROR(VLOOKUP(MID(G18,H18,I18-H18),[6]skilldef!$A:$B,2,FALSE),"-")</f>
        <v>- / -</v>
      </c>
      <c r="M18" s="106" t="str">
        <f t="shared" si="123"/>
        <v>[effect:force_change_block, new_block:jammer, target:block_all, count:18, val:0,animation:change_block],[effect:fix_speed, target:myself, turn:1]</v>
      </c>
      <c r="N18" s="107" t="str">
        <f>IFERROR(LEFT(M18,FIND("],",M18)+S30),M18)</f>
        <v>[effect:force_change_block, new_block:jammer, target:block_all, count:18, val:0,animation:change_block],[effect:fix_speed, target:myself, turn:1]</v>
      </c>
      <c r="O18" s="106">
        <f t="shared" si="124"/>
        <v>9</v>
      </c>
      <c r="P18" s="106">
        <f t="shared" si="125"/>
        <v>27</v>
      </c>
      <c r="Q18" s="106">
        <f t="shared" si="126"/>
        <v>54</v>
      </c>
      <c r="R18" s="106">
        <f t="shared" si="127"/>
        <v>45</v>
      </c>
      <c r="S18" s="106" t="str">
        <f>IFERROR(VLOOKUP(MID(N18,Q18,R18-Q18),[6]skilldef!$C:$D,2,FALSE),"-") &amp; " / " &amp; IFERROR(VLOOKUP(MID(N18,O18,P18-O18),[6]skilldef!$A:$B,2,FALSE),"-")</f>
        <v>- / -</v>
      </c>
      <c r="T18" s="107" t="str">
        <f t="shared" si="128"/>
        <v>[effect:fix_speed, target:myself, turn:1]</v>
      </c>
      <c r="U18" s="106">
        <f t="shared" si="129"/>
        <v>9</v>
      </c>
      <c r="V18" s="106">
        <f t="shared" si="130"/>
        <v>18</v>
      </c>
      <c r="W18" s="106">
        <f t="shared" si="131"/>
        <v>27</v>
      </c>
      <c r="X18" s="106">
        <f t="shared" si="132"/>
        <v>33</v>
      </c>
      <c r="Y18" s="106" t="str">
        <f>IFERROR(VLOOKUP(MID(T18,W18,X18-W18),[6]skilldef!$C:$D,2,FALSE),"-") &amp; " / " &amp; IFERROR(VLOOKUP(MID(T18,U18,V18-U18),[6]skilldef!$A:$B,2,FALSE),"-")</f>
        <v>自分自身に / 行動値設定</v>
      </c>
      <c r="Z18" s="104"/>
      <c r="AA18" s="108"/>
      <c r="AB18" s="104"/>
    </row>
    <row r="19" spans="1:28" ht="96" x14ac:dyDescent="0.3">
      <c r="A19" s="103">
        <v>11229018</v>
      </c>
      <c r="B19" s="109" t="s">
        <v>295</v>
      </c>
      <c r="C19" s="104">
        <v>3</v>
      </c>
      <c r="D19" s="104" t="s">
        <v>199</v>
      </c>
      <c r="E19" s="113" t="s">
        <v>318</v>
      </c>
      <c r="F19" s="105" t="s">
        <v>254</v>
      </c>
      <c r="G19" s="106" t="str">
        <f t="shared" si="73"/>
        <v>[effect:enemy_message, val1:1.3, val2:1.2]</v>
      </c>
      <c r="H19" s="106">
        <f t="shared" si="74"/>
        <v>9</v>
      </c>
      <c r="I19" s="106">
        <f t="shared" si="75"/>
        <v>22</v>
      </c>
      <c r="J19" s="106" t="e">
        <f t="shared" si="76"/>
        <v>#VALUE!</v>
      </c>
      <c r="K19" s="106">
        <f t="shared" si="77"/>
        <v>32</v>
      </c>
      <c r="L19" s="106" t="str">
        <f>IFERROR(VLOOKUP(MID(G19,J19,K19-J19),[6]skilldef!$C:$D,2,FALSE),"-") &amp; " / " &amp; IFERROR(VLOOKUP(MID(G19,H19,I19-H19),[6]skilldef!$A:$B,2,FALSE),"-")</f>
        <v>- / -</v>
      </c>
      <c r="M19" s="106" t="str">
        <f t="shared" si="78"/>
        <v>[effect:force_change_block, new_block:jammer, target:block_all, count:0, val:0,animation:change_block],[effect:fix_speed, target:myself, turn:1]</v>
      </c>
      <c r="N19" s="107" t="str">
        <f>IFERROR(LEFT(M19,FIND("],",M19)+S31),M19)</f>
        <v>[effect:force_change_block, new_block:jammer, target:block_all, count:0, val:0,animation:change_block]</v>
      </c>
      <c r="O19" s="106">
        <f t="shared" si="79"/>
        <v>9</v>
      </c>
      <c r="P19" s="106">
        <f t="shared" si="80"/>
        <v>27</v>
      </c>
      <c r="Q19" s="106">
        <f t="shared" si="81"/>
        <v>54</v>
      </c>
      <c r="R19" s="106">
        <f t="shared" si="82"/>
        <v>45</v>
      </c>
      <c r="S19" s="106" t="str">
        <f>IFERROR(VLOOKUP(MID(N19,Q19,R19-Q19),[6]skilldef!$C:$D,2,FALSE),"-") &amp; " / " &amp; IFERROR(VLOOKUP(MID(N19,O19,P19-O19),[6]skilldef!$A:$B,2,FALSE),"-")</f>
        <v>- / -</v>
      </c>
      <c r="T19" s="107" t="str">
        <f t="shared" si="83"/>
        <v>[effect:fix_speed, target:myself, turn:1]</v>
      </c>
      <c r="U19" s="106">
        <f t="shared" si="84"/>
        <v>9</v>
      </c>
      <c r="V19" s="106">
        <f t="shared" si="85"/>
        <v>18</v>
      </c>
      <c r="W19" s="106">
        <f t="shared" si="86"/>
        <v>27</v>
      </c>
      <c r="X19" s="106">
        <f t="shared" si="87"/>
        <v>33</v>
      </c>
      <c r="Y19" s="106" t="str">
        <f>IFERROR(VLOOKUP(MID(T19,W19,X19-W19),[6]skilldef!$C:$D,2,FALSE),"-") &amp; " / " &amp; IFERROR(VLOOKUP(MID(T19,U19,V19-U19),[6]skilldef!$A:$B,2,FALSE),"-")</f>
        <v>自分自身に / 行動値設定</v>
      </c>
      <c r="Z19" s="104"/>
      <c r="AA19" s="108"/>
      <c r="AB19" s="104"/>
    </row>
    <row r="20" spans="1:28" ht="96" x14ac:dyDescent="0.3">
      <c r="A20" s="103">
        <v>11229019</v>
      </c>
      <c r="B20" s="109" t="s">
        <v>296</v>
      </c>
      <c r="C20" s="104">
        <v>3</v>
      </c>
      <c r="D20" s="104" t="s">
        <v>199</v>
      </c>
      <c r="E20" s="105" t="s">
        <v>243</v>
      </c>
      <c r="F20" s="113" t="s">
        <v>322</v>
      </c>
      <c r="G20" s="106" t="str">
        <f t="shared" si="73"/>
        <v>[effect:enemy_message, val1:1.2, val2:1.3]</v>
      </c>
      <c r="H20" s="106">
        <f t="shared" si="74"/>
        <v>9</v>
      </c>
      <c r="I20" s="106">
        <f t="shared" si="75"/>
        <v>22</v>
      </c>
      <c r="J20" s="106" t="e">
        <f t="shared" si="76"/>
        <v>#VALUE!</v>
      </c>
      <c r="K20" s="106">
        <f t="shared" si="77"/>
        <v>32</v>
      </c>
      <c r="L20" s="106" t="str">
        <f>IFERROR(VLOOKUP(MID(G20,J20,K20-J20),[6]skilldef!$C:$D,2,FALSE),"-") &amp; " / " &amp; IFERROR(VLOOKUP(MID(G20,H20,I20-H20),[6]skilldef!$A:$B,2,FALSE),"-")</f>
        <v>- / -</v>
      </c>
      <c r="M20" s="106" t="str">
        <f t="shared" si="78"/>
        <v>[effect:force_change_block, new_block:jammer, target:block_all, count:0, val:0,animation:change_block],[effect:fix_speed, target:myself, turn:1]</v>
      </c>
      <c r="N20" s="107" t="str">
        <f>IFERROR(LEFT(M20,FIND("],",M20)+S32),M20)</f>
        <v>[effect:force_change_block, new_block:jammer, target:block_all, count:0, val:0,animation:change_block]</v>
      </c>
      <c r="O20" s="106">
        <f t="shared" si="79"/>
        <v>9</v>
      </c>
      <c r="P20" s="106">
        <f t="shared" si="80"/>
        <v>27</v>
      </c>
      <c r="Q20" s="106">
        <f t="shared" si="81"/>
        <v>54</v>
      </c>
      <c r="R20" s="106">
        <f t="shared" si="82"/>
        <v>45</v>
      </c>
      <c r="S20" s="106" t="str">
        <f>IFERROR(VLOOKUP(MID(N20,Q20,R20-Q20),[6]skilldef!$C:$D,2,FALSE),"-") &amp; " / " &amp; IFERROR(VLOOKUP(MID(N20,O20,P20-O20),[6]skilldef!$A:$B,2,FALSE),"-")</f>
        <v>- / -</v>
      </c>
      <c r="T20" s="107" t="str">
        <f t="shared" si="83"/>
        <v>[effect:fix_speed, target:myself, turn:1]</v>
      </c>
      <c r="U20" s="106">
        <f t="shared" si="84"/>
        <v>9</v>
      </c>
      <c r="V20" s="106">
        <f t="shared" si="85"/>
        <v>18</v>
      </c>
      <c r="W20" s="106">
        <f t="shared" si="86"/>
        <v>27</v>
      </c>
      <c r="X20" s="106">
        <f t="shared" si="87"/>
        <v>33</v>
      </c>
      <c r="Y20" s="106" t="str">
        <f>IFERROR(VLOOKUP(MID(T20,W20,X20-W20),[6]skilldef!$C:$D,2,FALSE),"-") &amp; " / " &amp; IFERROR(VLOOKUP(MID(T20,U20,V20-U20),[6]skilldef!$A:$B,2,FALSE),"-")</f>
        <v>自分自身に / 行動値設定</v>
      </c>
      <c r="Z20" s="104"/>
      <c r="AA20" s="108"/>
      <c r="AB20" s="104"/>
    </row>
    <row r="21" spans="1:28" ht="21" customHeight="1" x14ac:dyDescent="0.3">
      <c r="A21" s="103">
        <v>11229020</v>
      </c>
      <c r="B21" s="109" t="s">
        <v>297</v>
      </c>
      <c r="C21" s="104">
        <v>3</v>
      </c>
      <c r="D21" s="104" t="s">
        <v>128</v>
      </c>
      <c r="E21" s="105" t="s">
        <v>237</v>
      </c>
      <c r="F21" s="105" t="s">
        <v>248</v>
      </c>
      <c r="G21" s="106" t="str">
        <f t="shared" ref="G21" si="133">IFERROR(LEFT(B21,FIND("],",B21)),B21)</f>
        <v>[effect:enemy_message, val1:1.2, val2:1.2]</v>
      </c>
      <c r="H21" s="106">
        <f t="shared" ref="H21" si="134">FIND("effect:",G21)+7</f>
        <v>9</v>
      </c>
      <c r="I21" s="106">
        <f t="shared" ref="I21" si="135">IFERROR(FIND(",",G21),LEN(G21))</f>
        <v>22</v>
      </c>
      <c r="J21" s="106" t="e">
        <f t="shared" ref="J21" si="136">FIND("target:",G21)+7</f>
        <v>#VALUE!</v>
      </c>
      <c r="K21" s="106">
        <f t="shared" ref="K21" si="137">FIND(",",G21,I21+1)</f>
        <v>32</v>
      </c>
      <c r="L21" s="106" t="str">
        <f>IFERROR(VLOOKUP(MID(G21,J21,K21-J21),[6]skilldef!$C:$D,2,FALSE),"-") &amp; " / " &amp; IFERROR(VLOOKUP(MID(G21,H21,I21-H21),[6]skilldef!$A:$B,2,FALSE),"-")</f>
        <v>- / -</v>
      </c>
      <c r="M21" s="106" t="str">
        <f t="shared" ref="M21" si="138">IFERROR(RIGHT(B21,LEN(B21)-FIND("],",B21)-1),"none")</f>
        <v>[effect:fix_speed, target:myself, turn:2]</v>
      </c>
      <c r="N21" s="107" t="str">
        <f>IFERROR(LEFT(M21,FIND("],",M21)+S33),M21)</f>
        <v>[effect:fix_speed, target:myself, turn:2]</v>
      </c>
      <c r="O21" s="106">
        <f t="shared" ref="O21" si="139">FIND("effect:",N21)+7</f>
        <v>9</v>
      </c>
      <c r="P21" s="106">
        <f t="shared" ref="P21" si="140">IFERROR(FIND(",",N21),LEN(N21))</f>
        <v>18</v>
      </c>
      <c r="Q21" s="106">
        <f t="shared" ref="Q21" si="141">FIND("target:",N21)+7</f>
        <v>27</v>
      </c>
      <c r="R21" s="106">
        <f t="shared" ref="R21" si="142">FIND(",",N21,P21+1)</f>
        <v>33</v>
      </c>
      <c r="S21" s="106" t="str">
        <f>IFERROR(VLOOKUP(MID(N21,Q21,R21-Q21),[6]skilldef!$C:$D,2,FALSE),"-") &amp; " / " &amp; IFERROR(VLOOKUP(MID(N21,O21,P21-O21),[6]skilldef!$A:$B,2,FALSE),"-")</f>
        <v>自分自身に / 行動値設定</v>
      </c>
      <c r="T21" s="107" t="str">
        <f t="shared" ref="T21" si="143">IFERROR(RIGHT(M21,LEN(M21)-FIND("],",M21)-1),"none")</f>
        <v>none</v>
      </c>
      <c r="U21" s="106" t="e">
        <f t="shared" ref="U21" si="144">FIND("effect:",T21)+7</f>
        <v>#VALUE!</v>
      </c>
      <c r="V21" s="106">
        <f t="shared" ref="V21" si="145">IFERROR(FIND(",",T21),LEN(T21))</f>
        <v>4</v>
      </c>
      <c r="W21" s="106" t="e">
        <f t="shared" ref="W21" si="146">FIND("target:",T21)+7</f>
        <v>#VALUE!</v>
      </c>
      <c r="X21" s="106" t="e">
        <f t="shared" ref="X21" si="147">FIND(",",T21,V21+1)</f>
        <v>#VALUE!</v>
      </c>
      <c r="Y21" s="106" t="str">
        <f>IFERROR(VLOOKUP(MID(T21,W21,X21-W21),[6]skilldef!$C:$D,2,FALSE),"-") &amp; " / " &amp; IFERROR(VLOOKUP(MID(T21,U21,V21-U21),[6]skilldef!$A:$B,2,FALSE),"-")</f>
        <v>- / -</v>
      </c>
      <c r="Z21" s="104"/>
      <c r="AA21" s="108"/>
      <c r="AB21" s="104"/>
    </row>
    <row r="22" spans="1:28" ht="128" x14ac:dyDescent="0.3">
      <c r="A22" s="103">
        <v>11229021</v>
      </c>
      <c r="B22" s="109" t="s">
        <v>298</v>
      </c>
      <c r="C22" s="104">
        <v>3</v>
      </c>
      <c r="D22" s="104" t="s">
        <v>199</v>
      </c>
      <c r="E22" s="105" t="s">
        <v>249</v>
      </c>
      <c r="F22" s="113" t="s">
        <v>323</v>
      </c>
      <c r="G22" s="106" t="str">
        <f t="shared" si="73"/>
        <v>[effect:enemy_message, val1:1.2, val2:1.6]</v>
      </c>
      <c r="H22" s="106">
        <f t="shared" si="74"/>
        <v>9</v>
      </c>
      <c r="I22" s="106">
        <f t="shared" si="75"/>
        <v>22</v>
      </c>
      <c r="J22" s="106" t="e">
        <f t="shared" si="76"/>
        <v>#VALUE!</v>
      </c>
      <c r="K22" s="106">
        <f t="shared" si="77"/>
        <v>32</v>
      </c>
      <c r="L22" s="106" t="str">
        <f>IFERROR(VLOOKUP(MID(G22,J22,K22-J22),[6]skilldef!$C:$D,2,FALSE),"-") &amp; " / " &amp; IFERROR(VLOOKUP(MID(G22,H22,I22-H22),[6]skilldef!$A:$B,2,FALSE),"-")</f>
        <v>- / -</v>
      </c>
      <c r="M22" s="106" t="str">
        <f t="shared" si="78"/>
        <v>[effect:enhance_fever, val:1000.0, animation:fevergauge_up04],[effect:enhance_enemy, target:unit_all, turn:4, status:attack, val:1, animation:enemy_enhance_attack]</v>
      </c>
      <c r="N22" s="107" t="str">
        <f>IFERROR(LEFT(M22,FIND("],",M22)+S33),M22)</f>
        <v>[effect:enhance_fever, val:1000.0, animation:fevergauge_up04]</v>
      </c>
      <c r="O22" s="106">
        <f t="shared" si="79"/>
        <v>9</v>
      </c>
      <c r="P22" s="106">
        <f t="shared" si="80"/>
        <v>22</v>
      </c>
      <c r="Q22" s="106" t="e">
        <f t="shared" si="81"/>
        <v>#VALUE!</v>
      </c>
      <c r="R22" s="106">
        <f t="shared" si="82"/>
        <v>34</v>
      </c>
      <c r="S22" s="106" t="str">
        <f>IFERROR(VLOOKUP(MID(N22,Q22,R22-Q22),[6]skilldef!$C:$D,2,FALSE),"-") &amp; " / " &amp; IFERROR(VLOOKUP(MID(N22,O22,P22-O22),[6]skilldef!$A:$B,2,FALSE),"-")</f>
        <v>- / -</v>
      </c>
      <c r="T22" s="107" t="str">
        <f t="shared" si="83"/>
        <v>[effect:enhance_enemy, target:unit_all, turn:4, status:attack, val:1, animation:enemy_enhance_attack]</v>
      </c>
      <c r="U22" s="106">
        <f t="shared" si="84"/>
        <v>9</v>
      </c>
      <c r="V22" s="106">
        <f t="shared" si="85"/>
        <v>22</v>
      </c>
      <c r="W22" s="106">
        <f t="shared" si="86"/>
        <v>31</v>
      </c>
      <c r="X22" s="106">
        <f t="shared" si="87"/>
        <v>39</v>
      </c>
      <c r="Y22" s="106" t="str">
        <f>IFERROR(VLOOKUP(MID(T22,W22,X22-W22),[6]skilldef!$C:$D,2,FALSE),"-") &amp; " / " &amp; IFERROR(VLOOKUP(MID(T22,U22,V22-U22),[6]skilldef!$A:$B,2,FALSE),"-")</f>
        <v>味方全体に / ステータス強化</v>
      </c>
      <c r="Z22" s="104"/>
      <c r="AA22" s="108"/>
      <c r="AB22" s="104"/>
    </row>
    <row r="23" spans="1:28" ht="21" customHeight="1" x14ac:dyDescent="0.3">
      <c r="A23" s="103">
        <v>11229022</v>
      </c>
      <c r="B23" s="109" t="s">
        <v>299</v>
      </c>
      <c r="C23" s="104">
        <v>3</v>
      </c>
      <c r="D23" s="104" t="s">
        <v>199</v>
      </c>
      <c r="E23" s="105" t="s">
        <v>278</v>
      </c>
      <c r="F23" s="105" t="s">
        <v>262</v>
      </c>
      <c r="G23" s="106" t="str">
        <f t="shared" si="73"/>
        <v>[effect:enemy_message, val1:1.2, val2:1.2]</v>
      </c>
      <c r="H23" s="106">
        <f t="shared" si="74"/>
        <v>9</v>
      </c>
      <c r="I23" s="106">
        <f t="shared" si="75"/>
        <v>22</v>
      </c>
      <c r="J23" s="106" t="e">
        <f t="shared" si="76"/>
        <v>#VALUE!</v>
      </c>
      <c r="K23" s="106">
        <f t="shared" si="77"/>
        <v>32</v>
      </c>
      <c r="L23" s="106" t="str">
        <f>IFERROR(VLOOKUP(MID(G23,J23,K23-J23),[6]skilldef!$C:$D,2,FALSE),"-") &amp; " / " &amp; IFERROR(VLOOKUP(MID(G23,H23,I23-H23),[6]skilldef!$A:$B,2,FALSE),"-")</f>
        <v>- / -</v>
      </c>
      <c r="M23" s="106" t="str">
        <f t="shared" si="78"/>
        <v>[effect:fix_speed, target:myself, turn:3]</v>
      </c>
      <c r="N23" s="107" t="str">
        <f>IFERROR(LEFT(M23,FIND("],",M23)+S34),M23)</f>
        <v>[effect:fix_speed, target:myself, turn:3]</v>
      </c>
      <c r="O23" s="106">
        <f t="shared" si="79"/>
        <v>9</v>
      </c>
      <c r="P23" s="106">
        <f t="shared" si="80"/>
        <v>18</v>
      </c>
      <c r="Q23" s="106">
        <f t="shared" si="81"/>
        <v>27</v>
      </c>
      <c r="R23" s="106">
        <f t="shared" si="82"/>
        <v>33</v>
      </c>
      <c r="S23" s="106" t="str">
        <f>IFERROR(VLOOKUP(MID(N23,Q23,R23-Q23),[6]skilldef!$C:$D,2,FALSE),"-") &amp; " / " &amp; IFERROR(VLOOKUP(MID(N23,O23,P23-O23),[6]skilldef!$A:$B,2,FALSE),"-")</f>
        <v>自分自身に / 行動値設定</v>
      </c>
      <c r="T23" s="107" t="str">
        <f t="shared" si="83"/>
        <v>none</v>
      </c>
      <c r="U23" s="106" t="e">
        <f t="shared" si="84"/>
        <v>#VALUE!</v>
      </c>
      <c r="V23" s="106">
        <f t="shared" si="85"/>
        <v>4</v>
      </c>
      <c r="W23" s="106" t="e">
        <f t="shared" si="86"/>
        <v>#VALUE!</v>
      </c>
      <c r="X23" s="106" t="e">
        <f t="shared" si="87"/>
        <v>#VALUE!</v>
      </c>
      <c r="Y23" s="106" t="str">
        <f>IFERROR(VLOOKUP(MID(T23,W23,X23-W23),[6]skilldef!$C:$D,2,FALSE),"-") &amp; " / " &amp; IFERROR(VLOOKUP(MID(T23,U23,V23-U23),[6]skilldef!$A:$B,2,FALSE),"-")</f>
        <v>- / -</v>
      </c>
      <c r="Z23" s="104"/>
      <c r="AA23" s="108"/>
      <c r="AB23" s="104"/>
    </row>
    <row r="24" spans="1:28" ht="176" x14ac:dyDescent="0.3">
      <c r="A24" s="103">
        <v>11229023</v>
      </c>
      <c r="B24" s="109" t="s">
        <v>300</v>
      </c>
      <c r="C24" s="104">
        <v>3</v>
      </c>
      <c r="D24" s="104" t="s">
        <v>128</v>
      </c>
      <c r="E24" s="105" t="s">
        <v>236</v>
      </c>
      <c r="F24" s="105" t="s">
        <v>259</v>
      </c>
      <c r="G24" s="106" t="str">
        <f t="shared" ref="G24" si="148">IFERROR(LEFT(B24,FIND("],",B24)),B24)</f>
        <v>[effect:enemy_message, val1:1.2, val2:1.2]</v>
      </c>
      <c r="H24" s="106">
        <f t="shared" ref="H24" si="149">FIND("effect:",G24)+7</f>
        <v>9</v>
      </c>
      <c r="I24" s="106">
        <f t="shared" ref="I24" si="150">IFERROR(FIND(",",G24),LEN(G24))</f>
        <v>22</v>
      </c>
      <c r="J24" s="106" t="e">
        <f t="shared" ref="J24" si="151">FIND("target:",G24)+7</f>
        <v>#VALUE!</v>
      </c>
      <c r="K24" s="106">
        <f t="shared" ref="K24" si="152">FIND(",",G24,I24+1)</f>
        <v>32</v>
      </c>
      <c r="L24" s="106" t="str">
        <f>IFERROR(VLOOKUP(MID(G24,J24,K24-J24),[6]skilldef!$C:$D,2,FALSE),"-") &amp; " / " &amp; IFERROR(VLOOKUP(MID(G24,H24,I24-H24),[6]skilldef!$A:$B,2,FALSE),"-")</f>
        <v>- / -</v>
      </c>
      <c r="M24" s="106" t="str">
        <f t="shared" ref="M24" si="153">IFERROR(RIGHT(B24,LEN(B24)-FIND("],",B24)-1),"none")</f>
        <v>[effect:fix_speed, target:enemy_all, turn:1],[effect:sleep, target:unit_all, turn:1, rate:1],[effect:degrade_unit, target:unit_all, turn:-1, status:action, val:2.0],[effect:suicide, val:0.7, dead_type:escape, target:myself, animation:enemy_escape]</v>
      </c>
      <c r="N24" s="107" t="str">
        <f>IFERROR(LEFT(M24,FIND("],",M24)+S35),M24)</f>
        <v>[effect:fix_speed, target:enemy_all, turn:1]</v>
      </c>
      <c r="O24" s="106">
        <f t="shared" ref="O24" si="154">FIND("effect:",N24)+7</f>
        <v>9</v>
      </c>
      <c r="P24" s="106">
        <f t="shared" ref="P24" si="155">IFERROR(FIND(",",N24),LEN(N24))</f>
        <v>18</v>
      </c>
      <c r="Q24" s="106">
        <f t="shared" ref="Q24" si="156">FIND("target:",N24)+7</f>
        <v>27</v>
      </c>
      <c r="R24" s="106">
        <f t="shared" ref="R24" si="157">FIND(",",N24,P24+1)</f>
        <v>36</v>
      </c>
      <c r="S24" s="106" t="str">
        <f>IFERROR(VLOOKUP(MID(N24,Q24,R24-Q24),[6]skilldef!$C:$D,2,FALSE),"-") &amp; " / " &amp; IFERROR(VLOOKUP(MID(N24,O24,P24-O24),[6]skilldef!$A:$B,2,FALSE),"-")</f>
        <v>敵全体に / 行動値設定</v>
      </c>
      <c r="T24" s="107" t="str">
        <f t="shared" ref="T24" si="158">IFERROR(RIGHT(M24,LEN(M24)-FIND("],",M24)-1),"none")</f>
        <v>[effect:sleep, target:unit_all, turn:1, rate:1],[effect:degrade_unit, target:unit_all, turn:-1, status:action, val:2.0],[effect:suicide, val:0.7, dead_type:escape, target:myself, animation:enemy_escape]</v>
      </c>
      <c r="U24" s="106">
        <f t="shared" ref="U24" si="159">FIND("effect:",T24)+7</f>
        <v>9</v>
      </c>
      <c r="V24" s="106">
        <f t="shared" ref="V24" si="160">IFERROR(FIND(",",T24),LEN(T24))</f>
        <v>14</v>
      </c>
      <c r="W24" s="106">
        <f t="shared" ref="W24" si="161">FIND("target:",T24)+7</f>
        <v>23</v>
      </c>
      <c r="X24" s="106">
        <f t="shared" ref="X24" si="162">FIND(",",T24,V24+1)</f>
        <v>31</v>
      </c>
      <c r="Y24" s="106" t="str">
        <f>IFERROR(VLOOKUP(MID(T24,W24,X24-W24),[6]skilldef!$C:$D,2,FALSE),"-") &amp; " / " &amp; IFERROR(VLOOKUP(MID(T24,U24,V24-U24),[6]skilldef!$A:$B,2,FALSE),"-")</f>
        <v>味方全体に / スリープ</v>
      </c>
      <c r="Z24" s="104"/>
      <c r="AA24" s="108"/>
      <c r="AB24" s="104"/>
    </row>
    <row r="25" spans="1:28" ht="64" x14ac:dyDescent="0.3">
      <c r="A25" s="103">
        <v>11229024</v>
      </c>
      <c r="B25" s="109" t="s">
        <v>301</v>
      </c>
      <c r="C25" s="104">
        <v>3</v>
      </c>
      <c r="D25" s="104" t="s">
        <v>199</v>
      </c>
      <c r="E25" s="113" t="s">
        <v>313</v>
      </c>
      <c r="F25" s="105" t="s">
        <v>276</v>
      </c>
      <c r="G25" s="106" t="str">
        <f t="shared" si="73"/>
        <v>[effect:enemy_message, val1:1.4, val2:1.2]</v>
      </c>
      <c r="H25" s="106">
        <f t="shared" si="74"/>
        <v>9</v>
      </c>
      <c r="I25" s="106">
        <f t="shared" si="75"/>
        <v>22</v>
      </c>
      <c r="J25" s="106" t="e">
        <f t="shared" si="76"/>
        <v>#VALUE!</v>
      </c>
      <c r="K25" s="106">
        <f t="shared" si="77"/>
        <v>32</v>
      </c>
      <c r="L25" s="106" t="str">
        <f>IFERROR(VLOOKUP(MID(G25,J25,K25-J25),[6]skilldef!$C:$D,2,FALSE),"-") &amp; " / " &amp; IFERROR(VLOOKUP(MID(G25,H25,I25-H25),[6]skilldef!$A:$B,2,FALSE),"-")</f>
        <v>- / -</v>
      </c>
      <c r="M25" s="106" t="str">
        <f t="shared" si="78"/>
        <v>[effect:force_change_block, new_block:block_heart, target:block_all, count:0, val:0,animation:change_block]</v>
      </c>
      <c r="N25" s="107" t="str">
        <f t="shared" ref="N25:N26" si="163">IFERROR(LEFT(M25,FIND("],",M25)+S35),M25)</f>
        <v>[effect:force_change_block, new_block:block_heart, target:block_all, count:0, val:0,animation:change_block]</v>
      </c>
      <c r="O25" s="106">
        <f t="shared" si="79"/>
        <v>9</v>
      </c>
      <c r="P25" s="106">
        <f t="shared" si="80"/>
        <v>27</v>
      </c>
      <c r="Q25" s="106">
        <f t="shared" si="81"/>
        <v>59</v>
      </c>
      <c r="R25" s="106">
        <f t="shared" si="82"/>
        <v>50</v>
      </c>
      <c r="S25" s="106" t="str">
        <f>IFERROR(VLOOKUP(MID(N25,Q25,R25-Q25),[6]skilldef!$C:$D,2,FALSE),"-") &amp; " / " &amp; IFERROR(VLOOKUP(MID(N25,O25,P25-O25),[6]skilldef!$A:$B,2,FALSE),"-")</f>
        <v>- / -</v>
      </c>
      <c r="T25" s="107" t="str">
        <f t="shared" si="83"/>
        <v>none</v>
      </c>
      <c r="U25" s="106" t="e">
        <f t="shared" si="84"/>
        <v>#VALUE!</v>
      </c>
      <c r="V25" s="106">
        <f t="shared" si="85"/>
        <v>4</v>
      </c>
      <c r="W25" s="106" t="e">
        <f t="shared" si="86"/>
        <v>#VALUE!</v>
      </c>
      <c r="X25" s="106" t="e">
        <f t="shared" si="87"/>
        <v>#VALUE!</v>
      </c>
      <c r="Y25" s="106" t="str">
        <f>IFERROR(VLOOKUP(MID(T25,W25,X25-W25),[6]skilldef!$C:$D,2,FALSE),"-") &amp; " / " &amp; IFERROR(VLOOKUP(MID(T25,U25,V25-U25),[6]skilldef!$A:$B,2,FALSE),"-")</f>
        <v>- / -</v>
      </c>
      <c r="Z25" s="104"/>
      <c r="AA25" s="108"/>
      <c r="AB25" s="104"/>
    </row>
    <row r="26" spans="1:28" ht="208" x14ac:dyDescent="0.3">
      <c r="A26" s="103">
        <v>11229025</v>
      </c>
      <c r="B26" s="109" t="s">
        <v>302</v>
      </c>
      <c r="C26" s="104">
        <v>3</v>
      </c>
      <c r="D26" s="104" t="s">
        <v>199</v>
      </c>
      <c r="E26" s="113" t="s">
        <v>314</v>
      </c>
      <c r="F26" s="113" t="s">
        <v>325</v>
      </c>
      <c r="G26" s="106" t="str">
        <f t="shared" si="73"/>
        <v>[effect:enemy_message, val1:1.5, val2:1.2]</v>
      </c>
      <c r="H26" s="106">
        <f t="shared" si="74"/>
        <v>9</v>
      </c>
      <c r="I26" s="106">
        <f t="shared" si="75"/>
        <v>22</v>
      </c>
      <c r="J26" s="106" t="e">
        <f t="shared" si="76"/>
        <v>#VALUE!</v>
      </c>
      <c r="K26" s="106">
        <f t="shared" si="77"/>
        <v>32</v>
      </c>
      <c r="L26" s="106" t="str">
        <f>IFERROR(VLOOKUP(MID(G26,J26,K26-J26),[6]skilldef!$C:$D,2,FALSE),"-") &amp; " / " &amp; IFERROR(VLOOKUP(MID(G26,H26,I26-H26),[6]skilldef!$A:$B,2,FALSE),"-")</f>
        <v>- / -</v>
      </c>
      <c r="M26" s="106" t="str">
        <f t="shared" si="78"/>
        <v>[effect:suicide, val:1, dead_type:escape, target:myself, animation:enemy_escape],[effect:degrade_unit, target:unit_all, turn:-1, status:action, val:2.0],[effect:force_change_block, new_block:block_heart, target:block_all, count:0, val:0,animation:change_block],[effect:fix_speed, target:myself, turn:1]</v>
      </c>
      <c r="N26" s="107" t="str">
        <f t="shared" si="163"/>
        <v>[effect:suicide, val:1, dead_type:escape, target:myself, animation:enemy_escape]</v>
      </c>
      <c r="O26" s="106">
        <f t="shared" si="79"/>
        <v>9</v>
      </c>
      <c r="P26" s="106">
        <f t="shared" si="80"/>
        <v>16</v>
      </c>
      <c r="Q26" s="106">
        <f t="shared" si="81"/>
        <v>50</v>
      </c>
      <c r="R26" s="106">
        <f t="shared" si="82"/>
        <v>23</v>
      </c>
      <c r="S26" s="106" t="str">
        <f>IFERROR(VLOOKUP(MID(N26,Q26,R26-Q26),[6]skilldef!$C:$D,2,FALSE),"-") &amp; " / " &amp; IFERROR(VLOOKUP(MID(N26,O26,P26-O26),[6]skilldef!$A:$B,2,FALSE),"-")</f>
        <v>- / -</v>
      </c>
      <c r="T26" s="107" t="str">
        <f t="shared" si="83"/>
        <v>[effect:degrade_unit, target:unit_all, turn:-1, status:action, val:2.0],[effect:force_change_block, new_block:block_heart, target:block_all, count:0, val:0,animation:change_block],[effect:fix_speed, target:myself, turn:1]</v>
      </c>
      <c r="U26" s="106">
        <f t="shared" si="84"/>
        <v>9</v>
      </c>
      <c r="V26" s="106">
        <f t="shared" si="85"/>
        <v>21</v>
      </c>
      <c r="W26" s="106">
        <f t="shared" si="86"/>
        <v>30</v>
      </c>
      <c r="X26" s="106">
        <f t="shared" si="87"/>
        <v>38</v>
      </c>
      <c r="Y26" s="106" t="str">
        <f>IFERROR(VLOOKUP(MID(T26,W26,X26-W26),[6]skilldef!$C:$D,2,FALSE),"-") &amp; " / " &amp; IFERROR(VLOOKUP(MID(T26,U26,V26-U26),[6]skilldef!$A:$B,2,FALSE),"-")</f>
        <v>味方全体に / ステータスDOWN</v>
      </c>
      <c r="Z26" s="104"/>
      <c r="AA26" s="108"/>
      <c r="AB26" s="104"/>
    </row>
    <row r="27" spans="1:28" ht="51" customHeight="1" x14ac:dyDescent="0.3">
      <c r="A27" s="103">
        <v>11229026</v>
      </c>
      <c r="B27" s="109" t="s">
        <v>303</v>
      </c>
      <c r="C27" s="104">
        <v>3</v>
      </c>
      <c r="D27" s="104" t="s">
        <v>128</v>
      </c>
      <c r="E27" s="105" t="s">
        <v>265</v>
      </c>
      <c r="F27" s="113" t="s">
        <v>324</v>
      </c>
      <c r="G27" s="106" t="str">
        <f t="shared" ref="G27" si="164">IFERROR(LEFT(B27,FIND("],",B27)),B27)</f>
        <v>[effect:enemy_message, val1:1.2, val2:1.4]</v>
      </c>
      <c r="H27" s="106">
        <f t="shared" ref="H27" si="165">FIND("effect:",G27)+7</f>
        <v>9</v>
      </c>
      <c r="I27" s="106">
        <f t="shared" ref="I27" si="166">IFERROR(FIND(",",G27),LEN(G27))</f>
        <v>22</v>
      </c>
      <c r="J27" s="106" t="e">
        <f t="shared" ref="J27" si="167">FIND("target:",G27)+7</f>
        <v>#VALUE!</v>
      </c>
      <c r="K27" s="106">
        <f t="shared" ref="K27" si="168">FIND(",",G27,I27+1)</f>
        <v>32</v>
      </c>
      <c r="L27" s="106" t="str">
        <f>IFERROR(VLOOKUP(MID(G27,J27,K27-J27),[6]skilldef!$C:$D,2,FALSE),"-") &amp; " / " &amp; IFERROR(VLOOKUP(MID(G27,H27,I27-H27),[6]skilldef!$A:$B,2,FALSE),"-")</f>
        <v>- / -</v>
      </c>
      <c r="M27" s="106" t="str">
        <f t="shared" ref="M27" si="169">IFERROR(RIGHT(B27,LEN(B27)-FIND("],",B27)-1),"none")</f>
        <v>[effect:suicide, val:1, dead_type:escape, target:myself, animation:enemy_suicide]</v>
      </c>
      <c r="N27" s="107" t="str">
        <f t="shared" ref="N27" si="170">IFERROR(LEFT(M27,FIND("],",M27)+S37),M27)</f>
        <v>[effect:suicide, val:1, dead_type:escape, target:myself, animation:enemy_suicide]</v>
      </c>
      <c r="O27" s="106">
        <f t="shared" ref="O27" si="171">FIND("effect:",N27)+7</f>
        <v>9</v>
      </c>
      <c r="P27" s="106">
        <f t="shared" ref="P27" si="172">IFERROR(FIND(",",N27),LEN(N27))</f>
        <v>16</v>
      </c>
      <c r="Q27" s="106">
        <f t="shared" ref="Q27" si="173">FIND("target:",N27)+7</f>
        <v>50</v>
      </c>
      <c r="R27" s="106">
        <f t="shared" ref="R27" si="174">FIND(",",N27,P27+1)</f>
        <v>23</v>
      </c>
      <c r="S27" s="106" t="str">
        <f>IFERROR(VLOOKUP(MID(N27,Q27,R27-Q27),[6]skilldef!$C:$D,2,FALSE),"-") &amp; " / " &amp; IFERROR(VLOOKUP(MID(N27,O27,P27-O27),[6]skilldef!$A:$B,2,FALSE),"-")</f>
        <v>- / -</v>
      </c>
      <c r="T27" s="107" t="str">
        <f t="shared" ref="T27" si="175">IFERROR(RIGHT(M27,LEN(M27)-FIND("],",M27)-1),"none")</f>
        <v>none</v>
      </c>
      <c r="U27" s="106" t="e">
        <f t="shared" ref="U27" si="176">FIND("effect:",T27)+7</f>
        <v>#VALUE!</v>
      </c>
      <c r="V27" s="106">
        <f t="shared" ref="V27" si="177">IFERROR(FIND(",",T27),LEN(T27))</f>
        <v>4</v>
      </c>
      <c r="W27" s="106" t="e">
        <f t="shared" ref="W27" si="178">FIND("target:",T27)+7</f>
        <v>#VALUE!</v>
      </c>
      <c r="X27" s="106" t="e">
        <f t="shared" ref="X27" si="179">FIND(",",T27,V27+1)</f>
        <v>#VALUE!</v>
      </c>
      <c r="Y27" s="106" t="str">
        <f>IFERROR(VLOOKUP(MID(T27,W27,X27-W27),[6]skilldef!$C:$D,2,FALSE),"-") &amp; " / " &amp; IFERROR(VLOOKUP(MID(T27,U27,V27-U27),[6]skilldef!$A:$B,2,FALSE),"-")</f>
        <v>- / -</v>
      </c>
      <c r="Z27" s="104"/>
      <c r="AA27" s="108"/>
      <c r="AB27" s="104"/>
    </row>
    <row r="28" spans="1:28" ht="21" customHeight="1" x14ac:dyDescent="0.3">
      <c r="A28" s="103">
        <v>11229027</v>
      </c>
      <c r="B28" s="109" t="s">
        <v>304</v>
      </c>
      <c r="C28" s="104">
        <v>3</v>
      </c>
      <c r="D28" s="104" t="s">
        <v>128</v>
      </c>
      <c r="E28" s="105" t="s">
        <v>266</v>
      </c>
      <c r="F28" s="105" t="s">
        <v>267</v>
      </c>
      <c r="G28" s="106" t="str">
        <f t="shared" ref="G28" si="180">IFERROR(LEFT(B28,FIND("],",B28)),B28)</f>
        <v>[effect:enemy_message, val1:1.2, val2:1.2]</v>
      </c>
      <c r="H28" s="106">
        <f t="shared" ref="H28" si="181">FIND("effect:",G28)+7</f>
        <v>9</v>
      </c>
      <c r="I28" s="106">
        <f t="shared" ref="I28" si="182">IFERROR(FIND(",",G28),LEN(G28))</f>
        <v>22</v>
      </c>
      <c r="J28" s="106" t="e">
        <f t="shared" ref="J28" si="183">FIND("target:",G28)+7</f>
        <v>#VALUE!</v>
      </c>
      <c r="K28" s="106">
        <f t="shared" ref="K28" si="184">FIND(",",G28,I28+1)</f>
        <v>32</v>
      </c>
      <c r="L28" s="106" t="str">
        <f>IFERROR(VLOOKUP(MID(G28,J28,K28-J28),[6]skilldef!$C:$D,2,FALSE),"-") &amp; " / " &amp; IFERROR(VLOOKUP(MID(G28,H28,I28-H28),[6]skilldef!$A:$B,2,FALSE),"-")</f>
        <v>- / -</v>
      </c>
      <c r="M28" s="106" t="str">
        <f t="shared" ref="M28" si="185">IFERROR(RIGHT(B28,LEN(B28)-FIND("],",B28)-1),"none")</f>
        <v>[effect:fix_speed, target:myself, turn:1]</v>
      </c>
      <c r="N28" s="107" t="str">
        <f>IFERROR(LEFT(M28,FIND("],",M28)+S34),M28)</f>
        <v>[effect:fix_speed, target:myself, turn:1]</v>
      </c>
      <c r="O28" s="106">
        <f t="shared" ref="O28" si="186">FIND("effect:",N28)+7</f>
        <v>9</v>
      </c>
      <c r="P28" s="106">
        <f t="shared" ref="P28" si="187">IFERROR(FIND(",",N28),LEN(N28))</f>
        <v>18</v>
      </c>
      <c r="Q28" s="106">
        <f t="shared" ref="Q28" si="188">FIND("target:",N28)+7</f>
        <v>27</v>
      </c>
      <c r="R28" s="106">
        <f t="shared" ref="R28" si="189">FIND(",",N28,P28+1)</f>
        <v>33</v>
      </c>
      <c r="S28" s="106" t="str">
        <f>IFERROR(VLOOKUP(MID(N28,Q28,R28-Q28),[6]skilldef!$C:$D,2,FALSE),"-") &amp; " / " &amp; IFERROR(VLOOKUP(MID(N28,O28,P28-O28),[6]skilldef!$A:$B,2,FALSE),"-")</f>
        <v>自分自身に / 行動値設定</v>
      </c>
      <c r="T28" s="107" t="str">
        <f t="shared" ref="T28" si="190">IFERROR(RIGHT(M28,LEN(M28)-FIND("],",M28)-1),"none")</f>
        <v>none</v>
      </c>
      <c r="U28" s="106" t="e">
        <f t="shared" ref="U28" si="191">FIND("effect:",T28)+7</f>
        <v>#VALUE!</v>
      </c>
      <c r="V28" s="106">
        <f t="shared" ref="V28" si="192">IFERROR(FIND(",",T28),LEN(T28))</f>
        <v>4</v>
      </c>
      <c r="W28" s="106" t="e">
        <f t="shared" ref="W28" si="193">FIND("target:",T28)+7</f>
        <v>#VALUE!</v>
      </c>
      <c r="X28" s="106" t="e">
        <f t="shared" ref="X28" si="194">FIND(",",T28,V28+1)</f>
        <v>#VALUE!</v>
      </c>
      <c r="Y28" s="106" t="str">
        <f>IFERROR(VLOOKUP(MID(T28,W28,X28-W28),[6]skilldef!$C:$D,2,FALSE),"-") &amp; " / " &amp; IFERROR(VLOOKUP(MID(T28,U28,V28-U28),[6]skilldef!$A:$B,2,FALSE),"-")</f>
        <v>- / -</v>
      </c>
      <c r="Z28" s="104"/>
      <c r="AA28" s="108"/>
      <c r="AB28" s="104"/>
    </row>
    <row r="29" spans="1:28" ht="21" customHeight="1" x14ac:dyDescent="0.3">
      <c r="A29" s="103">
        <v>11229028</v>
      </c>
      <c r="B29" s="109" t="s">
        <v>305</v>
      </c>
      <c r="C29" s="104">
        <v>3</v>
      </c>
      <c r="D29" s="104" t="s">
        <v>128</v>
      </c>
      <c r="E29" s="105" t="s">
        <v>269</v>
      </c>
      <c r="F29" s="105" t="s">
        <v>268</v>
      </c>
      <c r="G29" s="106" t="str">
        <f t="shared" ref="G29:G30" si="195">IFERROR(LEFT(B29,FIND("],",B29)),B29)</f>
        <v>[effect:enemy_message, val1:1.2, val2:1.2]</v>
      </c>
      <c r="H29" s="106">
        <f t="shared" ref="H29:H30" si="196">FIND("effect:",G29)+7</f>
        <v>9</v>
      </c>
      <c r="I29" s="106">
        <f t="shared" ref="I29:I30" si="197">IFERROR(FIND(",",G29),LEN(G29))</f>
        <v>22</v>
      </c>
      <c r="J29" s="106" t="e">
        <f t="shared" ref="J29:J30" si="198">FIND("target:",G29)+7</f>
        <v>#VALUE!</v>
      </c>
      <c r="K29" s="106">
        <f t="shared" ref="K29:K30" si="199">FIND(",",G29,I29+1)</f>
        <v>32</v>
      </c>
      <c r="L29" s="106" t="str">
        <f>IFERROR(VLOOKUP(MID(G29,J29,K29-J29),[6]skilldef!$C:$D,2,FALSE),"-") &amp; " / " &amp; IFERROR(VLOOKUP(MID(G29,H29,I29-H29),[6]skilldef!$A:$B,2,FALSE),"-")</f>
        <v>- / -</v>
      </c>
      <c r="M29" s="106" t="str">
        <f t="shared" ref="M29:M30" si="200">IFERROR(RIGHT(B29,LEN(B29)-FIND("],",B29)-1),"none")</f>
        <v xml:space="preserve"> [effect:spread, val:999.9]</v>
      </c>
      <c r="N29" s="107" t="str">
        <f>IFERROR(LEFT(M29,FIND("],",M29)+S35),M29)</f>
        <v xml:space="preserve"> [effect:spread, val:999.9]</v>
      </c>
      <c r="O29" s="106">
        <f t="shared" ref="O29:O30" si="201">FIND("effect:",N29)+7</f>
        <v>10</v>
      </c>
      <c r="P29" s="106">
        <f t="shared" ref="P29:P30" si="202">IFERROR(FIND(",",N29),LEN(N29))</f>
        <v>16</v>
      </c>
      <c r="Q29" s="106" t="e">
        <f t="shared" ref="Q29:Q30" si="203">FIND("target:",N29)+7</f>
        <v>#VALUE!</v>
      </c>
      <c r="R29" s="106" t="e">
        <f t="shared" ref="R29:R30" si="204">FIND(",",N29,P29+1)</f>
        <v>#VALUE!</v>
      </c>
      <c r="S29" s="106" t="str">
        <f>IFERROR(VLOOKUP(MID(N29,Q29,R29-Q29),[6]skilldef!$C:$D,2,FALSE),"-") &amp; " / " &amp; IFERROR(VLOOKUP(MID(N29,O29,P29-O29),[6]skilldef!$A:$B,2,FALSE),"-")</f>
        <v>- / 全体攻撃</v>
      </c>
      <c r="T29" s="107" t="str">
        <f t="shared" ref="T29:T30" si="205">IFERROR(RIGHT(M29,LEN(M29)-FIND("],",M29)-1),"none")</f>
        <v>none</v>
      </c>
      <c r="U29" s="106" t="e">
        <f t="shared" ref="U29:U30" si="206">FIND("effect:",T29)+7</f>
        <v>#VALUE!</v>
      </c>
      <c r="V29" s="106">
        <f t="shared" ref="V29:V30" si="207">IFERROR(FIND(",",T29),LEN(T29))</f>
        <v>4</v>
      </c>
      <c r="W29" s="106" t="e">
        <f t="shared" ref="W29:W30" si="208">FIND("target:",T29)+7</f>
        <v>#VALUE!</v>
      </c>
      <c r="X29" s="106" t="e">
        <f t="shared" ref="X29:X30" si="209">FIND(",",T29,V29+1)</f>
        <v>#VALUE!</v>
      </c>
      <c r="Y29" s="106" t="str">
        <f>IFERROR(VLOOKUP(MID(T29,W29,X29-W29),[6]skilldef!$C:$D,2,FALSE),"-") &amp; " / " &amp; IFERROR(VLOOKUP(MID(T29,U29,V29-U29),[6]skilldef!$A:$B,2,FALSE),"-")</f>
        <v>- / -</v>
      </c>
      <c r="Z29" s="104"/>
      <c r="AA29" s="108"/>
      <c r="AB29" s="104"/>
    </row>
    <row r="30" spans="1:28" ht="21" customHeight="1" x14ac:dyDescent="0.3">
      <c r="A30" s="103">
        <v>11229029</v>
      </c>
      <c r="B30" s="109" t="s">
        <v>306</v>
      </c>
      <c r="C30" s="104">
        <v>3</v>
      </c>
      <c r="D30" s="104" t="s">
        <v>199</v>
      </c>
      <c r="E30" s="105" t="s">
        <v>271</v>
      </c>
      <c r="F30" s="105" t="s">
        <v>272</v>
      </c>
      <c r="G30" s="106" t="str">
        <f t="shared" si="195"/>
        <v>[effect:enemy_message, val1:1.2, val2:1.2]</v>
      </c>
      <c r="H30" s="106">
        <f t="shared" si="196"/>
        <v>9</v>
      </c>
      <c r="I30" s="106">
        <f t="shared" si="197"/>
        <v>22</v>
      </c>
      <c r="J30" s="106" t="e">
        <f t="shared" si="198"/>
        <v>#VALUE!</v>
      </c>
      <c r="K30" s="106">
        <f t="shared" si="199"/>
        <v>32</v>
      </c>
      <c r="L30" s="106" t="str">
        <f>IFERROR(VLOOKUP(MID(G30,J30,K30-J30),[6]skilldef!$C:$D,2,FALSE),"-") &amp; " / " &amp; IFERROR(VLOOKUP(MID(G30,H30,I30-H30),[6]skilldef!$A:$B,2,FALSE),"-")</f>
        <v>- / -</v>
      </c>
      <c r="M30" s="106" t="str">
        <f t="shared" si="200"/>
        <v>[effect:fix_speed, target:myself, turn:1]</v>
      </c>
      <c r="N30" s="107" t="str">
        <f>IFERROR(LEFT(M30,FIND("],",M30)+S41),M30)</f>
        <v>[effect:fix_speed, target:myself, turn:1]</v>
      </c>
      <c r="O30" s="106">
        <f t="shared" si="201"/>
        <v>9</v>
      </c>
      <c r="P30" s="106">
        <f t="shared" si="202"/>
        <v>18</v>
      </c>
      <c r="Q30" s="106">
        <f t="shared" si="203"/>
        <v>27</v>
      </c>
      <c r="R30" s="106">
        <f t="shared" si="204"/>
        <v>33</v>
      </c>
      <c r="S30" s="106" t="str">
        <f>IFERROR(VLOOKUP(MID(N30,Q30,R30-Q30),[6]skilldef!$C:$D,2,FALSE),"-") &amp; " / " &amp; IFERROR(VLOOKUP(MID(N30,O30,P30-O30),[6]skilldef!$A:$B,2,FALSE),"-")</f>
        <v>自分自身に / 行動値設定</v>
      </c>
      <c r="T30" s="107" t="str">
        <f t="shared" si="205"/>
        <v>none</v>
      </c>
      <c r="U30" s="106" t="e">
        <f t="shared" si="206"/>
        <v>#VALUE!</v>
      </c>
      <c r="V30" s="106">
        <f t="shared" si="207"/>
        <v>4</v>
      </c>
      <c r="W30" s="106" t="e">
        <f t="shared" si="208"/>
        <v>#VALUE!</v>
      </c>
      <c r="X30" s="106" t="e">
        <f t="shared" si="209"/>
        <v>#VALUE!</v>
      </c>
      <c r="Y30" s="106" t="str">
        <f>IFERROR(VLOOKUP(MID(T30,W30,X30-W30),[6]skilldef!$C:$D,2,FALSE),"-") &amp; " / " &amp; IFERROR(VLOOKUP(MID(T30,U30,V30-U30),[6]skilldef!$A:$B,2,FALSE),"-")</f>
        <v>- / -</v>
      </c>
      <c r="Z30" s="104"/>
      <c r="AA30" s="108"/>
      <c r="AB30" s="104"/>
    </row>
    <row r="31" spans="1:28" ht="21" customHeight="1" x14ac:dyDescent="0.15">
      <c r="A31" s="103"/>
      <c r="B31" s="111"/>
      <c r="C31" s="104"/>
      <c r="D31" s="104"/>
      <c r="E31" s="105"/>
      <c r="F31" s="105"/>
      <c r="G31" s="106"/>
      <c r="H31" s="106"/>
      <c r="I31" s="106"/>
      <c r="J31" s="106"/>
      <c r="K31" s="106"/>
      <c r="L31" s="106"/>
      <c r="M31" s="106"/>
      <c r="N31" s="107"/>
      <c r="O31" s="106"/>
      <c r="P31" s="106"/>
      <c r="Q31" s="106"/>
      <c r="R31" s="106"/>
      <c r="S31" s="106"/>
      <c r="T31" s="107"/>
      <c r="U31" s="106"/>
      <c r="V31" s="106"/>
      <c r="W31" s="106"/>
      <c r="X31" s="106"/>
      <c r="Y31" s="106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30"/>
  <sheetViews>
    <sheetView showGridLines="0" workbookViewId="0">
      <pane ySplit="1" topLeftCell="A2" activePane="bottomLeft" state="frozenSplit"/>
      <selection pane="bottomLeft" activeCell="A31" sqref="A31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0" t="s">
        <v>71</v>
      </c>
      <c r="G1" s="50" t="s">
        <v>72</v>
      </c>
      <c r="H1" s="42" t="s">
        <v>73</v>
      </c>
      <c r="I1" s="42" t="s">
        <v>74</v>
      </c>
      <c r="J1" s="42" t="s">
        <v>75</v>
      </c>
      <c r="K1" s="51" t="s">
        <v>88</v>
      </c>
    </row>
    <row r="2" spans="1:11" ht="21" customHeight="1" x14ac:dyDescent="0.15">
      <c r="A2" s="93">
        <v>11229001</v>
      </c>
      <c r="B2" s="47">
        <v>1</v>
      </c>
      <c r="C2" s="47" t="s">
        <v>89</v>
      </c>
      <c r="D2" s="47">
        <v>100</v>
      </c>
      <c r="E2" s="47" t="s">
        <v>218</v>
      </c>
      <c r="F2" s="47" t="s">
        <v>90</v>
      </c>
      <c r="G2" s="47">
        <v>1</v>
      </c>
      <c r="H2" s="47" t="s">
        <v>90</v>
      </c>
      <c r="I2" s="47" t="s">
        <v>90</v>
      </c>
      <c r="J2" s="48">
        <f t="shared" ref="J2" si="0">D2</f>
        <v>100</v>
      </c>
    </row>
    <row r="3" spans="1:11" ht="21" customHeight="1" x14ac:dyDescent="0.15">
      <c r="A3" s="94">
        <v>11229002</v>
      </c>
      <c r="B3" s="47">
        <v>1</v>
      </c>
      <c r="C3" s="47" t="s">
        <v>89</v>
      </c>
      <c r="D3" s="47">
        <v>100</v>
      </c>
      <c r="E3" s="47" t="s">
        <v>218</v>
      </c>
      <c r="F3" s="47" t="s">
        <v>53</v>
      </c>
      <c r="G3" s="47">
        <v>1</v>
      </c>
      <c r="H3" s="47" t="s">
        <v>53</v>
      </c>
      <c r="I3" s="47" t="s">
        <v>53</v>
      </c>
      <c r="J3" s="48">
        <f t="shared" ref="J3:J10" si="1">D3</f>
        <v>100</v>
      </c>
    </row>
    <row r="4" spans="1:11" ht="21" customHeight="1" x14ac:dyDescent="0.15">
      <c r="A4" s="94">
        <v>11229003</v>
      </c>
      <c r="B4" s="47">
        <v>0</v>
      </c>
      <c r="C4" s="47" t="s">
        <v>89</v>
      </c>
      <c r="D4" s="47">
        <v>100</v>
      </c>
      <c r="E4" s="47" t="s">
        <v>218</v>
      </c>
      <c r="F4" s="47" t="s">
        <v>53</v>
      </c>
      <c r="G4" s="47">
        <v>1</v>
      </c>
      <c r="H4" s="47">
        <v>1</v>
      </c>
      <c r="I4" s="47" t="s">
        <v>53</v>
      </c>
      <c r="J4" s="48">
        <f t="shared" si="1"/>
        <v>100</v>
      </c>
    </row>
    <row r="5" spans="1:11" ht="21" customHeight="1" x14ac:dyDescent="0.15">
      <c r="A5" s="94">
        <v>11229004</v>
      </c>
      <c r="B5" s="47">
        <v>1</v>
      </c>
      <c r="C5" s="47" t="s">
        <v>89</v>
      </c>
      <c r="D5" s="47">
        <v>100</v>
      </c>
      <c r="E5" s="47" t="s">
        <v>218</v>
      </c>
      <c r="F5" s="47" t="s">
        <v>53</v>
      </c>
      <c r="G5" s="47">
        <v>1</v>
      </c>
      <c r="H5" s="47" t="s">
        <v>53</v>
      </c>
      <c r="I5" s="47" t="s">
        <v>53</v>
      </c>
      <c r="J5" s="48">
        <f t="shared" si="1"/>
        <v>100</v>
      </c>
    </row>
    <row r="6" spans="1:11" ht="21" customHeight="1" x14ac:dyDescent="0.15">
      <c r="A6" s="94">
        <v>11229005</v>
      </c>
      <c r="B6" s="47">
        <v>1</v>
      </c>
      <c r="C6" s="47">
        <v>3</v>
      </c>
      <c r="D6" s="47">
        <v>100</v>
      </c>
      <c r="E6" s="47" t="s">
        <v>218</v>
      </c>
      <c r="F6" s="47" t="s">
        <v>53</v>
      </c>
      <c r="G6" s="47">
        <v>1</v>
      </c>
      <c r="H6" s="47" t="s">
        <v>53</v>
      </c>
      <c r="I6" s="47" t="s">
        <v>53</v>
      </c>
      <c r="J6" s="48">
        <f t="shared" si="1"/>
        <v>100</v>
      </c>
    </row>
    <row r="7" spans="1:11" ht="21" customHeight="1" x14ac:dyDescent="0.15">
      <c r="A7" s="94">
        <v>11229006</v>
      </c>
      <c r="B7" s="47">
        <v>0</v>
      </c>
      <c r="C7" s="47">
        <v>2</v>
      </c>
      <c r="D7" s="47">
        <v>100</v>
      </c>
      <c r="E7" s="47" t="s">
        <v>218</v>
      </c>
      <c r="F7" s="47" t="s">
        <v>53</v>
      </c>
      <c r="G7" s="47">
        <v>1</v>
      </c>
      <c r="H7" s="47" t="s">
        <v>53</v>
      </c>
      <c r="I7" s="47" t="s">
        <v>222</v>
      </c>
      <c r="J7" s="48">
        <f t="shared" si="1"/>
        <v>100</v>
      </c>
    </row>
    <row r="8" spans="1:11" ht="21" customHeight="1" x14ac:dyDescent="0.15">
      <c r="A8" s="94">
        <v>11229007</v>
      </c>
      <c r="B8" s="47">
        <v>0</v>
      </c>
      <c r="C8" s="47">
        <v>1</v>
      </c>
      <c r="D8" s="47">
        <v>100</v>
      </c>
      <c r="E8" s="47" t="s">
        <v>218</v>
      </c>
      <c r="F8" s="47" t="s">
        <v>53</v>
      </c>
      <c r="G8" s="47">
        <v>1</v>
      </c>
      <c r="H8" s="47" t="s">
        <v>53</v>
      </c>
      <c r="I8" s="47" t="s">
        <v>221</v>
      </c>
      <c r="J8" s="48">
        <f t="shared" si="1"/>
        <v>100</v>
      </c>
    </row>
    <row r="9" spans="1:11" ht="21" customHeight="1" x14ac:dyDescent="0.15">
      <c r="A9" s="94">
        <v>11229008</v>
      </c>
      <c r="B9" s="47">
        <v>0</v>
      </c>
      <c r="C9" s="47">
        <v>3</v>
      </c>
      <c r="D9" s="47">
        <v>100</v>
      </c>
      <c r="E9" s="47" t="s">
        <v>218</v>
      </c>
      <c r="F9" s="47" t="s">
        <v>53</v>
      </c>
      <c r="G9" s="47">
        <v>1</v>
      </c>
      <c r="H9" s="47" t="s">
        <v>53</v>
      </c>
      <c r="I9" s="47" t="s">
        <v>228</v>
      </c>
      <c r="J9" s="48">
        <f t="shared" si="1"/>
        <v>100</v>
      </c>
    </row>
    <row r="10" spans="1:11" ht="21" customHeight="1" x14ac:dyDescent="0.15">
      <c r="A10" s="94">
        <v>11229009</v>
      </c>
      <c r="B10" s="47">
        <v>0</v>
      </c>
      <c r="C10" s="47" t="s">
        <v>247</v>
      </c>
      <c r="D10" s="47">
        <v>100</v>
      </c>
      <c r="E10" s="47" t="s">
        <v>218</v>
      </c>
      <c r="F10" s="47" t="s">
        <v>53</v>
      </c>
      <c r="G10" s="47">
        <v>1</v>
      </c>
      <c r="H10" s="47" t="s">
        <v>53</v>
      </c>
      <c r="I10" s="47">
        <v>506</v>
      </c>
      <c r="J10" s="48">
        <f t="shared" si="1"/>
        <v>100</v>
      </c>
    </row>
    <row r="11" spans="1:11" ht="21" customHeight="1" x14ac:dyDescent="0.15">
      <c r="A11" s="94">
        <v>11229010</v>
      </c>
      <c r="B11" s="47">
        <v>1</v>
      </c>
      <c r="C11" s="47" t="s">
        <v>89</v>
      </c>
      <c r="D11" s="47">
        <v>100</v>
      </c>
      <c r="E11" s="47" t="s">
        <v>218</v>
      </c>
      <c r="F11" s="47" t="s">
        <v>53</v>
      </c>
      <c r="G11" s="47">
        <v>1</v>
      </c>
      <c r="H11" s="47" t="s">
        <v>53</v>
      </c>
      <c r="I11" s="47" t="s">
        <v>53</v>
      </c>
      <c r="J11" s="48">
        <f t="shared" ref="J11:J22" si="2">D11</f>
        <v>100</v>
      </c>
    </row>
    <row r="12" spans="1:11" ht="21" customHeight="1" x14ac:dyDescent="0.15">
      <c r="A12" s="94">
        <v>11229011</v>
      </c>
      <c r="B12" s="47">
        <v>0</v>
      </c>
      <c r="C12" s="47" t="s">
        <v>238</v>
      </c>
      <c r="D12" s="47">
        <v>100</v>
      </c>
      <c r="E12" s="47" t="s">
        <v>218</v>
      </c>
      <c r="F12" s="47" t="s">
        <v>53</v>
      </c>
      <c r="G12" s="47">
        <v>1</v>
      </c>
      <c r="H12" s="47" t="s">
        <v>53</v>
      </c>
      <c r="I12" s="47" t="s">
        <v>53</v>
      </c>
      <c r="J12" s="48">
        <f t="shared" si="2"/>
        <v>100</v>
      </c>
    </row>
    <row r="13" spans="1:11" ht="21" customHeight="1" x14ac:dyDescent="0.15">
      <c r="A13" s="94">
        <v>11229012</v>
      </c>
      <c r="B13" s="47">
        <v>1</v>
      </c>
      <c r="C13" s="47" t="s">
        <v>238</v>
      </c>
      <c r="D13" s="47">
        <v>100</v>
      </c>
      <c r="E13" s="47" t="s">
        <v>218</v>
      </c>
      <c r="F13" s="47" t="s">
        <v>53</v>
      </c>
      <c r="G13" s="47">
        <v>1</v>
      </c>
      <c r="H13" s="47" t="s">
        <v>53</v>
      </c>
      <c r="I13" s="47" t="s">
        <v>53</v>
      </c>
      <c r="J13" s="48">
        <f t="shared" si="2"/>
        <v>100</v>
      </c>
    </row>
    <row r="14" spans="1:11" ht="21" customHeight="1" x14ac:dyDescent="0.15">
      <c r="A14" s="94">
        <v>11229013</v>
      </c>
      <c r="B14" s="47">
        <v>0</v>
      </c>
      <c r="C14" s="47">
        <v>3</v>
      </c>
      <c r="D14" s="47">
        <v>100</v>
      </c>
      <c r="E14" s="47" t="s">
        <v>218</v>
      </c>
      <c r="F14" s="47" t="s">
        <v>53</v>
      </c>
      <c r="G14" s="47">
        <v>1</v>
      </c>
      <c r="H14" s="47" t="s">
        <v>53</v>
      </c>
      <c r="I14" s="47" t="s">
        <v>224</v>
      </c>
      <c r="J14" s="48">
        <f t="shared" si="2"/>
        <v>100</v>
      </c>
    </row>
    <row r="15" spans="1:11" ht="21" customHeight="1" x14ac:dyDescent="0.15">
      <c r="A15" s="94">
        <v>11229014</v>
      </c>
      <c r="B15" s="47">
        <v>0</v>
      </c>
      <c r="C15" s="47">
        <v>2</v>
      </c>
      <c r="D15" s="47">
        <v>100</v>
      </c>
      <c r="E15" s="47" t="s">
        <v>218</v>
      </c>
      <c r="F15" s="47" t="s">
        <v>53</v>
      </c>
      <c r="G15" s="47">
        <v>1</v>
      </c>
      <c r="H15" s="47" t="s">
        <v>53</v>
      </c>
      <c r="I15" s="47" t="s">
        <v>53</v>
      </c>
      <c r="J15" s="48">
        <f t="shared" si="2"/>
        <v>100</v>
      </c>
    </row>
    <row r="16" spans="1:11" ht="21" customHeight="1" x14ac:dyDescent="0.15">
      <c r="A16" s="94">
        <v>11229015</v>
      </c>
      <c r="B16" s="47">
        <v>1</v>
      </c>
      <c r="C16" s="47" t="s">
        <v>238</v>
      </c>
      <c r="D16" s="47">
        <v>100</v>
      </c>
      <c r="E16" s="47" t="s">
        <v>218</v>
      </c>
      <c r="F16" s="47" t="s">
        <v>53</v>
      </c>
      <c r="G16" s="47">
        <v>1</v>
      </c>
      <c r="H16" s="47" t="s">
        <v>53</v>
      </c>
      <c r="I16" s="47" t="s">
        <v>53</v>
      </c>
      <c r="J16" s="48">
        <f t="shared" si="2"/>
        <v>100</v>
      </c>
    </row>
    <row r="17" spans="1:10" ht="21" customHeight="1" x14ac:dyDescent="0.15">
      <c r="A17" s="94">
        <v>11229016</v>
      </c>
      <c r="B17" s="47">
        <v>1</v>
      </c>
      <c r="C17" s="47" t="s">
        <v>238</v>
      </c>
      <c r="D17" s="47">
        <v>100</v>
      </c>
      <c r="E17" s="47" t="s">
        <v>218</v>
      </c>
      <c r="F17" s="47" t="s">
        <v>53</v>
      </c>
      <c r="G17" s="47">
        <v>1</v>
      </c>
      <c r="H17" s="47" t="s">
        <v>53</v>
      </c>
      <c r="I17" s="47" t="s">
        <v>53</v>
      </c>
      <c r="J17" s="48">
        <f t="shared" si="2"/>
        <v>100</v>
      </c>
    </row>
    <row r="18" spans="1:10" ht="21" customHeight="1" x14ac:dyDescent="0.15">
      <c r="A18" s="94">
        <v>11229017</v>
      </c>
      <c r="B18" s="47">
        <v>0</v>
      </c>
      <c r="C18" s="47">
        <v>5</v>
      </c>
      <c r="D18" s="47">
        <v>100</v>
      </c>
      <c r="E18" s="47" t="s">
        <v>218</v>
      </c>
      <c r="F18" s="47" t="s">
        <v>53</v>
      </c>
      <c r="G18" s="47">
        <v>1</v>
      </c>
      <c r="H18" s="47" t="s">
        <v>53</v>
      </c>
      <c r="I18" s="47" t="s">
        <v>53</v>
      </c>
      <c r="J18" s="48">
        <f t="shared" si="2"/>
        <v>100</v>
      </c>
    </row>
    <row r="19" spans="1:10" ht="21" customHeight="1" x14ac:dyDescent="0.15">
      <c r="A19" s="94">
        <v>11229018</v>
      </c>
      <c r="B19" s="47">
        <v>0</v>
      </c>
      <c r="C19" s="47">
        <v>4</v>
      </c>
      <c r="D19" s="47">
        <v>100</v>
      </c>
      <c r="E19" s="47" t="s">
        <v>218</v>
      </c>
      <c r="F19" s="47" t="s">
        <v>53</v>
      </c>
      <c r="G19" s="47">
        <v>1</v>
      </c>
      <c r="H19" s="47" t="s">
        <v>53</v>
      </c>
      <c r="I19" s="47" t="s">
        <v>53</v>
      </c>
      <c r="J19" s="48">
        <f t="shared" si="2"/>
        <v>100</v>
      </c>
    </row>
    <row r="20" spans="1:10" ht="21" customHeight="1" x14ac:dyDescent="0.15">
      <c r="A20" s="94">
        <v>11229019</v>
      </c>
      <c r="B20" s="47">
        <v>0</v>
      </c>
      <c r="C20" s="47">
        <v>3</v>
      </c>
      <c r="D20" s="47">
        <v>100</v>
      </c>
      <c r="E20" s="47" t="s">
        <v>218</v>
      </c>
      <c r="F20" s="47" t="s">
        <v>53</v>
      </c>
      <c r="G20" s="47">
        <v>1</v>
      </c>
      <c r="H20" s="47" t="s">
        <v>53</v>
      </c>
      <c r="I20" s="47" t="s">
        <v>53</v>
      </c>
      <c r="J20" s="48">
        <f t="shared" si="2"/>
        <v>100</v>
      </c>
    </row>
    <row r="21" spans="1:10" ht="21" customHeight="1" x14ac:dyDescent="0.15">
      <c r="A21" s="94">
        <v>11229020</v>
      </c>
      <c r="B21" s="47">
        <v>0</v>
      </c>
      <c r="C21" s="47">
        <v>2</v>
      </c>
      <c r="D21" s="47">
        <v>100</v>
      </c>
      <c r="E21" s="47" t="s">
        <v>218</v>
      </c>
      <c r="F21" s="47" t="s">
        <v>53</v>
      </c>
      <c r="G21" s="47">
        <v>2</v>
      </c>
      <c r="H21" s="47" t="s">
        <v>53</v>
      </c>
      <c r="I21" s="47" t="s">
        <v>53</v>
      </c>
      <c r="J21" s="48">
        <f t="shared" si="2"/>
        <v>100</v>
      </c>
    </row>
    <row r="22" spans="1:10" ht="21" customHeight="1" x14ac:dyDescent="0.15">
      <c r="A22" s="94">
        <v>11229021</v>
      </c>
      <c r="B22" s="47">
        <v>0</v>
      </c>
      <c r="C22" s="47">
        <v>2</v>
      </c>
      <c r="D22" s="47">
        <v>100</v>
      </c>
      <c r="E22" s="47" t="s">
        <v>218</v>
      </c>
      <c r="F22" s="47" t="s">
        <v>53</v>
      </c>
      <c r="G22" s="47">
        <v>1</v>
      </c>
      <c r="H22" s="47" t="s">
        <v>53</v>
      </c>
      <c r="I22" s="47" t="s">
        <v>53</v>
      </c>
      <c r="J22" s="48">
        <f t="shared" si="2"/>
        <v>100</v>
      </c>
    </row>
    <row r="23" spans="1:10" ht="21" customHeight="1" x14ac:dyDescent="0.15">
      <c r="A23" s="94">
        <v>11229022</v>
      </c>
      <c r="B23" s="47">
        <v>0</v>
      </c>
      <c r="C23" s="47">
        <v>1</v>
      </c>
      <c r="D23" s="47">
        <v>100</v>
      </c>
      <c r="E23" s="47" t="s">
        <v>53</v>
      </c>
      <c r="F23" s="47" t="s">
        <v>53</v>
      </c>
      <c r="G23" s="47" t="s">
        <v>238</v>
      </c>
      <c r="H23" s="47" t="s">
        <v>53</v>
      </c>
      <c r="I23" s="47" t="s">
        <v>53</v>
      </c>
      <c r="J23" s="48">
        <f t="shared" ref="J23" si="3">D23</f>
        <v>100</v>
      </c>
    </row>
    <row r="24" spans="1:10" ht="21" customHeight="1" x14ac:dyDescent="0.15">
      <c r="A24" s="94">
        <v>11229023</v>
      </c>
      <c r="B24" s="47">
        <v>1</v>
      </c>
      <c r="C24" s="47" t="s">
        <v>226</v>
      </c>
      <c r="D24" s="47">
        <v>100</v>
      </c>
      <c r="E24" s="47" t="s">
        <v>53</v>
      </c>
      <c r="F24" s="47" t="s">
        <v>53</v>
      </c>
      <c r="G24" s="47">
        <v>1</v>
      </c>
      <c r="H24" s="47" t="s">
        <v>53</v>
      </c>
      <c r="I24" s="47" t="s">
        <v>238</v>
      </c>
      <c r="J24" s="48">
        <f t="shared" ref="J24:J26" si="4">D24</f>
        <v>100</v>
      </c>
    </row>
    <row r="25" spans="1:10" ht="21" customHeight="1" x14ac:dyDescent="0.15">
      <c r="A25" s="94">
        <v>11229024</v>
      </c>
      <c r="B25" s="47">
        <v>0</v>
      </c>
      <c r="C25" s="47">
        <v>2</v>
      </c>
      <c r="D25" s="47">
        <v>100</v>
      </c>
      <c r="E25" s="47" t="s">
        <v>53</v>
      </c>
      <c r="F25" s="47" t="s">
        <v>53</v>
      </c>
      <c r="G25" s="47">
        <v>1</v>
      </c>
      <c r="H25" s="47" t="s">
        <v>53</v>
      </c>
      <c r="I25" s="47" t="s">
        <v>53</v>
      </c>
      <c r="J25" s="48">
        <f t="shared" si="4"/>
        <v>100</v>
      </c>
    </row>
    <row r="26" spans="1:10" ht="21" customHeight="1" x14ac:dyDescent="0.15">
      <c r="A26" s="94">
        <v>11229025</v>
      </c>
      <c r="B26" s="47">
        <v>0</v>
      </c>
      <c r="C26" s="47">
        <v>1</v>
      </c>
      <c r="D26" s="47">
        <v>100</v>
      </c>
      <c r="E26" s="47" t="s">
        <v>53</v>
      </c>
      <c r="F26" s="47" t="s">
        <v>53</v>
      </c>
      <c r="G26" s="47">
        <v>1</v>
      </c>
      <c r="H26" s="47" t="s">
        <v>53</v>
      </c>
      <c r="I26" s="47" t="s">
        <v>53</v>
      </c>
      <c r="J26" s="48">
        <f t="shared" si="4"/>
        <v>100</v>
      </c>
    </row>
    <row r="27" spans="1:10" ht="21" customHeight="1" x14ac:dyDescent="0.15">
      <c r="A27" s="94">
        <v>11229026</v>
      </c>
      <c r="B27" s="47">
        <v>0</v>
      </c>
      <c r="C27" s="47" t="s">
        <v>264</v>
      </c>
      <c r="D27" s="47">
        <v>100</v>
      </c>
      <c r="E27" s="47" t="s">
        <v>53</v>
      </c>
      <c r="F27" s="47" t="s">
        <v>53</v>
      </c>
      <c r="G27" s="47">
        <v>1</v>
      </c>
      <c r="H27" s="47" t="s">
        <v>263</v>
      </c>
      <c r="I27" s="47">
        <v>460</v>
      </c>
      <c r="J27" s="48">
        <f t="shared" ref="J27" si="5">D27</f>
        <v>100</v>
      </c>
    </row>
    <row r="28" spans="1:10" ht="21" customHeight="1" x14ac:dyDescent="0.15">
      <c r="A28" s="94">
        <v>11229027</v>
      </c>
      <c r="B28" s="47">
        <v>0</v>
      </c>
      <c r="C28" s="47">
        <v>1</v>
      </c>
      <c r="D28" s="47">
        <v>100</v>
      </c>
      <c r="E28" s="47" t="s">
        <v>53</v>
      </c>
      <c r="F28" s="47" t="s">
        <v>53</v>
      </c>
      <c r="G28" s="47">
        <v>1</v>
      </c>
      <c r="H28" s="47" t="s">
        <v>263</v>
      </c>
      <c r="I28" s="47" t="s">
        <v>270</v>
      </c>
      <c r="J28" s="48">
        <f t="shared" ref="J28:J29" si="6">D28</f>
        <v>100</v>
      </c>
    </row>
    <row r="29" spans="1:10" ht="21" customHeight="1" x14ac:dyDescent="0.15">
      <c r="A29" s="94">
        <v>11229028</v>
      </c>
      <c r="B29" s="47">
        <v>0</v>
      </c>
      <c r="C29" s="47">
        <v>0</v>
      </c>
      <c r="D29" s="47">
        <v>100</v>
      </c>
      <c r="E29" s="47" t="s">
        <v>53</v>
      </c>
      <c r="F29" s="47" t="s">
        <v>53</v>
      </c>
      <c r="G29" s="47">
        <v>1</v>
      </c>
      <c r="H29" s="47" t="s">
        <v>263</v>
      </c>
      <c r="I29" s="47" t="s">
        <v>264</v>
      </c>
      <c r="J29" s="48">
        <f t="shared" si="6"/>
        <v>100</v>
      </c>
    </row>
    <row r="30" spans="1:10" ht="21" customHeight="1" x14ac:dyDescent="0.15">
      <c r="A30" s="94">
        <v>11229029</v>
      </c>
      <c r="B30" s="47">
        <v>0</v>
      </c>
      <c r="C30" s="47">
        <v>0</v>
      </c>
      <c r="D30" s="47">
        <v>100</v>
      </c>
      <c r="E30" s="47" t="s">
        <v>53</v>
      </c>
      <c r="F30" s="47" t="s">
        <v>53</v>
      </c>
      <c r="G30" s="47">
        <v>1</v>
      </c>
      <c r="H30" s="47" t="s">
        <v>263</v>
      </c>
      <c r="I30" s="47" t="s">
        <v>264</v>
      </c>
      <c r="J30" s="48">
        <f t="shared" ref="J30" si="7">D30</f>
        <v>100</v>
      </c>
    </row>
  </sheetData>
  <autoFilter ref="A1:G1"/>
  <phoneticPr fontId="5"/>
  <conditionalFormatting sqref="K1:K104857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5"/>
  <sheetViews>
    <sheetView workbookViewId="0">
      <selection activeCell="P3" sqref="P3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0" t="s">
        <v>151</v>
      </c>
      <c r="B1" s="60" t="s">
        <v>152</v>
      </c>
      <c r="C1" s="61" t="s">
        <v>153</v>
      </c>
      <c r="D1" s="68" t="s">
        <v>154</v>
      </c>
      <c r="E1" s="62" t="s">
        <v>155</v>
      </c>
      <c r="F1" s="60" t="s">
        <v>156</v>
      </c>
      <c r="G1" s="60" t="s">
        <v>157</v>
      </c>
      <c r="H1" s="60" t="s">
        <v>158</v>
      </c>
      <c r="I1" s="60" t="s">
        <v>159</v>
      </c>
      <c r="J1" s="60" t="s">
        <v>160</v>
      </c>
      <c r="K1" s="60" t="s">
        <v>161</v>
      </c>
      <c r="L1" s="60" t="s">
        <v>162</v>
      </c>
      <c r="M1" s="60" t="s">
        <v>163</v>
      </c>
      <c r="N1" s="60" t="s">
        <v>164</v>
      </c>
      <c r="O1" s="60" t="s">
        <v>165</v>
      </c>
      <c r="P1" s="60" t="s">
        <v>166</v>
      </c>
      <c r="Q1" s="60" t="s">
        <v>167</v>
      </c>
      <c r="R1" s="60" t="s">
        <v>168</v>
      </c>
    </row>
    <row r="2" spans="1:18" x14ac:dyDescent="0.15">
      <c r="A2" s="54">
        <f>floors!C2</f>
        <v>11229</v>
      </c>
      <c r="B2" s="54">
        <v>1</v>
      </c>
      <c r="C2" s="67" t="str">
        <f>A2&amp; "_"&amp;B2</f>
        <v>11229_1</v>
      </c>
      <c r="D2" s="11" t="str">
        <f ca="1">VLOOKUP($C2,OFFSET([2]stages!$A$1,0,0,COUNTA([2]stages!$A:$A),MATCH(D$1,[2]stages!$2:$2,0)-MATCH($C$1,[2]stages!$2:$2,0)+1),MATCH(D$1,[2]stages!$2:$2,0)-MATCH($C$1,[2]stages!$2:$2,0)+1,FALSE)</f>
        <v>singleonly</v>
      </c>
      <c r="E2" s="54">
        <v>1</v>
      </c>
      <c r="F2" s="54" t="s">
        <v>169</v>
      </c>
      <c r="G2" s="54">
        <v>1000</v>
      </c>
      <c r="H2" s="54" t="s">
        <v>170</v>
      </c>
      <c r="I2" s="54">
        <v>1</v>
      </c>
      <c r="J2" s="54">
        <v>1</v>
      </c>
      <c r="K2" s="54">
        <v>0</v>
      </c>
      <c r="L2" s="54">
        <v>0</v>
      </c>
      <c r="M2" s="54">
        <v>0</v>
      </c>
      <c r="N2" s="54">
        <v>0</v>
      </c>
      <c r="O2" s="54">
        <v>1</v>
      </c>
      <c r="P2" s="54">
        <v>100</v>
      </c>
      <c r="Q2" s="54" t="s">
        <v>171</v>
      </c>
      <c r="R2" s="54" t="s">
        <v>172</v>
      </c>
    </row>
    <row r="3" spans="1:18" x14ac:dyDescent="0.15">
      <c r="A3" s="54"/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</row>
    <row r="4" spans="1:18" x14ac:dyDescent="0.15">
      <c r="A4" s="54"/>
      <c r="B4" s="54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</row>
    <row r="5" spans="1:18" x14ac:dyDescent="0.15">
      <c r="A5" s="54"/>
      <c r="B5" s="54"/>
      <c r="C5" s="54"/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</row>
  </sheetData>
  <phoneticPr fontId="5"/>
  <dataValidations disablePrompts="1" count="1">
    <dataValidation type="list" allowBlank="1" showInputMessage="1" showErrorMessage="1" sqref="F2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33"/>
  <sheetViews>
    <sheetView showGridLines="0" workbookViewId="0">
      <pane ySplit="1" topLeftCell="A2" activePane="bottomLeft" state="frozen"/>
      <selection pane="bottomLeft" activeCell="L20" sqref="L20"/>
    </sheetView>
  </sheetViews>
  <sheetFormatPr baseColWidth="12" defaultColWidth="13" defaultRowHeight="15" outlineLevelCol="1" x14ac:dyDescent="0.15"/>
  <cols>
    <col min="1" max="1" width="13" style="84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0" width="11.1640625" customWidth="1"/>
    <col min="11" max="11" width="20.83203125" bestFit="1" customWidth="1"/>
    <col min="12" max="12" width="42.6640625" customWidth="1"/>
  </cols>
  <sheetData>
    <row r="1" spans="1:13" x14ac:dyDescent="0.15">
      <c r="A1" s="72" t="s">
        <v>189</v>
      </c>
      <c r="B1" s="69" t="s">
        <v>190</v>
      </c>
      <c r="C1" s="73" t="s">
        <v>191</v>
      </c>
      <c r="D1" s="73" t="s">
        <v>33</v>
      </c>
      <c r="E1" s="69" t="s">
        <v>192</v>
      </c>
      <c r="F1" s="73" t="s">
        <v>193</v>
      </c>
      <c r="G1" s="73" t="s">
        <v>33</v>
      </c>
      <c r="H1" s="69" t="s">
        <v>194</v>
      </c>
      <c r="I1" s="87" t="s">
        <v>196</v>
      </c>
      <c r="J1" s="75" t="s">
        <v>127</v>
      </c>
      <c r="K1" s="74" t="s">
        <v>188</v>
      </c>
      <c r="L1" s="88" t="s">
        <v>187</v>
      </c>
      <c r="M1" s="76" t="s">
        <v>197</v>
      </c>
    </row>
    <row r="2" spans="1:13" x14ac:dyDescent="0.15">
      <c r="A2" s="77"/>
      <c r="B2" s="78"/>
      <c r="C2" s="79"/>
      <c r="D2" s="79"/>
      <c r="E2" s="83"/>
      <c r="F2" s="79"/>
      <c r="G2" s="79"/>
      <c r="H2" s="81"/>
      <c r="J2" s="80"/>
      <c r="K2" s="89"/>
      <c r="L2" s="90"/>
      <c r="M2" s="54"/>
    </row>
    <row r="3" spans="1:13" x14ac:dyDescent="0.15">
      <c r="A3" s="77"/>
      <c r="B3" s="78"/>
      <c r="C3" s="79"/>
      <c r="D3" s="79"/>
      <c r="E3" s="83"/>
      <c r="F3" s="79"/>
      <c r="G3" s="79"/>
      <c r="H3" s="81"/>
      <c r="J3" s="80"/>
      <c r="K3" s="89"/>
      <c r="L3" s="90"/>
      <c r="M3" s="54"/>
    </row>
    <row r="4" spans="1:13" x14ac:dyDescent="0.15">
      <c r="A4" s="77"/>
      <c r="B4" s="78"/>
      <c r="C4" s="79"/>
      <c r="D4" s="79"/>
      <c r="E4" s="83"/>
      <c r="F4" s="79"/>
      <c r="G4" s="79"/>
      <c r="H4" s="81"/>
      <c r="J4" s="80"/>
      <c r="K4" s="89"/>
      <c r="L4" s="90"/>
      <c r="M4" s="54"/>
    </row>
    <row r="5" spans="1:13" x14ac:dyDescent="0.15">
      <c r="A5" s="77"/>
      <c r="B5" s="78"/>
      <c r="C5" s="79"/>
      <c r="D5" s="79"/>
      <c r="E5" s="83"/>
      <c r="F5" s="79"/>
      <c r="G5" s="79"/>
      <c r="H5" s="81"/>
      <c r="J5" s="80"/>
      <c r="K5" s="89"/>
      <c r="L5" s="90"/>
      <c r="M5" s="54"/>
    </row>
    <row r="6" spans="1:13" x14ac:dyDescent="0.15">
      <c r="A6" s="77"/>
      <c r="B6" s="78"/>
      <c r="C6" s="79"/>
      <c r="D6" s="79"/>
      <c r="E6" s="83"/>
      <c r="F6" s="79"/>
      <c r="G6" s="79"/>
      <c r="H6" s="81"/>
      <c r="J6" s="80"/>
      <c r="K6" s="89"/>
      <c r="L6" s="90"/>
      <c r="M6" s="54"/>
    </row>
    <row r="7" spans="1:13" x14ac:dyDescent="0.15">
      <c r="A7" s="77"/>
      <c r="B7" s="78"/>
      <c r="C7" s="79"/>
      <c r="D7" s="79"/>
      <c r="E7" s="83"/>
      <c r="F7" s="79"/>
      <c r="G7" s="79"/>
      <c r="H7" s="81"/>
      <c r="J7" s="80"/>
      <c r="K7" s="89"/>
      <c r="L7" s="90"/>
      <c r="M7" s="54"/>
    </row>
    <row r="8" spans="1:13" x14ac:dyDescent="0.15">
      <c r="A8" s="77"/>
      <c r="B8" s="78"/>
      <c r="C8" s="79"/>
      <c r="D8" s="79"/>
      <c r="E8" s="83"/>
      <c r="F8" s="79"/>
      <c r="G8" s="79"/>
      <c r="H8" s="81"/>
      <c r="J8" s="80"/>
      <c r="K8" s="89"/>
      <c r="L8" s="90"/>
      <c r="M8" s="54"/>
    </row>
    <row r="9" spans="1:13" x14ac:dyDescent="0.15">
      <c r="A9" s="77"/>
      <c r="B9" s="78"/>
      <c r="C9" s="79"/>
      <c r="D9" s="79"/>
      <c r="E9" s="83"/>
      <c r="F9" s="79"/>
      <c r="G9" s="79"/>
      <c r="H9" s="81"/>
      <c r="J9" s="80"/>
      <c r="K9" s="89"/>
      <c r="L9" s="90"/>
      <c r="M9" s="54"/>
    </row>
    <row r="10" spans="1:13" x14ac:dyDescent="0.15">
      <c r="A10" s="77"/>
      <c r="B10" s="78"/>
      <c r="C10" s="79"/>
      <c r="D10" s="79"/>
      <c r="E10" s="83"/>
      <c r="F10" s="79"/>
      <c r="G10" s="79"/>
      <c r="H10" s="81"/>
      <c r="J10" s="80"/>
      <c r="K10" s="89"/>
      <c r="L10" s="90"/>
      <c r="M10" s="54"/>
    </row>
    <row r="11" spans="1:13" x14ac:dyDescent="0.15">
      <c r="A11" s="77"/>
      <c r="B11" s="78"/>
      <c r="C11" s="79"/>
      <c r="D11" s="79"/>
      <c r="E11" s="83"/>
      <c r="F11" s="79"/>
      <c r="G11" s="79"/>
      <c r="H11" s="81"/>
      <c r="J11" s="80"/>
      <c r="K11" s="89"/>
      <c r="L11" s="90"/>
      <c r="M11" s="54"/>
    </row>
    <row r="12" spans="1:13" x14ac:dyDescent="0.15">
      <c r="A12" s="77"/>
      <c r="B12" s="78"/>
      <c r="C12" s="79"/>
      <c r="D12" s="79"/>
      <c r="E12" s="83"/>
      <c r="F12" s="79"/>
      <c r="G12" s="79"/>
      <c r="H12" s="81"/>
      <c r="J12" s="80"/>
      <c r="K12" s="89"/>
      <c r="L12" s="90"/>
      <c r="M12" s="54"/>
    </row>
    <row r="13" spans="1:13" x14ac:dyDescent="0.15">
      <c r="A13" s="77"/>
      <c r="B13" s="78"/>
      <c r="C13" s="79"/>
      <c r="D13" s="79"/>
      <c r="E13" s="83"/>
      <c r="F13" s="79"/>
      <c r="G13" s="79"/>
      <c r="H13" s="81"/>
      <c r="J13" s="80"/>
      <c r="K13" s="89"/>
      <c r="L13" s="90"/>
      <c r="M13" s="54"/>
    </row>
    <row r="14" spans="1:13" x14ac:dyDescent="0.15">
      <c r="A14" s="77"/>
      <c r="B14" s="78"/>
      <c r="C14" s="79"/>
      <c r="D14" s="79"/>
      <c r="E14" s="83"/>
      <c r="F14" s="79"/>
      <c r="G14" s="79"/>
      <c r="H14" s="81"/>
      <c r="J14" s="80"/>
      <c r="K14" s="89"/>
      <c r="L14" s="90"/>
      <c r="M14" s="54"/>
    </row>
    <row r="15" spans="1:13" x14ac:dyDescent="0.15">
      <c r="A15" s="77"/>
      <c r="B15" s="78"/>
      <c r="C15" s="79"/>
      <c r="D15" s="79"/>
      <c r="E15" s="83"/>
      <c r="F15" s="79"/>
      <c r="G15" s="79"/>
      <c r="H15" s="81"/>
      <c r="J15" s="80"/>
      <c r="K15" s="89"/>
      <c r="L15" s="90"/>
      <c r="M15" s="54"/>
    </row>
    <row r="16" spans="1:13" x14ac:dyDescent="0.15">
      <c r="A16" s="77"/>
      <c r="B16" s="78"/>
      <c r="C16" s="79"/>
      <c r="D16" s="79"/>
      <c r="E16" s="83"/>
      <c r="F16" s="79"/>
      <c r="G16" s="79"/>
      <c r="H16" s="81"/>
      <c r="J16" s="80"/>
      <c r="K16" s="89"/>
      <c r="L16" s="90"/>
      <c r="M16" s="54"/>
    </row>
    <row r="17" spans="1:13" x14ac:dyDescent="0.15">
      <c r="A17" s="77"/>
      <c r="B17" s="78"/>
      <c r="C17" s="79"/>
      <c r="D17" s="79"/>
      <c r="E17" s="83"/>
      <c r="F17" s="79"/>
      <c r="G17" s="79"/>
      <c r="H17" s="81"/>
      <c r="J17" s="80"/>
      <c r="K17" s="89"/>
      <c r="L17" s="90"/>
      <c r="M17" s="54"/>
    </row>
    <row r="18" spans="1:13" x14ac:dyDescent="0.15">
      <c r="A18" s="77"/>
      <c r="B18" s="78"/>
      <c r="C18" s="79"/>
      <c r="D18" s="79"/>
      <c r="E18" s="83"/>
      <c r="F18" s="79"/>
      <c r="G18" s="79"/>
      <c r="H18" s="81"/>
      <c r="J18" s="80"/>
      <c r="K18" s="89"/>
      <c r="L18" s="90"/>
      <c r="M18" s="54"/>
    </row>
    <row r="19" spans="1:13" x14ac:dyDescent="0.15">
      <c r="A19" s="77"/>
      <c r="B19" s="78"/>
      <c r="C19" s="79"/>
      <c r="D19" s="79"/>
      <c r="E19" s="83"/>
      <c r="F19" s="79"/>
      <c r="G19" s="79"/>
      <c r="H19" s="81"/>
      <c r="J19" s="80"/>
      <c r="K19" s="89"/>
      <c r="L19" s="90"/>
      <c r="M19" s="54"/>
    </row>
    <row r="20" spans="1:13" x14ac:dyDescent="0.15">
      <c r="A20" s="77"/>
      <c r="B20" s="78"/>
      <c r="C20" s="79"/>
      <c r="D20" s="79"/>
      <c r="E20" s="83"/>
      <c r="F20" s="79"/>
      <c r="G20" s="79"/>
      <c r="H20" s="81"/>
      <c r="J20" s="80"/>
      <c r="K20" s="89"/>
      <c r="L20" s="90"/>
      <c r="M20" s="54"/>
    </row>
    <row r="21" spans="1:13" x14ac:dyDescent="0.15">
      <c r="A21" s="77"/>
      <c r="B21" s="78"/>
      <c r="C21" s="79"/>
      <c r="D21" s="79"/>
      <c r="E21" s="83"/>
      <c r="F21" s="79"/>
      <c r="G21" s="79"/>
      <c r="H21" s="81"/>
      <c r="J21" s="80"/>
      <c r="K21" s="89"/>
      <c r="L21" s="90"/>
      <c r="M21" s="54"/>
    </row>
    <row r="22" spans="1:13" x14ac:dyDescent="0.15">
      <c r="A22" s="77"/>
      <c r="B22" s="78"/>
      <c r="C22" s="79"/>
      <c r="D22" s="79"/>
      <c r="E22" s="83"/>
      <c r="F22" s="79"/>
      <c r="G22" s="79"/>
      <c r="H22" s="81"/>
      <c r="J22" s="80"/>
      <c r="K22" s="89"/>
      <c r="L22" s="90"/>
      <c r="M22" s="54"/>
    </row>
    <row r="23" spans="1:13" x14ac:dyDescent="0.15">
      <c r="A23" s="77"/>
      <c r="B23" s="78"/>
      <c r="C23" s="79"/>
      <c r="D23" s="79"/>
      <c r="E23" s="83"/>
      <c r="F23" s="79"/>
      <c r="G23" s="79"/>
      <c r="H23" s="81"/>
      <c r="J23" s="80"/>
      <c r="K23" s="89"/>
      <c r="L23" s="90"/>
      <c r="M23" s="54"/>
    </row>
    <row r="24" spans="1:13" x14ac:dyDescent="0.15">
      <c r="A24" s="77"/>
      <c r="B24" s="78"/>
      <c r="C24" s="79"/>
      <c r="D24" s="79"/>
      <c r="E24" s="83"/>
      <c r="F24" s="79"/>
      <c r="G24" s="79"/>
      <c r="H24" s="81"/>
      <c r="J24" s="80"/>
      <c r="K24" s="89"/>
      <c r="L24" s="90"/>
      <c r="M24" s="54"/>
    </row>
    <row r="25" spans="1:13" x14ac:dyDescent="0.15">
      <c r="A25" s="77"/>
      <c r="B25" s="78"/>
      <c r="C25" s="79"/>
      <c r="D25" s="79"/>
      <c r="E25" s="83"/>
      <c r="F25" s="79"/>
      <c r="G25" s="79"/>
      <c r="H25" s="81"/>
      <c r="J25" s="80"/>
      <c r="K25" s="89"/>
      <c r="L25" s="90"/>
      <c r="M25" s="54"/>
    </row>
    <row r="26" spans="1:13" x14ac:dyDescent="0.15">
      <c r="A26" s="77"/>
      <c r="B26" s="78"/>
      <c r="C26" s="79"/>
      <c r="D26" s="79"/>
      <c r="E26" s="83"/>
      <c r="F26" s="79"/>
      <c r="G26" s="79"/>
      <c r="H26" s="81"/>
      <c r="J26" s="80"/>
      <c r="K26" s="89"/>
      <c r="L26" s="90"/>
      <c r="M26" s="54"/>
    </row>
    <row r="27" spans="1:13" x14ac:dyDescent="0.15">
      <c r="A27" s="77"/>
      <c r="B27" s="78"/>
      <c r="C27" s="79"/>
      <c r="D27" s="79"/>
      <c r="E27" s="83"/>
      <c r="F27" s="79"/>
      <c r="G27" s="79"/>
      <c r="H27" s="81"/>
      <c r="J27" s="80"/>
      <c r="K27" s="89"/>
      <c r="L27" s="90"/>
      <c r="M27" s="54"/>
    </row>
    <row r="28" spans="1:13" x14ac:dyDescent="0.15">
      <c r="A28" s="77"/>
      <c r="B28" s="78"/>
      <c r="C28" s="79"/>
      <c r="D28" s="79"/>
      <c r="E28" s="83"/>
      <c r="F28" s="79"/>
      <c r="G28" s="79"/>
      <c r="H28" s="81"/>
      <c r="J28" s="80"/>
      <c r="K28" s="89"/>
      <c r="L28" s="90"/>
      <c r="M28" s="54"/>
    </row>
    <row r="29" spans="1:13" x14ac:dyDescent="0.15">
      <c r="A29" s="77"/>
      <c r="B29" s="78"/>
      <c r="C29" s="79"/>
      <c r="D29" s="79"/>
      <c r="E29" s="83"/>
      <c r="F29" s="79"/>
      <c r="G29" s="79"/>
      <c r="H29" s="81"/>
      <c r="J29" s="80"/>
      <c r="K29" s="89"/>
      <c r="L29" s="90"/>
      <c r="M29" s="54"/>
    </row>
    <row r="30" spans="1:13" x14ac:dyDescent="0.15">
      <c r="A30" s="77"/>
      <c r="B30" s="78"/>
      <c r="C30" s="79"/>
      <c r="D30" s="79"/>
      <c r="E30" s="83"/>
      <c r="F30" s="79"/>
      <c r="G30" s="79"/>
      <c r="H30" s="81"/>
      <c r="J30" s="80"/>
      <c r="K30" s="89"/>
      <c r="L30" s="90"/>
      <c r="M30" s="54"/>
    </row>
    <row r="31" spans="1:13" x14ac:dyDescent="0.15">
      <c r="A31" s="77"/>
      <c r="B31" s="78"/>
      <c r="C31" s="79"/>
      <c r="D31" s="79"/>
      <c r="E31" s="83"/>
      <c r="F31" s="79"/>
      <c r="G31" s="79"/>
      <c r="H31" s="81"/>
      <c r="J31" s="80"/>
      <c r="K31" s="89"/>
      <c r="L31" s="90"/>
      <c r="M31" s="54"/>
    </row>
    <row r="32" spans="1:13" x14ac:dyDescent="0.15">
      <c r="A32" s="77"/>
      <c r="B32" s="78"/>
      <c r="C32" s="79"/>
      <c r="D32" s="79"/>
      <c r="E32" s="83"/>
      <c r="F32" s="79"/>
      <c r="G32" s="79"/>
      <c r="H32" s="81"/>
      <c r="J32" s="80"/>
      <c r="K32" s="89"/>
      <c r="L32" s="90"/>
      <c r="M32" s="54"/>
    </row>
    <row r="33" spans="1:13" x14ac:dyDescent="0.15">
      <c r="A33" s="77"/>
      <c r="B33" s="78"/>
      <c r="C33" s="79"/>
      <c r="D33" s="79"/>
      <c r="E33" s="83"/>
      <c r="F33" s="79"/>
      <c r="G33" s="79"/>
      <c r="H33" s="81"/>
      <c r="J33" s="80"/>
      <c r="K33" s="89"/>
      <c r="L33" s="90"/>
      <c r="M33" s="54"/>
    </row>
    <row r="34" spans="1:13" x14ac:dyDescent="0.15">
      <c r="A34" s="77"/>
      <c r="B34" s="78"/>
      <c r="C34" s="79"/>
      <c r="D34" s="79"/>
      <c r="E34" s="83"/>
      <c r="F34" s="79"/>
      <c r="G34" s="79"/>
      <c r="H34" s="81"/>
      <c r="J34" s="80"/>
      <c r="K34" s="89"/>
      <c r="L34" s="90"/>
      <c r="M34" s="54"/>
    </row>
    <row r="35" spans="1:13" x14ac:dyDescent="0.15">
      <c r="A35" s="77"/>
      <c r="B35" s="78"/>
      <c r="C35" s="79"/>
      <c r="D35" s="79"/>
      <c r="E35" s="83"/>
      <c r="F35" s="79"/>
      <c r="G35" s="79"/>
      <c r="H35" s="81"/>
      <c r="J35" s="80"/>
      <c r="K35" s="89"/>
      <c r="L35" s="90"/>
      <c r="M35" s="54"/>
    </row>
    <row r="36" spans="1:13" x14ac:dyDescent="0.15">
      <c r="A36" s="77"/>
      <c r="B36" s="78"/>
      <c r="C36" s="79"/>
      <c r="D36" s="79"/>
      <c r="E36" s="83"/>
      <c r="F36" s="79"/>
      <c r="G36" s="79"/>
      <c r="H36" s="81"/>
      <c r="J36" s="80"/>
      <c r="K36" s="89"/>
      <c r="L36" s="90"/>
      <c r="M36" s="54"/>
    </row>
    <row r="37" spans="1:13" x14ac:dyDescent="0.15">
      <c r="A37" s="77"/>
      <c r="B37" s="78"/>
      <c r="C37" s="79"/>
      <c r="D37" s="79"/>
      <c r="E37" s="83"/>
      <c r="F37" s="79"/>
      <c r="G37" s="79"/>
      <c r="H37" s="81"/>
      <c r="J37" s="80"/>
      <c r="K37" s="89"/>
      <c r="L37" s="90"/>
      <c r="M37" s="54"/>
    </row>
    <row r="38" spans="1:13" x14ac:dyDescent="0.15">
      <c r="A38" s="77"/>
      <c r="B38" s="78"/>
      <c r="C38" s="79"/>
      <c r="D38" s="79"/>
      <c r="E38" s="83"/>
      <c r="F38" s="79"/>
      <c r="G38" s="79"/>
      <c r="H38" s="81"/>
      <c r="J38" s="80"/>
      <c r="K38" s="89"/>
      <c r="L38" s="90"/>
      <c r="M38" s="54"/>
    </row>
    <row r="39" spans="1:13" x14ac:dyDescent="0.15">
      <c r="A39" s="77"/>
      <c r="B39" s="78"/>
      <c r="C39" s="79"/>
      <c r="D39" s="79"/>
      <c r="E39" s="83"/>
      <c r="F39" s="79"/>
      <c r="G39" s="79"/>
      <c r="H39" s="81"/>
      <c r="J39" s="80"/>
      <c r="K39" s="89"/>
      <c r="L39" s="90"/>
      <c r="M39" s="54"/>
    </row>
    <row r="40" spans="1:13" x14ac:dyDescent="0.15">
      <c r="A40" s="77"/>
      <c r="B40" s="78"/>
      <c r="C40" s="79"/>
      <c r="D40" s="79"/>
      <c r="E40" s="83"/>
      <c r="F40" s="79"/>
      <c r="G40" s="79"/>
      <c r="H40" s="81"/>
      <c r="J40" s="80"/>
      <c r="K40" s="89"/>
      <c r="L40" s="90"/>
      <c r="M40" s="54"/>
    </row>
    <row r="41" spans="1:13" x14ac:dyDescent="0.15">
      <c r="A41" s="77"/>
      <c r="B41" s="78"/>
      <c r="C41" s="79"/>
      <c r="D41" s="79"/>
      <c r="E41" s="83"/>
      <c r="F41" s="79"/>
      <c r="G41" s="79"/>
      <c r="H41" s="81"/>
      <c r="J41" s="80"/>
      <c r="K41" s="89"/>
      <c r="L41" s="90"/>
      <c r="M41" s="54"/>
    </row>
    <row r="42" spans="1:13" x14ac:dyDescent="0.15">
      <c r="A42" s="77"/>
      <c r="B42" s="78"/>
      <c r="C42" s="79"/>
      <c r="D42" s="79"/>
      <c r="E42" s="83"/>
      <c r="F42" s="79"/>
      <c r="G42" s="79"/>
      <c r="H42" s="81"/>
      <c r="J42" s="80"/>
      <c r="K42" s="89"/>
      <c r="L42" s="90"/>
      <c r="M42" s="54"/>
    </row>
    <row r="43" spans="1:13" x14ac:dyDescent="0.15">
      <c r="A43" s="77"/>
      <c r="B43" s="78"/>
      <c r="C43" s="79"/>
      <c r="D43" s="79"/>
      <c r="E43" s="83"/>
      <c r="F43" s="79"/>
      <c r="G43" s="79"/>
      <c r="H43" s="81"/>
      <c r="J43" s="80"/>
      <c r="K43" s="89"/>
      <c r="L43" s="90"/>
      <c r="M43" s="54"/>
    </row>
    <row r="44" spans="1:13" x14ac:dyDescent="0.15">
      <c r="A44" s="77"/>
      <c r="B44" s="78"/>
      <c r="C44" s="79"/>
      <c r="D44" s="79"/>
      <c r="E44" s="83"/>
      <c r="F44" s="79"/>
      <c r="G44" s="79"/>
      <c r="H44" s="81"/>
      <c r="J44" s="80"/>
      <c r="K44" s="89"/>
      <c r="L44" s="90"/>
      <c r="M44" s="54"/>
    </row>
    <row r="45" spans="1:13" x14ac:dyDescent="0.15">
      <c r="A45" s="77"/>
      <c r="B45" s="78"/>
      <c r="C45" s="79"/>
      <c r="D45" s="79"/>
      <c r="E45" s="83"/>
      <c r="F45" s="79"/>
      <c r="G45" s="79"/>
      <c r="H45" s="81"/>
      <c r="J45" s="80"/>
      <c r="K45" s="89"/>
      <c r="L45" s="90"/>
      <c r="M45" s="54"/>
    </row>
    <row r="46" spans="1:13" x14ac:dyDescent="0.15">
      <c r="A46" s="77"/>
      <c r="B46" s="78"/>
      <c r="C46" s="79"/>
      <c r="D46" s="79"/>
      <c r="E46" s="83"/>
      <c r="F46" s="79"/>
      <c r="G46" s="79"/>
      <c r="H46" s="81"/>
      <c r="J46" s="80"/>
      <c r="K46" s="89"/>
      <c r="L46" s="90"/>
      <c r="M46" s="54"/>
    </row>
    <row r="47" spans="1:13" x14ac:dyDescent="0.15">
      <c r="A47" s="77"/>
      <c r="B47" s="78"/>
      <c r="C47" s="79"/>
      <c r="D47" s="79"/>
      <c r="E47" s="83"/>
      <c r="F47" s="79"/>
      <c r="G47" s="79"/>
      <c r="H47" s="81"/>
      <c r="J47" s="80"/>
      <c r="K47" s="89"/>
      <c r="L47" s="90"/>
      <c r="M47" s="54"/>
    </row>
    <row r="48" spans="1:13" x14ac:dyDescent="0.15">
      <c r="A48" s="77"/>
      <c r="B48" s="78"/>
      <c r="C48" s="79"/>
      <c r="D48" s="79"/>
      <c r="E48" s="83"/>
      <c r="F48" s="79"/>
      <c r="G48" s="79"/>
      <c r="H48" s="81"/>
      <c r="J48" s="80"/>
      <c r="K48" s="89"/>
      <c r="L48" s="90"/>
      <c r="M48" s="54"/>
    </row>
    <row r="49" spans="1:13" x14ac:dyDescent="0.15">
      <c r="A49" s="77"/>
      <c r="B49" s="78"/>
      <c r="C49" s="79"/>
      <c r="D49" s="79"/>
      <c r="E49" s="83"/>
      <c r="F49" s="79"/>
      <c r="G49" s="79"/>
      <c r="H49" s="81"/>
      <c r="J49" s="80"/>
      <c r="K49" s="89"/>
      <c r="L49" s="90"/>
      <c r="M49" s="54"/>
    </row>
    <row r="50" spans="1:13" x14ac:dyDescent="0.15">
      <c r="A50" s="77"/>
      <c r="B50" s="78"/>
      <c r="C50" s="79"/>
      <c r="D50" s="79"/>
      <c r="E50" s="83"/>
      <c r="F50" s="79"/>
      <c r="G50" s="79"/>
      <c r="H50" s="81"/>
      <c r="J50" s="80"/>
      <c r="K50" s="89"/>
      <c r="L50" s="90"/>
      <c r="M50" s="54"/>
    </row>
    <row r="51" spans="1:13" x14ac:dyDescent="0.15">
      <c r="A51" s="77"/>
      <c r="B51" s="78"/>
      <c r="C51" s="79"/>
      <c r="D51" s="79"/>
      <c r="E51" s="83"/>
      <c r="F51" s="79"/>
      <c r="G51" s="79"/>
      <c r="H51" s="81"/>
      <c r="J51" s="80"/>
      <c r="K51" s="89"/>
      <c r="L51" s="90"/>
      <c r="M51" s="54"/>
    </row>
    <row r="52" spans="1:13" x14ac:dyDescent="0.15">
      <c r="A52" s="77"/>
      <c r="B52" s="78"/>
      <c r="C52" s="79"/>
      <c r="D52" s="79"/>
      <c r="E52" s="83"/>
      <c r="F52" s="79"/>
      <c r="G52" s="79"/>
      <c r="H52" s="81"/>
      <c r="J52" s="80"/>
      <c r="K52" s="89"/>
      <c r="L52" s="90"/>
      <c r="M52" s="54"/>
    </row>
    <row r="53" spans="1:13" x14ac:dyDescent="0.15">
      <c r="A53" s="77"/>
      <c r="B53" s="78"/>
      <c r="C53" s="79"/>
      <c r="D53" s="79"/>
      <c r="E53" s="83"/>
      <c r="F53" s="79"/>
      <c r="G53" s="79"/>
      <c r="H53" s="81"/>
      <c r="J53" s="80"/>
      <c r="K53" s="89"/>
      <c r="L53" s="90"/>
      <c r="M53" s="54"/>
    </row>
    <row r="54" spans="1:13" x14ac:dyDescent="0.15">
      <c r="A54" s="77"/>
      <c r="B54" s="78"/>
      <c r="C54" s="79"/>
      <c r="D54" s="79"/>
      <c r="E54" s="83"/>
      <c r="F54" s="79"/>
      <c r="G54" s="79"/>
      <c r="H54" s="81"/>
      <c r="J54" s="80"/>
      <c r="K54" s="89"/>
      <c r="L54" s="90"/>
      <c r="M54" s="54"/>
    </row>
    <row r="55" spans="1:13" x14ac:dyDescent="0.15">
      <c r="A55" s="77"/>
      <c r="B55" s="78"/>
      <c r="C55" s="79"/>
      <c r="D55" s="79"/>
      <c r="E55" s="83"/>
      <c r="F55" s="79"/>
      <c r="G55" s="79"/>
      <c r="H55" s="81"/>
      <c r="J55" s="80"/>
      <c r="K55" s="89"/>
      <c r="L55" s="90"/>
      <c r="M55" s="54"/>
    </row>
    <row r="56" spans="1:13" x14ac:dyDescent="0.15">
      <c r="A56" s="77"/>
      <c r="B56" s="78"/>
      <c r="C56" s="79"/>
      <c r="D56" s="79"/>
      <c r="E56" s="83"/>
      <c r="F56" s="79"/>
      <c r="G56" s="79"/>
      <c r="H56" s="81"/>
      <c r="J56" s="80"/>
      <c r="K56" s="89"/>
      <c r="L56" s="90"/>
      <c r="M56" s="54"/>
    </row>
    <row r="57" spans="1:13" x14ac:dyDescent="0.15">
      <c r="A57" s="77"/>
      <c r="B57" s="78"/>
      <c r="C57" s="79"/>
      <c r="D57" s="79"/>
      <c r="E57" s="83"/>
      <c r="F57" s="79"/>
      <c r="G57" s="79"/>
      <c r="H57" s="81"/>
      <c r="J57" s="80"/>
      <c r="K57" s="89"/>
      <c r="L57" s="90"/>
      <c r="M57" s="54"/>
    </row>
    <row r="58" spans="1:13" x14ac:dyDescent="0.15">
      <c r="A58" s="77"/>
      <c r="B58" s="78"/>
      <c r="C58" s="79"/>
      <c r="D58" s="79"/>
      <c r="E58" s="83"/>
      <c r="F58" s="79"/>
      <c r="G58" s="79"/>
      <c r="H58" s="81"/>
      <c r="J58" s="80"/>
      <c r="K58" s="89"/>
      <c r="L58" s="90"/>
      <c r="M58" s="54"/>
    </row>
    <row r="59" spans="1:13" x14ac:dyDescent="0.15">
      <c r="A59" s="77"/>
      <c r="B59" s="78"/>
      <c r="C59" s="79"/>
      <c r="D59" s="79"/>
      <c r="E59" s="83"/>
      <c r="F59" s="79"/>
      <c r="G59" s="79"/>
      <c r="H59" s="81"/>
      <c r="I59" s="92"/>
      <c r="J59" s="80"/>
      <c r="K59" s="89"/>
      <c r="L59" s="90"/>
      <c r="M59" s="54"/>
    </row>
    <row r="60" spans="1:13" x14ac:dyDescent="0.15">
      <c r="A60" s="77"/>
      <c r="B60" s="78"/>
      <c r="C60" s="79"/>
      <c r="D60" s="79"/>
      <c r="E60" s="83"/>
      <c r="F60" s="79"/>
      <c r="G60" s="79"/>
      <c r="H60" s="81"/>
      <c r="I60" s="92"/>
      <c r="J60" s="80"/>
      <c r="K60" s="89"/>
      <c r="L60" s="90"/>
      <c r="M60" s="54"/>
    </row>
    <row r="61" spans="1:13" x14ac:dyDescent="0.15">
      <c r="A61" s="77"/>
      <c r="B61" s="78"/>
      <c r="C61" s="79"/>
      <c r="D61" s="79"/>
      <c r="E61" s="83"/>
      <c r="F61" s="79"/>
      <c r="G61" s="79"/>
      <c r="H61" s="81"/>
      <c r="I61" s="92"/>
      <c r="J61" s="80"/>
      <c r="K61" s="89"/>
      <c r="L61" s="90"/>
      <c r="M61" s="54"/>
    </row>
    <row r="62" spans="1:13" x14ac:dyDescent="0.15">
      <c r="A62" s="77"/>
      <c r="B62" s="78"/>
      <c r="C62" s="79"/>
      <c r="D62" s="79"/>
      <c r="E62" s="83"/>
      <c r="F62" s="79"/>
      <c r="G62" s="79"/>
      <c r="H62" s="81"/>
      <c r="I62" s="92"/>
      <c r="J62" s="80"/>
      <c r="K62" s="89"/>
      <c r="L62" s="90"/>
      <c r="M62" s="54"/>
    </row>
    <row r="63" spans="1:13" x14ac:dyDescent="0.15">
      <c r="A63" s="77"/>
      <c r="B63" s="78"/>
      <c r="C63" s="79"/>
      <c r="D63" s="79"/>
      <c r="E63" s="83"/>
      <c r="F63" s="79"/>
      <c r="G63" s="79"/>
      <c r="H63" s="81"/>
      <c r="I63" s="92"/>
      <c r="J63" s="80"/>
      <c r="K63" s="89"/>
      <c r="L63" s="90"/>
      <c r="M63" s="54"/>
    </row>
    <row r="64" spans="1:13" x14ac:dyDescent="0.15">
      <c r="A64" s="77"/>
      <c r="B64" s="78"/>
      <c r="C64" s="79"/>
      <c r="D64" s="79"/>
      <c r="E64" s="83"/>
      <c r="F64" s="79"/>
      <c r="G64" s="79"/>
      <c r="H64" s="81"/>
      <c r="I64" s="92"/>
      <c r="J64" s="80"/>
      <c r="K64" s="89"/>
      <c r="L64" s="90"/>
      <c r="M64" s="54"/>
    </row>
    <row r="65" spans="1:13" x14ac:dyDescent="0.15">
      <c r="A65" s="77"/>
      <c r="B65" s="78"/>
      <c r="C65" s="79"/>
      <c r="D65" s="79"/>
      <c r="E65" s="83"/>
      <c r="F65" s="79"/>
      <c r="G65" s="79"/>
      <c r="H65" s="81"/>
      <c r="I65" s="92"/>
      <c r="J65" s="80"/>
      <c r="K65" s="89"/>
      <c r="L65" s="90"/>
      <c r="M65" s="54"/>
    </row>
    <row r="66" spans="1:13" x14ac:dyDescent="0.15">
      <c r="A66" s="77"/>
      <c r="B66" s="78"/>
      <c r="C66" s="79"/>
      <c r="D66" s="79"/>
      <c r="E66" s="83"/>
      <c r="F66" s="79"/>
      <c r="G66" s="79"/>
      <c r="H66" s="81"/>
      <c r="I66" s="92"/>
      <c r="J66" s="80"/>
      <c r="K66" s="89"/>
      <c r="L66" s="90"/>
      <c r="M66" s="54"/>
    </row>
    <row r="67" spans="1:13" x14ac:dyDescent="0.15">
      <c r="A67" s="77"/>
      <c r="B67" s="78"/>
      <c r="C67" s="79"/>
      <c r="D67" s="79"/>
      <c r="E67" s="83"/>
      <c r="F67" s="79"/>
      <c r="G67" s="79"/>
      <c r="H67" s="81"/>
      <c r="I67" s="92"/>
      <c r="J67" s="80"/>
      <c r="K67" s="89"/>
      <c r="L67" s="90"/>
      <c r="M67" s="54"/>
    </row>
    <row r="68" spans="1:13" x14ac:dyDescent="0.15">
      <c r="A68" s="77"/>
      <c r="B68" s="78"/>
      <c r="C68" s="79"/>
      <c r="D68" s="79"/>
      <c r="E68" s="83"/>
      <c r="F68" s="79"/>
      <c r="G68" s="79"/>
      <c r="H68" s="81"/>
      <c r="I68" s="92"/>
      <c r="J68" s="80"/>
      <c r="K68" s="89"/>
      <c r="L68" s="90"/>
      <c r="M68" s="54"/>
    </row>
    <row r="69" spans="1:13" x14ac:dyDescent="0.15">
      <c r="A69" s="77"/>
      <c r="B69" s="78"/>
      <c r="C69" s="79"/>
      <c r="D69" s="79"/>
      <c r="E69" s="83"/>
      <c r="F69" s="79"/>
      <c r="G69" s="79"/>
      <c r="H69" s="81"/>
      <c r="I69" s="92"/>
      <c r="J69" s="80"/>
      <c r="K69" s="89"/>
      <c r="L69" s="90"/>
      <c r="M69" s="54"/>
    </row>
    <row r="70" spans="1:13" x14ac:dyDescent="0.15">
      <c r="A70" s="77"/>
      <c r="B70" s="78"/>
      <c r="C70" s="79"/>
      <c r="D70" s="79"/>
      <c r="E70" s="83"/>
      <c r="F70" s="79"/>
      <c r="G70" s="79"/>
      <c r="H70" s="81"/>
      <c r="I70" s="92"/>
      <c r="J70" s="80"/>
      <c r="K70" s="89"/>
      <c r="L70" s="90"/>
      <c r="M70" s="54"/>
    </row>
    <row r="71" spans="1:13" x14ac:dyDescent="0.15">
      <c r="A71" s="77"/>
      <c r="B71" s="78"/>
      <c r="C71" s="79"/>
      <c r="D71" s="79"/>
      <c r="E71" s="83"/>
      <c r="F71" s="79"/>
      <c r="G71" s="79"/>
      <c r="H71" s="81"/>
      <c r="I71" s="92"/>
      <c r="J71" s="80"/>
      <c r="K71" s="89"/>
      <c r="L71" s="90"/>
      <c r="M71" s="54"/>
    </row>
    <row r="72" spans="1:13" x14ac:dyDescent="0.15">
      <c r="A72" s="77"/>
      <c r="B72" s="78"/>
      <c r="C72" s="79"/>
      <c r="D72" s="79"/>
      <c r="E72" s="83"/>
      <c r="F72" s="79"/>
      <c r="G72" s="79"/>
      <c r="H72" s="81"/>
      <c r="I72" s="92"/>
      <c r="J72" s="80"/>
      <c r="K72" s="89"/>
      <c r="L72" s="90"/>
      <c r="M72" s="54"/>
    </row>
    <row r="73" spans="1:13" x14ac:dyDescent="0.15">
      <c r="A73" s="77"/>
      <c r="B73" s="78"/>
      <c r="C73" s="79"/>
      <c r="D73" s="79"/>
      <c r="E73" s="83"/>
      <c r="F73" s="79"/>
      <c r="G73" s="79"/>
      <c r="H73" s="81"/>
      <c r="I73" s="92"/>
      <c r="J73" s="80"/>
      <c r="K73" s="89"/>
      <c r="L73" s="90"/>
      <c r="M73" s="54"/>
    </row>
    <row r="74" spans="1:13" x14ac:dyDescent="0.15">
      <c r="A74" s="77"/>
      <c r="B74" s="78"/>
      <c r="C74" s="79"/>
      <c r="D74" s="79"/>
      <c r="E74" s="83"/>
      <c r="F74" s="79"/>
      <c r="G74" s="79"/>
      <c r="H74" s="81"/>
      <c r="I74" s="92"/>
      <c r="J74" s="80"/>
      <c r="K74" s="89"/>
      <c r="L74" s="90"/>
      <c r="M74" s="54"/>
    </row>
    <row r="75" spans="1:13" x14ac:dyDescent="0.15">
      <c r="A75" s="77"/>
      <c r="B75" s="78"/>
      <c r="C75" s="79"/>
      <c r="D75" s="79"/>
      <c r="E75" s="83"/>
      <c r="F75" s="79"/>
      <c r="G75" s="79"/>
      <c r="H75" s="81"/>
      <c r="I75" s="92"/>
      <c r="J75" s="80"/>
      <c r="K75" s="89"/>
      <c r="L75" s="90"/>
      <c r="M75" s="54"/>
    </row>
    <row r="76" spans="1:13" x14ac:dyDescent="0.15">
      <c r="A76" s="77"/>
      <c r="B76" s="78"/>
      <c r="C76" s="79"/>
      <c r="D76" s="79"/>
      <c r="E76" s="83"/>
      <c r="F76" s="79"/>
      <c r="G76" s="79"/>
      <c r="H76" s="81"/>
      <c r="I76" s="92"/>
      <c r="J76" s="80"/>
      <c r="K76" s="89"/>
      <c r="L76" s="90"/>
      <c r="M76" s="54"/>
    </row>
    <row r="77" spans="1:13" x14ac:dyDescent="0.15">
      <c r="A77" s="77"/>
      <c r="B77" s="78"/>
      <c r="C77" s="79"/>
      <c r="D77" s="79"/>
      <c r="E77" s="83"/>
      <c r="F77" s="79"/>
      <c r="G77" s="79"/>
      <c r="H77" s="81"/>
      <c r="I77" s="92"/>
      <c r="J77" s="80"/>
      <c r="K77" s="89"/>
      <c r="L77" s="90"/>
      <c r="M77" s="54"/>
    </row>
    <row r="78" spans="1:13" x14ac:dyDescent="0.15">
      <c r="A78" s="77"/>
      <c r="B78" s="78"/>
      <c r="C78" s="79"/>
      <c r="D78" s="79"/>
      <c r="E78" s="83"/>
      <c r="F78" s="79"/>
      <c r="G78" s="79"/>
      <c r="H78" s="81"/>
      <c r="I78" s="92"/>
      <c r="J78" s="80"/>
      <c r="K78" s="89"/>
      <c r="L78" s="90"/>
      <c r="M78" s="54"/>
    </row>
    <row r="79" spans="1:13" x14ac:dyDescent="0.15">
      <c r="A79" s="77"/>
      <c r="B79" s="78"/>
      <c r="C79" s="79"/>
      <c r="D79" s="79"/>
      <c r="E79" s="83"/>
      <c r="F79" s="79"/>
      <c r="G79" s="79"/>
      <c r="H79" s="81"/>
      <c r="I79" s="92"/>
      <c r="J79" s="80"/>
      <c r="K79" s="89"/>
      <c r="L79" s="90"/>
      <c r="M79" s="54"/>
    </row>
    <row r="80" spans="1:13" x14ac:dyDescent="0.15">
      <c r="A80" s="77"/>
      <c r="B80" s="78"/>
      <c r="C80" s="79"/>
      <c r="D80" s="79"/>
      <c r="E80" s="83"/>
      <c r="F80" s="79"/>
      <c r="G80" s="79"/>
      <c r="H80" s="81"/>
      <c r="I80" s="92"/>
      <c r="J80" s="80"/>
      <c r="K80" s="89"/>
      <c r="L80" s="90"/>
      <c r="M80" s="54"/>
    </row>
    <row r="81" spans="1:13" x14ac:dyDescent="0.15">
      <c r="A81" s="77"/>
      <c r="B81" s="78"/>
      <c r="C81" s="79"/>
      <c r="D81" s="79"/>
      <c r="E81" s="83"/>
      <c r="F81" s="79"/>
      <c r="G81" s="79"/>
      <c r="H81" s="81"/>
      <c r="I81" s="92"/>
      <c r="J81" s="80"/>
      <c r="K81" s="89"/>
      <c r="L81" s="90"/>
      <c r="M81" s="54"/>
    </row>
    <row r="82" spans="1:13" x14ac:dyDescent="0.15">
      <c r="A82" s="77"/>
      <c r="B82" s="78"/>
      <c r="C82" s="79"/>
      <c r="D82" s="79"/>
      <c r="E82" s="83"/>
      <c r="F82" s="79"/>
      <c r="G82" s="79"/>
      <c r="H82" s="81"/>
      <c r="I82" s="92"/>
      <c r="J82" s="80"/>
      <c r="K82" s="89"/>
      <c r="L82" s="90"/>
      <c r="M82" s="54"/>
    </row>
    <row r="83" spans="1:13" x14ac:dyDescent="0.15">
      <c r="A83" s="77"/>
      <c r="B83" s="78"/>
      <c r="C83" s="79"/>
      <c r="D83" s="79"/>
      <c r="E83" s="83"/>
      <c r="F83" s="79"/>
      <c r="G83" s="79"/>
      <c r="H83" s="81"/>
      <c r="I83" s="92"/>
      <c r="J83" s="80"/>
      <c r="K83" s="89"/>
      <c r="L83" s="90"/>
      <c r="M83" s="54"/>
    </row>
    <row r="84" spans="1:13" x14ac:dyDescent="0.15">
      <c r="A84" s="77"/>
      <c r="B84" s="78"/>
      <c r="C84" s="79"/>
      <c r="D84" s="79"/>
      <c r="E84" s="83"/>
      <c r="F84" s="79"/>
      <c r="G84" s="79"/>
      <c r="H84" s="81"/>
      <c r="I84" s="92"/>
      <c r="J84" s="80"/>
      <c r="K84" s="89"/>
      <c r="L84" s="90"/>
      <c r="M84" s="54"/>
    </row>
    <row r="85" spans="1:13" x14ac:dyDescent="0.15">
      <c r="A85" s="77"/>
      <c r="B85" s="78"/>
      <c r="C85" s="79"/>
      <c r="D85" s="79"/>
      <c r="E85" s="83"/>
      <c r="F85" s="79"/>
      <c r="G85" s="79"/>
      <c r="H85" s="81"/>
      <c r="I85" s="92"/>
      <c r="J85" s="80"/>
      <c r="K85" s="89"/>
      <c r="L85" s="90"/>
      <c r="M85" s="54"/>
    </row>
    <row r="86" spans="1:13" x14ac:dyDescent="0.15">
      <c r="A86" s="77"/>
      <c r="B86" s="78"/>
      <c r="C86" s="79"/>
      <c r="D86" s="79"/>
      <c r="E86" s="83"/>
      <c r="F86" s="79"/>
      <c r="G86" s="79"/>
      <c r="H86" s="81"/>
      <c r="I86" s="92"/>
      <c r="J86" s="80"/>
      <c r="K86" s="89"/>
      <c r="L86" s="90"/>
      <c r="M86" s="54"/>
    </row>
    <row r="87" spans="1:13" x14ac:dyDescent="0.15">
      <c r="A87" s="77"/>
      <c r="B87" s="78"/>
      <c r="C87" s="79"/>
      <c r="D87" s="79"/>
      <c r="E87" s="83"/>
      <c r="F87" s="79"/>
      <c r="G87" s="79"/>
      <c r="H87" s="81"/>
      <c r="I87" s="92"/>
      <c r="J87" s="80"/>
      <c r="K87" s="89"/>
      <c r="L87" s="90"/>
      <c r="M87" s="54"/>
    </row>
    <row r="88" spans="1:13" x14ac:dyDescent="0.15">
      <c r="A88" s="77"/>
      <c r="B88" s="78"/>
      <c r="C88" s="79"/>
      <c r="D88" s="79"/>
      <c r="E88" s="83"/>
      <c r="F88" s="79"/>
      <c r="G88" s="79"/>
      <c r="H88" s="81"/>
      <c r="I88" s="92"/>
      <c r="J88" s="80"/>
      <c r="K88" s="89"/>
      <c r="L88" s="90"/>
      <c r="M88" s="54"/>
    </row>
    <row r="89" spans="1:13" x14ac:dyDescent="0.15">
      <c r="A89" s="77"/>
      <c r="B89" s="78"/>
      <c r="C89" s="79"/>
      <c r="D89" s="79"/>
      <c r="E89" s="83"/>
      <c r="F89" s="79"/>
      <c r="G89" s="79"/>
      <c r="H89" s="81"/>
      <c r="I89" s="92"/>
      <c r="J89" s="80"/>
      <c r="K89" s="89"/>
      <c r="L89" s="90"/>
      <c r="M89" s="54"/>
    </row>
    <row r="90" spans="1:13" x14ac:dyDescent="0.15">
      <c r="A90" s="77"/>
      <c r="B90" s="78"/>
      <c r="C90" s="79"/>
      <c r="D90" s="79"/>
      <c r="E90" s="83"/>
      <c r="F90" s="79"/>
      <c r="G90" s="79"/>
      <c r="H90" s="81"/>
      <c r="I90" s="92"/>
      <c r="J90" s="80"/>
      <c r="K90" s="89"/>
      <c r="L90" s="90"/>
      <c r="M90" s="54"/>
    </row>
    <row r="91" spans="1:13" x14ac:dyDescent="0.15">
      <c r="A91" s="77"/>
      <c r="B91" s="78"/>
      <c r="C91" s="79"/>
      <c r="D91" s="79"/>
      <c r="E91" s="83"/>
      <c r="F91" s="79"/>
      <c r="G91" s="79"/>
      <c r="H91" s="81"/>
      <c r="I91" s="92"/>
      <c r="J91" s="80"/>
      <c r="K91" s="89"/>
      <c r="L91" s="90"/>
      <c r="M91" s="54"/>
    </row>
    <row r="92" spans="1:13" x14ac:dyDescent="0.15">
      <c r="A92" s="77"/>
      <c r="B92" s="78"/>
      <c r="C92" s="79"/>
      <c r="D92" s="79"/>
      <c r="E92" s="83"/>
      <c r="F92" s="79"/>
      <c r="G92" s="79"/>
      <c r="H92" s="81"/>
      <c r="I92" s="92"/>
      <c r="J92" s="80"/>
      <c r="K92" s="89"/>
      <c r="L92" s="90"/>
      <c r="M92" s="54"/>
    </row>
    <row r="93" spans="1:13" x14ac:dyDescent="0.15">
      <c r="A93" s="77"/>
      <c r="B93" s="78"/>
      <c r="C93" s="79"/>
      <c r="D93" s="79"/>
      <c r="E93" s="83"/>
      <c r="F93" s="79"/>
      <c r="G93" s="79"/>
      <c r="H93" s="81"/>
      <c r="J93" s="80"/>
      <c r="K93" s="89"/>
      <c r="L93" s="90"/>
      <c r="M93" s="54"/>
    </row>
    <row r="94" spans="1:13" x14ac:dyDescent="0.15">
      <c r="A94" s="77"/>
      <c r="B94" s="78"/>
      <c r="C94" s="79"/>
      <c r="D94" s="79"/>
      <c r="E94" s="83"/>
      <c r="F94" s="79"/>
      <c r="G94" s="79"/>
      <c r="H94" s="81"/>
      <c r="J94" s="80"/>
      <c r="K94" s="89"/>
      <c r="L94" s="90"/>
      <c r="M94" s="54"/>
    </row>
    <row r="95" spans="1:13" x14ac:dyDescent="0.15">
      <c r="A95" s="77"/>
      <c r="B95" s="78"/>
      <c r="C95" s="79"/>
      <c r="D95" s="79"/>
      <c r="E95" s="83"/>
      <c r="F95" s="79"/>
      <c r="G95" s="79"/>
      <c r="H95" s="81"/>
      <c r="J95" s="80"/>
      <c r="K95" s="89"/>
      <c r="L95" s="90"/>
      <c r="M95" s="54"/>
    </row>
    <row r="96" spans="1:13" x14ac:dyDescent="0.15">
      <c r="A96" s="77"/>
      <c r="B96" s="78"/>
      <c r="C96" s="79"/>
      <c r="D96" s="79"/>
      <c r="E96" s="83"/>
      <c r="F96" s="79"/>
      <c r="G96" s="79"/>
      <c r="H96" s="81"/>
      <c r="J96" s="80"/>
      <c r="K96" s="89"/>
      <c r="L96" s="90"/>
      <c r="M96" s="54"/>
    </row>
    <row r="97" spans="1:13" x14ac:dyDescent="0.15">
      <c r="A97" s="77"/>
      <c r="B97" s="78"/>
      <c r="C97" s="79"/>
      <c r="D97" s="79"/>
      <c r="E97" s="83"/>
      <c r="F97" s="79"/>
      <c r="G97" s="79"/>
      <c r="H97" s="81"/>
      <c r="J97" s="80"/>
      <c r="K97" s="89"/>
      <c r="L97" s="90"/>
      <c r="M97" s="54"/>
    </row>
    <row r="98" spans="1:13" x14ac:dyDescent="0.15">
      <c r="A98" s="77"/>
      <c r="B98" s="78"/>
      <c r="C98" s="79"/>
      <c r="D98" s="79"/>
      <c r="E98" s="83"/>
      <c r="F98" s="79"/>
      <c r="G98" s="79"/>
      <c r="H98" s="81"/>
      <c r="J98" s="80"/>
      <c r="K98" s="89"/>
      <c r="L98" s="90"/>
      <c r="M98" s="54"/>
    </row>
    <row r="99" spans="1:13" x14ac:dyDescent="0.15">
      <c r="A99" s="77"/>
      <c r="B99" s="78"/>
      <c r="C99" s="79"/>
      <c r="D99" s="79"/>
      <c r="E99" s="83"/>
      <c r="F99" s="79"/>
      <c r="G99" s="79"/>
      <c r="H99" s="81"/>
      <c r="J99" s="80"/>
      <c r="K99" s="89"/>
      <c r="L99" s="90"/>
      <c r="M99" s="54"/>
    </row>
    <row r="100" spans="1:13" x14ac:dyDescent="0.15">
      <c r="A100" s="77"/>
      <c r="B100" s="78"/>
      <c r="C100" s="79"/>
      <c r="D100" s="79"/>
      <c r="E100" s="83"/>
      <c r="F100" s="79"/>
      <c r="G100" s="79"/>
      <c r="H100" s="81"/>
      <c r="J100" s="80"/>
      <c r="K100" s="89"/>
      <c r="L100" s="90"/>
      <c r="M100" s="54"/>
    </row>
    <row r="101" spans="1:13" x14ac:dyDescent="0.15">
      <c r="A101" s="77"/>
      <c r="B101" s="78"/>
      <c r="C101" s="79"/>
      <c r="D101" s="79"/>
      <c r="E101" s="83"/>
      <c r="F101" s="79"/>
      <c r="G101" s="79"/>
      <c r="H101" s="81"/>
      <c r="J101" s="80"/>
      <c r="K101" s="89"/>
      <c r="L101" s="90"/>
      <c r="M101" s="54"/>
    </row>
    <row r="102" spans="1:13" x14ac:dyDescent="0.15">
      <c r="A102" s="77"/>
      <c r="B102" s="78"/>
      <c r="C102" s="79"/>
      <c r="D102" s="79"/>
      <c r="E102" s="83"/>
      <c r="F102" s="79"/>
      <c r="G102" s="79"/>
      <c r="H102" s="81"/>
      <c r="J102" s="80"/>
      <c r="K102" s="89"/>
      <c r="L102" s="90"/>
      <c r="M102" s="54"/>
    </row>
    <row r="103" spans="1:13" x14ac:dyDescent="0.15">
      <c r="A103" s="77"/>
      <c r="B103" s="78"/>
      <c r="C103" s="79"/>
      <c r="D103" s="79"/>
      <c r="E103" s="83"/>
      <c r="F103" s="79"/>
      <c r="G103" s="79"/>
      <c r="H103" s="81"/>
      <c r="J103" s="80"/>
      <c r="K103" s="89"/>
      <c r="L103" s="90"/>
      <c r="M103" s="54"/>
    </row>
    <row r="104" spans="1:13" x14ac:dyDescent="0.15">
      <c r="A104" s="77"/>
      <c r="B104" s="78"/>
      <c r="C104" s="79"/>
      <c r="D104" s="79"/>
      <c r="E104" s="83"/>
      <c r="F104" s="79"/>
      <c r="G104" s="79"/>
      <c r="H104" s="81"/>
      <c r="J104" s="80"/>
      <c r="K104" s="89"/>
      <c r="L104" s="90"/>
      <c r="M104" s="54"/>
    </row>
    <row r="105" spans="1:13" x14ac:dyDescent="0.15">
      <c r="A105" s="77"/>
      <c r="B105" s="78"/>
      <c r="C105" s="79"/>
      <c r="D105" s="79"/>
      <c r="E105" s="83"/>
      <c r="F105" s="79"/>
      <c r="G105" s="79"/>
      <c r="H105" s="81"/>
      <c r="J105" s="80"/>
      <c r="K105" s="89"/>
      <c r="L105" s="90"/>
      <c r="M105" s="54"/>
    </row>
    <row r="106" spans="1:13" x14ac:dyDescent="0.15">
      <c r="A106" s="77"/>
      <c r="B106" s="78"/>
      <c r="C106" s="79"/>
      <c r="D106" s="79"/>
      <c r="E106" s="83"/>
      <c r="F106" s="79"/>
      <c r="G106" s="79"/>
      <c r="H106" s="81"/>
      <c r="J106" s="80"/>
      <c r="K106" s="89"/>
      <c r="L106" s="90"/>
      <c r="M106" s="54"/>
    </row>
    <row r="107" spans="1:13" x14ac:dyDescent="0.15">
      <c r="A107" s="77"/>
      <c r="B107" s="78"/>
      <c r="C107" s="79"/>
      <c r="D107" s="79"/>
      <c r="E107" s="83"/>
      <c r="F107" s="79"/>
      <c r="G107" s="79"/>
      <c r="H107" s="81"/>
      <c r="J107" s="80"/>
      <c r="K107" s="89"/>
      <c r="L107" s="90"/>
      <c r="M107" s="54"/>
    </row>
    <row r="108" spans="1:13" x14ac:dyDescent="0.15">
      <c r="A108" s="77"/>
      <c r="B108" s="78"/>
      <c r="C108" s="79"/>
      <c r="D108" s="79"/>
      <c r="E108" s="83"/>
      <c r="F108" s="79"/>
      <c r="G108" s="79"/>
      <c r="H108" s="81"/>
      <c r="J108" s="80"/>
      <c r="K108" s="89"/>
      <c r="L108" s="90"/>
      <c r="M108" s="54"/>
    </row>
    <row r="109" spans="1:13" x14ac:dyDescent="0.15">
      <c r="A109" s="77"/>
      <c r="B109" s="78"/>
      <c r="C109" s="79"/>
      <c r="D109" s="79"/>
      <c r="E109" s="83"/>
      <c r="F109" s="79"/>
      <c r="G109" s="79"/>
      <c r="H109" s="81"/>
      <c r="J109" s="80"/>
      <c r="K109" s="89"/>
      <c r="L109" s="90"/>
      <c r="M109" s="54"/>
    </row>
    <row r="110" spans="1:13" x14ac:dyDescent="0.15">
      <c r="A110" s="77"/>
      <c r="B110" s="78"/>
      <c r="C110" s="79"/>
      <c r="D110" s="79"/>
      <c r="E110" s="83"/>
      <c r="F110" s="79"/>
      <c r="G110" s="79"/>
      <c r="H110" s="81"/>
      <c r="J110" s="80"/>
      <c r="K110" s="89"/>
      <c r="L110" s="90"/>
      <c r="M110" s="54"/>
    </row>
    <row r="111" spans="1:13" x14ac:dyDescent="0.15">
      <c r="A111" s="77"/>
      <c r="B111" s="78"/>
      <c r="C111" s="79"/>
      <c r="D111" s="79"/>
      <c r="E111" s="83"/>
      <c r="F111" s="79"/>
      <c r="G111" s="79"/>
      <c r="H111" s="81"/>
      <c r="J111" s="80"/>
      <c r="K111" s="89"/>
      <c r="L111" s="90"/>
      <c r="M111" s="54"/>
    </row>
    <row r="112" spans="1:13" x14ac:dyDescent="0.15">
      <c r="A112" s="77"/>
      <c r="B112" s="78"/>
      <c r="C112" s="79"/>
      <c r="D112" s="79"/>
      <c r="E112" s="83"/>
      <c r="F112" s="79"/>
      <c r="G112" s="79"/>
      <c r="H112" s="81"/>
      <c r="J112" s="80"/>
      <c r="K112" s="89"/>
      <c r="L112" s="90"/>
      <c r="M112" s="54"/>
    </row>
    <row r="113" spans="1:13" x14ac:dyDescent="0.15">
      <c r="A113" s="77"/>
      <c r="B113" s="78"/>
      <c r="C113" s="79"/>
      <c r="D113" s="79"/>
      <c r="E113" s="83"/>
      <c r="F113" s="79"/>
      <c r="G113" s="79"/>
      <c r="H113" s="81"/>
      <c r="J113" s="80"/>
      <c r="K113" s="89"/>
      <c r="L113" s="90"/>
      <c r="M113" s="54"/>
    </row>
    <row r="114" spans="1:13" x14ac:dyDescent="0.15">
      <c r="A114" s="77"/>
      <c r="B114" s="78"/>
      <c r="C114" s="79"/>
      <c r="D114" s="79"/>
      <c r="E114" s="83"/>
      <c r="F114" s="79"/>
      <c r="G114" s="79"/>
      <c r="H114" s="81"/>
      <c r="J114" s="80"/>
      <c r="K114" s="89"/>
      <c r="L114" s="90"/>
      <c r="M114" s="54"/>
    </row>
    <row r="115" spans="1:13" x14ac:dyDescent="0.15">
      <c r="A115" s="77"/>
      <c r="B115" s="78"/>
      <c r="C115" s="79"/>
      <c r="D115" s="79"/>
      <c r="E115" s="83"/>
      <c r="F115" s="79"/>
      <c r="G115" s="79"/>
      <c r="H115" s="81"/>
      <c r="J115" s="80"/>
      <c r="K115" s="89"/>
      <c r="L115" s="90"/>
      <c r="M115" s="54"/>
    </row>
    <row r="116" spans="1:13" x14ac:dyDescent="0.15">
      <c r="A116" s="77"/>
      <c r="B116" s="78"/>
      <c r="C116" s="79"/>
      <c r="D116" s="79"/>
      <c r="E116" s="83"/>
      <c r="F116" s="79"/>
      <c r="G116" s="79"/>
      <c r="H116" s="81"/>
      <c r="J116" s="80"/>
      <c r="K116" s="89"/>
      <c r="L116" s="90"/>
      <c r="M116" s="54"/>
    </row>
    <row r="117" spans="1:13" x14ac:dyDescent="0.15">
      <c r="A117" s="77"/>
      <c r="B117" s="78"/>
      <c r="C117" s="79"/>
      <c r="D117" s="79"/>
      <c r="E117" s="83"/>
      <c r="F117" s="79"/>
      <c r="G117" s="79"/>
      <c r="H117" s="81"/>
      <c r="J117" s="80"/>
      <c r="K117" s="89"/>
      <c r="L117" s="90"/>
      <c r="M117" s="54"/>
    </row>
    <row r="118" spans="1:13" x14ac:dyDescent="0.15">
      <c r="A118" s="77"/>
      <c r="B118" s="78"/>
      <c r="C118" s="79"/>
      <c r="D118" s="79"/>
      <c r="E118" s="83"/>
      <c r="F118" s="79"/>
      <c r="G118" s="79"/>
      <c r="H118" s="81"/>
      <c r="J118" s="80"/>
      <c r="K118" s="89"/>
      <c r="L118" s="90"/>
      <c r="M118" s="54"/>
    </row>
    <row r="119" spans="1:13" x14ac:dyDescent="0.15">
      <c r="A119" s="77"/>
      <c r="B119" s="78"/>
      <c r="C119" s="79"/>
      <c r="D119" s="79"/>
      <c r="E119" s="83"/>
      <c r="F119" s="79"/>
      <c r="G119" s="79"/>
      <c r="H119" s="81"/>
      <c r="J119" s="80"/>
      <c r="K119" s="89"/>
      <c r="L119" s="90"/>
      <c r="M119" s="54"/>
    </row>
    <row r="120" spans="1:13" x14ac:dyDescent="0.15">
      <c r="A120" s="77"/>
      <c r="B120" s="78"/>
      <c r="C120" s="79"/>
      <c r="D120" s="79"/>
      <c r="E120" s="83"/>
      <c r="F120" s="79"/>
      <c r="G120" s="79"/>
      <c r="H120" s="81"/>
      <c r="J120" s="80"/>
      <c r="K120" s="89"/>
      <c r="L120" s="90"/>
      <c r="M120" s="54"/>
    </row>
    <row r="121" spans="1:13" x14ac:dyDescent="0.15">
      <c r="A121" s="77"/>
      <c r="B121" s="78"/>
      <c r="C121" s="79"/>
      <c r="D121" s="79"/>
      <c r="E121" s="83"/>
      <c r="F121" s="79"/>
      <c r="G121" s="79"/>
      <c r="H121" s="81"/>
      <c r="J121" s="80"/>
      <c r="K121" s="89"/>
      <c r="L121" s="90"/>
      <c r="M121" s="54"/>
    </row>
    <row r="122" spans="1:13" x14ac:dyDescent="0.15">
      <c r="A122" s="77"/>
      <c r="B122" s="78"/>
      <c r="C122" s="79"/>
      <c r="D122" s="79"/>
      <c r="E122" s="83"/>
      <c r="F122" s="79"/>
      <c r="G122" s="79"/>
      <c r="H122" s="81"/>
      <c r="J122" s="80"/>
      <c r="K122" s="89"/>
      <c r="L122" s="90"/>
      <c r="M122" s="54"/>
    </row>
    <row r="123" spans="1:13" x14ac:dyDescent="0.15">
      <c r="A123" s="77"/>
      <c r="B123" s="78"/>
      <c r="C123" s="79"/>
      <c r="D123" s="79"/>
      <c r="E123" s="83"/>
      <c r="F123" s="79"/>
      <c r="G123" s="79"/>
      <c r="H123" s="81"/>
      <c r="J123" s="80"/>
      <c r="K123" s="89"/>
      <c r="L123" s="90"/>
      <c r="M123" s="54"/>
    </row>
    <row r="124" spans="1:13" x14ac:dyDescent="0.15">
      <c r="A124" s="77"/>
      <c r="B124" s="78"/>
      <c r="C124" s="79"/>
      <c r="D124" s="79"/>
      <c r="E124" s="83"/>
      <c r="F124" s="79"/>
      <c r="G124" s="79"/>
      <c r="H124" s="81"/>
      <c r="J124" s="80"/>
      <c r="K124" s="89"/>
      <c r="L124" s="90"/>
      <c r="M124" s="54"/>
    </row>
    <row r="125" spans="1:13" x14ac:dyDescent="0.15">
      <c r="A125" s="77"/>
      <c r="B125" s="78"/>
      <c r="C125" s="79"/>
      <c r="D125" s="79"/>
      <c r="E125" s="83"/>
      <c r="F125" s="79"/>
      <c r="G125" s="79"/>
      <c r="H125" s="81"/>
      <c r="J125" s="80"/>
      <c r="K125" s="89"/>
      <c r="L125" s="90"/>
      <c r="M125" s="54"/>
    </row>
    <row r="126" spans="1:13" x14ac:dyDescent="0.15">
      <c r="A126" s="77"/>
      <c r="B126" s="78"/>
      <c r="C126" s="79"/>
      <c r="D126" s="79"/>
      <c r="E126" s="83"/>
      <c r="F126" s="79"/>
      <c r="G126" s="79"/>
      <c r="H126" s="81"/>
      <c r="J126" s="80"/>
      <c r="K126" s="89"/>
      <c r="L126" s="90"/>
      <c r="M126" s="54"/>
    </row>
    <row r="127" spans="1:13" x14ac:dyDescent="0.15">
      <c r="A127" s="77"/>
      <c r="B127" s="78"/>
      <c r="C127" s="79"/>
      <c r="D127" s="79"/>
      <c r="E127" s="83"/>
      <c r="F127" s="79"/>
      <c r="G127" s="79"/>
      <c r="H127" s="81"/>
      <c r="J127" s="80"/>
      <c r="K127" s="89"/>
      <c r="L127" s="90"/>
      <c r="M127" s="54"/>
    </row>
    <row r="128" spans="1:13" x14ac:dyDescent="0.15">
      <c r="A128" s="77"/>
      <c r="B128" s="78"/>
      <c r="C128" s="79"/>
      <c r="D128" s="79"/>
      <c r="E128" s="83"/>
      <c r="F128" s="79"/>
      <c r="G128" s="79"/>
      <c r="H128" s="81"/>
      <c r="J128" s="80"/>
      <c r="K128" s="89"/>
      <c r="L128" s="90"/>
      <c r="M128" s="54"/>
    </row>
    <row r="129" spans="1:13" x14ac:dyDescent="0.15">
      <c r="A129" s="77"/>
      <c r="B129" s="78"/>
      <c r="C129" s="79"/>
      <c r="D129" s="79"/>
      <c r="E129" s="83"/>
      <c r="F129" s="79"/>
      <c r="G129" s="79"/>
      <c r="H129" s="81"/>
      <c r="J129" s="80"/>
      <c r="K129" s="89"/>
      <c r="L129" s="90"/>
      <c r="M129" s="54"/>
    </row>
    <row r="130" spans="1:13" x14ac:dyDescent="0.15">
      <c r="A130" s="77"/>
      <c r="B130" s="78"/>
      <c r="C130" s="79"/>
      <c r="D130" s="79"/>
      <c r="E130" s="83"/>
      <c r="F130" s="79"/>
      <c r="G130" s="79"/>
      <c r="H130" s="81"/>
      <c r="J130" s="80"/>
      <c r="K130" s="89"/>
      <c r="L130" s="90"/>
      <c r="M130" s="54"/>
    </row>
    <row r="131" spans="1:13" x14ac:dyDescent="0.15">
      <c r="A131" s="77"/>
      <c r="B131" s="78"/>
      <c r="C131" s="79"/>
      <c r="D131" s="79"/>
      <c r="E131" s="83"/>
      <c r="F131" s="79"/>
      <c r="G131" s="79"/>
      <c r="H131" s="81"/>
      <c r="J131" s="80"/>
      <c r="K131" s="89"/>
      <c r="L131" s="90"/>
      <c r="M131" s="54"/>
    </row>
    <row r="132" spans="1:13" x14ac:dyDescent="0.15">
      <c r="A132" s="77"/>
      <c r="B132" s="78"/>
      <c r="C132" s="79"/>
      <c r="D132" s="79"/>
      <c r="E132" s="83"/>
      <c r="F132" s="79"/>
      <c r="G132" s="79"/>
      <c r="H132" s="81"/>
      <c r="J132" s="80"/>
      <c r="K132" s="89"/>
      <c r="L132" s="90"/>
      <c r="M132" s="54"/>
    </row>
    <row r="133" spans="1:13" x14ac:dyDescent="0.15">
      <c r="A133" s="77"/>
      <c r="B133" s="78"/>
      <c r="C133" s="79"/>
      <c r="D133" s="79"/>
      <c r="E133" s="83"/>
      <c r="F133" s="79"/>
      <c r="G133" s="79"/>
      <c r="H133" s="81"/>
      <c r="J133" s="80"/>
      <c r="K133" s="89"/>
      <c r="L133" s="90"/>
      <c r="M133" s="54"/>
    </row>
  </sheetData>
  <phoneticPr fontId="5"/>
  <dataValidations count="1">
    <dataValidation type="list" allowBlank="1" showInputMessage="1" showErrorMessage="1" sqref="A2:A133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3"/>
  <sheetViews>
    <sheetView showGridLines="0" tabSelected="1" workbookViewId="0">
      <pane ySplit="1" topLeftCell="A2" activePane="bottomLeft" state="frozen"/>
      <selection pane="bottomLeft" activeCell="L18" sqref="L18"/>
    </sheetView>
  </sheetViews>
  <sheetFormatPr baseColWidth="12" defaultColWidth="13" defaultRowHeight="15" outlineLevelCol="1" x14ac:dyDescent="0.15"/>
  <cols>
    <col min="1" max="1" width="13" style="84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1" width="11.1640625" customWidth="1"/>
    <col min="12" max="12" width="18.83203125" bestFit="1" customWidth="1"/>
    <col min="13" max="13" width="42.6640625" customWidth="1"/>
  </cols>
  <sheetData>
    <row r="1" spans="1:14" x14ac:dyDescent="0.15">
      <c r="A1" s="72" t="s">
        <v>189</v>
      </c>
      <c r="B1" s="69" t="s">
        <v>151</v>
      </c>
      <c r="C1" s="73" t="s">
        <v>191</v>
      </c>
      <c r="D1" s="73" t="s">
        <v>33</v>
      </c>
      <c r="E1" s="69" t="s">
        <v>192</v>
      </c>
      <c r="F1" s="73" t="s">
        <v>18</v>
      </c>
      <c r="G1" s="73" t="s">
        <v>33</v>
      </c>
      <c r="H1" s="69" t="s">
        <v>194</v>
      </c>
      <c r="I1" s="85" t="s">
        <v>195</v>
      </c>
      <c r="J1" s="87" t="s">
        <v>196</v>
      </c>
      <c r="K1" s="75" t="s">
        <v>127</v>
      </c>
      <c r="L1" s="74" t="s">
        <v>188</v>
      </c>
      <c r="M1" s="88" t="s">
        <v>187</v>
      </c>
      <c r="N1" s="76" t="s">
        <v>197</v>
      </c>
    </row>
    <row r="2" spans="1:14" ht="70" x14ac:dyDescent="0.15">
      <c r="A2" s="77" t="s">
        <v>198</v>
      </c>
      <c r="B2" s="78">
        <f>floors!$C$2</f>
        <v>11229</v>
      </c>
      <c r="C2" s="79" t="str">
        <f ca="1">VLOOKUP($B2,OFFSET([2]quests!$A$1,0,0,COUNTA([2]quests!$A:$A),MATCH(C$1,[2]quests!$1:$1,0)-MATCH($B$1,[2]quests!$1:$1,0)+1),MATCH(C$1,[2]quests!$1:$1,0)-MATCH($B$1,[2]quests!$1:$1,0)+1,FALSE)</f>
        <v>ホワイトデー★特別クエスト</v>
      </c>
      <c r="D2" s="79" t="str">
        <f ca="1">VLOOKUP($B2,OFFSET([2]quests!$A$1,0,0,COUNTA([2]quests!$A:$A),MATCH(D$1,[2]quests!$1:$1,0)-MATCH($B$1,[2]quests!$1:$1,0)+1),MATCH(D$1,[2]quests!$1:$1,0)-MATCH($B$1,[2]quests!$1:$1,0)+1,FALSE)</f>
        <v>2016年ホワイトデークエスト復刻</v>
      </c>
      <c r="E2" s="80">
        <v>1</v>
      </c>
      <c r="F2" s="79" t="str">
        <f ca="1">VLOOKUP($B2&amp;"_"&amp;$E2,OFFSET([2]stages!$A$1,0,0,COUNTA([2]stages!$A:$A),MATCH(F$1,[2]stages!$2:$2,0)-MATCH("temp_stage",[2]stages!$2:$2,0)+1),MATCH(F$1,[2]stages!$2:$2,0)-MATCH("temp_stage",[2]stages!$2:$2,0)+1,FALSE)</f>
        <v>【ストーリー】ホワイトデー独騒曲</v>
      </c>
      <c r="G2" s="79" t="str">
        <f ca="1">VLOOKUP($B2&amp;"_"&amp;$E2,OFFSET([2]stages!$A$1,0,0,COUNTA([2]stages!$A:$A),MATCH(G$1,[2]stages!$2:$2,0)-MATCH("temp_stage",[2]stages!$2:$2,0)+1),MATCH(G$1,[2]stages!$2:$2,0)-MATCH("temp_stage",[2]stages!$2:$2,0)+1,FALSE)</f>
        <v>2016年ホワイトデークエスト復刻</v>
      </c>
      <c r="H2" s="81">
        <v>5</v>
      </c>
      <c r="I2" s="86">
        <f>ROW()-1</f>
        <v>1</v>
      </c>
      <c r="J2" s="82" t="str">
        <f>B2&amp;TEXT(I2,"00")</f>
        <v>1122901</v>
      </c>
      <c r="K2" s="80" t="s">
        <v>199</v>
      </c>
      <c r="L2" s="83" t="s">
        <v>273</v>
      </c>
      <c r="M2" s="95" t="s">
        <v>310</v>
      </c>
      <c r="N2" s="54" t="s">
        <v>200</v>
      </c>
    </row>
    <row r="3" spans="1:14" ht="75" x14ac:dyDescent="0.15">
      <c r="A3" s="77" t="s">
        <v>201</v>
      </c>
      <c r="B3" s="78">
        <f>floors!$C$2</f>
        <v>11229</v>
      </c>
      <c r="C3" s="79" t="str">
        <f ca="1">VLOOKUP($B3,OFFSET([2]quests!$A$1,0,0,COUNTA([2]quests!$A:$A),MATCH(C$1,[2]quests!$1:$1,0)-MATCH($B$1,[2]quests!$1:$1,0)+1),MATCH(C$1,[2]quests!$1:$1,0)-MATCH($B$1,[2]quests!$1:$1,0)+1,FALSE)</f>
        <v>ホワイトデー★特別クエスト</v>
      </c>
      <c r="D3" s="79" t="str">
        <f ca="1">VLOOKUP($B3,OFFSET([2]quests!$A$1,0,0,COUNTA([2]quests!$A:$A),MATCH(D$1,[2]quests!$1:$1,0)-MATCH($B$1,[2]quests!$1:$1,0)+1),MATCH(D$1,[2]quests!$1:$1,0)-MATCH($B$1,[2]quests!$1:$1,0)+1,FALSE)</f>
        <v>2016年ホワイトデークエスト復刻</v>
      </c>
      <c r="E3" s="80">
        <v>1</v>
      </c>
      <c r="F3" s="79" t="str">
        <f ca="1">VLOOKUP($B3&amp;"_"&amp;$E3,OFFSET([2]stages!$A$1,0,0,COUNTA([2]stages!$A:$A),MATCH(F$1,[2]stages!$2:$2,0)-MATCH("temp_stage",[2]stages!$2:$2,0)+1),MATCH(F$1,[2]stages!$2:$2,0)-MATCH("temp_stage",[2]stages!$2:$2,0)+1,FALSE)</f>
        <v>【ストーリー】ホワイトデー独騒曲</v>
      </c>
      <c r="G3" s="79" t="str">
        <f ca="1">VLOOKUP($B3&amp;"_"&amp;$E3,OFFSET([2]stages!$A$1,0,0,COUNTA([2]stages!$A:$A),MATCH(G$1,[2]stages!$2:$2,0)-MATCH("temp_stage",[2]stages!$2:$2,0)+1),MATCH(G$1,[2]stages!$2:$2,0)-MATCH("temp_stage",[2]stages!$2:$2,0)+1,FALSE)</f>
        <v>2016年ホワイトデークエスト復刻</v>
      </c>
      <c r="H3" s="81">
        <v>0</v>
      </c>
      <c r="I3" s="86">
        <f>ROW()-1</f>
        <v>2</v>
      </c>
      <c r="J3" s="82" t="str">
        <f>B3&amp;TEXT(I3,"00")</f>
        <v>1122902</v>
      </c>
      <c r="K3" s="80" t="s">
        <v>128</v>
      </c>
      <c r="L3" s="97" t="s">
        <v>311</v>
      </c>
      <c r="M3" s="96" t="s">
        <v>312</v>
      </c>
      <c r="N3" s="54" t="s">
        <v>200</v>
      </c>
    </row>
  </sheetData>
  <phoneticPr fontId="5"/>
  <dataValidations count="1">
    <dataValidation type="list" allowBlank="1" showInputMessage="1" showErrorMessage="1" sqref="A2:A3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2017-02-22T03:54:22Z</dcterms:modified>
</cp:coreProperties>
</file>