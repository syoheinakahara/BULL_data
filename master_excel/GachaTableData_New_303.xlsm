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760" yWindow="0" windowWidth="25600" windowHeight="16000" tabRatio="943" activeTab="3"/>
  </bookViews>
  <sheets>
    <sheet name="output" sheetId="103" r:id="rId1"/>
    <sheet name="gacha_303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gacha_303_base!$A$48:$B$74</definedName>
    <definedName name="_xlnm._FilterDatabase" localSheetId="4" hidden="1">gacha_bonus_tables!$B$1:$G$1</definedName>
    <definedName name="_xlnm._FilterDatabase" localSheetId="2" hidden="1">gacha_select_tables!$A$1:$S$419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1" i="96" l="1"/>
  <c r="L20" i="96"/>
  <c r="L17" i="96"/>
  <c r="L15" i="96"/>
  <c r="L13" i="96"/>
  <c r="L11" i="96"/>
  <c r="L10" i="96"/>
  <c r="L19" i="96"/>
  <c r="L18" i="96"/>
  <c r="L16" i="96"/>
  <c r="L14" i="96"/>
  <c r="L12" i="96"/>
  <c r="L3" i="96"/>
  <c r="L4" i="96"/>
  <c r="L5" i="96"/>
  <c r="L6" i="96"/>
  <c r="L7" i="96"/>
  <c r="L8" i="96"/>
  <c r="L9" i="96"/>
  <c r="L2" i="96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R21" i="96"/>
  <c r="Q21" i="96"/>
  <c r="P21" i="96"/>
  <c r="O21" i="96"/>
  <c r="N21" i="96"/>
  <c r="M21" i="96"/>
  <c r="K21" i="96"/>
  <c r="J21" i="96"/>
  <c r="I21" i="96"/>
  <c r="H21" i="96"/>
  <c r="F21" i="96"/>
  <c r="C21" i="96"/>
  <c r="H2" i="96"/>
  <c r="C2" i="96"/>
  <c r="F2" i="96"/>
  <c r="I2" i="96"/>
  <c r="J2" i="96"/>
  <c r="K2" i="96"/>
  <c r="M2" i="96"/>
  <c r="N2" i="96"/>
  <c r="O2" i="96"/>
  <c r="P2" i="96"/>
  <c r="Q2" i="96"/>
  <c r="R2" i="96"/>
  <c r="H3" i="96"/>
  <c r="C3" i="96"/>
  <c r="F3" i="96"/>
  <c r="I3" i="96"/>
  <c r="J3" i="96"/>
  <c r="K3" i="96"/>
  <c r="M3" i="96"/>
  <c r="N3" i="96"/>
  <c r="O3" i="96"/>
  <c r="P3" i="96"/>
  <c r="Q3" i="96"/>
  <c r="R3" i="96"/>
  <c r="H4" i="96"/>
  <c r="C4" i="96"/>
  <c r="F4" i="96"/>
  <c r="I4" i="96"/>
  <c r="J4" i="96"/>
  <c r="K4" i="96"/>
  <c r="M4" i="96"/>
  <c r="N4" i="96"/>
  <c r="O4" i="96"/>
  <c r="P4" i="96"/>
  <c r="Q4" i="96"/>
  <c r="R4" i="96"/>
  <c r="H5" i="96"/>
  <c r="C5" i="96"/>
  <c r="F5" i="96"/>
  <c r="I5" i="96"/>
  <c r="J5" i="96"/>
  <c r="K5" i="96"/>
  <c r="M5" i="96"/>
  <c r="N5" i="96"/>
  <c r="O5" i="96"/>
  <c r="P5" i="96"/>
  <c r="Q5" i="96"/>
  <c r="R5" i="96"/>
  <c r="H6" i="96"/>
  <c r="C6" i="96"/>
  <c r="F6" i="96"/>
  <c r="I6" i="96"/>
  <c r="J6" i="96"/>
  <c r="K6" i="96"/>
  <c r="M6" i="96"/>
  <c r="N6" i="96"/>
  <c r="O6" i="96"/>
  <c r="P6" i="96"/>
  <c r="Q6" i="96"/>
  <c r="R6" i="96"/>
  <c r="H7" i="96"/>
  <c r="C7" i="96"/>
  <c r="F7" i="96"/>
  <c r="I7" i="96"/>
  <c r="J7" i="96"/>
  <c r="K7" i="96"/>
  <c r="M7" i="96"/>
  <c r="N7" i="96"/>
  <c r="O7" i="96"/>
  <c r="P7" i="96"/>
  <c r="Q7" i="96"/>
  <c r="R7" i="96"/>
  <c r="H8" i="96"/>
  <c r="C8" i="96"/>
  <c r="F8" i="96"/>
  <c r="I8" i="96"/>
  <c r="J8" i="96"/>
  <c r="K8" i="96"/>
  <c r="M8" i="96"/>
  <c r="N8" i="96"/>
  <c r="O8" i="96"/>
  <c r="P8" i="96"/>
  <c r="Q8" i="96"/>
  <c r="R8" i="96"/>
  <c r="H9" i="96"/>
  <c r="C9" i="96"/>
  <c r="F9" i="96"/>
  <c r="I9" i="96"/>
  <c r="J9" i="96"/>
  <c r="K9" i="96"/>
  <c r="M9" i="96"/>
  <c r="N9" i="96"/>
  <c r="O9" i="96"/>
  <c r="P9" i="96"/>
  <c r="Q9" i="96"/>
  <c r="R9" i="96"/>
  <c r="H10" i="96"/>
  <c r="C10" i="96"/>
  <c r="F10" i="96"/>
  <c r="I10" i="96"/>
  <c r="J10" i="96"/>
  <c r="K10" i="96"/>
  <c r="M10" i="96"/>
  <c r="N10" i="96"/>
  <c r="O10" i="96"/>
  <c r="P10" i="96"/>
  <c r="Q10" i="96"/>
  <c r="R10" i="96"/>
  <c r="H11" i="96"/>
  <c r="C11" i="96"/>
  <c r="F11" i="96"/>
  <c r="I11" i="96"/>
  <c r="J11" i="96"/>
  <c r="K11" i="96"/>
  <c r="M11" i="96"/>
  <c r="N11" i="96"/>
  <c r="O11" i="96"/>
  <c r="P11" i="96"/>
  <c r="Q11" i="96"/>
  <c r="R11" i="96"/>
  <c r="H12" i="96"/>
  <c r="C12" i="96"/>
  <c r="F12" i="96"/>
  <c r="I12" i="96"/>
  <c r="J12" i="96"/>
  <c r="K12" i="96"/>
  <c r="M12" i="96"/>
  <c r="N12" i="96"/>
  <c r="O12" i="96"/>
  <c r="P12" i="96"/>
  <c r="Q12" i="96"/>
  <c r="R12" i="96"/>
  <c r="H13" i="96"/>
  <c r="C13" i="96"/>
  <c r="F13" i="96"/>
  <c r="I13" i="96"/>
  <c r="J13" i="96"/>
  <c r="K13" i="96"/>
  <c r="M13" i="96"/>
  <c r="N13" i="96"/>
  <c r="O13" i="96"/>
  <c r="P13" i="96"/>
  <c r="Q13" i="96"/>
  <c r="R13" i="96"/>
  <c r="H14" i="96"/>
  <c r="C14" i="96"/>
  <c r="F14" i="96"/>
  <c r="I14" i="96"/>
  <c r="J14" i="96"/>
  <c r="K14" i="96"/>
  <c r="M14" i="96"/>
  <c r="N14" i="96"/>
  <c r="O14" i="96"/>
  <c r="P14" i="96"/>
  <c r="Q14" i="96"/>
  <c r="R14" i="96"/>
  <c r="H15" i="96"/>
  <c r="C15" i="96"/>
  <c r="F15" i="96"/>
  <c r="I15" i="96"/>
  <c r="J15" i="96"/>
  <c r="K15" i="96"/>
  <c r="M15" i="96"/>
  <c r="N15" i="96"/>
  <c r="O15" i="96"/>
  <c r="P15" i="96"/>
  <c r="Q15" i="96"/>
  <c r="R15" i="96"/>
  <c r="H16" i="96"/>
  <c r="C16" i="96"/>
  <c r="F16" i="96"/>
  <c r="I16" i="96"/>
  <c r="J16" i="96"/>
  <c r="K16" i="96"/>
  <c r="M16" i="96"/>
  <c r="N16" i="96"/>
  <c r="O16" i="96"/>
  <c r="P16" i="96"/>
  <c r="Q16" i="96"/>
  <c r="R16" i="96"/>
  <c r="H17" i="96"/>
  <c r="C17" i="96"/>
  <c r="F17" i="96"/>
  <c r="I17" i="96"/>
  <c r="J17" i="96"/>
  <c r="K17" i="96"/>
  <c r="M17" i="96"/>
  <c r="N17" i="96"/>
  <c r="O17" i="96"/>
  <c r="P17" i="96"/>
  <c r="Q17" i="96"/>
  <c r="R17" i="96"/>
  <c r="H18" i="96"/>
  <c r="C18" i="96"/>
  <c r="F18" i="96"/>
  <c r="I18" i="96"/>
  <c r="J18" i="96"/>
  <c r="K18" i="96"/>
  <c r="M18" i="96"/>
  <c r="N18" i="96"/>
  <c r="O18" i="96"/>
  <c r="P18" i="96"/>
  <c r="Q18" i="96"/>
  <c r="R18" i="96"/>
  <c r="H19" i="96"/>
  <c r="C19" i="96"/>
  <c r="F19" i="96"/>
  <c r="I19" i="96"/>
  <c r="J19" i="96"/>
  <c r="K19" i="96"/>
  <c r="M19" i="96"/>
  <c r="N19" i="96"/>
  <c r="O19" i="96"/>
  <c r="P19" i="96"/>
  <c r="Q19" i="96"/>
  <c r="R19" i="96"/>
  <c r="H20" i="96"/>
  <c r="C20" i="96"/>
  <c r="F20" i="96"/>
  <c r="I20" i="96"/>
  <c r="J20" i="96"/>
  <c r="K20" i="96"/>
  <c r="M20" i="96"/>
  <c r="N20" i="96"/>
  <c r="O20" i="96"/>
  <c r="P20" i="96"/>
  <c r="Q20" i="96"/>
  <c r="R20" i="96"/>
  <c r="H419" i="82"/>
  <c r="I419" i="82"/>
  <c r="J419" i="82"/>
  <c r="D419" i="82"/>
  <c r="H418" i="82"/>
  <c r="I418" i="82"/>
  <c r="J418" i="82"/>
  <c r="D418" i="82"/>
  <c r="H417" i="82"/>
  <c r="I417" i="82"/>
  <c r="J417" i="82"/>
  <c r="D417" i="82"/>
  <c r="H416" i="82"/>
  <c r="I416" i="82"/>
  <c r="J416" i="82"/>
  <c r="D416" i="82"/>
  <c r="H415" i="82"/>
  <c r="I415" i="82"/>
  <c r="J415" i="82"/>
  <c r="D415" i="82"/>
  <c r="H414" i="82"/>
  <c r="I414" i="82"/>
  <c r="J414" i="82"/>
  <c r="D414" i="82"/>
  <c r="H413" i="82"/>
  <c r="I413" i="82"/>
  <c r="J413" i="82"/>
  <c r="D413" i="82"/>
  <c r="H412" i="82"/>
  <c r="I412" i="82"/>
  <c r="J412" i="82"/>
  <c r="D412" i="82"/>
  <c r="H411" i="82"/>
  <c r="I411" i="82"/>
  <c r="J411" i="82"/>
  <c r="D411" i="82"/>
  <c r="H410" i="82"/>
  <c r="I410" i="82"/>
  <c r="J410" i="82"/>
  <c r="D410" i="82"/>
  <c r="H409" i="82"/>
  <c r="I409" i="82"/>
  <c r="J409" i="82"/>
  <c r="D409" i="82"/>
  <c r="H408" i="82"/>
  <c r="I408" i="82"/>
  <c r="J408" i="82"/>
  <c r="D408" i="82"/>
  <c r="H407" i="82"/>
  <c r="I407" i="82"/>
  <c r="J407" i="82"/>
  <c r="D407" i="82"/>
  <c r="H406" i="82"/>
  <c r="I406" i="82"/>
  <c r="J406" i="82"/>
  <c r="D406" i="82"/>
  <c r="H405" i="82"/>
  <c r="I405" i="82"/>
  <c r="J405" i="82"/>
  <c r="D405" i="82"/>
  <c r="H404" i="82"/>
  <c r="I404" i="82"/>
  <c r="J404" i="82"/>
  <c r="D404" i="82"/>
  <c r="H403" i="82"/>
  <c r="I403" i="82"/>
  <c r="J403" i="82"/>
  <c r="D403" i="82"/>
  <c r="H402" i="82"/>
  <c r="I402" i="82"/>
  <c r="J402" i="82"/>
  <c r="D402" i="82"/>
  <c r="H401" i="82"/>
  <c r="I401" i="82"/>
  <c r="J401" i="82"/>
  <c r="D401" i="82"/>
  <c r="H400" i="82"/>
  <c r="I400" i="82"/>
  <c r="J400" i="82"/>
  <c r="D400" i="82"/>
  <c r="H399" i="82"/>
  <c r="I399" i="82"/>
  <c r="J399" i="82"/>
  <c r="D399" i="82"/>
  <c r="H398" i="82"/>
  <c r="I398" i="82"/>
  <c r="J398" i="82"/>
  <c r="D398" i="82"/>
  <c r="H397" i="82"/>
  <c r="I397" i="82"/>
  <c r="J397" i="82"/>
  <c r="D397" i="82"/>
  <c r="H396" i="82"/>
  <c r="I396" i="82"/>
  <c r="J396" i="82"/>
  <c r="D396" i="82"/>
  <c r="H395" i="82"/>
  <c r="I395" i="82"/>
  <c r="J395" i="82"/>
  <c r="D395" i="82"/>
  <c r="H394" i="82"/>
  <c r="I394" i="82"/>
  <c r="J394" i="82"/>
  <c r="D394" i="82"/>
  <c r="H393" i="82"/>
  <c r="I393" i="82"/>
  <c r="J393" i="82"/>
  <c r="D393" i="82"/>
  <c r="H392" i="82"/>
  <c r="I392" i="82"/>
  <c r="J392" i="82"/>
  <c r="D392" i="82"/>
  <c r="H391" i="82"/>
  <c r="I391" i="82"/>
  <c r="J391" i="82"/>
  <c r="D391" i="82"/>
  <c r="H390" i="82"/>
  <c r="I390" i="82"/>
  <c r="J390" i="82"/>
  <c r="D390" i="82"/>
  <c r="H389" i="82"/>
  <c r="I389" i="82"/>
  <c r="J389" i="82"/>
  <c r="D389" i="82"/>
  <c r="H388" i="82"/>
  <c r="I388" i="82"/>
  <c r="J388" i="82"/>
  <c r="D388" i="82"/>
  <c r="H387" i="82"/>
  <c r="I387" i="82"/>
  <c r="J387" i="82"/>
  <c r="D387" i="82"/>
  <c r="H386" i="82"/>
  <c r="I386" i="82"/>
  <c r="J386" i="82"/>
  <c r="D386" i="82"/>
  <c r="H385" i="82"/>
  <c r="I385" i="82"/>
  <c r="J385" i="82"/>
  <c r="D385" i="82"/>
  <c r="H384" i="82"/>
  <c r="I384" i="82"/>
  <c r="J384" i="82"/>
  <c r="D384" i="82"/>
  <c r="H383" i="82"/>
  <c r="I383" i="82"/>
  <c r="J383" i="82"/>
  <c r="D383" i="82"/>
  <c r="H382" i="82"/>
  <c r="I382" i="82"/>
  <c r="J382" i="82"/>
  <c r="D382" i="82"/>
  <c r="H381" i="82"/>
  <c r="I381" i="82"/>
  <c r="J381" i="82"/>
  <c r="D381" i="82"/>
  <c r="H380" i="82"/>
  <c r="I380" i="82"/>
  <c r="J380" i="82"/>
  <c r="D380" i="82"/>
  <c r="H379" i="82"/>
  <c r="I379" i="82"/>
  <c r="J379" i="82"/>
  <c r="D379" i="82"/>
  <c r="H378" i="82"/>
  <c r="I378" i="82"/>
  <c r="J378" i="82"/>
  <c r="D378" i="82"/>
  <c r="H377" i="82"/>
  <c r="I377" i="82"/>
  <c r="J377" i="82"/>
  <c r="D377" i="82"/>
  <c r="H376" i="82"/>
  <c r="I376" i="82"/>
  <c r="J376" i="82"/>
  <c r="D376" i="82"/>
  <c r="H375" i="82"/>
  <c r="I375" i="82"/>
  <c r="J375" i="82"/>
  <c r="D375" i="82"/>
  <c r="H374" i="82"/>
  <c r="I374" i="82"/>
  <c r="J374" i="82"/>
  <c r="D374" i="82"/>
  <c r="H373" i="82"/>
  <c r="I373" i="82"/>
  <c r="J373" i="82"/>
  <c r="D373" i="82"/>
  <c r="H372" i="82"/>
  <c r="I372" i="82"/>
  <c r="J372" i="82"/>
  <c r="D372" i="82"/>
  <c r="H371" i="82"/>
  <c r="I371" i="82"/>
  <c r="J371" i="82"/>
  <c r="D371" i="82"/>
  <c r="H370" i="82"/>
  <c r="I370" i="82"/>
  <c r="J370" i="82"/>
  <c r="D370" i="82"/>
  <c r="H369" i="82"/>
  <c r="I369" i="82"/>
  <c r="J369" i="82"/>
  <c r="D369" i="82"/>
  <c r="H368" i="82"/>
  <c r="I368" i="82"/>
  <c r="J368" i="82"/>
  <c r="D368" i="82"/>
  <c r="H367" i="82"/>
  <c r="I367" i="82"/>
  <c r="J367" i="82"/>
  <c r="D367" i="82"/>
  <c r="H366" i="82"/>
  <c r="I366" i="82"/>
  <c r="J366" i="82"/>
  <c r="D366" i="82"/>
  <c r="H365" i="82"/>
  <c r="I365" i="82"/>
  <c r="J365" i="82"/>
  <c r="D365" i="82"/>
  <c r="H364" i="82"/>
  <c r="I364" i="82"/>
  <c r="J364" i="82"/>
  <c r="D364" i="82"/>
  <c r="H363" i="82"/>
  <c r="I363" i="82"/>
  <c r="J363" i="82"/>
  <c r="D363" i="82"/>
  <c r="H362" i="82"/>
  <c r="I362" i="82"/>
  <c r="J362" i="82"/>
  <c r="D362" i="82"/>
  <c r="H361" i="82"/>
  <c r="I361" i="82"/>
  <c r="J361" i="82"/>
  <c r="D361" i="82"/>
  <c r="H360" i="82"/>
  <c r="I360" i="82"/>
  <c r="J360" i="82"/>
  <c r="D360" i="82"/>
  <c r="H359" i="82"/>
  <c r="I359" i="82"/>
  <c r="J359" i="82"/>
  <c r="D359" i="82"/>
  <c r="H358" i="82"/>
  <c r="I358" i="82"/>
  <c r="J358" i="82"/>
  <c r="D358" i="82"/>
  <c r="H357" i="82"/>
  <c r="I357" i="82"/>
  <c r="J357" i="82"/>
  <c r="D357" i="82"/>
  <c r="H356" i="82"/>
  <c r="I356" i="82"/>
  <c r="J356" i="82"/>
  <c r="D356" i="82"/>
  <c r="H355" i="82"/>
  <c r="I355" i="82"/>
  <c r="J355" i="82"/>
  <c r="D355" i="82"/>
  <c r="H354" i="82"/>
  <c r="I354" i="82"/>
  <c r="J354" i="82"/>
  <c r="D354" i="82"/>
  <c r="H353" i="82"/>
  <c r="I353" i="82"/>
  <c r="J353" i="82"/>
  <c r="D353" i="82"/>
  <c r="H352" i="82"/>
  <c r="I352" i="82"/>
  <c r="J352" i="82"/>
  <c r="D352" i="82"/>
  <c r="H351" i="82"/>
  <c r="I351" i="82"/>
  <c r="J351" i="82"/>
  <c r="D351" i="82"/>
  <c r="H350" i="82"/>
  <c r="I350" i="82"/>
  <c r="J350" i="82"/>
  <c r="D350" i="82"/>
  <c r="H349" i="82"/>
  <c r="I349" i="82"/>
  <c r="J349" i="82"/>
  <c r="D349" i="82"/>
  <c r="H348" i="82"/>
  <c r="I348" i="82"/>
  <c r="J348" i="82"/>
  <c r="D348" i="82"/>
  <c r="H347" i="82"/>
  <c r="I347" i="82"/>
  <c r="J347" i="82"/>
  <c r="D347" i="82"/>
  <c r="H346" i="82"/>
  <c r="I346" i="82"/>
  <c r="J346" i="82"/>
  <c r="D346" i="82"/>
  <c r="H345" i="82"/>
  <c r="I345" i="82"/>
  <c r="J345" i="82"/>
  <c r="D345" i="82"/>
  <c r="H344" i="82"/>
  <c r="I344" i="82"/>
  <c r="J344" i="82"/>
  <c r="D344" i="82"/>
  <c r="H343" i="82"/>
  <c r="I343" i="82"/>
  <c r="J343" i="82"/>
  <c r="D343" i="82"/>
  <c r="H342" i="82"/>
  <c r="I342" i="82"/>
  <c r="J342" i="82"/>
  <c r="D342" i="82"/>
  <c r="H341" i="82"/>
  <c r="I341" i="82"/>
  <c r="J341" i="82"/>
  <c r="D341" i="82"/>
  <c r="H340" i="82"/>
  <c r="I340" i="82"/>
  <c r="J340" i="82"/>
  <c r="D340" i="82"/>
  <c r="H339" i="82"/>
  <c r="I339" i="82"/>
  <c r="J339" i="82"/>
  <c r="D339" i="82"/>
  <c r="H338" i="82"/>
  <c r="I338" i="82"/>
  <c r="J338" i="82"/>
  <c r="D338" i="82"/>
  <c r="H337" i="82"/>
  <c r="I337" i="82"/>
  <c r="J337" i="82"/>
  <c r="D337" i="82"/>
  <c r="H336" i="82"/>
  <c r="I336" i="82"/>
  <c r="J336" i="82"/>
  <c r="D336" i="82"/>
  <c r="H335" i="82"/>
  <c r="I335" i="82"/>
  <c r="J335" i="82"/>
  <c r="D335" i="82"/>
  <c r="H334" i="82"/>
  <c r="I334" i="82"/>
  <c r="J334" i="82"/>
  <c r="D334" i="82"/>
  <c r="H333" i="82"/>
  <c r="I333" i="82"/>
  <c r="J333" i="82"/>
  <c r="D333" i="82"/>
  <c r="H332" i="82"/>
  <c r="I332" i="82"/>
  <c r="J332" i="82"/>
  <c r="D332" i="82"/>
  <c r="H331" i="82"/>
  <c r="I331" i="82"/>
  <c r="J331" i="82"/>
  <c r="D331" i="82"/>
  <c r="H330" i="82"/>
  <c r="I330" i="82"/>
  <c r="J330" i="82"/>
  <c r="D330" i="82"/>
  <c r="H329" i="82"/>
  <c r="I329" i="82"/>
  <c r="J329" i="82"/>
  <c r="D329" i="82"/>
  <c r="H328" i="82"/>
  <c r="I328" i="82"/>
  <c r="J328" i="82"/>
  <c r="D328" i="82"/>
  <c r="H327" i="82"/>
  <c r="I327" i="82"/>
  <c r="J327" i="82"/>
  <c r="D327" i="82"/>
  <c r="H326" i="82"/>
  <c r="I326" i="82"/>
  <c r="J326" i="82"/>
  <c r="D326" i="82"/>
  <c r="H325" i="82"/>
  <c r="I325" i="82"/>
  <c r="J325" i="82"/>
  <c r="D325" i="82"/>
  <c r="H324" i="82"/>
  <c r="I324" i="82"/>
  <c r="J324" i="82"/>
  <c r="D324" i="82"/>
  <c r="H323" i="82"/>
  <c r="I323" i="82"/>
  <c r="J323" i="82"/>
  <c r="D323" i="82"/>
  <c r="H322" i="82"/>
  <c r="I322" i="82"/>
  <c r="J322" i="82"/>
  <c r="D322" i="82"/>
  <c r="H321" i="82"/>
  <c r="I321" i="82"/>
  <c r="J321" i="82"/>
  <c r="D321" i="82"/>
  <c r="H320" i="82"/>
  <c r="I320" i="82"/>
  <c r="J320" i="82"/>
  <c r="D320" i="82"/>
  <c r="H319" i="82"/>
  <c r="I319" i="82"/>
  <c r="J319" i="82"/>
  <c r="D319" i="82"/>
  <c r="H318" i="82"/>
  <c r="I318" i="82"/>
  <c r="J318" i="82"/>
  <c r="D318" i="82"/>
  <c r="H317" i="82"/>
  <c r="I317" i="82"/>
  <c r="J317" i="82"/>
  <c r="D317" i="82"/>
  <c r="H316" i="82"/>
  <c r="I316" i="82"/>
  <c r="J316" i="82"/>
  <c r="D316" i="82"/>
  <c r="H315" i="82"/>
  <c r="I315" i="82"/>
  <c r="J315" i="82"/>
  <c r="D315" i="82"/>
  <c r="H314" i="82"/>
  <c r="I314" i="82"/>
  <c r="J314" i="82"/>
  <c r="D314" i="82"/>
  <c r="H313" i="82"/>
  <c r="I313" i="82"/>
  <c r="J313" i="82"/>
  <c r="D313" i="82"/>
  <c r="H312" i="82"/>
  <c r="I312" i="82"/>
  <c r="J312" i="82"/>
  <c r="D312" i="82"/>
  <c r="H311" i="82"/>
  <c r="I311" i="82"/>
  <c r="J311" i="82"/>
  <c r="D311" i="82"/>
  <c r="H310" i="82"/>
  <c r="I310" i="82"/>
  <c r="J310" i="82"/>
  <c r="D310" i="82"/>
  <c r="H309" i="82"/>
  <c r="I309" i="82"/>
  <c r="J309" i="82"/>
  <c r="D309" i="82"/>
  <c r="H308" i="82"/>
  <c r="I308" i="82"/>
  <c r="J308" i="82"/>
  <c r="D308" i="82"/>
  <c r="H307" i="82"/>
  <c r="I307" i="82"/>
  <c r="J307" i="82"/>
  <c r="D307" i="82"/>
  <c r="H306" i="82"/>
  <c r="I306" i="82"/>
  <c r="J306" i="82"/>
  <c r="D306" i="82"/>
  <c r="H305" i="82"/>
  <c r="I305" i="82"/>
  <c r="J305" i="82"/>
  <c r="D305" i="82"/>
  <c r="H304" i="82"/>
  <c r="I304" i="82"/>
  <c r="J304" i="82"/>
  <c r="D304" i="82"/>
  <c r="H303" i="82"/>
  <c r="I303" i="82"/>
  <c r="J303" i="82"/>
  <c r="D303" i="82"/>
  <c r="H302" i="82"/>
  <c r="I302" i="82"/>
  <c r="J302" i="82"/>
  <c r="D302" i="82"/>
  <c r="H301" i="82"/>
  <c r="I301" i="82"/>
  <c r="J301" i="82"/>
  <c r="D301" i="82"/>
  <c r="H300" i="82"/>
  <c r="I300" i="82"/>
  <c r="J300" i="82"/>
  <c r="D300" i="82"/>
  <c r="H299" i="82"/>
  <c r="I299" i="82"/>
  <c r="J299" i="82"/>
  <c r="D299" i="82"/>
  <c r="H298" i="82"/>
  <c r="I298" i="82"/>
  <c r="J298" i="82"/>
  <c r="D298" i="82"/>
  <c r="H297" i="82"/>
  <c r="I297" i="82"/>
  <c r="J297" i="82"/>
  <c r="D297" i="82"/>
  <c r="H296" i="82"/>
  <c r="I296" i="82"/>
  <c r="J296" i="82"/>
  <c r="D296" i="82"/>
  <c r="H295" i="82"/>
  <c r="I295" i="82"/>
  <c r="J295" i="82"/>
  <c r="D295" i="82"/>
  <c r="H294" i="82"/>
  <c r="I294" i="82"/>
  <c r="J294" i="82"/>
  <c r="D294" i="82"/>
  <c r="H293" i="82"/>
  <c r="I293" i="82"/>
  <c r="J293" i="82"/>
  <c r="D293" i="82"/>
  <c r="H292" i="82"/>
  <c r="I292" i="82"/>
  <c r="J292" i="82"/>
  <c r="D292" i="82"/>
  <c r="H291" i="82"/>
  <c r="I291" i="82"/>
  <c r="J291" i="82"/>
  <c r="D291" i="82"/>
  <c r="H290" i="82"/>
  <c r="I290" i="82"/>
  <c r="J290" i="82"/>
  <c r="D290" i="82"/>
  <c r="H289" i="82"/>
  <c r="I289" i="82"/>
  <c r="J289" i="82"/>
  <c r="D289" i="82"/>
  <c r="H288" i="82"/>
  <c r="I288" i="82"/>
  <c r="J288" i="82"/>
  <c r="D288" i="82"/>
  <c r="H287" i="82"/>
  <c r="I287" i="82"/>
  <c r="J287" i="82"/>
  <c r="D287" i="82"/>
  <c r="H286" i="82"/>
  <c r="I286" i="82"/>
  <c r="J286" i="82"/>
  <c r="D286" i="82"/>
  <c r="H285" i="82"/>
  <c r="I285" i="82"/>
  <c r="J285" i="82"/>
  <c r="D285" i="82"/>
  <c r="H284" i="82"/>
  <c r="I284" i="82"/>
  <c r="J284" i="82"/>
  <c r="D284" i="82"/>
  <c r="H283" i="82"/>
  <c r="I283" i="82"/>
  <c r="J283" i="82"/>
  <c r="D283" i="82"/>
  <c r="H282" i="82"/>
  <c r="I282" i="82"/>
  <c r="J282" i="82"/>
  <c r="D282" i="82"/>
  <c r="H281" i="82"/>
  <c r="I281" i="82"/>
  <c r="J281" i="82"/>
  <c r="D281" i="82"/>
  <c r="H280" i="82"/>
  <c r="I280" i="82"/>
  <c r="J280" i="82"/>
  <c r="D280" i="82"/>
  <c r="H279" i="82"/>
  <c r="I279" i="82"/>
  <c r="J279" i="82"/>
  <c r="D279" i="82"/>
  <c r="H278" i="82"/>
  <c r="I278" i="82"/>
  <c r="J278" i="82"/>
  <c r="D278" i="82"/>
  <c r="H277" i="82"/>
  <c r="I277" i="82"/>
  <c r="J277" i="82"/>
  <c r="D277" i="82"/>
  <c r="H276" i="82"/>
  <c r="I276" i="82"/>
  <c r="J276" i="82"/>
  <c r="D276" i="82"/>
  <c r="H275" i="82"/>
  <c r="I275" i="82"/>
  <c r="J275" i="82"/>
  <c r="D275" i="82"/>
  <c r="H274" i="82"/>
  <c r="I274" i="82"/>
  <c r="J274" i="82"/>
  <c r="D274" i="82"/>
  <c r="H273" i="82"/>
  <c r="I273" i="82"/>
  <c r="J273" i="82"/>
  <c r="D273" i="82"/>
  <c r="H272" i="82"/>
  <c r="I272" i="82"/>
  <c r="J272" i="82"/>
  <c r="D272" i="82"/>
  <c r="H271" i="82"/>
  <c r="I271" i="82"/>
  <c r="J271" i="82"/>
  <c r="D271" i="82"/>
  <c r="H270" i="82"/>
  <c r="I270" i="82"/>
  <c r="J270" i="82"/>
  <c r="D270" i="82"/>
  <c r="H269" i="82"/>
  <c r="I269" i="82"/>
  <c r="J269" i="82"/>
  <c r="D269" i="82"/>
  <c r="H268" i="82"/>
  <c r="I268" i="82"/>
  <c r="J268" i="82"/>
  <c r="D268" i="82"/>
  <c r="H267" i="82"/>
  <c r="I267" i="82"/>
  <c r="J267" i="82"/>
  <c r="D267" i="82"/>
  <c r="H266" i="82"/>
  <c r="I266" i="82"/>
  <c r="J266" i="82"/>
  <c r="D266" i="82"/>
  <c r="H265" i="82"/>
  <c r="I265" i="82"/>
  <c r="J265" i="82"/>
  <c r="D265" i="82"/>
  <c r="H264" i="82"/>
  <c r="I264" i="82"/>
  <c r="J264" i="82"/>
  <c r="D264" i="82"/>
  <c r="H263" i="82"/>
  <c r="I263" i="82"/>
  <c r="J263" i="82"/>
  <c r="D263" i="82"/>
  <c r="H262" i="82"/>
  <c r="I262" i="82"/>
  <c r="J262" i="82"/>
  <c r="D262" i="82"/>
  <c r="H261" i="82"/>
  <c r="I261" i="82"/>
  <c r="J261" i="82"/>
  <c r="D261" i="82"/>
  <c r="H260" i="82"/>
  <c r="I260" i="82"/>
  <c r="J260" i="82"/>
  <c r="D260" i="82"/>
  <c r="H259" i="82"/>
  <c r="I259" i="82"/>
  <c r="J259" i="82"/>
  <c r="D259" i="82"/>
  <c r="H258" i="82"/>
  <c r="I258" i="82"/>
  <c r="J258" i="82"/>
  <c r="D258" i="82"/>
  <c r="H257" i="82"/>
  <c r="I257" i="82"/>
  <c r="J257" i="82"/>
  <c r="D257" i="82"/>
  <c r="H256" i="82"/>
  <c r="I256" i="82"/>
  <c r="J256" i="82"/>
  <c r="D256" i="82"/>
  <c r="H255" i="82"/>
  <c r="I255" i="82"/>
  <c r="J255" i="82"/>
  <c r="D255" i="82"/>
  <c r="H254" i="82"/>
  <c r="I254" i="82"/>
  <c r="J254" i="82"/>
  <c r="D254" i="82"/>
  <c r="H253" i="82"/>
  <c r="I253" i="82"/>
  <c r="J253" i="82"/>
  <c r="D253" i="82"/>
  <c r="H252" i="82"/>
  <c r="I252" i="82"/>
  <c r="J252" i="82"/>
  <c r="D252" i="82"/>
  <c r="H251" i="82"/>
  <c r="I251" i="82"/>
  <c r="J251" i="82"/>
  <c r="D251" i="82"/>
  <c r="H250" i="82"/>
  <c r="I250" i="82"/>
  <c r="J250" i="82"/>
  <c r="D250" i="82"/>
  <c r="H249" i="82"/>
  <c r="I249" i="82"/>
  <c r="J249" i="82"/>
  <c r="D249" i="82"/>
  <c r="H248" i="82"/>
  <c r="I248" i="82"/>
  <c r="J248" i="82"/>
  <c r="D248" i="82"/>
  <c r="H247" i="82"/>
  <c r="I247" i="82"/>
  <c r="J247" i="82"/>
  <c r="D247" i="82"/>
  <c r="H246" i="82"/>
  <c r="I246" i="82"/>
  <c r="J246" i="82"/>
  <c r="D246" i="82"/>
  <c r="H245" i="82"/>
  <c r="I245" i="82"/>
  <c r="J245" i="82"/>
  <c r="D245" i="82"/>
  <c r="H244" i="82"/>
  <c r="I244" i="82"/>
  <c r="J244" i="82"/>
  <c r="D244" i="82"/>
  <c r="H243" i="82"/>
  <c r="I243" i="82"/>
  <c r="J243" i="82"/>
  <c r="D243" i="82"/>
  <c r="H242" i="82"/>
  <c r="I242" i="82"/>
  <c r="J242" i="82"/>
  <c r="D242" i="82"/>
  <c r="H241" i="82"/>
  <c r="I241" i="82"/>
  <c r="J241" i="82"/>
  <c r="D241" i="82"/>
  <c r="H240" i="82"/>
  <c r="I240" i="82"/>
  <c r="J240" i="82"/>
  <c r="D240" i="82"/>
  <c r="H239" i="82"/>
  <c r="I239" i="82"/>
  <c r="J239" i="82"/>
  <c r="D239" i="82"/>
  <c r="H238" i="82"/>
  <c r="I238" i="82"/>
  <c r="J238" i="82"/>
  <c r="D238" i="82"/>
  <c r="H237" i="82"/>
  <c r="I237" i="82"/>
  <c r="J237" i="82"/>
  <c r="D237" i="82"/>
  <c r="H236" i="82"/>
  <c r="I236" i="82"/>
  <c r="J236" i="82"/>
  <c r="D236" i="82"/>
  <c r="H235" i="82"/>
  <c r="I235" i="82"/>
  <c r="J235" i="82"/>
  <c r="D235" i="82"/>
  <c r="H234" i="82"/>
  <c r="I234" i="82"/>
  <c r="J234" i="82"/>
  <c r="D234" i="82"/>
  <c r="H233" i="82"/>
  <c r="I233" i="82"/>
  <c r="J233" i="82"/>
  <c r="D233" i="82"/>
  <c r="H232" i="82"/>
  <c r="I232" i="82"/>
  <c r="J232" i="82"/>
  <c r="D232" i="82"/>
  <c r="H231" i="82"/>
  <c r="I231" i="82"/>
  <c r="J231" i="82"/>
  <c r="D231" i="82"/>
  <c r="H230" i="82"/>
  <c r="I230" i="82"/>
  <c r="J230" i="82"/>
  <c r="D230" i="82"/>
  <c r="H229" i="82"/>
  <c r="I229" i="82"/>
  <c r="J229" i="82"/>
  <c r="D229" i="82"/>
  <c r="H228" i="82"/>
  <c r="I228" i="82"/>
  <c r="J228" i="82"/>
  <c r="D228" i="82"/>
  <c r="H227" i="82"/>
  <c r="I227" i="82"/>
  <c r="J227" i="82"/>
  <c r="D227" i="82"/>
  <c r="H226" i="82"/>
  <c r="I226" i="82"/>
  <c r="J226" i="82"/>
  <c r="D226" i="82"/>
  <c r="H225" i="82"/>
  <c r="I225" i="82"/>
  <c r="J225" i="82"/>
  <c r="D225" i="82"/>
  <c r="H224" i="82"/>
  <c r="I224" i="82"/>
  <c r="J224" i="82"/>
  <c r="D224" i="82"/>
  <c r="H223" i="82"/>
  <c r="I223" i="82"/>
  <c r="J223" i="82"/>
  <c r="D223" i="82"/>
  <c r="H222" i="82"/>
  <c r="I222" i="82"/>
  <c r="J222" i="82"/>
  <c r="D222" i="82"/>
  <c r="H221" i="82"/>
  <c r="I221" i="82"/>
  <c r="J221" i="82"/>
  <c r="D221" i="82"/>
  <c r="H220" i="82"/>
  <c r="I220" i="82"/>
  <c r="J220" i="82"/>
  <c r="D220" i="82"/>
  <c r="H219" i="82"/>
  <c r="I219" i="82"/>
  <c r="J219" i="82"/>
  <c r="D219" i="82"/>
  <c r="H218" i="82"/>
  <c r="I218" i="82"/>
  <c r="J218" i="82"/>
  <c r="D218" i="82"/>
  <c r="H217" i="82"/>
  <c r="I217" i="82"/>
  <c r="J217" i="82"/>
  <c r="D217" i="82"/>
  <c r="H216" i="82"/>
  <c r="I216" i="82"/>
  <c r="J216" i="82"/>
  <c r="D216" i="82"/>
  <c r="H215" i="82"/>
  <c r="I215" i="82"/>
  <c r="J215" i="82"/>
  <c r="D215" i="82"/>
  <c r="H214" i="82"/>
  <c r="I214" i="82"/>
  <c r="J214" i="82"/>
  <c r="D214" i="82"/>
  <c r="H213" i="82"/>
  <c r="I213" i="82"/>
  <c r="J213" i="82"/>
  <c r="D213" i="82"/>
  <c r="H212" i="82"/>
  <c r="I212" i="82"/>
  <c r="J212" i="82"/>
  <c r="D212" i="82"/>
  <c r="H211" i="82"/>
  <c r="I211" i="82"/>
  <c r="J211" i="82"/>
  <c r="D211" i="82"/>
  <c r="H210" i="82"/>
  <c r="I210" i="82"/>
  <c r="J210" i="82"/>
  <c r="D210" i="82"/>
  <c r="H209" i="82"/>
  <c r="I209" i="82"/>
  <c r="J209" i="82"/>
  <c r="D209" i="82"/>
  <c r="H208" i="82"/>
  <c r="I208" i="82"/>
  <c r="J208" i="82"/>
  <c r="D208" i="82"/>
  <c r="H207" i="82"/>
  <c r="I207" i="82"/>
  <c r="J207" i="82"/>
  <c r="D207" i="82"/>
  <c r="H206" i="82"/>
  <c r="I206" i="82"/>
  <c r="J206" i="82"/>
  <c r="D206" i="82"/>
  <c r="H205" i="82"/>
  <c r="I205" i="82"/>
  <c r="J205" i="82"/>
  <c r="D205" i="82"/>
  <c r="H204" i="82"/>
  <c r="I204" i="82"/>
  <c r="J204" i="82"/>
  <c r="D204" i="82"/>
  <c r="H203" i="82"/>
  <c r="I203" i="82"/>
  <c r="J203" i="82"/>
  <c r="D203" i="82"/>
  <c r="H202" i="82"/>
  <c r="I202" i="82"/>
  <c r="J202" i="82"/>
  <c r="D202" i="82"/>
  <c r="H201" i="82"/>
  <c r="I201" i="82"/>
  <c r="J201" i="82"/>
  <c r="D201" i="82"/>
  <c r="H200" i="82"/>
  <c r="I200" i="82"/>
  <c r="J200" i="82"/>
  <c r="D200" i="82"/>
  <c r="H199" i="82"/>
  <c r="I199" i="82"/>
  <c r="J199" i="82"/>
  <c r="D199" i="82"/>
  <c r="H198" i="82"/>
  <c r="I198" i="82"/>
  <c r="J198" i="82"/>
  <c r="D198" i="82"/>
  <c r="H197" i="82"/>
  <c r="I197" i="82"/>
  <c r="J197" i="82"/>
  <c r="D197" i="82"/>
  <c r="H196" i="82"/>
  <c r="I196" i="82"/>
  <c r="J196" i="82"/>
  <c r="D196" i="82"/>
  <c r="H195" i="82"/>
  <c r="I195" i="82"/>
  <c r="J195" i="82"/>
  <c r="D195" i="82"/>
  <c r="H194" i="82"/>
  <c r="I194" i="82"/>
  <c r="J194" i="82"/>
  <c r="D194" i="82"/>
  <c r="H193" i="82"/>
  <c r="I193" i="82"/>
  <c r="J193" i="82"/>
  <c r="D193" i="82"/>
  <c r="H192" i="82"/>
  <c r="I192" i="82"/>
  <c r="J192" i="82"/>
  <c r="D192" i="82"/>
  <c r="H191" i="82"/>
  <c r="I191" i="82"/>
  <c r="J191" i="82"/>
  <c r="D191" i="82"/>
  <c r="H190" i="82"/>
  <c r="I190" i="82"/>
  <c r="J190" i="82"/>
  <c r="D190" i="82"/>
  <c r="H189" i="82"/>
  <c r="I189" i="82"/>
  <c r="J189" i="82"/>
  <c r="D189" i="82"/>
  <c r="H188" i="82"/>
  <c r="I188" i="82"/>
  <c r="J188" i="82"/>
  <c r="D188" i="82"/>
  <c r="H187" i="82"/>
  <c r="I187" i="82"/>
  <c r="J187" i="82"/>
  <c r="D187" i="82"/>
  <c r="H186" i="82"/>
  <c r="I186" i="82"/>
  <c r="J186" i="82"/>
  <c r="D186" i="82"/>
  <c r="H185" i="82"/>
  <c r="I185" i="82"/>
  <c r="J185" i="82"/>
  <c r="D185" i="82"/>
  <c r="H184" i="82"/>
  <c r="I184" i="82"/>
  <c r="J184" i="82"/>
  <c r="D184" i="82"/>
  <c r="H183" i="82"/>
  <c r="I183" i="82"/>
  <c r="J183" i="82"/>
  <c r="D183" i="82"/>
  <c r="H182" i="82"/>
  <c r="I182" i="82"/>
  <c r="J182" i="82"/>
  <c r="D182" i="82"/>
  <c r="H181" i="82"/>
  <c r="I181" i="82"/>
  <c r="J181" i="82"/>
  <c r="D181" i="82"/>
  <c r="H180" i="82"/>
  <c r="I180" i="82"/>
  <c r="J180" i="82"/>
  <c r="D180" i="82"/>
  <c r="H179" i="82"/>
  <c r="I179" i="82"/>
  <c r="J179" i="82"/>
  <c r="D179" i="82"/>
  <c r="H178" i="82"/>
  <c r="I178" i="82"/>
  <c r="J178" i="82"/>
  <c r="D178" i="82"/>
  <c r="H177" i="82"/>
  <c r="I177" i="82"/>
  <c r="J177" i="82"/>
  <c r="D177" i="82"/>
  <c r="H176" i="82"/>
  <c r="I176" i="82"/>
  <c r="J176" i="82"/>
  <c r="D176" i="82"/>
  <c r="H175" i="82"/>
  <c r="I175" i="82"/>
  <c r="J175" i="82"/>
  <c r="D175" i="82"/>
  <c r="H174" i="82"/>
  <c r="I174" i="82"/>
  <c r="J174" i="82"/>
  <c r="D174" i="82"/>
  <c r="H173" i="82"/>
  <c r="I173" i="82"/>
  <c r="J173" i="82"/>
  <c r="D173" i="82"/>
  <c r="H172" i="82"/>
  <c r="I172" i="82"/>
  <c r="J172" i="82"/>
  <c r="D172" i="82"/>
  <c r="H171" i="82"/>
  <c r="I171" i="82"/>
  <c r="J171" i="82"/>
  <c r="D171" i="82"/>
  <c r="H170" i="82"/>
  <c r="I170" i="82"/>
  <c r="J170" i="82"/>
  <c r="D170" i="82"/>
  <c r="H169" i="82"/>
  <c r="I169" i="82"/>
  <c r="J169" i="82"/>
  <c r="D169" i="82"/>
  <c r="H168" i="82"/>
  <c r="I168" i="82"/>
  <c r="J168" i="82"/>
  <c r="D168" i="82"/>
  <c r="H167" i="82"/>
  <c r="I167" i="82"/>
  <c r="J167" i="82"/>
  <c r="D167" i="82"/>
  <c r="H166" i="82"/>
  <c r="I166" i="82"/>
  <c r="J166" i="82"/>
  <c r="D166" i="82"/>
  <c r="H165" i="82"/>
  <c r="I165" i="82"/>
  <c r="J165" i="82"/>
  <c r="D165" i="82"/>
  <c r="H164" i="82"/>
  <c r="I164" i="82"/>
  <c r="J164" i="82"/>
  <c r="D164" i="82"/>
  <c r="H163" i="82"/>
  <c r="I163" i="82"/>
  <c r="J163" i="82"/>
  <c r="D163" i="82"/>
  <c r="H162" i="82"/>
  <c r="I162" i="82"/>
  <c r="J162" i="82"/>
  <c r="D162" i="82"/>
  <c r="H161" i="82"/>
  <c r="I161" i="82"/>
  <c r="J161" i="82"/>
  <c r="D161" i="82"/>
  <c r="H160" i="82"/>
  <c r="I160" i="82"/>
  <c r="J160" i="82"/>
  <c r="D160" i="82"/>
  <c r="H159" i="82"/>
  <c r="I159" i="82"/>
  <c r="J159" i="82"/>
  <c r="D159" i="82"/>
  <c r="H158" i="82"/>
  <c r="I158" i="82"/>
  <c r="J158" i="82"/>
  <c r="D158" i="82"/>
  <c r="H157" i="82"/>
  <c r="I157" i="82"/>
  <c r="J157" i="82"/>
  <c r="D157" i="82"/>
  <c r="H156" i="82"/>
  <c r="I156" i="82"/>
  <c r="J156" i="82"/>
  <c r="D156" i="82"/>
  <c r="H155" i="82"/>
  <c r="I155" i="82"/>
  <c r="J155" i="82"/>
  <c r="D155" i="82"/>
  <c r="H154" i="82"/>
  <c r="I154" i="82"/>
  <c r="J154" i="82"/>
  <c r="D154" i="82"/>
  <c r="H153" i="82"/>
  <c r="I153" i="82"/>
  <c r="J153" i="82"/>
  <c r="D153" i="82"/>
  <c r="H152" i="82"/>
  <c r="I152" i="82"/>
  <c r="J152" i="82"/>
  <c r="D152" i="82"/>
  <c r="H151" i="82"/>
  <c r="I151" i="82"/>
  <c r="J151" i="82"/>
  <c r="D151" i="82"/>
  <c r="H150" i="82"/>
  <c r="I150" i="82"/>
  <c r="J150" i="82"/>
  <c r="D150" i="82"/>
  <c r="H149" i="82"/>
  <c r="I149" i="82"/>
  <c r="J149" i="82"/>
  <c r="D149" i="82"/>
  <c r="H148" i="82"/>
  <c r="I148" i="82"/>
  <c r="J148" i="82"/>
  <c r="D148" i="82"/>
  <c r="H147" i="82"/>
  <c r="I147" i="82"/>
  <c r="J147" i="82"/>
  <c r="D147" i="82"/>
  <c r="H146" i="82"/>
  <c r="I146" i="82"/>
  <c r="J146" i="82"/>
  <c r="D146" i="82"/>
  <c r="H145" i="82"/>
  <c r="I145" i="82"/>
  <c r="J145" i="82"/>
  <c r="D145" i="82"/>
  <c r="H144" i="82"/>
  <c r="I144" i="82"/>
  <c r="J144" i="82"/>
  <c r="D144" i="82"/>
  <c r="H143" i="82"/>
  <c r="I143" i="82"/>
  <c r="J143" i="82"/>
  <c r="D143" i="82"/>
  <c r="H142" i="82"/>
  <c r="I142" i="82"/>
  <c r="J142" i="82"/>
  <c r="D142" i="82"/>
  <c r="H141" i="82"/>
  <c r="I141" i="82"/>
  <c r="J141" i="82"/>
  <c r="D141" i="82"/>
  <c r="H140" i="82"/>
  <c r="I140" i="82"/>
  <c r="J140" i="82"/>
  <c r="D140" i="82"/>
  <c r="H139" i="82"/>
  <c r="I139" i="82"/>
  <c r="J139" i="82"/>
  <c r="D139" i="82"/>
  <c r="H138" i="82"/>
  <c r="I138" i="82"/>
  <c r="J138" i="82"/>
  <c r="D138" i="82"/>
  <c r="H137" i="82"/>
  <c r="I137" i="82"/>
  <c r="J137" i="82"/>
  <c r="D137" i="82"/>
  <c r="H136" i="82"/>
  <c r="I136" i="82"/>
  <c r="J136" i="82"/>
  <c r="D136" i="82"/>
  <c r="H135" i="82"/>
  <c r="I135" i="82"/>
  <c r="J135" i="82"/>
  <c r="D135" i="82"/>
  <c r="H134" i="82"/>
  <c r="I134" i="82"/>
  <c r="J134" i="82"/>
  <c r="D134" i="82"/>
  <c r="H133" i="82"/>
  <c r="I133" i="82"/>
  <c r="J133" i="82"/>
  <c r="D133" i="82"/>
  <c r="H132" i="82"/>
  <c r="I132" i="82"/>
  <c r="J132" i="82"/>
  <c r="D132" i="82"/>
  <c r="H131" i="82"/>
  <c r="I131" i="82"/>
  <c r="J131" i="82"/>
  <c r="D131" i="82"/>
  <c r="H130" i="82"/>
  <c r="I130" i="82"/>
  <c r="J130" i="82"/>
  <c r="D130" i="82"/>
  <c r="H129" i="82"/>
  <c r="I129" i="82"/>
  <c r="J129" i="82"/>
  <c r="D129" i="82"/>
  <c r="H128" i="82"/>
  <c r="I128" i="82"/>
  <c r="J128" i="82"/>
  <c r="D128" i="82"/>
  <c r="H127" i="82"/>
  <c r="I127" i="82"/>
  <c r="J127" i="82"/>
  <c r="D127" i="82"/>
  <c r="H126" i="82"/>
  <c r="I126" i="82"/>
  <c r="J126" i="82"/>
  <c r="D126" i="82"/>
  <c r="H125" i="82"/>
  <c r="I125" i="82"/>
  <c r="J125" i="82"/>
  <c r="D125" i="82"/>
  <c r="H124" i="82"/>
  <c r="I124" i="82"/>
  <c r="J124" i="82"/>
  <c r="D124" i="82"/>
  <c r="H123" i="82"/>
  <c r="I123" i="82"/>
  <c r="J123" i="82"/>
  <c r="D123" i="82"/>
  <c r="H122" i="82"/>
  <c r="I122" i="82"/>
  <c r="J122" i="82"/>
  <c r="D122" i="82"/>
  <c r="H121" i="82"/>
  <c r="I121" i="82"/>
  <c r="J121" i="82"/>
  <c r="D121" i="82"/>
  <c r="H120" i="82"/>
  <c r="I120" i="82"/>
  <c r="J120" i="82"/>
  <c r="D120" i="82"/>
  <c r="H119" i="82"/>
  <c r="I119" i="82"/>
  <c r="J119" i="82"/>
  <c r="D119" i="82"/>
  <c r="H118" i="82"/>
  <c r="I118" i="82"/>
  <c r="J118" i="82"/>
  <c r="D118" i="82"/>
  <c r="H117" i="82"/>
  <c r="I117" i="82"/>
  <c r="J117" i="82"/>
  <c r="D117" i="82"/>
  <c r="H116" i="82"/>
  <c r="I116" i="82"/>
  <c r="J116" i="82"/>
  <c r="D116" i="82"/>
  <c r="H115" i="82"/>
  <c r="I115" i="82"/>
  <c r="J115" i="82"/>
  <c r="D115" i="82"/>
  <c r="H114" i="82"/>
  <c r="I114" i="82"/>
  <c r="J114" i="82"/>
  <c r="D114" i="82"/>
  <c r="H113" i="82"/>
  <c r="I113" i="82"/>
  <c r="J113" i="82"/>
  <c r="D113" i="82"/>
  <c r="H112" i="82"/>
  <c r="I112" i="82"/>
  <c r="J112" i="82"/>
  <c r="D112" i="82"/>
  <c r="H111" i="82"/>
  <c r="I111" i="82"/>
  <c r="J111" i="82"/>
  <c r="D111" i="82"/>
  <c r="H110" i="82"/>
  <c r="I110" i="82"/>
  <c r="J110" i="82"/>
  <c r="D110" i="82"/>
  <c r="H109" i="82"/>
  <c r="I109" i="82"/>
  <c r="J109" i="82"/>
  <c r="D109" i="82"/>
  <c r="H108" i="82"/>
  <c r="I108" i="82"/>
  <c r="J108" i="82"/>
  <c r="D108" i="82"/>
  <c r="H107" i="82"/>
  <c r="I107" i="82"/>
  <c r="J107" i="82"/>
  <c r="D107" i="82"/>
  <c r="H106" i="82"/>
  <c r="I106" i="82"/>
  <c r="J106" i="82"/>
  <c r="D106" i="82"/>
  <c r="H105" i="82"/>
  <c r="I105" i="82"/>
  <c r="J105" i="82"/>
  <c r="D105" i="82"/>
  <c r="H104" i="82"/>
  <c r="I104" i="82"/>
  <c r="J104" i="82"/>
  <c r="D104" i="82"/>
  <c r="H103" i="82"/>
  <c r="I103" i="82"/>
  <c r="J103" i="82"/>
  <c r="D103" i="82"/>
  <c r="H102" i="82"/>
  <c r="I102" i="82"/>
  <c r="J102" i="82"/>
  <c r="D102" i="82"/>
  <c r="H101" i="82"/>
  <c r="I101" i="82"/>
  <c r="J101" i="82"/>
  <c r="D101" i="82"/>
  <c r="H100" i="82"/>
  <c r="I100" i="82"/>
  <c r="J100" i="82"/>
  <c r="D100" i="82"/>
  <c r="H99" i="82"/>
  <c r="I99" i="82"/>
  <c r="J99" i="82"/>
  <c r="D99" i="82"/>
  <c r="H98" i="82"/>
  <c r="I98" i="82"/>
  <c r="J98" i="82"/>
  <c r="D98" i="82"/>
  <c r="H97" i="82"/>
  <c r="I97" i="82"/>
  <c r="J97" i="82"/>
  <c r="D97" i="82"/>
  <c r="H96" i="82"/>
  <c r="I96" i="82"/>
  <c r="J96" i="82"/>
  <c r="D96" i="82"/>
  <c r="H95" i="82"/>
  <c r="I95" i="82"/>
  <c r="J95" i="82"/>
  <c r="D95" i="82"/>
  <c r="H94" i="82"/>
  <c r="I94" i="82"/>
  <c r="J94" i="82"/>
  <c r="D94" i="82"/>
  <c r="H93" i="82"/>
  <c r="I93" i="82"/>
  <c r="J93" i="82"/>
  <c r="D93" i="82"/>
  <c r="H92" i="82"/>
  <c r="I92" i="82"/>
  <c r="J92" i="82"/>
  <c r="D92" i="82"/>
  <c r="H91" i="82"/>
  <c r="I91" i="82"/>
  <c r="J91" i="82"/>
  <c r="D91" i="82"/>
  <c r="H90" i="82"/>
  <c r="I90" i="82"/>
  <c r="J90" i="82"/>
  <c r="D90" i="82"/>
  <c r="H89" i="82"/>
  <c r="I89" i="82"/>
  <c r="J89" i="82"/>
  <c r="D89" i="82"/>
  <c r="H88" i="82"/>
  <c r="I88" i="82"/>
  <c r="J88" i="82"/>
  <c r="D88" i="82"/>
  <c r="H87" i="82"/>
  <c r="I87" i="82"/>
  <c r="J87" i="82"/>
  <c r="D87" i="82"/>
  <c r="H86" i="82"/>
  <c r="I86" i="82"/>
  <c r="J86" i="82"/>
  <c r="D86" i="82"/>
  <c r="H85" i="82"/>
  <c r="I85" i="82"/>
  <c r="J85" i="82"/>
  <c r="D85" i="82"/>
  <c r="H84" i="82"/>
  <c r="I84" i="82"/>
  <c r="J84" i="82"/>
  <c r="D84" i="82"/>
  <c r="H83" i="82"/>
  <c r="I83" i="82"/>
  <c r="J83" i="82"/>
  <c r="D83" i="82"/>
  <c r="H82" i="82"/>
  <c r="I82" i="82"/>
  <c r="J82" i="82"/>
  <c r="D82" i="82"/>
  <c r="H81" i="82"/>
  <c r="I81" i="82"/>
  <c r="J81" i="82"/>
  <c r="D81" i="82"/>
  <c r="H80" i="82"/>
  <c r="I80" i="82"/>
  <c r="J80" i="82"/>
  <c r="D80" i="82"/>
  <c r="H79" i="82"/>
  <c r="I79" i="82"/>
  <c r="J79" i="82"/>
  <c r="D79" i="82"/>
  <c r="H78" i="82"/>
  <c r="I78" i="82"/>
  <c r="J78" i="82"/>
  <c r="D78" i="82"/>
  <c r="H77" i="82"/>
  <c r="I77" i="82"/>
  <c r="J77" i="82"/>
  <c r="D77" i="82"/>
  <c r="H76" i="82"/>
  <c r="I76" i="82"/>
  <c r="J76" i="82"/>
  <c r="D76" i="82"/>
  <c r="H75" i="82"/>
  <c r="I75" i="82"/>
  <c r="J75" i="82"/>
  <c r="D75" i="82"/>
  <c r="H74" i="82"/>
  <c r="I74" i="82"/>
  <c r="J74" i="82"/>
  <c r="D74" i="82"/>
  <c r="H73" i="82"/>
  <c r="I73" i="82"/>
  <c r="J73" i="82"/>
  <c r="D73" i="82"/>
  <c r="H72" i="82"/>
  <c r="I72" i="82"/>
  <c r="J72" i="82"/>
  <c r="D72" i="82"/>
  <c r="H71" i="82"/>
  <c r="I71" i="82"/>
  <c r="J71" i="82"/>
  <c r="D71" i="82"/>
  <c r="H70" i="82"/>
  <c r="I70" i="82"/>
  <c r="J70" i="82"/>
  <c r="D70" i="82"/>
  <c r="H69" i="82"/>
  <c r="I69" i="82"/>
  <c r="J69" i="82"/>
  <c r="D69" i="82"/>
  <c r="H68" i="82"/>
  <c r="I68" i="82"/>
  <c r="J68" i="82"/>
  <c r="D68" i="82"/>
  <c r="H67" i="82"/>
  <c r="I67" i="82"/>
  <c r="J67" i="82"/>
  <c r="D67" i="82"/>
  <c r="H66" i="82"/>
  <c r="I66" i="82"/>
  <c r="J66" i="82"/>
  <c r="D66" i="82"/>
  <c r="H65" i="82"/>
  <c r="I65" i="82"/>
  <c r="J65" i="82"/>
  <c r="D65" i="82"/>
  <c r="H64" i="82"/>
  <c r="I64" i="82"/>
  <c r="J64" i="82"/>
  <c r="D64" i="82"/>
  <c r="H63" i="82"/>
  <c r="I63" i="82"/>
  <c r="J63" i="82"/>
  <c r="D63" i="82"/>
  <c r="H62" i="82"/>
  <c r="I62" i="82"/>
  <c r="J62" i="82"/>
  <c r="D62" i="82"/>
  <c r="H61" i="82"/>
  <c r="I61" i="82"/>
  <c r="J61" i="82"/>
  <c r="D61" i="82"/>
  <c r="H60" i="82"/>
  <c r="I60" i="82"/>
  <c r="J60" i="82"/>
  <c r="D60" i="82"/>
  <c r="H59" i="82"/>
  <c r="I59" i="82"/>
  <c r="J59" i="82"/>
  <c r="D59" i="82"/>
  <c r="H58" i="82"/>
  <c r="I58" i="82"/>
  <c r="J58" i="82"/>
  <c r="D58" i="82"/>
  <c r="H57" i="82"/>
  <c r="I57" i="82"/>
  <c r="J57" i="82"/>
  <c r="D57" i="82"/>
  <c r="H56" i="82"/>
  <c r="I56" i="82"/>
  <c r="J56" i="82"/>
  <c r="D56" i="82"/>
  <c r="H55" i="82"/>
  <c r="I55" i="82"/>
  <c r="J55" i="82"/>
  <c r="D55" i="82"/>
  <c r="H54" i="82"/>
  <c r="I54" i="82"/>
  <c r="J54" i="82"/>
  <c r="D54" i="82"/>
  <c r="H53" i="82"/>
  <c r="I53" i="82"/>
  <c r="J53" i="82"/>
  <c r="D53" i="82"/>
  <c r="H52" i="82"/>
  <c r="I52" i="82"/>
  <c r="J52" i="82"/>
  <c r="D52" i="82"/>
  <c r="H51" i="82"/>
  <c r="I51" i="82"/>
  <c r="J51" i="82"/>
  <c r="D51" i="82"/>
  <c r="H50" i="82"/>
  <c r="I50" i="82"/>
  <c r="J50" i="82"/>
  <c r="D50" i="82"/>
  <c r="H49" i="82"/>
  <c r="I49" i="82"/>
  <c r="J49" i="82"/>
  <c r="D49" i="82"/>
  <c r="H48" i="82"/>
  <c r="I48" i="82"/>
  <c r="J48" i="82"/>
  <c r="D48" i="82"/>
  <c r="H47" i="82"/>
  <c r="I47" i="82"/>
  <c r="J47" i="82"/>
  <c r="D47" i="82"/>
  <c r="H46" i="82"/>
  <c r="I46" i="82"/>
  <c r="J46" i="82"/>
  <c r="D46" i="82"/>
  <c r="H45" i="82"/>
  <c r="I45" i="82"/>
  <c r="J45" i="82"/>
  <c r="D45" i="82"/>
  <c r="H44" i="82"/>
  <c r="I44" i="82"/>
  <c r="J44" i="82"/>
  <c r="D44" i="82"/>
  <c r="H43" i="82"/>
  <c r="I43" i="82"/>
  <c r="J43" i="82"/>
  <c r="D43" i="82"/>
  <c r="H42" i="82"/>
  <c r="I42" i="82"/>
  <c r="J42" i="82"/>
  <c r="D42" i="82"/>
  <c r="H41" i="82"/>
  <c r="I41" i="82"/>
  <c r="J41" i="82"/>
  <c r="D41" i="82"/>
  <c r="H40" i="82"/>
  <c r="I40" i="82"/>
  <c r="J40" i="82"/>
  <c r="D40" i="82"/>
  <c r="H39" i="82"/>
  <c r="I39" i="82"/>
  <c r="J39" i="82"/>
  <c r="D39" i="82"/>
  <c r="H38" i="82"/>
  <c r="I38" i="82"/>
  <c r="J38" i="82"/>
  <c r="D38" i="82"/>
  <c r="H37" i="82"/>
  <c r="I37" i="82"/>
  <c r="J37" i="82"/>
  <c r="D37" i="82"/>
  <c r="H36" i="82"/>
  <c r="I36" i="82"/>
  <c r="J36" i="82"/>
  <c r="D36" i="82"/>
  <c r="H35" i="82"/>
  <c r="I35" i="82"/>
  <c r="J35" i="82"/>
  <c r="D35" i="82"/>
  <c r="H34" i="82"/>
  <c r="I34" i="82"/>
  <c r="J34" i="82"/>
  <c r="D34" i="82"/>
  <c r="H33" i="82"/>
  <c r="I33" i="82"/>
  <c r="J33" i="82"/>
  <c r="D33" i="82"/>
  <c r="H32" i="82"/>
  <c r="I32" i="82"/>
  <c r="J32" i="82"/>
  <c r="D32" i="82"/>
  <c r="H31" i="82"/>
  <c r="I31" i="82"/>
  <c r="J31" i="82"/>
  <c r="D31" i="82"/>
  <c r="H30" i="82"/>
  <c r="I30" i="82"/>
  <c r="J30" i="82"/>
  <c r="D30" i="82"/>
  <c r="H29" i="82"/>
  <c r="I29" i="82"/>
  <c r="J29" i="82"/>
  <c r="D29" i="82"/>
  <c r="H28" i="82"/>
  <c r="I28" i="82"/>
  <c r="J28" i="82"/>
  <c r="D28" i="82"/>
  <c r="H27" i="82"/>
  <c r="I27" i="82"/>
  <c r="J27" i="82"/>
  <c r="D27" i="82"/>
  <c r="H26" i="82"/>
  <c r="I26" i="82"/>
  <c r="J26" i="82"/>
  <c r="D26" i="82"/>
  <c r="H25" i="82"/>
  <c r="I25" i="82"/>
  <c r="J25" i="82"/>
  <c r="D25" i="82"/>
  <c r="H24" i="82"/>
  <c r="I24" i="82"/>
  <c r="J24" i="82"/>
  <c r="D24" i="82"/>
  <c r="H23" i="82"/>
  <c r="I23" i="82"/>
  <c r="J23" i="82"/>
  <c r="D23" i="82"/>
  <c r="H22" i="82"/>
  <c r="I22" i="82"/>
  <c r="J22" i="82"/>
  <c r="D22" i="82"/>
  <c r="H21" i="82"/>
  <c r="I21" i="82"/>
  <c r="J21" i="82"/>
  <c r="D21" i="82"/>
  <c r="H20" i="82"/>
  <c r="I20" i="82"/>
  <c r="J20" i="82"/>
  <c r="D20" i="82"/>
  <c r="H19" i="82"/>
  <c r="I19" i="82"/>
  <c r="J19" i="82"/>
  <c r="D19" i="82"/>
  <c r="H18" i="82"/>
  <c r="I18" i="82"/>
  <c r="J18" i="82"/>
  <c r="D18" i="82"/>
  <c r="H17" i="82"/>
  <c r="I17" i="82"/>
  <c r="J17" i="82"/>
  <c r="D17" i="82"/>
  <c r="H16" i="82"/>
  <c r="I16" i="82"/>
  <c r="J16" i="82"/>
  <c r="D16" i="82"/>
  <c r="H15" i="82"/>
  <c r="I15" i="82"/>
  <c r="J15" i="82"/>
  <c r="D15" i="82"/>
  <c r="H14" i="82"/>
  <c r="I14" i="82"/>
  <c r="J14" i="82"/>
  <c r="D14" i="82"/>
  <c r="H13" i="82"/>
  <c r="I13" i="82"/>
  <c r="J13" i="82"/>
  <c r="D13" i="82"/>
  <c r="H12" i="82"/>
  <c r="I12" i="82"/>
  <c r="J12" i="82"/>
  <c r="D12" i="82"/>
  <c r="H11" i="82"/>
  <c r="I11" i="82"/>
  <c r="J11" i="82"/>
  <c r="D11" i="82"/>
  <c r="H10" i="82"/>
  <c r="I10" i="82"/>
  <c r="J10" i="82"/>
  <c r="D10" i="82"/>
  <c r="H9" i="82"/>
  <c r="I9" i="82"/>
  <c r="J9" i="82"/>
  <c r="D9" i="82"/>
  <c r="H8" i="82"/>
  <c r="I8" i="82"/>
  <c r="J8" i="82"/>
  <c r="D8" i="82"/>
  <c r="H7" i="82"/>
  <c r="I7" i="82"/>
  <c r="J7" i="82"/>
  <c r="D7" i="82"/>
  <c r="H6" i="82"/>
  <c r="I6" i="82"/>
  <c r="J6" i="82"/>
  <c r="D6" i="82"/>
  <c r="H5" i="82"/>
  <c r="I5" i="82"/>
  <c r="J5" i="82"/>
  <c r="D5" i="82"/>
  <c r="H4" i="82"/>
  <c r="I4" i="82"/>
  <c r="J4" i="82"/>
  <c r="D4" i="82"/>
  <c r="H3" i="82"/>
  <c r="I3" i="82"/>
  <c r="J3" i="82"/>
  <c r="D3" i="82"/>
  <c r="H2" i="82"/>
  <c r="I2" i="82"/>
  <c r="J2" i="82"/>
  <c r="D2" i="82"/>
  <c r="B409" i="82"/>
  <c r="B410" i="82"/>
  <c r="B411" i="82"/>
  <c r="B412" i="82"/>
  <c r="B413" i="82"/>
  <c r="B414" i="82"/>
  <c r="B415" i="82"/>
  <c r="B416" i="82"/>
  <c r="B417" i="82"/>
  <c r="B418" i="82"/>
  <c r="B419" i="82"/>
  <c r="S419" i="82"/>
  <c r="R419" i="82"/>
  <c r="Q419" i="82"/>
  <c r="P419" i="82"/>
  <c r="O419" i="82"/>
  <c r="N419" i="82"/>
  <c r="M419" i="82"/>
  <c r="L419" i="82"/>
  <c r="K419" i="82"/>
  <c r="G419" i="82"/>
  <c r="C419" i="82"/>
  <c r="A419" i="82"/>
  <c r="S418" i="82"/>
  <c r="R418" i="82"/>
  <c r="Q418" i="82"/>
  <c r="P418" i="82"/>
  <c r="O418" i="82"/>
  <c r="N418" i="82"/>
  <c r="M418" i="82"/>
  <c r="L418" i="82"/>
  <c r="K418" i="82"/>
  <c r="G418" i="82"/>
  <c r="C418" i="82"/>
  <c r="A418" i="82"/>
  <c r="S417" i="82"/>
  <c r="R417" i="82"/>
  <c r="Q417" i="82"/>
  <c r="P417" i="82"/>
  <c r="O417" i="82"/>
  <c r="N417" i="82"/>
  <c r="M417" i="82"/>
  <c r="L417" i="82"/>
  <c r="K417" i="82"/>
  <c r="G417" i="82"/>
  <c r="C417" i="82"/>
  <c r="A417" i="82"/>
  <c r="S416" i="82"/>
  <c r="R416" i="82"/>
  <c r="Q416" i="82"/>
  <c r="P416" i="82"/>
  <c r="O416" i="82"/>
  <c r="N416" i="82"/>
  <c r="M416" i="82"/>
  <c r="L416" i="82"/>
  <c r="K416" i="82"/>
  <c r="G416" i="82"/>
  <c r="C416" i="82"/>
  <c r="A416" i="82"/>
  <c r="S415" i="82"/>
  <c r="R415" i="82"/>
  <c r="Q415" i="82"/>
  <c r="P415" i="82"/>
  <c r="O415" i="82"/>
  <c r="N415" i="82"/>
  <c r="M415" i="82"/>
  <c r="L415" i="82"/>
  <c r="K415" i="82"/>
  <c r="G415" i="82"/>
  <c r="C415" i="82"/>
  <c r="A415" i="82"/>
  <c r="S414" i="82"/>
  <c r="R414" i="82"/>
  <c r="Q414" i="82"/>
  <c r="P414" i="82"/>
  <c r="O414" i="82"/>
  <c r="N414" i="82"/>
  <c r="M414" i="82"/>
  <c r="L414" i="82"/>
  <c r="K414" i="82"/>
  <c r="G414" i="82"/>
  <c r="C414" i="82"/>
  <c r="A414" i="82"/>
  <c r="S413" i="82"/>
  <c r="R413" i="82"/>
  <c r="Q413" i="82"/>
  <c r="P413" i="82"/>
  <c r="O413" i="82"/>
  <c r="N413" i="82"/>
  <c r="M413" i="82"/>
  <c r="L413" i="82"/>
  <c r="K413" i="82"/>
  <c r="G413" i="82"/>
  <c r="C413" i="82"/>
  <c r="A413" i="82"/>
  <c r="S412" i="82"/>
  <c r="R412" i="82"/>
  <c r="Q412" i="82"/>
  <c r="P412" i="82"/>
  <c r="O412" i="82"/>
  <c r="N412" i="82"/>
  <c r="M412" i="82"/>
  <c r="L412" i="82"/>
  <c r="K412" i="82"/>
  <c r="G412" i="82"/>
  <c r="C412" i="82"/>
  <c r="A412" i="82"/>
  <c r="S411" i="82"/>
  <c r="R411" i="82"/>
  <c r="Q411" i="82"/>
  <c r="P411" i="82"/>
  <c r="O411" i="82"/>
  <c r="N411" i="82"/>
  <c r="M411" i="82"/>
  <c r="L411" i="82"/>
  <c r="K411" i="82"/>
  <c r="G411" i="82"/>
  <c r="C411" i="82"/>
  <c r="A411" i="82"/>
  <c r="S410" i="82"/>
  <c r="R410" i="82"/>
  <c r="Q410" i="82"/>
  <c r="P410" i="82"/>
  <c r="O410" i="82"/>
  <c r="N410" i="82"/>
  <c r="M410" i="82"/>
  <c r="L410" i="82"/>
  <c r="K410" i="82"/>
  <c r="G410" i="82"/>
  <c r="C410" i="82"/>
  <c r="A410" i="82"/>
  <c r="S409" i="82"/>
  <c r="R409" i="82"/>
  <c r="Q409" i="82"/>
  <c r="P409" i="82"/>
  <c r="O409" i="82"/>
  <c r="N409" i="82"/>
  <c r="M409" i="82"/>
  <c r="L409" i="82"/>
  <c r="K409" i="82"/>
  <c r="G409" i="82"/>
  <c r="C409" i="82"/>
  <c r="A409" i="82"/>
  <c r="S174" i="82"/>
  <c r="R174" i="82"/>
  <c r="Q174" i="82"/>
  <c r="P174" i="82"/>
  <c r="O174" i="82"/>
  <c r="N174" i="82"/>
  <c r="M174" i="82"/>
  <c r="L174" i="82"/>
  <c r="K174" i="82"/>
  <c r="G174" i="82"/>
  <c r="C174" i="82"/>
  <c r="B174" i="82"/>
  <c r="A174" i="82"/>
  <c r="S173" i="82"/>
  <c r="R173" i="82"/>
  <c r="Q173" i="82"/>
  <c r="P173" i="82"/>
  <c r="O173" i="82"/>
  <c r="N173" i="82"/>
  <c r="M173" i="82"/>
  <c r="L173" i="82"/>
  <c r="K173" i="82"/>
  <c r="G173" i="82"/>
  <c r="C173" i="82"/>
  <c r="B173" i="82"/>
  <c r="A173" i="82"/>
  <c r="S172" i="82"/>
  <c r="R172" i="82"/>
  <c r="Q172" i="82"/>
  <c r="P172" i="82"/>
  <c r="O172" i="82"/>
  <c r="N172" i="82"/>
  <c r="M172" i="82"/>
  <c r="L172" i="82"/>
  <c r="K172" i="82"/>
  <c r="G172" i="82"/>
  <c r="C172" i="82"/>
  <c r="B172" i="82"/>
  <c r="A172" i="82"/>
  <c r="S171" i="82"/>
  <c r="R171" i="82"/>
  <c r="Q171" i="82"/>
  <c r="P171" i="82"/>
  <c r="O171" i="82"/>
  <c r="N171" i="82"/>
  <c r="M171" i="82"/>
  <c r="L171" i="82"/>
  <c r="K171" i="82"/>
  <c r="G171" i="82"/>
  <c r="C171" i="82"/>
  <c r="B171" i="82"/>
  <c r="A171" i="82"/>
  <c r="S170" i="82"/>
  <c r="R170" i="82"/>
  <c r="Q170" i="82"/>
  <c r="P170" i="82"/>
  <c r="O170" i="82"/>
  <c r="N170" i="82"/>
  <c r="M170" i="82"/>
  <c r="L170" i="82"/>
  <c r="K170" i="82"/>
  <c r="G170" i="82"/>
  <c r="C170" i="82"/>
  <c r="B170" i="82"/>
  <c r="A170" i="82"/>
  <c r="S169" i="82"/>
  <c r="R169" i="82"/>
  <c r="Q169" i="82"/>
  <c r="P169" i="82"/>
  <c r="O169" i="82"/>
  <c r="N169" i="82"/>
  <c r="M169" i="82"/>
  <c r="L169" i="82"/>
  <c r="K169" i="82"/>
  <c r="G169" i="82"/>
  <c r="C169" i="82"/>
  <c r="B169" i="82"/>
  <c r="A169" i="82"/>
  <c r="S168" i="82"/>
  <c r="R168" i="82"/>
  <c r="Q168" i="82"/>
  <c r="P168" i="82"/>
  <c r="O168" i="82"/>
  <c r="N168" i="82"/>
  <c r="M168" i="82"/>
  <c r="L168" i="82"/>
  <c r="K168" i="82"/>
  <c r="G168" i="82"/>
  <c r="C168" i="82"/>
  <c r="B168" i="82"/>
  <c r="A168" i="82"/>
  <c r="S167" i="82"/>
  <c r="R167" i="82"/>
  <c r="Q167" i="82"/>
  <c r="P167" i="82"/>
  <c r="O167" i="82"/>
  <c r="N167" i="82"/>
  <c r="M167" i="82"/>
  <c r="L167" i="82"/>
  <c r="K167" i="82"/>
  <c r="G167" i="82"/>
  <c r="C167" i="82"/>
  <c r="B167" i="82"/>
  <c r="A167" i="82"/>
  <c r="S166" i="82"/>
  <c r="R166" i="82"/>
  <c r="Q166" i="82"/>
  <c r="P166" i="82"/>
  <c r="O166" i="82"/>
  <c r="N166" i="82"/>
  <c r="M166" i="82"/>
  <c r="L166" i="82"/>
  <c r="K166" i="82"/>
  <c r="G166" i="82"/>
  <c r="C166" i="82"/>
  <c r="B166" i="82"/>
  <c r="A166" i="82"/>
  <c r="B408" i="82"/>
  <c r="B407" i="82"/>
  <c r="B406" i="82"/>
  <c r="B405" i="82"/>
  <c r="B404" i="82"/>
  <c r="B403" i="82"/>
  <c r="B402" i="82"/>
  <c r="B401" i="82"/>
  <c r="B400" i="82"/>
  <c r="B399" i="82"/>
  <c r="B398" i="82"/>
  <c r="B397" i="82"/>
  <c r="B396" i="82"/>
  <c r="B395" i="82"/>
  <c r="B394" i="82"/>
  <c r="B393" i="82"/>
  <c r="B392" i="82"/>
  <c r="B391" i="82"/>
  <c r="B390" i="82"/>
  <c r="B389" i="82"/>
  <c r="B388" i="82"/>
  <c r="B387" i="82"/>
  <c r="B386" i="82"/>
  <c r="B385" i="82"/>
  <c r="B384" i="82"/>
  <c r="B383" i="82"/>
  <c r="B382" i="82"/>
  <c r="B381" i="82"/>
  <c r="B380" i="82"/>
  <c r="B379" i="82"/>
  <c r="B378" i="82"/>
  <c r="B377" i="82"/>
  <c r="B376" i="82"/>
  <c r="B375" i="82"/>
  <c r="B374" i="82"/>
  <c r="B373" i="82"/>
  <c r="B372" i="82"/>
  <c r="B371" i="82"/>
  <c r="B370" i="82"/>
  <c r="B369" i="82"/>
  <c r="B368" i="82"/>
  <c r="B367" i="82"/>
  <c r="B366" i="82"/>
  <c r="B365" i="82"/>
  <c r="B364" i="82"/>
  <c r="B363" i="82"/>
  <c r="B362" i="82"/>
  <c r="B361" i="82"/>
  <c r="B360" i="82"/>
  <c r="B359" i="82"/>
  <c r="B358" i="82"/>
  <c r="B357" i="82"/>
  <c r="B356" i="82"/>
  <c r="B355" i="82"/>
  <c r="B354" i="82"/>
  <c r="B353" i="82"/>
  <c r="B352" i="82"/>
  <c r="B351" i="82"/>
  <c r="B350" i="82"/>
  <c r="B349" i="82"/>
  <c r="B348" i="82"/>
  <c r="B347" i="82"/>
  <c r="B346" i="82"/>
  <c r="B345" i="82"/>
  <c r="B344" i="82"/>
  <c r="B343" i="82"/>
  <c r="B342" i="82"/>
  <c r="B341" i="82"/>
  <c r="B340" i="82"/>
  <c r="B339" i="82"/>
  <c r="B338" i="82"/>
  <c r="B337" i="82"/>
  <c r="B336" i="82"/>
  <c r="B335" i="82"/>
  <c r="B334" i="82"/>
  <c r="B333" i="82"/>
  <c r="B332" i="82"/>
  <c r="B331" i="82"/>
  <c r="B330" i="82"/>
  <c r="B329" i="82"/>
  <c r="B328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M3" i="82"/>
  <c r="M4" i="82"/>
  <c r="A23" i="94"/>
  <c r="A24" i="94"/>
  <c r="A25" i="94"/>
  <c r="A29" i="94"/>
  <c r="A30" i="94"/>
  <c r="A31" i="94"/>
  <c r="A32" i="94"/>
  <c r="A37" i="94"/>
  <c r="A38" i="94"/>
  <c r="A39" i="94"/>
  <c r="A40" i="94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2" i="82"/>
  <c r="N2" i="82"/>
  <c r="A26" i="94"/>
  <c r="A27" i="94"/>
  <c r="A28" i="94"/>
  <c r="A33" i="94"/>
  <c r="A34" i="94"/>
  <c r="A35" i="94"/>
  <c r="A36" i="94"/>
  <c r="A41" i="94"/>
  <c r="A42" i="94"/>
  <c r="A43" i="94"/>
  <c r="S165" i="82"/>
  <c r="R165" i="82"/>
  <c r="Q165" i="82"/>
  <c r="P165" i="82"/>
  <c r="O165" i="82"/>
  <c r="N165" i="82"/>
  <c r="L165" i="82"/>
  <c r="K165" i="82"/>
  <c r="G165" i="82"/>
  <c r="C165" i="82"/>
  <c r="A165" i="82"/>
  <c r="B2" i="104"/>
  <c r="B3" i="104"/>
  <c r="B4" i="104"/>
  <c r="B5" i="104"/>
  <c r="B6" i="104"/>
  <c r="B7" i="104"/>
  <c r="B8" i="104"/>
  <c r="B9" i="104"/>
  <c r="B10" i="104"/>
  <c r="B11" i="104"/>
  <c r="B12" i="104"/>
  <c r="A158" i="82"/>
  <c r="C158" i="82"/>
  <c r="G158" i="82"/>
  <c r="K158" i="82"/>
  <c r="L158" i="82"/>
  <c r="N158" i="82"/>
  <c r="O158" i="82"/>
  <c r="P158" i="82"/>
  <c r="Q158" i="82"/>
  <c r="R158" i="82"/>
  <c r="S158" i="82"/>
  <c r="A159" i="82"/>
  <c r="C159" i="82"/>
  <c r="G159" i="82"/>
  <c r="K159" i="82"/>
  <c r="L159" i="82"/>
  <c r="N159" i="82"/>
  <c r="O159" i="82"/>
  <c r="P159" i="82"/>
  <c r="Q159" i="82"/>
  <c r="R159" i="82"/>
  <c r="S159" i="82"/>
  <c r="A160" i="82"/>
  <c r="C160" i="82"/>
  <c r="G160" i="82"/>
  <c r="K160" i="82"/>
  <c r="L160" i="82"/>
  <c r="N160" i="82"/>
  <c r="O160" i="82"/>
  <c r="P160" i="82"/>
  <c r="Q160" i="82"/>
  <c r="R160" i="82"/>
  <c r="S160" i="82"/>
  <c r="A161" i="82"/>
  <c r="C161" i="82"/>
  <c r="G161" i="82"/>
  <c r="K161" i="82"/>
  <c r="L161" i="82"/>
  <c r="N161" i="82"/>
  <c r="O161" i="82"/>
  <c r="P161" i="82"/>
  <c r="Q161" i="82"/>
  <c r="R161" i="82"/>
  <c r="S161" i="82"/>
  <c r="A162" i="82"/>
  <c r="C162" i="82"/>
  <c r="G162" i="82"/>
  <c r="K162" i="82"/>
  <c r="L162" i="82"/>
  <c r="N162" i="82"/>
  <c r="O162" i="82"/>
  <c r="P162" i="82"/>
  <c r="Q162" i="82"/>
  <c r="R162" i="82"/>
  <c r="S162" i="82"/>
  <c r="A163" i="82"/>
  <c r="C163" i="82"/>
  <c r="G163" i="82"/>
  <c r="K163" i="82"/>
  <c r="L163" i="82"/>
  <c r="N163" i="82"/>
  <c r="O163" i="82"/>
  <c r="P163" i="82"/>
  <c r="Q163" i="82"/>
  <c r="R163" i="82"/>
  <c r="S163" i="82"/>
  <c r="A164" i="82"/>
  <c r="C164" i="82"/>
  <c r="G164" i="82"/>
  <c r="K164" i="82"/>
  <c r="L164" i="82"/>
  <c r="N164" i="82"/>
  <c r="O164" i="82"/>
  <c r="P164" i="82"/>
  <c r="Q164" i="82"/>
  <c r="R164" i="82"/>
  <c r="S164" i="82"/>
  <c r="A398" i="82"/>
  <c r="C398" i="82"/>
  <c r="G398" i="82"/>
  <c r="K398" i="82"/>
  <c r="L398" i="82"/>
  <c r="M398" i="82"/>
  <c r="N398" i="82"/>
  <c r="O398" i="82"/>
  <c r="P398" i="82"/>
  <c r="Q398" i="82"/>
  <c r="R398" i="82"/>
  <c r="S398" i="82"/>
  <c r="A399" i="82"/>
  <c r="C399" i="82"/>
  <c r="G399" i="82"/>
  <c r="K399" i="82"/>
  <c r="L399" i="82"/>
  <c r="M399" i="82"/>
  <c r="N399" i="82"/>
  <c r="O399" i="82"/>
  <c r="P399" i="82"/>
  <c r="Q399" i="82"/>
  <c r="R399" i="82"/>
  <c r="S399" i="82"/>
  <c r="A400" i="82"/>
  <c r="C400" i="82"/>
  <c r="G400" i="82"/>
  <c r="K400" i="82"/>
  <c r="L400" i="82"/>
  <c r="M400" i="82"/>
  <c r="N400" i="82"/>
  <c r="O400" i="82"/>
  <c r="P400" i="82"/>
  <c r="Q400" i="82"/>
  <c r="R400" i="82"/>
  <c r="S400" i="82"/>
  <c r="A401" i="82"/>
  <c r="C401" i="82"/>
  <c r="G401" i="82"/>
  <c r="K401" i="82"/>
  <c r="L401" i="82"/>
  <c r="M401" i="82"/>
  <c r="N401" i="82"/>
  <c r="O401" i="82"/>
  <c r="P401" i="82"/>
  <c r="Q401" i="82"/>
  <c r="R401" i="82"/>
  <c r="S401" i="82"/>
  <c r="A402" i="82"/>
  <c r="C402" i="82"/>
  <c r="G402" i="82"/>
  <c r="K402" i="82"/>
  <c r="L402" i="82"/>
  <c r="M402" i="82"/>
  <c r="N402" i="82"/>
  <c r="O402" i="82"/>
  <c r="P402" i="82"/>
  <c r="Q402" i="82"/>
  <c r="R402" i="82"/>
  <c r="S402" i="82"/>
  <c r="A403" i="82"/>
  <c r="C403" i="82"/>
  <c r="G403" i="82"/>
  <c r="K403" i="82"/>
  <c r="L403" i="82"/>
  <c r="M403" i="82"/>
  <c r="N403" i="82"/>
  <c r="O403" i="82"/>
  <c r="P403" i="82"/>
  <c r="Q403" i="82"/>
  <c r="R403" i="82"/>
  <c r="S403" i="82"/>
  <c r="A404" i="82"/>
  <c r="C404" i="82"/>
  <c r="G404" i="82"/>
  <c r="K404" i="82"/>
  <c r="L404" i="82"/>
  <c r="M404" i="82"/>
  <c r="N404" i="82"/>
  <c r="O404" i="82"/>
  <c r="P404" i="82"/>
  <c r="Q404" i="82"/>
  <c r="R404" i="82"/>
  <c r="S404" i="82"/>
  <c r="A405" i="82"/>
  <c r="C405" i="82"/>
  <c r="G405" i="82"/>
  <c r="K405" i="82"/>
  <c r="L405" i="82"/>
  <c r="M405" i="82"/>
  <c r="N405" i="82"/>
  <c r="O405" i="82"/>
  <c r="P405" i="82"/>
  <c r="Q405" i="82"/>
  <c r="R405" i="82"/>
  <c r="S405" i="82"/>
  <c r="A406" i="82"/>
  <c r="C406" i="82"/>
  <c r="G406" i="82"/>
  <c r="K406" i="82"/>
  <c r="L406" i="82"/>
  <c r="M406" i="82"/>
  <c r="N406" i="82"/>
  <c r="O406" i="82"/>
  <c r="P406" i="82"/>
  <c r="Q406" i="82"/>
  <c r="R406" i="82"/>
  <c r="S406" i="82"/>
  <c r="A407" i="82"/>
  <c r="C407" i="82"/>
  <c r="G407" i="82"/>
  <c r="K407" i="82"/>
  <c r="L407" i="82"/>
  <c r="M407" i="82"/>
  <c r="N407" i="82"/>
  <c r="O407" i="82"/>
  <c r="P407" i="82"/>
  <c r="Q407" i="82"/>
  <c r="R407" i="82"/>
  <c r="S407" i="82"/>
  <c r="A408" i="82"/>
  <c r="C408" i="82"/>
  <c r="G408" i="82"/>
  <c r="K408" i="82"/>
  <c r="L408" i="82"/>
  <c r="M408" i="82"/>
  <c r="N408" i="82"/>
  <c r="O408" i="82"/>
  <c r="P408" i="82"/>
  <c r="Q408" i="82"/>
  <c r="R408" i="82"/>
  <c r="S408" i="82"/>
  <c r="H5" i="105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G13" i="105"/>
  <c r="E5" i="105"/>
  <c r="D13" i="105"/>
  <c r="B5" i="105"/>
  <c r="A13" i="105"/>
  <c r="G16" i="105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D16" i="105"/>
  <c r="A16" i="105"/>
  <c r="B48" i="104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M397" i="82"/>
  <c r="S397" i="82"/>
  <c r="R397" i="82"/>
  <c r="Q397" i="82"/>
  <c r="P397" i="82"/>
  <c r="O397" i="82"/>
  <c r="L397" i="82"/>
  <c r="K397" i="82"/>
  <c r="G397" i="82"/>
  <c r="C397" i="82"/>
  <c r="A397" i="82"/>
  <c r="S396" i="82"/>
  <c r="R396" i="82"/>
  <c r="Q396" i="82"/>
  <c r="P396" i="82"/>
  <c r="O396" i="82"/>
  <c r="L396" i="82"/>
  <c r="K396" i="82"/>
  <c r="G396" i="82"/>
  <c r="C396" i="82"/>
  <c r="A396" i="82"/>
  <c r="S395" i="82"/>
  <c r="R395" i="82"/>
  <c r="Q395" i="82"/>
  <c r="P395" i="82"/>
  <c r="O395" i="82"/>
  <c r="L395" i="82"/>
  <c r="K395" i="82"/>
  <c r="G395" i="82"/>
  <c r="C395" i="82"/>
  <c r="A395" i="82"/>
  <c r="S394" i="82"/>
  <c r="R394" i="82"/>
  <c r="Q394" i="82"/>
  <c r="P394" i="82"/>
  <c r="O394" i="82"/>
  <c r="L394" i="82"/>
  <c r="K394" i="82"/>
  <c r="G394" i="82"/>
  <c r="C394" i="82"/>
  <c r="A394" i="82"/>
  <c r="S393" i="82"/>
  <c r="R393" i="82"/>
  <c r="Q393" i="82"/>
  <c r="P393" i="82"/>
  <c r="O393" i="82"/>
  <c r="L393" i="82"/>
  <c r="K393" i="82"/>
  <c r="G393" i="82"/>
  <c r="C393" i="82"/>
  <c r="A393" i="82"/>
  <c r="S392" i="82"/>
  <c r="R392" i="82"/>
  <c r="Q392" i="82"/>
  <c r="P392" i="82"/>
  <c r="O392" i="82"/>
  <c r="L392" i="82"/>
  <c r="K392" i="82"/>
  <c r="G392" i="82"/>
  <c r="C392" i="82"/>
  <c r="A392" i="82"/>
  <c r="S391" i="82"/>
  <c r="R391" i="82"/>
  <c r="Q391" i="82"/>
  <c r="P391" i="82"/>
  <c r="O391" i="82"/>
  <c r="L391" i="82"/>
  <c r="K391" i="82"/>
  <c r="G391" i="82"/>
  <c r="C391" i="82"/>
  <c r="A391" i="82"/>
  <c r="S390" i="82"/>
  <c r="R390" i="82"/>
  <c r="Q390" i="82"/>
  <c r="P390" i="82"/>
  <c r="O390" i="82"/>
  <c r="L390" i="82"/>
  <c r="K390" i="82"/>
  <c r="G390" i="82"/>
  <c r="C390" i="82"/>
  <c r="A390" i="82"/>
  <c r="S389" i="82"/>
  <c r="R389" i="82"/>
  <c r="Q389" i="82"/>
  <c r="P389" i="82"/>
  <c r="O389" i="82"/>
  <c r="L389" i="82"/>
  <c r="K389" i="82"/>
  <c r="G389" i="82"/>
  <c r="C389" i="82"/>
  <c r="A389" i="82"/>
  <c r="S388" i="82"/>
  <c r="R388" i="82"/>
  <c r="Q388" i="82"/>
  <c r="P388" i="82"/>
  <c r="O388" i="82"/>
  <c r="L388" i="82"/>
  <c r="K388" i="82"/>
  <c r="G388" i="82"/>
  <c r="C388" i="82"/>
  <c r="A388" i="82"/>
  <c r="S387" i="82"/>
  <c r="R387" i="82"/>
  <c r="Q387" i="82"/>
  <c r="P387" i="82"/>
  <c r="O387" i="82"/>
  <c r="L387" i="82"/>
  <c r="K387" i="82"/>
  <c r="G387" i="82"/>
  <c r="C387" i="82"/>
  <c r="A387" i="82"/>
  <c r="S386" i="82"/>
  <c r="R386" i="82"/>
  <c r="Q386" i="82"/>
  <c r="P386" i="82"/>
  <c r="O386" i="82"/>
  <c r="L386" i="82"/>
  <c r="K386" i="82"/>
  <c r="G386" i="82"/>
  <c r="C386" i="82"/>
  <c r="A386" i="82"/>
  <c r="S385" i="82"/>
  <c r="R385" i="82"/>
  <c r="Q385" i="82"/>
  <c r="P385" i="82"/>
  <c r="O385" i="82"/>
  <c r="L385" i="82"/>
  <c r="K385" i="82"/>
  <c r="G385" i="82"/>
  <c r="C385" i="82"/>
  <c r="A385" i="82"/>
  <c r="S384" i="82"/>
  <c r="R384" i="82"/>
  <c r="Q384" i="82"/>
  <c r="P384" i="82"/>
  <c r="O384" i="82"/>
  <c r="L384" i="82"/>
  <c r="K384" i="82"/>
  <c r="G384" i="82"/>
  <c r="C384" i="82"/>
  <c r="A384" i="82"/>
  <c r="S383" i="82"/>
  <c r="R383" i="82"/>
  <c r="Q383" i="82"/>
  <c r="P383" i="82"/>
  <c r="O383" i="82"/>
  <c r="L383" i="82"/>
  <c r="K383" i="82"/>
  <c r="G383" i="82"/>
  <c r="C383" i="82"/>
  <c r="A383" i="82"/>
  <c r="S382" i="82"/>
  <c r="R382" i="82"/>
  <c r="Q382" i="82"/>
  <c r="P382" i="82"/>
  <c r="O382" i="82"/>
  <c r="L382" i="82"/>
  <c r="K382" i="82"/>
  <c r="G382" i="82"/>
  <c r="C382" i="82"/>
  <c r="A382" i="82"/>
  <c r="S381" i="82"/>
  <c r="R381" i="82"/>
  <c r="Q381" i="82"/>
  <c r="P381" i="82"/>
  <c r="O381" i="82"/>
  <c r="L381" i="82"/>
  <c r="K381" i="82"/>
  <c r="G381" i="82"/>
  <c r="C381" i="82"/>
  <c r="A381" i="82"/>
  <c r="S380" i="82"/>
  <c r="R380" i="82"/>
  <c r="Q380" i="82"/>
  <c r="P380" i="82"/>
  <c r="O380" i="82"/>
  <c r="L380" i="82"/>
  <c r="K380" i="82"/>
  <c r="G380" i="82"/>
  <c r="C380" i="82"/>
  <c r="A380" i="82"/>
  <c r="S379" i="82"/>
  <c r="R379" i="82"/>
  <c r="Q379" i="82"/>
  <c r="P379" i="82"/>
  <c r="O379" i="82"/>
  <c r="L379" i="82"/>
  <c r="K379" i="82"/>
  <c r="G379" i="82"/>
  <c r="C379" i="82"/>
  <c r="A379" i="82"/>
  <c r="S378" i="82"/>
  <c r="R378" i="82"/>
  <c r="Q378" i="82"/>
  <c r="P378" i="82"/>
  <c r="O378" i="82"/>
  <c r="L378" i="82"/>
  <c r="K378" i="82"/>
  <c r="G378" i="82"/>
  <c r="C378" i="82"/>
  <c r="A378" i="82"/>
  <c r="S377" i="82"/>
  <c r="R377" i="82"/>
  <c r="Q377" i="82"/>
  <c r="P377" i="82"/>
  <c r="O377" i="82"/>
  <c r="L377" i="82"/>
  <c r="K377" i="82"/>
  <c r="G377" i="82"/>
  <c r="C377" i="82"/>
  <c r="A377" i="82"/>
  <c r="S376" i="82"/>
  <c r="R376" i="82"/>
  <c r="Q376" i="82"/>
  <c r="P376" i="82"/>
  <c r="O376" i="82"/>
  <c r="L376" i="82"/>
  <c r="K376" i="82"/>
  <c r="G376" i="82"/>
  <c r="C376" i="82"/>
  <c r="A376" i="82"/>
  <c r="S375" i="82"/>
  <c r="R375" i="82"/>
  <c r="Q375" i="82"/>
  <c r="P375" i="82"/>
  <c r="O375" i="82"/>
  <c r="L375" i="82"/>
  <c r="K375" i="82"/>
  <c r="G375" i="82"/>
  <c r="C375" i="82"/>
  <c r="A375" i="82"/>
  <c r="S374" i="82"/>
  <c r="R374" i="82"/>
  <c r="Q374" i="82"/>
  <c r="P374" i="82"/>
  <c r="O374" i="82"/>
  <c r="L374" i="82"/>
  <c r="K374" i="82"/>
  <c r="G374" i="82"/>
  <c r="C374" i="82"/>
  <c r="A374" i="82"/>
  <c r="S373" i="82"/>
  <c r="R373" i="82"/>
  <c r="Q373" i="82"/>
  <c r="P373" i="82"/>
  <c r="O373" i="82"/>
  <c r="L373" i="82"/>
  <c r="K373" i="82"/>
  <c r="G373" i="82"/>
  <c r="C373" i="82"/>
  <c r="A373" i="82"/>
  <c r="S372" i="82"/>
  <c r="R372" i="82"/>
  <c r="Q372" i="82"/>
  <c r="P372" i="82"/>
  <c r="O372" i="82"/>
  <c r="L372" i="82"/>
  <c r="K372" i="82"/>
  <c r="G372" i="82"/>
  <c r="C372" i="82"/>
  <c r="A372" i="82"/>
  <c r="S371" i="82"/>
  <c r="R371" i="82"/>
  <c r="Q371" i="82"/>
  <c r="P371" i="82"/>
  <c r="O371" i="82"/>
  <c r="L371" i="82"/>
  <c r="K371" i="82"/>
  <c r="G371" i="82"/>
  <c r="C371" i="82"/>
  <c r="A371" i="82"/>
  <c r="S370" i="82"/>
  <c r="R370" i="82"/>
  <c r="Q370" i="82"/>
  <c r="P370" i="82"/>
  <c r="O370" i="82"/>
  <c r="L370" i="82"/>
  <c r="K370" i="82"/>
  <c r="G370" i="82"/>
  <c r="C370" i="82"/>
  <c r="A370" i="82"/>
  <c r="S369" i="82"/>
  <c r="R369" i="82"/>
  <c r="Q369" i="82"/>
  <c r="P369" i="82"/>
  <c r="O369" i="82"/>
  <c r="L369" i="82"/>
  <c r="K369" i="82"/>
  <c r="G369" i="82"/>
  <c r="C369" i="82"/>
  <c r="A369" i="82"/>
  <c r="S368" i="82"/>
  <c r="R368" i="82"/>
  <c r="Q368" i="82"/>
  <c r="P368" i="82"/>
  <c r="O368" i="82"/>
  <c r="L368" i="82"/>
  <c r="K368" i="82"/>
  <c r="G368" i="82"/>
  <c r="C368" i="82"/>
  <c r="A368" i="82"/>
  <c r="S367" i="82"/>
  <c r="R367" i="82"/>
  <c r="Q367" i="82"/>
  <c r="P367" i="82"/>
  <c r="O367" i="82"/>
  <c r="L367" i="82"/>
  <c r="K367" i="82"/>
  <c r="G367" i="82"/>
  <c r="C367" i="82"/>
  <c r="A367" i="82"/>
  <c r="S366" i="82"/>
  <c r="R366" i="82"/>
  <c r="Q366" i="82"/>
  <c r="P366" i="82"/>
  <c r="O366" i="82"/>
  <c r="L366" i="82"/>
  <c r="K366" i="82"/>
  <c r="G366" i="82"/>
  <c r="C366" i="82"/>
  <c r="A366" i="82"/>
  <c r="S365" i="82"/>
  <c r="R365" i="82"/>
  <c r="Q365" i="82"/>
  <c r="P365" i="82"/>
  <c r="O365" i="82"/>
  <c r="L365" i="82"/>
  <c r="K365" i="82"/>
  <c r="G365" i="82"/>
  <c r="C365" i="82"/>
  <c r="A365" i="82"/>
  <c r="S364" i="82"/>
  <c r="R364" i="82"/>
  <c r="Q364" i="82"/>
  <c r="P364" i="82"/>
  <c r="O364" i="82"/>
  <c r="L364" i="82"/>
  <c r="K364" i="82"/>
  <c r="G364" i="82"/>
  <c r="C364" i="82"/>
  <c r="A364" i="82"/>
  <c r="S363" i="82"/>
  <c r="R363" i="82"/>
  <c r="Q363" i="82"/>
  <c r="P363" i="82"/>
  <c r="O363" i="82"/>
  <c r="L363" i="82"/>
  <c r="K363" i="82"/>
  <c r="G363" i="82"/>
  <c r="C363" i="82"/>
  <c r="A363" i="82"/>
  <c r="S362" i="82"/>
  <c r="R362" i="82"/>
  <c r="Q362" i="82"/>
  <c r="P362" i="82"/>
  <c r="O362" i="82"/>
  <c r="L362" i="82"/>
  <c r="K362" i="82"/>
  <c r="G362" i="82"/>
  <c r="C362" i="82"/>
  <c r="A362" i="82"/>
  <c r="S361" i="82"/>
  <c r="R361" i="82"/>
  <c r="Q361" i="82"/>
  <c r="P361" i="82"/>
  <c r="O361" i="82"/>
  <c r="L361" i="82"/>
  <c r="K361" i="82"/>
  <c r="G361" i="82"/>
  <c r="C361" i="82"/>
  <c r="A361" i="82"/>
  <c r="S360" i="82"/>
  <c r="R360" i="82"/>
  <c r="Q360" i="82"/>
  <c r="P360" i="82"/>
  <c r="O360" i="82"/>
  <c r="L360" i="82"/>
  <c r="K360" i="82"/>
  <c r="G360" i="82"/>
  <c r="C360" i="82"/>
  <c r="A360" i="82"/>
  <c r="S359" i="82"/>
  <c r="R359" i="82"/>
  <c r="Q359" i="82"/>
  <c r="P359" i="82"/>
  <c r="O359" i="82"/>
  <c r="L359" i="82"/>
  <c r="K359" i="82"/>
  <c r="G359" i="82"/>
  <c r="C359" i="82"/>
  <c r="A359" i="82"/>
  <c r="S358" i="82"/>
  <c r="R358" i="82"/>
  <c r="Q358" i="82"/>
  <c r="P358" i="82"/>
  <c r="O358" i="82"/>
  <c r="L358" i="82"/>
  <c r="K358" i="82"/>
  <c r="G358" i="82"/>
  <c r="C358" i="82"/>
  <c r="A358" i="82"/>
  <c r="S357" i="82"/>
  <c r="R357" i="82"/>
  <c r="Q357" i="82"/>
  <c r="P357" i="82"/>
  <c r="O357" i="82"/>
  <c r="L357" i="82"/>
  <c r="K357" i="82"/>
  <c r="G357" i="82"/>
  <c r="C357" i="82"/>
  <c r="A357" i="82"/>
  <c r="S356" i="82"/>
  <c r="R356" i="82"/>
  <c r="Q356" i="82"/>
  <c r="P356" i="82"/>
  <c r="O356" i="82"/>
  <c r="L356" i="82"/>
  <c r="K356" i="82"/>
  <c r="G356" i="82"/>
  <c r="C356" i="82"/>
  <c r="A356" i="82"/>
  <c r="S355" i="82"/>
  <c r="R355" i="82"/>
  <c r="Q355" i="82"/>
  <c r="P355" i="82"/>
  <c r="O355" i="82"/>
  <c r="L355" i="82"/>
  <c r="K355" i="82"/>
  <c r="G355" i="82"/>
  <c r="C355" i="82"/>
  <c r="A355" i="82"/>
  <c r="S354" i="82"/>
  <c r="R354" i="82"/>
  <c r="Q354" i="82"/>
  <c r="P354" i="82"/>
  <c r="O354" i="82"/>
  <c r="L354" i="82"/>
  <c r="K354" i="82"/>
  <c r="G354" i="82"/>
  <c r="C354" i="82"/>
  <c r="A354" i="82"/>
  <c r="S353" i="82"/>
  <c r="R353" i="82"/>
  <c r="Q353" i="82"/>
  <c r="P353" i="82"/>
  <c r="O353" i="82"/>
  <c r="L353" i="82"/>
  <c r="K353" i="82"/>
  <c r="G353" i="82"/>
  <c r="C353" i="82"/>
  <c r="A353" i="82"/>
  <c r="S352" i="82"/>
  <c r="R352" i="82"/>
  <c r="Q352" i="82"/>
  <c r="P352" i="82"/>
  <c r="O352" i="82"/>
  <c r="L352" i="82"/>
  <c r="K352" i="82"/>
  <c r="G352" i="82"/>
  <c r="C352" i="82"/>
  <c r="A352" i="82"/>
  <c r="S351" i="82"/>
  <c r="R351" i="82"/>
  <c r="Q351" i="82"/>
  <c r="P351" i="82"/>
  <c r="O351" i="82"/>
  <c r="L351" i="82"/>
  <c r="K351" i="82"/>
  <c r="G351" i="82"/>
  <c r="C351" i="82"/>
  <c r="A351" i="82"/>
  <c r="S350" i="82"/>
  <c r="R350" i="82"/>
  <c r="Q350" i="82"/>
  <c r="P350" i="82"/>
  <c r="O350" i="82"/>
  <c r="L350" i="82"/>
  <c r="K350" i="82"/>
  <c r="G350" i="82"/>
  <c r="C350" i="82"/>
  <c r="A350" i="82"/>
  <c r="S349" i="82"/>
  <c r="R349" i="82"/>
  <c r="Q349" i="82"/>
  <c r="P349" i="82"/>
  <c r="O349" i="82"/>
  <c r="L349" i="82"/>
  <c r="K349" i="82"/>
  <c r="G349" i="82"/>
  <c r="C349" i="82"/>
  <c r="A349" i="82"/>
  <c r="S348" i="82"/>
  <c r="R348" i="82"/>
  <c r="Q348" i="82"/>
  <c r="P348" i="82"/>
  <c r="O348" i="82"/>
  <c r="L348" i="82"/>
  <c r="K348" i="82"/>
  <c r="G348" i="82"/>
  <c r="C348" i="82"/>
  <c r="A348" i="82"/>
  <c r="S347" i="82"/>
  <c r="R347" i="82"/>
  <c r="Q347" i="82"/>
  <c r="P347" i="82"/>
  <c r="O347" i="82"/>
  <c r="L347" i="82"/>
  <c r="K347" i="82"/>
  <c r="G347" i="82"/>
  <c r="C347" i="82"/>
  <c r="A347" i="82"/>
  <c r="S346" i="82"/>
  <c r="R346" i="82"/>
  <c r="Q346" i="82"/>
  <c r="P346" i="82"/>
  <c r="O346" i="82"/>
  <c r="L346" i="82"/>
  <c r="K346" i="82"/>
  <c r="G346" i="82"/>
  <c r="C346" i="82"/>
  <c r="A346" i="82"/>
  <c r="S345" i="82"/>
  <c r="R345" i="82"/>
  <c r="Q345" i="82"/>
  <c r="P345" i="82"/>
  <c r="O345" i="82"/>
  <c r="L345" i="82"/>
  <c r="K345" i="82"/>
  <c r="G345" i="82"/>
  <c r="C345" i="82"/>
  <c r="A345" i="82"/>
  <c r="S344" i="82"/>
  <c r="R344" i="82"/>
  <c r="Q344" i="82"/>
  <c r="P344" i="82"/>
  <c r="O344" i="82"/>
  <c r="L344" i="82"/>
  <c r="K344" i="82"/>
  <c r="G344" i="82"/>
  <c r="C344" i="82"/>
  <c r="A344" i="82"/>
  <c r="S343" i="82"/>
  <c r="R343" i="82"/>
  <c r="Q343" i="82"/>
  <c r="P343" i="82"/>
  <c r="O343" i="82"/>
  <c r="L343" i="82"/>
  <c r="K343" i="82"/>
  <c r="G343" i="82"/>
  <c r="C343" i="82"/>
  <c r="A343" i="82"/>
  <c r="S342" i="82"/>
  <c r="R342" i="82"/>
  <c r="Q342" i="82"/>
  <c r="P342" i="82"/>
  <c r="O342" i="82"/>
  <c r="L342" i="82"/>
  <c r="K342" i="82"/>
  <c r="G342" i="82"/>
  <c r="C342" i="82"/>
  <c r="A342" i="82"/>
  <c r="S341" i="82"/>
  <c r="R341" i="82"/>
  <c r="Q341" i="82"/>
  <c r="P341" i="82"/>
  <c r="O341" i="82"/>
  <c r="L341" i="82"/>
  <c r="K341" i="82"/>
  <c r="G341" i="82"/>
  <c r="C341" i="82"/>
  <c r="A341" i="82"/>
  <c r="S340" i="82"/>
  <c r="R340" i="82"/>
  <c r="Q340" i="82"/>
  <c r="P340" i="82"/>
  <c r="O340" i="82"/>
  <c r="L340" i="82"/>
  <c r="K340" i="82"/>
  <c r="G340" i="82"/>
  <c r="C340" i="82"/>
  <c r="A340" i="82"/>
  <c r="S339" i="82"/>
  <c r="R339" i="82"/>
  <c r="Q339" i="82"/>
  <c r="P339" i="82"/>
  <c r="O339" i="82"/>
  <c r="L339" i="82"/>
  <c r="K339" i="82"/>
  <c r="G339" i="82"/>
  <c r="C339" i="82"/>
  <c r="A339" i="82"/>
  <c r="S338" i="82"/>
  <c r="R338" i="82"/>
  <c r="Q338" i="82"/>
  <c r="P338" i="82"/>
  <c r="O338" i="82"/>
  <c r="L338" i="82"/>
  <c r="K338" i="82"/>
  <c r="G338" i="82"/>
  <c r="C338" i="82"/>
  <c r="A338" i="82"/>
  <c r="S337" i="82"/>
  <c r="R337" i="82"/>
  <c r="Q337" i="82"/>
  <c r="P337" i="82"/>
  <c r="O337" i="82"/>
  <c r="L337" i="82"/>
  <c r="K337" i="82"/>
  <c r="G337" i="82"/>
  <c r="C337" i="82"/>
  <c r="A337" i="82"/>
  <c r="S336" i="82"/>
  <c r="R336" i="82"/>
  <c r="Q336" i="82"/>
  <c r="P336" i="82"/>
  <c r="O336" i="82"/>
  <c r="L336" i="82"/>
  <c r="K336" i="82"/>
  <c r="G336" i="82"/>
  <c r="C336" i="82"/>
  <c r="A336" i="82"/>
  <c r="S335" i="82"/>
  <c r="R335" i="82"/>
  <c r="Q335" i="82"/>
  <c r="P335" i="82"/>
  <c r="O335" i="82"/>
  <c r="L335" i="82"/>
  <c r="K335" i="82"/>
  <c r="G335" i="82"/>
  <c r="C335" i="82"/>
  <c r="A335" i="82"/>
  <c r="S334" i="82"/>
  <c r="R334" i="82"/>
  <c r="Q334" i="82"/>
  <c r="P334" i="82"/>
  <c r="O334" i="82"/>
  <c r="L334" i="82"/>
  <c r="K334" i="82"/>
  <c r="G334" i="82"/>
  <c r="C334" i="82"/>
  <c r="A334" i="82"/>
  <c r="S333" i="82"/>
  <c r="R333" i="82"/>
  <c r="Q333" i="82"/>
  <c r="P333" i="82"/>
  <c r="O333" i="82"/>
  <c r="L333" i="82"/>
  <c r="K333" i="82"/>
  <c r="G333" i="82"/>
  <c r="C333" i="82"/>
  <c r="A333" i="82"/>
  <c r="S332" i="82"/>
  <c r="R332" i="82"/>
  <c r="Q332" i="82"/>
  <c r="P332" i="82"/>
  <c r="O332" i="82"/>
  <c r="L332" i="82"/>
  <c r="K332" i="82"/>
  <c r="G332" i="82"/>
  <c r="C332" i="82"/>
  <c r="A332" i="82"/>
  <c r="S331" i="82"/>
  <c r="R331" i="82"/>
  <c r="Q331" i="82"/>
  <c r="P331" i="82"/>
  <c r="O331" i="82"/>
  <c r="L331" i="82"/>
  <c r="K331" i="82"/>
  <c r="G331" i="82"/>
  <c r="C331" i="82"/>
  <c r="A331" i="82"/>
  <c r="S330" i="82"/>
  <c r="R330" i="82"/>
  <c r="Q330" i="82"/>
  <c r="P330" i="82"/>
  <c r="O330" i="82"/>
  <c r="L330" i="82"/>
  <c r="K330" i="82"/>
  <c r="G330" i="82"/>
  <c r="C330" i="82"/>
  <c r="A330" i="82"/>
  <c r="S329" i="82"/>
  <c r="R329" i="82"/>
  <c r="Q329" i="82"/>
  <c r="P329" i="82"/>
  <c r="O329" i="82"/>
  <c r="L329" i="82"/>
  <c r="K329" i="82"/>
  <c r="G329" i="82"/>
  <c r="C329" i="82"/>
  <c r="A329" i="82"/>
  <c r="S328" i="82"/>
  <c r="R328" i="82"/>
  <c r="Q328" i="82"/>
  <c r="P328" i="82"/>
  <c r="O328" i="82"/>
  <c r="L328" i="82"/>
  <c r="K328" i="82"/>
  <c r="G328" i="82"/>
  <c r="C328" i="82"/>
  <c r="A328" i="82"/>
  <c r="S327" i="82"/>
  <c r="R327" i="82"/>
  <c r="Q327" i="82"/>
  <c r="P327" i="82"/>
  <c r="O327" i="82"/>
  <c r="L327" i="82"/>
  <c r="K327" i="82"/>
  <c r="G327" i="82"/>
  <c r="C327" i="82"/>
  <c r="A327" i="82"/>
  <c r="S326" i="82"/>
  <c r="R326" i="82"/>
  <c r="Q326" i="82"/>
  <c r="P326" i="82"/>
  <c r="O326" i="82"/>
  <c r="L326" i="82"/>
  <c r="K326" i="82"/>
  <c r="G326" i="82"/>
  <c r="C326" i="82"/>
  <c r="A326" i="82"/>
  <c r="S325" i="82"/>
  <c r="R325" i="82"/>
  <c r="Q325" i="82"/>
  <c r="P325" i="82"/>
  <c r="O325" i="82"/>
  <c r="L325" i="82"/>
  <c r="K325" i="82"/>
  <c r="G325" i="82"/>
  <c r="C325" i="82"/>
  <c r="A325" i="82"/>
  <c r="S324" i="82"/>
  <c r="R324" i="82"/>
  <c r="Q324" i="82"/>
  <c r="P324" i="82"/>
  <c r="O324" i="82"/>
  <c r="L324" i="82"/>
  <c r="K324" i="82"/>
  <c r="G324" i="82"/>
  <c r="C324" i="82"/>
  <c r="A324" i="82"/>
  <c r="S323" i="82"/>
  <c r="R323" i="82"/>
  <c r="Q323" i="82"/>
  <c r="P323" i="82"/>
  <c r="O323" i="82"/>
  <c r="L323" i="82"/>
  <c r="K323" i="82"/>
  <c r="G323" i="82"/>
  <c r="C323" i="82"/>
  <c r="A323" i="82"/>
  <c r="S322" i="82"/>
  <c r="R322" i="82"/>
  <c r="Q322" i="82"/>
  <c r="P322" i="82"/>
  <c r="O322" i="82"/>
  <c r="L322" i="82"/>
  <c r="K322" i="82"/>
  <c r="G322" i="82"/>
  <c r="C322" i="82"/>
  <c r="A322" i="82"/>
  <c r="S321" i="82"/>
  <c r="R321" i="82"/>
  <c r="Q321" i="82"/>
  <c r="P321" i="82"/>
  <c r="O321" i="82"/>
  <c r="L321" i="82"/>
  <c r="K321" i="82"/>
  <c r="G321" i="82"/>
  <c r="C321" i="82"/>
  <c r="A321" i="82"/>
  <c r="S320" i="82"/>
  <c r="R320" i="82"/>
  <c r="Q320" i="82"/>
  <c r="P320" i="82"/>
  <c r="O320" i="82"/>
  <c r="L320" i="82"/>
  <c r="K320" i="82"/>
  <c r="G320" i="82"/>
  <c r="C320" i="82"/>
  <c r="A320" i="82"/>
  <c r="S319" i="82"/>
  <c r="R319" i="82"/>
  <c r="Q319" i="82"/>
  <c r="P319" i="82"/>
  <c r="O319" i="82"/>
  <c r="L319" i="82"/>
  <c r="K319" i="82"/>
  <c r="G319" i="82"/>
  <c r="C319" i="82"/>
  <c r="A319" i="82"/>
  <c r="S318" i="82"/>
  <c r="R318" i="82"/>
  <c r="Q318" i="82"/>
  <c r="P318" i="82"/>
  <c r="O318" i="82"/>
  <c r="L318" i="82"/>
  <c r="K318" i="82"/>
  <c r="G318" i="82"/>
  <c r="C318" i="82"/>
  <c r="A318" i="82"/>
  <c r="S317" i="82"/>
  <c r="R317" i="82"/>
  <c r="Q317" i="82"/>
  <c r="P317" i="82"/>
  <c r="O317" i="82"/>
  <c r="L317" i="82"/>
  <c r="K317" i="82"/>
  <c r="G317" i="82"/>
  <c r="C317" i="82"/>
  <c r="A317" i="82"/>
  <c r="S316" i="82"/>
  <c r="R316" i="82"/>
  <c r="Q316" i="82"/>
  <c r="P316" i="82"/>
  <c r="O316" i="82"/>
  <c r="L316" i="82"/>
  <c r="K316" i="82"/>
  <c r="G316" i="82"/>
  <c r="C316" i="82"/>
  <c r="A316" i="82"/>
  <c r="S315" i="82"/>
  <c r="R315" i="82"/>
  <c r="Q315" i="82"/>
  <c r="P315" i="82"/>
  <c r="O315" i="82"/>
  <c r="L315" i="82"/>
  <c r="K315" i="82"/>
  <c r="G315" i="82"/>
  <c r="C315" i="82"/>
  <c r="A315" i="82"/>
  <c r="S314" i="82"/>
  <c r="R314" i="82"/>
  <c r="Q314" i="82"/>
  <c r="P314" i="82"/>
  <c r="O314" i="82"/>
  <c r="L314" i="82"/>
  <c r="K314" i="82"/>
  <c r="G314" i="82"/>
  <c r="C314" i="82"/>
  <c r="A314" i="82"/>
  <c r="S313" i="82"/>
  <c r="R313" i="82"/>
  <c r="Q313" i="82"/>
  <c r="P313" i="82"/>
  <c r="O313" i="82"/>
  <c r="L313" i="82"/>
  <c r="K313" i="82"/>
  <c r="G313" i="82"/>
  <c r="C313" i="82"/>
  <c r="A313" i="82"/>
  <c r="S312" i="82"/>
  <c r="R312" i="82"/>
  <c r="Q312" i="82"/>
  <c r="P312" i="82"/>
  <c r="O312" i="82"/>
  <c r="L312" i="82"/>
  <c r="K312" i="82"/>
  <c r="G312" i="82"/>
  <c r="C312" i="82"/>
  <c r="A312" i="82"/>
  <c r="S311" i="82"/>
  <c r="R311" i="82"/>
  <c r="Q311" i="82"/>
  <c r="P311" i="82"/>
  <c r="O311" i="82"/>
  <c r="L311" i="82"/>
  <c r="K311" i="82"/>
  <c r="G311" i="82"/>
  <c r="C311" i="82"/>
  <c r="A311" i="82"/>
  <c r="S310" i="82"/>
  <c r="R310" i="82"/>
  <c r="Q310" i="82"/>
  <c r="P310" i="82"/>
  <c r="O310" i="82"/>
  <c r="L310" i="82"/>
  <c r="K310" i="82"/>
  <c r="G310" i="82"/>
  <c r="C310" i="82"/>
  <c r="A310" i="82"/>
  <c r="S309" i="82"/>
  <c r="R309" i="82"/>
  <c r="Q309" i="82"/>
  <c r="P309" i="82"/>
  <c r="O309" i="82"/>
  <c r="L309" i="82"/>
  <c r="K309" i="82"/>
  <c r="G309" i="82"/>
  <c r="C309" i="82"/>
  <c r="A309" i="82"/>
  <c r="S308" i="82"/>
  <c r="R308" i="82"/>
  <c r="Q308" i="82"/>
  <c r="P308" i="82"/>
  <c r="O308" i="82"/>
  <c r="L308" i="82"/>
  <c r="K308" i="82"/>
  <c r="G308" i="82"/>
  <c r="C308" i="82"/>
  <c r="A308" i="82"/>
  <c r="S307" i="82"/>
  <c r="R307" i="82"/>
  <c r="Q307" i="82"/>
  <c r="P307" i="82"/>
  <c r="O307" i="82"/>
  <c r="L307" i="82"/>
  <c r="K307" i="82"/>
  <c r="G307" i="82"/>
  <c r="C307" i="82"/>
  <c r="A307" i="82"/>
  <c r="S306" i="82"/>
  <c r="R306" i="82"/>
  <c r="Q306" i="82"/>
  <c r="P306" i="82"/>
  <c r="O306" i="82"/>
  <c r="L306" i="82"/>
  <c r="K306" i="82"/>
  <c r="G306" i="82"/>
  <c r="C306" i="82"/>
  <c r="A306" i="82"/>
  <c r="S305" i="82"/>
  <c r="R305" i="82"/>
  <c r="Q305" i="82"/>
  <c r="P305" i="82"/>
  <c r="O305" i="82"/>
  <c r="L305" i="82"/>
  <c r="K305" i="82"/>
  <c r="G305" i="82"/>
  <c r="C305" i="82"/>
  <c r="A305" i="82"/>
  <c r="S304" i="82"/>
  <c r="R304" i="82"/>
  <c r="Q304" i="82"/>
  <c r="P304" i="82"/>
  <c r="O304" i="82"/>
  <c r="L304" i="82"/>
  <c r="K304" i="82"/>
  <c r="G304" i="82"/>
  <c r="C304" i="82"/>
  <c r="A304" i="82"/>
  <c r="S303" i="82"/>
  <c r="R303" i="82"/>
  <c r="Q303" i="82"/>
  <c r="P303" i="82"/>
  <c r="O303" i="82"/>
  <c r="L303" i="82"/>
  <c r="K303" i="82"/>
  <c r="G303" i="82"/>
  <c r="C303" i="82"/>
  <c r="A303" i="82"/>
  <c r="S302" i="82"/>
  <c r="R302" i="82"/>
  <c r="Q302" i="82"/>
  <c r="P302" i="82"/>
  <c r="O302" i="82"/>
  <c r="L302" i="82"/>
  <c r="K302" i="82"/>
  <c r="G302" i="82"/>
  <c r="C302" i="82"/>
  <c r="A302" i="82"/>
  <c r="S301" i="82"/>
  <c r="R301" i="82"/>
  <c r="Q301" i="82"/>
  <c r="P301" i="82"/>
  <c r="O301" i="82"/>
  <c r="L301" i="82"/>
  <c r="K301" i="82"/>
  <c r="G301" i="82"/>
  <c r="C301" i="82"/>
  <c r="A301" i="82"/>
  <c r="S300" i="82"/>
  <c r="R300" i="82"/>
  <c r="Q300" i="82"/>
  <c r="P300" i="82"/>
  <c r="O300" i="82"/>
  <c r="L300" i="82"/>
  <c r="K300" i="82"/>
  <c r="G300" i="82"/>
  <c r="C300" i="82"/>
  <c r="A300" i="82"/>
  <c r="S299" i="82"/>
  <c r="R299" i="82"/>
  <c r="Q299" i="82"/>
  <c r="P299" i="82"/>
  <c r="O299" i="82"/>
  <c r="L299" i="82"/>
  <c r="K299" i="82"/>
  <c r="G299" i="82"/>
  <c r="C299" i="82"/>
  <c r="A299" i="82"/>
  <c r="S298" i="82"/>
  <c r="R298" i="82"/>
  <c r="Q298" i="82"/>
  <c r="P298" i="82"/>
  <c r="O298" i="82"/>
  <c r="L298" i="82"/>
  <c r="K298" i="82"/>
  <c r="G298" i="82"/>
  <c r="C298" i="82"/>
  <c r="A298" i="82"/>
  <c r="S297" i="82"/>
  <c r="R297" i="82"/>
  <c r="Q297" i="82"/>
  <c r="P297" i="82"/>
  <c r="O297" i="82"/>
  <c r="L297" i="82"/>
  <c r="K297" i="82"/>
  <c r="G297" i="82"/>
  <c r="C297" i="82"/>
  <c r="A297" i="82"/>
  <c r="S296" i="82"/>
  <c r="R296" i="82"/>
  <c r="Q296" i="82"/>
  <c r="P296" i="82"/>
  <c r="O296" i="82"/>
  <c r="L296" i="82"/>
  <c r="K296" i="82"/>
  <c r="G296" i="82"/>
  <c r="C296" i="82"/>
  <c r="A296" i="82"/>
  <c r="S295" i="82"/>
  <c r="R295" i="82"/>
  <c r="Q295" i="82"/>
  <c r="P295" i="82"/>
  <c r="O295" i="82"/>
  <c r="L295" i="82"/>
  <c r="K295" i="82"/>
  <c r="G295" i="82"/>
  <c r="C295" i="82"/>
  <c r="A295" i="82"/>
  <c r="S294" i="82"/>
  <c r="R294" i="82"/>
  <c r="Q294" i="82"/>
  <c r="P294" i="82"/>
  <c r="O294" i="82"/>
  <c r="L294" i="82"/>
  <c r="K294" i="82"/>
  <c r="G294" i="82"/>
  <c r="C294" i="82"/>
  <c r="A294" i="82"/>
  <c r="S293" i="82"/>
  <c r="R293" i="82"/>
  <c r="Q293" i="82"/>
  <c r="P293" i="82"/>
  <c r="O293" i="82"/>
  <c r="L293" i="82"/>
  <c r="K293" i="82"/>
  <c r="G293" i="82"/>
  <c r="C293" i="82"/>
  <c r="A293" i="82"/>
  <c r="S292" i="82"/>
  <c r="R292" i="82"/>
  <c r="Q292" i="82"/>
  <c r="P292" i="82"/>
  <c r="O292" i="82"/>
  <c r="L292" i="82"/>
  <c r="K292" i="82"/>
  <c r="G292" i="82"/>
  <c r="C292" i="82"/>
  <c r="A292" i="82"/>
  <c r="S291" i="82"/>
  <c r="R291" i="82"/>
  <c r="Q291" i="82"/>
  <c r="P291" i="82"/>
  <c r="O291" i="82"/>
  <c r="L291" i="82"/>
  <c r="K291" i="82"/>
  <c r="G291" i="82"/>
  <c r="C291" i="82"/>
  <c r="A291" i="82"/>
  <c r="S290" i="82"/>
  <c r="R290" i="82"/>
  <c r="Q290" i="82"/>
  <c r="P290" i="82"/>
  <c r="O290" i="82"/>
  <c r="L290" i="82"/>
  <c r="K290" i="82"/>
  <c r="G290" i="82"/>
  <c r="C290" i="82"/>
  <c r="A290" i="82"/>
  <c r="S289" i="82"/>
  <c r="R289" i="82"/>
  <c r="Q289" i="82"/>
  <c r="P289" i="82"/>
  <c r="O289" i="82"/>
  <c r="L289" i="82"/>
  <c r="K289" i="82"/>
  <c r="G289" i="82"/>
  <c r="C289" i="82"/>
  <c r="A289" i="82"/>
  <c r="S288" i="82"/>
  <c r="R288" i="82"/>
  <c r="Q288" i="82"/>
  <c r="P288" i="82"/>
  <c r="O288" i="82"/>
  <c r="L288" i="82"/>
  <c r="K288" i="82"/>
  <c r="G288" i="82"/>
  <c r="C288" i="82"/>
  <c r="A288" i="82"/>
  <c r="S287" i="82"/>
  <c r="R287" i="82"/>
  <c r="Q287" i="82"/>
  <c r="P287" i="82"/>
  <c r="O287" i="82"/>
  <c r="L287" i="82"/>
  <c r="K287" i="82"/>
  <c r="G287" i="82"/>
  <c r="C287" i="82"/>
  <c r="A287" i="82"/>
  <c r="S286" i="82"/>
  <c r="R286" i="82"/>
  <c r="Q286" i="82"/>
  <c r="P286" i="82"/>
  <c r="O286" i="82"/>
  <c r="L286" i="82"/>
  <c r="K286" i="82"/>
  <c r="G286" i="82"/>
  <c r="C286" i="82"/>
  <c r="A286" i="82"/>
  <c r="S285" i="82"/>
  <c r="R285" i="82"/>
  <c r="Q285" i="82"/>
  <c r="P285" i="82"/>
  <c r="O285" i="82"/>
  <c r="L285" i="82"/>
  <c r="K285" i="82"/>
  <c r="G285" i="82"/>
  <c r="C285" i="82"/>
  <c r="A285" i="82"/>
  <c r="S284" i="82"/>
  <c r="R284" i="82"/>
  <c r="Q284" i="82"/>
  <c r="P284" i="82"/>
  <c r="O284" i="82"/>
  <c r="L284" i="82"/>
  <c r="K284" i="82"/>
  <c r="G284" i="82"/>
  <c r="C284" i="82"/>
  <c r="A284" i="82"/>
  <c r="S283" i="82"/>
  <c r="R283" i="82"/>
  <c r="Q283" i="82"/>
  <c r="P283" i="82"/>
  <c r="O283" i="82"/>
  <c r="L283" i="82"/>
  <c r="K283" i="82"/>
  <c r="G283" i="82"/>
  <c r="C283" i="82"/>
  <c r="A283" i="82"/>
  <c r="S282" i="82"/>
  <c r="R282" i="82"/>
  <c r="Q282" i="82"/>
  <c r="P282" i="82"/>
  <c r="O282" i="82"/>
  <c r="L282" i="82"/>
  <c r="K282" i="82"/>
  <c r="G282" i="82"/>
  <c r="C282" i="82"/>
  <c r="A282" i="82"/>
  <c r="S281" i="82"/>
  <c r="R281" i="82"/>
  <c r="Q281" i="82"/>
  <c r="P281" i="82"/>
  <c r="O281" i="82"/>
  <c r="L281" i="82"/>
  <c r="K281" i="82"/>
  <c r="G281" i="82"/>
  <c r="C281" i="82"/>
  <c r="A281" i="82"/>
  <c r="S280" i="82"/>
  <c r="R280" i="82"/>
  <c r="Q280" i="82"/>
  <c r="P280" i="82"/>
  <c r="O280" i="82"/>
  <c r="L280" i="82"/>
  <c r="K280" i="82"/>
  <c r="G280" i="82"/>
  <c r="C280" i="82"/>
  <c r="A280" i="82"/>
  <c r="S279" i="82"/>
  <c r="R279" i="82"/>
  <c r="Q279" i="82"/>
  <c r="P279" i="82"/>
  <c r="O279" i="82"/>
  <c r="L279" i="82"/>
  <c r="K279" i="82"/>
  <c r="G279" i="82"/>
  <c r="C279" i="82"/>
  <c r="A279" i="82"/>
  <c r="S278" i="82"/>
  <c r="R278" i="82"/>
  <c r="Q278" i="82"/>
  <c r="P278" i="82"/>
  <c r="O278" i="82"/>
  <c r="L278" i="82"/>
  <c r="K278" i="82"/>
  <c r="G278" i="82"/>
  <c r="C278" i="82"/>
  <c r="A278" i="82"/>
  <c r="S277" i="82"/>
  <c r="R277" i="82"/>
  <c r="Q277" i="82"/>
  <c r="P277" i="82"/>
  <c r="O277" i="82"/>
  <c r="L277" i="82"/>
  <c r="K277" i="82"/>
  <c r="G277" i="82"/>
  <c r="C277" i="82"/>
  <c r="A277" i="82"/>
  <c r="S276" i="82"/>
  <c r="R276" i="82"/>
  <c r="Q276" i="82"/>
  <c r="P276" i="82"/>
  <c r="O276" i="82"/>
  <c r="L276" i="82"/>
  <c r="K276" i="82"/>
  <c r="G276" i="82"/>
  <c r="C276" i="82"/>
  <c r="A276" i="82"/>
  <c r="S275" i="82"/>
  <c r="R275" i="82"/>
  <c r="Q275" i="82"/>
  <c r="P275" i="82"/>
  <c r="O275" i="82"/>
  <c r="L275" i="82"/>
  <c r="K275" i="82"/>
  <c r="G275" i="82"/>
  <c r="C275" i="82"/>
  <c r="A275" i="82"/>
  <c r="S274" i="82"/>
  <c r="R274" i="82"/>
  <c r="Q274" i="82"/>
  <c r="P274" i="82"/>
  <c r="O274" i="82"/>
  <c r="L274" i="82"/>
  <c r="K274" i="82"/>
  <c r="G274" i="82"/>
  <c r="C274" i="82"/>
  <c r="A274" i="82"/>
  <c r="S273" i="82"/>
  <c r="R273" i="82"/>
  <c r="Q273" i="82"/>
  <c r="P273" i="82"/>
  <c r="O273" i="82"/>
  <c r="L273" i="82"/>
  <c r="K273" i="82"/>
  <c r="G273" i="82"/>
  <c r="C273" i="82"/>
  <c r="A273" i="82"/>
  <c r="S272" i="82"/>
  <c r="R272" i="82"/>
  <c r="Q272" i="82"/>
  <c r="P272" i="82"/>
  <c r="O272" i="82"/>
  <c r="L272" i="82"/>
  <c r="K272" i="82"/>
  <c r="G272" i="82"/>
  <c r="C272" i="82"/>
  <c r="A272" i="82"/>
  <c r="S271" i="82"/>
  <c r="R271" i="82"/>
  <c r="Q271" i="82"/>
  <c r="P271" i="82"/>
  <c r="O271" i="82"/>
  <c r="L271" i="82"/>
  <c r="K271" i="82"/>
  <c r="G271" i="82"/>
  <c r="C271" i="82"/>
  <c r="A271" i="82"/>
  <c r="S270" i="82"/>
  <c r="R270" i="82"/>
  <c r="Q270" i="82"/>
  <c r="P270" i="82"/>
  <c r="O270" i="82"/>
  <c r="L270" i="82"/>
  <c r="K270" i="82"/>
  <c r="G270" i="82"/>
  <c r="C270" i="82"/>
  <c r="A270" i="82"/>
  <c r="S269" i="82"/>
  <c r="R269" i="82"/>
  <c r="Q269" i="82"/>
  <c r="P269" i="82"/>
  <c r="O269" i="82"/>
  <c r="L269" i="82"/>
  <c r="K269" i="82"/>
  <c r="G269" i="82"/>
  <c r="C269" i="82"/>
  <c r="A269" i="82"/>
  <c r="S268" i="82"/>
  <c r="R268" i="82"/>
  <c r="Q268" i="82"/>
  <c r="P268" i="82"/>
  <c r="O268" i="82"/>
  <c r="L268" i="82"/>
  <c r="K268" i="82"/>
  <c r="G268" i="82"/>
  <c r="C268" i="82"/>
  <c r="A268" i="82"/>
  <c r="S267" i="82"/>
  <c r="R267" i="82"/>
  <c r="Q267" i="82"/>
  <c r="P267" i="82"/>
  <c r="O267" i="82"/>
  <c r="L267" i="82"/>
  <c r="K267" i="82"/>
  <c r="G267" i="82"/>
  <c r="C267" i="82"/>
  <c r="A267" i="82"/>
  <c r="S266" i="82"/>
  <c r="R266" i="82"/>
  <c r="Q266" i="82"/>
  <c r="P266" i="82"/>
  <c r="O266" i="82"/>
  <c r="L266" i="82"/>
  <c r="K266" i="82"/>
  <c r="G266" i="82"/>
  <c r="C266" i="82"/>
  <c r="A266" i="82"/>
  <c r="S265" i="82"/>
  <c r="R265" i="82"/>
  <c r="Q265" i="82"/>
  <c r="P265" i="82"/>
  <c r="O265" i="82"/>
  <c r="L265" i="82"/>
  <c r="K265" i="82"/>
  <c r="G265" i="82"/>
  <c r="C265" i="82"/>
  <c r="A265" i="82"/>
  <c r="S264" i="82"/>
  <c r="R264" i="82"/>
  <c r="Q264" i="82"/>
  <c r="P264" i="82"/>
  <c r="O264" i="82"/>
  <c r="L264" i="82"/>
  <c r="K264" i="82"/>
  <c r="G264" i="82"/>
  <c r="C264" i="82"/>
  <c r="A264" i="82"/>
  <c r="S263" i="82"/>
  <c r="R263" i="82"/>
  <c r="Q263" i="82"/>
  <c r="P263" i="82"/>
  <c r="O263" i="82"/>
  <c r="L263" i="82"/>
  <c r="K263" i="82"/>
  <c r="G263" i="82"/>
  <c r="C263" i="82"/>
  <c r="A263" i="82"/>
  <c r="S262" i="82"/>
  <c r="R262" i="82"/>
  <c r="Q262" i="82"/>
  <c r="P262" i="82"/>
  <c r="O262" i="82"/>
  <c r="L262" i="82"/>
  <c r="K262" i="82"/>
  <c r="G262" i="82"/>
  <c r="C262" i="82"/>
  <c r="A262" i="82"/>
  <c r="S261" i="82"/>
  <c r="R261" i="82"/>
  <c r="Q261" i="82"/>
  <c r="P261" i="82"/>
  <c r="O261" i="82"/>
  <c r="L261" i="82"/>
  <c r="K261" i="82"/>
  <c r="G261" i="82"/>
  <c r="C261" i="82"/>
  <c r="A261" i="82"/>
  <c r="S260" i="82"/>
  <c r="R260" i="82"/>
  <c r="Q260" i="82"/>
  <c r="P260" i="82"/>
  <c r="O260" i="82"/>
  <c r="L260" i="82"/>
  <c r="K260" i="82"/>
  <c r="G260" i="82"/>
  <c r="C260" i="82"/>
  <c r="A260" i="82"/>
  <c r="S259" i="82"/>
  <c r="R259" i="82"/>
  <c r="Q259" i="82"/>
  <c r="P259" i="82"/>
  <c r="O259" i="82"/>
  <c r="L259" i="82"/>
  <c r="K259" i="82"/>
  <c r="G259" i="82"/>
  <c r="C259" i="82"/>
  <c r="A259" i="82"/>
  <c r="S258" i="82"/>
  <c r="R258" i="82"/>
  <c r="Q258" i="82"/>
  <c r="P258" i="82"/>
  <c r="O258" i="82"/>
  <c r="L258" i="82"/>
  <c r="K258" i="82"/>
  <c r="G258" i="82"/>
  <c r="C258" i="82"/>
  <c r="A258" i="82"/>
  <c r="S257" i="82"/>
  <c r="R257" i="82"/>
  <c r="Q257" i="82"/>
  <c r="P257" i="82"/>
  <c r="O257" i="82"/>
  <c r="L257" i="82"/>
  <c r="K257" i="82"/>
  <c r="G257" i="82"/>
  <c r="C257" i="82"/>
  <c r="A257" i="82"/>
  <c r="S256" i="82"/>
  <c r="R256" i="82"/>
  <c r="Q256" i="82"/>
  <c r="P256" i="82"/>
  <c r="O256" i="82"/>
  <c r="L256" i="82"/>
  <c r="K256" i="82"/>
  <c r="G256" i="82"/>
  <c r="C256" i="82"/>
  <c r="A256" i="82"/>
  <c r="S255" i="82"/>
  <c r="R255" i="82"/>
  <c r="Q255" i="82"/>
  <c r="P255" i="82"/>
  <c r="O255" i="82"/>
  <c r="L255" i="82"/>
  <c r="K255" i="82"/>
  <c r="G255" i="82"/>
  <c r="C255" i="82"/>
  <c r="A255" i="82"/>
  <c r="S254" i="82"/>
  <c r="R254" i="82"/>
  <c r="Q254" i="82"/>
  <c r="P254" i="82"/>
  <c r="O254" i="82"/>
  <c r="L254" i="82"/>
  <c r="K254" i="82"/>
  <c r="G254" i="82"/>
  <c r="C254" i="82"/>
  <c r="A254" i="82"/>
  <c r="S253" i="82"/>
  <c r="R253" i="82"/>
  <c r="Q253" i="82"/>
  <c r="P253" i="82"/>
  <c r="O253" i="82"/>
  <c r="L253" i="82"/>
  <c r="K253" i="82"/>
  <c r="G253" i="82"/>
  <c r="C253" i="82"/>
  <c r="A253" i="82"/>
  <c r="S252" i="82"/>
  <c r="R252" i="82"/>
  <c r="Q252" i="82"/>
  <c r="P252" i="82"/>
  <c r="O252" i="82"/>
  <c r="L252" i="82"/>
  <c r="K252" i="82"/>
  <c r="G252" i="82"/>
  <c r="C252" i="82"/>
  <c r="A252" i="82"/>
  <c r="S251" i="82"/>
  <c r="R251" i="82"/>
  <c r="Q251" i="82"/>
  <c r="P251" i="82"/>
  <c r="O251" i="82"/>
  <c r="L251" i="82"/>
  <c r="K251" i="82"/>
  <c r="G251" i="82"/>
  <c r="C251" i="82"/>
  <c r="A251" i="82"/>
  <c r="S250" i="82"/>
  <c r="R250" i="82"/>
  <c r="Q250" i="82"/>
  <c r="P250" i="82"/>
  <c r="O250" i="82"/>
  <c r="L250" i="82"/>
  <c r="K250" i="82"/>
  <c r="G250" i="82"/>
  <c r="C250" i="82"/>
  <c r="A250" i="82"/>
  <c r="S249" i="82"/>
  <c r="R249" i="82"/>
  <c r="Q249" i="82"/>
  <c r="P249" i="82"/>
  <c r="O249" i="82"/>
  <c r="L249" i="82"/>
  <c r="K249" i="82"/>
  <c r="G249" i="82"/>
  <c r="C249" i="82"/>
  <c r="A249" i="82"/>
  <c r="S248" i="82"/>
  <c r="R248" i="82"/>
  <c r="Q248" i="82"/>
  <c r="P248" i="82"/>
  <c r="O248" i="82"/>
  <c r="L248" i="82"/>
  <c r="K248" i="82"/>
  <c r="G248" i="82"/>
  <c r="C248" i="82"/>
  <c r="A248" i="82"/>
  <c r="S247" i="82"/>
  <c r="R247" i="82"/>
  <c r="Q247" i="82"/>
  <c r="P247" i="82"/>
  <c r="O247" i="82"/>
  <c r="L247" i="82"/>
  <c r="K247" i="82"/>
  <c r="G247" i="82"/>
  <c r="C247" i="82"/>
  <c r="A247" i="82"/>
  <c r="S246" i="82"/>
  <c r="R246" i="82"/>
  <c r="Q246" i="82"/>
  <c r="P246" i="82"/>
  <c r="O246" i="82"/>
  <c r="L246" i="82"/>
  <c r="K246" i="82"/>
  <c r="G246" i="82"/>
  <c r="C246" i="82"/>
  <c r="A246" i="82"/>
  <c r="S245" i="82"/>
  <c r="R245" i="82"/>
  <c r="Q245" i="82"/>
  <c r="P245" i="82"/>
  <c r="O245" i="82"/>
  <c r="L245" i="82"/>
  <c r="K245" i="82"/>
  <c r="G245" i="82"/>
  <c r="C245" i="82"/>
  <c r="A245" i="82"/>
  <c r="S244" i="82"/>
  <c r="R244" i="82"/>
  <c r="Q244" i="82"/>
  <c r="P244" i="82"/>
  <c r="O244" i="82"/>
  <c r="L244" i="82"/>
  <c r="K244" i="82"/>
  <c r="G244" i="82"/>
  <c r="C244" i="82"/>
  <c r="A244" i="82"/>
  <c r="S243" i="82"/>
  <c r="R243" i="82"/>
  <c r="Q243" i="82"/>
  <c r="P243" i="82"/>
  <c r="O243" i="82"/>
  <c r="L243" i="82"/>
  <c r="K243" i="82"/>
  <c r="G243" i="82"/>
  <c r="C243" i="82"/>
  <c r="A243" i="82"/>
  <c r="S242" i="82"/>
  <c r="R242" i="82"/>
  <c r="Q242" i="82"/>
  <c r="P242" i="82"/>
  <c r="O242" i="82"/>
  <c r="L242" i="82"/>
  <c r="K242" i="82"/>
  <c r="G242" i="82"/>
  <c r="C242" i="82"/>
  <c r="A242" i="82"/>
  <c r="S241" i="82"/>
  <c r="R241" i="82"/>
  <c r="Q241" i="82"/>
  <c r="P241" i="82"/>
  <c r="O241" i="82"/>
  <c r="L241" i="82"/>
  <c r="K241" i="82"/>
  <c r="G241" i="82"/>
  <c r="C241" i="82"/>
  <c r="A241" i="82"/>
  <c r="S240" i="82"/>
  <c r="R240" i="82"/>
  <c r="Q240" i="82"/>
  <c r="P240" i="82"/>
  <c r="O240" i="82"/>
  <c r="L240" i="82"/>
  <c r="K240" i="82"/>
  <c r="G240" i="82"/>
  <c r="C240" i="82"/>
  <c r="A240" i="82"/>
  <c r="S239" i="82"/>
  <c r="R239" i="82"/>
  <c r="Q239" i="82"/>
  <c r="P239" i="82"/>
  <c r="O239" i="82"/>
  <c r="L239" i="82"/>
  <c r="K239" i="82"/>
  <c r="G239" i="82"/>
  <c r="C239" i="82"/>
  <c r="A239" i="82"/>
  <c r="S238" i="82"/>
  <c r="R238" i="82"/>
  <c r="Q238" i="82"/>
  <c r="P238" i="82"/>
  <c r="O238" i="82"/>
  <c r="L238" i="82"/>
  <c r="K238" i="82"/>
  <c r="G238" i="82"/>
  <c r="C238" i="82"/>
  <c r="A238" i="82"/>
  <c r="S237" i="82"/>
  <c r="R237" i="82"/>
  <c r="Q237" i="82"/>
  <c r="P237" i="82"/>
  <c r="O237" i="82"/>
  <c r="L237" i="82"/>
  <c r="K237" i="82"/>
  <c r="G237" i="82"/>
  <c r="C237" i="82"/>
  <c r="A237" i="82"/>
  <c r="S236" i="82"/>
  <c r="R236" i="82"/>
  <c r="Q236" i="82"/>
  <c r="P236" i="82"/>
  <c r="O236" i="82"/>
  <c r="L236" i="82"/>
  <c r="K236" i="82"/>
  <c r="G236" i="82"/>
  <c r="C236" i="82"/>
  <c r="A236" i="82"/>
  <c r="S235" i="82"/>
  <c r="R235" i="82"/>
  <c r="Q235" i="82"/>
  <c r="P235" i="82"/>
  <c r="O235" i="82"/>
  <c r="L235" i="82"/>
  <c r="K235" i="82"/>
  <c r="G235" i="82"/>
  <c r="C235" i="82"/>
  <c r="A235" i="82"/>
  <c r="S234" i="82"/>
  <c r="R234" i="82"/>
  <c r="Q234" i="82"/>
  <c r="P234" i="82"/>
  <c r="O234" i="82"/>
  <c r="L234" i="82"/>
  <c r="K234" i="82"/>
  <c r="G234" i="82"/>
  <c r="C234" i="82"/>
  <c r="A234" i="82"/>
  <c r="S233" i="82"/>
  <c r="R233" i="82"/>
  <c r="Q233" i="82"/>
  <c r="P233" i="82"/>
  <c r="O233" i="82"/>
  <c r="L233" i="82"/>
  <c r="K233" i="82"/>
  <c r="G233" i="82"/>
  <c r="C233" i="82"/>
  <c r="A233" i="82"/>
  <c r="S232" i="82"/>
  <c r="R232" i="82"/>
  <c r="Q232" i="82"/>
  <c r="P232" i="82"/>
  <c r="O232" i="82"/>
  <c r="L232" i="82"/>
  <c r="K232" i="82"/>
  <c r="G232" i="82"/>
  <c r="C232" i="82"/>
  <c r="A232" i="82"/>
  <c r="S231" i="82"/>
  <c r="R231" i="82"/>
  <c r="Q231" i="82"/>
  <c r="P231" i="82"/>
  <c r="O231" i="82"/>
  <c r="L231" i="82"/>
  <c r="K231" i="82"/>
  <c r="G231" i="82"/>
  <c r="C231" i="82"/>
  <c r="A231" i="82"/>
  <c r="S230" i="82"/>
  <c r="R230" i="82"/>
  <c r="Q230" i="82"/>
  <c r="P230" i="82"/>
  <c r="O230" i="82"/>
  <c r="L230" i="82"/>
  <c r="K230" i="82"/>
  <c r="G230" i="82"/>
  <c r="C230" i="82"/>
  <c r="A230" i="82"/>
  <c r="S229" i="82"/>
  <c r="R229" i="82"/>
  <c r="Q229" i="82"/>
  <c r="P229" i="82"/>
  <c r="O229" i="82"/>
  <c r="L229" i="82"/>
  <c r="K229" i="82"/>
  <c r="G229" i="82"/>
  <c r="C229" i="82"/>
  <c r="A229" i="82"/>
  <c r="S228" i="82"/>
  <c r="R228" i="82"/>
  <c r="Q228" i="82"/>
  <c r="P228" i="82"/>
  <c r="O228" i="82"/>
  <c r="L228" i="82"/>
  <c r="K228" i="82"/>
  <c r="G228" i="82"/>
  <c r="C228" i="82"/>
  <c r="A228" i="82"/>
  <c r="S227" i="82"/>
  <c r="R227" i="82"/>
  <c r="Q227" i="82"/>
  <c r="P227" i="82"/>
  <c r="O227" i="82"/>
  <c r="L227" i="82"/>
  <c r="K227" i="82"/>
  <c r="G227" i="82"/>
  <c r="C227" i="82"/>
  <c r="A227" i="82"/>
  <c r="S226" i="82"/>
  <c r="R226" i="82"/>
  <c r="Q226" i="82"/>
  <c r="P226" i="82"/>
  <c r="O226" i="82"/>
  <c r="L226" i="82"/>
  <c r="K226" i="82"/>
  <c r="G226" i="82"/>
  <c r="C226" i="82"/>
  <c r="A226" i="82"/>
  <c r="S225" i="82"/>
  <c r="R225" i="82"/>
  <c r="Q225" i="82"/>
  <c r="P225" i="82"/>
  <c r="O225" i="82"/>
  <c r="L225" i="82"/>
  <c r="K225" i="82"/>
  <c r="G225" i="82"/>
  <c r="C225" i="82"/>
  <c r="A225" i="82"/>
  <c r="S224" i="82"/>
  <c r="R224" i="82"/>
  <c r="Q224" i="82"/>
  <c r="P224" i="82"/>
  <c r="O224" i="82"/>
  <c r="L224" i="82"/>
  <c r="K224" i="82"/>
  <c r="G224" i="82"/>
  <c r="C224" i="82"/>
  <c r="A224" i="82"/>
  <c r="S223" i="82"/>
  <c r="R223" i="82"/>
  <c r="Q223" i="82"/>
  <c r="P223" i="82"/>
  <c r="O223" i="82"/>
  <c r="L223" i="82"/>
  <c r="K223" i="82"/>
  <c r="G223" i="82"/>
  <c r="C223" i="82"/>
  <c r="A223" i="82"/>
  <c r="S222" i="82"/>
  <c r="R222" i="82"/>
  <c r="Q222" i="82"/>
  <c r="P222" i="82"/>
  <c r="O222" i="82"/>
  <c r="L222" i="82"/>
  <c r="K222" i="82"/>
  <c r="G222" i="82"/>
  <c r="C222" i="82"/>
  <c r="A222" i="82"/>
  <c r="S221" i="82"/>
  <c r="R221" i="82"/>
  <c r="Q221" i="82"/>
  <c r="P221" i="82"/>
  <c r="O221" i="82"/>
  <c r="L221" i="82"/>
  <c r="K221" i="82"/>
  <c r="G221" i="82"/>
  <c r="C221" i="82"/>
  <c r="A221" i="82"/>
  <c r="S220" i="82"/>
  <c r="R220" i="82"/>
  <c r="Q220" i="82"/>
  <c r="P220" i="82"/>
  <c r="O220" i="82"/>
  <c r="L220" i="82"/>
  <c r="K220" i="82"/>
  <c r="G220" i="82"/>
  <c r="C220" i="82"/>
  <c r="A220" i="82"/>
  <c r="S219" i="82"/>
  <c r="R219" i="82"/>
  <c r="Q219" i="82"/>
  <c r="P219" i="82"/>
  <c r="O219" i="82"/>
  <c r="L219" i="82"/>
  <c r="K219" i="82"/>
  <c r="G219" i="82"/>
  <c r="C219" i="82"/>
  <c r="A219" i="82"/>
  <c r="S218" i="82"/>
  <c r="R218" i="82"/>
  <c r="Q218" i="82"/>
  <c r="P218" i="82"/>
  <c r="O218" i="82"/>
  <c r="L218" i="82"/>
  <c r="K218" i="82"/>
  <c r="G218" i="82"/>
  <c r="C218" i="82"/>
  <c r="A218" i="82"/>
  <c r="S217" i="82"/>
  <c r="R217" i="82"/>
  <c r="Q217" i="82"/>
  <c r="P217" i="82"/>
  <c r="O217" i="82"/>
  <c r="L217" i="82"/>
  <c r="K217" i="82"/>
  <c r="G217" i="82"/>
  <c r="C217" i="82"/>
  <c r="A217" i="82"/>
  <c r="S216" i="82"/>
  <c r="R216" i="82"/>
  <c r="Q216" i="82"/>
  <c r="P216" i="82"/>
  <c r="O216" i="82"/>
  <c r="L216" i="82"/>
  <c r="K216" i="82"/>
  <c r="G216" i="82"/>
  <c r="C216" i="82"/>
  <c r="A216" i="82"/>
  <c r="S215" i="82"/>
  <c r="R215" i="82"/>
  <c r="Q215" i="82"/>
  <c r="P215" i="82"/>
  <c r="O215" i="82"/>
  <c r="L215" i="82"/>
  <c r="K215" i="82"/>
  <c r="G215" i="82"/>
  <c r="C215" i="82"/>
  <c r="A215" i="82"/>
  <c r="S214" i="82"/>
  <c r="R214" i="82"/>
  <c r="Q214" i="82"/>
  <c r="P214" i="82"/>
  <c r="O214" i="82"/>
  <c r="L214" i="82"/>
  <c r="K214" i="82"/>
  <c r="G214" i="82"/>
  <c r="C214" i="82"/>
  <c r="A214" i="82"/>
  <c r="S213" i="82"/>
  <c r="R213" i="82"/>
  <c r="Q213" i="82"/>
  <c r="P213" i="82"/>
  <c r="O213" i="82"/>
  <c r="L213" i="82"/>
  <c r="K213" i="82"/>
  <c r="G213" i="82"/>
  <c r="C213" i="82"/>
  <c r="A213" i="82"/>
  <c r="S212" i="82"/>
  <c r="R212" i="82"/>
  <c r="Q212" i="82"/>
  <c r="P212" i="82"/>
  <c r="O212" i="82"/>
  <c r="L212" i="82"/>
  <c r="K212" i="82"/>
  <c r="G212" i="82"/>
  <c r="C212" i="82"/>
  <c r="A212" i="82"/>
  <c r="S211" i="82"/>
  <c r="R211" i="82"/>
  <c r="Q211" i="82"/>
  <c r="P211" i="82"/>
  <c r="O211" i="82"/>
  <c r="L211" i="82"/>
  <c r="K211" i="82"/>
  <c r="G211" i="82"/>
  <c r="C211" i="82"/>
  <c r="A211" i="82"/>
  <c r="S210" i="82"/>
  <c r="R210" i="82"/>
  <c r="Q210" i="82"/>
  <c r="P210" i="82"/>
  <c r="O210" i="82"/>
  <c r="L210" i="82"/>
  <c r="K210" i="82"/>
  <c r="G210" i="82"/>
  <c r="C210" i="82"/>
  <c r="A210" i="82"/>
  <c r="S209" i="82"/>
  <c r="R209" i="82"/>
  <c r="Q209" i="82"/>
  <c r="P209" i="82"/>
  <c r="O209" i="82"/>
  <c r="L209" i="82"/>
  <c r="K209" i="82"/>
  <c r="G209" i="82"/>
  <c r="C209" i="82"/>
  <c r="A209" i="82"/>
  <c r="S208" i="82"/>
  <c r="R208" i="82"/>
  <c r="Q208" i="82"/>
  <c r="P208" i="82"/>
  <c r="O208" i="82"/>
  <c r="L208" i="82"/>
  <c r="K208" i="82"/>
  <c r="G208" i="82"/>
  <c r="C208" i="82"/>
  <c r="A208" i="82"/>
  <c r="S207" i="82"/>
  <c r="R207" i="82"/>
  <c r="Q207" i="82"/>
  <c r="P207" i="82"/>
  <c r="O207" i="82"/>
  <c r="L207" i="82"/>
  <c r="K207" i="82"/>
  <c r="G207" i="82"/>
  <c r="C207" i="82"/>
  <c r="A207" i="82"/>
  <c r="S206" i="82"/>
  <c r="R206" i="82"/>
  <c r="Q206" i="82"/>
  <c r="P206" i="82"/>
  <c r="O206" i="82"/>
  <c r="L206" i="82"/>
  <c r="K206" i="82"/>
  <c r="G206" i="82"/>
  <c r="C206" i="82"/>
  <c r="A206" i="82"/>
  <c r="S205" i="82"/>
  <c r="R205" i="82"/>
  <c r="Q205" i="82"/>
  <c r="P205" i="82"/>
  <c r="O205" i="82"/>
  <c r="L205" i="82"/>
  <c r="K205" i="82"/>
  <c r="G205" i="82"/>
  <c r="C205" i="82"/>
  <c r="A205" i="82"/>
  <c r="S204" i="82"/>
  <c r="R204" i="82"/>
  <c r="Q204" i="82"/>
  <c r="P204" i="82"/>
  <c r="O204" i="82"/>
  <c r="L204" i="82"/>
  <c r="K204" i="82"/>
  <c r="G204" i="82"/>
  <c r="C204" i="82"/>
  <c r="A204" i="82"/>
  <c r="S203" i="82"/>
  <c r="R203" i="82"/>
  <c r="Q203" i="82"/>
  <c r="P203" i="82"/>
  <c r="O203" i="82"/>
  <c r="L203" i="82"/>
  <c r="K203" i="82"/>
  <c r="G203" i="82"/>
  <c r="C203" i="82"/>
  <c r="A203" i="82"/>
  <c r="S202" i="82"/>
  <c r="R202" i="82"/>
  <c r="Q202" i="82"/>
  <c r="P202" i="82"/>
  <c r="O202" i="82"/>
  <c r="L202" i="82"/>
  <c r="K202" i="82"/>
  <c r="G202" i="82"/>
  <c r="C202" i="82"/>
  <c r="A202" i="82"/>
  <c r="S201" i="82"/>
  <c r="R201" i="82"/>
  <c r="Q201" i="82"/>
  <c r="P201" i="82"/>
  <c r="O201" i="82"/>
  <c r="L201" i="82"/>
  <c r="K201" i="82"/>
  <c r="G201" i="82"/>
  <c r="C201" i="82"/>
  <c r="A201" i="82"/>
  <c r="S200" i="82"/>
  <c r="R200" i="82"/>
  <c r="Q200" i="82"/>
  <c r="P200" i="82"/>
  <c r="O200" i="82"/>
  <c r="L200" i="82"/>
  <c r="K200" i="82"/>
  <c r="G200" i="82"/>
  <c r="C200" i="82"/>
  <c r="A200" i="82"/>
  <c r="S199" i="82"/>
  <c r="R199" i="82"/>
  <c r="Q199" i="82"/>
  <c r="P199" i="82"/>
  <c r="O199" i="82"/>
  <c r="L199" i="82"/>
  <c r="K199" i="82"/>
  <c r="G199" i="82"/>
  <c r="C199" i="82"/>
  <c r="A199" i="82"/>
  <c r="S198" i="82"/>
  <c r="R198" i="82"/>
  <c r="Q198" i="82"/>
  <c r="P198" i="82"/>
  <c r="O198" i="82"/>
  <c r="L198" i="82"/>
  <c r="K198" i="82"/>
  <c r="G198" i="82"/>
  <c r="C198" i="82"/>
  <c r="A198" i="82"/>
  <c r="S197" i="82"/>
  <c r="R197" i="82"/>
  <c r="Q197" i="82"/>
  <c r="P197" i="82"/>
  <c r="O197" i="82"/>
  <c r="L197" i="82"/>
  <c r="K197" i="82"/>
  <c r="G197" i="82"/>
  <c r="C197" i="82"/>
  <c r="A197" i="82"/>
  <c r="S196" i="82"/>
  <c r="R196" i="82"/>
  <c r="Q196" i="82"/>
  <c r="P196" i="82"/>
  <c r="O196" i="82"/>
  <c r="L196" i="82"/>
  <c r="K196" i="82"/>
  <c r="G196" i="82"/>
  <c r="C196" i="82"/>
  <c r="A196" i="82"/>
  <c r="S195" i="82"/>
  <c r="R195" i="82"/>
  <c r="Q195" i="82"/>
  <c r="P195" i="82"/>
  <c r="O195" i="82"/>
  <c r="L195" i="82"/>
  <c r="K195" i="82"/>
  <c r="G195" i="82"/>
  <c r="C195" i="82"/>
  <c r="A195" i="82"/>
  <c r="S194" i="82"/>
  <c r="R194" i="82"/>
  <c r="Q194" i="82"/>
  <c r="P194" i="82"/>
  <c r="O194" i="82"/>
  <c r="L194" i="82"/>
  <c r="K194" i="82"/>
  <c r="G194" i="82"/>
  <c r="C194" i="82"/>
  <c r="A194" i="82"/>
  <c r="S193" i="82"/>
  <c r="R193" i="82"/>
  <c r="Q193" i="82"/>
  <c r="P193" i="82"/>
  <c r="O193" i="82"/>
  <c r="L193" i="82"/>
  <c r="K193" i="82"/>
  <c r="G193" i="82"/>
  <c r="C193" i="82"/>
  <c r="A193" i="82"/>
  <c r="S192" i="82"/>
  <c r="R192" i="82"/>
  <c r="Q192" i="82"/>
  <c r="P192" i="82"/>
  <c r="O192" i="82"/>
  <c r="L192" i="82"/>
  <c r="K192" i="82"/>
  <c r="G192" i="82"/>
  <c r="C192" i="82"/>
  <c r="A192" i="82"/>
  <c r="S191" i="82"/>
  <c r="R191" i="82"/>
  <c r="Q191" i="82"/>
  <c r="P191" i="82"/>
  <c r="O191" i="82"/>
  <c r="L191" i="82"/>
  <c r="K191" i="82"/>
  <c r="G191" i="82"/>
  <c r="C191" i="82"/>
  <c r="A191" i="82"/>
  <c r="S190" i="82"/>
  <c r="R190" i="82"/>
  <c r="Q190" i="82"/>
  <c r="P190" i="82"/>
  <c r="O190" i="82"/>
  <c r="L190" i="82"/>
  <c r="K190" i="82"/>
  <c r="G190" i="82"/>
  <c r="C190" i="82"/>
  <c r="A190" i="82"/>
  <c r="S189" i="82"/>
  <c r="R189" i="82"/>
  <c r="Q189" i="82"/>
  <c r="P189" i="82"/>
  <c r="O189" i="82"/>
  <c r="L189" i="82"/>
  <c r="K189" i="82"/>
  <c r="G189" i="82"/>
  <c r="C189" i="82"/>
  <c r="A189" i="82"/>
  <c r="S188" i="82"/>
  <c r="R188" i="82"/>
  <c r="Q188" i="82"/>
  <c r="P188" i="82"/>
  <c r="O188" i="82"/>
  <c r="L188" i="82"/>
  <c r="K188" i="82"/>
  <c r="G188" i="82"/>
  <c r="C188" i="82"/>
  <c r="A188" i="82"/>
  <c r="S187" i="82"/>
  <c r="R187" i="82"/>
  <c r="Q187" i="82"/>
  <c r="P187" i="82"/>
  <c r="O187" i="82"/>
  <c r="L187" i="82"/>
  <c r="K187" i="82"/>
  <c r="G187" i="82"/>
  <c r="C187" i="82"/>
  <c r="A187" i="82"/>
  <c r="S186" i="82"/>
  <c r="R186" i="82"/>
  <c r="Q186" i="82"/>
  <c r="P186" i="82"/>
  <c r="O186" i="82"/>
  <c r="L186" i="82"/>
  <c r="K186" i="82"/>
  <c r="G186" i="82"/>
  <c r="C186" i="82"/>
  <c r="A186" i="82"/>
  <c r="S185" i="82"/>
  <c r="R185" i="82"/>
  <c r="Q185" i="82"/>
  <c r="P185" i="82"/>
  <c r="O185" i="82"/>
  <c r="L185" i="82"/>
  <c r="K185" i="82"/>
  <c r="G185" i="82"/>
  <c r="C185" i="82"/>
  <c r="A185" i="82"/>
  <c r="S184" i="82"/>
  <c r="R184" i="82"/>
  <c r="Q184" i="82"/>
  <c r="P184" i="82"/>
  <c r="O184" i="82"/>
  <c r="L184" i="82"/>
  <c r="K184" i="82"/>
  <c r="G184" i="82"/>
  <c r="C184" i="82"/>
  <c r="A184" i="82"/>
  <c r="S183" i="82"/>
  <c r="R183" i="82"/>
  <c r="Q183" i="82"/>
  <c r="P183" i="82"/>
  <c r="O183" i="82"/>
  <c r="L183" i="82"/>
  <c r="K183" i="82"/>
  <c r="G183" i="82"/>
  <c r="C183" i="82"/>
  <c r="A183" i="82"/>
  <c r="S182" i="82"/>
  <c r="R182" i="82"/>
  <c r="Q182" i="82"/>
  <c r="P182" i="82"/>
  <c r="O182" i="82"/>
  <c r="L182" i="82"/>
  <c r="K182" i="82"/>
  <c r="G182" i="82"/>
  <c r="C182" i="82"/>
  <c r="A182" i="82"/>
  <c r="S181" i="82"/>
  <c r="R181" i="82"/>
  <c r="Q181" i="82"/>
  <c r="P181" i="82"/>
  <c r="O181" i="82"/>
  <c r="L181" i="82"/>
  <c r="K181" i="82"/>
  <c r="G181" i="82"/>
  <c r="C181" i="82"/>
  <c r="A181" i="82"/>
  <c r="S180" i="82"/>
  <c r="R180" i="82"/>
  <c r="Q180" i="82"/>
  <c r="P180" i="82"/>
  <c r="O180" i="82"/>
  <c r="L180" i="82"/>
  <c r="K180" i="82"/>
  <c r="G180" i="82"/>
  <c r="C180" i="82"/>
  <c r="A180" i="82"/>
  <c r="S179" i="82"/>
  <c r="R179" i="82"/>
  <c r="Q179" i="82"/>
  <c r="P179" i="82"/>
  <c r="O179" i="82"/>
  <c r="L179" i="82"/>
  <c r="K179" i="82"/>
  <c r="G179" i="82"/>
  <c r="C179" i="82"/>
  <c r="A179" i="82"/>
  <c r="S178" i="82"/>
  <c r="R178" i="82"/>
  <c r="Q178" i="82"/>
  <c r="P178" i="82"/>
  <c r="O178" i="82"/>
  <c r="L178" i="82"/>
  <c r="K178" i="82"/>
  <c r="G178" i="82"/>
  <c r="C178" i="82"/>
  <c r="A178" i="82"/>
  <c r="S177" i="82"/>
  <c r="R177" i="82"/>
  <c r="Q177" i="82"/>
  <c r="P177" i="82"/>
  <c r="O177" i="82"/>
  <c r="L177" i="82"/>
  <c r="K177" i="82"/>
  <c r="G177" i="82"/>
  <c r="C177" i="82"/>
  <c r="A177" i="82"/>
  <c r="S176" i="82"/>
  <c r="R176" i="82"/>
  <c r="Q176" i="82"/>
  <c r="P176" i="82"/>
  <c r="O176" i="82"/>
  <c r="L176" i="82"/>
  <c r="K176" i="82"/>
  <c r="G176" i="82"/>
  <c r="C176" i="82"/>
  <c r="A176" i="82"/>
  <c r="S175" i="82"/>
  <c r="R175" i="82"/>
  <c r="Q175" i="82"/>
  <c r="P175" i="82"/>
  <c r="O175" i="82"/>
  <c r="L175" i="82"/>
  <c r="K175" i="82"/>
  <c r="G175" i="82"/>
  <c r="C175" i="82"/>
  <c r="A175" i="82"/>
  <c r="A7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D10" i="105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<sst xmlns="http://schemas.openxmlformats.org/spreadsheetml/2006/main" count="194" uniqueCount="95">
  <si>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</si>
  <si>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</si>
  <si>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</si>
  <si>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</si>
  <si>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</si>
  <si>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</si>
  <si>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</si>
  <si>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</si>
  <si>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</si>
  <si>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</si>
  <si>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</si>
  <si>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</si>
  <si>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</si>
  <si>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</si>
  <si>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</si>
  <si>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</si>
  <si>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</si>
  <si>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</si>
  <si>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</si>
  <si>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</si>
  <si>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</si>
  <si>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</si>
  <si>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</si>
  <si>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</si>
  <si>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</si>
  <si>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</si>
  <si>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</si>
  <si>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</si>
  <si>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</si>
  <si>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</si>
  <si>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</si>
  <si>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</si>
  <si>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</si>
  <si>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</si>
  <si>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</si>
  <si>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</si>
  <si>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</si>
  <si>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</si>
  <si>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</si>
  <si>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</si>
  <si>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</si>
  <si>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</si>
  <si>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</si>
  <si>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</si>
  <si>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</si>
  <si>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</si>
  <si>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</si>
  <si>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</si>
  <si>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</si>
  <si>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</si>
  <si>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</si>
  <si>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</si>
  <si>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</si>
  <si>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</si>
  <si>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</si>
  <si>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</si>
  <si>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</si>
  <si>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</si>
  <si>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</si>
  <si>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</si>
  <si>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</si>
  <si>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</si>
  <si>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</si>
  <si>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</si>
  <si>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</si>
  <si>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</si>
  <si>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</si>
  <si>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</si>
  <si>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</si>
  <si>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</si>
  <si>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</si>
  <si>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</si>
  <si>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</si>
  <si>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</si>
  <si>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</si>
  <si>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</si>
  <si>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</si>
  <si>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</si>
  <si>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</si>
  <si>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</si>
  <si>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</si>
  <si>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</si>
  <si>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</si>
  <si>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</si>
  <si>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</si>
  <si>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</si>
  <si>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</si>
  <si>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</si>
  <si>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</si>
  <si>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</si>
  <si>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</si>
  <si>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レベル設定ユニット数</t>
    <rPh sb="3" eb="5">
      <t>セッテ</t>
    </rPh>
    <rPh sb="9" eb="10">
      <t>ス</t>
    </rPh>
    <phoneticPr fontId="11"/>
  </si>
  <si>
    <t>PremiumSSS</t>
  </si>
  <si>
    <t>green</t>
  </si>
  <si>
    <t>green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</si>
</sst>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8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</cellXfs>
  <cellStyles count="366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お正月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お正月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フィーバーフェス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フィーバーフェス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フィーバーフェス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フィーバーフェス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う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フィーバーフェス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フィーバーフェス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フィーバーフェス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コラボ　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yellow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コラボ　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yellow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コラボ　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コラボ　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コラボ　デュラララ01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yellow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コラボ　デュラララ01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yellow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コラボ　デュラララ01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yellow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コラボ　デュラララ01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コラボ　デュラララ01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コラボ　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red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コラボ　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red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コラボ　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コラボ　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コラボ　デュラララ01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コラボ　デュラララ01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コラボ　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コラボ　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コラボ　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コラボ　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コラボ　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コラボ　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コラボ　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コラボ　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コラボ　デュラララ01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コラボ　デュラララ01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コラボ　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コラボ　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コラボ　デュラララ01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コラボ　デュラララ01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戦国01EVENT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戦国01EVENT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戦国01EVENT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戦国01EVENT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戦国01EVENT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戦国01EVENT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超WIZ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超WIZ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戦国01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戦国01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戦国01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戦国01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戦国01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戦国01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戦国01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30" sqref="E3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303</v>
      </c>
      <c r="D2" s="25" t="s">
        <v>60</v>
      </c>
      <c r="E2" s="23" t="str">
        <f ca="1">B2&amp;C2&amp;D2</f>
        <v>gacha_select_tables_303.tmp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303</v>
      </c>
      <c r="D3" s="25" t="s">
        <v>61</v>
      </c>
      <c r="E3" s="23" t="str">
        <f ca="1">B3&amp;C3&amp;D3</f>
        <v>gacha_settle_tables_303.tmp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303</v>
      </c>
      <c r="D4" s="25" t="s">
        <v>61</v>
      </c>
      <c r="E4" s="23" t="str">
        <f ca="1">B4&amp;C4&amp;D4</f>
        <v>gacha_bonus_tables_303.tmp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303</v>
      </c>
      <c r="D5" s="25" t="s">
        <v>61</v>
      </c>
      <c r="E5" s="23" t="str">
        <f ca="1">B5&amp;C5&amp;D5</f>
        <v>gifts_tmp_303.tmp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303</v>
      </c>
      <c r="D6" s="25" t="s">
        <v>61</v>
      </c>
      <c r="E6" s="23" t="str">
        <f ca="1">B6&amp;C6&amp;D6</f>
        <v>gifts_i18n_303.tmp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81"/>
  <sheetViews>
    <sheetView workbookViewId="0">
      <selection activeCell="E41" sqref="E41"/>
    </sheetView>
  </sheetViews>
  <sheetFormatPr baseColWidth="12" defaultRowHeight="14" x14ac:dyDescent="0"/>
  <cols>
    <col min="1" max="1" width="15.1640625" style="53" customWidth="1"/>
    <col min="2" max="3" width="12.83203125" style="53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0"/>
    </row>
    <row r="3" spans="1:5">
      <c r="A3" s="15" t="str">
        <f t="shared" ref="A3:A17" si="0">0&amp;C3&amp;D3&amp;E3</f>
        <v>0PremiumW4green</v>
      </c>
      <c r="B3">
        <v>21113</v>
      </c>
      <c r="C3" s="50" t="s">
        <v>72</v>
      </c>
      <c r="D3">
        <v>4</v>
      </c>
      <c r="E3" t="s">
        <v>94</v>
      </c>
    </row>
    <row r="4" spans="1:5">
      <c r="A4" s="15" t="str">
        <f t="shared" si="0"/>
        <v>0PremiumN4green</v>
      </c>
      <c r="B4">
        <v>39946</v>
      </c>
      <c r="C4" s="50" t="s">
        <v>73</v>
      </c>
      <c r="D4">
        <v>4</v>
      </c>
      <c r="E4" t="s">
        <v>93</v>
      </c>
    </row>
    <row r="5" spans="1:5">
      <c r="A5" s="15" t="str">
        <f t="shared" si="0"/>
        <v>0PremiumS4green</v>
      </c>
      <c r="B5">
        <v>39946</v>
      </c>
      <c r="C5" s="50" t="s">
        <v>74</v>
      </c>
      <c r="D5">
        <v>4</v>
      </c>
      <c r="E5" t="s">
        <v>93</v>
      </c>
    </row>
    <row r="6" spans="1:5">
      <c r="A6" s="15" t="str">
        <f t="shared" si="0"/>
        <v>0PremiumSS4green</v>
      </c>
      <c r="B6">
        <v>6622</v>
      </c>
      <c r="C6" s="50" t="s">
        <v>75</v>
      </c>
      <c r="D6">
        <v>4</v>
      </c>
      <c r="E6" t="s">
        <v>93</v>
      </c>
    </row>
    <row r="7" spans="1:5">
      <c r="A7" s="15" t="str">
        <f t="shared" si="0"/>
        <v>0PremiumW4</v>
      </c>
      <c r="B7">
        <v>3016</v>
      </c>
      <c r="C7" s="50" t="s">
        <v>72</v>
      </c>
      <c r="D7">
        <v>4</v>
      </c>
    </row>
    <row r="8" spans="1:5">
      <c r="A8" s="15" t="str">
        <f t="shared" si="0"/>
        <v>0PremiumN4</v>
      </c>
      <c r="B8">
        <v>5707</v>
      </c>
      <c r="C8" s="50" t="s">
        <v>73</v>
      </c>
      <c r="D8">
        <v>4</v>
      </c>
    </row>
    <row r="9" spans="1:5">
      <c r="A9" s="15" t="str">
        <f t="shared" si="0"/>
        <v>0PremiumS4</v>
      </c>
      <c r="B9">
        <v>5707</v>
      </c>
      <c r="C9" s="50" t="s">
        <v>74</v>
      </c>
      <c r="D9">
        <v>4</v>
      </c>
    </row>
    <row r="10" spans="1:5">
      <c r="A10" s="15" t="str">
        <f t="shared" si="0"/>
        <v>0PremiumSS4</v>
      </c>
      <c r="B10">
        <v>946</v>
      </c>
      <c r="C10" s="55" t="s">
        <v>75</v>
      </c>
      <c r="D10">
        <v>4</v>
      </c>
    </row>
    <row r="11" spans="1:5">
      <c r="A11" s="15" t="str">
        <f t="shared" si="0"/>
        <v>0PremiumN5green</v>
      </c>
      <c r="B11">
        <v>2280</v>
      </c>
      <c r="C11" s="55" t="s">
        <v>73</v>
      </c>
      <c r="D11">
        <v>5</v>
      </c>
      <c r="E11" t="s">
        <v>93</v>
      </c>
    </row>
    <row r="12" spans="1:5">
      <c r="A12" s="15" t="str">
        <f t="shared" si="0"/>
        <v>0PremiumS5green</v>
      </c>
      <c r="B12">
        <v>2280</v>
      </c>
      <c r="C12" s="49" t="s">
        <v>74</v>
      </c>
      <c r="D12">
        <v>5</v>
      </c>
      <c r="E12" t="s">
        <v>93</v>
      </c>
    </row>
    <row r="13" spans="1:5">
      <c r="A13" s="15" t="str">
        <f t="shared" si="0"/>
        <v>0PremiumSS5green</v>
      </c>
      <c r="B13">
        <v>378</v>
      </c>
      <c r="C13" s="50" t="s">
        <v>75</v>
      </c>
      <c r="D13">
        <v>5</v>
      </c>
      <c r="E13" t="s">
        <v>93</v>
      </c>
    </row>
    <row r="14" spans="1:5">
      <c r="A14" s="15" t="str">
        <f t="shared" si="0"/>
        <v>0PremiumSSS5green</v>
      </c>
      <c r="B14">
        <v>5000</v>
      </c>
      <c r="C14" s="50" t="s">
        <v>92</v>
      </c>
      <c r="D14">
        <v>5</v>
      </c>
      <c r="E14" t="s">
        <v>93</v>
      </c>
    </row>
    <row r="15" spans="1:5">
      <c r="A15" s="15" t="str">
        <f t="shared" si="0"/>
        <v>0PremiumN5</v>
      </c>
      <c r="B15">
        <v>326</v>
      </c>
      <c r="C15" s="50" t="s">
        <v>73</v>
      </c>
      <c r="D15">
        <v>5</v>
      </c>
    </row>
    <row r="16" spans="1:5">
      <c r="A16" s="15" t="str">
        <f t="shared" si="0"/>
        <v>0PremiumS5</v>
      </c>
      <c r="B16">
        <v>326</v>
      </c>
      <c r="C16" s="50" t="s">
        <v>74</v>
      </c>
      <c r="D16">
        <v>5</v>
      </c>
    </row>
    <row r="17" spans="1:9">
      <c r="A17" s="15" t="str">
        <f t="shared" si="0"/>
        <v>0PremiumSS5</v>
      </c>
      <c r="B17" s="53">
        <v>54</v>
      </c>
      <c r="C17" s="54" t="s">
        <v>75</v>
      </c>
      <c r="D17">
        <v>5</v>
      </c>
    </row>
    <row r="18" spans="1:9">
      <c r="A18" s="52"/>
      <c r="C18" s="51"/>
    </row>
    <row r="19" spans="1:9">
      <c r="A19" s="52"/>
      <c r="C19" s="51"/>
    </row>
    <row r="20" spans="1:9">
      <c r="A20" s="52"/>
      <c r="C20" s="51"/>
    </row>
    <row r="21" spans="1:9">
      <c r="A21" s="52"/>
      <c r="C21" s="54"/>
    </row>
    <row r="22" spans="1:9">
      <c r="A22" s="52"/>
      <c r="B22"/>
      <c r="C22" s="54"/>
    </row>
    <row r="23" spans="1:9">
      <c r="A23" s="15" t="str">
        <f t="shared" ref="A23:A43" si="1">1&amp;C23&amp;D23&amp;E23</f>
        <v>1PremiumW3green</v>
      </c>
      <c r="B23">
        <v>13357</v>
      </c>
      <c r="C23" s="49" t="s">
        <v>72</v>
      </c>
      <c r="D23">
        <v>3</v>
      </c>
      <c r="E23" t="s">
        <v>93</v>
      </c>
    </row>
    <row r="24" spans="1:9">
      <c r="A24" s="15" t="str">
        <f t="shared" si="1"/>
        <v>1PremiumN3green</v>
      </c>
      <c r="B24">
        <v>20036</v>
      </c>
      <c r="C24" s="49" t="s">
        <v>73</v>
      </c>
      <c r="D24">
        <v>3</v>
      </c>
      <c r="E24" t="s">
        <v>93</v>
      </c>
    </row>
    <row r="25" spans="1:9">
      <c r="A25" s="15" t="str">
        <f t="shared" si="1"/>
        <v>1PremiumS3green</v>
      </c>
      <c r="B25">
        <v>20036</v>
      </c>
      <c r="C25" s="49" t="s">
        <v>74</v>
      </c>
      <c r="D25">
        <v>3</v>
      </c>
      <c r="E25" t="s">
        <v>93</v>
      </c>
    </row>
    <row r="26" spans="1:9">
      <c r="A26" s="15" t="str">
        <f t="shared" si="1"/>
        <v>1PremiumW3</v>
      </c>
      <c r="B26">
        <v>1908</v>
      </c>
      <c r="C26" s="49" t="s">
        <v>72</v>
      </c>
      <c r="D26">
        <v>3</v>
      </c>
    </row>
    <row r="27" spans="1:9">
      <c r="A27" s="15" t="str">
        <f t="shared" si="1"/>
        <v>1PremiumN3</v>
      </c>
      <c r="B27">
        <v>2862</v>
      </c>
      <c r="C27" s="49" t="s">
        <v>73</v>
      </c>
      <c r="D27">
        <v>3</v>
      </c>
    </row>
    <row r="28" spans="1:9">
      <c r="A28" s="15" t="str">
        <f t="shared" si="1"/>
        <v>1PremiumS3</v>
      </c>
      <c r="B28">
        <v>2862</v>
      </c>
      <c r="C28" s="49" t="s">
        <v>74</v>
      </c>
      <c r="D28">
        <v>3</v>
      </c>
      <c r="H28" s="48"/>
      <c r="I28" s="48"/>
    </row>
    <row r="29" spans="1:9">
      <c r="A29" s="15" t="str">
        <f t="shared" si="1"/>
        <v>1PremiumW4green</v>
      </c>
      <c r="B29">
        <v>13357</v>
      </c>
      <c r="C29" s="49" t="s">
        <v>72</v>
      </c>
      <c r="D29">
        <v>4</v>
      </c>
      <c r="E29" t="s">
        <v>93</v>
      </c>
    </row>
    <row r="30" spans="1:9">
      <c r="A30" s="15" t="str">
        <f t="shared" si="1"/>
        <v>1PremiumN4green</v>
      </c>
      <c r="B30">
        <v>17752</v>
      </c>
      <c r="C30" s="49" t="s">
        <v>73</v>
      </c>
      <c r="D30">
        <v>4</v>
      </c>
      <c r="E30" t="s">
        <v>93</v>
      </c>
    </row>
    <row r="31" spans="1:9">
      <c r="A31" s="15" t="str">
        <f t="shared" si="1"/>
        <v>1PremiumS4green</v>
      </c>
      <c r="B31">
        <v>17752</v>
      </c>
      <c r="C31" s="50" t="s">
        <v>74</v>
      </c>
      <c r="D31">
        <v>4</v>
      </c>
      <c r="E31" t="s">
        <v>93</v>
      </c>
    </row>
    <row r="32" spans="1:9">
      <c r="A32" s="15" t="str">
        <f t="shared" si="1"/>
        <v>1PremiumSS4green</v>
      </c>
      <c r="B32">
        <v>6601</v>
      </c>
      <c r="C32" s="50" t="s">
        <v>75</v>
      </c>
      <c r="D32">
        <v>4</v>
      </c>
      <c r="E32" t="s">
        <v>93</v>
      </c>
    </row>
    <row r="33" spans="1:5">
      <c r="A33" s="15" t="str">
        <f t="shared" si="1"/>
        <v>1PremiumW4</v>
      </c>
      <c r="B33">
        <v>1908</v>
      </c>
      <c r="C33" s="50" t="s">
        <v>72</v>
      </c>
      <c r="D33">
        <v>4</v>
      </c>
    </row>
    <row r="34" spans="1:5">
      <c r="A34" s="15" t="str">
        <f t="shared" si="1"/>
        <v>1PremiumN4</v>
      </c>
      <c r="B34">
        <v>2536</v>
      </c>
      <c r="C34" s="49" t="s">
        <v>73</v>
      </c>
      <c r="D34">
        <v>4</v>
      </c>
    </row>
    <row r="35" spans="1:5">
      <c r="A35" s="15" t="str">
        <f t="shared" si="1"/>
        <v>1PremiumS4</v>
      </c>
      <c r="B35">
        <v>2536</v>
      </c>
      <c r="C35" s="49" t="s">
        <v>74</v>
      </c>
      <c r="D35">
        <v>4</v>
      </c>
    </row>
    <row r="36" spans="1:5">
      <c r="A36" s="15" t="str">
        <f t="shared" si="1"/>
        <v>1PremiumSS4</v>
      </c>
      <c r="B36">
        <v>943</v>
      </c>
      <c r="C36" s="40" t="s">
        <v>75</v>
      </c>
      <c r="D36">
        <v>4</v>
      </c>
    </row>
    <row r="37" spans="1:5">
      <c r="A37" s="15" t="str">
        <f t="shared" si="1"/>
        <v>1PremiumN5green</v>
      </c>
      <c r="B37">
        <v>2284</v>
      </c>
      <c r="C37" s="40" t="s">
        <v>73</v>
      </c>
      <c r="D37">
        <v>5</v>
      </c>
      <c r="E37" t="s">
        <v>93</v>
      </c>
    </row>
    <row r="38" spans="1:5">
      <c r="A38" s="15" t="str">
        <f t="shared" si="1"/>
        <v>1PremiumS5green</v>
      </c>
      <c r="B38">
        <v>2284</v>
      </c>
      <c r="C38" s="40" t="s">
        <v>74</v>
      </c>
      <c r="D38">
        <v>5</v>
      </c>
      <c r="E38" t="s">
        <v>93</v>
      </c>
    </row>
    <row r="39" spans="1:5">
      <c r="A39" s="15" t="str">
        <f t="shared" si="1"/>
        <v>1PremiumSS5green</v>
      </c>
      <c r="B39">
        <v>399</v>
      </c>
      <c r="C39" s="40" t="s">
        <v>75</v>
      </c>
      <c r="D39">
        <v>5</v>
      </c>
      <c r="E39" t="s">
        <v>93</v>
      </c>
    </row>
    <row r="40" spans="1:5">
      <c r="A40" s="15" t="str">
        <f t="shared" si="1"/>
        <v>1PremiumSSS5green</v>
      </c>
      <c r="B40">
        <v>5000</v>
      </c>
      <c r="C40" s="40" t="s">
        <v>92</v>
      </c>
      <c r="D40">
        <v>5</v>
      </c>
      <c r="E40" t="s">
        <v>93</v>
      </c>
    </row>
    <row r="41" spans="1:5">
      <c r="A41" s="15" t="str">
        <f t="shared" si="1"/>
        <v>1PremiumN5</v>
      </c>
      <c r="B41">
        <v>326</v>
      </c>
      <c r="C41" t="s">
        <v>73</v>
      </c>
      <c r="D41">
        <v>5</v>
      </c>
    </row>
    <row r="42" spans="1:5">
      <c r="A42" s="15" t="str">
        <f t="shared" si="1"/>
        <v>1PremiumS5</v>
      </c>
      <c r="B42" s="53">
        <v>326</v>
      </c>
      <c r="C42" s="54" t="s">
        <v>74</v>
      </c>
      <c r="D42">
        <v>5</v>
      </c>
    </row>
    <row r="43" spans="1:5">
      <c r="A43" s="15" t="str">
        <f t="shared" si="1"/>
        <v>1PremiumSS5</v>
      </c>
      <c r="B43" s="53">
        <v>57</v>
      </c>
      <c r="C43" s="51" t="s">
        <v>75</v>
      </c>
      <c r="D43">
        <v>5</v>
      </c>
    </row>
    <row r="44" spans="1:5">
      <c r="A44" s="52"/>
      <c r="C44" s="51"/>
    </row>
    <row r="45" spans="1:5">
      <c r="A45" s="52"/>
      <c r="C45" s="51"/>
    </row>
    <row r="46" spans="1:5">
      <c r="A46" s="52"/>
      <c r="C46" s="54"/>
    </row>
    <row r="47" spans="1:5">
      <c r="A47" s="52"/>
      <c r="C47" s="54"/>
    </row>
    <row r="48" spans="1:5">
      <c r="A48" s="52"/>
    </row>
    <row r="49" spans="1:3">
      <c r="A49" s="52"/>
    </row>
    <row r="50" spans="1:3">
      <c r="A50" s="52"/>
    </row>
    <row r="51" spans="1:3">
      <c r="A51" s="52"/>
    </row>
    <row r="54" spans="1:3">
      <c r="A54" s="52"/>
      <c r="C54" s="51"/>
    </row>
    <row r="55" spans="1:3">
      <c r="A55" s="52"/>
      <c r="C55" s="51"/>
    </row>
    <row r="56" spans="1:3">
      <c r="A56" s="52"/>
      <c r="C56" s="51"/>
    </row>
    <row r="57" spans="1:3">
      <c r="A57" s="52"/>
      <c r="C57" s="51"/>
    </row>
    <row r="58" spans="1:3">
      <c r="A58" s="52"/>
      <c r="C58" s="51"/>
    </row>
    <row r="59" spans="1:3">
      <c r="A59" s="52"/>
      <c r="C59" s="51"/>
    </row>
    <row r="60" spans="1:3">
      <c r="A60" s="52"/>
      <c r="C60" s="51"/>
    </row>
    <row r="61" spans="1:3">
      <c r="A61" s="52"/>
    </row>
    <row r="62" spans="1:3">
      <c r="A62" s="52"/>
    </row>
    <row r="63" spans="1:3">
      <c r="A63" s="52"/>
    </row>
    <row r="66" spans="1:3">
      <c r="A66" s="52"/>
      <c r="C66" s="51"/>
    </row>
    <row r="67" spans="1:3">
      <c r="A67" s="52"/>
      <c r="C67" s="51"/>
    </row>
    <row r="68" spans="1:3">
      <c r="A68" s="52"/>
      <c r="C68" s="51"/>
    </row>
    <row r="69" spans="1:3">
      <c r="A69" s="52"/>
      <c r="C69" s="51"/>
    </row>
    <row r="70" spans="1:3">
      <c r="A70" s="52"/>
      <c r="C70" s="51"/>
    </row>
    <row r="71" spans="1:3">
      <c r="A71" s="52"/>
      <c r="C71" s="51"/>
    </row>
    <row r="72" spans="1:3">
      <c r="A72" s="52"/>
      <c r="C72" s="51"/>
    </row>
    <row r="75" spans="1:3">
      <c r="A75" s="52"/>
      <c r="C75" s="51"/>
    </row>
    <row r="76" spans="1:3">
      <c r="A76" s="52"/>
      <c r="C76" s="51"/>
    </row>
    <row r="77" spans="1:3">
      <c r="A77" s="52"/>
      <c r="C77" s="51"/>
    </row>
    <row r="78" spans="1:3">
      <c r="A78" s="52"/>
      <c r="C78" s="51"/>
    </row>
    <row r="79" spans="1:3">
      <c r="A79" s="52"/>
      <c r="C79" s="51"/>
    </row>
    <row r="80" spans="1:3">
      <c r="A80" s="52"/>
      <c r="C80" s="51"/>
    </row>
    <row r="81" spans="1:3">
      <c r="A81" s="52"/>
      <c r="C81" s="51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419"/>
  <sheetViews>
    <sheetView showGridLines="0" zoomScale="75" zoomScaleNormal="75" zoomScalePageLayoutView="75" workbookViewId="0">
      <pane ySplit="1" topLeftCell="A73" activePane="bottomLeft" state="frozen"/>
      <selection activeCell="M24" sqref="M24"/>
      <selection pane="bottomLeft" activeCell="F25" sqref="F25:F4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hidden="1" customHeight="1">
      <c r="A2" s="7" t="str">
        <f t="shared" ref="A2:A64" si="0">B2&amp;F2</f>
        <v>3030127</v>
      </c>
      <c r="B2" s="2" t="str">
        <f>303&amp;E2</f>
        <v>3030</v>
      </c>
      <c r="C2" s="8" t="str">
        <f t="shared" ref="C2:C36" si="1">E2&amp;H2&amp;I2</f>
        <v>0PremiumW4</v>
      </c>
      <c r="D2" s="8" t="str">
        <f>E2&amp;H2&amp;I2&amp;IF(J2="green","green","")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VLOOKUP(D2,gacha_303_base!A:B,2,FALSE)</f>
        <v>3016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hidden="1" customHeight="1">
      <c r="A3" s="7" t="str">
        <f t="shared" si="0"/>
        <v>3030129</v>
      </c>
      <c r="B3" s="2" t="str">
        <f t="shared" ref="B3:B66" si="2">303&amp;E3</f>
        <v>3030</v>
      </c>
      <c r="C3" s="8" t="str">
        <f t="shared" si="1"/>
        <v>0PremiumW4</v>
      </c>
      <c r="D3" s="8" t="str">
        <f t="shared" ref="D3:D66" si="3">E3&amp;H3&amp;I3&amp;IF(J3="green","green","")</f>
        <v>0PremiumW4green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VLOOKUP(D3,gacha_303_base!A:B,2,FALSE)</f>
        <v>21113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hidden="1" customHeight="1">
      <c r="A4" s="7" t="str">
        <f t="shared" si="0"/>
        <v>3030131</v>
      </c>
      <c r="B4" s="2" t="str">
        <f t="shared" si="2"/>
        <v>3030</v>
      </c>
      <c r="C4" s="8" t="str">
        <f t="shared" si="1"/>
        <v>0PremiumW4</v>
      </c>
      <c r="D4" s="8" t="str">
        <f t="shared" si="3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VLOOKUP(D4,gacha_303_base!A:B,2,FALSE)</f>
        <v>3016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hidden="1" customHeight="1">
      <c r="A5" s="7" t="str">
        <f t="shared" si="0"/>
        <v>3030133</v>
      </c>
      <c r="B5" s="2" t="str">
        <f t="shared" si="2"/>
        <v>3030</v>
      </c>
      <c r="C5" s="8" t="str">
        <f t="shared" si="1"/>
        <v>0PremiumW4</v>
      </c>
      <c r="D5" s="8" t="str">
        <f t="shared" si="3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VLOOKUP(D5,gacha_303_base!A:B,2,FALSE)</f>
        <v>3016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hidden="1" customHeight="1">
      <c r="A6" s="7" t="str">
        <f t="shared" si="0"/>
        <v>3030135</v>
      </c>
      <c r="B6" s="2" t="str">
        <f t="shared" si="2"/>
        <v>3030</v>
      </c>
      <c r="C6" s="8" t="str">
        <f t="shared" si="1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VLOOKUP(D6,gacha_303_base!A:B,2,FALSE)</f>
        <v>3016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hidden="1" customHeight="1">
      <c r="A7" s="7" t="str">
        <f t="shared" si="0"/>
        <v>3030137</v>
      </c>
      <c r="B7" s="2" t="str">
        <f t="shared" si="2"/>
        <v>3030</v>
      </c>
      <c r="C7" s="8" t="str">
        <f t="shared" si="1"/>
        <v>0PremiumW4</v>
      </c>
      <c r="D7" s="8" t="str">
        <f t="shared" si="3"/>
        <v>0PremiumW4green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VLOOKUP(D7,gacha_303_base!A:B,2,FALSE)</f>
        <v>21113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hidden="1" customHeight="1">
      <c r="A8" s="7" t="str">
        <f t="shared" si="0"/>
        <v>3030139</v>
      </c>
      <c r="B8" s="2" t="str">
        <f t="shared" si="2"/>
        <v>3030</v>
      </c>
      <c r="C8" s="8" t="str">
        <f t="shared" si="1"/>
        <v>0PremiumW4</v>
      </c>
      <c r="D8" s="8" t="str">
        <f t="shared" si="3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VLOOKUP(D8,gacha_303_base!A:B,2,FALSE)</f>
        <v>3016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hidden="1" customHeight="1">
      <c r="A9" s="7" t="str">
        <f t="shared" si="0"/>
        <v>3030141</v>
      </c>
      <c r="B9" s="2" t="str">
        <f t="shared" si="2"/>
        <v>3030</v>
      </c>
      <c r="C9" s="8" t="str">
        <f t="shared" si="1"/>
        <v>0PremiumW4</v>
      </c>
      <c r="D9" s="8" t="str">
        <f t="shared" si="3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VLOOKUP(D9,gacha_303_base!A:B,2,FALSE)</f>
        <v>3016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hidden="1" customHeight="1">
      <c r="A10" s="7" t="str">
        <f t="shared" si="0"/>
        <v>3030143</v>
      </c>
      <c r="B10" s="2" t="str">
        <f t="shared" si="2"/>
        <v>3030</v>
      </c>
      <c r="C10" s="8" t="str">
        <f t="shared" si="1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VLOOKUP(D10,gacha_303_base!A:B,2,FALSE)</f>
        <v>3016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hidden="1" customHeight="1">
      <c r="A11" s="7" t="str">
        <f t="shared" si="0"/>
        <v>3030145</v>
      </c>
      <c r="B11" s="2" t="str">
        <f t="shared" si="2"/>
        <v>3030</v>
      </c>
      <c r="C11" s="8" t="str">
        <f t="shared" si="1"/>
        <v>0PremiumW4</v>
      </c>
      <c r="D11" s="8" t="str">
        <f t="shared" si="3"/>
        <v>0PremiumW4green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VLOOKUP(D11,gacha_303_base!A:B,2,FALSE)</f>
        <v>21113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hidden="1" customHeight="1">
      <c r="A12" s="7" t="str">
        <f t="shared" si="0"/>
        <v>3030147</v>
      </c>
      <c r="B12" s="2" t="str">
        <f t="shared" si="2"/>
        <v>3030</v>
      </c>
      <c r="C12" s="8" t="str">
        <f t="shared" si="1"/>
        <v>0PremiumW4</v>
      </c>
      <c r="D12" s="8" t="str">
        <f t="shared" si="3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VLOOKUP(D12,gacha_303_base!A:B,2,FALSE)</f>
        <v>3016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hidden="1" customHeight="1">
      <c r="A13" s="7" t="str">
        <f t="shared" si="0"/>
        <v>3030149</v>
      </c>
      <c r="B13" s="2" t="str">
        <f t="shared" si="2"/>
        <v>3030</v>
      </c>
      <c r="C13" s="8" t="str">
        <f t="shared" si="1"/>
        <v>0PremiumW4</v>
      </c>
      <c r="D13" s="8" t="str">
        <f t="shared" si="3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VLOOKUP(D13,gacha_303_base!A:B,2,FALSE)</f>
        <v>3016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hidden="1" customHeight="1">
      <c r="A14" s="7" t="str">
        <f t="shared" si="0"/>
        <v>3030151</v>
      </c>
      <c r="B14" s="2" t="str">
        <f t="shared" si="2"/>
        <v>3030</v>
      </c>
      <c r="C14" s="8" t="str">
        <f t="shared" si="1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VLOOKUP(D14,gacha_303_base!A:B,2,FALSE)</f>
        <v>3016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hidden="1" customHeight="1">
      <c r="A15" s="7" t="str">
        <f t="shared" si="0"/>
        <v>3030153</v>
      </c>
      <c r="B15" s="2" t="str">
        <f t="shared" si="2"/>
        <v>3030</v>
      </c>
      <c r="C15" s="8" t="str">
        <f t="shared" si="1"/>
        <v>0PremiumW4</v>
      </c>
      <c r="D15" s="8" t="str">
        <f t="shared" si="3"/>
        <v>0PremiumW4green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VLOOKUP(D15,gacha_303_base!A:B,2,FALSE)</f>
        <v>21113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hidden="1" customHeight="1">
      <c r="A16" s="7" t="str">
        <f t="shared" si="0"/>
        <v>3030155</v>
      </c>
      <c r="B16" s="2" t="str">
        <f t="shared" si="2"/>
        <v>3030</v>
      </c>
      <c r="C16" s="8" t="str">
        <f t="shared" si="1"/>
        <v>0PremiumW4</v>
      </c>
      <c r="D16" s="8" t="str">
        <f t="shared" si="3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VLOOKUP(D16,gacha_303_base!A:B,2,FALSE)</f>
        <v>3016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hidden="1" customHeight="1">
      <c r="A17" s="7" t="str">
        <f t="shared" si="0"/>
        <v>3030157</v>
      </c>
      <c r="B17" s="2" t="str">
        <f t="shared" si="2"/>
        <v>3030</v>
      </c>
      <c r="C17" s="8" t="str">
        <f t="shared" si="1"/>
        <v>0PremiumW4</v>
      </c>
      <c r="D17" s="8" t="str">
        <f t="shared" si="3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VLOOKUP(D17,gacha_303_base!A:B,2,FALSE)</f>
        <v>3016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hidden="1" customHeight="1">
      <c r="A18" s="7" t="str">
        <f t="shared" si="0"/>
        <v>3030159</v>
      </c>
      <c r="B18" s="2" t="str">
        <f t="shared" si="2"/>
        <v>3030</v>
      </c>
      <c r="C18" s="8" t="str">
        <f t="shared" si="1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VLOOKUP(D18,gacha_303_base!A:B,2,FALSE)</f>
        <v>3016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ht="21" hidden="1" customHeight="1">
      <c r="A19" s="7" t="str">
        <f t="shared" si="0"/>
        <v>3030161</v>
      </c>
      <c r="B19" s="2" t="str">
        <f t="shared" si="2"/>
        <v>3030</v>
      </c>
      <c r="C19" s="8" t="str">
        <f t="shared" si="1"/>
        <v>0PremiumW4</v>
      </c>
      <c r="D19" s="8" t="str">
        <f t="shared" si="3"/>
        <v>0PremiumW4green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VLOOKUP(D19,gacha_303_base!A:B,2,FALSE)</f>
        <v>21113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hidden="1" customHeight="1">
      <c r="A20" s="7" t="str">
        <f t="shared" si="0"/>
        <v>3030163</v>
      </c>
      <c r="B20" s="2" t="str">
        <f t="shared" si="2"/>
        <v>3030</v>
      </c>
      <c r="C20" s="8" t="str">
        <f t="shared" si="1"/>
        <v>0PremiumW4</v>
      </c>
      <c r="D20" s="8" t="str">
        <f t="shared" si="3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VLOOKUP(D20,gacha_303_base!A:B,2,FALSE)</f>
        <v>3016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hidden="1" customHeight="1">
      <c r="A21" s="7" t="str">
        <f t="shared" si="0"/>
        <v>3030165</v>
      </c>
      <c r="B21" s="2" t="str">
        <f t="shared" si="2"/>
        <v>3030</v>
      </c>
      <c r="C21" s="8" t="str">
        <f t="shared" si="1"/>
        <v>0PremiumW4</v>
      </c>
      <c r="D21" s="8" t="str">
        <f t="shared" si="3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VLOOKUP(D21,gacha_303_base!A:B,2,FALSE)</f>
        <v>3016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hidden="1" customHeight="1">
      <c r="A22" s="7" t="str">
        <f t="shared" si="0"/>
        <v>3030167</v>
      </c>
      <c r="B22" s="2" t="str">
        <f t="shared" si="2"/>
        <v>3030</v>
      </c>
      <c r="C22" s="8" t="str">
        <f t="shared" si="1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VLOOKUP(D22,gacha_303_base!A:B,2,FALSE)</f>
        <v>5707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hidden="1" customHeight="1">
      <c r="A23" s="7" t="str">
        <f t="shared" si="0"/>
        <v>3030168</v>
      </c>
      <c r="B23" s="2" t="str">
        <f t="shared" si="2"/>
        <v>3030</v>
      </c>
      <c r="C23" s="8" t="str">
        <f t="shared" si="1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VLOOKUP(D23,gacha_303_base!A:B,2,FALSE)</f>
        <v>326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hidden="1" customHeight="1">
      <c r="A24" s="7" t="str">
        <f t="shared" si="0"/>
        <v>3030170</v>
      </c>
      <c r="B24" s="2" t="str">
        <f t="shared" si="2"/>
        <v>3030</v>
      </c>
      <c r="C24" s="8" t="str">
        <f t="shared" si="1"/>
        <v>0PremiumN4</v>
      </c>
      <c r="D24" s="8" t="str">
        <f t="shared" si="3"/>
        <v>0PremiumN4green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VLOOKUP(D24,gacha_303_base!A:B,2,FALSE)</f>
        <v>39946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3030171</v>
      </c>
      <c r="B25" s="2" t="str">
        <f t="shared" si="2"/>
        <v>3030</v>
      </c>
      <c r="C25" s="8" t="str">
        <f t="shared" si="1"/>
        <v>0PremiumN5</v>
      </c>
      <c r="D25" s="8" t="str">
        <f t="shared" si="3"/>
        <v>0PremiumN5green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VLOOKUP(D25,gacha_303_base!A:B,2,FALSE)</f>
        <v>2280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hidden="1" customHeight="1">
      <c r="A26" s="7" t="str">
        <f t="shared" si="0"/>
        <v>3030173</v>
      </c>
      <c r="B26" s="2" t="str">
        <f t="shared" si="2"/>
        <v>3030</v>
      </c>
      <c r="C26" s="8" t="str">
        <f t="shared" si="1"/>
        <v>0PremiumN4</v>
      </c>
      <c r="D26" s="8" t="str">
        <f t="shared" si="3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VLOOKUP(D26,gacha_303_base!A:B,2,FALSE)</f>
        <v>5707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hidden="1" customHeight="1">
      <c r="A27" s="7" t="str">
        <f t="shared" si="0"/>
        <v>3030174</v>
      </c>
      <c r="B27" s="2" t="str">
        <f t="shared" si="2"/>
        <v>3030</v>
      </c>
      <c r="C27" s="8" t="str">
        <f t="shared" si="1"/>
        <v>0PremiumN5</v>
      </c>
      <c r="D27" s="8" t="str">
        <f t="shared" si="3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VLOOKUP(D27,gacha_303_base!A:B,2,FALSE)</f>
        <v>326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hidden="1" customHeight="1">
      <c r="A28" s="7" t="str">
        <f t="shared" si="0"/>
        <v>3030176</v>
      </c>
      <c r="B28" s="2" t="str">
        <f t="shared" si="2"/>
        <v>3030</v>
      </c>
      <c r="C28" s="8" t="str">
        <f t="shared" si="1"/>
        <v>0PremiumN4</v>
      </c>
      <c r="D28" s="8" t="str">
        <f t="shared" si="3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VLOOKUP(D28,gacha_303_base!A:B,2,FALSE)</f>
        <v>5707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hidden="1" customHeight="1">
      <c r="A29" s="7" t="str">
        <f t="shared" si="0"/>
        <v>3030177</v>
      </c>
      <c r="B29" s="2" t="str">
        <f t="shared" si="2"/>
        <v>3030</v>
      </c>
      <c r="C29" s="8" t="str">
        <f t="shared" si="1"/>
        <v>0PremiumN5</v>
      </c>
      <c r="D29" s="8" t="str">
        <f t="shared" si="3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VLOOKUP(D29,gacha_303_base!A:B,2,FALSE)</f>
        <v>326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hidden="1" customHeight="1">
      <c r="A30" s="7" t="str">
        <f t="shared" si="0"/>
        <v>3030179</v>
      </c>
      <c r="B30" s="2" t="str">
        <f t="shared" si="2"/>
        <v>3030</v>
      </c>
      <c r="C30" s="8" t="str">
        <f t="shared" si="1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VLOOKUP(D30,gacha_303_base!A:B,2,FALSE)</f>
        <v>5707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hidden="1" customHeight="1">
      <c r="A31" s="7" t="str">
        <f t="shared" si="0"/>
        <v>3030180</v>
      </c>
      <c r="B31" s="2" t="str">
        <f t="shared" si="2"/>
        <v>3030</v>
      </c>
      <c r="C31" s="8" t="str">
        <f t="shared" si="1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VLOOKUP(D31,gacha_303_base!A:B,2,FALSE)</f>
        <v>326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hidden="1" customHeight="1">
      <c r="A32" s="7" t="str">
        <f t="shared" si="0"/>
        <v>3030182</v>
      </c>
      <c r="B32" s="2" t="str">
        <f t="shared" si="2"/>
        <v>3030</v>
      </c>
      <c r="C32" s="8" t="str">
        <f t="shared" si="1"/>
        <v>0PremiumN4</v>
      </c>
      <c r="D32" s="8" t="str">
        <f t="shared" si="3"/>
        <v>0PremiumN4green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VLOOKUP(D32,gacha_303_base!A:B,2,FALSE)</f>
        <v>39946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3030183</v>
      </c>
      <c r="B33" s="2" t="str">
        <f t="shared" si="2"/>
        <v>3030</v>
      </c>
      <c r="C33" s="8" t="str">
        <f t="shared" si="1"/>
        <v>0PremiumN5</v>
      </c>
      <c r="D33" s="8" t="str">
        <f t="shared" si="3"/>
        <v>0PremiumN5green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VLOOKUP(D33,gacha_303_base!A:B,2,FALSE)</f>
        <v>2280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hidden="1" customHeight="1">
      <c r="A34" s="7" t="str">
        <f t="shared" si="0"/>
        <v>3030185</v>
      </c>
      <c r="B34" s="2" t="str">
        <f t="shared" si="2"/>
        <v>3030</v>
      </c>
      <c r="C34" s="8" t="str">
        <f t="shared" si="1"/>
        <v>0PremiumN4</v>
      </c>
      <c r="D34" s="8" t="str">
        <f t="shared" si="3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VLOOKUP(D34,gacha_303_base!A:B,2,FALSE)</f>
        <v>5707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hidden="1" customHeight="1">
      <c r="A35" s="7" t="str">
        <f t="shared" si="0"/>
        <v>3030186</v>
      </c>
      <c r="B35" s="2" t="str">
        <f t="shared" si="2"/>
        <v>3030</v>
      </c>
      <c r="C35" s="8" t="str">
        <f t="shared" si="1"/>
        <v>0PremiumN5</v>
      </c>
      <c r="D35" s="8" t="str">
        <f t="shared" si="3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VLOOKUP(D35,gacha_303_base!A:B,2,FALSE)</f>
        <v>326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hidden="1" customHeight="1">
      <c r="A36" s="7" t="str">
        <f t="shared" si="0"/>
        <v>3030188</v>
      </c>
      <c r="B36" s="2" t="str">
        <f t="shared" si="2"/>
        <v>3030</v>
      </c>
      <c r="C36" s="8" t="str">
        <f t="shared" si="1"/>
        <v>0PremiumN4</v>
      </c>
      <c r="D36" s="8" t="str">
        <f t="shared" si="3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VLOOKUP(D36,gacha_303_base!A:B,2,FALSE)</f>
        <v>5707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hidden="1" customHeight="1">
      <c r="A37" s="7" t="str">
        <f t="shared" si="0"/>
        <v>3030189</v>
      </c>
      <c r="B37" s="2" t="str">
        <f t="shared" si="2"/>
        <v>3030</v>
      </c>
      <c r="C37" s="8" t="str">
        <f t="shared" ref="C37:C79" si="4">E37&amp;H37&amp;I37</f>
        <v>0PremiumN5</v>
      </c>
      <c r="D37" s="8" t="str">
        <f t="shared" si="3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VLOOKUP(D37,gacha_303_base!A:B,2,FALSE)</f>
        <v>326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hidden="1" customHeight="1">
      <c r="A38" s="7" t="str">
        <f t="shared" si="0"/>
        <v>3030191</v>
      </c>
      <c r="B38" s="2" t="str">
        <f t="shared" si="2"/>
        <v>3030</v>
      </c>
      <c r="C38" s="8" t="str">
        <f t="shared" si="4"/>
        <v>0PremiumN4</v>
      </c>
      <c r="D38" s="8" t="str">
        <f t="shared" si="3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VLOOKUP(D38,gacha_303_base!A:B,2,FALSE)</f>
        <v>5707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hidden="1" customHeight="1">
      <c r="A39" s="7" t="str">
        <f t="shared" si="0"/>
        <v>3030192</v>
      </c>
      <c r="B39" s="2" t="str">
        <f t="shared" si="2"/>
        <v>3030</v>
      </c>
      <c r="C39" s="8" t="str">
        <f t="shared" si="4"/>
        <v>0PremiumN5</v>
      </c>
      <c r="D39" s="8" t="str">
        <f t="shared" si="3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VLOOKUP(D39,gacha_303_base!A:B,2,FALSE)</f>
        <v>326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hidden="1" customHeight="1">
      <c r="A40" s="7" t="str">
        <f t="shared" si="0"/>
        <v>3030194</v>
      </c>
      <c r="B40" s="2" t="str">
        <f t="shared" si="2"/>
        <v>3030</v>
      </c>
      <c r="C40" s="8" t="str">
        <f t="shared" si="4"/>
        <v>0PremiumN4</v>
      </c>
      <c r="D40" s="8" t="str">
        <f t="shared" si="3"/>
        <v>0PremiumN4green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VLOOKUP(D40,gacha_303_base!A:B,2,FALSE)</f>
        <v>39946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3030195</v>
      </c>
      <c r="B41" s="2" t="str">
        <f t="shared" si="2"/>
        <v>3030</v>
      </c>
      <c r="C41" s="8" t="str">
        <f t="shared" si="4"/>
        <v>0PremiumN5</v>
      </c>
      <c r="D41" s="8" t="str">
        <f t="shared" si="3"/>
        <v>0PremiumN5green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VLOOKUP(D41,gacha_303_base!A:B,2,FALSE)</f>
        <v>2280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hidden="1" customHeight="1">
      <c r="A42" s="7" t="str">
        <f t="shared" si="0"/>
        <v>3030197</v>
      </c>
      <c r="B42" s="2" t="str">
        <f t="shared" si="2"/>
        <v>3030</v>
      </c>
      <c r="C42" s="8" t="str">
        <f t="shared" si="4"/>
        <v>0PremiumN4</v>
      </c>
      <c r="D42" s="8" t="str">
        <f t="shared" si="3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VLOOKUP(D42,gacha_303_base!A:B,2,FALSE)</f>
        <v>5707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hidden="1" customHeight="1">
      <c r="A43" s="7" t="str">
        <f t="shared" si="0"/>
        <v>3030198</v>
      </c>
      <c r="B43" s="2" t="str">
        <f t="shared" si="2"/>
        <v>3030</v>
      </c>
      <c r="C43" s="8" t="str">
        <f t="shared" si="4"/>
        <v>0PremiumN5</v>
      </c>
      <c r="D43" s="8" t="str">
        <f t="shared" si="3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VLOOKUP(D43,gacha_303_base!A:B,2,FALSE)</f>
        <v>326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hidden="1" customHeight="1">
      <c r="A44" s="7" t="str">
        <f t="shared" si="0"/>
        <v>3030200</v>
      </c>
      <c r="B44" s="2" t="str">
        <f t="shared" si="2"/>
        <v>3030</v>
      </c>
      <c r="C44" s="8" t="str">
        <f t="shared" si="4"/>
        <v>0PremiumN4</v>
      </c>
      <c r="D44" s="8" t="str">
        <f t="shared" si="3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VLOOKUP(D44,gacha_303_base!A:B,2,FALSE)</f>
        <v>5707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hidden="1" customHeight="1">
      <c r="A45" s="7" t="str">
        <f t="shared" si="0"/>
        <v>3030201</v>
      </c>
      <c r="B45" s="2" t="str">
        <f t="shared" si="2"/>
        <v>3030</v>
      </c>
      <c r="C45" s="8" t="str">
        <f t="shared" si="4"/>
        <v>0PremiumN5</v>
      </c>
      <c r="D45" s="8" t="str">
        <f t="shared" si="3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VLOOKUP(D45,gacha_303_base!A:B,2,FALSE)</f>
        <v>326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hidden="1" customHeight="1">
      <c r="A46" s="7" t="str">
        <f t="shared" si="0"/>
        <v>3030203</v>
      </c>
      <c r="B46" s="2" t="str">
        <f t="shared" si="2"/>
        <v>3030</v>
      </c>
      <c r="C46" s="8" t="str">
        <f t="shared" si="4"/>
        <v>0PremiumN4</v>
      </c>
      <c r="D46" s="8" t="str">
        <f t="shared" si="3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VLOOKUP(D46,gacha_303_base!A:B,2,FALSE)</f>
        <v>5707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hidden="1" customHeight="1">
      <c r="A47" s="7" t="str">
        <f t="shared" si="0"/>
        <v>3030204</v>
      </c>
      <c r="B47" s="2" t="str">
        <f t="shared" si="2"/>
        <v>3030</v>
      </c>
      <c r="C47" s="8" t="str">
        <f t="shared" si="4"/>
        <v>0PremiumN5</v>
      </c>
      <c r="D47" s="8" t="str">
        <f t="shared" si="3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VLOOKUP(D47,gacha_303_base!A:B,2,FALSE)</f>
        <v>326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hidden="1" customHeight="1">
      <c r="A48" s="7" t="str">
        <f t="shared" si="0"/>
        <v>3030206</v>
      </c>
      <c r="B48" s="2" t="str">
        <f t="shared" si="2"/>
        <v>3030</v>
      </c>
      <c r="C48" s="8" t="str">
        <f t="shared" si="4"/>
        <v>0PremiumN4</v>
      </c>
      <c r="D48" s="8" t="str">
        <f t="shared" si="3"/>
        <v>0PremiumN4green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VLOOKUP(D48,gacha_303_base!A:B,2,FALSE)</f>
        <v>39946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3030207</v>
      </c>
      <c r="B49" s="2" t="str">
        <f t="shared" si="2"/>
        <v>3030</v>
      </c>
      <c r="C49" s="8" t="str">
        <f t="shared" si="4"/>
        <v>0PremiumN5</v>
      </c>
      <c r="D49" s="8" t="str">
        <f t="shared" si="3"/>
        <v>0PremiumN5green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VLOOKUP(D49,gacha_303_base!A:B,2,FALSE)</f>
        <v>2280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hidden="1" customHeight="1">
      <c r="A50" s="7" t="str">
        <f t="shared" si="0"/>
        <v>3030209</v>
      </c>
      <c r="B50" s="2" t="str">
        <f t="shared" si="2"/>
        <v>3030</v>
      </c>
      <c r="C50" s="8" t="str">
        <f t="shared" si="4"/>
        <v>0PremiumN4</v>
      </c>
      <c r="D50" s="8" t="str">
        <f t="shared" si="3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VLOOKUP(D50,gacha_303_base!A:B,2,FALSE)</f>
        <v>5707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hidden="1" customHeight="1">
      <c r="A51" s="7" t="str">
        <f t="shared" si="0"/>
        <v>3030210</v>
      </c>
      <c r="B51" s="2" t="str">
        <f t="shared" si="2"/>
        <v>3030</v>
      </c>
      <c r="C51" s="8" t="str">
        <f t="shared" si="4"/>
        <v>0PremiumN5</v>
      </c>
      <c r="D51" s="8" t="str">
        <f t="shared" si="3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VLOOKUP(D51,gacha_303_base!A:B,2,FALSE)</f>
        <v>326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hidden="1" customHeight="1">
      <c r="A52" s="7" t="str">
        <f t="shared" si="0"/>
        <v>3030212</v>
      </c>
      <c r="B52" s="2" t="str">
        <f t="shared" si="2"/>
        <v>3030</v>
      </c>
      <c r="C52" s="8" t="str">
        <f t="shared" si="4"/>
        <v>0PremiumN4</v>
      </c>
      <c r="D52" s="8" t="str">
        <f t="shared" si="3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VLOOKUP(D52,gacha_303_base!A:B,2,FALSE)</f>
        <v>5707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hidden="1" customHeight="1">
      <c r="A53" s="7" t="str">
        <f t="shared" si="0"/>
        <v>3030213</v>
      </c>
      <c r="B53" s="2" t="str">
        <f t="shared" si="2"/>
        <v>3030</v>
      </c>
      <c r="C53" s="8" t="str">
        <f t="shared" si="4"/>
        <v>0PremiumN5</v>
      </c>
      <c r="D53" s="8" t="str">
        <f t="shared" si="3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VLOOKUP(D53,gacha_303_base!A:B,2,FALSE)</f>
        <v>326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hidden="1" customHeight="1">
      <c r="A54" s="7" t="str">
        <f t="shared" si="0"/>
        <v>3030215</v>
      </c>
      <c r="B54" s="2" t="str">
        <f t="shared" si="2"/>
        <v>3030</v>
      </c>
      <c r="C54" s="8" t="str">
        <f t="shared" si="4"/>
        <v>0PremiumN4</v>
      </c>
      <c r="D54" s="8" t="str">
        <f t="shared" si="3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VLOOKUP(D54,gacha_303_base!A:B,2,FALSE)</f>
        <v>5707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hidden="1" customHeight="1">
      <c r="A55" s="7" t="str">
        <f t="shared" si="0"/>
        <v>3030216</v>
      </c>
      <c r="B55" s="2" t="str">
        <f t="shared" si="2"/>
        <v>3030</v>
      </c>
      <c r="C55" s="8" t="str">
        <f t="shared" si="4"/>
        <v>0PremiumN5</v>
      </c>
      <c r="D55" s="8" t="str">
        <f t="shared" si="3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VLOOKUP(D55,gacha_303_base!A:B,2,FALSE)</f>
        <v>326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hidden="1" customHeight="1">
      <c r="A56" s="7" t="str">
        <f t="shared" si="0"/>
        <v>3030218</v>
      </c>
      <c r="B56" s="2" t="str">
        <f t="shared" si="2"/>
        <v>3030</v>
      </c>
      <c r="C56" s="8" t="str">
        <f t="shared" si="4"/>
        <v>0PremiumN4</v>
      </c>
      <c r="D56" s="8" t="str">
        <f t="shared" si="3"/>
        <v>0PremiumN4green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VLOOKUP(D56,gacha_303_base!A:B,2,FALSE)</f>
        <v>39946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3030219</v>
      </c>
      <c r="B57" s="2" t="str">
        <f t="shared" si="2"/>
        <v>3030</v>
      </c>
      <c r="C57" s="8" t="str">
        <f t="shared" si="4"/>
        <v>0PremiumN5</v>
      </c>
      <c r="D57" s="8" t="str">
        <f t="shared" si="3"/>
        <v>0PremiumN5green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VLOOKUP(D57,gacha_303_base!A:B,2,FALSE)</f>
        <v>2280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hidden="1" customHeight="1">
      <c r="A58" s="7" t="str">
        <f t="shared" si="0"/>
        <v>3030221</v>
      </c>
      <c r="B58" s="2" t="str">
        <f t="shared" si="2"/>
        <v>3030</v>
      </c>
      <c r="C58" s="8" t="str">
        <f t="shared" si="4"/>
        <v>0PremiumN4</v>
      </c>
      <c r="D58" s="8" t="str">
        <f t="shared" si="3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VLOOKUP(D58,gacha_303_base!A:B,2,FALSE)</f>
        <v>5707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hidden="1" customHeight="1">
      <c r="A59" s="7" t="str">
        <f t="shared" si="0"/>
        <v>3030222</v>
      </c>
      <c r="B59" s="2" t="str">
        <f t="shared" si="2"/>
        <v>3030</v>
      </c>
      <c r="C59" s="8" t="str">
        <f t="shared" si="4"/>
        <v>0PremiumN5</v>
      </c>
      <c r="D59" s="8" t="str">
        <f t="shared" si="3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VLOOKUP(D59,gacha_303_base!A:B,2,FALSE)</f>
        <v>326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hidden="1" customHeight="1">
      <c r="A60" s="7" t="str">
        <f t="shared" si="0"/>
        <v>3030224</v>
      </c>
      <c r="B60" s="2" t="str">
        <f t="shared" si="2"/>
        <v>3030</v>
      </c>
      <c r="C60" s="8" t="str">
        <f t="shared" si="4"/>
        <v>0PremiumN4</v>
      </c>
      <c r="D60" s="8" t="str">
        <f t="shared" si="3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VLOOKUP(D60,gacha_303_base!A:B,2,FALSE)</f>
        <v>5707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hidden="1" customHeight="1">
      <c r="A61" s="7" t="str">
        <f t="shared" si="0"/>
        <v>3030225</v>
      </c>
      <c r="B61" s="2" t="str">
        <f t="shared" si="2"/>
        <v>3030</v>
      </c>
      <c r="C61" s="8" t="str">
        <f t="shared" si="4"/>
        <v>0PremiumN5</v>
      </c>
      <c r="D61" s="8" t="str">
        <f t="shared" si="3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VLOOKUP(D61,gacha_303_base!A:B,2,FALSE)</f>
        <v>326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hidden="1" customHeight="1">
      <c r="A62" s="7" t="str">
        <f t="shared" si="0"/>
        <v>3030227</v>
      </c>
      <c r="B62" s="2" t="str">
        <f t="shared" si="2"/>
        <v>3030</v>
      </c>
      <c r="C62" s="8" t="str">
        <f t="shared" si="4"/>
        <v>0PremiumS4</v>
      </c>
      <c r="D62" s="8" t="str">
        <f t="shared" si="3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VLOOKUP(D62,gacha_303_base!A:B,2,FALSE)</f>
        <v>5707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hidden="1" customHeight="1">
      <c r="A63" s="7" t="str">
        <f t="shared" si="0"/>
        <v>3030228</v>
      </c>
      <c r="B63" s="2" t="str">
        <f t="shared" si="2"/>
        <v>3030</v>
      </c>
      <c r="C63" s="8" t="str">
        <f t="shared" si="4"/>
        <v>0PremiumS5</v>
      </c>
      <c r="D63" s="8" t="str">
        <f t="shared" si="3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VLOOKUP(D63,gacha_303_base!A:B,2,FALSE)</f>
        <v>326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hidden="1" customHeight="1">
      <c r="A64" s="7" t="str">
        <f t="shared" si="0"/>
        <v>3030230</v>
      </c>
      <c r="B64" s="2" t="str">
        <f t="shared" si="2"/>
        <v>3030</v>
      </c>
      <c r="C64" s="8" t="str">
        <f t="shared" si="4"/>
        <v>0PremiumS4</v>
      </c>
      <c r="D64" s="8" t="str">
        <f t="shared" si="3"/>
        <v>0PremiumS4green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VLOOKUP(D64,gacha_303_base!A:B,2,FALSE)</f>
        <v>39946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3030231</v>
      </c>
      <c r="B65" s="2" t="str">
        <f t="shared" si="2"/>
        <v>3030</v>
      </c>
      <c r="C65" s="8" t="str">
        <f t="shared" si="4"/>
        <v>0PremiumS5</v>
      </c>
      <c r="D65" s="8" t="str">
        <f t="shared" si="3"/>
        <v>0PremiumS5green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VLOOKUP(D65,gacha_303_base!A:B,2,FALSE)</f>
        <v>2280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ht="21" hidden="1" customHeight="1">
      <c r="A66" s="7" t="str">
        <f t="shared" si="5"/>
        <v>3030233</v>
      </c>
      <c r="B66" s="2" t="str">
        <f t="shared" si="2"/>
        <v>3030</v>
      </c>
      <c r="C66" s="8" t="str">
        <f t="shared" si="4"/>
        <v>0PremiumS4</v>
      </c>
      <c r="D66" s="8" t="str">
        <f t="shared" si="3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VLOOKUP(D66,gacha_303_base!A:B,2,FALSE)</f>
        <v>5707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hidden="1" customHeight="1">
      <c r="A67" s="7" t="str">
        <f t="shared" si="5"/>
        <v>3030234</v>
      </c>
      <c r="B67" s="2" t="str">
        <f t="shared" ref="B67:B130" si="6">303&amp;E67</f>
        <v>3030</v>
      </c>
      <c r="C67" s="8" t="str">
        <f t="shared" si="4"/>
        <v>0PremiumS5</v>
      </c>
      <c r="D67" s="8" t="str">
        <f t="shared" ref="D67:D130" si="7">E67&amp;H67&amp;I67&amp;IF(J67="green","green","")</f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VLOOKUP(D67,gacha_303_base!A:B,2,FALSE)</f>
        <v>326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hidden="1" customHeight="1">
      <c r="A68" s="7" t="str">
        <f t="shared" si="5"/>
        <v>3030236</v>
      </c>
      <c r="B68" s="2" t="str">
        <f t="shared" si="6"/>
        <v>3030</v>
      </c>
      <c r="C68" s="8" t="str">
        <f t="shared" si="4"/>
        <v>0PremiumS4</v>
      </c>
      <c r="D68" s="8" t="str">
        <f t="shared" si="7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VLOOKUP(D68,gacha_303_base!A:B,2,FALSE)</f>
        <v>5707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hidden="1" customHeight="1">
      <c r="A69" s="7" t="str">
        <f t="shared" si="5"/>
        <v>3030237</v>
      </c>
      <c r="B69" s="2" t="str">
        <f t="shared" si="6"/>
        <v>3030</v>
      </c>
      <c r="C69" s="8" t="str">
        <f t="shared" si="4"/>
        <v>0PremiumS5</v>
      </c>
      <c r="D69" s="8" t="str">
        <f t="shared" si="7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VLOOKUP(D69,gacha_303_base!A:B,2,FALSE)</f>
        <v>326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hidden="1" customHeight="1">
      <c r="A70" s="7" t="str">
        <f t="shared" si="5"/>
        <v>3030239</v>
      </c>
      <c r="B70" s="2" t="str">
        <f t="shared" si="6"/>
        <v>3030</v>
      </c>
      <c r="C70" s="8" t="str">
        <f t="shared" si="4"/>
        <v>0PremiumS4</v>
      </c>
      <c r="D70" s="8" t="str">
        <f t="shared" si="7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VLOOKUP(D70,gacha_303_base!A:B,2,FALSE)</f>
        <v>5707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hidden="1" customHeight="1">
      <c r="A71" s="7" t="str">
        <f t="shared" si="5"/>
        <v>3030240</v>
      </c>
      <c r="B71" s="2" t="str">
        <f t="shared" si="6"/>
        <v>3030</v>
      </c>
      <c r="C71" s="8" t="str">
        <f t="shared" si="4"/>
        <v>0PremiumS5</v>
      </c>
      <c r="D71" s="8" t="str">
        <f t="shared" si="7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VLOOKUP(D71,gacha_303_base!A:B,2,FALSE)</f>
        <v>326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hidden="1" customHeight="1">
      <c r="A72" s="7" t="str">
        <f t="shared" si="5"/>
        <v>3030242</v>
      </c>
      <c r="B72" s="2" t="str">
        <f t="shared" si="6"/>
        <v>3030</v>
      </c>
      <c r="C72" s="8" t="str">
        <f t="shared" si="4"/>
        <v>0PremiumS4</v>
      </c>
      <c r="D72" s="8" t="str">
        <f t="shared" si="7"/>
        <v>0PremiumS4green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VLOOKUP(D72,gacha_303_base!A:B,2,FALSE)</f>
        <v>39946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3030243</v>
      </c>
      <c r="B73" s="2" t="str">
        <f t="shared" si="6"/>
        <v>3030</v>
      </c>
      <c r="C73" s="8" t="str">
        <f t="shared" si="4"/>
        <v>0PremiumS5</v>
      </c>
      <c r="D73" s="8" t="str">
        <f t="shared" si="7"/>
        <v>0PremiumS5green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VLOOKUP(D73,gacha_303_base!A:B,2,FALSE)</f>
        <v>2280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hidden="1" customHeight="1">
      <c r="A74" s="7" t="str">
        <f t="shared" si="5"/>
        <v>3030245</v>
      </c>
      <c r="B74" s="2" t="str">
        <f t="shared" si="6"/>
        <v>3030</v>
      </c>
      <c r="C74" s="8" t="str">
        <f t="shared" si="4"/>
        <v>0PremiumS4</v>
      </c>
      <c r="D74" s="8" t="str">
        <f t="shared" si="7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VLOOKUP(D74,gacha_303_base!A:B,2,FALSE)</f>
        <v>5707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hidden="1" customHeight="1">
      <c r="A75" s="7" t="str">
        <f t="shared" si="5"/>
        <v>3030246</v>
      </c>
      <c r="B75" s="2" t="str">
        <f t="shared" si="6"/>
        <v>3030</v>
      </c>
      <c r="C75" s="8" t="str">
        <f t="shared" si="4"/>
        <v>0PremiumS5</v>
      </c>
      <c r="D75" s="8" t="str">
        <f t="shared" si="7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VLOOKUP(D75,gacha_303_base!A:B,2,FALSE)</f>
        <v>326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hidden="1" customHeight="1">
      <c r="A76" s="7" t="str">
        <f t="shared" si="5"/>
        <v>3030248</v>
      </c>
      <c r="B76" s="2" t="str">
        <f t="shared" si="6"/>
        <v>3030</v>
      </c>
      <c r="C76" s="8" t="str">
        <f t="shared" si="4"/>
        <v>0PremiumS4</v>
      </c>
      <c r="D76" s="8" t="str">
        <f t="shared" si="7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VLOOKUP(D76,gacha_303_base!A:B,2,FALSE)</f>
        <v>5707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hidden="1" customHeight="1">
      <c r="A77" s="7" t="str">
        <f t="shared" si="5"/>
        <v>3030249</v>
      </c>
      <c r="B77" s="2" t="str">
        <f t="shared" si="6"/>
        <v>3030</v>
      </c>
      <c r="C77" s="8" t="str">
        <f t="shared" si="4"/>
        <v>0PremiumS5</v>
      </c>
      <c r="D77" s="8" t="str">
        <f t="shared" si="7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VLOOKUP(D77,gacha_303_base!A:B,2,FALSE)</f>
        <v>326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hidden="1" customHeight="1">
      <c r="A78" s="7" t="str">
        <f t="shared" si="5"/>
        <v>3030251</v>
      </c>
      <c r="B78" s="2" t="str">
        <f t="shared" si="6"/>
        <v>3030</v>
      </c>
      <c r="C78" s="8" t="str">
        <f t="shared" si="4"/>
        <v>0PremiumS4</v>
      </c>
      <c r="D78" s="8" t="str">
        <f t="shared" si="7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VLOOKUP(D78,gacha_303_base!A:B,2,FALSE)</f>
        <v>5707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hidden="1" customHeight="1">
      <c r="A79" s="7" t="str">
        <f t="shared" si="5"/>
        <v>3030252</v>
      </c>
      <c r="B79" s="2" t="str">
        <f t="shared" si="6"/>
        <v>3030</v>
      </c>
      <c r="C79" s="8" t="str">
        <f t="shared" si="4"/>
        <v>0PremiumS5</v>
      </c>
      <c r="D79" s="8" t="str">
        <f t="shared" si="7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VLOOKUP(D79,gacha_303_base!A:B,2,FALSE)</f>
        <v>326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hidden="1" customHeight="1">
      <c r="A80" s="7" t="str">
        <f t="shared" si="5"/>
        <v>3030254</v>
      </c>
      <c r="B80" s="2" t="str">
        <f t="shared" si="6"/>
        <v>3030</v>
      </c>
      <c r="C80" s="8" t="str">
        <f t="shared" ref="C80:C131" si="8">E80&amp;H80&amp;I80</f>
        <v>0PremiumS4</v>
      </c>
      <c r="D80" s="8" t="str">
        <f t="shared" si="7"/>
        <v>0PremiumS4green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VLOOKUP(D80,gacha_303_base!A:B,2,FALSE)</f>
        <v>39946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3030255</v>
      </c>
      <c r="B81" s="2" t="str">
        <f t="shared" si="6"/>
        <v>3030</v>
      </c>
      <c r="C81" s="8" t="str">
        <f t="shared" si="8"/>
        <v>0PremiumS5</v>
      </c>
      <c r="D81" s="8" t="str">
        <f t="shared" si="7"/>
        <v>0PremiumS5green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VLOOKUP(D81,gacha_303_base!A:B,2,FALSE)</f>
        <v>2280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hidden="1" customHeight="1">
      <c r="A82" s="7" t="str">
        <f t="shared" si="5"/>
        <v>3030257</v>
      </c>
      <c r="B82" s="2" t="str">
        <f t="shared" si="6"/>
        <v>3030</v>
      </c>
      <c r="C82" s="8" t="str">
        <f t="shared" si="8"/>
        <v>0PremiumS4</v>
      </c>
      <c r="D82" s="8" t="str">
        <f t="shared" si="7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VLOOKUP(D82,gacha_303_base!A:B,2,FALSE)</f>
        <v>5707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hidden="1" customHeight="1">
      <c r="A83" s="7" t="str">
        <f t="shared" si="5"/>
        <v>3030258</v>
      </c>
      <c r="B83" s="2" t="str">
        <f t="shared" si="6"/>
        <v>3030</v>
      </c>
      <c r="C83" s="8" t="str">
        <f t="shared" si="8"/>
        <v>0PremiumS5</v>
      </c>
      <c r="D83" s="8" t="str">
        <f t="shared" si="7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VLOOKUP(D83,gacha_303_base!A:B,2,FALSE)</f>
        <v>326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hidden="1" customHeight="1">
      <c r="A84" s="7" t="str">
        <f t="shared" si="5"/>
        <v>3030260</v>
      </c>
      <c r="B84" s="2" t="str">
        <f t="shared" si="6"/>
        <v>3030</v>
      </c>
      <c r="C84" s="8" t="str">
        <f t="shared" si="8"/>
        <v>0PremiumS4</v>
      </c>
      <c r="D84" s="8" t="str">
        <f t="shared" si="7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VLOOKUP(D84,gacha_303_base!A:B,2,FALSE)</f>
        <v>5707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hidden="1" customHeight="1">
      <c r="A85" s="7" t="str">
        <f t="shared" si="5"/>
        <v>3030261</v>
      </c>
      <c r="B85" s="2" t="str">
        <f t="shared" si="6"/>
        <v>3030</v>
      </c>
      <c r="C85" s="8" t="str">
        <f t="shared" si="8"/>
        <v>0PremiumS5</v>
      </c>
      <c r="D85" s="8" t="str">
        <f t="shared" si="7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VLOOKUP(D85,gacha_303_base!A:B,2,FALSE)</f>
        <v>326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hidden="1" customHeight="1">
      <c r="A86" s="7" t="str">
        <f t="shared" si="5"/>
        <v>3030320</v>
      </c>
      <c r="B86" s="2" t="str">
        <f t="shared" si="6"/>
        <v>3030</v>
      </c>
      <c r="C86" s="8" t="str">
        <f t="shared" si="8"/>
        <v>0PremiumSS4</v>
      </c>
      <c r="D86" s="8" t="str">
        <f t="shared" si="7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VLOOKUP(D86,gacha_303_base!A:B,2,FALSE)</f>
        <v>946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hidden="1" customHeight="1">
      <c r="A87" s="7" t="str">
        <f t="shared" si="5"/>
        <v>3030321</v>
      </c>
      <c r="B87" s="2" t="str">
        <f t="shared" si="6"/>
        <v>3030</v>
      </c>
      <c r="C87" s="8" t="str">
        <f t="shared" si="8"/>
        <v>0PremiumSS5</v>
      </c>
      <c r="D87" s="8" t="str">
        <f t="shared" si="7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VLOOKUP(D87,gacha_303_base!A:B,2,FALSE)</f>
        <v>54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hidden="1" customHeight="1">
      <c r="A88" s="7" t="str">
        <f t="shared" si="5"/>
        <v>3030322</v>
      </c>
      <c r="B88" s="2" t="str">
        <f t="shared" si="6"/>
        <v>3030</v>
      </c>
      <c r="C88" s="8" t="str">
        <f t="shared" si="8"/>
        <v>0PremiumSS4</v>
      </c>
      <c r="D88" s="8" t="str">
        <f t="shared" si="7"/>
        <v>0PremiumSS4green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VLOOKUP(D88,gacha_303_base!A:B,2,FALSE)</f>
        <v>6622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3030323</v>
      </c>
      <c r="B89" s="2" t="str">
        <f t="shared" si="6"/>
        <v>3030</v>
      </c>
      <c r="C89" s="8" t="str">
        <f t="shared" si="8"/>
        <v>0PremiumSS5</v>
      </c>
      <c r="D89" s="8" t="str">
        <f t="shared" si="7"/>
        <v>0PremiumSS5green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VLOOKUP(D89,gacha_303_base!A:B,2,FALSE)</f>
        <v>378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hidden="1" customHeight="1">
      <c r="A90" s="7" t="str">
        <f t="shared" si="5"/>
        <v>3030324</v>
      </c>
      <c r="B90" s="2" t="str">
        <f t="shared" si="6"/>
        <v>3030</v>
      </c>
      <c r="C90" s="8" t="str">
        <f t="shared" si="8"/>
        <v>0PremiumSS4</v>
      </c>
      <c r="D90" s="8" t="str">
        <f t="shared" si="7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VLOOKUP(D90,gacha_303_base!A:B,2,FALSE)</f>
        <v>946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hidden="1" customHeight="1">
      <c r="A91" s="7" t="str">
        <f t="shared" si="5"/>
        <v>3030325</v>
      </c>
      <c r="B91" s="2" t="str">
        <f t="shared" si="6"/>
        <v>3030</v>
      </c>
      <c r="C91" s="8" t="str">
        <f t="shared" si="8"/>
        <v>0PremiumSS5</v>
      </c>
      <c r="D91" s="8" t="str">
        <f t="shared" si="7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VLOOKUP(D91,gacha_303_base!A:B,2,FALSE)</f>
        <v>54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hidden="1" customHeight="1">
      <c r="A92" s="7" t="str">
        <f t="shared" si="5"/>
        <v>3030326</v>
      </c>
      <c r="B92" s="2" t="str">
        <f t="shared" si="6"/>
        <v>3030</v>
      </c>
      <c r="C92" s="8" t="str">
        <f t="shared" si="8"/>
        <v>0PremiumSS4</v>
      </c>
      <c r="D92" s="8" t="str">
        <f t="shared" si="7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VLOOKUP(D92,gacha_303_base!A:B,2,FALSE)</f>
        <v>946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hidden="1" customHeight="1">
      <c r="A93" s="7" t="str">
        <f t="shared" si="5"/>
        <v>3030327</v>
      </c>
      <c r="B93" s="2" t="str">
        <f t="shared" si="6"/>
        <v>3030</v>
      </c>
      <c r="C93" s="8" t="str">
        <f t="shared" si="8"/>
        <v>0PremiumSS5</v>
      </c>
      <c r="D93" s="8" t="str">
        <f t="shared" si="7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VLOOKUP(D93,gacha_303_base!A:B,2,FALSE)</f>
        <v>54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hidden="1" customHeight="1">
      <c r="A94" s="7" t="str">
        <f t="shared" si="5"/>
        <v>3030381</v>
      </c>
      <c r="B94" s="2" t="str">
        <f t="shared" si="6"/>
        <v>3030</v>
      </c>
      <c r="C94" s="8" t="str">
        <f t="shared" si="8"/>
        <v>0PremiumS4</v>
      </c>
      <c r="D94" s="8" t="str">
        <f t="shared" si="7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VLOOKUP(D94,gacha_303_base!A:B,2,FALSE)</f>
        <v>5707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hidden="1" customHeight="1">
      <c r="A95" s="7" t="str">
        <f t="shared" si="5"/>
        <v>3030382</v>
      </c>
      <c r="B95" s="2" t="str">
        <f t="shared" si="6"/>
        <v>3030</v>
      </c>
      <c r="C95" s="8" t="str">
        <f t="shared" si="8"/>
        <v>0PremiumS5</v>
      </c>
      <c r="D95" s="8" t="str">
        <f t="shared" si="7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VLOOKUP(D95,gacha_303_base!A:B,2,FALSE)</f>
        <v>326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hidden="1" customHeight="1">
      <c r="A96" s="7" t="str">
        <f t="shared" si="5"/>
        <v>3030383</v>
      </c>
      <c r="B96" s="2" t="str">
        <f t="shared" si="6"/>
        <v>3030</v>
      </c>
      <c r="C96" s="8" t="str">
        <f t="shared" si="8"/>
        <v>0PremiumSS4</v>
      </c>
      <c r="D96" s="8" t="str">
        <f t="shared" si="7"/>
        <v>0PremiumSS4green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VLOOKUP(D96,gacha_303_base!A:B,2,FALSE)</f>
        <v>6622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3030384</v>
      </c>
      <c r="B97" s="2" t="str">
        <f t="shared" si="6"/>
        <v>3030</v>
      </c>
      <c r="C97" s="8" t="str">
        <f t="shared" si="8"/>
        <v>0PremiumSS5</v>
      </c>
      <c r="D97" s="8" t="str">
        <f t="shared" si="7"/>
        <v>0PremiumSS5green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VLOOKUP(D97,gacha_303_base!A:B,2,FALSE)</f>
        <v>378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hidden="1" customHeight="1">
      <c r="A98" s="7" t="str">
        <f t="shared" si="5"/>
        <v>3030385</v>
      </c>
      <c r="B98" s="2" t="str">
        <f t="shared" si="6"/>
        <v>3030</v>
      </c>
      <c r="C98" s="8" t="str">
        <f t="shared" si="8"/>
        <v>0PremiumSS4</v>
      </c>
      <c r="D98" s="8" t="str">
        <f t="shared" si="7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VLOOKUP(D98,gacha_303_base!A:B,2,FALSE)</f>
        <v>946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hidden="1" customHeight="1">
      <c r="A99" s="7" t="str">
        <f t="shared" si="5"/>
        <v>3030386</v>
      </c>
      <c r="B99" s="2" t="str">
        <f t="shared" si="6"/>
        <v>3030</v>
      </c>
      <c r="C99" s="8" t="str">
        <f t="shared" si="8"/>
        <v>0PremiumSS5</v>
      </c>
      <c r="D99" s="8" t="str">
        <f t="shared" si="7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VLOOKUP(D99,gacha_303_base!A:B,2,FALSE)</f>
        <v>54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hidden="1" customHeight="1">
      <c r="A100" s="7" t="str">
        <f t="shared" si="5"/>
        <v>3030388</v>
      </c>
      <c r="B100" s="2" t="str">
        <f t="shared" si="6"/>
        <v>3030</v>
      </c>
      <c r="C100" s="8" t="str">
        <f t="shared" si="8"/>
        <v>0PremiumS4</v>
      </c>
      <c r="D100" s="8" t="str">
        <f t="shared" si="7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VLOOKUP(D100,gacha_303_base!A:B,2,FALSE)</f>
        <v>5707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hidden="1" customHeight="1">
      <c r="A101" s="7" t="str">
        <f t="shared" si="5"/>
        <v>3030389</v>
      </c>
      <c r="B101" s="2" t="str">
        <f t="shared" si="6"/>
        <v>3030</v>
      </c>
      <c r="C101" s="8" t="str">
        <f t="shared" si="8"/>
        <v>0PremiumS5</v>
      </c>
      <c r="D101" s="8" t="str">
        <f t="shared" si="7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VLOOKUP(D101,gacha_303_base!A:B,2,FALSE)</f>
        <v>326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hidden="1" customHeight="1">
      <c r="A102" s="7" t="str">
        <f t="shared" si="5"/>
        <v>3030390</v>
      </c>
      <c r="B102" s="2" t="str">
        <f t="shared" si="6"/>
        <v>3030</v>
      </c>
      <c r="C102" s="8" t="str">
        <f t="shared" si="8"/>
        <v>0PremiumSS4</v>
      </c>
      <c r="D102" s="8" t="str">
        <f t="shared" si="7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VLOOKUP(D102,gacha_303_base!A:B,2,FALSE)</f>
        <v>946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hidden="1" customHeight="1">
      <c r="A103" s="7" t="str">
        <f t="shared" si="5"/>
        <v>3030391</v>
      </c>
      <c r="B103" s="2" t="str">
        <f t="shared" si="6"/>
        <v>3030</v>
      </c>
      <c r="C103" s="8" t="str">
        <f t="shared" si="8"/>
        <v>0PremiumSS5</v>
      </c>
      <c r="D103" s="8" t="str">
        <f t="shared" si="7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VLOOKUP(D103,gacha_303_base!A:B,2,FALSE)</f>
        <v>54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hidden="1" customHeight="1">
      <c r="A104" s="7" t="str">
        <f t="shared" si="5"/>
        <v>3030393</v>
      </c>
      <c r="B104" s="2" t="str">
        <f t="shared" si="6"/>
        <v>3030</v>
      </c>
      <c r="C104" s="8" t="str">
        <f t="shared" si="8"/>
        <v>0PremiumS4</v>
      </c>
      <c r="D104" s="8" t="str">
        <f t="shared" si="7"/>
        <v>0PremiumS4green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VLOOKUP(D104,gacha_303_base!A:B,2,FALSE)</f>
        <v>39946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3030394</v>
      </c>
      <c r="B105" s="2" t="str">
        <f t="shared" si="6"/>
        <v>3030</v>
      </c>
      <c r="C105" s="8" t="str">
        <f t="shared" si="8"/>
        <v>0PremiumS5</v>
      </c>
      <c r="D105" s="8" t="str">
        <f t="shared" si="7"/>
        <v>0PremiumS5green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VLOOKUP(D105,gacha_303_base!A:B,2,FALSE)</f>
        <v>2280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hidden="1" customHeight="1">
      <c r="A106" s="7" t="str">
        <f t="shared" si="5"/>
        <v>3030396</v>
      </c>
      <c r="B106" s="2" t="str">
        <f t="shared" si="6"/>
        <v>3030</v>
      </c>
      <c r="C106" s="8" t="str">
        <f t="shared" si="8"/>
        <v>0PremiumS4</v>
      </c>
      <c r="D106" s="8" t="str">
        <f t="shared" si="7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VLOOKUP(D106,gacha_303_base!A:B,2,FALSE)</f>
        <v>5707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hidden="1" customHeight="1">
      <c r="A107" s="7" t="str">
        <f t="shared" si="5"/>
        <v>3030397</v>
      </c>
      <c r="B107" s="2" t="str">
        <f t="shared" si="6"/>
        <v>3030</v>
      </c>
      <c r="C107" s="8" t="str">
        <f t="shared" si="8"/>
        <v>0PremiumS5</v>
      </c>
      <c r="D107" s="8" t="str">
        <f t="shared" si="7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VLOOKUP(D107,gacha_303_base!A:B,2,FALSE)</f>
        <v>326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hidden="1" customHeight="1">
      <c r="A108" s="7" t="str">
        <f t="shared" si="5"/>
        <v>3030398</v>
      </c>
      <c r="B108" s="2" t="str">
        <f t="shared" si="6"/>
        <v>3030</v>
      </c>
      <c r="C108" s="8" t="str">
        <f t="shared" si="8"/>
        <v>0PremiumSS4</v>
      </c>
      <c r="D108" s="8" t="str">
        <f t="shared" si="7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VLOOKUP(D108,gacha_303_base!A:B,2,FALSE)</f>
        <v>946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hidden="1" customHeight="1">
      <c r="A109" s="7" t="str">
        <f t="shared" si="5"/>
        <v>3030399</v>
      </c>
      <c r="B109" s="2" t="str">
        <f t="shared" si="6"/>
        <v>3030</v>
      </c>
      <c r="C109" s="8" t="str">
        <f t="shared" si="8"/>
        <v>0PremiumSS5</v>
      </c>
      <c r="D109" s="8" t="str">
        <f t="shared" si="7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VLOOKUP(D109,gacha_303_base!A:B,2,FALSE)</f>
        <v>54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hidden="1" customHeight="1">
      <c r="A110" s="7" t="str">
        <f t="shared" si="5"/>
        <v>3030401</v>
      </c>
      <c r="B110" s="2" t="str">
        <f t="shared" si="6"/>
        <v>3030</v>
      </c>
      <c r="C110" s="8" t="str">
        <f t="shared" si="8"/>
        <v>0PremiumS4</v>
      </c>
      <c r="D110" s="8" t="str">
        <f t="shared" si="7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VLOOKUP(D110,gacha_303_base!A:B,2,FALSE)</f>
        <v>5707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hidden="1" customHeight="1">
      <c r="A111" s="7" t="str">
        <f t="shared" si="5"/>
        <v>3030402</v>
      </c>
      <c r="B111" s="2" t="str">
        <f t="shared" si="6"/>
        <v>3030</v>
      </c>
      <c r="C111" s="8" t="str">
        <f t="shared" si="8"/>
        <v>0PremiumS5</v>
      </c>
      <c r="D111" s="8" t="str">
        <f t="shared" si="7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VLOOKUP(D111,gacha_303_base!A:B,2,FALSE)</f>
        <v>326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hidden="1" customHeight="1">
      <c r="A112" s="7" t="str">
        <f t="shared" si="5"/>
        <v>3030403</v>
      </c>
      <c r="B112" s="2" t="str">
        <f t="shared" si="6"/>
        <v>3030</v>
      </c>
      <c r="C112" s="8" t="str">
        <f t="shared" si="8"/>
        <v>0PremiumSS4</v>
      </c>
      <c r="D112" s="8" t="str">
        <f t="shared" si="7"/>
        <v>0PremiumSS4green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VLOOKUP(D112,gacha_303_base!A:B,2,FALSE)</f>
        <v>6622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3030404</v>
      </c>
      <c r="B113" s="2" t="str">
        <f t="shared" si="6"/>
        <v>3030</v>
      </c>
      <c r="C113" s="8" t="str">
        <f t="shared" si="8"/>
        <v>0PremiumSS5</v>
      </c>
      <c r="D113" s="8" t="str">
        <f t="shared" si="7"/>
        <v>0PremiumSS5green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VLOOKUP(D113,gacha_303_base!A:B,2,FALSE)</f>
        <v>378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hidden="1" customHeight="1">
      <c r="A114" s="7" t="str">
        <f t="shared" si="5"/>
        <v>3030406</v>
      </c>
      <c r="B114" s="2" t="str">
        <f t="shared" si="6"/>
        <v>3030</v>
      </c>
      <c r="C114" s="8" t="str">
        <f t="shared" si="8"/>
        <v>0PremiumS4</v>
      </c>
      <c r="D114" s="8" t="str">
        <f t="shared" si="7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VLOOKUP(D114,gacha_303_base!A:B,2,FALSE)</f>
        <v>5707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hidden="1" customHeight="1">
      <c r="A115" s="7" t="str">
        <f t="shared" si="5"/>
        <v>3030407</v>
      </c>
      <c r="B115" s="2" t="str">
        <f t="shared" si="6"/>
        <v>3030</v>
      </c>
      <c r="C115" s="8" t="str">
        <f t="shared" si="8"/>
        <v>0PremiumS5</v>
      </c>
      <c r="D115" s="8" t="str">
        <f t="shared" si="7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VLOOKUP(D115,gacha_303_base!A:B,2,FALSE)</f>
        <v>326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hidden="1" customHeight="1">
      <c r="A116" s="7" t="str">
        <f t="shared" si="5"/>
        <v>3030408</v>
      </c>
      <c r="B116" s="2" t="str">
        <f t="shared" si="6"/>
        <v>3030</v>
      </c>
      <c r="C116" s="8" t="str">
        <f t="shared" si="8"/>
        <v>0PremiumSS4</v>
      </c>
      <c r="D116" s="8" t="str">
        <f t="shared" si="7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VLOOKUP(D116,gacha_303_base!A:B,2,FALSE)</f>
        <v>946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hidden="1" customHeight="1">
      <c r="A117" s="7" t="str">
        <f t="shared" si="5"/>
        <v>3030409</v>
      </c>
      <c r="B117" s="2" t="str">
        <f t="shared" si="6"/>
        <v>3030</v>
      </c>
      <c r="C117" s="8" t="str">
        <f t="shared" si="8"/>
        <v>0PremiumSS5</v>
      </c>
      <c r="D117" s="8" t="str">
        <f t="shared" si="7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VLOOKUP(D117,gacha_303_base!A:B,2,FALSE)</f>
        <v>54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hidden="1" customHeight="1">
      <c r="A118" s="7" t="str">
        <f t="shared" si="5"/>
        <v>3030434</v>
      </c>
      <c r="B118" s="2" t="str">
        <f t="shared" si="6"/>
        <v>3030</v>
      </c>
      <c r="C118" s="8" t="str">
        <f t="shared" si="8"/>
        <v>0PremiumSS4</v>
      </c>
      <c r="D118" s="8" t="str">
        <f t="shared" si="7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VLOOKUP(D118,gacha_303_base!A:B,2,FALSE)</f>
        <v>946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hidden="1" customHeight="1">
      <c r="A119" s="7" t="str">
        <f t="shared" si="5"/>
        <v>3030435</v>
      </c>
      <c r="B119" s="2" t="str">
        <f t="shared" si="6"/>
        <v>3030</v>
      </c>
      <c r="C119" s="8" t="str">
        <f t="shared" si="8"/>
        <v>0PremiumSS5</v>
      </c>
      <c r="D119" s="8" t="str">
        <f t="shared" si="7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VLOOKUP(D119,gacha_303_base!A:B,2,FALSE)</f>
        <v>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hidden="1" customHeight="1">
      <c r="A120" s="7" t="str">
        <f t="shared" si="5"/>
        <v>3030437</v>
      </c>
      <c r="B120" s="2" t="str">
        <f t="shared" si="6"/>
        <v>3030</v>
      </c>
      <c r="C120" s="8" t="str">
        <f t="shared" si="8"/>
        <v>0PremiumS4</v>
      </c>
      <c r="D120" s="8" t="str">
        <f t="shared" si="7"/>
        <v>0PremiumS4green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VLOOKUP(D120,gacha_303_base!A:B,2,FALSE)</f>
        <v>39946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3030438</v>
      </c>
      <c r="B121" s="2" t="str">
        <f t="shared" si="6"/>
        <v>3030</v>
      </c>
      <c r="C121" s="8" t="str">
        <f t="shared" si="8"/>
        <v>0PremiumS5</v>
      </c>
      <c r="D121" s="8" t="str">
        <f t="shared" si="7"/>
        <v>0PremiumS5green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VLOOKUP(D121,gacha_303_base!A:B,2,FALSE)</f>
        <v>2280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hidden="1" customHeight="1">
      <c r="A122" s="7" t="str">
        <f t="shared" si="5"/>
        <v>3030440</v>
      </c>
      <c r="B122" s="2" t="str">
        <f t="shared" si="6"/>
        <v>3030</v>
      </c>
      <c r="C122" s="8" t="str">
        <f t="shared" si="8"/>
        <v>0PremiumS4</v>
      </c>
      <c r="D122" s="8" t="str">
        <f t="shared" si="7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VLOOKUP(D122,gacha_303_base!A:B,2,FALSE)</f>
        <v>5707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hidden="1" customHeight="1">
      <c r="A123" s="7" t="str">
        <f t="shared" si="5"/>
        <v>3030441</v>
      </c>
      <c r="B123" s="2" t="str">
        <f t="shared" si="6"/>
        <v>3030</v>
      </c>
      <c r="C123" s="8" t="str">
        <f t="shared" si="8"/>
        <v>0PremiumS5</v>
      </c>
      <c r="D123" s="8" t="str">
        <f t="shared" si="7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VLOOKUP(D123,gacha_303_base!A:B,2,FALSE)</f>
        <v>326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hidden="1" customHeight="1">
      <c r="A124" s="7" t="str">
        <f t="shared" si="5"/>
        <v>3030442</v>
      </c>
      <c r="B124" s="2" t="str">
        <f t="shared" si="6"/>
        <v>3030</v>
      </c>
      <c r="C124" s="8" t="str">
        <f t="shared" si="8"/>
        <v>0PremiumSS4</v>
      </c>
      <c r="D124" s="8" t="str">
        <f t="shared" si="7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VLOOKUP(D124,gacha_303_base!A:B,2,FALSE)</f>
        <v>946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hidden="1" customHeight="1">
      <c r="A125" s="7" t="str">
        <f t="shared" si="5"/>
        <v>3030443</v>
      </c>
      <c r="B125" s="2" t="str">
        <f t="shared" si="6"/>
        <v>3030</v>
      </c>
      <c r="C125" s="8" t="str">
        <f t="shared" si="8"/>
        <v>0PremiumSS5</v>
      </c>
      <c r="D125" s="8" t="str">
        <f t="shared" si="7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VLOOKUP(D125,gacha_303_base!A:B,2,FALSE)</f>
        <v>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hidden="1" customHeight="1">
      <c r="A126" s="7" t="str">
        <f t="shared" si="5"/>
        <v>3030463</v>
      </c>
      <c r="B126" s="2" t="str">
        <f t="shared" si="6"/>
        <v>3030</v>
      </c>
      <c r="C126" s="8" t="str">
        <f t="shared" si="8"/>
        <v>0PremiumS4</v>
      </c>
      <c r="D126" s="8" t="str">
        <f t="shared" si="7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VLOOKUP(D126,gacha_303_base!A:B,2,FALSE)</f>
        <v>5707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hidden="1" customHeight="1">
      <c r="A127" s="7" t="str">
        <f t="shared" si="5"/>
        <v>3030464</v>
      </c>
      <c r="B127" s="2" t="str">
        <f t="shared" si="6"/>
        <v>3030</v>
      </c>
      <c r="C127" s="8" t="str">
        <f t="shared" si="8"/>
        <v>0PremiumS5</v>
      </c>
      <c r="D127" s="8" t="str">
        <f t="shared" si="7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VLOOKUP(D127,gacha_303_base!A:B,2,FALSE)</f>
        <v>326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hidden="1" customHeight="1">
      <c r="A128" s="7" t="str">
        <f t="shared" si="5"/>
        <v>3030465</v>
      </c>
      <c r="B128" s="2" t="str">
        <f t="shared" si="6"/>
        <v>3030</v>
      </c>
      <c r="C128" s="8" t="str">
        <f t="shared" si="8"/>
        <v>0PremiumSS4</v>
      </c>
      <c r="D128" s="8" t="str">
        <f t="shared" si="7"/>
        <v>0PremiumSS4green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VLOOKUP(D128,gacha_303_base!A:B,2,FALSE)</f>
        <v>6622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3030466</v>
      </c>
      <c r="B129" s="2" t="str">
        <f t="shared" si="6"/>
        <v>3030</v>
      </c>
      <c r="C129" s="8" t="str">
        <f t="shared" si="8"/>
        <v>0PremiumSS5</v>
      </c>
      <c r="D129" s="8" t="str">
        <f t="shared" si="7"/>
        <v>0PremiumSS5green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VLOOKUP(D129,gacha_303_base!A:B,2,FALSE)</f>
        <v>378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hidden="1" customHeight="1">
      <c r="A130" s="7" t="str">
        <f t="shared" si="9"/>
        <v>3030467</v>
      </c>
      <c r="B130" s="2" t="str">
        <f t="shared" si="6"/>
        <v>3030</v>
      </c>
      <c r="C130" s="8" t="str">
        <f t="shared" si="8"/>
        <v>0PremiumSS4</v>
      </c>
      <c r="D130" s="8" t="str">
        <f t="shared" si="7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VLOOKUP(D130,gacha_303_base!A:B,2,FALSE)</f>
        <v>946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hidden="1" customHeight="1">
      <c r="A131" s="7" t="str">
        <f t="shared" si="9"/>
        <v>3030468</v>
      </c>
      <c r="B131" s="2" t="str">
        <f t="shared" ref="B131:B165" si="10">303&amp;E131</f>
        <v>3030</v>
      </c>
      <c r="C131" s="8" t="str">
        <f t="shared" si="8"/>
        <v>0PremiumSS5</v>
      </c>
      <c r="D131" s="8" t="str">
        <f t="shared" ref="D131:D190" si="11">E131&amp;H131&amp;I131&amp;IF(J131="green","green","")</f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VLOOKUP(D131,gacha_303_base!A:B,2,FALSE)</f>
        <v>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hidden="1" customHeight="1">
      <c r="A132" s="7" t="str">
        <f t="shared" si="9"/>
        <v>3030470</v>
      </c>
      <c r="B132" s="2" t="str">
        <f t="shared" si="10"/>
        <v>3030</v>
      </c>
      <c r="C132" s="8" t="str">
        <f t="shared" ref="C132:C133" si="12">E132&amp;H132&amp;I132</f>
        <v>0PremiumS4</v>
      </c>
      <c r="D132" s="8" t="str">
        <f t="shared" si="11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VLOOKUP(D132,gacha_303_base!A:B,2,FALSE)</f>
        <v>5707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hidden="1" customHeight="1">
      <c r="A133" s="7" t="str">
        <f t="shared" si="9"/>
        <v>3030471</v>
      </c>
      <c r="B133" s="2" t="str">
        <f t="shared" si="10"/>
        <v>3030</v>
      </c>
      <c r="C133" s="8" t="str">
        <f t="shared" si="12"/>
        <v>0PremiumS5</v>
      </c>
      <c r="D133" s="8" t="str">
        <f t="shared" si="11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VLOOKUP(D133,gacha_303_base!A:B,2,FALSE)</f>
        <v>326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hidden="1" customHeight="1">
      <c r="A134" s="7" t="str">
        <f t="shared" ref="A134:A141" si="13">B134&amp;F134</f>
        <v>3030474</v>
      </c>
      <c r="B134" s="2" t="str">
        <f t="shared" si="10"/>
        <v>3030</v>
      </c>
      <c r="C134" s="8" t="str">
        <f t="shared" ref="C134:C141" si="14">E134&amp;H134&amp;I134</f>
        <v>0PremiumSS4</v>
      </c>
      <c r="D134" s="8" t="str">
        <f t="shared" si="11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VLOOKUP(D134,gacha_303_base!A:B,2,FALSE)</f>
        <v>946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hidden="1" customHeight="1">
      <c r="A135" s="7" t="str">
        <f t="shared" si="13"/>
        <v>3030475</v>
      </c>
      <c r="B135" s="2" t="str">
        <f t="shared" si="10"/>
        <v>3030</v>
      </c>
      <c r="C135" s="8" t="str">
        <f t="shared" si="14"/>
        <v>0PremiumSS5</v>
      </c>
      <c r="D135" s="8" t="str">
        <f t="shared" si="11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VLOOKUP(D135,gacha_303_base!A:B,2,FALSE)</f>
        <v>54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hidden="1" customHeight="1">
      <c r="A136" s="7" t="str">
        <f t="shared" si="13"/>
        <v>3030477</v>
      </c>
      <c r="B136" s="2" t="str">
        <f t="shared" si="10"/>
        <v>3030</v>
      </c>
      <c r="C136" s="8" t="str">
        <f t="shared" si="14"/>
        <v>0PremiumS4</v>
      </c>
      <c r="D136" s="8" t="str">
        <f t="shared" si="11"/>
        <v>0PremiumS4green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VLOOKUP(D136,gacha_303_base!A:B,2,FALSE)</f>
        <v>39946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3030478</v>
      </c>
      <c r="B137" s="2" t="str">
        <f t="shared" si="10"/>
        <v>3030</v>
      </c>
      <c r="C137" s="8" t="str">
        <f t="shared" si="14"/>
        <v>0PremiumS5</v>
      </c>
      <c r="D137" s="8" t="str">
        <f t="shared" si="11"/>
        <v>0PremiumS5green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VLOOKUP(D137,gacha_303_base!A:B,2,FALSE)</f>
        <v>2280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hidden="1" customHeight="1">
      <c r="A138" s="7" t="str">
        <f t="shared" si="13"/>
        <v>3030479</v>
      </c>
      <c r="B138" s="2" t="str">
        <f t="shared" si="10"/>
        <v>3030</v>
      </c>
      <c r="C138" s="8" t="str">
        <f t="shared" si="14"/>
        <v>0PremiumSS4</v>
      </c>
      <c r="D138" s="8" t="str">
        <f t="shared" si="11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VLOOKUP(D138,gacha_303_base!A:B,2,FALSE)</f>
        <v>946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hidden="1" customHeight="1">
      <c r="A139" s="7" t="str">
        <f t="shared" si="13"/>
        <v>3030480</v>
      </c>
      <c r="B139" s="2" t="str">
        <f t="shared" si="10"/>
        <v>3030</v>
      </c>
      <c r="C139" s="8" t="str">
        <f t="shared" si="14"/>
        <v>0PremiumSS5</v>
      </c>
      <c r="D139" s="8" t="str">
        <f t="shared" si="11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VLOOKUP(D139,gacha_303_base!A:B,2,FALSE)</f>
        <v>54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hidden="1" customHeight="1">
      <c r="A140" s="7" t="str">
        <f t="shared" si="13"/>
        <v>3030482</v>
      </c>
      <c r="B140" s="2" t="str">
        <f t="shared" si="10"/>
        <v>3030</v>
      </c>
      <c r="C140" s="8" t="str">
        <f t="shared" si="14"/>
        <v>0PremiumS4</v>
      </c>
      <c r="D140" s="8" t="str">
        <f t="shared" si="11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VLOOKUP(D140,gacha_303_base!A:B,2,FALSE)</f>
        <v>5707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hidden="1" customHeight="1">
      <c r="A141" s="7" t="str">
        <f t="shared" si="13"/>
        <v>3030483</v>
      </c>
      <c r="B141" s="2" t="str">
        <f t="shared" si="10"/>
        <v>3030</v>
      </c>
      <c r="C141" s="8" t="str">
        <f t="shared" si="14"/>
        <v>0PremiumS5</v>
      </c>
      <c r="D141" s="8" t="str">
        <f t="shared" si="11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VLOOKUP(D141,gacha_303_base!A:B,2,FALSE)</f>
        <v>326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hidden="1" customHeight="1">
      <c r="A142" s="7" t="str">
        <f t="shared" ref="A142:A157" si="15">B142&amp;F142</f>
        <v>3030492</v>
      </c>
      <c r="B142" s="2" t="str">
        <f t="shared" si="10"/>
        <v>3030</v>
      </c>
      <c r="C142" s="8" t="str">
        <f t="shared" ref="C142:C157" si="16">E142&amp;H142&amp;I142</f>
        <v>0PremiumSS4</v>
      </c>
      <c r="D142" s="8" t="str">
        <f t="shared" si="11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VLOOKUP(D142,gacha_303_base!A:B,2,FALSE)</f>
        <v>946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ht="21" hidden="1" customHeight="1">
      <c r="A143" s="7" t="str">
        <f t="shared" si="15"/>
        <v>3030493</v>
      </c>
      <c r="B143" s="2" t="str">
        <f t="shared" si="10"/>
        <v>3030</v>
      </c>
      <c r="C143" s="8" t="str">
        <f t="shared" si="16"/>
        <v>0PremiumSS5</v>
      </c>
      <c r="D143" s="8" t="str">
        <f t="shared" si="11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VLOOKUP(D143,gacha_303_base!A:B,2,FALSE)</f>
        <v>54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hidden="1" customHeight="1">
      <c r="A144" s="7" t="str">
        <f t="shared" si="15"/>
        <v>3030494</v>
      </c>
      <c r="B144" s="2" t="str">
        <f t="shared" si="10"/>
        <v>3030</v>
      </c>
      <c r="C144" s="8" t="str">
        <f t="shared" si="16"/>
        <v>0PremiumSS4</v>
      </c>
      <c r="D144" s="8" t="str">
        <f t="shared" si="11"/>
        <v>0PremiumSS4green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VLOOKUP(D144,gacha_303_base!A:B,2,FALSE)</f>
        <v>6622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3030495</v>
      </c>
      <c r="B145" s="2" t="str">
        <f t="shared" si="10"/>
        <v>3030</v>
      </c>
      <c r="C145" s="8" t="str">
        <f t="shared" si="16"/>
        <v>0PremiumSS5</v>
      </c>
      <c r="D145" s="8" t="str">
        <f t="shared" si="11"/>
        <v>0PremiumSS5green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VLOOKUP(D145,gacha_303_base!A:B,2,FALSE)</f>
        <v>378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hidden="1" customHeight="1">
      <c r="A146" s="7" t="str">
        <f t="shared" si="15"/>
        <v>3030497</v>
      </c>
      <c r="B146" s="2" t="str">
        <f t="shared" si="10"/>
        <v>3030</v>
      </c>
      <c r="C146" s="8" t="str">
        <f t="shared" si="16"/>
        <v>0PremiumS4</v>
      </c>
      <c r="D146" s="8" t="str">
        <f t="shared" si="11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VLOOKUP(D146,gacha_303_base!A:B,2,FALSE)</f>
        <v>5707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hidden="1" customHeight="1">
      <c r="A147" s="7" t="str">
        <f t="shared" si="15"/>
        <v>3030498</v>
      </c>
      <c r="B147" s="2" t="str">
        <f t="shared" si="10"/>
        <v>3030</v>
      </c>
      <c r="C147" s="8" t="str">
        <f t="shared" si="16"/>
        <v>0PremiumS5</v>
      </c>
      <c r="D147" s="8" t="str">
        <f t="shared" si="11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VLOOKUP(D147,gacha_303_base!A:B,2,FALSE)</f>
        <v>326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hidden="1" customHeight="1">
      <c r="A148" s="7" t="str">
        <f t="shared" si="15"/>
        <v>3030499</v>
      </c>
      <c r="B148" s="2" t="str">
        <f t="shared" si="10"/>
        <v>3030</v>
      </c>
      <c r="C148" s="8" t="str">
        <f t="shared" si="16"/>
        <v>0PremiumSS4</v>
      </c>
      <c r="D148" s="8" t="str">
        <f t="shared" si="11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VLOOKUP(D148,gacha_303_base!A:B,2,FALSE)</f>
        <v>946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hidden="1" customHeight="1">
      <c r="A149" s="7" t="str">
        <f t="shared" si="15"/>
        <v>3030500</v>
      </c>
      <c r="B149" s="2" t="str">
        <f t="shared" si="10"/>
        <v>3030</v>
      </c>
      <c r="C149" s="8" t="str">
        <f t="shared" si="16"/>
        <v>0PremiumSS5</v>
      </c>
      <c r="D149" s="8" t="str">
        <f t="shared" si="11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VLOOKUP(D149,gacha_303_base!A:B,2,FALSE)</f>
        <v>54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hidden="1" customHeight="1">
      <c r="A150" s="7" t="str">
        <f t="shared" si="15"/>
        <v>3030586</v>
      </c>
      <c r="B150" s="2" t="str">
        <f t="shared" si="10"/>
        <v>3030</v>
      </c>
      <c r="C150" s="8" t="str">
        <f t="shared" si="16"/>
        <v>0PremiumSS4</v>
      </c>
      <c r="D150" s="8" t="str">
        <f t="shared" si="11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VLOOKUP(D150,gacha_303_base!A:B,2,FALSE)</f>
        <v>946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hidden="1" customHeight="1">
      <c r="A151" s="7" t="str">
        <f t="shared" si="15"/>
        <v>3030587</v>
      </c>
      <c r="B151" s="2" t="str">
        <f t="shared" si="10"/>
        <v>3030</v>
      </c>
      <c r="C151" s="8" t="str">
        <f t="shared" si="16"/>
        <v>0PremiumSS5</v>
      </c>
      <c r="D151" s="8" t="str">
        <f t="shared" si="11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VLOOKUP(D151,gacha_303_base!A:B,2,FALSE)</f>
        <v>54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hidden="1" customHeight="1">
      <c r="A152" s="7" t="str">
        <f t="shared" si="15"/>
        <v>3030589</v>
      </c>
      <c r="B152" s="2" t="str">
        <f t="shared" si="10"/>
        <v>3030</v>
      </c>
      <c r="C152" s="8" t="str">
        <f t="shared" si="16"/>
        <v>0PremiumS4</v>
      </c>
      <c r="D152" s="8" t="str">
        <f t="shared" si="11"/>
        <v>0PremiumS4green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VLOOKUP(D152,gacha_303_base!A:B,2,FALSE)</f>
        <v>39946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3030590</v>
      </c>
      <c r="B153" s="2" t="str">
        <f t="shared" si="10"/>
        <v>3030</v>
      </c>
      <c r="C153" s="8" t="str">
        <f t="shared" si="16"/>
        <v>0PremiumS5</v>
      </c>
      <c r="D153" s="8" t="str">
        <f t="shared" si="11"/>
        <v>0PremiumS5green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VLOOKUP(D153,gacha_303_base!A:B,2,FALSE)</f>
        <v>2280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hidden="1" customHeight="1">
      <c r="A154" s="7" t="str">
        <f t="shared" si="15"/>
        <v>3030592</v>
      </c>
      <c r="B154" s="2" t="str">
        <f t="shared" si="10"/>
        <v>3030</v>
      </c>
      <c r="C154" s="8" t="str">
        <f t="shared" si="16"/>
        <v>0PremiumS4</v>
      </c>
      <c r="D154" s="8" t="str">
        <f t="shared" si="11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VLOOKUP(D154,gacha_303_base!A:B,2,FALSE)</f>
        <v>5707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hidden="1" customHeight="1">
      <c r="A155" s="7" t="str">
        <f t="shared" si="15"/>
        <v>3030593</v>
      </c>
      <c r="B155" s="2" t="str">
        <f t="shared" si="10"/>
        <v>3030</v>
      </c>
      <c r="C155" s="8" t="str">
        <f t="shared" si="16"/>
        <v>0PremiumS5</v>
      </c>
      <c r="D155" s="8" t="str">
        <f t="shared" si="11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VLOOKUP(D155,gacha_303_base!A:B,2,FALSE)</f>
        <v>326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hidden="1" customHeight="1">
      <c r="A156" s="7" t="str">
        <f t="shared" si="15"/>
        <v>3030594</v>
      </c>
      <c r="B156" s="2" t="str">
        <f t="shared" si="10"/>
        <v>3030</v>
      </c>
      <c r="C156" s="8" t="str">
        <f t="shared" si="16"/>
        <v>0PremiumSS4</v>
      </c>
      <c r="D156" s="8" t="str">
        <f t="shared" si="11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VLOOKUP(D156,gacha_303_base!A:B,2,FALSE)</f>
        <v>946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hidden="1" customHeight="1">
      <c r="A157" s="7" t="str">
        <f t="shared" si="15"/>
        <v>3030595</v>
      </c>
      <c r="B157" s="2" t="str">
        <f t="shared" si="10"/>
        <v>3030</v>
      </c>
      <c r="C157" s="8" t="str">
        <f t="shared" si="16"/>
        <v>0PremiumSS5</v>
      </c>
      <c r="D157" s="8" t="str">
        <f t="shared" si="11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VLOOKUP(D157,gacha_303_base!A:B,2,FALSE)</f>
        <v>54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hidden="1" customHeight="1">
      <c r="A158" s="7" t="str">
        <f t="shared" ref="A158:A164" si="17">B158&amp;F158</f>
        <v>3030597</v>
      </c>
      <c r="B158" s="2" t="str">
        <f t="shared" si="10"/>
        <v>3030</v>
      </c>
      <c r="C158" s="8" t="str">
        <f t="shared" ref="C158:C164" si="18">E158&amp;H158&amp;I158</f>
        <v>0PremiumS4</v>
      </c>
      <c r="D158" s="8" t="str">
        <f t="shared" si="11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VLOOKUP(D158,gacha_303_base!A:B,2,FALSE)</f>
        <v>5707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hidden="1" customHeight="1">
      <c r="A159" s="7" t="str">
        <f t="shared" si="17"/>
        <v>3030598</v>
      </c>
      <c r="B159" s="2" t="str">
        <f t="shared" si="10"/>
        <v>3030</v>
      </c>
      <c r="C159" s="8" t="str">
        <f t="shared" si="18"/>
        <v>0PremiumS5</v>
      </c>
      <c r="D159" s="8" t="str">
        <f t="shared" si="11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VLOOKUP(D159,gacha_303_base!A:B,2,FALSE)</f>
        <v>326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hidden="1" customHeight="1">
      <c r="A160" s="7" t="str">
        <f t="shared" si="17"/>
        <v>3030600</v>
      </c>
      <c r="B160" s="2" t="str">
        <f t="shared" si="10"/>
        <v>3030</v>
      </c>
      <c r="C160" s="8" t="str">
        <f t="shared" si="18"/>
        <v>0PremiumS4</v>
      </c>
      <c r="D160" s="8" t="str">
        <f t="shared" si="11"/>
        <v>0PremiumS4green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VLOOKUP(D160,gacha_303_base!A:B,2,FALSE)</f>
        <v>39946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17"/>
        <v>3030601</v>
      </c>
      <c r="B161" s="2" t="str">
        <f t="shared" si="10"/>
        <v>3030</v>
      </c>
      <c r="C161" s="8" t="str">
        <f t="shared" si="18"/>
        <v>0PremiumS5</v>
      </c>
      <c r="D161" s="8" t="str">
        <f t="shared" si="11"/>
        <v>0PremiumS5green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VLOOKUP(D161,gacha_303_base!A:B,2,FALSE)</f>
        <v>2280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hidden="1" customHeight="1">
      <c r="A162" s="7" t="str">
        <f t="shared" si="17"/>
        <v>3030602</v>
      </c>
      <c r="B162" s="2" t="str">
        <f t="shared" si="10"/>
        <v>3030</v>
      </c>
      <c r="C162" s="8" t="str">
        <f t="shared" si="18"/>
        <v>0PremiumSS4</v>
      </c>
      <c r="D162" s="8" t="str">
        <f t="shared" si="11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VLOOKUP(D162,gacha_303_base!A:B,2,FALSE)</f>
        <v>946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hidden="1" customHeight="1">
      <c r="A163" s="7" t="str">
        <f t="shared" si="17"/>
        <v>3030603</v>
      </c>
      <c r="B163" s="2" t="str">
        <f t="shared" si="10"/>
        <v>3030</v>
      </c>
      <c r="C163" s="8" t="str">
        <f t="shared" si="18"/>
        <v>0PremiumSS5</v>
      </c>
      <c r="D163" s="8" t="str">
        <f t="shared" si="11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VLOOKUP(D163,gacha_303_base!A:B,2,FALSE)</f>
        <v>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hidden="1" customHeight="1">
      <c r="A164" s="7" t="str">
        <f t="shared" si="17"/>
        <v>3030605</v>
      </c>
      <c r="B164" s="2" t="str">
        <f t="shared" si="10"/>
        <v>3030</v>
      </c>
      <c r="C164" s="8" t="str">
        <f t="shared" si="18"/>
        <v>0PremiumS4</v>
      </c>
      <c r="D164" s="8" t="str">
        <f t="shared" si="11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VLOOKUP(D164,gacha_303_base!A:B,2,FALSE)</f>
        <v>5707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hidden="1" customHeight="1">
      <c r="A165" s="7" t="str">
        <f t="shared" ref="A165" si="19">B165&amp;F165</f>
        <v>3030606</v>
      </c>
      <c r="B165" s="2" t="str">
        <f t="shared" si="10"/>
        <v>3030</v>
      </c>
      <c r="C165" s="8" t="str">
        <f t="shared" ref="C165" si="20">E165&amp;H165&amp;I165</f>
        <v>0PremiumS5</v>
      </c>
      <c r="D165" s="8" t="str">
        <f t="shared" si="11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VLOOKUP(D165,gacha_303_base!A:B,2,FALSE)</f>
        <v>326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hidden="1" customHeight="1">
      <c r="A166" s="7" t="str">
        <f t="shared" ref="A166:A172" si="21">B166&amp;F166</f>
        <v>3030658</v>
      </c>
      <c r="B166" s="2" t="str">
        <f t="shared" ref="B166:B172" si="22">303&amp;E166</f>
        <v>3030</v>
      </c>
      <c r="C166" s="8" t="str">
        <f t="shared" ref="C166:C172" si="23">E166&amp;H166&amp;I166</f>
        <v>0PremiumSS4</v>
      </c>
      <c r="D166" s="8" t="str">
        <f t="shared" si="11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VLOOKUP(D166,gacha_303_base!A:B,2,FALSE)</f>
        <v>946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hidden="1" customHeight="1">
      <c r="A167" s="7" t="str">
        <f t="shared" si="21"/>
        <v>3030659</v>
      </c>
      <c r="B167" s="2" t="str">
        <f t="shared" si="22"/>
        <v>3030</v>
      </c>
      <c r="C167" s="8" t="str">
        <f t="shared" si="23"/>
        <v>0PremiumSS5</v>
      </c>
      <c r="D167" s="8" t="str">
        <f t="shared" si="11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VLOOKUP(D167,gacha_303_base!A:B,2,FALSE)</f>
        <v>54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hidden="1" customHeight="1">
      <c r="A168" s="7" t="str">
        <f t="shared" si="21"/>
        <v>3030660</v>
      </c>
      <c r="B168" s="2" t="str">
        <f t="shared" si="22"/>
        <v>3030</v>
      </c>
      <c r="C168" s="8" t="str">
        <f t="shared" si="23"/>
        <v>0PremiumSS4</v>
      </c>
      <c r="D168" s="8" t="str">
        <f t="shared" si="11"/>
        <v>0PremiumSS4green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VLOOKUP(D168,gacha_303_base!A:B,2,FALSE)</f>
        <v>6622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21"/>
        <v>3030661</v>
      </c>
      <c r="B169" s="2" t="str">
        <f t="shared" si="22"/>
        <v>3030</v>
      </c>
      <c r="C169" s="8" t="str">
        <f t="shared" si="23"/>
        <v>0PremiumSS5</v>
      </c>
      <c r="D169" s="8" t="str">
        <f t="shared" si="11"/>
        <v>0PremiumSS5green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VLOOKUP(D169,gacha_303_base!A:B,2,FALSE)</f>
        <v>378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hidden="1" customHeight="1">
      <c r="A170" s="7" t="str">
        <f t="shared" si="21"/>
        <v>3030663</v>
      </c>
      <c r="B170" s="2" t="str">
        <f t="shared" si="22"/>
        <v>3030</v>
      </c>
      <c r="C170" s="8" t="str">
        <f t="shared" si="23"/>
        <v>0PremiumS4</v>
      </c>
      <c r="D170" s="8" t="str">
        <f t="shared" si="11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VLOOKUP(D170,gacha_303_base!A:B,2,FALSE)</f>
        <v>5707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hidden="1" customHeight="1">
      <c r="A171" s="7" t="str">
        <f t="shared" si="21"/>
        <v>3030664</v>
      </c>
      <c r="B171" s="2" t="str">
        <f t="shared" si="22"/>
        <v>3030</v>
      </c>
      <c r="C171" s="8" t="str">
        <f t="shared" si="23"/>
        <v>0PremiumS5</v>
      </c>
      <c r="D171" s="8" t="str">
        <f t="shared" si="11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VLOOKUP(D171,gacha_303_base!A:B,2,FALSE)</f>
        <v>326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hidden="1" customHeight="1">
      <c r="A172" s="7" t="str">
        <f t="shared" si="21"/>
        <v>3030666</v>
      </c>
      <c r="B172" s="2" t="str">
        <f t="shared" si="22"/>
        <v>3030</v>
      </c>
      <c r="C172" s="8" t="str">
        <f t="shared" si="23"/>
        <v>0PremiumS4</v>
      </c>
      <c r="D172" s="8" t="str">
        <f t="shared" si="11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VLOOKUP(D172,gacha_303_base!A:B,2,FALSE)</f>
        <v>5707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hidden="1" customHeight="1">
      <c r="A173" s="7" t="str">
        <f t="shared" ref="A173" si="24">B173&amp;F173</f>
        <v>3030667</v>
      </c>
      <c r="B173" s="2" t="str">
        <f t="shared" ref="B173" si="25">303&amp;E173</f>
        <v>3030</v>
      </c>
      <c r="C173" s="8" t="str">
        <f t="shared" ref="C173" si="26">E173&amp;H173&amp;I173</f>
        <v>0PremiumS5</v>
      </c>
      <c r="D173" s="8" t="str">
        <f t="shared" si="11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VLOOKUP(D173,gacha_303_base!A:B,2,FALSE)</f>
        <v>326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ref="A174" si="27">B174&amp;F174</f>
        <v>3030487</v>
      </c>
      <c r="B174" s="2" t="str">
        <f t="shared" ref="B174" si="28">303&amp;E174</f>
        <v>3030</v>
      </c>
      <c r="C174" s="8" t="str">
        <f t="shared" ref="C174" si="29">E174&amp;H174&amp;I174</f>
        <v>0PremiumSSS5</v>
      </c>
      <c r="D174" s="8" t="str">
        <f t="shared" si="11"/>
        <v>0PremiumSSS5green</v>
      </c>
      <c r="E174" s="10">
        <v>0</v>
      </c>
      <c r="F174" s="6">
        <v>487</v>
      </c>
      <c r="G174" s="8" t="str">
        <f>VLOOKUP(F174,[1]characters!$A:$C,3,FALSE)</f>
        <v>暴創の造物 チューリング</v>
      </c>
      <c r="H174" s="8" t="str">
        <f>VLOOKUP(F174,[1]characters!$A:$J,10,FALSE)</f>
        <v>PremiumSSS</v>
      </c>
      <c r="I174" s="8">
        <f>VLOOKUP(F174,[1]characters!$A:$I,9,FALSE)</f>
        <v>5</v>
      </c>
      <c r="J174" s="8" t="str">
        <f>VLOOKUP(F174,[1]characters!$A:$H,8,FALSE)</f>
        <v>green</v>
      </c>
      <c r="K174" s="8" t="str">
        <f>VLOOKUP(F174,[1]characters!$A:$K,11,FALSE)</f>
        <v>hp</v>
      </c>
      <c r="L174" s="8" t="str">
        <f>VLOOKUP(F174,[1]characters!$A:$M,13,FALSE)</f>
        <v>human</v>
      </c>
      <c r="M174" s="16">
        <f>VLOOKUP(D174,gacha_303_base!A:B,2,FALSE)</f>
        <v>5000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hidden="1" customHeight="1">
      <c r="A175" s="7" t="str">
        <f>B175&amp;F175</f>
        <v>3031126</v>
      </c>
      <c r="B175" s="2" t="str">
        <f>303&amp;E175</f>
        <v>3031</v>
      </c>
      <c r="C175" s="8" t="str">
        <f t="shared" ref="C175:C238" si="30">E175&amp;H175&amp;I175</f>
        <v>1PremiumW3</v>
      </c>
      <c r="D175" s="8" t="str">
        <f t="shared" si="11"/>
        <v>1PremiumW3</v>
      </c>
      <c r="E175" s="10">
        <v>1</v>
      </c>
      <c r="F175" s="6">
        <v>126</v>
      </c>
      <c r="G175" s="8" t="str">
        <f>VLOOKUP(F175,[1]characters!$A:$C,3,FALSE)</f>
        <v>骨器使い ユノ</v>
      </c>
      <c r="H175" s="8" t="str">
        <f>VLOOKUP(F175,[1]characters!$A:$J,10,FALSE)</f>
        <v>PremiumW</v>
      </c>
      <c r="I175" s="8">
        <f>VLOOKUP(F175,[1]characters!$A:$I,9,FALSE)</f>
        <v>3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VLOOKUP(D175,gacha_303_base!A:B,2,FALSE)</f>
        <v>1908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hidden="1" customHeight="1">
      <c r="A176" s="7" t="str">
        <f t="shared" ref="A176:A239" si="31">B176&amp;F176</f>
        <v>3031127</v>
      </c>
      <c r="B176" s="2" t="str">
        <f t="shared" ref="B176:B239" si="32">303&amp;E176</f>
        <v>3031</v>
      </c>
      <c r="C176" s="8" t="str">
        <f t="shared" si="30"/>
        <v>1PremiumW4</v>
      </c>
      <c r="D176" s="8" t="str">
        <f t="shared" si="11"/>
        <v>1PremiumW4</v>
      </c>
      <c r="E176" s="10">
        <v>1</v>
      </c>
      <c r="F176" s="6">
        <v>127</v>
      </c>
      <c r="G176" s="8" t="str">
        <f>VLOOKUP(F176,[1]characters!$A:$C,3,FALSE)</f>
        <v>狂喜の賢者 ユノ</v>
      </c>
      <c r="H176" s="8" t="str">
        <f>VLOOKUP(F176,[1]characters!$A:$J,10,FALSE)</f>
        <v>PremiumW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VLOOKUP(D176,gacha_303_base!A:B,2,FALSE)</f>
        <v>1908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hidden="1" customHeight="1">
      <c r="A177" s="7" t="str">
        <f t="shared" si="31"/>
        <v>3031128</v>
      </c>
      <c r="B177" s="2" t="str">
        <f t="shared" si="32"/>
        <v>3031</v>
      </c>
      <c r="C177" s="8" t="str">
        <f t="shared" si="30"/>
        <v>1PremiumW3</v>
      </c>
      <c r="D177" s="8" t="str">
        <f t="shared" si="11"/>
        <v>1PremiumW3green</v>
      </c>
      <c r="E177" s="10">
        <v>1</v>
      </c>
      <c r="F177" s="6">
        <v>128</v>
      </c>
      <c r="G177" s="8" t="str">
        <f>VLOOKUP(F177,[1]characters!$A:$C,3,FALSE)</f>
        <v>野生児 アマラ</v>
      </c>
      <c r="H177" s="8" t="str">
        <f>VLOOKUP(F177,[1]characters!$A:$J,10,FALSE)</f>
        <v>PremiumW</v>
      </c>
      <c r="I177" s="8">
        <f>VLOOKUP(F177,[1]characters!$A:$I,9,FALSE)</f>
        <v>3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VLOOKUP(D177,gacha_303_base!A:B,2,FALSE)</f>
        <v>13357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hidden="1" customHeight="1">
      <c r="A178" s="7" t="str">
        <f t="shared" si="31"/>
        <v>3031129</v>
      </c>
      <c r="B178" s="2" t="str">
        <f t="shared" si="32"/>
        <v>3031</v>
      </c>
      <c r="C178" s="8" t="str">
        <f t="shared" si="30"/>
        <v>1PremiumW4</v>
      </c>
      <c r="D178" s="8" t="str">
        <f t="shared" si="11"/>
        <v>1PremiumW4green</v>
      </c>
      <c r="E178" s="10">
        <v>1</v>
      </c>
      <c r="F178" s="6">
        <v>129</v>
      </c>
      <c r="G178" s="8" t="str">
        <f>VLOOKUP(F178,[1]characters!$A:$C,3,FALSE)</f>
        <v>孤高の狼憑き アマラ</v>
      </c>
      <c r="H178" s="8" t="str">
        <f>VLOOKUP(F178,[1]characters!$A:$J,10,FALSE)</f>
        <v>PremiumW</v>
      </c>
      <c r="I178" s="8">
        <f>VLOOKUP(F178,[1]characters!$A:$I,9,FALSE)</f>
        <v>4</v>
      </c>
      <c r="J178" s="8" t="str">
        <f>VLOOKUP(F178,[1]characters!$A:$H,8,FALSE)</f>
        <v>green</v>
      </c>
      <c r="K178" s="8" t="str">
        <f>VLOOKUP(F178,[1]characters!$A:$K,11,FALSE)</f>
        <v>attack</v>
      </c>
      <c r="L178" s="8" t="str">
        <f>VLOOKUP(F178,[1]characters!$A:$M,13,FALSE)</f>
        <v>human</v>
      </c>
      <c r="M178" s="16">
        <f>VLOOKUP(D178,gacha_303_base!A:B,2,FALSE)</f>
        <v>13357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hidden="1" customHeight="1">
      <c r="A179" s="7" t="str">
        <f t="shared" si="31"/>
        <v>3031130</v>
      </c>
      <c r="B179" s="2" t="str">
        <f t="shared" si="32"/>
        <v>3031</v>
      </c>
      <c r="C179" s="8" t="str">
        <f t="shared" si="30"/>
        <v>1PremiumW3</v>
      </c>
      <c r="D179" s="8" t="str">
        <f t="shared" si="11"/>
        <v>1PremiumW3</v>
      </c>
      <c r="E179" s="10">
        <v>1</v>
      </c>
      <c r="F179" s="6">
        <v>130</v>
      </c>
      <c r="G179" s="8" t="str">
        <f>VLOOKUP(F179,[1]characters!$A:$C,3,FALSE)</f>
        <v>狼男 ローレンス</v>
      </c>
      <c r="H179" s="8" t="str">
        <f>VLOOKUP(F179,[1]characters!$A:$J,10,FALSE)</f>
        <v>PremiumW</v>
      </c>
      <c r="I179" s="8">
        <f>VLOOKUP(F179,[1]characters!$A:$I,9,FALSE)</f>
        <v>3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VLOOKUP(D179,gacha_303_base!A:B,2,FALSE)</f>
        <v>1908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hidden="1" customHeight="1">
      <c r="A180" s="7" t="str">
        <f t="shared" si="31"/>
        <v>3031131</v>
      </c>
      <c r="B180" s="2" t="str">
        <f t="shared" si="32"/>
        <v>3031</v>
      </c>
      <c r="C180" s="8" t="str">
        <f t="shared" si="30"/>
        <v>1PremiumW4</v>
      </c>
      <c r="D180" s="8" t="str">
        <f t="shared" si="11"/>
        <v>1PremiumW4</v>
      </c>
      <c r="E180" s="10">
        <v>1</v>
      </c>
      <c r="F180" s="6">
        <v>131</v>
      </c>
      <c r="G180" s="8" t="str">
        <f>VLOOKUP(F180,[1]characters!$A:$C,3,FALSE)</f>
        <v>月下の人狼 ローレンス</v>
      </c>
      <c r="H180" s="8" t="str">
        <f>VLOOKUP(F180,[1]characters!$A:$J,10,FALSE)</f>
        <v>PremiumW</v>
      </c>
      <c r="I180" s="8">
        <f>VLOOKUP(F180,[1]characters!$A:$I,9,FALSE)</f>
        <v>4</v>
      </c>
      <c r="J180" s="8" t="str">
        <f>VLOOKUP(F180,[1]characters!$A:$H,8,FALSE)</f>
        <v>blue</v>
      </c>
      <c r="K180" s="8" t="str">
        <f>VLOOKUP(F180,[1]characters!$A:$K,11,FALSE)</f>
        <v>attack</v>
      </c>
      <c r="L180" s="8" t="str">
        <f>VLOOKUP(F180,[1]characters!$A:$M,13,FALSE)</f>
        <v>animal</v>
      </c>
      <c r="M180" s="16">
        <f>VLOOKUP(D180,gacha_303_base!A:B,2,FALSE)</f>
        <v>1908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hidden="1" customHeight="1">
      <c r="A181" s="7" t="str">
        <f t="shared" si="31"/>
        <v>3031132</v>
      </c>
      <c r="B181" s="2" t="str">
        <f t="shared" si="32"/>
        <v>3031</v>
      </c>
      <c r="C181" s="8" t="str">
        <f t="shared" si="30"/>
        <v>1PremiumW3</v>
      </c>
      <c r="D181" s="8" t="str">
        <f t="shared" si="11"/>
        <v>1PremiumW3</v>
      </c>
      <c r="E181" s="10">
        <v>1</v>
      </c>
      <c r="F181" s="6">
        <v>132</v>
      </c>
      <c r="G181" s="8" t="str">
        <f>VLOOKUP(F181,[1]characters!$A:$C,3,FALSE)</f>
        <v>鳥人ハヤト</v>
      </c>
      <c r="H181" s="8" t="str">
        <f>VLOOKUP(F181,[1]characters!$A:$J,10,FALSE)</f>
        <v>PremiumW</v>
      </c>
      <c r="I181" s="8">
        <f>VLOOKUP(F181,[1]characters!$A:$I,9,FALSE)</f>
        <v>3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VLOOKUP(D181,gacha_303_base!A:B,2,FALSE)</f>
        <v>1908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hidden="1" customHeight="1">
      <c r="A182" s="7" t="str">
        <f t="shared" si="31"/>
        <v>3031133</v>
      </c>
      <c r="B182" s="2" t="str">
        <f t="shared" si="32"/>
        <v>3031</v>
      </c>
      <c r="C182" s="8" t="str">
        <f t="shared" si="30"/>
        <v>1PremiumW4</v>
      </c>
      <c r="D182" s="8" t="str">
        <f t="shared" si="11"/>
        <v>1PremiumW4</v>
      </c>
      <c r="E182" s="10">
        <v>1</v>
      </c>
      <c r="F182" s="6">
        <v>133</v>
      </c>
      <c r="G182" s="8" t="str">
        <f>VLOOKUP(F182,[1]characters!$A:$C,3,FALSE)</f>
        <v>迅雷の刀剣 ハヤト</v>
      </c>
      <c r="H182" s="8" t="str">
        <f>VLOOKUP(F182,[1]characters!$A:$J,10,FALSE)</f>
        <v>PremiumW</v>
      </c>
      <c r="I182" s="8">
        <f>VLOOKUP(F182,[1]characters!$A:$I,9,FALSE)</f>
        <v>4</v>
      </c>
      <c r="J182" s="8" t="str">
        <f>VLOOKUP(F182,[1]characters!$A:$H,8,FALSE)</f>
        <v>yellow</v>
      </c>
      <c r="K182" s="8" t="str">
        <f>VLOOKUP(F182,[1]characters!$A:$K,11,FALSE)</f>
        <v>attack</v>
      </c>
      <c r="L182" s="8" t="str">
        <f>VLOOKUP(F182,[1]characters!$A:$M,13,FALSE)</f>
        <v>human</v>
      </c>
      <c r="M182" s="16">
        <f>VLOOKUP(D182,gacha_303_base!A:B,2,FALSE)</f>
        <v>1908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hidden="1" customHeight="1">
      <c r="A183" s="7" t="str">
        <f t="shared" si="31"/>
        <v>3031134</v>
      </c>
      <c r="B183" s="2" t="str">
        <f t="shared" si="32"/>
        <v>3031</v>
      </c>
      <c r="C183" s="8" t="str">
        <f t="shared" si="30"/>
        <v>1PremiumW3</v>
      </c>
      <c r="D183" s="8" t="str">
        <f t="shared" si="11"/>
        <v>1PremiumW3</v>
      </c>
      <c r="E183" s="10">
        <v>1</v>
      </c>
      <c r="F183" s="6">
        <v>134</v>
      </c>
      <c r="G183" s="8" t="str">
        <f>VLOOKUP(F183,[1]characters!$A:$C,3,FALSE)</f>
        <v>妖炎の夕霧</v>
      </c>
      <c r="H183" s="8" t="str">
        <f>VLOOKUP(F183,[1]characters!$A:$J,10,FALSE)</f>
        <v>PremiumW</v>
      </c>
      <c r="I183" s="8">
        <f>VLOOKUP(F183,[1]characters!$A:$I,9,FALSE)</f>
        <v>3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VLOOKUP(D183,gacha_303_base!A:B,2,FALSE)</f>
        <v>1908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hidden="1" customHeight="1">
      <c r="A184" s="7" t="str">
        <f t="shared" si="31"/>
        <v>3031135</v>
      </c>
      <c r="B184" s="2" t="str">
        <f t="shared" si="32"/>
        <v>3031</v>
      </c>
      <c r="C184" s="8" t="str">
        <f t="shared" si="30"/>
        <v>1PremiumW4</v>
      </c>
      <c r="D184" s="8" t="str">
        <f t="shared" si="11"/>
        <v>1PremiumW4</v>
      </c>
      <c r="E184" s="10">
        <v>1</v>
      </c>
      <c r="F184" s="6">
        <v>135</v>
      </c>
      <c r="G184" s="8" t="str">
        <f>VLOOKUP(F184,[1]characters!$A:$C,3,FALSE)</f>
        <v>京の炎華夕霧</v>
      </c>
      <c r="H184" s="8" t="str">
        <f>VLOOKUP(F184,[1]characters!$A:$J,10,FALSE)</f>
        <v>PremiumW</v>
      </c>
      <c r="I184" s="8">
        <f>VLOOKUP(F184,[1]characters!$A:$I,9,FALSE)</f>
        <v>4</v>
      </c>
      <c r="J184" s="8" t="str">
        <f>VLOOKUP(F184,[1]characters!$A:$H,8,FALSE)</f>
        <v>red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VLOOKUP(D184,gacha_303_base!A:B,2,FALSE)</f>
        <v>1908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hidden="1" customHeight="1">
      <c r="A185" s="7" t="str">
        <f t="shared" si="31"/>
        <v>3031136</v>
      </c>
      <c r="B185" s="2" t="str">
        <f t="shared" si="32"/>
        <v>3031</v>
      </c>
      <c r="C185" s="8" t="str">
        <f t="shared" si="30"/>
        <v>1PremiumW3</v>
      </c>
      <c r="D185" s="8" t="str">
        <f t="shared" si="11"/>
        <v>1PremiumW3green</v>
      </c>
      <c r="E185" s="10">
        <v>1</v>
      </c>
      <c r="F185" s="9">
        <v>136</v>
      </c>
      <c r="G185" s="8" t="str">
        <f>VLOOKUP(F185,[1]characters!$A:$C,3,FALSE)</f>
        <v>お針子チハヤ</v>
      </c>
      <c r="H185" s="8" t="str">
        <f>VLOOKUP(F185,[1]characters!$A:$J,10,FALSE)</f>
        <v>PremiumW</v>
      </c>
      <c r="I185" s="8">
        <f>VLOOKUP(F185,[1]characters!$A:$I,9,FALSE)</f>
        <v>3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VLOOKUP(D185,gacha_303_base!A:B,2,FALSE)</f>
        <v>13357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hidden="1" customHeight="1">
      <c r="A186" s="7" t="str">
        <f t="shared" si="31"/>
        <v>3031137</v>
      </c>
      <c r="B186" s="2" t="str">
        <f t="shared" si="32"/>
        <v>3031</v>
      </c>
      <c r="C186" s="8" t="str">
        <f t="shared" si="30"/>
        <v>1PremiumW4</v>
      </c>
      <c r="D186" s="8" t="str">
        <f t="shared" si="11"/>
        <v>1PremiumW4green</v>
      </c>
      <c r="E186" s="10">
        <v>1</v>
      </c>
      <c r="F186" s="9">
        <v>137</v>
      </c>
      <c r="G186" s="8" t="str">
        <f>VLOOKUP(F186,[1]characters!$A:$C,3,FALSE)</f>
        <v>清福の仕立屋 チハヤ</v>
      </c>
      <c r="H186" s="8" t="str">
        <f>VLOOKUP(F186,[1]characters!$A:$J,10,FALSE)</f>
        <v>PremiumW</v>
      </c>
      <c r="I186" s="8">
        <f>VLOOKUP(F186,[1]characters!$A:$I,9,FALSE)</f>
        <v>4</v>
      </c>
      <c r="J186" s="8" t="str">
        <f>VLOOKUP(F186,[1]characters!$A:$H,8,FALSE)</f>
        <v>green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VLOOKUP(D186,gacha_303_base!A:B,2,FALSE)</f>
        <v>13357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hidden="1" customHeight="1">
      <c r="A187" s="7" t="str">
        <f t="shared" si="31"/>
        <v>3031138</v>
      </c>
      <c r="B187" s="2" t="str">
        <f t="shared" si="32"/>
        <v>3031</v>
      </c>
      <c r="C187" s="8" t="str">
        <f t="shared" si="30"/>
        <v>1PremiumW3</v>
      </c>
      <c r="D187" s="8" t="str">
        <f t="shared" si="11"/>
        <v>1PremiumW3</v>
      </c>
      <c r="E187" s="10">
        <v>1</v>
      </c>
      <c r="F187" s="6">
        <v>138</v>
      </c>
      <c r="G187" s="8" t="str">
        <f>VLOOKUP(F187,[1]characters!$A:$C,3,FALSE)</f>
        <v>蒼薙のトモエ</v>
      </c>
      <c r="H187" s="8" t="str">
        <f>VLOOKUP(F187,[1]characters!$A:$J,10,FALSE)</f>
        <v>PremiumW</v>
      </c>
      <c r="I187" s="8">
        <f>VLOOKUP(F187,[1]characters!$A:$I,9,FALSE)</f>
        <v>3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VLOOKUP(D187,gacha_303_base!A:B,2,FALSE)</f>
        <v>1908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hidden="1" customHeight="1">
      <c r="A188" s="7" t="str">
        <f t="shared" si="31"/>
        <v>3031139</v>
      </c>
      <c r="B188" s="2" t="str">
        <f t="shared" si="32"/>
        <v>3031</v>
      </c>
      <c r="C188" s="8" t="str">
        <f t="shared" si="30"/>
        <v>1PremiumW4</v>
      </c>
      <c r="D188" s="8" t="str">
        <f t="shared" si="11"/>
        <v>1PremiumW4</v>
      </c>
      <c r="E188" s="10">
        <v>1</v>
      </c>
      <c r="F188" s="6">
        <v>139</v>
      </c>
      <c r="G188" s="8" t="str">
        <f>VLOOKUP(F188,[1]characters!$A:$C,3,FALSE)</f>
        <v>蒼昇刃姫 トモエ</v>
      </c>
      <c r="H188" s="8" t="str">
        <f>VLOOKUP(F188,[1]characters!$A:$J,10,FALSE)</f>
        <v>PremiumW</v>
      </c>
      <c r="I188" s="8">
        <f>VLOOKUP(F188,[1]characters!$A:$I,9,FALSE)</f>
        <v>4</v>
      </c>
      <c r="J188" s="8" t="str">
        <f>VLOOKUP(F188,[1]characters!$A:$H,8,FALSE)</f>
        <v>blue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VLOOKUP(D188,gacha_303_base!A:B,2,FALSE)</f>
        <v>1908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hidden="1" customHeight="1">
      <c r="A189" s="7" t="str">
        <f t="shared" si="31"/>
        <v>3031140</v>
      </c>
      <c r="B189" s="2" t="str">
        <f t="shared" si="32"/>
        <v>3031</v>
      </c>
      <c r="C189" s="8" t="str">
        <f t="shared" si="30"/>
        <v>1PremiumW3</v>
      </c>
      <c r="D189" s="8" t="str">
        <f t="shared" si="11"/>
        <v>1PremiumW3</v>
      </c>
      <c r="E189" s="10">
        <v>1</v>
      </c>
      <c r="F189" s="12">
        <v>140</v>
      </c>
      <c r="G189" s="8" t="str">
        <f>VLOOKUP(F189,[1]characters!$A:$C,3,FALSE)</f>
        <v>秋祭のタマモ</v>
      </c>
      <c r="H189" s="8" t="str">
        <f>VLOOKUP(F189,[1]characters!$A:$J,10,FALSE)</f>
        <v>PremiumW</v>
      </c>
      <c r="I189" s="8">
        <f>VLOOKUP(F189,[1]characters!$A:$I,9,FALSE)</f>
        <v>3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VLOOKUP(D189,gacha_303_base!A:B,2,FALSE)</f>
        <v>1908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ht="21" hidden="1" customHeight="1">
      <c r="A190" s="7" t="str">
        <f t="shared" si="31"/>
        <v>3031141</v>
      </c>
      <c r="B190" s="2" t="str">
        <f t="shared" si="32"/>
        <v>3031</v>
      </c>
      <c r="C190" s="8" t="str">
        <f t="shared" si="30"/>
        <v>1PremiumW4</v>
      </c>
      <c r="D190" s="8" t="str">
        <f t="shared" si="11"/>
        <v>1PremiumW4</v>
      </c>
      <c r="E190" s="10">
        <v>1</v>
      </c>
      <c r="F190" s="13">
        <v>141</v>
      </c>
      <c r="G190" s="8" t="str">
        <f>VLOOKUP(F190,[1]characters!$A:$C,3,FALSE)</f>
        <v>妖狐演舞 タマモ</v>
      </c>
      <c r="H190" s="8" t="str">
        <f>VLOOKUP(F190,[1]characters!$A:$J,10,FALSE)</f>
        <v>PremiumW</v>
      </c>
      <c r="I190" s="8">
        <f>VLOOKUP(F190,[1]characters!$A:$I,9,FALSE)</f>
        <v>4</v>
      </c>
      <c r="J190" s="8" t="str">
        <f>VLOOKUP(F190,[1]characters!$A:$H,8,FALSE)</f>
        <v>yellow</v>
      </c>
      <c r="K190" s="8" t="str">
        <f>VLOOKUP(F190,[1]characters!$A:$K,11,FALSE)</f>
        <v>balance</v>
      </c>
      <c r="L190" s="8" t="str">
        <f>VLOOKUP(F190,[1]characters!$A:$M,13,FALSE)</f>
        <v>animal</v>
      </c>
      <c r="M190" s="16">
        <f>VLOOKUP(D190,gacha_303_base!A:B,2,FALSE)</f>
        <v>1908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hidden="1" customHeight="1">
      <c r="A191" s="7" t="str">
        <f t="shared" si="31"/>
        <v>3031142</v>
      </c>
      <c r="B191" s="2" t="str">
        <f t="shared" si="32"/>
        <v>3031</v>
      </c>
      <c r="C191" s="8" t="str">
        <f t="shared" si="30"/>
        <v>1PremiumW3</v>
      </c>
      <c r="D191" s="8" t="str">
        <f t="shared" ref="D191:D254" si="33">E191&amp;H191&amp;I191&amp;IF(J191="green","green","")</f>
        <v>1PremiumW3</v>
      </c>
      <c r="E191" s="10">
        <v>1</v>
      </c>
      <c r="F191" s="6">
        <v>142</v>
      </c>
      <c r="G191" s="8" t="str">
        <f>VLOOKUP(F191,[1]characters!$A:$C,3,FALSE)</f>
        <v>赤ずきん</v>
      </c>
      <c r="H191" s="8" t="str">
        <f>VLOOKUP(F191,[1]characters!$A:$J,10,FALSE)</f>
        <v>PremiumW</v>
      </c>
      <c r="I191" s="8">
        <f>VLOOKUP(F191,[1]characters!$A:$I,9,FALSE)</f>
        <v>3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VLOOKUP(D191,gacha_303_base!A:B,2,FALSE)</f>
        <v>1908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s="14" customFormat="1" ht="21" hidden="1" customHeight="1" thickBot="1">
      <c r="A192" s="7" t="str">
        <f t="shared" si="31"/>
        <v>3031143</v>
      </c>
      <c r="B192" s="2" t="str">
        <f t="shared" si="32"/>
        <v>3031</v>
      </c>
      <c r="C192" s="8" t="str">
        <f t="shared" si="30"/>
        <v>1PremiumW4</v>
      </c>
      <c r="D192" s="8" t="str">
        <f t="shared" si="33"/>
        <v>1PremiumW4</v>
      </c>
      <c r="E192" s="10">
        <v>1</v>
      </c>
      <c r="F192" s="6">
        <v>143</v>
      </c>
      <c r="G192" s="8" t="str">
        <f>VLOOKUP(F192,[1]characters!$A:$C,3,FALSE)</f>
        <v>深紅の死神 赤ずきん</v>
      </c>
      <c r="H192" s="8" t="str">
        <f>VLOOKUP(F192,[1]characters!$A:$J,10,FALSE)</f>
        <v>PremiumW</v>
      </c>
      <c r="I192" s="8">
        <f>VLOOKUP(F192,[1]characters!$A:$I,9,FALSE)</f>
        <v>4</v>
      </c>
      <c r="J192" s="8" t="str">
        <f>VLOOKUP(F192,[1]characters!$A:$H,8,FALSE)</f>
        <v>red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VLOOKUP(D192,gacha_303_base!A:B,2,FALSE)</f>
        <v>1908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hidden="1" customHeight="1">
      <c r="A193" s="7" t="str">
        <f t="shared" si="31"/>
        <v>3031144</v>
      </c>
      <c r="B193" s="2" t="str">
        <f t="shared" si="32"/>
        <v>3031</v>
      </c>
      <c r="C193" s="8" t="str">
        <f t="shared" si="30"/>
        <v>1PremiumW3</v>
      </c>
      <c r="D193" s="8" t="str">
        <f t="shared" si="33"/>
        <v>1PremiumW3green</v>
      </c>
      <c r="E193" s="10">
        <v>1</v>
      </c>
      <c r="F193" s="12">
        <v>144</v>
      </c>
      <c r="G193" s="8" t="str">
        <f>VLOOKUP(F193,[1]characters!$A:$C,3,FALSE)</f>
        <v>かぐや</v>
      </c>
      <c r="H193" s="8" t="str">
        <f>VLOOKUP(F193,[1]characters!$A:$J,10,FALSE)</f>
        <v>PremiumW</v>
      </c>
      <c r="I193" s="8">
        <f>VLOOKUP(F193,[1]characters!$A:$I,9,FALSE)</f>
        <v>3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VLOOKUP(D193,gacha_303_base!A:B,2,FALSE)</f>
        <v>13357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hidden="1" customHeight="1">
      <c r="A194" s="7" t="str">
        <f t="shared" si="31"/>
        <v>3031145</v>
      </c>
      <c r="B194" s="2" t="str">
        <f t="shared" si="32"/>
        <v>3031</v>
      </c>
      <c r="C194" s="8" t="str">
        <f t="shared" si="30"/>
        <v>1PremiumW4</v>
      </c>
      <c r="D194" s="8" t="str">
        <f t="shared" si="33"/>
        <v>1PremiumW4green</v>
      </c>
      <c r="E194" s="10">
        <v>1</v>
      </c>
      <c r="F194" s="6">
        <v>145</v>
      </c>
      <c r="G194" s="8" t="str">
        <f>VLOOKUP(F194,[1]characters!$A:$C,3,FALSE)</f>
        <v>魔性妖艶 かぐや</v>
      </c>
      <c r="H194" s="8" t="str">
        <f>VLOOKUP(F194,[1]characters!$A:$J,10,FALSE)</f>
        <v>PremiumW</v>
      </c>
      <c r="I194" s="8">
        <f>VLOOKUP(F194,[1]characters!$A:$I,9,FALSE)</f>
        <v>4</v>
      </c>
      <c r="J194" s="8" t="str">
        <f>VLOOKUP(F194,[1]characters!$A:$H,8,FALSE)</f>
        <v>green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VLOOKUP(D194,gacha_303_base!A:B,2,FALSE)</f>
        <v>13357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hidden="1" customHeight="1">
      <c r="A195" s="7" t="str">
        <f t="shared" si="31"/>
        <v>3031146</v>
      </c>
      <c r="B195" s="2" t="str">
        <f t="shared" si="32"/>
        <v>3031</v>
      </c>
      <c r="C195" s="8" t="str">
        <f t="shared" si="30"/>
        <v>1PremiumW3</v>
      </c>
      <c r="D195" s="8" t="str">
        <f t="shared" si="33"/>
        <v>1PremiumW3</v>
      </c>
      <c r="E195" s="10">
        <v>1</v>
      </c>
      <c r="F195" s="6">
        <v>146</v>
      </c>
      <c r="G195" s="8" t="str">
        <f>VLOOKUP(F195,[1]characters!$A:$C,3,FALSE)</f>
        <v>マーメイド</v>
      </c>
      <c r="H195" s="8" t="str">
        <f>VLOOKUP(F195,[1]characters!$A:$J,10,FALSE)</f>
        <v>PremiumW</v>
      </c>
      <c r="I195" s="8">
        <f>VLOOKUP(F195,[1]characters!$A:$I,9,FALSE)</f>
        <v>3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VLOOKUP(D195,gacha_303_base!A:B,2,FALSE)</f>
        <v>1908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hidden="1" customHeight="1">
      <c r="A196" s="7" t="str">
        <f t="shared" si="31"/>
        <v>3031147</v>
      </c>
      <c r="B196" s="2" t="str">
        <f t="shared" si="32"/>
        <v>3031</v>
      </c>
      <c r="C196" s="8" t="str">
        <f t="shared" si="30"/>
        <v>1PremiumW4</v>
      </c>
      <c r="D196" s="8" t="str">
        <f t="shared" si="33"/>
        <v>1PremiumW4</v>
      </c>
      <c r="E196" s="10">
        <v>1</v>
      </c>
      <c r="F196" s="6">
        <v>147</v>
      </c>
      <c r="G196" s="8" t="str">
        <f>VLOOKUP(F196,[1]characters!$A:$C,3,FALSE)</f>
        <v>蒼き閃光 元マーメイド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blue</v>
      </c>
      <c r="K196" s="8" t="str">
        <f>VLOOKUP(F196,[1]characters!$A:$K,11,FALSE)</f>
        <v>hp</v>
      </c>
      <c r="L196" s="8" t="str">
        <f>VLOOKUP(F196,[1]characters!$A:$M,13,FALSE)</f>
        <v>human</v>
      </c>
      <c r="M196" s="16">
        <f>VLOOKUP(D196,gacha_303_base!A:B,2,FALSE)</f>
        <v>1908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hidden="1" customHeight="1">
      <c r="A197" s="7" t="str">
        <f t="shared" si="31"/>
        <v>3031148</v>
      </c>
      <c r="B197" s="2" t="str">
        <f t="shared" si="32"/>
        <v>3031</v>
      </c>
      <c r="C197" s="8" t="str">
        <f t="shared" si="30"/>
        <v>1PremiumW3</v>
      </c>
      <c r="D197" s="8" t="str">
        <f t="shared" si="33"/>
        <v>1PremiumW3</v>
      </c>
      <c r="E197" s="10">
        <v>1</v>
      </c>
      <c r="F197" s="6">
        <v>148</v>
      </c>
      <c r="G197" s="8" t="str">
        <f>VLOOKUP(F197,[1]characters!$A:$C,3,FALSE)</f>
        <v>シンデレラ</v>
      </c>
      <c r="H197" s="8" t="str">
        <f>VLOOKUP(F197,[1]characters!$A:$J,10,FALSE)</f>
        <v>PremiumW</v>
      </c>
      <c r="I197" s="8">
        <f>VLOOKUP(F197,[1]characters!$A:$I,9,FALSE)</f>
        <v>3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VLOOKUP(D197,gacha_303_base!A:B,2,FALSE)</f>
        <v>1908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hidden="1" customHeight="1">
      <c r="A198" s="7" t="str">
        <f t="shared" si="31"/>
        <v>3031149</v>
      </c>
      <c r="B198" s="2" t="str">
        <f t="shared" si="32"/>
        <v>3031</v>
      </c>
      <c r="C198" s="8" t="str">
        <f t="shared" si="30"/>
        <v>1PremiumW4</v>
      </c>
      <c r="D198" s="8" t="str">
        <f t="shared" si="33"/>
        <v>1PremiumW4</v>
      </c>
      <c r="E198" s="10">
        <v>1</v>
      </c>
      <c r="F198" s="6">
        <v>149</v>
      </c>
      <c r="G198" s="8" t="str">
        <f>VLOOKUP(F198,[1]characters!$A:$C,3,FALSE)</f>
        <v>雷撃蹴技を極めし者 シンデレラ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yellow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16">
        <f>VLOOKUP(D198,gacha_303_base!A:B,2,FALSE)</f>
        <v>1908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hidden="1" customHeight="1">
      <c r="A199" s="7" t="str">
        <f t="shared" si="31"/>
        <v>3031150</v>
      </c>
      <c r="B199" s="2" t="str">
        <f t="shared" si="32"/>
        <v>3031</v>
      </c>
      <c r="C199" s="8" t="str">
        <f t="shared" si="30"/>
        <v>1PremiumW3</v>
      </c>
      <c r="D199" s="8" t="str">
        <f t="shared" si="33"/>
        <v>1PremiumW3</v>
      </c>
      <c r="E199" s="10">
        <v>1</v>
      </c>
      <c r="F199" s="6">
        <v>150</v>
      </c>
      <c r="G199" s="8" t="str">
        <f>VLOOKUP(F199,[1]characters!$A:$C,3,FALSE)</f>
        <v>ポイズンマスターサキ</v>
      </c>
      <c r="H199" s="8" t="str">
        <f>VLOOKUP(F199,[1]characters!$A:$J,10,FALSE)</f>
        <v>PremiumW</v>
      </c>
      <c r="I199" s="8">
        <f>VLOOKUP(F199,[1]characters!$A:$I,9,FALSE)</f>
        <v>3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VLOOKUP(D199,gacha_303_base!A:B,2,FALSE)</f>
        <v>1908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hidden="1" customHeight="1">
      <c r="A200" s="7" t="str">
        <f t="shared" si="31"/>
        <v>3031151</v>
      </c>
      <c r="B200" s="2" t="str">
        <f t="shared" si="32"/>
        <v>3031</v>
      </c>
      <c r="C200" s="8" t="str">
        <f t="shared" si="30"/>
        <v>1PremiumW4</v>
      </c>
      <c r="D200" s="8" t="str">
        <f t="shared" si="33"/>
        <v>1PremiumW4</v>
      </c>
      <c r="E200" s="10">
        <v>1</v>
      </c>
      <c r="F200" s="6">
        <v>151</v>
      </c>
      <c r="G200" s="8" t="str">
        <f>VLOOKUP(F200,[1]characters!$A:$C,3,FALSE)</f>
        <v>毒煙の処刑人サキ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technical</v>
      </c>
      <c r="L200" s="8" t="str">
        <f>VLOOKUP(F200,[1]characters!$A:$M,13,FALSE)</f>
        <v>human</v>
      </c>
      <c r="M200" s="16">
        <f>VLOOKUP(D200,gacha_303_base!A:B,2,FALSE)</f>
        <v>1908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hidden="1" customHeight="1">
      <c r="A201" s="7" t="str">
        <f t="shared" si="31"/>
        <v>3031152</v>
      </c>
      <c r="B201" s="2" t="str">
        <f t="shared" si="32"/>
        <v>3031</v>
      </c>
      <c r="C201" s="8" t="str">
        <f t="shared" si="30"/>
        <v>1PremiumW3</v>
      </c>
      <c r="D201" s="8" t="str">
        <f t="shared" si="33"/>
        <v>1PremiumW3green</v>
      </c>
      <c r="E201" s="10">
        <v>1</v>
      </c>
      <c r="F201" s="6">
        <v>152</v>
      </c>
      <c r="G201" s="8" t="str">
        <f>VLOOKUP(F201,[1]characters!$A:$C,3,FALSE)</f>
        <v>功夫少女ランラン</v>
      </c>
      <c r="H201" s="8" t="str">
        <f>VLOOKUP(F201,[1]characters!$A:$J,10,FALSE)</f>
        <v>PremiumW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VLOOKUP(D201,gacha_303_base!A:B,2,FALSE)</f>
        <v>13357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hidden="1" customHeight="1">
      <c r="A202" s="7" t="str">
        <f t="shared" si="31"/>
        <v>3031153</v>
      </c>
      <c r="B202" s="2" t="str">
        <f t="shared" si="32"/>
        <v>3031</v>
      </c>
      <c r="C202" s="8" t="str">
        <f t="shared" si="30"/>
        <v>1PremiumW4</v>
      </c>
      <c r="D202" s="8" t="str">
        <f t="shared" si="33"/>
        <v>1PremiumW4green</v>
      </c>
      <c r="E202" s="10">
        <v>1</v>
      </c>
      <c r="F202" s="6">
        <v>153</v>
      </c>
      <c r="G202" s="8" t="str">
        <f>VLOOKUP(F202,[1]characters!$A:$C,3,FALSE)</f>
        <v>拳聖ランラン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VLOOKUP(D202,gacha_303_base!A:B,2,FALSE)</f>
        <v>13357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hidden="1" customHeight="1">
      <c r="A203" s="7" t="str">
        <f t="shared" si="31"/>
        <v>3031154</v>
      </c>
      <c r="B203" s="2" t="str">
        <f t="shared" si="32"/>
        <v>3031</v>
      </c>
      <c r="C203" s="8" t="str">
        <f t="shared" si="30"/>
        <v>1PremiumW3</v>
      </c>
      <c r="D203" s="8" t="str">
        <f t="shared" si="33"/>
        <v>1PremiumW3</v>
      </c>
      <c r="E203" s="10">
        <v>1</v>
      </c>
      <c r="F203" s="6">
        <v>154</v>
      </c>
      <c r="G203" s="8" t="str">
        <f>VLOOKUP(F203,[1]characters!$A:$C,3,FALSE)</f>
        <v>始末屋 ハンナ</v>
      </c>
      <c r="H203" s="8" t="str">
        <f>VLOOKUP(F203,[1]characters!$A:$J,10,FALSE)</f>
        <v>PremiumW</v>
      </c>
      <c r="I203" s="8">
        <f>VLOOKUP(F203,[1]characters!$A:$I,9,FALSE)</f>
        <v>3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VLOOKUP(D203,gacha_303_base!A:B,2,FALSE)</f>
        <v>1908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hidden="1" customHeight="1">
      <c r="A204" s="7" t="str">
        <f t="shared" si="31"/>
        <v>3031155</v>
      </c>
      <c r="B204" s="2" t="str">
        <f t="shared" si="32"/>
        <v>3031</v>
      </c>
      <c r="C204" s="8" t="str">
        <f t="shared" si="30"/>
        <v>1PremiumW4</v>
      </c>
      <c r="D204" s="8" t="str">
        <f t="shared" si="33"/>
        <v>1PremiumW4</v>
      </c>
      <c r="E204" s="10">
        <v>1</v>
      </c>
      <c r="F204" s="6">
        <v>155</v>
      </c>
      <c r="G204" s="8" t="str">
        <f>VLOOKUP(F204,[1]characters!$A:$C,3,FALSE)</f>
        <v>隻眼の掃除屋 ハンナ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blue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VLOOKUP(D204,gacha_303_base!A:B,2,FALSE)</f>
        <v>1908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hidden="1" customHeight="1">
      <c r="A205" s="7" t="str">
        <f t="shared" si="31"/>
        <v>3031156</v>
      </c>
      <c r="B205" s="2" t="str">
        <f t="shared" si="32"/>
        <v>3031</v>
      </c>
      <c r="C205" s="8" t="str">
        <f t="shared" si="30"/>
        <v>1PremiumW3</v>
      </c>
      <c r="D205" s="8" t="str">
        <f t="shared" si="33"/>
        <v>1PremiumW3</v>
      </c>
      <c r="E205" s="10">
        <v>1</v>
      </c>
      <c r="F205" s="6">
        <v>156</v>
      </c>
      <c r="G205" s="8" t="str">
        <f>VLOOKUP(F205,[1]characters!$A:$C,3,FALSE)</f>
        <v>踊り子 エレナ</v>
      </c>
      <c r="H205" s="8" t="str">
        <f>VLOOKUP(F205,[1]characters!$A:$J,10,FALSE)</f>
        <v>PremiumW</v>
      </c>
      <c r="I205" s="8">
        <f>VLOOKUP(F205,[1]characters!$A:$I,9,FALSE)</f>
        <v>3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VLOOKUP(D205,gacha_303_base!A:B,2,FALSE)</f>
        <v>1908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hidden="1" customHeight="1">
      <c r="A206" s="7" t="str">
        <f t="shared" si="31"/>
        <v>3031157</v>
      </c>
      <c r="B206" s="2" t="str">
        <f t="shared" si="32"/>
        <v>3031</v>
      </c>
      <c r="C206" s="8" t="str">
        <f t="shared" si="30"/>
        <v>1PremiumW4</v>
      </c>
      <c r="D206" s="8" t="str">
        <f t="shared" si="33"/>
        <v>1PremiumW4</v>
      </c>
      <c r="E206" s="10">
        <v>1</v>
      </c>
      <c r="F206" s="6">
        <v>157</v>
      </c>
      <c r="G206" s="8" t="str">
        <f>VLOOKUP(F206,[1]characters!$A:$C,3,FALSE)</f>
        <v>雷光舞姫 エレナ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yellow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VLOOKUP(D206,gacha_303_base!A:B,2,FALSE)</f>
        <v>1908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hidden="1" customHeight="1">
      <c r="A207" s="7" t="str">
        <f t="shared" si="31"/>
        <v>3031158</v>
      </c>
      <c r="B207" s="2" t="str">
        <f t="shared" si="32"/>
        <v>3031</v>
      </c>
      <c r="C207" s="8" t="str">
        <f t="shared" si="30"/>
        <v>1PremiumW3</v>
      </c>
      <c r="D207" s="8" t="str">
        <f t="shared" si="33"/>
        <v>1PremiumW3</v>
      </c>
      <c r="E207" s="10">
        <v>1</v>
      </c>
      <c r="F207" s="6">
        <v>158</v>
      </c>
      <c r="G207" s="8" t="str">
        <f>VLOOKUP(F207,[1]characters!$A:$C,3,FALSE)</f>
        <v>シスター シャルロッテ</v>
      </c>
      <c r="H207" s="8" t="str">
        <f>VLOOKUP(F207,[1]characters!$A:$J,10,FALSE)</f>
        <v>PremiumW</v>
      </c>
      <c r="I207" s="8">
        <f>VLOOKUP(F207,[1]characters!$A:$I,9,FALSE)</f>
        <v>3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VLOOKUP(D207,gacha_303_base!A:B,2,FALSE)</f>
        <v>1908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hidden="1" customHeight="1">
      <c r="A208" s="7" t="str">
        <f t="shared" si="31"/>
        <v>3031159</v>
      </c>
      <c r="B208" s="2" t="str">
        <f t="shared" si="32"/>
        <v>3031</v>
      </c>
      <c r="C208" s="8" t="str">
        <f t="shared" si="30"/>
        <v>1PremiumW4</v>
      </c>
      <c r="D208" s="8" t="str">
        <f t="shared" si="33"/>
        <v>1PremiumW4</v>
      </c>
      <c r="E208" s="10">
        <v>1</v>
      </c>
      <c r="F208" s="6">
        <v>159</v>
      </c>
      <c r="G208" s="8" t="str">
        <f>VLOOKUP(F208,[1]characters!$A:$C,3,FALSE)</f>
        <v>邪を狩りし者 シャルロッテ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heal</v>
      </c>
      <c r="L208" s="8" t="str">
        <f>VLOOKUP(F208,[1]characters!$A:$M,13,FALSE)</f>
        <v>human</v>
      </c>
      <c r="M208" s="16">
        <f>VLOOKUP(D208,gacha_303_base!A:B,2,FALSE)</f>
        <v>1908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hidden="1" customHeight="1">
      <c r="A209" s="7" t="str">
        <f t="shared" si="31"/>
        <v>3031160</v>
      </c>
      <c r="B209" s="2" t="str">
        <f t="shared" si="32"/>
        <v>3031</v>
      </c>
      <c r="C209" s="8" t="str">
        <f t="shared" si="30"/>
        <v>1PremiumW3</v>
      </c>
      <c r="D209" s="8" t="str">
        <f t="shared" si="33"/>
        <v>1PremiumW3green</v>
      </c>
      <c r="E209" s="10">
        <v>1</v>
      </c>
      <c r="F209" s="6">
        <v>160</v>
      </c>
      <c r="G209" s="8" t="str">
        <f>VLOOKUP(F209,[1]characters!$A:$C,3,FALSE)</f>
        <v>反逆者 クリエ</v>
      </c>
      <c r="H209" s="8" t="str">
        <f>VLOOKUP(F209,[1]characters!$A:$J,10,FALSE)</f>
        <v>PremiumW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VLOOKUP(D209,gacha_303_base!A:B,2,FALSE)</f>
        <v>13357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hidden="1" customHeight="1">
      <c r="A210" s="7" t="str">
        <f t="shared" si="31"/>
        <v>3031161</v>
      </c>
      <c r="B210" s="2" t="str">
        <f t="shared" si="32"/>
        <v>3031</v>
      </c>
      <c r="C210" s="8" t="str">
        <f t="shared" si="30"/>
        <v>1PremiumW4</v>
      </c>
      <c r="D210" s="8" t="str">
        <f t="shared" si="33"/>
        <v>1PremiumW4green</v>
      </c>
      <c r="E210" s="10">
        <v>1</v>
      </c>
      <c r="F210" s="6">
        <v>161</v>
      </c>
      <c r="G210" s="8" t="str">
        <f>VLOOKUP(F210,[1]characters!$A:$C,3,FALSE)</f>
        <v>咆哮の先導者 クリエ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VLOOKUP(D210,gacha_303_base!A:B,2,FALSE)</f>
        <v>13357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31"/>
        <v>3031162</v>
      </c>
      <c r="B211" s="2" t="str">
        <f t="shared" si="32"/>
        <v>3031</v>
      </c>
      <c r="C211" s="8" t="str">
        <f t="shared" si="30"/>
        <v>1PremiumW3</v>
      </c>
      <c r="D211" s="8" t="str">
        <f t="shared" si="33"/>
        <v>1PremiumW3</v>
      </c>
      <c r="E211" s="10">
        <v>1</v>
      </c>
      <c r="F211" s="6">
        <v>162</v>
      </c>
      <c r="G211" s="8" t="str">
        <f>VLOOKUP(F211,[1]characters!$A:$C,3,FALSE)</f>
        <v>狂女 クララ</v>
      </c>
      <c r="H211" s="8" t="str">
        <f>VLOOKUP(F211,[1]characters!$A:$J,10,FALSE)</f>
        <v>PremiumW</v>
      </c>
      <c r="I211" s="8">
        <f>VLOOKUP(F211,[1]characters!$A:$I,9,FALSE)</f>
        <v>3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VLOOKUP(D211,gacha_303_base!A:B,2,FALSE)</f>
        <v>1908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hidden="1" customHeight="1">
      <c r="A212" s="7" t="str">
        <f t="shared" si="31"/>
        <v>3031163</v>
      </c>
      <c r="B212" s="2" t="str">
        <f t="shared" si="32"/>
        <v>3031</v>
      </c>
      <c r="C212" s="8" t="str">
        <f t="shared" si="30"/>
        <v>1PremiumW4</v>
      </c>
      <c r="D212" s="8" t="str">
        <f t="shared" si="33"/>
        <v>1PremiumW4</v>
      </c>
      <c r="E212" s="10">
        <v>1</v>
      </c>
      <c r="F212" s="6">
        <v>163</v>
      </c>
      <c r="G212" s="8" t="str">
        <f>VLOOKUP(F212,[1]characters!$A:$C,3,FALSE)</f>
        <v>冷酷な狂嬢 クララ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VLOOKUP(D212,gacha_303_base!A:B,2,FALSE)</f>
        <v>1908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31"/>
        <v>3031164</v>
      </c>
      <c r="B213" s="2" t="str">
        <f t="shared" si="32"/>
        <v>3031</v>
      </c>
      <c r="C213" s="8" t="str">
        <f t="shared" si="30"/>
        <v>1PremiumW3</v>
      </c>
      <c r="D213" s="8" t="str">
        <f t="shared" si="33"/>
        <v>1PremiumW3</v>
      </c>
      <c r="E213" s="10">
        <v>1</v>
      </c>
      <c r="F213" s="6">
        <v>164</v>
      </c>
      <c r="G213" s="8" t="str">
        <f>VLOOKUP(F213,[1]characters!$A:$C,3,FALSE)</f>
        <v>イブとトモダチ</v>
      </c>
      <c r="H213" s="8" t="str">
        <f>VLOOKUP(F213,[1]characters!$A:$J,10,FALSE)</f>
        <v>PremiumW</v>
      </c>
      <c r="I213" s="8">
        <f>VLOOKUP(F213,[1]characters!$A:$I,9,FALSE)</f>
        <v>3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VLOOKUP(D213,gacha_303_base!A:B,2,FALSE)</f>
        <v>1908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hidden="1" customHeight="1">
      <c r="A214" s="7" t="str">
        <f t="shared" si="31"/>
        <v>3031165</v>
      </c>
      <c r="B214" s="2" t="str">
        <f t="shared" si="32"/>
        <v>3031</v>
      </c>
      <c r="C214" s="8" t="str">
        <f t="shared" si="30"/>
        <v>1PremiumW4</v>
      </c>
      <c r="D214" s="8" t="str">
        <f t="shared" si="33"/>
        <v>1PremiumW4</v>
      </c>
      <c r="E214" s="10">
        <v>1</v>
      </c>
      <c r="F214" s="6">
        <v>165</v>
      </c>
      <c r="G214" s="8" t="str">
        <f>VLOOKUP(F214,[1]characters!$A:$C,3,FALSE)</f>
        <v>イブとたったひとりのトモダチ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yellow</v>
      </c>
      <c r="K214" s="8" t="str">
        <f>VLOOKUP(F214,[1]characters!$A:$K,11,FALSE)</f>
        <v>technical</v>
      </c>
      <c r="L214" s="8" t="str">
        <f>VLOOKUP(F214,[1]characters!$A:$M,13,FALSE)</f>
        <v>human</v>
      </c>
      <c r="M214" s="16">
        <f>VLOOKUP(D214,gacha_303_base!A:B,2,FALSE)</f>
        <v>1908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31"/>
        <v>3031166</v>
      </c>
      <c r="B215" s="2" t="str">
        <f t="shared" si="32"/>
        <v>3031</v>
      </c>
      <c r="C215" s="8" t="str">
        <f t="shared" si="30"/>
        <v>1PremiumN3</v>
      </c>
      <c r="D215" s="8" t="str">
        <f t="shared" si="33"/>
        <v>1PremiumN3</v>
      </c>
      <c r="E215" s="10">
        <v>1</v>
      </c>
      <c r="F215" s="6">
        <v>166</v>
      </c>
      <c r="G215" s="8" t="str">
        <f>VLOOKUP(F215,[1]characters!$A:$C,3,FALSE)</f>
        <v>ベリアル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VLOOKUP(D215,gacha_303_base!A:B,2,FALSE)</f>
        <v>2862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31"/>
        <v>3031167</v>
      </c>
      <c r="B216" s="2" t="str">
        <f t="shared" si="32"/>
        <v>3031</v>
      </c>
      <c r="C216" s="8" t="str">
        <f t="shared" si="30"/>
        <v>1PremiumN4</v>
      </c>
      <c r="D216" s="8" t="str">
        <f t="shared" si="33"/>
        <v>1PremiumN4</v>
      </c>
      <c r="E216" s="10">
        <v>1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VLOOKUP(D216,gacha_303_base!A:B,2,FALSE)</f>
        <v>2536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31"/>
        <v>3031168</v>
      </c>
      <c r="B217" s="2" t="str">
        <f t="shared" si="32"/>
        <v>3031</v>
      </c>
      <c r="C217" s="8" t="str">
        <f t="shared" si="30"/>
        <v>1PremiumN5</v>
      </c>
      <c r="D217" s="8" t="str">
        <f t="shared" si="33"/>
        <v>1PremiumN5</v>
      </c>
      <c r="E217" s="10">
        <v>1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VLOOKUP(D217,gacha_303_base!A:B,2,FALSE)</f>
        <v>326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31"/>
        <v>3031169</v>
      </c>
      <c r="B218" s="2" t="str">
        <f t="shared" si="32"/>
        <v>3031</v>
      </c>
      <c r="C218" s="8" t="str">
        <f t="shared" si="30"/>
        <v>1PremiumN3</v>
      </c>
      <c r="D218" s="8" t="str">
        <f t="shared" si="33"/>
        <v>1PremiumN3green</v>
      </c>
      <c r="E218" s="10">
        <v>1</v>
      </c>
      <c r="F218" s="6">
        <v>169</v>
      </c>
      <c r="G218" s="8" t="str">
        <f>VLOOKUP(F218,[1]characters!$A:$C,3,FALSE)</f>
        <v>オセ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VLOOKUP(D218,gacha_303_base!A:B,2,FALSE)</f>
        <v>20036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31"/>
        <v>3031170</v>
      </c>
      <c r="B219" s="2" t="str">
        <f t="shared" si="32"/>
        <v>3031</v>
      </c>
      <c r="C219" s="8" t="str">
        <f t="shared" si="30"/>
        <v>1PremiumN4</v>
      </c>
      <c r="D219" s="8" t="str">
        <f t="shared" si="33"/>
        <v>1PremiumN4green</v>
      </c>
      <c r="E219" s="10">
        <v>1</v>
      </c>
      <c r="F219" s="6">
        <v>170</v>
      </c>
      <c r="G219" s="8" t="str">
        <f>VLOOKUP(F219,[1]characters!$A:$C,3,FALSE)</f>
        <v>識徒 オセ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VLOOKUP(D219,gacha_303_base!A:B,2,FALSE)</f>
        <v>17752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31"/>
        <v>3031171</v>
      </c>
      <c r="B220" s="2" t="str">
        <f t="shared" si="32"/>
        <v>3031</v>
      </c>
      <c r="C220" s="8" t="str">
        <f t="shared" si="30"/>
        <v>1PremiumN5</v>
      </c>
      <c r="D220" s="8" t="str">
        <f t="shared" si="33"/>
        <v>1PremiumN5green</v>
      </c>
      <c r="E220" s="10">
        <v>1</v>
      </c>
      <c r="F220" s="6">
        <v>171</v>
      </c>
      <c r="G220" s="8" t="str">
        <f>VLOOKUP(F220,[1]characters!$A:$C,3,FALSE)</f>
        <v>精解の預知者 オセ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green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VLOOKUP(D220,gacha_303_base!A:B,2,FALSE)</f>
        <v>2284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31"/>
        <v>3031172</v>
      </c>
      <c r="B221" s="2" t="str">
        <f t="shared" si="32"/>
        <v>3031</v>
      </c>
      <c r="C221" s="8" t="str">
        <f t="shared" si="30"/>
        <v>1PremiumN3</v>
      </c>
      <c r="D221" s="8" t="str">
        <f t="shared" si="33"/>
        <v>1PremiumN3</v>
      </c>
      <c r="E221" s="10">
        <v>1</v>
      </c>
      <c r="F221" s="6">
        <v>172</v>
      </c>
      <c r="G221" s="8" t="str">
        <f>VLOOKUP(F221,[1]characters!$A:$C,3,FALSE)</f>
        <v>フォルネウス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VLOOKUP(D221,gacha_303_base!A:B,2,FALSE)</f>
        <v>2862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31"/>
        <v>3031173</v>
      </c>
      <c r="B222" s="2" t="str">
        <f t="shared" si="32"/>
        <v>3031</v>
      </c>
      <c r="C222" s="8" t="str">
        <f t="shared" si="30"/>
        <v>1PremiumN4</v>
      </c>
      <c r="D222" s="8" t="str">
        <f t="shared" si="33"/>
        <v>1PremiumN4</v>
      </c>
      <c r="E222" s="10">
        <v>1</v>
      </c>
      <c r="F222" s="6">
        <v>173</v>
      </c>
      <c r="G222" s="8" t="str">
        <f>VLOOKUP(F222,[1]characters!$A:$C,3,FALSE)</f>
        <v>公爵 フォルネウス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VLOOKUP(D222,gacha_303_base!A:B,2,FALSE)</f>
        <v>2536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31"/>
        <v>3031174</v>
      </c>
      <c r="B223" s="2" t="str">
        <f t="shared" si="32"/>
        <v>3031</v>
      </c>
      <c r="C223" s="8" t="str">
        <f t="shared" si="30"/>
        <v>1PremiumN5</v>
      </c>
      <c r="D223" s="8" t="str">
        <f t="shared" si="33"/>
        <v>1PremiumN5</v>
      </c>
      <c r="E223" s="10">
        <v>1</v>
      </c>
      <c r="F223" s="6">
        <v>174</v>
      </c>
      <c r="G223" s="8" t="str">
        <f>VLOOKUP(F223,[1]characters!$A:$C,3,FALSE)</f>
        <v>偽愛の大公爵 フォルネウス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blue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VLOOKUP(D223,gacha_303_base!A:B,2,FALSE)</f>
        <v>326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31"/>
        <v>3031175</v>
      </c>
      <c r="B224" s="2" t="str">
        <f t="shared" si="32"/>
        <v>3031</v>
      </c>
      <c r="C224" s="8" t="str">
        <f t="shared" si="30"/>
        <v>1PremiumN3</v>
      </c>
      <c r="D224" s="8" t="str">
        <f t="shared" si="33"/>
        <v>1PremiumN3</v>
      </c>
      <c r="E224" s="10">
        <v>1</v>
      </c>
      <c r="F224" s="6">
        <v>175</v>
      </c>
      <c r="G224" s="8" t="str">
        <f>VLOOKUP(F224,[1]characters!$A:$C,3,FALSE)</f>
        <v>バフォメット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VLOOKUP(D224,gacha_303_base!A:B,2,FALSE)</f>
        <v>2862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31"/>
        <v>3031176</v>
      </c>
      <c r="B225" s="2" t="str">
        <f t="shared" si="32"/>
        <v>3031</v>
      </c>
      <c r="C225" s="8" t="str">
        <f t="shared" si="30"/>
        <v>1PremiumN4</v>
      </c>
      <c r="D225" s="8" t="str">
        <f t="shared" si="33"/>
        <v>1PremiumN4</v>
      </c>
      <c r="E225" s="10">
        <v>1</v>
      </c>
      <c r="F225" s="6">
        <v>176</v>
      </c>
      <c r="G225" s="8" t="str">
        <f>VLOOKUP(F225,[1]characters!$A:$C,3,FALSE)</f>
        <v>異教徒 バフォメット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VLOOKUP(D225,gacha_303_base!A:B,2,FALSE)</f>
        <v>2536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hidden="1" customHeight="1">
      <c r="A226" s="7" t="str">
        <f t="shared" si="31"/>
        <v>3031177</v>
      </c>
      <c r="B226" s="2" t="str">
        <f t="shared" si="32"/>
        <v>3031</v>
      </c>
      <c r="C226" s="8" t="str">
        <f t="shared" si="30"/>
        <v>1PremiumN5</v>
      </c>
      <c r="D226" s="8" t="str">
        <f t="shared" si="33"/>
        <v>1PremiumN5</v>
      </c>
      <c r="E226" s="10">
        <v>1</v>
      </c>
      <c r="F226" s="6">
        <v>177</v>
      </c>
      <c r="G226" s="8" t="str">
        <f>VLOOKUP(F226,[1]characters!$A:$C,3,FALSE)</f>
        <v>黒魔の異端師 バフォメット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yellow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VLOOKUP(D226,gacha_303_base!A:B,2,FALSE)</f>
        <v>326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31"/>
        <v>3031178</v>
      </c>
      <c r="B227" s="2" t="str">
        <f t="shared" si="32"/>
        <v>3031</v>
      </c>
      <c r="C227" s="8" t="str">
        <f t="shared" si="30"/>
        <v>1PremiumN3</v>
      </c>
      <c r="D227" s="8" t="str">
        <f t="shared" si="33"/>
        <v>1PremiumN3</v>
      </c>
      <c r="E227" s="10">
        <v>1</v>
      </c>
      <c r="F227" s="6">
        <v>178</v>
      </c>
      <c r="G227" s="8" t="str">
        <f>VLOOKUP(F227,[1]characters!$A:$C,3,FALSE)</f>
        <v>ケルベロス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VLOOKUP(D227,gacha_303_base!A:B,2,FALSE)</f>
        <v>2862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31"/>
        <v>3031179</v>
      </c>
      <c r="B228" s="2" t="str">
        <f t="shared" si="32"/>
        <v>3031</v>
      </c>
      <c r="C228" s="8" t="str">
        <f t="shared" si="30"/>
        <v>1PremiumN4</v>
      </c>
      <c r="D228" s="8" t="str">
        <f t="shared" si="33"/>
        <v>1PremiumN4</v>
      </c>
      <c r="E228" s="10">
        <v>1</v>
      </c>
      <c r="F228" s="6">
        <v>179</v>
      </c>
      <c r="G228" s="8" t="str">
        <f>VLOOKUP(F228,[1]characters!$A:$C,3,FALSE)</f>
        <v>番犬 ケルベロス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VLOOKUP(D228,gacha_303_base!A:B,2,FALSE)</f>
        <v>2536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31"/>
        <v>3031180</v>
      </c>
      <c r="B229" s="2" t="str">
        <f t="shared" si="32"/>
        <v>3031</v>
      </c>
      <c r="C229" s="8" t="str">
        <f t="shared" si="30"/>
        <v>1PremiumN5</v>
      </c>
      <c r="D229" s="8" t="str">
        <f t="shared" si="33"/>
        <v>1PremiumN5</v>
      </c>
      <c r="E229" s="10">
        <v>1</v>
      </c>
      <c r="F229" s="6">
        <v>180</v>
      </c>
      <c r="G229" s="8" t="str">
        <f>VLOOKUP(F229,[1]characters!$A:$C,3,FALSE)</f>
        <v>地獄の大門番 ケルベロス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red</v>
      </c>
      <c r="K229" s="8" t="str">
        <f>VLOOKUP(F229,[1]characters!$A:$K,11,FALSE)</f>
        <v>balance</v>
      </c>
      <c r="L229" s="8" t="str">
        <f>VLOOKUP(F229,[1]characters!$A:$M,13,FALSE)</f>
        <v>animal</v>
      </c>
      <c r="M229" s="16">
        <f>VLOOKUP(D229,gacha_303_base!A:B,2,FALSE)</f>
        <v>326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31"/>
        <v>3031181</v>
      </c>
      <c r="B230" s="2" t="str">
        <f t="shared" si="32"/>
        <v>3031</v>
      </c>
      <c r="C230" s="8" t="str">
        <f t="shared" si="30"/>
        <v>1PremiumN3</v>
      </c>
      <c r="D230" s="8" t="str">
        <f t="shared" si="33"/>
        <v>1PremiumN3green</v>
      </c>
      <c r="E230" s="10">
        <v>1</v>
      </c>
      <c r="F230" s="6">
        <v>181</v>
      </c>
      <c r="G230" s="8" t="str">
        <f>VLOOKUP(F230,[1]characters!$A:$C,3,FALSE)</f>
        <v>ベヒモス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VLOOKUP(D230,gacha_303_base!A:B,2,FALSE)</f>
        <v>20036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31"/>
        <v>3031182</v>
      </c>
      <c r="B231" s="2" t="str">
        <f t="shared" si="32"/>
        <v>3031</v>
      </c>
      <c r="C231" s="8" t="str">
        <f t="shared" si="30"/>
        <v>1PremiumN4</v>
      </c>
      <c r="D231" s="8" t="str">
        <f t="shared" si="33"/>
        <v>1PremiumN4green</v>
      </c>
      <c r="E231" s="10">
        <v>1</v>
      </c>
      <c r="F231" s="6">
        <v>182</v>
      </c>
      <c r="G231" s="8" t="str">
        <f>VLOOKUP(F231,[1]characters!$A:$C,3,FALSE)</f>
        <v>放蕩者 ベヒモス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VLOOKUP(D231,gacha_303_base!A:B,2,FALSE)</f>
        <v>17752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31"/>
        <v>3031183</v>
      </c>
      <c r="B232" s="2" t="str">
        <f t="shared" si="32"/>
        <v>3031</v>
      </c>
      <c r="C232" s="8" t="str">
        <f t="shared" si="30"/>
        <v>1PremiumN5</v>
      </c>
      <c r="D232" s="8" t="str">
        <f t="shared" si="33"/>
        <v>1PremiumN5green</v>
      </c>
      <c r="E232" s="10">
        <v>1</v>
      </c>
      <c r="F232" s="6">
        <v>183</v>
      </c>
      <c r="G232" s="8" t="str">
        <f>VLOOKUP(F232,[1]characters!$A:$C,3,FALSE)</f>
        <v>鈍重な彷徨者 ベヒモス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green</v>
      </c>
      <c r="K232" s="8" t="str">
        <f>VLOOKUP(F232,[1]characters!$A:$K,11,FALSE)</f>
        <v>hp</v>
      </c>
      <c r="L232" s="8" t="str">
        <f>VLOOKUP(F232,[1]characters!$A:$M,13,FALSE)</f>
        <v>animal</v>
      </c>
      <c r="M232" s="16">
        <f>VLOOKUP(D232,gacha_303_base!A:B,2,FALSE)</f>
        <v>2284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31"/>
        <v>3031184</v>
      </c>
      <c r="B233" s="2" t="str">
        <f t="shared" si="32"/>
        <v>3031</v>
      </c>
      <c r="C233" s="8" t="str">
        <f t="shared" si="30"/>
        <v>1PremiumN3</v>
      </c>
      <c r="D233" s="8" t="str">
        <f t="shared" si="33"/>
        <v>1PremiumN3</v>
      </c>
      <c r="E233" s="10">
        <v>1</v>
      </c>
      <c r="F233" s="6">
        <v>184</v>
      </c>
      <c r="G233" s="8" t="str">
        <f>VLOOKUP(F233,[1]characters!$A:$C,3,FALSE)</f>
        <v>クラーケン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VLOOKUP(D233,gacha_303_base!A:B,2,FALSE)</f>
        <v>2862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hidden="1" customHeight="1">
      <c r="A234" s="7" t="str">
        <f t="shared" si="31"/>
        <v>3031185</v>
      </c>
      <c r="B234" s="2" t="str">
        <f t="shared" si="32"/>
        <v>3031</v>
      </c>
      <c r="C234" s="8" t="str">
        <f t="shared" si="30"/>
        <v>1PremiumN4</v>
      </c>
      <c r="D234" s="8" t="str">
        <f t="shared" si="33"/>
        <v>1PremiumN4</v>
      </c>
      <c r="E234" s="10">
        <v>1</v>
      </c>
      <c r="F234" s="6">
        <v>185</v>
      </c>
      <c r="G234" s="8" t="str">
        <f>VLOOKUP(F234,[1]characters!$A:$C,3,FALSE)</f>
        <v>海姫 クラーケン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VLOOKUP(D234,gacha_303_base!A:B,2,FALSE)</f>
        <v>2536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31"/>
        <v>3031186</v>
      </c>
      <c r="B235" s="2" t="str">
        <f t="shared" si="32"/>
        <v>3031</v>
      </c>
      <c r="C235" s="8" t="str">
        <f t="shared" si="30"/>
        <v>1PremiumN5</v>
      </c>
      <c r="D235" s="8" t="str">
        <f t="shared" si="33"/>
        <v>1PremiumN5</v>
      </c>
      <c r="E235" s="10">
        <v>1</v>
      </c>
      <c r="F235" s="9">
        <v>186</v>
      </c>
      <c r="G235" s="8" t="str">
        <f>VLOOKUP(F235,[1]characters!$A:$C,3,FALSE)</f>
        <v>誇り高き多触姫・クラーケン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blue</v>
      </c>
      <c r="K235" s="8" t="str">
        <f>VLOOKUP(F235,[1]characters!$A:$K,11,FALSE)</f>
        <v>heal</v>
      </c>
      <c r="L235" s="8" t="str">
        <f>VLOOKUP(F235,[1]characters!$A:$M,13,FALSE)</f>
        <v>animal</v>
      </c>
      <c r="M235" s="16">
        <f>VLOOKUP(D235,gacha_303_base!A:B,2,FALSE)</f>
        <v>326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31"/>
        <v>3031187</v>
      </c>
      <c r="B236" s="2" t="str">
        <f t="shared" si="32"/>
        <v>3031</v>
      </c>
      <c r="C236" s="8" t="str">
        <f t="shared" si="30"/>
        <v>1PremiumN3</v>
      </c>
      <c r="D236" s="8" t="str">
        <f t="shared" si="33"/>
        <v>1PremiumN3</v>
      </c>
      <c r="E236" s="10">
        <v>1</v>
      </c>
      <c r="F236" s="9">
        <v>187</v>
      </c>
      <c r="G236" s="8" t="str">
        <f>VLOOKUP(F236,[1]characters!$A:$C,3,FALSE)</f>
        <v>ホルス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VLOOKUP(D236,gacha_303_base!A:B,2,FALSE)</f>
        <v>2862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31"/>
        <v>3031188</v>
      </c>
      <c r="B237" s="2" t="str">
        <f t="shared" si="32"/>
        <v>3031</v>
      </c>
      <c r="C237" s="8" t="str">
        <f t="shared" si="30"/>
        <v>1PremiumN4</v>
      </c>
      <c r="D237" s="8" t="str">
        <f t="shared" si="33"/>
        <v>1PremiumN4</v>
      </c>
      <c r="E237" s="10">
        <v>1</v>
      </c>
      <c r="F237" s="9">
        <v>188</v>
      </c>
      <c r="G237" s="8" t="str">
        <f>VLOOKUP(F237,[1]characters!$A:$C,3,FALSE)</f>
        <v>猛禽 ホルス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VLOOKUP(D237,gacha_303_base!A:B,2,FALSE)</f>
        <v>2536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hidden="1" customHeight="1">
      <c r="A238" s="7" t="str">
        <f t="shared" si="31"/>
        <v>3031189</v>
      </c>
      <c r="B238" s="2" t="str">
        <f t="shared" si="32"/>
        <v>3031</v>
      </c>
      <c r="C238" s="8" t="str">
        <f t="shared" si="30"/>
        <v>1PremiumN5</v>
      </c>
      <c r="D238" s="8" t="str">
        <f t="shared" si="33"/>
        <v>1PremiumN5</v>
      </c>
      <c r="E238" s="10">
        <v>1</v>
      </c>
      <c r="F238" s="9">
        <v>189</v>
      </c>
      <c r="G238" s="8" t="str">
        <f>VLOOKUP(F238,[1]characters!$A:$C,3,FALSE)</f>
        <v>迅雷の王禽 ホルス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VLOOKUP(D238,gacha_303_base!A:B,2,FALSE)</f>
        <v>326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s="11" customFormat="1" ht="21" hidden="1" customHeight="1" thickBot="1">
      <c r="A239" s="7" t="str">
        <f t="shared" si="31"/>
        <v>3031190</v>
      </c>
      <c r="B239" s="2" t="str">
        <f t="shared" si="32"/>
        <v>3031</v>
      </c>
      <c r="C239" s="8" t="str">
        <f t="shared" ref="C239:C302" si="34">E239&amp;H239&amp;I239</f>
        <v>1PremiumN3</v>
      </c>
      <c r="D239" s="8" t="str">
        <f t="shared" si="33"/>
        <v>1PremiumN3</v>
      </c>
      <c r="E239" s="10">
        <v>1</v>
      </c>
      <c r="F239" s="6">
        <v>190</v>
      </c>
      <c r="G239" s="8" t="str">
        <f>VLOOKUP(F239,[1]characters!$A:$C,3,FALSE)</f>
        <v>卑弥呼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VLOOKUP(D239,gacha_303_base!A:B,2,FALSE)</f>
        <v>2862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hidden="1" customHeight="1">
      <c r="A240" s="7" t="str">
        <f t="shared" ref="A240:A303" si="35">B240&amp;F240</f>
        <v>3031191</v>
      </c>
      <c r="B240" s="2" t="str">
        <f t="shared" ref="B240:B303" si="36">303&amp;E240</f>
        <v>3031</v>
      </c>
      <c r="C240" s="8" t="str">
        <f t="shared" si="34"/>
        <v>1PremiumN4</v>
      </c>
      <c r="D240" s="8" t="str">
        <f t="shared" si="33"/>
        <v>1PremiumN4</v>
      </c>
      <c r="E240" s="10">
        <v>1</v>
      </c>
      <c r="F240" s="6">
        <v>191</v>
      </c>
      <c r="G240" s="8" t="str">
        <f>VLOOKUP(F240,[1]characters!$A:$C,3,FALSE)</f>
        <v>始祖 卑弥呼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VLOOKUP(D240,gacha_303_base!A:B,2,FALSE)</f>
        <v>2536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35"/>
        <v>3031192</v>
      </c>
      <c r="B241" s="2" t="str">
        <f t="shared" si="36"/>
        <v>3031</v>
      </c>
      <c r="C241" s="8" t="str">
        <f t="shared" si="34"/>
        <v>1PremiumN5</v>
      </c>
      <c r="D241" s="8" t="str">
        <f t="shared" si="33"/>
        <v>1PremiumN5</v>
      </c>
      <c r="E241" s="10">
        <v>1</v>
      </c>
      <c r="F241" s="6">
        <v>192</v>
      </c>
      <c r="G241" s="8" t="str">
        <f>VLOOKUP(F241,[1]characters!$A:$C,3,FALSE)</f>
        <v>荘厳なる始祖帝 卑弥呼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VLOOKUP(D241,gacha_303_base!A:B,2,FALSE)</f>
        <v>326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35"/>
        <v>3031193</v>
      </c>
      <c r="B242" s="2" t="str">
        <f t="shared" si="36"/>
        <v>3031</v>
      </c>
      <c r="C242" s="8" t="str">
        <f t="shared" si="34"/>
        <v>1PremiumN3</v>
      </c>
      <c r="D242" s="8" t="str">
        <f t="shared" si="33"/>
        <v>1PremiumN3green</v>
      </c>
      <c r="E242" s="10">
        <v>1</v>
      </c>
      <c r="F242" s="6">
        <v>193</v>
      </c>
      <c r="G242" s="8" t="str">
        <f>VLOOKUP(F242,[1]characters!$A:$C,3,FALSE)</f>
        <v>ロビンフッド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VLOOKUP(D242,gacha_303_base!A:B,2,FALSE)</f>
        <v>20036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35"/>
        <v>3031194</v>
      </c>
      <c r="B243" s="2" t="str">
        <f t="shared" si="36"/>
        <v>3031</v>
      </c>
      <c r="C243" s="8" t="str">
        <f t="shared" si="34"/>
        <v>1PremiumN4</v>
      </c>
      <c r="D243" s="8" t="str">
        <f t="shared" si="33"/>
        <v>1PremiumN4green</v>
      </c>
      <c r="E243" s="10">
        <v>1</v>
      </c>
      <c r="F243" s="12">
        <v>194</v>
      </c>
      <c r="G243" s="8" t="str">
        <f>VLOOKUP(F243,[1]characters!$A:$C,3,FALSE)</f>
        <v>スナイパー ロビンフッド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VLOOKUP(D243,gacha_303_base!A:B,2,FALSE)</f>
        <v>17752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35"/>
        <v>3031195</v>
      </c>
      <c r="B244" s="2" t="str">
        <f t="shared" si="36"/>
        <v>3031</v>
      </c>
      <c r="C244" s="8" t="str">
        <f t="shared" si="34"/>
        <v>1PremiumN5</v>
      </c>
      <c r="D244" s="8" t="str">
        <f t="shared" si="33"/>
        <v>1PremiumN5green</v>
      </c>
      <c r="E244" s="10">
        <v>1</v>
      </c>
      <c r="F244" s="6">
        <v>195</v>
      </c>
      <c r="G244" s="8" t="str">
        <f>VLOOKUP(F244,[1]characters!$A:$C,3,FALSE)</f>
        <v>グランドハンター ロビンフッド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VLOOKUP(D244,gacha_303_base!A:B,2,FALSE)</f>
        <v>2284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35"/>
        <v>3031196</v>
      </c>
      <c r="B245" s="2" t="str">
        <f t="shared" si="36"/>
        <v>3031</v>
      </c>
      <c r="C245" s="8" t="str">
        <f t="shared" si="34"/>
        <v>1PremiumN3</v>
      </c>
      <c r="D245" s="8" t="str">
        <f t="shared" si="33"/>
        <v>1PremiumN3</v>
      </c>
      <c r="E245" s="10">
        <v>1</v>
      </c>
      <c r="F245" s="12">
        <v>196</v>
      </c>
      <c r="G245" s="8" t="str">
        <f>VLOOKUP(F245,[1]characters!$A:$C,3,FALSE)</f>
        <v>アキレス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VLOOKUP(D245,gacha_303_base!A:B,2,FALSE)</f>
        <v>2862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35"/>
        <v>3031197</v>
      </c>
      <c r="B246" s="2" t="str">
        <f t="shared" si="36"/>
        <v>3031</v>
      </c>
      <c r="C246" s="8" t="str">
        <f t="shared" si="34"/>
        <v>1PremiumN4</v>
      </c>
      <c r="D246" s="8" t="str">
        <f t="shared" si="33"/>
        <v>1PremiumN4</v>
      </c>
      <c r="E246" s="10">
        <v>1</v>
      </c>
      <c r="F246" s="13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VLOOKUP(D246,gacha_303_base!A:B,2,FALSE)</f>
        <v>2536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35"/>
        <v>3031198</v>
      </c>
      <c r="B247" s="2" t="str">
        <f t="shared" si="36"/>
        <v>3031</v>
      </c>
      <c r="C247" s="8" t="str">
        <f t="shared" si="34"/>
        <v>1PremiumN5</v>
      </c>
      <c r="D247" s="8" t="str">
        <f t="shared" si="33"/>
        <v>1PremiumN5</v>
      </c>
      <c r="E247" s="10">
        <v>1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VLOOKUP(D247,gacha_303_base!A:B,2,FALSE)</f>
        <v>326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35"/>
        <v>3031199</v>
      </c>
      <c r="B248" s="2" t="str">
        <f t="shared" si="36"/>
        <v>3031</v>
      </c>
      <c r="C248" s="8" t="str">
        <f t="shared" si="34"/>
        <v>1PremiumN3</v>
      </c>
      <c r="D248" s="8" t="str">
        <f t="shared" si="33"/>
        <v>1PremiumN3</v>
      </c>
      <c r="E248" s="10">
        <v>1</v>
      </c>
      <c r="F248" s="6">
        <v>199</v>
      </c>
      <c r="G248" s="8" t="str">
        <f>VLOOKUP(F248,[1]characters!$A:$C,3,FALSE)</f>
        <v>ジークフリート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VLOOKUP(D248,gacha_303_base!A:B,2,FALSE)</f>
        <v>2862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35"/>
        <v>3031200</v>
      </c>
      <c r="B249" s="2" t="str">
        <f t="shared" si="36"/>
        <v>3031</v>
      </c>
      <c r="C249" s="8" t="str">
        <f t="shared" si="34"/>
        <v>1PremiumN4</v>
      </c>
      <c r="D249" s="8" t="str">
        <f t="shared" si="33"/>
        <v>1PremiumN4</v>
      </c>
      <c r="E249" s="10">
        <v>1</v>
      </c>
      <c r="F249" s="6">
        <v>200</v>
      </c>
      <c r="G249" s="8" t="str">
        <f>VLOOKUP(F249,[1]characters!$A:$C,3,FALSE)</f>
        <v>大剣士 ジークフリート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VLOOKUP(D249,gacha_303_base!A:B,2,FALSE)</f>
        <v>2536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35"/>
        <v>3031201</v>
      </c>
      <c r="B250" s="2" t="str">
        <f t="shared" si="36"/>
        <v>3031</v>
      </c>
      <c r="C250" s="8" t="str">
        <f t="shared" si="34"/>
        <v>1PremiumN5</v>
      </c>
      <c r="D250" s="8" t="str">
        <f t="shared" si="33"/>
        <v>1PremiumN5</v>
      </c>
      <c r="E250" s="10">
        <v>1</v>
      </c>
      <c r="F250" s="5">
        <v>201</v>
      </c>
      <c r="G250" s="8" t="str">
        <f>VLOOKUP(F250,[1]characters!$A:$C,3,FALSE)</f>
        <v>斬空の大破剣 ジークフリート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VLOOKUP(D250,gacha_303_base!A:B,2,FALSE)</f>
        <v>326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35"/>
        <v>3031202</v>
      </c>
      <c r="B251" s="2" t="str">
        <f t="shared" si="36"/>
        <v>3031</v>
      </c>
      <c r="C251" s="8" t="str">
        <f t="shared" si="34"/>
        <v>1PremiumN3</v>
      </c>
      <c r="D251" s="8" t="str">
        <f t="shared" si="33"/>
        <v>1PremiumN3</v>
      </c>
      <c r="E251" s="10">
        <v>1</v>
      </c>
      <c r="F251" s="5">
        <v>202</v>
      </c>
      <c r="G251" s="8" t="str">
        <f>VLOOKUP(F251,[1]characters!$A:$C,3,FALSE)</f>
        <v>プロメテウス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VLOOKUP(D251,gacha_303_base!A:B,2,FALSE)</f>
        <v>2862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35"/>
        <v>3031203</v>
      </c>
      <c r="B252" s="2" t="str">
        <f t="shared" si="36"/>
        <v>3031</v>
      </c>
      <c r="C252" s="8" t="str">
        <f t="shared" si="34"/>
        <v>1PremiumN4</v>
      </c>
      <c r="D252" s="8" t="str">
        <f t="shared" si="33"/>
        <v>1PremiumN4</v>
      </c>
      <c r="E252" s="10">
        <v>1</v>
      </c>
      <c r="F252" s="5">
        <v>203</v>
      </c>
      <c r="G252" s="8" t="str">
        <f>VLOOKUP(F252,[1]characters!$A:$C,3,FALSE)</f>
        <v>焔神 プロメテウス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VLOOKUP(D252,gacha_303_base!A:B,2,FALSE)</f>
        <v>2536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35"/>
        <v>3031204</v>
      </c>
      <c r="B253" s="2" t="str">
        <f t="shared" si="36"/>
        <v>3031</v>
      </c>
      <c r="C253" s="8" t="str">
        <f t="shared" si="34"/>
        <v>1PremiumN5</v>
      </c>
      <c r="D253" s="8" t="str">
        <f t="shared" si="33"/>
        <v>1PremiumN5</v>
      </c>
      <c r="E253" s="10">
        <v>1</v>
      </c>
      <c r="F253" s="5">
        <v>204</v>
      </c>
      <c r="G253" s="8" t="str">
        <f>VLOOKUP(F253,[1]characters!$A:$C,3,FALSE)</f>
        <v>慟哭の巨焔 プロメテウス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red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VLOOKUP(D253,gacha_303_base!A:B,2,FALSE)</f>
        <v>326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35"/>
        <v>3031205</v>
      </c>
      <c r="B254" s="2" t="str">
        <f t="shared" si="36"/>
        <v>3031</v>
      </c>
      <c r="C254" s="8" t="str">
        <f t="shared" si="34"/>
        <v>1PremiumN3</v>
      </c>
      <c r="D254" s="8" t="str">
        <f t="shared" si="33"/>
        <v>1PremiumN3green</v>
      </c>
      <c r="E254" s="10">
        <v>1</v>
      </c>
      <c r="F254" s="5">
        <v>205</v>
      </c>
      <c r="G254" s="8" t="str">
        <f>VLOOKUP(F254,[1]characters!$A:$C,3,FALSE)</f>
        <v>アフロディーテ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VLOOKUP(D254,gacha_303_base!A:B,2,FALSE)</f>
        <v>20036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35"/>
        <v>3031206</v>
      </c>
      <c r="B255" s="2" t="str">
        <f t="shared" si="36"/>
        <v>3031</v>
      </c>
      <c r="C255" s="8" t="str">
        <f t="shared" si="34"/>
        <v>1PremiumN4</v>
      </c>
      <c r="D255" s="8" t="str">
        <f t="shared" ref="D255:D318" si="37">E255&amp;H255&amp;I255&amp;IF(J255="green","green","")</f>
        <v>1PremiumN4green</v>
      </c>
      <c r="E255" s="10">
        <v>1</v>
      </c>
      <c r="F255" s="5">
        <v>206</v>
      </c>
      <c r="G255" s="8" t="str">
        <f>VLOOKUP(F255,[1]characters!$A:$C,3,FALSE)</f>
        <v>美神 アフロディーテ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VLOOKUP(D255,gacha_303_base!A:B,2,FALSE)</f>
        <v>17752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35"/>
        <v>3031207</v>
      </c>
      <c r="B256" s="2" t="str">
        <f t="shared" si="36"/>
        <v>3031</v>
      </c>
      <c r="C256" s="8" t="str">
        <f t="shared" si="34"/>
        <v>1PremiumN5</v>
      </c>
      <c r="D256" s="8" t="str">
        <f t="shared" si="37"/>
        <v>1PremiumN5green</v>
      </c>
      <c r="E256" s="10">
        <v>1</v>
      </c>
      <c r="F256" s="5">
        <v>207</v>
      </c>
      <c r="G256" s="8" t="str">
        <f>VLOOKUP(F256,[1]characters!$A:$C,3,FALSE)</f>
        <v>豊穣の麗神・アフロディーテ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green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VLOOKUP(D256,gacha_303_base!A:B,2,FALSE)</f>
        <v>2284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35"/>
        <v>3031208</v>
      </c>
      <c r="B257" s="2" t="str">
        <f t="shared" si="36"/>
        <v>3031</v>
      </c>
      <c r="C257" s="8" t="str">
        <f t="shared" si="34"/>
        <v>1PremiumN3</v>
      </c>
      <c r="D257" s="8" t="str">
        <f t="shared" si="37"/>
        <v>1PremiumN3</v>
      </c>
      <c r="E257" s="10">
        <v>1</v>
      </c>
      <c r="F257" s="5">
        <v>208</v>
      </c>
      <c r="G257" s="8" t="str">
        <f>VLOOKUP(F257,[1]characters!$A:$C,3,FALSE)</f>
        <v>テティス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VLOOKUP(D257,gacha_303_base!A:B,2,FALSE)</f>
        <v>2862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35"/>
        <v>3031209</v>
      </c>
      <c r="B258" s="2" t="str">
        <f t="shared" si="36"/>
        <v>3031</v>
      </c>
      <c r="C258" s="8" t="str">
        <f t="shared" si="34"/>
        <v>1PremiumN4</v>
      </c>
      <c r="D258" s="8" t="str">
        <f t="shared" si="37"/>
        <v>1PremiumN4</v>
      </c>
      <c r="E258" s="10">
        <v>1</v>
      </c>
      <c r="F258" s="5">
        <v>209</v>
      </c>
      <c r="G258" s="8" t="str">
        <f>VLOOKUP(F258,[1]characters!$A:$C,3,FALSE)</f>
        <v>孤神 テティス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VLOOKUP(D258,gacha_303_base!A:B,2,FALSE)</f>
        <v>2536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35"/>
        <v>3031210</v>
      </c>
      <c r="B259" s="2" t="str">
        <f t="shared" si="36"/>
        <v>3031</v>
      </c>
      <c r="C259" s="8" t="str">
        <f t="shared" si="34"/>
        <v>1PremiumN5</v>
      </c>
      <c r="D259" s="8" t="str">
        <f t="shared" si="37"/>
        <v>1PremiumN5</v>
      </c>
      <c r="E259" s="10">
        <v>1</v>
      </c>
      <c r="F259" s="5">
        <v>210</v>
      </c>
      <c r="G259" s="8" t="str">
        <f>VLOOKUP(F259,[1]characters!$A:$C,3,FALSE)</f>
        <v>海底の孤高神 テティス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VLOOKUP(D259,gacha_303_base!A:B,2,FALSE)</f>
        <v>326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35"/>
        <v>3031211</v>
      </c>
      <c r="B260" s="2" t="str">
        <f t="shared" si="36"/>
        <v>3031</v>
      </c>
      <c r="C260" s="8" t="str">
        <f t="shared" si="34"/>
        <v>1PremiumN3</v>
      </c>
      <c r="D260" s="8" t="str">
        <f t="shared" si="37"/>
        <v>1PremiumN3</v>
      </c>
      <c r="E260" s="10">
        <v>1</v>
      </c>
      <c r="F260" s="5">
        <v>211</v>
      </c>
      <c r="G260" s="8" t="str">
        <f>VLOOKUP(F260,[1]characters!$A:$C,3,FALSE)</f>
        <v>アストライアー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VLOOKUP(D260,gacha_303_base!A:B,2,FALSE)</f>
        <v>2862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hidden="1" customHeight="1">
      <c r="A261" s="7" t="str">
        <f t="shared" si="35"/>
        <v>3031212</v>
      </c>
      <c r="B261" s="2" t="str">
        <f t="shared" si="36"/>
        <v>3031</v>
      </c>
      <c r="C261" s="8" t="str">
        <f t="shared" si="34"/>
        <v>1PremiumN4</v>
      </c>
      <c r="D261" s="8" t="str">
        <f t="shared" si="37"/>
        <v>1PremiumN4</v>
      </c>
      <c r="E261" s="10">
        <v>1</v>
      </c>
      <c r="F261" s="5">
        <v>212</v>
      </c>
      <c r="G261" s="8" t="str">
        <f>VLOOKUP(F261,[1]characters!$A:$C,3,FALSE)</f>
        <v>星神 アストライアー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VLOOKUP(D261,gacha_303_base!A:B,2,FALSE)</f>
        <v>2536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35"/>
        <v>3031213</v>
      </c>
      <c r="B262" s="2" t="str">
        <f t="shared" si="36"/>
        <v>3031</v>
      </c>
      <c r="C262" s="8" t="str">
        <f t="shared" si="34"/>
        <v>1PremiumN5</v>
      </c>
      <c r="D262" s="8" t="str">
        <f t="shared" si="37"/>
        <v>1PremiumN5</v>
      </c>
      <c r="E262" s="10">
        <v>1</v>
      </c>
      <c r="F262" s="5">
        <v>213</v>
      </c>
      <c r="G262" s="8" t="str">
        <f>VLOOKUP(F262,[1]characters!$A:$C,3,FALSE)</f>
        <v>満天の星降神 アストライアー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yellow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VLOOKUP(D262,gacha_303_base!A:B,2,FALSE)</f>
        <v>326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35"/>
        <v>3031214</v>
      </c>
      <c r="B263" s="2" t="str">
        <f t="shared" si="36"/>
        <v>3031</v>
      </c>
      <c r="C263" s="8" t="str">
        <f t="shared" si="34"/>
        <v>1PremiumN3</v>
      </c>
      <c r="D263" s="8" t="str">
        <f t="shared" si="37"/>
        <v>1PremiumN3</v>
      </c>
      <c r="E263" s="10">
        <v>1</v>
      </c>
      <c r="F263" s="5">
        <v>214</v>
      </c>
      <c r="G263" s="8" t="str">
        <f>VLOOKUP(F263,[1]characters!$A:$C,3,FALSE)</f>
        <v>アズラエル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VLOOKUP(D263,gacha_303_base!A:B,2,FALSE)</f>
        <v>2862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35"/>
        <v>3031215</v>
      </c>
      <c r="B264" s="2" t="str">
        <f t="shared" si="36"/>
        <v>3031</v>
      </c>
      <c r="C264" s="8" t="str">
        <f t="shared" si="34"/>
        <v>1PremiumN4</v>
      </c>
      <c r="D264" s="8" t="str">
        <f t="shared" si="37"/>
        <v>1PremiumN4</v>
      </c>
      <c r="E264" s="10">
        <v>1</v>
      </c>
      <c r="F264" s="5">
        <v>215</v>
      </c>
      <c r="G264" s="8" t="str">
        <f>VLOOKUP(F264,[1]characters!$A:$C,3,FALSE)</f>
        <v>死導者 アズラエル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VLOOKUP(D264,gacha_303_base!A:B,2,FALSE)</f>
        <v>2536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35"/>
        <v>3031216</v>
      </c>
      <c r="B265" s="2" t="str">
        <f t="shared" si="36"/>
        <v>3031</v>
      </c>
      <c r="C265" s="8" t="str">
        <f t="shared" si="34"/>
        <v>1PremiumN5</v>
      </c>
      <c r="D265" s="8" t="str">
        <f t="shared" si="37"/>
        <v>1PremiumN5</v>
      </c>
      <c r="E265" s="10">
        <v>1</v>
      </c>
      <c r="F265" s="5">
        <v>216</v>
      </c>
      <c r="G265" s="8" t="str">
        <f>VLOOKUP(F265,[1]characters!$A:$C,3,FALSE)</f>
        <v>百読の死導司書 アズラエル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VLOOKUP(D265,gacha_303_base!A:B,2,FALSE)</f>
        <v>326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35"/>
        <v>3031217</v>
      </c>
      <c r="B266" s="2" t="str">
        <f t="shared" si="36"/>
        <v>3031</v>
      </c>
      <c r="C266" s="8" t="str">
        <f t="shared" si="34"/>
        <v>1PremiumN3</v>
      </c>
      <c r="D266" s="8" t="str">
        <f t="shared" si="37"/>
        <v>1PremiumN3green</v>
      </c>
      <c r="E266" s="10">
        <v>1</v>
      </c>
      <c r="F266" s="5">
        <v>217</v>
      </c>
      <c r="G266" s="8" t="str">
        <f>VLOOKUP(F266,[1]characters!$A:$C,3,FALSE)</f>
        <v>ケツァクアトル</v>
      </c>
      <c r="H266" s="8" t="str">
        <f>VLOOKUP(F266,[1]characters!$A:$J,10,FALSE)</f>
        <v>PremiumN</v>
      </c>
      <c r="I266" s="8">
        <f>VLOOKUP(F266,[1]characters!$A:$I,9,FALSE)</f>
        <v>3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VLOOKUP(D266,gacha_303_base!A:B,2,FALSE)</f>
        <v>20036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35"/>
        <v>3031218</v>
      </c>
      <c r="B267" s="2" t="str">
        <f t="shared" si="36"/>
        <v>3031</v>
      </c>
      <c r="C267" s="8" t="str">
        <f t="shared" si="34"/>
        <v>1PremiumN4</v>
      </c>
      <c r="D267" s="8" t="str">
        <f t="shared" si="37"/>
        <v>1PremiumN4green</v>
      </c>
      <c r="E267" s="10">
        <v>1</v>
      </c>
      <c r="F267" s="5">
        <v>218</v>
      </c>
      <c r="G267" s="8" t="str">
        <f>VLOOKUP(F267,[1]characters!$A:$C,3,FALSE)</f>
        <v>聖蛇 ケツァクアトル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VLOOKUP(D267,gacha_303_base!A:B,2,FALSE)</f>
        <v>17752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35"/>
        <v>3031219</v>
      </c>
      <c r="B268" s="2" t="str">
        <f t="shared" si="36"/>
        <v>3031</v>
      </c>
      <c r="C268" s="8" t="str">
        <f t="shared" si="34"/>
        <v>1PremiumN5</v>
      </c>
      <c r="D268" s="8" t="str">
        <f t="shared" si="37"/>
        <v>1PremiumN5green</v>
      </c>
      <c r="E268" s="10">
        <v>1</v>
      </c>
      <c r="F268" s="5">
        <v>219</v>
      </c>
      <c r="G268" s="8" t="str">
        <f>VLOOKUP(F268,[1]characters!$A:$C,3,FALSE)</f>
        <v>覇翼の聖蛇竜 ケツァクアトル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green</v>
      </c>
      <c r="K268" s="8" t="str">
        <f>VLOOKUP(F268,[1]characters!$A:$K,11,FALSE)</f>
        <v>hp</v>
      </c>
      <c r="L268" s="8" t="str">
        <f>VLOOKUP(F268,[1]characters!$A:$M,13,FALSE)</f>
        <v>dragon</v>
      </c>
      <c r="M268" s="16">
        <f>VLOOKUP(D268,gacha_303_base!A:B,2,FALSE)</f>
        <v>2284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hidden="1" customHeight="1">
      <c r="A269" s="7" t="str">
        <f t="shared" si="35"/>
        <v>3031220</v>
      </c>
      <c r="B269" s="2" t="str">
        <f t="shared" si="36"/>
        <v>3031</v>
      </c>
      <c r="C269" s="8" t="str">
        <f t="shared" si="34"/>
        <v>1PremiumN3</v>
      </c>
      <c r="D269" s="8" t="str">
        <f t="shared" si="37"/>
        <v>1PremiumN3</v>
      </c>
      <c r="E269" s="10">
        <v>1</v>
      </c>
      <c r="F269" s="5">
        <v>220</v>
      </c>
      <c r="G269" s="8" t="str">
        <f>VLOOKUP(F269,[1]characters!$A:$C,3,FALSE)</f>
        <v>ルキフグス</v>
      </c>
      <c r="H269" s="8" t="str">
        <f>VLOOKUP(F269,[1]characters!$A:$J,10,FALSE)</f>
        <v>PremiumN</v>
      </c>
      <c r="I269" s="8">
        <f>VLOOKUP(F269,[1]characters!$A:$I,9,FALSE)</f>
        <v>3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VLOOKUP(D269,gacha_303_base!A:B,2,FALSE)</f>
        <v>2862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35"/>
        <v>3031221</v>
      </c>
      <c r="B270" s="2" t="str">
        <f t="shared" si="36"/>
        <v>3031</v>
      </c>
      <c r="C270" s="8" t="str">
        <f t="shared" si="34"/>
        <v>1PremiumN4</v>
      </c>
      <c r="D270" s="8" t="str">
        <f t="shared" si="37"/>
        <v>1PremiumN4</v>
      </c>
      <c r="E270" s="10">
        <v>1</v>
      </c>
      <c r="F270" s="5">
        <v>221</v>
      </c>
      <c r="G270" s="8" t="str">
        <f>VLOOKUP(F270,[1]characters!$A:$C,3,FALSE)</f>
        <v>宰相 ルキフグス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VLOOKUP(D270,gacha_303_base!A:B,2,FALSE)</f>
        <v>2536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35"/>
        <v>3031222</v>
      </c>
      <c r="B271" s="2" t="str">
        <f t="shared" si="36"/>
        <v>3031</v>
      </c>
      <c r="C271" s="8" t="str">
        <f t="shared" si="34"/>
        <v>1PremiumN5</v>
      </c>
      <c r="D271" s="8" t="str">
        <f t="shared" si="37"/>
        <v>1PremiumN5</v>
      </c>
      <c r="E271" s="10">
        <v>1</v>
      </c>
      <c r="F271" s="5">
        <v>222</v>
      </c>
      <c r="G271" s="8" t="str">
        <f>VLOOKUP(F271,[1]characters!$A:$C,3,FALSE)</f>
        <v>避光の鉄鎖宰相 ルキフグス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VLOOKUP(D271,gacha_303_base!A:B,2,FALSE)</f>
        <v>326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35"/>
        <v>3031223</v>
      </c>
      <c r="B272" s="2" t="str">
        <f t="shared" si="36"/>
        <v>3031</v>
      </c>
      <c r="C272" s="8" t="str">
        <f t="shared" si="34"/>
        <v>1PremiumN3</v>
      </c>
      <c r="D272" s="8" t="str">
        <f t="shared" si="37"/>
        <v>1PremiumN3</v>
      </c>
      <c r="E272" s="10">
        <v>1</v>
      </c>
      <c r="F272" s="5">
        <v>223</v>
      </c>
      <c r="G272" s="8" t="str">
        <f>VLOOKUP(F272,[1]characters!$A:$C,3,FALSE)</f>
        <v>ヘラクレス</v>
      </c>
      <c r="H272" s="8" t="str">
        <f>VLOOKUP(F272,[1]characters!$A:$J,10,FALSE)</f>
        <v>PremiumN</v>
      </c>
      <c r="I272" s="8">
        <f>VLOOKUP(F272,[1]characters!$A:$I,9,FALSE)</f>
        <v>3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VLOOKUP(D272,gacha_303_base!A:B,2,FALSE)</f>
        <v>2862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hidden="1" customHeight="1">
      <c r="A273" s="7" t="str">
        <f t="shared" si="35"/>
        <v>3031224</v>
      </c>
      <c r="B273" s="2" t="str">
        <f t="shared" si="36"/>
        <v>3031</v>
      </c>
      <c r="C273" s="8" t="str">
        <f t="shared" si="34"/>
        <v>1PremiumN4</v>
      </c>
      <c r="D273" s="8" t="str">
        <f t="shared" si="37"/>
        <v>1PremiumN4</v>
      </c>
      <c r="E273" s="10">
        <v>1</v>
      </c>
      <c r="F273" s="5">
        <v>224</v>
      </c>
      <c r="G273" s="8" t="str">
        <f>VLOOKUP(F273,[1]characters!$A:$C,3,FALSE)</f>
        <v>巨腕 ヘラクレス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VLOOKUP(D273,gacha_303_base!A:B,2,FALSE)</f>
        <v>2536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35"/>
        <v>3031225</v>
      </c>
      <c r="B274" s="2" t="str">
        <f t="shared" si="36"/>
        <v>3031</v>
      </c>
      <c r="C274" s="8" t="str">
        <f t="shared" si="34"/>
        <v>1PremiumN5</v>
      </c>
      <c r="D274" s="8" t="str">
        <f t="shared" si="37"/>
        <v>1PremiumN5</v>
      </c>
      <c r="E274" s="10">
        <v>1</v>
      </c>
      <c r="F274" s="5">
        <v>225</v>
      </c>
      <c r="G274" s="8" t="str">
        <f>VLOOKUP(F274,[1]characters!$A:$C,3,FALSE)</f>
        <v>咆哮の巨獅腕 ヘラクレス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VLOOKUP(D274,gacha_303_base!A:B,2,FALSE)</f>
        <v>326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35"/>
        <v>3031226</v>
      </c>
      <c r="B275" s="2" t="str">
        <f t="shared" si="36"/>
        <v>3031</v>
      </c>
      <c r="C275" s="8" t="str">
        <f t="shared" si="34"/>
        <v>1PremiumS3</v>
      </c>
      <c r="D275" s="8" t="str">
        <f t="shared" si="37"/>
        <v>1PremiumS3</v>
      </c>
      <c r="E275" s="10">
        <v>1</v>
      </c>
      <c r="F275" s="5">
        <v>226</v>
      </c>
      <c r="G275" s="8" t="str">
        <f>VLOOKUP(F275,[1]characters!$A:$C,3,FALSE)</f>
        <v>アレス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VLOOKUP(D275,gacha_303_base!A:B,2,FALSE)</f>
        <v>2862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35"/>
        <v>3031227</v>
      </c>
      <c r="B276" s="2" t="str">
        <f t="shared" si="36"/>
        <v>3031</v>
      </c>
      <c r="C276" s="8" t="str">
        <f t="shared" si="34"/>
        <v>1PremiumS4</v>
      </c>
      <c r="D276" s="8" t="str">
        <f t="shared" si="37"/>
        <v>1PremiumS4</v>
      </c>
      <c r="E276" s="10">
        <v>1</v>
      </c>
      <c r="F276" s="5">
        <v>227</v>
      </c>
      <c r="G276" s="8" t="str">
        <f>VLOOKUP(F276,[1]characters!$A:$C,3,FALSE)</f>
        <v>滅弾 アレス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VLOOKUP(D276,gacha_303_base!A:B,2,FALSE)</f>
        <v>2536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35"/>
        <v>3031228</v>
      </c>
      <c r="B277" s="2" t="str">
        <f t="shared" si="36"/>
        <v>3031</v>
      </c>
      <c r="C277" s="8" t="str">
        <f t="shared" si="34"/>
        <v>1PremiumS5</v>
      </c>
      <c r="D277" s="8" t="str">
        <f t="shared" si="37"/>
        <v>1PremiumS5</v>
      </c>
      <c r="E277" s="10">
        <v>1</v>
      </c>
      <c r="F277" s="5">
        <v>228</v>
      </c>
      <c r="G277" s="8" t="str">
        <f>VLOOKUP(F277,[1]characters!$A:$C,3,FALSE)</f>
        <v>殲滅の掃射砲 アレス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red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VLOOKUP(D277,gacha_303_base!A:B,2,FALSE)</f>
        <v>326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35"/>
        <v>3031229</v>
      </c>
      <c r="B278" s="2" t="str">
        <f t="shared" si="36"/>
        <v>3031</v>
      </c>
      <c r="C278" s="8" t="str">
        <f t="shared" si="34"/>
        <v>1PremiumS3</v>
      </c>
      <c r="D278" s="8" t="str">
        <f t="shared" si="37"/>
        <v>1PremiumS3green</v>
      </c>
      <c r="E278" s="10">
        <v>1</v>
      </c>
      <c r="F278" s="5">
        <v>229</v>
      </c>
      <c r="G278" s="8" t="str">
        <f>VLOOKUP(F278,[1]characters!$A:$C,3,FALSE)</f>
        <v>ヨルムンガンド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VLOOKUP(D278,gacha_303_base!A:B,2,FALSE)</f>
        <v>20036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35"/>
        <v>3031230</v>
      </c>
      <c r="B279" s="2" t="str">
        <f t="shared" si="36"/>
        <v>3031</v>
      </c>
      <c r="C279" s="8" t="str">
        <f t="shared" si="34"/>
        <v>1PremiumS4</v>
      </c>
      <c r="D279" s="8" t="str">
        <f t="shared" si="37"/>
        <v>1PremiumS4green</v>
      </c>
      <c r="E279" s="10">
        <v>1</v>
      </c>
      <c r="F279" s="5">
        <v>230</v>
      </c>
      <c r="G279" s="8" t="str">
        <f>VLOOKUP(F279,[1]characters!$A:$C,3,FALSE)</f>
        <v>毒銃 ヨルムンガンド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VLOOKUP(D279,gacha_303_base!A:B,2,FALSE)</f>
        <v>17752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35"/>
        <v>3031231</v>
      </c>
      <c r="B280" s="2" t="str">
        <f t="shared" si="36"/>
        <v>3031</v>
      </c>
      <c r="C280" s="8" t="str">
        <f t="shared" si="34"/>
        <v>1PremiumS5</v>
      </c>
      <c r="D280" s="8" t="str">
        <f t="shared" si="37"/>
        <v>1PremiumS5green</v>
      </c>
      <c r="E280" s="10">
        <v>1</v>
      </c>
      <c r="F280" s="5">
        <v>231</v>
      </c>
      <c r="G280" s="8" t="str">
        <f>VLOOKUP(F280,[1]characters!$A:$C,3,FALSE)</f>
        <v>必中の咬銃 ヨルムンガンド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green</v>
      </c>
      <c r="K280" s="8" t="str">
        <f>VLOOKUP(F280,[1]characters!$A:$K,11,FALSE)</f>
        <v>technical</v>
      </c>
      <c r="L280" s="8" t="str">
        <f>VLOOKUP(F280,[1]characters!$A:$M,13,FALSE)</f>
        <v>dragon</v>
      </c>
      <c r="M280" s="16">
        <f>VLOOKUP(D280,gacha_303_base!A:B,2,FALSE)</f>
        <v>2284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35"/>
        <v>3031232</v>
      </c>
      <c r="B281" s="2" t="str">
        <f t="shared" si="36"/>
        <v>3031</v>
      </c>
      <c r="C281" s="8" t="str">
        <f t="shared" si="34"/>
        <v>1PremiumS3</v>
      </c>
      <c r="D281" s="8" t="str">
        <f t="shared" si="37"/>
        <v>1PremiumS3</v>
      </c>
      <c r="E281" s="10">
        <v>1</v>
      </c>
      <c r="F281" s="5">
        <v>232</v>
      </c>
      <c r="G281" s="8" t="str">
        <f>VLOOKUP(F281,[1]characters!$A:$C,3,FALSE)</f>
        <v>パーシヴァル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VLOOKUP(D281,gacha_303_base!A:B,2,FALSE)</f>
        <v>2862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35"/>
        <v>3031233</v>
      </c>
      <c r="B282" s="2" t="str">
        <f t="shared" si="36"/>
        <v>3031</v>
      </c>
      <c r="C282" s="8" t="str">
        <f t="shared" si="34"/>
        <v>1PremiumS4</v>
      </c>
      <c r="D282" s="8" t="str">
        <f t="shared" si="37"/>
        <v>1PremiumS4</v>
      </c>
      <c r="E282" s="10">
        <v>1</v>
      </c>
      <c r="F282" s="5">
        <v>233</v>
      </c>
      <c r="G282" s="8" t="str">
        <f>VLOOKUP(F282,[1]characters!$A:$C,3,FALSE)</f>
        <v>遂行 パーシヴァル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VLOOKUP(D282,gacha_303_base!A:B,2,FALSE)</f>
        <v>2536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35"/>
        <v>3031234</v>
      </c>
      <c r="B283" s="2" t="str">
        <f t="shared" si="36"/>
        <v>3031</v>
      </c>
      <c r="C283" s="8" t="str">
        <f t="shared" si="34"/>
        <v>1PremiumS5</v>
      </c>
      <c r="D283" s="8" t="str">
        <f t="shared" si="37"/>
        <v>1PremiumS5</v>
      </c>
      <c r="E283" s="10">
        <v>1</v>
      </c>
      <c r="F283" s="5">
        <v>234</v>
      </c>
      <c r="G283" s="8" t="str">
        <f>VLOOKUP(F283,[1]characters!$A:$C,3,FALSE)</f>
        <v>精密なる照準 パーシヴァル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blue</v>
      </c>
      <c r="K283" s="8" t="str">
        <f>VLOOKUP(F283,[1]characters!$A:$K,11,FALSE)</f>
        <v>technical</v>
      </c>
      <c r="L283" s="8" t="str">
        <f>VLOOKUP(F283,[1]characters!$A:$M,13,FALSE)</f>
        <v>human</v>
      </c>
      <c r="M283" s="16">
        <f>VLOOKUP(D283,gacha_303_base!A:B,2,FALSE)</f>
        <v>326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35"/>
        <v>3031235</v>
      </c>
      <c r="B284" s="2" t="str">
        <f t="shared" si="36"/>
        <v>3031</v>
      </c>
      <c r="C284" s="8" t="str">
        <f t="shared" si="34"/>
        <v>1PremiumS3</v>
      </c>
      <c r="D284" s="8" t="str">
        <f t="shared" si="37"/>
        <v>1PremiumS3</v>
      </c>
      <c r="E284" s="10">
        <v>1</v>
      </c>
      <c r="F284" s="5">
        <v>235</v>
      </c>
      <c r="G284" s="8" t="str">
        <f>VLOOKUP(F284,[1]characters!$A:$C,3,FALSE)</f>
        <v>イザナミ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VLOOKUP(D284,gacha_303_base!A:B,2,FALSE)</f>
        <v>2862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35"/>
        <v>3031236</v>
      </c>
      <c r="B285" s="2" t="str">
        <f t="shared" si="36"/>
        <v>3031</v>
      </c>
      <c r="C285" s="8" t="str">
        <f t="shared" si="34"/>
        <v>1PremiumS4</v>
      </c>
      <c r="D285" s="8" t="str">
        <f t="shared" si="37"/>
        <v>1PremiumS4</v>
      </c>
      <c r="E285" s="10">
        <v>1</v>
      </c>
      <c r="F285" s="5">
        <v>236</v>
      </c>
      <c r="G285" s="8" t="str">
        <f>VLOOKUP(F285,[1]characters!$A:$C,3,FALSE)</f>
        <v>神産 イザナミ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VLOOKUP(D285,gacha_303_base!A:B,2,FALSE)</f>
        <v>2536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35"/>
        <v>3031237</v>
      </c>
      <c r="B286" s="2" t="str">
        <f t="shared" si="36"/>
        <v>3031</v>
      </c>
      <c r="C286" s="8" t="str">
        <f t="shared" si="34"/>
        <v>1PremiumS5</v>
      </c>
      <c r="D286" s="8" t="str">
        <f t="shared" si="37"/>
        <v>1PremiumS5</v>
      </c>
      <c r="E286" s="10">
        <v>1</v>
      </c>
      <c r="F286" s="5">
        <v>237</v>
      </c>
      <c r="G286" s="8" t="str">
        <f>VLOOKUP(F286,[1]characters!$A:$C,3,FALSE)</f>
        <v>森羅万象の神母 イザナミ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yellow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VLOOKUP(D286,gacha_303_base!A:B,2,FALSE)</f>
        <v>326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35"/>
        <v>3031238</v>
      </c>
      <c r="B287" s="2" t="str">
        <f t="shared" si="36"/>
        <v>3031</v>
      </c>
      <c r="C287" s="8" t="str">
        <f t="shared" si="34"/>
        <v>1PremiumS3</v>
      </c>
      <c r="D287" s="8" t="str">
        <f t="shared" si="37"/>
        <v>1PremiumS3</v>
      </c>
      <c r="E287" s="10">
        <v>1</v>
      </c>
      <c r="F287" s="5">
        <v>238</v>
      </c>
      <c r="G287" s="8" t="str">
        <f>VLOOKUP(F287,[1]characters!$A:$C,3,FALSE)</f>
        <v>ウリエル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VLOOKUP(D287,gacha_303_base!A:B,2,FALSE)</f>
        <v>2862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35"/>
        <v>3031239</v>
      </c>
      <c r="B288" s="2" t="str">
        <f t="shared" si="36"/>
        <v>3031</v>
      </c>
      <c r="C288" s="8" t="str">
        <f t="shared" si="34"/>
        <v>1PremiumS4</v>
      </c>
      <c r="D288" s="8" t="str">
        <f t="shared" si="37"/>
        <v>1PremiumS4</v>
      </c>
      <c r="E288" s="10">
        <v>1</v>
      </c>
      <c r="F288" s="5">
        <v>239</v>
      </c>
      <c r="G288" s="8" t="str">
        <f>VLOOKUP(F288,[1]characters!$A:$C,3,FALSE)</f>
        <v>豪炎の天使 ウリエル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VLOOKUP(D288,gacha_303_base!A:B,2,FALSE)</f>
        <v>2536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hidden="1" customHeight="1">
      <c r="A289" s="7" t="str">
        <f t="shared" si="35"/>
        <v>3031240</v>
      </c>
      <c r="B289" s="2" t="str">
        <f t="shared" si="36"/>
        <v>3031</v>
      </c>
      <c r="C289" s="8" t="str">
        <f t="shared" si="34"/>
        <v>1PremiumS5</v>
      </c>
      <c r="D289" s="8" t="str">
        <f t="shared" si="37"/>
        <v>1PremiumS5</v>
      </c>
      <c r="E289" s="10">
        <v>1</v>
      </c>
      <c r="F289" s="5">
        <v>240</v>
      </c>
      <c r="G289" s="8" t="str">
        <f>VLOOKUP(F289,[1]characters!$A:$C,3,FALSE)</f>
        <v>轟炎の天使 ウリエル・スレイヤー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hp</v>
      </c>
      <c r="L289" s="8" t="str">
        <f>VLOOKUP(F289,[1]characters!$A:$M,13,FALSE)</f>
        <v>machine</v>
      </c>
      <c r="M289" s="16">
        <f>VLOOKUP(D289,gacha_303_base!A:B,2,FALSE)</f>
        <v>326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35"/>
        <v>3031241</v>
      </c>
      <c r="B290" s="2" t="str">
        <f t="shared" si="36"/>
        <v>3031</v>
      </c>
      <c r="C290" s="8" t="str">
        <f t="shared" si="34"/>
        <v>1PremiumS3</v>
      </c>
      <c r="D290" s="8" t="str">
        <f t="shared" si="37"/>
        <v>1PremiumS3green</v>
      </c>
      <c r="E290" s="10">
        <v>1</v>
      </c>
      <c r="F290" s="5">
        <v>241</v>
      </c>
      <c r="G290" s="8" t="str">
        <f>VLOOKUP(F290,[1]characters!$A:$C,3,FALSE)</f>
        <v>ガブリエル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VLOOKUP(D290,gacha_303_base!A:B,2,FALSE)</f>
        <v>20036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35"/>
        <v>3031242</v>
      </c>
      <c r="B291" s="2" t="str">
        <f t="shared" si="36"/>
        <v>3031</v>
      </c>
      <c r="C291" s="8" t="str">
        <f t="shared" si="34"/>
        <v>1PremiumS4</v>
      </c>
      <c r="D291" s="8" t="str">
        <f t="shared" si="37"/>
        <v>1PremiumS4green</v>
      </c>
      <c r="E291" s="10">
        <v>1</v>
      </c>
      <c r="F291" s="5">
        <v>242</v>
      </c>
      <c r="G291" s="8" t="str">
        <f>VLOOKUP(F291,[1]characters!$A:$C,3,FALSE)</f>
        <v>百花の天使 ガブリエル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VLOOKUP(D291,gacha_303_base!A:B,2,FALSE)</f>
        <v>17752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35"/>
        <v>3031243</v>
      </c>
      <c r="B292" s="2" t="str">
        <f t="shared" si="36"/>
        <v>3031</v>
      </c>
      <c r="C292" s="8" t="str">
        <f t="shared" si="34"/>
        <v>1PremiumS5</v>
      </c>
      <c r="D292" s="8" t="str">
        <f t="shared" si="37"/>
        <v>1PremiumS5green</v>
      </c>
      <c r="E292" s="10">
        <v>1</v>
      </c>
      <c r="F292" s="5">
        <v>243</v>
      </c>
      <c r="G292" s="8" t="str">
        <f>VLOOKUP(F292,[1]characters!$A:$C,3,FALSE)</f>
        <v>万花の天使 ガブリエル・ブルーム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green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VLOOKUP(D292,gacha_303_base!A:B,2,FALSE)</f>
        <v>2284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35"/>
        <v>3031244</v>
      </c>
      <c r="B293" s="2" t="str">
        <f t="shared" si="36"/>
        <v>3031</v>
      </c>
      <c r="C293" s="8" t="str">
        <f t="shared" si="34"/>
        <v>1PremiumS3</v>
      </c>
      <c r="D293" s="8" t="str">
        <f t="shared" si="37"/>
        <v>1PremiumS3</v>
      </c>
      <c r="E293" s="10">
        <v>1</v>
      </c>
      <c r="F293" s="5">
        <v>244</v>
      </c>
      <c r="G293" s="8" t="str">
        <f>VLOOKUP(F293,[1]characters!$A:$C,3,FALSE)</f>
        <v>ラファエル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VLOOKUP(D293,gacha_303_base!A:B,2,FALSE)</f>
        <v>2862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35"/>
        <v>3031245</v>
      </c>
      <c r="B294" s="2" t="str">
        <f t="shared" si="36"/>
        <v>3031</v>
      </c>
      <c r="C294" s="8" t="str">
        <f t="shared" si="34"/>
        <v>1PremiumS4</v>
      </c>
      <c r="D294" s="8" t="str">
        <f t="shared" si="37"/>
        <v>1PremiumS4</v>
      </c>
      <c r="E294" s="10">
        <v>1</v>
      </c>
      <c r="F294" s="5">
        <v>245</v>
      </c>
      <c r="G294" s="8" t="str">
        <f>VLOOKUP(F294,[1]characters!$A:$C,3,FALSE)</f>
        <v>鎮癒の天使 ラファエル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VLOOKUP(D294,gacha_303_base!A:B,2,FALSE)</f>
        <v>2536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hidden="1" customHeight="1">
      <c r="A295" s="7" t="str">
        <f t="shared" si="35"/>
        <v>3031246</v>
      </c>
      <c r="B295" s="2" t="str">
        <f t="shared" si="36"/>
        <v>3031</v>
      </c>
      <c r="C295" s="8" t="str">
        <f t="shared" si="34"/>
        <v>1PremiumS5</v>
      </c>
      <c r="D295" s="8" t="str">
        <f t="shared" si="37"/>
        <v>1PremiumS5</v>
      </c>
      <c r="E295" s="10">
        <v>1</v>
      </c>
      <c r="F295" s="5">
        <v>246</v>
      </c>
      <c r="G295" s="8" t="str">
        <f>VLOOKUP(F295,[1]characters!$A:$C,3,FALSE)</f>
        <v>真癒の天使 ラファエル・メディカ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machine</v>
      </c>
      <c r="M295" s="16">
        <f>VLOOKUP(D295,gacha_303_base!A:B,2,FALSE)</f>
        <v>326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35"/>
        <v>3031247</v>
      </c>
      <c r="B296" s="2" t="str">
        <f t="shared" si="36"/>
        <v>3031</v>
      </c>
      <c r="C296" s="8" t="str">
        <f t="shared" si="34"/>
        <v>1PremiumS3</v>
      </c>
      <c r="D296" s="8" t="str">
        <f t="shared" si="37"/>
        <v>1PremiumS3</v>
      </c>
      <c r="E296" s="10">
        <v>1</v>
      </c>
      <c r="F296" s="5">
        <v>247</v>
      </c>
      <c r="G296" s="8" t="str">
        <f>VLOOKUP(F296,[1]characters!$A:$C,3,FALSE)</f>
        <v>ミカエル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VLOOKUP(D296,gacha_303_base!A:B,2,FALSE)</f>
        <v>2862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hidden="1" customHeight="1">
      <c r="A297" s="7" t="str">
        <f t="shared" si="35"/>
        <v>3031248</v>
      </c>
      <c r="B297" s="2" t="str">
        <f t="shared" si="36"/>
        <v>3031</v>
      </c>
      <c r="C297" s="8" t="str">
        <f t="shared" si="34"/>
        <v>1PremiumS4</v>
      </c>
      <c r="D297" s="8" t="str">
        <f t="shared" si="37"/>
        <v>1PremiumS4</v>
      </c>
      <c r="E297" s="10">
        <v>1</v>
      </c>
      <c r="F297" s="5">
        <v>248</v>
      </c>
      <c r="G297" s="8" t="str">
        <f>VLOOKUP(F297,[1]characters!$A:$C,3,FALSE)</f>
        <v>彩電の天使 ミカエル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VLOOKUP(D297,gacha_303_base!A:B,2,FALSE)</f>
        <v>2536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hidden="1" customHeight="1">
      <c r="A298" s="7" t="str">
        <f t="shared" si="35"/>
        <v>3031249</v>
      </c>
      <c r="B298" s="2" t="str">
        <f t="shared" si="36"/>
        <v>3031</v>
      </c>
      <c r="C298" s="8" t="str">
        <f t="shared" si="34"/>
        <v>1PremiumS5</v>
      </c>
      <c r="D298" s="8" t="str">
        <f t="shared" si="37"/>
        <v>1PremiumS5</v>
      </c>
      <c r="E298" s="10">
        <v>1</v>
      </c>
      <c r="F298" s="6">
        <v>249</v>
      </c>
      <c r="G298" s="8" t="str">
        <f>VLOOKUP(F298,[1]characters!$A:$C,3,FALSE)</f>
        <v>雷電の天使 ミカエル・ゲイナー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yellow</v>
      </c>
      <c r="K298" s="8" t="str">
        <f>VLOOKUP(F298,[1]characters!$A:$K,11,FALSE)</f>
        <v>attack</v>
      </c>
      <c r="L298" s="8" t="str">
        <f>VLOOKUP(F298,[1]characters!$A:$M,13,FALSE)</f>
        <v>machine</v>
      </c>
      <c r="M298" s="16">
        <f>VLOOKUP(D298,gacha_303_base!A:B,2,FALSE)</f>
        <v>326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hidden="1" customHeight="1">
      <c r="A299" s="7" t="str">
        <f t="shared" si="35"/>
        <v>3031250</v>
      </c>
      <c r="B299" s="2" t="str">
        <f t="shared" si="36"/>
        <v>3031</v>
      </c>
      <c r="C299" s="8" t="str">
        <f t="shared" si="34"/>
        <v>1PremiumS3</v>
      </c>
      <c r="D299" s="8" t="str">
        <f t="shared" si="37"/>
        <v>1PremiumS3</v>
      </c>
      <c r="E299" s="10">
        <v>1</v>
      </c>
      <c r="F299" s="6">
        <v>250</v>
      </c>
      <c r="G299" s="8" t="str">
        <f>VLOOKUP(F299,[1]characters!$A:$C,3,FALSE)</f>
        <v>マンモン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VLOOKUP(D299,gacha_303_base!A:B,2,FALSE)</f>
        <v>2862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hidden="1" customHeight="1">
      <c r="A300" s="7" t="str">
        <f t="shared" si="35"/>
        <v>3031251</v>
      </c>
      <c r="B300" s="2" t="str">
        <f t="shared" si="36"/>
        <v>3031</v>
      </c>
      <c r="C300" s="8" t="str">
        <f t="shared" si="34"/>
        <v>1PremiumS4</v>
      </c>
      <c r="D300" s="8" t="str">
        <f t="shared" si="37"/>
        <v>1PremiumS4</v>
      </c>
      <c r="E300" s="10">
        <v>1</v>
      </c>
      <c r="F300" s="6">
        <v>251</v>
      </c>
      <c r="G300" s="8" t="str">
        <f>VLOOKUP(F300,[1]characters!$A:$C,3,FALSE)</f>
        <v>強欲 マンモン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VLOOKUP(D300,gacha_303_base!A:B,2,FALSE)</f>
        <v>2536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hidden="1" customHeight="1">
      <c r="A301" s="7" t="str">
        <f t="shared" si="35"/>
        <v>3031252</v>
      </c>
      <c r="B301" s="2" t="str">
        <f t="shared" si="36"/>
        <v>3031</v>
      </c>
      <c r="C301" s="8" t="str">
        <f t="shared" si="34"/>
        <v>1PremiumS5</v>
      </c>
      <c r="D301" s="8" t="str">
        <f t="shared" si="37"/>
        <v>1PremiumS5</v>
      </c>
      <c r="E301" s="10">
        <v>1</v>
      </c>
      <c r="F301" s="6">
        <v>252</v>
      </c>
      <c r="G301" s="8" t="str">
        <f>VLOOKUP(F301,[1]characters!$A:$C,3,FALSE)</f>
        <v>強欲の沸騰 マンモン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red</v>
      </c>
      <c r="K301" s="8" t="str">
        <f>VLOOKUP(F301,[1]characters!$A:$K,11,FALSE)</f>
        <v>balance</v>
      </c>
      <c r="L301" s="8" t="str">
        <f>VLOOKUP(F301,[1]characters!$A:$M,13,FALSE)</f>
        <v>god</v>
      </c>
      <c r="M301" s="16">
        <f>VLOOKUP(D301,gacha_303_base!A:B,2,FALSE)</f>
        <v>326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hidden="1" customHeight="1">
      <c r="A302" s="7" t="str">
        <f t="shared" si="35"/>
        <v>3031253</v>
      </c>
      <c r="B302" s="2" t="str">
        <f t="shared" si="36"/>
        <v>3031</v>
      </c>
      <c r="C302" s="8" t="str">
        <f t="shared" si="34"/>
        <v>1PremiumS3</v>
      </c>
      <c r="D302" s="8" t="str">
        <f t="shared" si="37"/>
        <v>1PremiumS3green</v>
      </c>
      <c r="E302" s="10">
        <v>1</v>
      </c>
      <c r="F302" s="6">
        <v>253</v>
      </c>
      <c r="G302" s="8" t="str">
        <f>VLOOKUP(F302,[1]characters!$A:$C,3,FALSE)</f>
        <v>ベルフェゴール</v>
      </c>
      <c r="H302" s="8" t="str">
        <f>VLOOKUP(F302,[1]characters!$A:$J,10,FALSE)</f>
        <v>PremiumS</v>
      </c>
      <c r="I302" s="8">
        <f>VLOOKUP(F302,[1]characters!$A:$I,9,FALSE)</f>
        <v>3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VLOOKUP(D302,gacha_303_base!A:B,2,FALSE)</f>
        <v>20036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hidden="1" customHeight="1">
      <c r="A303" s="7" t="str">
        <f t="shared" si="35"/>
        <v>3031254</v>
      </c>
      <c r="B303" s="2" t="str">
        <f t="shared" si="36"/>
        <v>3031</v>
      </c>
      <c r="C303" s="8" t="str">
        <f t="shared" ref="C303:C366" si="38">E303&amp;H303&amp;I303</f>
        <v>1PremiumS4</v>
      </c>
      <c r="D303" s="8" t="str">
        <f t="shared" si="37"/>
        <v>1PremiumS4green</v>
      </c>
      <c r="E303" s="10">
        <v>1</v>
      </c>
      <c r="F303" s="6">
        <v>254</v>
      </c>
      <c r="G303" s="8" t="str">
        <f>VLOOKUP(F303,[1]characters!$A:$C,3,FALSE)</f>
        <v>怠惰 ベルフェゴール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VLOOKUP(D303,gacha_303_base!A:B,2,FALSE)</f>
        <v>17752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ref="A304:A367" si="39">B304&amp;F304</f>
        <v>3031255</v>
      </c>
      <c r="B304" s="2" t="str">
        <f t="shared" ref="B304:B367" si="40">303&amp;E304</f>
        <v>3031</v>
      </c>
      <c r="C304" s="8" t="str">
        <f t="shared" si="38"/>
        <v>1PremiumS5</v>
      </c>
      <c r="D304" s="8" t="str">
        <f t="shared" si="37"/>
        <v>1PremiumS5green</v>
      </c>
      <c r="E304" s="10">
        <v>1</v>
      </c>
      <c r="F304" s="6">
        <v>255</v>
      </c>
      <c r="G304" s="8" t="str">
        <f>VLOOKUP(F304,[1]characters!$A:$C,3,FALSE)</f>
        <v>怠惰の頂点 ベルフェゴール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green</v>
      </c>
      <c r="K304" s="8" t="str">
        <f>VLOOKUP(F304,[1]characters!$A:$K,11,FALSE)</f>
        <v>technical</v>
      </c>
      <c r="L304" s="8" t="str">
        <f>VLOOKUP(F304,[1]characters!$A:$M,13,FALSE)</f>
        <v>god</v>
      </c>
      <c r="M304" s="16">
        <f>VLOOKUP(D304,gacha_303_base!A:B,2,FALSE)</f>
        <v>2284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hidden="1" customHeight="1">
      <c r="A305" s="7" t="str">
        <f t="shared" si="39"/>
        <v>3031256</v>
      </c>
      <c r="B305" s="2" t="str">
        <f t="shared" si="40"/>
        <v>3031</v>
      </c>
      <c r="C305" s="8" t="str">
        <f t="shared" si="38"/>
        <v>1PremiumS3</v>
      </c>
      <c r="D305" s="8" t="str">
        <f t="shared" si="37"/>
        <v>1PremiumS3</v>
      </c>
      <c r="E305" s="10">
        <v>1</v>
      </c>
      <c r="F305" s="6">
        <v>256</v>
      </c>
      <c r="G305" s="8" t="str">
        <f>VLOOKUP(F305,[1]characters!$A:$C,3,FALSE)</f>
        <v>アスモデウス</v>
      </c>
      <c r="H305" s="8" t="str">
        <f>VLOOKUP(F305,[1]characters!$A:$J,10,FALSE)</f>
        <v>PremiumS</v>
      </c>
      <c r="I305" s="8">
        <f>VLOOKUP(F305,[1]characters!$A:$I,9,FALSE)</f>
        <v>3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VLOOKUP(D305,gacha_303_base!A:B,2,FALSE)</f>
        <v>2862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39"/>
        <v>3031257</v>
      </c>
      <c r="B306" s="2" t="str">
        <f t="shared" si="40"/>
        <v>3031</v>
      </c>
      <c r="C306" s="8" t="str">
        <f t="shared" si="38"/>
        <v>1PremiumS4</v>
      </c>
      <c r="D306" s="8" t="str">
        <f t="shared" si="37"/>
        <v>1PremiumS4</v>
      </c>
      <c r="E306" s="10">
        <v>1</v>
      </c>
      <c r="F306" s="6">
        <v>257</v>
      </c>
      <c r="G306" s="8" t="str">
        <f>VLOOKUP(F306,[1]characters!$A:$C,3,FALSE)</f>
        <v>色欲 アスモデウス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VLOOKUP(D306,gacha_303_base!A:B,2,FALSE)</f>
        <v>2536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hidden="1" customHeight="1">
      <c r="A307" s="7" t="str">
        <f t="shared" si="39"/>
        <v>3031258</v>
      </c>
      <c r="B307" s="2" t="str">
        <f t="shared" si="40"/>
        <v>3031</v>
      </c>
      <c r="C307" s="8" t="str">
        <f t="shared" si="38"/>
        <v>1PremiumS5</v>
      </c>
      <c r="D307" s="8" t="str">
        <f t="shared" si="37"/>
        <v>1PremiumS5</v>
      </c>
      <c r="E307" s="10">
        <v>1</v>
      </c>
      <c r="F307" s="6">
        <v>258</v>
      </c>
      <c r="G307" s="8" t="str">
        <f>VLOOKUP(F307,[1]characters!$A:$C,3,FALSE)</f>
        <v>色欲の源流 アスモデウス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attack</v>
      </c>
      <c r="L307" s="8" t="str">
        <f>VLOOKUP(F307,[1]characters!$A:$M,13,FALSE)</f>
        <v>god</v>
      </c>
      <c r="M307" s="16">
        <f>VLOOKUP(D307,gacha_303_base!A:B,2,FALSE)</f>
        <v>326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39"/>
        <v>3031259</v>
      </c>
      <c r="B308" s="2" t="str">
        <f t="shared" si="40"/>
        <v>3031</v>
      </c>
      <c r="C308" s="8" t="str">
        <f t="shared" si="38"/>
        <v>1PremiumS3</v>
      </c>
      <c r="D308" s="8" t="str">
        <f t="shared" si="37"/>
        <v>1PremiumS3</v>
      </c>
      <c r="E308" s="10">
        <v>1</v>
      </c>
      <c r="F308" s="6">
        <v>259</v>
      </c>
      <c r="G308" s="8" t="str">
        <f>VLOOKUP(F308,[1]characters!$A:$C,3,FALSE)</f>
        <v>ウロボロス</v>
      </c>
      <c r="H308" s="8" t="str">
        <f>VLOOKUP(F308,[1]characters!$A:$J,10,FALSE)</f>
        <v>PremiumS</v>
      </c>
      <c r="I308" s="8">
        <f>VLOOKUP(F308,[1]characters!$A:$I,9,FALSE)</f>
        <v>3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VLOOKUP(D308,gacha_303_base!A:B,2,FALSE)</f>
        <v>2862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39"/>
        <v>3031260</v>
      </c>
      <c r="B309" s="2" t="str">
        <f t="shared" si="40"/>
        <v>3031</v>
      </c>
      <c r="C309" s="8" t="str">
        <f t="shared" si="38"/>
        <v>1PremiumS4</v>
      </c>
      <c r="D309" s="8" t="str">
        <f t="shared" si="37"/>
        <v>1PremiumS4</v>
      </c>
      <c r="E309" s="10">
        <v>1</v>
      </c>
      <c r="F309" s="9">
        <v>260</v>
      </c>
      <c r="G309" s="8" t="str">
        <f>VLOOKUP(F309,[1]characters!$A:$C,3,FALSE)</f>
        <v>輪廻 ウロボロス</v>
      </c>
      <c r="H309" s="8" t="str">
        <f>VLOOKUP(F309,[1]characters!$A:$J,10,FALSE)</f>
        <v>PremiumS</v>
      </c>
      <c r="I309" s="8">
        <f>VLOOKUP(F309,[1]characters!$A:$I,9,FALSE)</f>
        <v>4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VLOOKUP(D309,gacha_303_base!A:B,2,FALSE)</f>
        <v>2536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39"/>
        <v>3031261</v>
      </c>
      <c r="B310" s="2" t="str">
        <f t="shared" si="40"/>
        <v>3031</v>
      </c>
      <c r="C310" s="8" t="str">
        <f t="shared" si="38"/>
        <v>1PremiumS5</v>
      </c>
      <c r="D310" s="8" t="str">
        <f t="shared" si="37"/>
        <v>1PremiumS5</v>
      </c>
      <c r="E310" s="10">
        <v>1</v>
      </c>
      <c r="F310" s="9">
        <v>261</v>
      </c>
      <c r="G310" s="8" t="str">
        <f>VLOOKUP(F310,[1]characters!$A:$C,3,FALSE)</f>
        <v>輪廻の蛇龍 ウロボロス</v>
      </c>
      <c r="H310" s="8" t="str">
        <f>VLOOKUP(F310,[1]characters!$A:$J,10,FALSE)</f>
        <v>PremiumS</v>
      </c>
      <c r="I310" s="8">
        <f>VLOOKUP(F310,[1]characters!$A:$I,9,FALSE)</f>
        <v>5</v>
      </c>
      <c r="J310" s="8" t="str">
        <f>VLOOKUP(F310,[1]characters!$A:$H,8,FALSE)</f>
        <v>yellow</v>
      </c>
      <c r="K310" s="8" t="str">
        <f>VLOOKUP(F310,[1]characters!$A:$K,11,FALSE)</f>
        <v>balance</v>
      </c>
      <c r="L310" s="8" t="str">
        <f>VLOOKUP(F310,[1]characters!$A:$M,13,FALSE)</f>
        <v>dragon</v>
      </c>
      <c r="M310" s="16">
        <f>VLOOKUP(D310,gacha_303_base!A:B,2,FALSE)</f>
        <v>326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hidden="1" customHeight="1">
      <c r="A311" s="7" t="str">
        <f t="shared" si="39"/>
        <v>3031320</v>
      </c>
      <c r="B311" s="2" t="str">
        <f t="shared" si="40"/>
        <v>3031</v>
      </c>
      <c r="C311" s="8" t="str">
        <f t="shared" si="38"/>
        <v>1PremiumSS4</v>
      </c>
      <c r="D311" s="8" t="str">
        <f t="shared" si="37"/>
        <v>1PremiumSS4</v>
      </c>
      <c r="E311" s="10">
        <v>1</v>
      </c>
      <c r="F311" s="6">
        <v>320</v>
      </c>
      <c r="G311" s="8" t="str">
        <f>VLOOKUP(F311,[1]characters!$A:$C,3,FALSE)</f>
        <v>烈志士 近藤勇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VLOOKUP(D311,gacha_303_base!A:B,2,FALSE)</f>
        <v>943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39"/>
        <v>3031321</v>
      </c>
      <c r="B312" s="2" t="str">
        <f t="shared" si="40"/>
        <v>3031</v>
      </c>
      <c r="C312" s="8" t="str">
        <f t="shared" si="38"/>
        <v>1PremiumSS5</v>
      </c>
      <c r="D312" s="8" t="str">
        <f t="shared" si="37"/>
        <v>1PremiumSS5</v>
      </c>
      <c r="E312" s="10">
        <v>1</v>
      </c>
      <c r="F312" s="6">
        <v>321</v>
      </c>
      <c r="G312" s="8" t="str">
        <f>VLOOKUP(F312,[1]characters!$A:$C,3,FALSE)</f>
        <v>巌鉄の烈志士 近藤勇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hp</v>
      </c>
      <c r="L312" s="8" t="str">
        <f>VLOOKUP(F312,[1]characters!$A:$M,13,FALSE)</f>
        <v>human</v>
      </c>
      <c r="M312" s="16">
        <f>VLOOKUP(D312,gacha_303_base!A:B,2,FALSE)</f>
        <v>57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39"/>
        <v>3031322</v>
      </c>
      <c r="B313" s="2" t="str">
        <f t="shared" si="40"/>
        <v>3031</v>
      </c>
      <c r="C313" s="8" t="str">
        <f t="shared" si="38"/>
        <v>1PremiumSS4</v>
      </c>
      <c r="D313" s="8" t="str">
        <f t="shared" si="37"/>
        <v>1PremiumSS4green</v>
      </c>
      <c r="E313" s="10">
        <v>1</v>
      </c>
      <c r="F313" s="6">
        <v>322</v>
      </c>
      <c r="G313" s="8" t="str">
        <f>VLOOKUP(F313,[1]characters!$A:$C,3,FALSE)</f>
        <v>愛志士 土方歳三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VLOOKUP(D313,gacha_303_base!A:B,2,FALSE)</f>
        <v>6601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9"/>
        <v>3031323</v>
      </c>
      <c r="B314" s="2" t="str">
        <f t="shared" si="40"/>
        <v>3031</v>
      </c>
      <c r="C314" s="8" t="str">
        <f t="shared" si="38"/>
        <v>1PremiumSS5</v>
      </c>
      <c r="D314" s="8" t="str">
        <f t="shared" si="37"/>
        <v>1PremiumSS5green</v>
      </c>
      <c r="E314" s="10">
        <v>1</v>
      </c>
      <c r="F314" s="6">
        <v>323</v>
      </c>
      <c r="G314" s="8" t="str">
        <f>VLOOKUP(F314,[1]characters!$A:$C,3,FALSE)</f>
        <v>流麗の愛志士 土方歳三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attack</v>
      </c>
      <c r="L314" s="8" t="str">
        <f>VLOOKUP(F314,[1]characters!$A:$M,13,FALSE)</f>
        <v>human</v>
      </c>
      <c r="M314" s="16">
        <f>VLOOKUP(D314,gacha_303_base!A:B,2,FALSE)</f>
        <v>399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hidden="1" customHeight="1">
      <c r="A315" s="7" t="str">
        <f t="shared" si="39"/>
        <v>3031324</v>
      </c>
      <c r="B315" s="2" t="str">
        <f t="shared" si="40"/>
        <v>3031</v>
      </c>
      <c r="C315" s="8" t="str">
        <f t="shared" si="38"/>
        <v>1PremiumSS4</v>
      </c>
      <c r="D315" s="8" t="str">
        <f t="shared" si="37"/>
        <v>1PremiumSS4</v>
      </c>
      <c r="E315" s="10">
        <v>1</v>
      </c>
      <c r="F315" s="6">
        <v>324</v>
      </c>
      <c r="G315" s="8" t="str">
        <f>VLOOKUP(F315,[1]characters!$A:$C,3,FALSE)</f>
        <v>凛志士 沖田総司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VLOOKUP(D315,gacha_303_base!A:B,2,FALSE)</f>
        <v>943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s="14" customFormat="1" ht="21" hidden="1" customHeight="1" thickBot="1">
      <c r="A316" s="7" t="str">
        <f t="shared" si="39"/>
        <v>3031325</v>
      </c>
      <c r="B316" s="2" t="str">
        <f t="shared" si="40"/>
        <v>3031</v>
      </c>
      <c r="C316" s="8" t="str">
        <f t="shared" si="38"/>
        <v>1PremiumSS5</v>
      </c>
      <c r="D316" s="8" t="str">
        <f t="shared" si="37"/>
        <v>1PremiumSS5</v>
      </c>
      <c r="E316" s="10">
        <v>1</v>
      </c>
      <c r="F316" s="6">
        <v>325</v>
      </c>
      <c r="G316" s="8" t="str">
        <f>VLOOKUP(F316,[1]characters!$A:$C,3,FALSE)</f>
        <v>天賦の凛志士 沖田総司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human</v>
      </c>
      <c r="M316" s="16">
        <f>VLOOKUP(D316,gacha_303_base!A:B,2,FALSE)</f>
        <v>57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hidden="1" customHeight="1">
      <c r="A317" s="7" t="str">
        <f t="shared" si="39"/>
        <v>3031326</v>
      </c>
      <c r="B317" s="2" t="str">
        <f t="shared" si="40"/>
        <v>3031</v>
      </c>
      <c r="C317" s="8" t="str">
        <f t="shared" si="38"/>
        <v>1PremiumSS4</v>
      </c>
      <c r="D317" s="8" t="str">
        <f t="shared" si="37"/>
        <v>1PremiumSS4</v>
      </c>
      <c r="E317" s="10">
        <v>1</v>
      </c>
      <c r="F317" s="6">
        <v>326</v>
      </c>
      <c r="G317" s="8" t="str">
        <f>VLOOKUP(F317,[1]characters!$A:$C,3,FALSE)</f>
        <v>妖志士 斎藤一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VLOOKUP(D317,gacha_303_base!A:B,2,FALSE)</f>
        <v>943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39"/>
        <v>3031327</v>
      </c>
      <c r="B318" s="2" t="str">
        <f t="shared" si="40"/>
        <v>3031</v>
      </c>
      <c r="C318" s="8" t="str">
        <f t="shared" si="38"/>
        <v>1PremiumSS5</v>
      </c>
      <c r="D318" s="8" t="str">
        <f t="shared" si="37"/>
        <v>1PremiumSS5</v>
      </c>
      <c r="E318" s="10">
        <v>1</v>
      </c>
      <c r="F318" s="6">
        <v>327</v>
      </c>
      <c r="G318" s="8" t="str">
        <f>VLOOKUP(F318,[1]characters!$A:$C,3,FALSE)</f>
        <v>千殺の妖志士 斎藤一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yellow</v>
      </c>
      <c r="K318" s="8" t="str">
        <f>VLOOKUP(F318,[1]characters!$A:$K,11,FALSE)</f>
        <v>technical</v>
      </c>
      <c r="L318" s="8" t="str">
        <f>VLOOKUP(F318,[1]characters!$A:$M,13,FALSE)</f>
        <v>human</v>
      </c>
      <c r="M318" s="16">
        <f>VLOOKUP(D318,gacha_303_base!A:B,2,FALSE)</f>
        <v>57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39"/>
        <v>3031380</v>
      </c>
      <c r="B319" s="2" t="str">
        <f t="shared" si="40"/>
        <v>3031</v>
      </c>
      <c r="C319" s="8" t="str">
        <f t="shared" si="38"/>
        <v>1PremiumS3</v>
      </c>
      <c r="D319" s="8" t="str">
        <f t="shared" ref="D319:D382" si="41">E319&amp;H319&amp;I319&amp;IF(J319="green","green","")</f>
        <v>1PremiumS3</v>
      </c>
      <c r="E319" s="10">
        <v>1</v>
      </c>
      <c r="F319" s="6">
        <v>380</v>
      </c>
      <c r="G319" s="8" t="str">
        <f>VLOOKUP(F319,[1]characters!$A:$C,3,FALSE)</f>
        <v>バハムート</v>
      </c>
      <c r="H319" s="8" t="str">
        <f>VLOOKUP(F319,[1]characters!$A:$J,10,FALSE)</f>
        <v>PremiumS</v>
      </c>
      <c r="I319" s="8">
        <f>VLOOKUP(F319,[1]characters!$A:$I,9,FALSE)</f>
        <v>3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VLOOKUP(D319,gacha_303_base!A:B,2,FALSE)</f>
        <v>2862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39"/>
        <v>3031381</v>
      </c>
      <c r="B320" s="2" t="str">
        <f t="shared" si="40"/>
        <v>3031</v>
      </c>
      <c r="C320" s="8" t="str">
        <f t="shared" si="38"/>
        <v>1PremiumS4</v>
      </c>
      <c r="D320" s="8" t="str">
        <f t="shared" si="41"/>
        <v>1PremiumS4</v>
      </c>
      <c r="E320" s="10">
        <v>1</v>
      </c>
      <c r="F320" s="6">
        <v>381</v>
      </c>
      <c r="G320" s="8" t="str">
        <f>VLOOKUP(F320,[1]characters!$A:$C,3,FALSE)</f>
        <v>肉食の恋火 バハムート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VLOOKUP(D320,gacha_303_base!A:B,2,FALSE)</f>
        <v>2536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hidden="1" customHeight="1">
      <c r="A321" s="7" t="str">
        <f t="shared" si="39"/>
        <v>3031382</v>
      </c>
      <c r="B321" s="2" t="str">
        <f t="shared" si="40"/>
        <v>3031</v>
      </c>
      <c r="C321" s="8" t="str">
        <f t="shared" si="38"/>
        <v>1PremiumS5</v>
      </c>
      <c r="D321" s="8" t="str">
        <f t="shared" si="41"/>
        <v>1PremiumS5</v>
      </c>
      <c r="E321" s="10">
        <v>1</v>
      </c>
      <c r="F321" s="6">
        <v>382</v>
      </c>
      <c r="G321" s="8" t="str">
        <f>VLOOKUP(F321,[1]characters!$A:$C,3,FALSE)</f>
        <v>激情の愛炎 バハムート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technical</v>
      </c>
      <c r="L321" s="8" t="str">
        <f>VLOOKUP(F321,[1]characters!$A:$M,13,FALSE)</f>
        <v>dragon</v>
      </c>
      <c r="M321" s="16">
        <f>VLOOKUP(D321,gacha_303_base!A:B,2,FALSE)</f>
        <v>326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39"/>
        <v>3031383</v>
      </c>
      <c r="B322" s="2" t="str">
        <f t="shared" si="40"/>
        <v>3031</v>
      </c>
      <c r="C322" s="8" t="str">
        <f t="shared" si="38"/>
        <v>1PremiumSS4</v>
      </c>
      <c r="D322" s="8" t="str">
        <f t="shared" si="41"/>
        <v>1PremiumSS4green</v>
      </c>
      <c r="E322" s="10">
        <v>1</v>
      </c>
      <c r="F322" s="6">
        <v>383</v>
      </c>
      <c r="G322" s="8" t="str">
        <f>VLOOKUP(F322,[1]characters!$A:$C,3,FALSE)</f>
        <v>酒宴の蟒蛇 ヤマタノオロチ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VLOOKUP(D322,gacha_303_base!A:B,2,FALSE)</f>
        <v>6601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9"/>
        <v>3031384</v>
      </c>
      <c r="B323" s="2" t="str">
        <f t="shared" si="40"/>
        <v>3031</v>
      </c>
      <c r="C323" s="8" t="str">
        <f t="shared" si="38"/>
        <v>1PremiumSS5</v>
      </c>
      <c r="D323" s="8" t="str">
        <f t="shared" si="41"/>
        <v>1PremiumSS5green</v>
      </c>
      <c r="E323" s="10">
        <v>1</v>
      </c>
      <c r="F323" s="6">
        <v>384</v>
      </c>
      <c r="G323" s="8" t="str">
        <f>VLOOKUP(F323,[1]characters!$A:$C,3,FALSE)</f>
        <v>破国の呑龍 ヤマタノオロチ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hp</v>
      </c>
      <c r="L323" s="8" t="str">
        <f>VLOOKUP(F323,[1]characters!$A:$M,13,FALSE)</f>
        <v>dragon</v>
      </c>
      <c r="M323" s="16">
        <f>VLOOKUP(D323,gacha_303_base!A:B,2,FALSE)</f>
        <v>399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39"/>
        <v>3031385</v>
      </c>
      <c r="B324" s="2" t="str">
        <f t="shared" si="40"/>
        <v>3031</v>
      </c>
      <c r="C324" s="8" t="str">
        <f t="shared" si="38"/>
        <v>1PremiumSS4</v>
      </c>
      <c r="D324" s="8" t="str">
        <f t="shared" si="41"/>
        <v>1PremiumSS4</v>
      </c>
      <c r="E324" s="10">
        <v>1</v>
      </c>
      <c r="F324" s="6">
        <v>385</v>
      </c>
      <c r="G324" s="8" t="str">
        <f>VLOOKUP(F324,[1]characters!$A:$C,3,FALSE)</f>
        <v>波烈の出奔 リヴァイアサン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VLOOKUP(D324,gacha_303_base!A:B,2,FALSE)</f>
        <v>943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hidden="1" customHeight="1">
      <c r="A325" s="7" t="str">
        <f t="shared" si="39"/>
        <v>3031386</v>
      </c>
      <c r="B325" s="2" t="str">
        <f t="shared" si="40"/>
        <v>3031</v>
      </c>
      <c r="C325" s="8" t="str">
        <f t="shared" si="38"/>
        <v>1PremiumSS5</v>
      </c>
      <c r="D325" s="8" t="str">
        <f t="shared" si="41"/>
        <v>1PremiumSS5</v>
      </c>
      <c r="E325" s="10">
        <v>1</v>
      </c>
      <c r="F325" s="6">
        <v>386</v>
      </c>
      <c r="G325" s="8" t="str">
        <f>VLOOKUP(F325,[1]characters!$A:$C,3,FALSE)</f>
        <v>氾乱の海龍 リヴァイアサン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dragon</v>
      </c>
      <c r="M325" s="16">
        <f>VLOOKUP(D325,gacha_303_base!A:B,2,FALSE)</f>
        <v>57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39"/>
        <v>3031387</v>
      </c>
      <c r="B326" s="2" t="str">
        <f t="shared" si="40"/>
        <v>3031</v>
      </c>
      <c r="C326" s="8" t="str">
        <f t="shared" si="38"/>
        <v>1PremiumS3</v>
      </c>
      <c r="D326" s="8" t="str">
        <f t="shared" si="41"/>
        <v>1PremiumS3</v>
      </c>
      <c r="E326" s="10">
        <v>1</v>
      </c>
      <c r="F326" s="6">
        <v>387</v>
      </c>
      <c r="G326" s="8" t="str">
        <f>VLOOKUP(F326,[1]characters!$A:$C,3,FALSE)</f>
        <v>スフィンクス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VLOOKUP(D326,gacha_303_base!A:B,2,FALSE)</f>
        <v>2862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hidden="1" customHeight="1">
      <c r="A327" s="7" t="str">
        <f t="shared" si="39"/>
        <v>3031388</v>
      </c>
      <c r="B327" s="2" t="str">
        <f t="shared" si="40"/>
        <v>3031</v>
      </c>
      <c r="C327" s="8" t="str">
        <f t="shared" si="38"/>
        <v>1PremiumS4</v>
      </c>
      <c r="D327" s="8" t="str">
        <f t="shared" si="41"/>
        <v>1PremiumS4</v>
      </c>
      <c r="E327" s="10">
        <v>1</v>
      </c>
      <c r="F327" s="6">
        <v>388</v>
      </c>
      <c r="G327" s="8" t="str">
        <f>VLOOKUP(F327,[1]characters!$A:$C,3,FALSE)</f>
        <v>神円の恋姫 スフィンクス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VLOOKUP(D327,gacha_303_base!A:B,2,FALSE)</f>
        <v>2536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39"/>
        <v>3031389</v>
      </c>
      <c r="B328" s="2" t="str">
        <f t="shared" si="40"/>
        <v>3031</v>
      </c>
      <c r="C328" s="8" t="str">
        <f t="shared" si="38"/>
        <v>1PremiumS5</v>
      </c>
      <c r="D328" s="8" t="str">
        <f t="shared" si="41"/>
        <v>1PremiumS5</v>
      </c>
      <c r="E328" s="10">
        <v>1</v>
      </c>
      <c r="F328" s="6">
        <v>389</v>
      </c>
      <c r="G328" s="8" t="str">
        <f>VLOOKUP(F328,[1]characters!$A:$C,3,FALSE)</f>
        <v>操神の愛姫 スフィンクス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yellow</v>
      </c>
      <c r="K328" s="8" t="str">
        <f>VLOOKUP(F328,[1]characters!$A:$K,11,FALSE)</f>
        <v>heal</v>
      </c>
      <c r="L328" s="8" t="str">
        <f>VLOOKUP(F328,[1]characters!$A:$M,13,FALSE)</f>
        <v>animal</v>
      </c>
      <c r="M328" s="16">
        <f>VLOOKUP(D328,gacha_303_base!A:B,2,FALSE)</f>
        <v>326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39"/>
        <v>3031390</v>
      </c>
      <c r="B329" s="2" t="str">
        <f t="shared" si="40"/>
        <v>3031</v>
      </c>
      <c r="C329" s="8" t="str">
        <f t="shared" si="38"/>
        <v>1PremiumSS4</v>
      </c>
      <c r="D329" s="8" t="str">
        <f t="shared" si="41"/>
        <v>1PremiumSS4</v>
      </c>
      <c r="E329" s="10">
        <v>1</v>
      </c>
      <c r="F329" s="6">
        <v>390</v>
      </c>
      <c r="G329" s="8" t="str">
        <f>VLOOKUP(F329,[1]characters!$A:$C,3,FALSE)</f>
        <v>華環の旅客 親指姫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VLOOKUP(D329,gacha_303_base!A:B,2,FALSE)</f>
        <v>943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39"/>
        <v>3031391</v>
      </c>
      <c r="B330" s="2" t="str">
        <f t="shared" si="40"/>
        <v>3031</v>
      </c>
      <c r="C330" s="8" t="str">
        <f t="shared" si="38"/>
        <v>1PremiumSS5</v>
      </c>
      <c r="D330" s="8" t="str">
        <f t="shared" si="41"/>
        <v>1PremiumSS5</v>
      </c>
      <c r="E330" s="10">
        <v>1</v>
      </c>
      <c r="F330" s="6">
        <v>391</v>
      </c>
      <c r="G330" s="8" t="str">
        <f>VLOOKUP(F330,[1]characters!$A:$C,3,FALSE)</f>
        <v>燕翼の旅人 親指姫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red</v>
      </c>
      <c r="K330" s="8" t="str">
        <f>VLOOKUP(F330,[1]characters!$A:$K,11,FALSE)</f>
        <v>heal</v>
      </c>
      <c r="L330" s="8" t="str">
        <f>VLOOKUP(F330,[1]characters!$A:$M,13,FALSE)</f>
        <v>human</v>
      </c>
      <c r="M330" s="16">
        <f>VLOOKUP(D330,gacha_303_base!A:B,2,FALSE)</f>
        <v>57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39"/>
        <v>3031392</v>
      </c>
      <c r="B331" s="2" t="str">
        <f t="shared" si="40"/>
        <v>3031</v>
      </c>
      <c r="C331" s="8" t="str">
        <f t="shared" si="38"/>
        <v>1PremiumS3</v>
      </c>
      <c r="D331" s="8" t="str">
        <f t="shared" si="41"/>
        <v>1PremiumS3green</v>
      </c>
      <c r="E331" s="10">
        <v>1</v>
      </c>
      <c r="F331" s="6">
        <v>392</v>
      </c>
      <c r="G331" s="8" t="str">
        <f>VLOOKUP(F331,[1]characters!$A:$C,3,FALSE)</f>
        <v>ピーターパン</v>
      </c>
      <c r="H331" s="8" t="str">
        <f>VLOOKUP(F331,[1]characters!$A:$J,10,FALSE)</f>
        <v>PremiumS</v>
      </c>
      <c r="I331" s="8">
        <f>VLOOKUP(F331,[1]characters!$A:$I,9,FALSE)</f>
        <v>3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VLOOKUP(D331,gacha_303_base!A:B,2,FALSE)</f>
        <v>20036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39"/>
        <v>3031393</v>
      </c>
      <c r="B332" s="2" t="str">
        <f t="shared" si="40"/>
        <v>3031</v>
      </c>
      <c r="C332" s="8" t="str">
        <f t="shared" si="38"/>
        <v>1PremiumS4</v>
      </c>
      <c r="D332" s="8" t="str">
        <f t="shared" si="41"/>
        <v>1PremiumS4green</v>
      </c>
      <c r="E332" s="10">
        <v>1</v>
      </c>
      <c r="F332" s="6">
        <v>393</v>
      </c>
      <c r="G332" s="8" t="str">
        <f>VLOOKUP(F332,[1]characters!$A:$C,3,FALSE)</f>
        <v>影縫い ピーターパン</v>
      </c>
      <c r="H332" s="8" t="str">
        <f>VLOOKUP(F332,[1]characters!$A:$J,10,FALSE)</f>
        <v>PremiumS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VLOOKUP(D332,gacha_303_base!A:B,2,FALSE)</f>
        <v>17752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9"/>
        <v>3031394</v>
      </c>
      <c r="B333" s="2" t="str">
        <f t="shared" si="40"/>
        <v>3031</v>
      </c>
      <c r="C333" s="8" t="str">
        <f t="shared" si="38"/>
        <v>1PremiumS5</v>
      </c>
      <c r="D333" s="8" t="str">
        <f t="shared" si="41"/>
        <v>1PremiumS5green</v>
      </c>
      <c r="E333" s="10">
        <v>1</v>
      </c>
      <c r="F333" s="6">
        <v>394</v>
      </c>
      <c r="G333" s="8" t="str">
        <f>VLOOKUP(F333,[1]characters!$A:$C,3,FALSE)</f>
        <v>影求の悪童 ピーターパン</v>
      </c>
      <c r="H333" s="8" t="str">
        <f>VLOOKUP(F333,[1]characters!$A:$J,10,FALSE)</f>
        <v>PremiumS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attack</v>
      </c>
      <c r="L333" s="8" t="str">
        <f>VLOOKUP(F333,[1]characters!$A:$M,13,FALSE)</f>
        <v>human</v>
      </c>
      <c r="M333" s="16">
        <f>VLOOKUP(D333,gacha_303_base!A:B,2,FALSE)</f>
        <v>2284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39"/>
        <v>3031395</v>
      </c>
      <c r="B334" s="2" t="str">
        <f t="shared" si="40"/>
        <v>3031</v>
      </c>
      <c r="C334" s="8" t="str">
        <f t="shared" si="38"/>
        <v>1PremiumS3</v>
      </c>
      <c r="D334" s="8" t="str">
        <f t="shared" si="41"/>
        <v>1PremiumS3</v>
      </c>
      <c r="E334" s="10">
        <v>1</v>
      </c>
      <c r="F334" s="6">
        <v>395</v>
      </c>
      <c r="G334" s="8" t="str">
        <f>VLOOKUP(F334,[1]characters!$A:$C,3,FALSE)</f>
        <v>乙姫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VLOOKUP(D334,gacha_303_base!A:B,2,FALSE)</f>
        <v>2862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39"/>
        <v>3031396</v>
      </c>
      <c r="B335" s="2" t="str">
        <f t="shared" si="40"/>
        <v>3031</v>
      </c>
      <c r="C335" s="8" t="str">
        <f t="shared" si="38"/>
        <v>1PremiumS4</v>
      </c>
      <c r="D335" s="8" t="str">
        <f t="shared" si="41"/>
        <v>1PremiumS4</v>
      </c>
      <c r="E335" s="10">
        <v>1</v>
      </c>
      <c r="F335" s="6">
        <v>396</v>
      </c>
      <c r="G335" s="8" t="str">
        <f>VLOOKUP(F335,[1]characters!$A:$C,3,FALSE)</f>
        <v>竜宮の水雷 乙姫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VLOOKUP(D335,gacha_303_base!A:B,2,FALSE)</f>
        <v>2536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39"/>
        <v>3031397</v>
      </c>
      <c r="B336" s="2" t="str">
        <f t="shared" si="40"/>
        <v>3031</v>
      </c>
      <c r="C336" s="8" t="str">
        <f t="shared" si="38"/>
        <v>1PremiumS5</v>
      </c>
      <c r="D336" s="8" t="str">
        <f t="shared" si="41"/>
        <v>1PremiumS5</v>
      </c>
      <c r="E336" s="10">
        <v>1</v>
      </c>
      <c r="F336" s="6">
        <v>397</v>
      </c>
      <c r="G336" s="8" t="str">
        <f>VLOOKUP(F336,[1]characters!$A:$C,3,FALSE)</f>
        <v>禁断の追箱 乙姫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blue</v>
      </c>
      <c r="K336" s="8" t="str">
        <f>VLOOKUP(F336,[1]characters!$A:$K,11,FALSE)</f>
        <v>hp</v>
      </c>
      <c r="L336" s="8" t="str">
        <f>VLOOKUP(F336,[1]characters!$A:$M,13,FALSE)</f>
        <v>human</v>
      </c>
      <c r="M336" s="16">
        <f>VLOOKUP(D336,gacha_303_base!A:B,2,FALSE)</f>
        <v>326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hidden="1" customHeight="1">
      <c r="A337" s="7" t="str">
        <f t="shared" si="39"/>
        <v>3031398</v>
      </c>
      <c r="B337" s="2" t="str">
        <f t="shared" si="40"/>
        <v>3031</v>
      </c>
      <c r="C337" s="8" t="str">
        <f t="shared" si="38"/>
        <v>1PremiumSS4</v>
      </c>
      <c r="D337" s="8" t="str">
        <f t="shared" si="41"/>
        <v>1PremiumSS4</v>
      </c>
      <c r="E337" s="10">
        <v>1</v>
      </c>
      <c r="F337" s="6">
        <v>398</v>
      </c>
      <c r="G337" s="8" t="str">
        <f>VLOOKUP(F337,[1]characters!$A:$C,3,FALSE)</f>
        <v>ヘンゼル＆グレーテル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VLOOKUP(D337,gacha_303_base!A:B,2,FALSE)</f>
        <v>943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hidden="1" customHeight="1">
      <c r="A338" s="7" t="str">
        <f t="shared" si="39"/>
        <v>3031399</v>
      </c>
      <c r="B338" s="2" t="str">
        <f t="shared" si="40"/>
        <v>3031</v>
      </c>
      <c r="C338" s="8" t="str">
        <f t="shared" si="38"/>
        <v>1PremiumSS5</v>
      </c>
      <c r="D338" s="8" t="str">
        <f t="shared" si="41"/>
        <v>1PremiumSS5</v>
      </c>
      <c r="E338" s="10">
        <v>1</v>
      </c>
      <c r="F338" s="6">
        <v>399</v>
      </c>
      <c r="G338" s="8" t="str">
        <f>VLOOKUP(F338,[1]characters!$A:$C,3,FALSE)</f>
        <v>信愛の兄妹 ヘンゼル＆グレーテル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yellow</v>
      </c>
      <c r="K338" s="8" t="str">
        <f>VLOOKUP(F338,[1]characters!$A:$K,11,FALSE)</f>
        <v>balance</v>
      </c>
      <c r="L338" s="8" t="str">
        <f>VLOOKUP(F338,[1]characters!$A:$M,13,FALSE)</f>
        <v>human</v>
      </c>
      <c r="M338" s="16">
        <f>VLOOKUP(D338,gacha_303_base!A:B,2,FALSE)</f>
        <v>57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hidden="1" customHeight="1">
      <c r="A339" s="7" t="str">
        <f t="shared" si="39"/>
        <v>3031400</v>
      </c>
      <c r="B339" s="2" t="str">
        <f t="shared" si="40"/>
        <v>3031</v>
      </c>
      <c r="C339" s="8" t="str">
        <f t="shared" si="38"/>
        <v>1PremiumS3</v>
      </c>
      <c r="D339" s="8" t="str">
        <f t="shared" si="41"/>
        <v>1PremiumS3</v>
      </c>
      <c r="E339" s="10">
        <v>1</v>
      </c>
      <c r="F339" s="6">
        <v>400</v>
      </c>
      <c r="G339" s="8" t="str">
        <f>VLOOKUP(F339,[1]characters!$A:$C,3,FALSE)</f>
        <v>フェンリル</v>
      </c>
      <c r="H339" s="8" t="str">
        <f>VLOOKUP(F339,[1]characters!$A:$J,10,FALSE)</f>
        <v>PremiumS</v>
      </c>
      <c r="I339" s="8">
        <f>VLOOKUP(F339,[1]characters!$A:$I,9,FALSE)</f>
        <v>3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VLOOKUP(D339,gacha_303_base!A:B,2,FALSE)</f>
        <v>2862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39"/>
        <v>3031401</v>
      </c>
      <c r="B340" s="2" t="str">
        <f t="shared" si="40"/>
        <v>3031</v>
      </c>
      <c r="C340" s="8" t="str">
        <f t="shared" si="38"/>
        <v>1PremiumS4</v>
      </c>
      <c r="D340" s="8" t="str">
        <f t="shared" si="41"/>
        <v>1PremiumS4</v>
      </c>
      <c r="E340" s="10">
        <v>1</v>
      </c>
      <c r="F340" s="6">
        <v>401</v>
      </c>
      <c r="G340" s="8" t="str">
        <f>VLOOKUP(F340,[1]characters!$A:$C,3,FALSE)</f>
        <v>紅銀の孤狼 フェンリル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VLOOKUP(D340,gacha_303_base!A:B,2,FALSE)</f>
        <v>2536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39"/>
        <v>3031402</v>
      </c>
      <c r="B341" s="2" t="str">
        <f t="shared" si="40"/>
        <v>3031</v>
      </c>
      <c r="C341" s="8" t="str">
        <f t="shared" si="38"/>
        <v>1PremiumS5</v>
      </c>
      <c r="D341" s="8" t="str">
        <f t="shared" si="41"/>
        <v>1PremiumS5</v>
      </c>
      <c r="E341" s="10">
        <v>1</v>
      </c>
      <c r="F341" s="6">
        <v>402</v>
      </c>
      <c r="G341" s="8" t="str">
        <f>VLOOKUP(F341,[1]characters!$A:$C,3,FALSE)</f>
        <v>天災の神狼 フェンリル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attack</v>
      </c>
      <c r="L341" s="8" t="str">
        <f>VLOOKUP(F341,[1]characters!$A:$M,13,FALSE)</f>
        <v>animal</v>
      </c>
      <c r="M341" s="16">
        <f>VLOOKUP(D341,gacha_303_base!A:B,2,FALSE)</f>
        <v>326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hidden="1" customHeight="1">
      <c r="A342" s="7" t="str">
        <f t="shared" si="39"/>
        <v>3031403</v>
      </c>
      <c r="B342" s="2" t="str">
        <f t="shared" si="40"/>
        <v>3031</v>
      </c>
      <c r="C342" s="8" t="str">
        <f t="shared" si="38"/>
        <v>1PremiumSS4</v>
      </c>
      <c r="D342" s="8" t="str">
        <f t="shared" si="41"/>
        <v>1PremiumSS4green</v>
      </c>
      <c r="E342" s="10">
        <v>1</v>
      </c>
      <c r="F342" s="6">
        <v>403</v>
      </c>
      <c r="G342" s="8" t="str">
        <f>VLOOKUP(F342,[1]characters!$A:$C,3,FALSE)</f>
        <v>静撃の翠眼 八咫烏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VLOOKUP(D342,gacha_303_base!A:B,2,FALSE)</f>
        <v>6601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9"/>
        <v>3031404</v>
      </c>
      <c r="B343" s="2" t="str">
        <f t="shared" si="40"/>
        <v>3031</v>
      </c>
      <c r="C343" s="8" t="str">
        <f t="shared" si="38"/>
        <v>1PremiumSS5</v>
      </c>
      <c r="D343" s="8" t="str">
        <f t="shared" si="41"/>
        <v>1PremiumSS5green</v>
      </c>
      <c r="E343" s="10">
        <v>1</v>
      </c>
      <c r="F343" s="6">
        <v>404</v>
      </c>
      <c r="G343" s="8" t="str">
        <f>VLOOKUP(F343,[1]characters!$A:$C,3,FALSE)</f>
        <v>空襲の神眼 八咫烏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animal</v>
      </c>
      <c r="M343" s="16">
        <f>VLOOKUP(D343,gacha_303_base!A:B,2,FALSE)</f>
        <v>399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39"/>
        <v>3031405</v>
      </c>
      <c r="B344" s="2" t="str">
        <f t="shared" si="40"/>
        <v>3031</v>
      </c>
      <c r="C344" s="8" t="str">
        <f t="shared" si="38"/>
        <v>1PremiumS3</v>
      </c>
      <c r="D344" s="8" t="str">
        <f t="shared" si="41"/>
        <v>1PremiumS3</v>
      </c>
      <c r="E344" s="10">
        <v>1</v>
      </c>
      <c r="F344" s="6">
        <v>405</v>
      </c>
      <c r="G344" s="8" t="str">
        <f>VLOOKUP(F344,[1]characters!$A:$C,3,FALSE)</f>
        <v>エキドナ</v>
      </c>
      <c r="H344" s="8" t="str">
        <f>VLOOKUP(F344,[1]characters!$A:$J,10,FALSE)</f>
        <v>PremiumS</v>
      </c>
      <c r="I344" s="8">
        <f>VLOOKUP(F344,[1]characters!$A:$I,9,FALSE)</f>
        <v>3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VLOOKUP(D344,gacha_303_base!A:B,2,FALSE)</f>
        <v>2862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39"/>
        <v>3031406</v>
      </c>
      <c r="B345" s="2" t="str">
        <f t="shared" si="40"/>
        <v>3031</v>
      </c>
      <c r="C345" s="8" t="str">
        <f t="shared" si="38"/>
        <v>1PremiumS4</v>
      </c>
      <c r="D345" s="8" t="str">
        <f t="shared" si="41"/>
        <v>1PremiumS4</v>
      </c>
      <c r="E345" s="10">
        <v>1</v>
      </c>
      <c r="F345" s="6">
        <v>406</v>
      </c>
      <c r="G345" s="8" t="str">
        <f>VLOOKUP(F345,[1]characters!$A:$C,3,FALSE)</f>
        <v>美笑の蒼蛇 エキドナ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VLOOKUP(D345,gacha_303_base!A:B,2,FALSE)</f>
        <v>2536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39"/>
        <v>3031407</v>
      </c>
      <c r="B346" s="2" t="str">
        <f t="shared" si="40"/>
        <v>3031</v>
      </c>
      <c r="C346" s="8" t="str">
        <f t="shared" si="38"/>
        <v>1PremiumS5</v>
      </c>
      <c r="D346" s="8" t="str">
        <f t="shared" si="41"/>
        <v>1PremiumS5</v>
      </c>
      <c r="E346" s="10">
        <v>1</v>
      </c>
      <c r="F346" s="6">
        <v>407</v>
      </c>
      <c r="G346" s="8" t="str">
        <f>VLOOKUP(F346,[1]characters!$A:$C,3,FALSE)</f>
        <v>蠱惑の飛刀 エキドナ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technical</v>
      </c>
      <c r="L346" s="8" t="str">
        <f>VLOOKUP(F346,[1]characters!$A:$M,13,FALSE)</f>
        <v>animal</v>
      </c>
      <c r="M346" s="16">
        <f>VLOOKUP(D346,gacha_303_base!A:B,2,FALSE)</f>
        <v>326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hidden="1" customHeight="1">
      <c r="A347" s="7" t="str">
        <f t="shared" si="39"/>
        <v>3031408</v>
      </c>
      <c r="B347" s="2" t="str">
        <f t="shared" si="40"/>
        <v>3031</v>
      </c>
      <c r="C347" s="8" t="str">
        <f t="shared" si="38"/>
        <v>1PremiumSS4</v>
      </c>
      <c r="D347" s="8" t="str">
        <f t="shared" si="41"/>
        <v>1PremiumSS4</v>
      </c>
      <c r="E347" s="10">
        <v>1</v>
      </c>
      <c r="F347" s="6">
        <v>408</v>
      </c>
      <c r="G347" s="8" t="str">
        <f>VLOOKUP(F347,[1]characters!$A:$C,3,FALSE)</f>
        <v>皇魔 アスタロト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VLOOKUP(D347,gacha_303_base!A:B,2,FALSE)</f>
        <v>943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hidden="1" customHeight="1">
      <c r="A348" s="7" t="str">
        <f t="shared" si="39"/>
        <v>3031409</v>
      </c>
      <c r="B348" s="2" t="str">
        <f t="shared" si="40"/>
        <v>3031</v>
      </c>
      <c r="C348" s="8" t="str">
        <f t="shared" si="38"/>
        <v>1PremiumSS5</v>
      </c>
      <c r="D348" s="8" t="str">
        <f t="shared" si="41"/>
        <v>1PremiumSS5</v>
      </c>
      <c r="E348" s="10">
        <v>1</v>
      </c>
      <c r="F348" s="6">
        <v>409</v>
      </c>
      <c r="G348" s="8" t="str">
        <f>VLOOKUP(F348,[1]characters!$A:$C,3,FALSE)</f>
        <v>天眼の皇貴魔 アスタロト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yellow</v>
      </c>
      <c r="K348" s="8" t="str">
        <f>VLOOKUP(F348,[1]characters!$A:$K,11,FALSE)</f>
        <v>attack</v>
      </c>
      <c r="L348" s="8" t="str">
        <f>VLOOKUP(F348,[1]characters!$A:$M,13,FALSE)</f>
        <v>god</v>
      </c>
      <c r="M348" s="16">
        <f>VLOOKUP(D348,gacha_303_base!A:B,2,FALSE)</f>
        <v>57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hidden="1" customHeight="1">
      <c r="A349" s="7" t="str">
        <f t="shared" si="39"/>
        <v>3031434</v>
      </c>
      <c r="B349" s="2" t="str">
        <f t="shared" si="40"/>
        <v>3031</v>
      </c>
      <c r="C349" s="8" t="str">
        <f t="shared" si="38"/>
        <v>1PremiumSS4</v>
      </c>
      <c r="D349" s="8" t="str">
        <f t="shared" si="41"/>
        <v>1PremiumSS4</v>
      </c>
      <c r="E349" s="10">
        <v>1</v>
      </c>
      <c r="F349" s="6">
        <v>434</v>
      </c>
      <c r="G349" s="8" t="str">
        <f>VLOOKUP(F349,[1]characters!$A:$C,3,FALSE)</f>
        <v>D.R.T.H.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VLOOKUP(D349,gacha_303_base!A:B,2,FALSE)</f>
        <v>943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39"/>
        <v>3031435</v>
      </c>
      <c r="B350" s="2" t="str">
        <f t="shared" si="40"/>
        <v>3031</v>
      </c>
      <c r="C350" s="8" t="str">
        <f t="shared" si="38"/>
        <v>1PremiumSS5</v>
      </c>
      <c r="D350" s="8" t="str">
        <f t="shared" si="41"/>
        <v>1PremiumSS5</v>
      </c>
      <c r="E350" s="10">
        <v>1</v>
      </c>
      <c r="F350" s="6">
        <v>435</v>
      </c>
      <c r="G350" s="8" t="str">
        <f>VLOOKUP(F350,[1]characters!$A:$C,3,FALSE)</f>
        <v>曝弾の密偵 D.R.T.H.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red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f>VLOOKUP(D350,gacha_303_base!A:B,2,FALSE)</f>
        <v>57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hidden="1" customHeight="1">
      <c r="A351" s="7" t="str">
        <f t="shared" si="39"/>
        <v>3031436</v>
      </c>
      <c r="B351" s="2" t="str">
        <f t="shared" si="40"/>
        <v>3031</v>
      </c>
      <c r="C351" s="8" t="str">
        <f t="shared" si="38"/>
        <v>1PremiumS3</v>
      </c>
      <c r="D351" s="8" t="str">
        <f t="shared" si="41"/>
        <v>1PremiumS3green</v>
      </c>
      <c r="E351" s="10">
        <v>1</v>
      </c>
      <c r="F351" s="6">
        <v>436</v>
      </c>
      <c r="G351" s="8" t="str">
        <f>VLOOKUP(F351,[1]characters!$A:$C,3,FALSE)</f>
        <v>カカシ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VLOOKUP(D351,gacha_303_base!A:B,2,FALSE)</f>
        <v>20036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hidden="1" customHeight="1">
      <c r="A352" s="7" t="str">
        <f t="shared" si="39"/>
        <v>3031437</v>
      </c>
      <c r="B352" s="2" t="str">
        <f t="shared" si="40"/>
        <v>3031</v>
      </c>
      <c r="C352" s="8" t="str">
        <f t="shared" si="38"/>
        <v>1PremiumS4</v>
      </c>
      <c r="D352" s="8" t="str">
        <f t="shared" si="41"/>
        <v>1PremiumS4green</v>
      </c>
      <c r="E352" s="10">
        <v>1</v>
      </c>
      <c r="F352" s="6">
        <v>437</v>
      </c>
      <c r="G352" s="8" t="str">
        <f>VLOOKUP(F352,[1]characters!$A:$C,3,FALSE)</f>
        <v>忘却者 カカシ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VLOOKUP(D352,gacha_303_base!A:B,2,FALSE)</f>
        <v>17752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9"/>
        <v>3031438</v>
      </c>
      <c r="B353" s="2" t="str">
        <f t="shared" si="40"/>
        <v>3031</v>
      </c>
      <c r="C353" s="8" t="str">
        <f t="shared" si="38"/>
        <v>1PremiumS5</v>
      </c>
      <c r="D353" s="8" t="str">
        <f t="shared" si="41"/>
        <v>1PremiumS5green</v>
      </c>
      <c r="E353" s="10">
        <v>1</v>
      </c>
      <c r="F353" s="6">
        <v>438</v>
      </c>
      <c r="G353" s="8" t="str">
        <f>VLOOKUP(F353,[1]characters!$A:$C,3,FALSE)</f>
        <v>記憶の奪還 カカシ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green</v>
      </c>
      <c r="K353" s="8" t="str">
        <f>VLOOKUP(F353,[1]characters!$A:$K,11,FALSE)</f>
        <v>technical</v>
      </c>
      <c r="L353" s="8" t="str">
        <f>VLOOKUP(F353,[1]characters!$A:$M,13,FALSE)</f>
        <v>human</v>
      </c>
      <c r="M353" s="16">
        <f>VLOOKUP(D353,gacha_303_base!A:B,2,FALSE)</f>
        <v>2284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hidden="1" customHeight="1">
      <c r="A354" s="7" t="str">
        <f t="shared" si="39"/>
        <v>3031439</v>
      </c>
      <c r="B354" s="2" t="str">
        <f t="shared" si="40"/>
        <v>3031</v>
      </c>
      <c r="C354" s="8" t="str">
        <f t="shared" si="38"/>
        <v>1PremiumS3</v>
      </c>
      <c r="D354" s="8" t="str">
        <f t="shared" si="41"/>
        <v>1PremiumS3</v>
      </c>
      <c r="E354" s="10">
        <v>1</v>
      </c>
      <c r="F354" s="6">
        <v>439</v>
      </c>
      <c r="G354" s="8" t="str">
        <f>VLOOKUP(F354,[1]characters!$A:$C,3,FALSE)</f>
        <v>ブリキロガー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VLOOKUP(D354,gacha_303_base!A:B,2,FALSE)</f>
        <v>2862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hidden="1" customHeight="1">
      <c r="A355" s="7" t="str">
        <f t="shared" si="39"/>
        <v>3031440</v>
      </c>
      <c r="B355" s="2" t="str">
        <f t="shared" si="40"/>
        <v>3031</v>
      </c>
      <c r="C355" s="8" t="str">
        <f t="shared" si="38"/>
        <v>1PremiumS4</v>
      </c>
      <c r="D355" s="8" t="str">
        <f t="shared" si="41"/>
        <v>1PremiumS4</v>
      </c>
      <c r="E355" s="10">
        <v>1</v>
      </c>
      <c r="F355" s="6">
        <v>440</v>
      </c>
      <c r="G355" s="8" t="str">
        <f>VLOOKUP(F355,[1]characters!$A:$C,3,FALSE)</f>
        <v>改良型 ブリキロガー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VLOOKUP(D355,gacha_303_base!A:B,2,FALSE)</f>
        <v>2536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hidden="1" customHeight="1">
      <c r="A356" s="7" t="str">
        <f t="shared" si="39"/>
        <v>3031441</v>
      </c>
      <c r="B356" s="2" t="str">
        <f t="shared" si="40"/>
        <v>3031</v>
      </c>
      <c r="C356" s="8" t="str">
        <f t="shared" si="38"/>
        <v>1PremiumS5</v>
      </c>
      <c r="D356" s="8" t="str">
        <f t="shared" si="41"/>
        <v>1PremiumS5</v>
      </c>
      <c r="E356" s="10">
        <v>1</v>
      </c>
      <c r="F356" s="6">
        <v>441</v>
      </c>
      <c r="G356" s="8" t="str">
        <f>VLOOKUP(F356,[1]characters!$A:$C,3,FALSE)</f>
        <v>求心の錻装 ブリキロガー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VLOOKUP(D356,gacha_303_base!A:B,2,FALSE)</f>
        <v>326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hidden="1" customHeight="1">
      <c r="A357" s="7" t="str">
        <f t="shared" si="39"/>
        <v>3031442</v>
      </c>
      <c r="B357" s="2" t="str">
        <f t="shared" si="40"/>
        <v>3031</v>
      </c>
      <c r="C357" s="8" t="str">
        <f t="shared" si="38"/>
        <v>1PremiumSS4</v>
      </c>
      <c r="D357" s="8" t="str">
        <f t="shared" si="41"/>
        <v>1PremiumSS4</v>
      </c>
      <c r="E357" s="10">
        <v>1</v>
      </c>
      <c r="F357" s="6">
        <v>442</v>
      </c>
      <c r="G357" s="8" t="str">
        <f>VLOOKUP(F357,[1]characters!$A:$C,3,FALSE)</f>
        <v>ブレイブリー・ライオン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VLOOKUP(D357,gacha_303_base!A:B,2,FALSE)</f>
        <v>943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hidden="1" customHeight="1">
      <c r="A358" s="7" t="str">
        <f t="shared" si="39"/>
        <v>3031443</v>
      </c>
      <c r="B358" s="2" t="str">
        <f t="shared" si="40"/>
        <v>3031</v>
      </c>
      <c r="C358" s="8" t="str">
        <f t="shared" si="38"/>
        <v>1PremiumSS5</v>
      </c>
      <c r="D358" s="8" t="str">
        <f t="shared" si="41"/>
        <v>1PremiumSS5</v>
      </c>
      <c r="E358" s="10">
        <v>1</v>
      </c>
      <c r="F358" s="6">
        <v>443</v>
      </c>
      <c r="G358" s="8" t="str">
        <f>VLOOKUP(F358,[1]characters!$A:$C,3,FALSE)</f>
        <v>勇機結集 ブレイブリー・ライオン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VLOOKUP(D358,gacha_303_base!A:B,2,FALSE)</f>
        <v>57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hidden="1" customHeight="1">
      <c r="A359" s="7" t="str">
        <f t="shared" si="39"/>
        <v>3031462</v>
      </c>
      <c r="B359" s="2" t="str">
        <f t="shared" si="40"/>
        <v>3031</v>
      </c>
      <c r="C359" s="8" t="str">
        <f t="shared" si="38"/>
        <v>1PremiumS3</v>
      </c>
      <c r="D359" s="8" t="str">
        <f t="shared" si="41"/>
        <v>1PremiumS3</v>
      </c>
      <c r="E359" s="10">
        <v>1</v>
      </c>
      <c r="F359" s="9">
        <v>462</v>
      </c>
      <c r="G359" s="8" t="str">
        <f>VLOOKUP(F359,[1]characters!$A:$C,3,FALSE)</f>
        <v>ガウェイン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VLOOKUP(D359,gacha_303_base!A:B,2,FALSE)</f>
        <v>2862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hidden="1" customHeight="1">
      <c r="A360" s="7" t="str">
        <f t="shared" si="39"/>
        <v>3031463</v>
      </c>
      <c r="B360" s="2" t="str">
        <f t="shared" si="40"/>
        <v>3031</v>
      </c>
      <c r="C360" s="8" t="str">
        <f t="shared" si="38"/>
        <v>1PremiumS4</v>
      </c>
      <c r="D360" s="8" t="str">
        <f t="shared" si="41"/>
        <v>1PremiumS4</v>
      </c>
      <c r="E360" s="10">
        <v>1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VLOOKUP(D360,gacha_303_base!A:B,2,FALSE)</f>
        <v>2536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hidden="1" customHeight="1">
      <c r="A361" s="7" t="str">
        <f t="shared" si="39"/>
        <v>3031464</v>
      </c>
      <c r="B361" s="2" t="str">
        <f t="shared" si="40"/>
        <v>3031</v>
      </c>
      <c r="C361" s="8" t="str">
        <f t="shared" si="38"/>
        <v>1PremiumS5</v>
      </c>
      <c r="D361" s="8" t="str">
        <f t="shared" si="41"/>
        <v>1PremiumS5</v>
      </c>
      <c r="E361" s="10">
        <v>1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VLOOKUP(D361,gacha_303_base!A:B,2,FALSE)</f>
        <v>326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hidden="1" customHeight="1">
      <c r="A362" s="7" t="str">
        <f t="shared" si="39"/>
        <v>3031465</v>
      </c>
      <c r="B362" s="2" t="str">
        <f t="shared" si="40"/>
        <v>3031</v>
      </c>
      <c r="C362" s="8" t="str">
        <f t="shared" si="38"/>
        <v>1PremiumSS4</v>
      </c>
      <c r="D362" s="8" t="str">
        <f t="shared" si="41"/>
        <v>1PremiumSS4green</v>
      </c>
      <c r="E362" s="10">
        <v>1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VLOOKUP(D362,gacha_303_base!A:B,2,FALSE)</f>
        <v>6601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s="11" customFormat="1" ht="21" customHeight="1" thickBot="1">
      <c r="A363" s="7" t="str">
        <f t="shared" si="39"/>
        <v>3031466</v>
      </c>
      <c r="B363" s="2" t="str">
        <f t="shared" si="40"/>
        <v>3031</v>
      </c>
      <c r="C363" s="8" t="str">
        <f t="shared" si="38"/>
        <v>1PremiumSS5</v>
      </c>
      <c r="D363" s="8" t="str">
        <f t="shared" si="41"/>
        <v>1PremiumSS5green</v>
      </c>
      <c r="E363" s="10">
        <v>1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VLOOKUP(D363,gacha_303_base!A:B,2,FALSE)</f>
        <v>399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hidden="1" customHeight="1">
      <c r="A364" s="7" t="str">
        <f t="shared" si="39"/>
        <v>3031467</v>
      </c>
      <c r="B364" s="2" t="str">
        <f t="shared" si="40"/>
        <v>3031</v>
      </c>
      <c r="C364" s="8" t="str">
        <f t="shared" si="38"/>
        <v>1PremiumSS4</v>
      </c>
      <c r="D364" s="8" t="str">
        <f t="shared" si="41"/>
        <v>1PremiumSS4</v>
      </c>
      <c r="E364" s="10">
        <v>1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VLOOKUP(D364,gacha_303_base!A:B,2,FALSE)</f>
        <v>943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hidden="1" customHeight="1">
      <c r="A365" s="7" t="str">
        <f t="shared" si="39"/>
        <v>3031468</v>
      </c>
      <c r="B365" s="2" t="str">
        <f t="shared" si="40"/>
        <v>3031</v>
      </c>
      <c r="C365" s="8" t="str">
        <f t="shared" si="38"/>
        <v>1PremiumSS5</v>
      </c>
      <c r="D365" s="8" t="str">
        <f t="shared" si="41"/>
        <v>1PremiumSS5</v>
      </c>
      <c r="E365" s="10">
        <v>1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VLOOKUP(D365,gacha_303_base!A:B,2,FALSE)</f>
        <v>57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hidden="1" customHeight="1">
      <c r="A366" s="7" t="str">
        <f t="shared" si="39"/>
        <v>3031469</v>
      </c>
      <c r="B366" s="2" t="str">
        <f t="shared" si="40"/>
        <v>3031</v>
      </c>
      <c r="C366" s="8" t="str">
        <f t="shared" si="38"/>
        <v>1PremiumS3</v>
      </c>
      <c r="D366" s="8" t="str">
        <f t="shared" si="41"/>
        <v>1PremiumS3</v>
      </c>
      <c r="E366" s="10">
        <v>1</v>
      </c>
      <c r="F366" s="6">
        <v>469</v>
      </c>
      <c r="G366" s="8" t="str">
        <f>VLOOKUP(F366,[1]characters!$A:$C,3,FALSE)</f>
        <v>トリスタン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VLOOKUP(D366,gacha_303_base!A:B,2,FALSE)</f>
        <v>2862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hidden="1" customHeight="1">
      <c r="A367" s="7" t="str">
        <f t="shared" si="39"/>
        <v>3031470</v>
      </c>
      <c r="B367" s="2" t="str">
        <f t="shared" si="40"/>
        <v>3031</v>
      </c>
      <c r="C367" s="8" t="str">
        <f t="shared" ref="C367:C397" si="42">E367&amp;H367&amp;I367</f>
        <v>1PremiumS4</v>
      </c>
      <c r="D367" s="8" t="str">
        <f t="shared" si="41"/>
        <v>1PremiumS4</v>
      </c>
      <c r="E367" s="10">
        <v>1</v>
      </c>
      <c r="F367" s="6">
        <v>470</v>
      </c>
      <c r="G367" s="8" t="str">
        <f>VLOOKUP(F367,[1]characters!$A:$C,3,FALSE)</f>
        <v>純心 トリスタン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VLOOKUP(D367,gacha_303_base!A:B,2,FALSE)</f>
        <v>2536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hidden="1" customHeight="1">
      <c r="A368" s="7" t="str">
        <f t="shared" ref="A368:A397" si="43">B368&amp;F368</f>
        <v>3031471</v>
      </c>
      <c r="B368" s="2" t="str">
        <f t="shared" ref="B368:B419" si="44">303&amp;E368</f>
        <v>3031</v>
      </c>
      <c r="C368" s="8" t="str">
        <f t="shared" si="42"/>
        <v>1PremiumS5</v>
      </c>
      <c r="D368" s="8" t="str">
        <f t="shared" si="41"/>
        <v>1PremiumS5</v>
      </c>
      <c r="E368" s="10">
        <v>1</v>
      </c>
      <c r="F368" s="6">
        <v>471</v>
      </c>
      <c r="G368" s="8" t="str">
        <f>VLOOKUP(F368,[1]characters!$A:$C,3,FALSE)</f>
        <v>不可避の爆激 トリスタン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yellow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VLOOKUP(D368,gacha_303_base!A:B,2,FALSE)</f>
        <v>326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hidden="1" customHeight="1">
      <c r="A369" s="7" t="str">
        <f t="shared" si="43"/>
        <v>3031474</v>
      </c>
      <c r="B369" s="2" t="str">
        <f t="shared" si="44"/>
        <v>3031</v>
      </c>
      <c r="C369" s="8" t="str">
        <f t="shared" si="42"/>
        <v>1PremiumSS4</v>
      </c>
      <c r="D369" s="8" t="str">
        <f t="shared" si="41"/>
        <v>1PremiumSS4</v>
      </c>
      <c r="E369" s="10">
        <v>1</v>
      </c>
      <c r="F369" s="6">
        <v>474</v>
      </c>
      <c r="G369" s="8" t="str">
        <f>VLOOKUP(F369,[1]characters!$A:$C,3,FALSE)</f>
        <v>キング・ドライグ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VLOOKUP(D369,gacha_303_base!A:B,2,FALSE)</f>
        <v>943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hidden="1" customHeight="1">
      <c r="A370" s="7" t="str">
        <f t="shared" si="43"/>
        <v>3031475</v>
      </c>
      <c r="B370" s="2" t="str">
        <f t="shared" si="44"/>
        <v>3031</v>
      </c>
      <c r="C370" s="8" t="str">
        <f t="shared" si="42"/>
        <v>1PremiumSS5</v>
      </c>
      <c r="D370" s="8" t="str">
        <f t="shared" si="41"/>
        <v>1PremiumSS5</v>
      </c>
      <c r="E370" s="10">
        <v>1</v>
      </c>
      <c r="F370" s="6">
        <v>475</v>
      </c>
      <c r="G370" s="8" t="str">
        <f>VLOOKUP(F370,[1]characters!$A:$C,3,FALSE)</f>
        <v>緋王 キング・ドライグ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red</v>
      </c>
      <c r="K370" s="8" t="str">
        <f>VLOOKUP(F370,[1]characters!$A:$K,11,FALSE)</f>
        <v>attack</v>
      </c>
      <c r="L370" s="8" t="str">
        <f>VLOOKUP(F370,[1]characters!$A:$M,13,FALSE)</f>
        <v>dragon</v>
      </c>
      <c r="M370" s="16">
        <f>VLOOKUP(D370,gacha_303_base!A:B,2,FALSE)</f>
        <v>57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hidden="1" customHeight="1">
      <c r="A371" s="7" t="str">
        <f t="shared" si="43"/>
        <v>3031476</v>
      </c>
      <c r="B371" s="2" t="str">
        <f t="shared" si="44"/>
        <v>3031</v>
      </c>
      <c r="C371" s="8" t="str">
        <f t="shared" si="42"/>
        <v>1PremiumS3</v>
      </c>
      <c r="D371" s="8" t="str">
        <f t="shared" si="41"/>
        <v>1PremiumS3green</v>
      </c>
      <c r="E371" s="10">
        <v>1</v>
      </c>
      <c r="F371" s="6">
        <v>476</v>
      </c>
      <c r="G371" s="8" t="str">
        <f>VLOOKUP(F371,[1]characters!$A:$C,3,FALSE)</f>
        <v>ファータ</v>
      </c>
      <c r="H371" s="8" t="str">
        <f>VLOOKUP(F371,[1]characters!$A:$J,10,FALSE)</f>
        <v>PremiumS</v>
      </c>
      <c r="I371" s="8">
        <f>VLOOKUP(F371,[1]characters!$A:$I,9,FALSE)</f>
        <v>3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VLOOKUP(D371,gacha_303_base!A:B,2,FALSE)</f>
        <v>20036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hidden="1" customHeight="1">
      <c r="A372" s="7" t="str">
        <f t="shared" si="43"/>
        <v>3031477</v>
      </c>
      <c r="B372" s="2" t="str">
        <f t="shared" si="44"/>
        <v>3031</v>
      </c>
      <c r="C372" s="8" t="str">
        <f t="shared" si="42"/>
        <v>1PremiumS4</v>
      </c>
      <c r="D372" s="8" t="str">
        <f t="shared" si="41"/>
        <v>1PremiumS4green</v>
      </c>
      <c r="E372" s="10">
        <v>1</v>
      </c>
      <c r="F372" s="6">
        <v>477</v>
      </c>
      <c r="G372" s="8" t="str">
        <f>VLOOKUP(F372,[1]characters!$A:$C,3,FALSE)</f>
        <v>愛羽妖精 ファータ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VLOOKUP(D372,gacha_303_base!A:B,2,FALSE)</f>
        <v>17752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43"/>
        <v>3031478</v>
      </c>
      <c r="B373" s="2" t="str">
        <f t="shared" si="44"/>
        <v>3031</v>
      </c>
      <c r="C373" s="8" t="str">
        <f t="shared" si="42"/>
        <v>1PremiumS5</v>
      </c>
      <c r="D373" s="8" t="str">
        <f t="shared" si="41"/>
        <v>1PremiumS5green</v>
      </c>
      <c r="E373" s="10">
        <v>1</v>
      </c>
      <c r="F373" s="6">
        <v>478</v>
      </c>
      <c r="G373" s="8" t="str">
        <f>VLOOKUP(F373,[1]characters!$A:$C,3,FALSE)</f>
        <v>時計仕掛けの愛羽妖精 ファータ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heal</v>
      </c>
      <c r="L373" s="8" t="str">
        <f>VLOOKUP(F373,[1]characters!$A:$M,13,FALSE)</f>
        <v>unknown</v>
      </c>
      <c r="M373" s="16">
        <f>VLOOKUP(D373,gacha_303_base!A:B,2,FALSE)</f>
        <v>2284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hidden="1" customHeight="1">
      <c r="A374" s="7" t="str">
        <f t="shared" si="43"/>
        <v>3031479</v>
      </c>
      <c r="B374" s="2" t="str">
        <f t="shared" si="44"/>
        <v>3031</v>
      </c>
      <c r="C374" s="8" t="str">
        <f t="shared" si="42"/>
        <v>1PremiumSS4</v>
      </c>
      <c r="D374" s="8" t="str">
        <f t="shared" si="41"/>
        <v>1PremiumSS4</v>
      </c>
      <c r="E374" s="10">
        <v>1</v>
      </c>
      <c r="F374" s="6">
        <v>479</v>
      </c>
      <c r="G374" s="8" t="str">
        <f>VLOOKUP(F374,[1]characters!$A:$C,3,FALSE)</f>
        <v>フール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VLOOKUP(D374,gacha_303_base!A:B,2,FALSE)</f>
        <v>943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hidden="1" customHeight="1">
      <c r="A375" s="7" t="str">
        <f t="shared" si="43"/>
        <v>3031480</v>
      </c>
      <c r="B375" s="2" t="str">
        <f t="shared" si="44"/>
        <v>3031</v>
      </c>
      <c r="C375" s="8" t="str">
        <f t="shared" si="42"/>
        <v>1PremiumSS5</v>
      </c>
      <c r="D375" s="8" t="str">
        <f t="shared" si="41"/>
        <v>1PremiumSS5</v>
      </c>
      <c r="E375" s="10">
        <v>1</v>
      </c>
      <c r="F375" s="6">
        <v>480</v>
      </c>
      <c r="G375" s="8" t="str">
        <f>VLOOKUP(F375,[1]characters!$A:$C,3,FALSE)</f>
        <v>夢幻の愚者フール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blue</v>
      </c>
      <c r="K375" s="8" t="str">
        <f>VLOOKUP(F375,[1]characters!$A:$K,11,FALSE)</f>
        <v>technical</v>
      </c>
      <c r="L375" s="8" t="str">
        <f>VLOOKUP(F375,[1]characters!$A:$M,13,FALSE)</f>
        <v>god</v>
      </c>
      <c r="M375" s="16">
        <f>VLOOKUP(D375,gacha_303_base!A:B,2,FALSE)</f>
        <v>57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hidden="1" customHeight="1">
      <c r="A376" s="7" t="str">
        <f t="shared" si="43"/>
        <v>3031481</v>
      </c>
      <c r="B376" s="2" t="str">
        <f t="shared" si="44"/>
        <v>3031</v>
      </c>
      <c r="C376" s="8" t="str">
        <f t="shared" si="42"/>
        <v>1PremiumS3</v>
      </c>
      <c r="D376" s="8" t="str">
        <f t="shared" si="41"/>
        <v>1PremiumS3</v>
      </c>
      <c r="E376" s="10">
        <v>1</v>
      </c>
      <c r="F376" s="6">
        <v>481</v>
      </c>
      <c r="G376" s="8" t="str">
        <f>VLOOKUP(F376,[1]characters!$A:$C,3,FALSE)</f>
        <v>沢庵宗彭</v>
      </c>
      <c r="H376" s="8" t="str">
        <f>VLOOKUP(F376,[1]characters!$A:$J,10,FALSE)</f>
        <v>PremiumS</v>
      </c>
      <c r="I376" s="8">
        <f>VLOOKUP(F376,[1]characters!$A:$I,9,FALSE)</f>
        <v>3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VLOOKUP(D376,gacha_303_base!A:B,2,FALSE)</f>
        <v>2862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hidden="1" customHeight="1">
      <c r="A377" s="7" t="str">
        <f t="shared" si="43"/>
        <v>3031482</v>
      </c>
      <c r="B377" s="2" t="str">
        <f t="shared" si="44"/>
        <v>3031</v>
      </c>
      <c r="C377" s="8" t="str">
        <f t="shared" si="42"/>
        <v>1PremiumS4</v>
      </c>
      <c r="D377" s="8" t="str">
        <f t="shared" si="41"/>
        <v>1PremiumS4</v>
      </c>
      <c r="E377" s="10">
        <v>1</v>
      </c>
      <c r="F377" s="6">
        <v>482</v>
      </c>
      <c r="G377" s="8" t="str">
        <f>VLOOKUP(F377,[1]characters!$A:$C,3,FALSE)</f>
        <v>魁僧 沢庵宗彭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VLOOKUP(D377,gacha_303_base!A:B,2,FALSE)</f>
        <v>2536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hidden="1" customHeight="1">
      <c r="A378" s="7" t="str">
        <f t="shared" si="43"/>
        <v>3031483</v>
      </c>
      <c r="B378" s="2" t="str">
        <f t="shared" si="44"/>
        <v>3031</v>
      </c>
      <c r="C378" s="8" t="str">
        <f t="shared" si="42"/>
        <v>1PremiumS5</v>
      </c>
      <c r="D378" s="8" t="str">
        <f t="shared" si="41"/>
        <v>1PremiumS5</v>
      </c>
      <c r="E378" s="10">
        <v>1</v>
      </c>
      <c r="F378" s="6">
        <v>483</v>
      </c>
      <c r="G378" s="8" t="str">
        <f>VLOOKUP(F378,[1]characters!$A:$C,3,FALSE)</f>
        <v xml:space="preserve">命経死遂 沢庵宗彭 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hp</v>
      </c>
      <c r="L378" s="8" t="str">
        <f>VLOOKUP(F378,[1]characters!$A:$M,13,FALSE)</f>
        <v>human</v>
      </c>
      <c r="M378" s="16">
        <f>VLOOKUP(D378,gacha_303_base!A:B,2,FALSE)</f>
        <v>326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hidden="1" customHeight="1">
      <c r="A379" s="7" t="str">
        <f t="shared" si="43"/>
        <v>3031492</v>
      </c>
      <c r="B379" s="2" t="str">
        <f t="shared" si="44"/>
        <v>3031</v>
      </c>
      <c r="C379" s="8" t="str">
        <f t="shared" si="42"/>
        <v>1PremiumSS4</v>
      </c>
      <c r="D379" s="8" t="str">
        <f t="shared" si="41"/>
        <v>1PremiumSS4</v>
      </c>
      <c r="E379" s="10">
        <v>1</v>
      </c>
      <c r="F379" s="6">
        <v>492</v>
      </c>
      <c r="G379" s="8" t="str">
        <f>VLOOKUP(F379,[1]characters!$A:$C,3,FALSE)</f>
        <v>ブートレグ・ペロー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VLOOKUP(D379,gacha_303_base!A:B,2,FALSE)</f>
        <v>943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hidden="1" customHeight="1">
      <c r="A380" s="7" t="str">
        <f t="shared" si="43"/>
        <v>3031493</v>
      </c>
      <c r="B380" s="2" t="str">
        <f t="shared" si="44"/>
        <v>3031</v>
      </c>
      <c r="C380" s="8" t="str">
        <f t="shared" si="42"/>
        <v>1PremiumSS5</v>
      </c>
      <c r="D380" s="8" t="str">
        <f t="shared" si="41"/>
        <v>1PremiumSS5</v>
      </c>
      <c r="E380" s="10">
        <v>1</v>
      </c>
      <c r="F380" s="6">
        <v>493</v>
      </c>
      <c r="G380" s="8" t="str">
        <f>VLOOKUP(F380,[1]characters!$A:$C,3,FALSE)</f>
        <v>跋扈の機脚 ブートレグ・ペロー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animal</v>
      </c>
      <c r="M380" s="16">
        <f>VLOOKUP(D380,gacha_303_base!A:B,2,FALSE)</f>
        <v>57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hidden="1" customHeight="1">
      <c r="A381" s="7" t="str">
        <f t="shared" si="43"/>
        <v>3031494</v>
      </c>
      <c r="B381" s="2" t="str">
        <f t="shared" si="44"/>
        <v>3031</v>
      </c>
      <c r="C381" s="8" t="str">
        <f t="shared" si="42"/>
        <v>1PremiumSS4</v>
      </c>
      <c r="D381" s="8" t="str">
        <f t="shared" si="41"/>
        <v>1PremiumSS4green</v>
      </c>
      <c r="E381" s="10">
        <v>1</v>
      </c>
      <c r="F381" s="6">
        <v>494</v>
      </c>
      <c r="G381" s="8" t="str">
        <f>VLOOKUP(F381,[1]characters!$A:$C,3,FALSE)</f>
        <v>ハーメルン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VLOOKUP(D381,gacha_303_base!A:B,2,FALSE)</f>
        <v>6601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3"/>
        <v>3031495</v>
      </c>
      <c r="B382" s="2" t="str">
        <f t="shared" si="44"/>
        <v>3031</v>
      </c>
      <c r="C382" s="8" t="str">
        <f t="shared" si="42"/>
        <v>1PremiumSS5</v>
      </c>
      <c r="D382" s="8" t="str">
        <f t="shared" si="41"/>
        <v>1PremiumSS5green</v>
      </c>
      <c r="E382" s="10">
        <v>1</v>
      </c>
      <c r="F382" s="6">
        <v>495</v>
      </c>
      <c r="G382" s="8" t="str">
        <f>VLOOKUP(F382,[1]characters!$A:$C,3,FALSE)</f>
        <v>鼠災呼ぶ笛音 ハーメルン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green</v>
      </c>
      <c r="K382" s="8" t="str">
        <f>VLOOKUP(F382,[1]characters!$A:$K,11,FALSE)</f>
        <v>technical</v>
      </c>
      <c r="L382" s="8" t="str">
        <f>VLOOKUP(F382,[1]characters!$A:$M,13,FALSE)</f>
        <v>human</v>
      </c>
      <c r="M382" s="16">
        <f>VLOOKUP(D382,gacha_303_base!A:B,2,FALSE)</f>
        <v>399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hidden="1" customHeight="1">
      <c r="A383" s="7" t="str">
        <f t="shared" si="43"/>
        <v>3031496</v>
      </c>
      <c r="B383" s="2" t="str">
        <f t="shared" si="44"/>
        <v>3031</v>
      </c>
      <c r="C383" s="8" t="str">
        <f t="shared" si="42"/>
        <v>1PremiumS3</v>
      </c>
      <c r="D383" s="8" t="str">
        <f t="shared" ref="D383:D419" si="45">E383&amp;H383&amp;I383&amp;IF(J383="green","green","")</f>
        <v>1PremiumS3</v>
      </c>
      <c r="E383" s="10">
        <v>1</v>
      </c>
      <c r="F383" s="6">
        <v>496</v>
      </c>
      <c r="G383" s="8" t="str">
        <f>VLOOKUP(F383,[1]characters!$A:$C,3,FALSE)</f>
        <v>エスタブ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VLOOKUP(D383,gacha_303_base!A:B,2,FALSE)</f>
        <v>2862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hidden="1" customHeight="1">
      <c r="A384" s="7" t="str">
        <f t="shared" si="43"/>
        <v>3031497</v>
      </c>
      <c r="B384" s="2" t="str">
        <f t="shared" si="44"/>
        <v>3031</v>
      </c>
      <c r="C384" s="8" t="str">
        <f t="shared" si="42"/>
        <v>1PremiumS4</v>
      </c>
      <c r="D384" s="8" t="str">
        <f t="shared" si="45"/>
        <v>1PremiumS4</v>
      </c>
      <c r="E384" s="10">
        <v>1</v>
      </c>
      <c r="F384" s="6">
        <v>497</v>
      </c>
      <c r="G384" s="8" t="str">
        <f>VLOOKUP(F384,[1]characters!$A:$C,3,FALSE)</f>
        <v>偏愛の野獣 エスタブ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VLOOKUP(D384,gacha_303_base!A:B,2,FALSE)</f>
        <v>2536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hidden="1" customHeight="1">
      <c r="A385" s="7" t="str">
        <f t="shared" si="43"/>
        <v>3031498</v>
      </c>
      <c r="B385" s="2" t="str">
        <f t="shared" si="44"/>
        <v>3031</v>
      </c>
      <c r="C385" s="8" t="str">
        <f t="shared" si="42"/>
        <v>1PremiumS5</v>
      </c>
      <c r="D385" s="8" t="str">
        <f t="shared" si="45"/>
        <v>1PremiumS5</v>
      </c>
      <c r="E385" s="10">
        <v>1</v>
      </c>
      <c r="F385" s="6">
        <v>498</v>
      </c>
      <c r="G385" s="8" t="str">
        <f>VLOOKUP(F385,[1]characters!$A:$C,3,FALSE)</f>
        <v>自愛の高魔 エスタブ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blue</v>
      </c>
      <c r="K385" s="8" t="str">
        <f>VLOOKUP(F385,[1]characters!$A:$K,11,FALSE)</f>
        <v>attack</v>
      </c>
      <c r="L385" s="8" t="str">
        <f>VLOOKUP(F385,[1]characters!$A:$M,13,FALSE)</f>
        <v>human</v>
      </c>
      <c r="M385" s="16">
        <f>VLOOKUP(D385,gacha_303_base!A:B,2,FALSE)</f>
        <v>326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hidden="1" customHeight="1">
      <c r="A386" s="7" t="str">
        <f t="shared" si="43"/>
        <v>3031499</v>
      </c>
      <c r="B386" s="2" t="str">
        <f t="shared" si="44"/>
        <v>3031</v>
      </c>
      <c r="C386" s="8" t="str">
        <f t="shared" si="42"/>
        <v>1PremiumSS4</v>
      </c>
      <c r="D386" s="8" t="str">
        <f t="shared" si="45"/>
        <v>1PremiumSS4</v>
      </c>
      <c r="E386" s="10">
        <v>1</v>
      </c>
      <c r="F386" s="6">
        <v>499</v>
      </c>
      <c r="G386" s="8" t="str">
        <f>VLOOKUP(F386,[1]characters!$A:$C,3,FALSE)</f>
        <v>ラプンツェル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VLOOKUP(D386,gacha_303_base!A:B,2,FALSE)</f>
        <v>943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hidden="1" customHeight="1">
      <c r="A387" s="7" t="str">
        <f t="shared" si="43"/>
        <v>3031500</v>
      </c>
      <c r="B387" s="2" t="str">
        <f t="shared" si="44"/>
        <v>3031</v>
      </c>
      <c r="C387" s="8" t="str">
        <f t="shared" si="42"/>
        <v>1PremiumSS5</v>
      </c>
      <c r="D387" s="8" t="str">
        <f t="shared" si="45"/>
        <v>1PremiumSS5</v>
      </c>
      <c r="E387" s="10">
        <v>1</v>
      </c>
      <c r="F387" s="6">
        <v>500</v>
      </c>
      <c r="G387" s="8" t="str">
        <f>VLOOKUP(F387,[1]characters!$A:$C,3,FALSE)</f>
        <v>脈動の禁髪 ラプンツェル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yellow</v>
      </c>
      <c r="K387" s="8" t="str">
        <f>VLOOKUP(F387,[1]characters!$A:$K,11,FALSE)</f>
        <v>balance</v>
      </c>
      <c r="L387" s="8" t="str">
        <f>VLOOKUP(F387,[1]characters!$A:$M,13,FALSE)</f>
        <v>human</v>
      </c>
      <c r="M387" s="16">
        <f>VLOOKUP(D387,gacha_303_base!A:B,2,FALSE)</f>
        <v>57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hidden="1" customHeight="1">
      <c r="A388" s="7" t="str">
        <f t="shared" si="43"/>
        <v>3031586</v>
      </c>
      <c r="B388" s="2" t="str">
        <f t="shared" si="44"/>
        <v>3031</v>
      </c>
      <c r="C388" s="8" t="str">
        <f t="shared" si="42"/>
        <v>1PremiumSS4</v>
      </c>
      <c r="D388" s="8" t="str">
        <f t="shared" si="45"/>
        <v>1PremiumSS4</v>
      </c>
      <c r="E388" s="10">
        <v>1</v>
      </c>
      <c r="F388" s="6">
        <v>586</v>
      </c>
      <c r="G388" s="8" t="str">
        <f>VLOOKUP(F388,[1]characters!$A:$C,3,FALSE)</f>
        <v>ユミル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VLOOKUP(D388,gacha_303_base!A:B,2,FALSE)</f>
        <v>943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hidden="1" customHeight="1">
      <c r="A389" s="7" t="str">
        <f t="shared" si="43"/>
        <v>3031587</v>
      </c>
      <c r="B389" s="2" t="str">
        <f t="shared" si="44"/>
        <v>3031</v>
      </c>
      <c r="C389" s="8" t="str">
        <f t="shared" si="42"/>
        <v>1PremiumSS5</v>
      </c>
      <c r="D389" s="8" t="str">
        <f t="shared" si="45"/>
        <v>1PremiumSS5</v>
      </c>
      <c r="E389" s="10">
        <v>1</v>
      </c>
      <c r="F389" s="6">
        <v>587</v>
      </c>
      <c r="G389" s="8" t="str">
        <f>VLOOKUP(F389,[1]characters!$A:$C,3,FALSE)</f>
        <v>原初の煉鋼巨刃 ユミル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red</v>
      </c>
      <c r="K389" s="8" t="str">
        <f>VLOOKUP(F389,[1]characters!$A:$K,11,FALSE)</f>
        <v>hp</v>
      </c>
      <c r="L389" s="8" t="str">
        <f>VLOOKUP(F389,[1]characters!$A:$M,13,FALSE)</f>
        <v>machine</v>
      </c>
      <c r="M389" s="16">
        <f>VLOOKUP(D389,gacha_303_base!A:B,2,FALSE)</f>
        <v>57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hidden="1" customHeight="1">
      <c r="A390" s="7" t="str">
        <f t="shared" si="43"/>
        <v>3031588</v>
      </c>
      <c r="B390" s="2" t="str">
        <f t="shared" si="44"/>
        <v>3031</v>
      </c>
      <c r="C390" s="8" t="str">
        <f t="shared" si="42"/>
        <v>1PremiumS3</v>
      </c>
      <c r="D390" s="8" t="str">
        <f t="shared" si="45"/>
        <v>1PremiumS3green</v>
      </c>
      <c r="E390" s="10">
        <v>1</v>
      </c>
      <c r="F390" s="6">
        <v>588</v>
      </c>
      <c r="G390" s="8" t="str">
        <f>VLOOKUP(F390,[1]characters!$A:$C,3,FALSE)</f>
        <v>ニーベルゲン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VLOOKUP(D390,gacha_303_base!A:B,2,FALSE)</f>
        <v>20036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hidden="1" customHeight="1">
      <c r="A391" s="7" t="str">
        <f t="shared" si="43"/>
        <v>3031589</v>
      </c>
      <c r="B391" s="2" t="str">
        <f t="shared" si="44"/>
        <v>3031</v>
      </c>
      <c r="C391" s="8" t="str">
        <f t="shared" si="42"/>
        <v>1PremiumS4</v>
      </c>
      <c r="D391" s="8" t="str">
        <f t="shared" si="45"/>
        <v>1PremiumS4green</v>
      </c>
      <c r="E391" s="10">
        <v>1</v>
      </c>
      <c r="F391" s="6">
        <v>589</v>
      </c>
      <c r="G391" s="8" t="str">
        <f>VLOOKUP(F391,[1]characters!$A:$C,3,FALSE)</f>
        <v>不幸の円環 ニーベルゲン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VLOOKUP(D391,gacha_303_base!A:B,2,FALSE)</f>
        <v>17752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si="43"/>
        <v>3031590</v>
      </c>
      <c r="B392" s="2" t="str">
        <f t="shared" si="44"/>
        <v>3031</v>
      </c>
      <c r="C392" s="8" t="str">
        <f t="shared" si="42"/>
        <v>1PremiumS5</v>
      </c>
      <c r="D392" s="8" t="str">
        <f t="shared" si="45"/>
        <v>1PremiumS5green</v>
      </c>
      <c r="E392" s="10">
        <v>1</v>
      </c>
      <c r="F392" s="6">
        <v>590</v>
      </c>
      <c r="G392" s="8" t="str">
        <f>VLOOKUP(F392,[1]characters!$A:$C,3,FALSE)</f>
        <v>永遠を廻る呪い ニーベルゲン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green</v>
      </c>
      <c r="K392" s="8" t="str">
        <f>VLOOKUP(F392,[1]characters!$A:$K,11,FALSE)</f>
        <v>balance</v>
      </c>
      <c r="L392" s="8" t="str">
        <f>VLOOKUP(F392,[1]characters!$A:$M,13,FALSE)</f>
        <v>unknown</v>
      </c>
      <c r="M392" s="16">
        <f>VLOOKUP(D392,gacha_303_base!A:B,2,FALSE)</f>
        <v>2284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hidden="1" customHeight="1">
      <c r="A393" s="7" t="str">
        <f t="shared" si="43"/>
        <v>3031591</v>
      </c>
      <c r="B393" s="2" t="str">
        <f t="shared" si="44"/>
        <v>3031</v>
      </c>
      <c r="C393" s="8" t="str">
        <f t="shared" si="42"/>
        <v>1PremiumS3</v>
      </c>
      <c r="D393" s="8" t="str">
        <f t="shared" si="45"/>
        <v>1PremiumS3</v>
      </c>
      <c r="E393" s="10">
        <v>1</v>
      </c>
      <c r="F393" s="6">
        <v>591</v>
      </c>
      <c r="G393" s="8" t="str">
        <f>VLOOKUP(F393,[1]characters!$A:$C,3,FALSE)</f>
        <v>ファフニール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VLOOKUP(D393,gacha_303_base!A:B,2,FALSE)</f>
        <v>2862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hidden="1" customHeight="1">
      <c r="A394" s="7" t="str">
        <f t="shared" si="43"/>
        <v>3031592</v>
      </c>
      <c r="B394" s="2" t="str">
        <f t="shared" si="44"/>
        <v>3031</v>
      </c>
      <c r="C394" s="8" t="str">
        <f t="shared" si="42"/>
        <v>1PremiumS4</v>
      </c>
      <c r="D394" s="8" t="str">
        <f t="shared" si="45"/>
        <v>1PremiumS4</v>
      </c>
      <c r="E394" s="10">
        <v>1</v>
      </c>
      <c r="F394" s="6">
        <v>592</v>
      </c>
      <c r="G394" s="8" t="str">
        <f>VLOOKUP(F394,[1]characters!$A:$C,3,FALSE)</f>
        <v>財宝への執着 ファフニール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VLOOKUP(D394,gacha_303_base!A:B,2,FALSE)</f>
        <v>2536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hidden="1" customHeight="1">
      <c r="A395" s="7" t="str">
        <f t="shared" si="43"/>
        <v>3031593</v>
      </c>
      <c r="B395" s="2" t="str">
        <f t="shared" si="44"/>
        <v>3031</v>
      </c>
      <c r="C395" s="8" t="str">
        <f t="shared" si="42"/>
        <v>1PremiumS5</v>
      </c>
      <c r="D395" s="8" t="str">
        <f t="shared" si="45"/>
        <v>1PremiumS5</v>
      </c>
      <c r="E395" s="10">
        <v>1</v>
      </c>
      <c r="F395" s="6">
        <v>593</v>
      </c>
      <c r="G395" s="8" t="str">
        <f>VLOOKUP(F395,[1]characters!$A:$C,3,FALSE)</f>
        <v>妄執する邪毒龍 ファフニール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blue</v>
      </c>
      <c r="K395" s="8" t="str">
        <f>VLOOKUP(F395,[1]characters!$A:$K,11,FALSE)</f>
        <v>technical</v>
      </c>
      <c r="L395" s="8" t="str">
        <f>VLOOKUP(F395,[1]characters!$A:$M,13,FALSE)</f>
        <v>dragon</v>
      </c>
      <c r="M395" s="16">
        <f>VLOOKUP(D395,gacha_303_base!A:B,2,FALSE)</f>
        <v>326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hidden="1" customHeight="1">
      <c r="A396" s="7" t="str">
        <f t="shared" si="43"/>
        <v>3031594</v>
      </c>
      <c r="B396" s="2" t="str">
        <f t="shared" si="44"/>
        <v>3031</v>
      </c>
      <c r="C396" s="8" t="str">
        <f t="shared" si="42"/>
        <v>1PremiumSS4</v>
      </c>
      <c r="D396" s="8" t="str">
        <f t="shared" si="45"/>
        <v>1PremiumSS4</v>
      </c>
      <c r="E396" s="10">
        <v>1</v>
      </c>
      <c r="F396" s="6">
        <v>594</v>
      </c>
      <c r="G396" s="8" t="str">
        <f>VLOOKUP(F396,[1]characters!$A:$C,3,FALSE)</f>
        <v>アルフヘイム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VLOOKUP(D396,gacha_303_base!A:B,2,FALSE)</f>
        <v>943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hidden="1" customHeight="1">
      <c r="A397" s="7" t="str">
        <f t="shared" si="43"/>
        <v>3031595</v>
      </c>
      <c r="B397" s="2" t="str">
        <f t="shared" si="44"/>
        <v>3031</v>
      </c>
      <c r="C397" s="8" t="str">
        <f t="shared" si="42"/>
        <v>1PremiumSS5</v>
      </c>
      <c r="D397" s="8" t="str">
        <f t="shared" si="45"/>
        <v>1PremiumSS5</v>
      </c>
      <c r="E397" s="10">
        <v>1</v>
      </c>
      <c r="F397" s="6">
        <v>595</v>
      </c>
      <c r="G397" s="8" t="str">
        <f>VLOOKUP(F397,[1]characters!$A:$C,3,FALSE)</f>
        <v>光華なる神域 アルフヘイム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yellow</v>
      </c>
      <c r="K397" s="8" t="str">
        <f>VLOOKUP(F397,[1]characters!$A:$K,11,FALSE)</f>
        <v>attack</v>
      </c>
      <c r="L397" s="8" t="str">
        <f>VLOOKUP(F397,[1]characters!$A:$M,13,FALSE)</f>
        <v>dragon</v>
      </c>
      <c r="M397" s="16">
        <f>VLOOKUP(D397,gacha_303_base!A:B,2,FALSE)</f>
        <v>57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hidden="1" customHeight="1">
      <c r="A398" s="7" t="str">
        <f t="shared" ref="A398:A408" si="46">B398&amp;F398</f>
        <v>3031596</v>
      </c>
      <c r="B398" s="2" t="str">
        <f t="shared" si="44"/>
        <v>3031</v>
      </c>
      <c r="C398" s="8" t="str">
        <f t="shared" ref="C398:C408" si="47">E398&amp;H398&amp;I398</f>
        <v>1PremiumS3</v>
      </c>
      <c r="D398" s="8" t="str">
        <f t="shared" si="45"/>
        <v>1PremiumS3</v>
      </c>
      <c r="E398" s="10">
        <v>1</v>
      </c>
      <c r="F398" s="6">
        <v>596</v>
      </c>
      <c r="G398" s="8" t="str">
        <f>VLOOKUP(F398,[1]characters!$A:$C,3,FALSE)</f>
        <v>ムスペルヘイム</v>
      </c>
      <c r="H398" s="8" t="str">
        <f>VLOOKUP(F398,[1]characters!$A:$J,10,FALSE)</f>
        <v>PremiumS</v>
      </c>
      <c r="I398" s="8">
        <f>VLOOKUP(F398,[1]characters!$A:$I,9,FALSE)</f>
        <v>3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VLOOKUP(D398,gacha_303_base!A:B,2,FALSE)</f>
        <v>2862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hidden="1" customHeight="1">
      <c r="A399" s="7" t="str">
        <f t="shared" si="46"/>
        <v>3031597</v>
      </c>
      <c r="B399" s="2" t="str">
        <f t="shared" si="44"/>
        <v>3031</v>
      </c>
      <c r="C399" s="8" t="str">
        <f t="shared" si="47"/>
        <v>1PremiumS4</v>
      </c>
      <c r="D399" s="8" t="str">
        <f t="shared" si="45"/>
        <v>1PremiumS4</v>
      </c>
      <c r="E399" s="10">
        <v>1</v>
      </c>
      <c r="F399" s="6">
        <v>597</v>
      </c>
      <c r="G399" s="8" t="str">
        <f>VLOOKUP(F399,[1]characters!$A:$C,3,FALSE)</f>
        <v>灼熱の魂 ムスペルヘイム</v>
      </c>
      <c r="H399" s="8" t="str">
        <f>VLOOKUP(F399,[1]characters!$A:$J,10,FALSE)</f>
        <v>PremiumS</v>
      </c>
      <c r="I399" s="8">
        <f>VLOOKUP(F399,[1]characters!$A:$I,9,FALSE)</f>
        <v>4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VLOOKUP(D399,gacha_303_base!A:B,2,FALSE)</f>
        <v>2536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  <row r="400" spans="1:19" ht="21" hidden="1" customHeight="1">
      <c r="A400" s="7" t="str">
        <f t="shared" si="46"/>
        <v>3031598</v>
      </c>
      <c r="B400" s="2" t="str">
        <f t="shared" si="44"/>
        <v>3031</v>
      </c>
      <c r="C400" s="8" t="str">
        <f t="shared" si="47"/>
        <v>1PremiumS5</v>
      </c>
      <c r="D400" s="8" t="str">
        <f t="shared" si="45"/>
        <v>1PremiumS5</v>
      </c>
      <c r="E400" s="10">
        <v>1</v>
      </c>
      <c r="F400" s="6">
        <v>598</v>
      </c>
      <c r="G400" s="8" t="str">
        <f>VLOOKUP(F400,[1]characters!$A:$C,3,FALSE)</f>
        <v>焼燃の情熱 ムスペルヘイム</v>
      </c>
      <c r="H400" s="8" t="str">
        <f>VLOOKUP(F400,[1]characters!$A:$J,10,FALSE)</f>
        <v>PremiumS</v>
      </c>
      <c r="I400" s="8">
        <f>VLOOKUP(F400,[1]characters!$A:$I,9,FALSE)</f>
        <v>5</v>
      </c>
      <c r="J400" s="8" t="str">
        <f>VLOOKUP(F400,[1]characters!$A:$H,8,FALSE)</f>
        <v>red</v>
      </c>
      <c r="K400" s="8" t="str">
        <f>VLOOKUP(F400,[1]characters!$A:$K,11,FALSE)</f>
        <v>balance</v>
      </c>
      <c r="L400" s="8" t="str">
        <f>VLOOKUP(F400,[1]characters!$A:$M,13,FALSE)</f>
        <v>human</v>
      </c>
      <c r="M400" s="16">
        <f>VLOOKUP(D400,gacha_303_base!A:B,2,FALSE)</f>
        <v>326</v>
      </c>
      <c r="N400" s="37">
        <f>IFERROR(VLOOKUP($F400,bug_conf_sheet!$A:$H,3,FALSE),VLOOKUP("other",bug_conf_sheet!$A:$H,3,FALSE))</f>
        <v>1</v>
      </c>
      <c r="O400" s="37">
        <f>IFERROR(VLOOKUP($F400,bug_conf_sheet!$A:$H,4,FALSE),VLOOKUP("other",bug_conf_sheet!$A:$H,4,FALSE))</f>
        <v>0</v>
      </c>
      <c r="P400" s="37">
        <f>IFERROR(VLOOKUP($F400,bug_conf_sheet!$A:$H,5,FALSE),VLOOKUP("other",bug_conf_sheet!$A:$H,5,FALSE))</f>
        <v>0</v>
      </c>
      <c r="Q400" s="37">
        <f>IFERROR(VLOOKUP($F400,bug_conf_sheet!$A:$H,6,FALSE),VLOOKUP("other",bug_conf_sheet!$A:$H,6,FALSE))</f>
        <v>0</v>
      </c>
      <c r="R400" s="37">
        <f>IFERROR(VLOOKUP($F400,bug_conf_sheet!$A:$H,7,FALSE),VLOOKUP("other",bug_conf_sheet!$A:$H,7,FALSE))</f>
        <v>0</v>
      </c>
      <c r="S400" s="37">
        <f>IFERROR(VLOOKUP($F400,bug_conf_sheet!$A:$H,8,FALSE),VLOOKUP("other",bug_conf_sheet!$A:$H,8,FALSE))</f>
        <v>1</v>
      </c>
    </row>
    <row r="401" spans="1:19" ht="21" hidden="1" customHeight="1">
      <c r="A401" s="7" t="str">
        <f t="shared" si="46"/>
        <v>3031599</v>
      </c>
      <c r="B401" s="2" t="str">
        <f t="shared" si="44"/>
        <v>3031</v>
      </c>
      <c r="C401" s="8" t="str">
        <f t="shared" si="47"/>
        <v>1PremiumS3</v>
      </c>
      <c r="D401" s="8" t="str">
        <f t="shared" si="45"/>
        <v>1PremiumS3green</v>
      </c>
      <c r="E401" s="10">
        <v>1</v>
      </c>
      <c r="F401" s="6">
        <v>599</v>
      </c>
      <c r="G401" s="8" t="str">
        <f>VLOOKUP(F401,[1]characters!$A:$C,3,FALSE)</f>
        <v>ニーズヘッグ</v>
      </c>
      <c r="H401" s="8" t="str">
        <f>VLOOKUP(F401,[1]characters!$A:$J,10,FALSE)</f>
        <v>PremiumS</v>
      </c>
      <c r="I401" s="8">
        <f>VLOOKUP(F401,[1]characters!$A:$I,9,FALSE)</f>
        <v>3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VLOOKUP(D401,gacha_303_base!A:B,2,FALSE)</f>
        <v>20036</v>
      </c>
      <c r="N401" s="37">
        <f>IFERROR(VLOOKUP($F401,bug_conf_sheet!$A:$H,3,FALSE),VLOOKUP("other",bug_conf_sheet!$A:$H,3,FALSE))</f>
        <v>1</v>
      </c>
      <c r="O401" s="37">
        <f>IFERROR(VLOOKUP($F401,bug_conf_sheet!$A:$H,4,FALSE),VLOOKUP("other",bug_conf_sheet!$A:$H,4,FALSE))</f>
        <v>0</v>
      </c>
      <c r="P401" s="37">
        <f>IFERROR(VLOOKUP($F401,bug_conf_sheet!$A:$H,5,FALSE),VLOOKUP("other",bug_conf_sheet!$A:$H,5,FALSE))</f>
        <v>0</v>
      </c>
      <c r="Q401" s="37">
        <f>IFERROR(VLOOKUP($F401,bug_conf_sheet!$A:$H,6,FALSE),VLOOKUP("other",bug_conf_sheet!$A:$H,6,FALSE))</f>
        <v>0</v>
      </c>
      <c r="R401" s="37">
        <f>IFERROR(VLOOKUP($F401,bug_conf_sheet!$A:$H,7,FALSE),VLOOKUP("other",bug_conf_sheet!$A:$H,7,FALSE))</f>
        <v>0</v>
      </c>
      <c r="S401" s="37">
        <f>IFERROR(VLOOKUP($F401,bug_conf_sheet!$A:$H,8,FALSE),VLOOKUP("other",bug_conf_sheet!$A:$H,8,FALSE))</f>
        <v>1</v>
      </c>
    </row>
    <row r="402" spans="1:19" ht="21" hidden="1" customHeight="1">
      <c r="A402" s="7" t="str">
        <f t="shared" si="46"/>
        <v>3031600</v>
      </c>
      <c r="B402" s="2" t="str">
        <f t="shared" si="44"/>
        <v>3031</v>
      </c>
      <c r="C402" s="8" t="str">
        <f t="shared" si="47"/>
        <v>1PremiumS4</v>
      </c>
      <c r="D402" s="8" t="str">
        <f t="shared" si="45"/>
        <v>1PremiumS4green</v>
      </c>
      <c r="E402" s="10">
        <v>1</v>
      </c>
      <c r="F402" s="6">
        <v>600</v>
      </c>
      <c r="G402" s="8" t="str">
        <f>VLOOKUP(F402,[1]characters!$A:$C,3,FALSE)</f>
        <v>界下に潜む蛇 ニーズヘッグ</v>
      </c>
      <c r="H402" s="8" t="str">
        <f>VLOOKUP(F402,[1]characters!$A:$J,10,FALSE)</f>
        <v>PremiumS</v>
      </c>
      <c r="I402" s="8">
        <f>VLOOKUP(F402,[1]characters!$A:$I,9,FALSE)</f>
        <v>4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VLOOKUP(D402,gacha_303_base!A:B,2,FALSE)</f>
        <v>17752</v>
      </c>
      <c r="N402" s="37">
        <f>IFERROR(VLOOKUP($F402,bug_conf_sheet!$A:$H,3,FALSE),VLOOKUP("other",bug_conf_sheet!$A:$H,3,FALSE))</f>
        <v>1</v>
      </c>
      <c r="O402" s="37">
        <f>IFERROR(VLOOKUP($F402,bug_conf_sheet!$A:$H,4,FALSE),VLOOKUP("other",bug_conf_sheet!$A:$H,4,FALSE))</f>
        <v>0</v>
      </c>
      <c r="P402" s="37">
        <f>IFERROR(VLOOKUP($F402,bug_conf_sheet!$A:$H,5,FALSE),VLOOKUP("other",bug_conf_sheet!$A:$H,5,FALSE))</f>
        <v>0</v>
      </c>
      <c r="Q402" s="37">
        <f>IFERROR(VLOOKUP($F402,bug_conf_sheet!$A:$H,6,FALSE),VLOOKUP("other",bug_conf_sheet!$A:$H,6,FALSE))</f>
        <v>0</v>
      </c>
      <c r="R402" s="37">
        <f>IFERROR(VLOOKUP($F402,bug_conf_sheet!$A:$H,7,FALSE),VLOOKUP("other",bug_conf_sheet!$A:$H,7,FALSE))</f>
        <v>0</v>
      </c>
      <c r="S402" s="37">
        <f>IFERROR(VLOOKUP($F402,bug_conf_sheet!$A:$H,8,FALSE),VLOOKUP("other",bug_conf_sheet!$A:$H,8,FALSE))</f>
        <v>1</v>
      </c>
    </row>
    <row r="403" spans="1:19" ht="21" customHeight="1">
      <c r="A403" s="7" t="str">
        <f t="shared" si="46"/>
        <v>3031601</v>
      </c>
      <c r="B403" s="2" t="str">
        <f t="shared" si="44"/>
        <v>3031</v>
      </c>
      <c r="C403" s="8" t="str">
        <f t="shared" si="47"/>
        <v>1PremiumS5</v>
      </c>
      <c r="D403" s="8" t="str">
        <f t="shared" si="45"/>
        <v>1PremiumS5green</v>
      </c>
      <c r="E403" s="10">
        <v>1</v>
      </c>
      <c r="F403" s="6">
        <v>601</v>
      </c>
      <c r="G403" s="8" t="str">
        <f>VLOOKUP(F403,[1]characters!$A:$C,3,FALSE)</f>
        <v>界根蝕む悪食 ニーズヘッグ</v>
      </c>
      <c r="H403" s="8" t="str">
        <f>VLOOKUP(F403,[1]characters!$A:$J,10,FALSE)</f>
        <v>PremiumS</v>
      </c>
      <c r="I403" s="8">
        <f>VLOOKUP(F403,[1]characters!$A:$I,9,FALSE)</f>
        <v>5</v>
      </c>
      <c r="J403" s="8" t="str">
        <f>VLOOKUP(F403,[1]characters!$A:$H,8,FALSE)</f>
        <v>green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VLOOKUP(D403,gacha_303_base!A:B,2,FALSE)</f>
        <v>2284</v>
      </c>
      <c r="N403" s="37">
        <f>IFERROR(VLOOKUP($F403,bug_conf_sheet!$A:$H,3,FALSE),VLOOKUP("other",bug_conf_sheet!$A:$H,3,FALSE))</f>
        <v>1</v>
      </c>
      <c r="O403" s="37">
        <f>IFERROR(VLOOKUP($F403,bug_conf_sheet!$A:$H,4,FALSE),VLOOKUP("other",bug_conf_sheet!$A:$H,4,FALSE))</f>
        <v>0</v>
      </c>
      <c r="P403" s="37">
        <f>IFERROR(VLOOKUP($F403,bug_conf_sheet!$A:$H,5,FALSE),VLOOKUP("other",bug_conf_sheet!$A:$H,5,FALSE))</f>
        <v>0</v>
      </c>
      <c r="Q403" s="37">
        <f>IFERROR(VLOOKUP($F403,bug_conf_sheet!$A:$H,6,FALSE),VLOOKUP("other",bug_conf_sheet!$A:$H,6,FALSE))</f>
        <v>0</v>
      </c>
      <c r="R403" s="37">
        <f>IFERROR(VLOOKUP($F403,bug_conf_sheet!$A:$H,7,FALSE),VLOOKUP("other",bug_conf_sheet!$A:$H,7,FALSE))</f>
        <v>0</v>
      </c>
      <c r="S403" s="37">
        <f>IFERROR(VLOOKUP($F403,bug_conf_sheet!$A:$H,8,FALSE),VLOOKUP("other",bug_conf_sheet!$A:$H,8,FALSE))</f>
        <v>1</v>
      </c>
    </row>
    <row r="404" spans="1:19" ht="21" hidden="1" customHeight="1">
      <c r="A404" s="7" t="str">
        <f t="shared" si="46"/>
        <v>3031602</v>
      </c>
      <c r="B404" s="2" t="str">
        <f t="shared" si="44"/>
        <v>3031</v>
      </c>
      <c r="C404" s="8" t="str">
        <f t="shared" si="47"/>
        <v>1PremiumSS4</v>
      </c>
      <c r="D404" s="8" t="str">
        <f t="shared" si="45"/>
        <v>1PremiumSS4</v>
      </c>
      <c r="E404" s="10">
        <v>1</v>
      </c>
      <c r="F404" s="6">
        <v>602</v>
      </c>
      <c r="G404" s="8" t="str">
        <f>VLOOKUP(F404,[1]characters!$A:$C,3,FALSE)</f>
        <v>フレイヤ</v>
      </c>
      <c r="H404" s="8" t="str">
        <f>VLOOKUP(F404,[1]characters!$A:$J,10,FALSE)</f>
        <v>PremiumSS</v>
      </c>
      <c r="I404" s="8">
        <f>VLOOKUP(F404,[1]characters!$A:$I,9,FALSE)</f>
        <v>4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VLOOKUP(D404,gacha_303_base!A:B,2,FALSE)</f>
        <v>943</v>
      </c>
      <c r="N404" s="37">
        <f>IFERROR(VLOOKUP($F404,bug_conf_sheet!$A:$H,3,FALSE),VLOOKUP("other",bug_conf_sheet!$A:$H,3,FALSE))</f>
        <v>1</v>
      </c>
      <c r="O404" s="37">
        <f>IFERROR(VLOOKUP($F404,bug_conf_sheet!$A:$H,4,FALSE),VLOOKUP("other",bug_conf_sheet!$A:$H,4,FALSE))</f>
        <v>0</v>
      </c>
      <c r="P404" s="37">
        <f>IFERROR(VLOOKUP($F404,bug_conf_sheet!$A:$H,5,FALSE),VLOOKUP("other",bug_conf_sheet!$A:$H,5,FALSE))</f>
        <v>0</v>
      </c>
      <c r="Q404" s="37">
        <f>IFERROR(VLOOKUP($F404,bug_conf_sheet!$A:$H,6,FALSE),VLOOKUP("other",bug_conf_sheet!$A:$H,6,FALSE))</f>
        <v>0</v>
      </c>
      <c r="R404" s="37">
        <f>IFERROR(VLOOKUP($F404,bug_conf_sheet!$A:$H,7,FALSE),VLOOKUP("other",bug_conf_sheet!$A:$H,7,FALSE))</f>
        <v>0</v>
      </c>
      <c r="S404" s="37">
        <f>IFERROR(VLOOKUP($F404,bug_conf_sheet!$A:$H,8,FALSE),VLOOKUP("other",bug_conf_sheet!$A:$H,8,FALSE))</f>
        <v>1</v>
      </c>
    </row>
    <row r="405" spans="1:19" ht="21" hidden="1" customHeight="1">
      <c r="A405" s="7" t="str">
        <f t="shared" si="46"/>
        <v>3031603</v>
      </c>
      <c r="B405" s="2" t="str">
        <f t="shared" si="44"/>
        <v>3031</v>
      </c>
      <c r="C405" s="8" t="str">
        <f t="shared" si="47"/>
        <v>1PremiumSS5</v>
      </c>
      <c r="D405" s="8" t="str">
        <f t="shared" si="45"/>
        <v>1PremiumSS5</v>
      </c>
      <c r="E405" s="10">
        <v>1</v>
      </c>
      <c r="F405" s="6">
        <v>603</v>
      </c>
      <c r="G405" s="8" t="str">
        <f>VLOOKUP(F405,[1]characters!$A:$C,3,FALSE)</f>
        <v>掌愛の豊穣女神 フレイヤ</v>
      </c>
      <c r="H405" s="8" t="str">
        <f>VLOOKUP(F405,[1]characters!$A:$J,10,FALSE)</f>
        <v>PremiumSS</v>
      </c>
      <c r="I405" s="8">
        <f>VLOOKUP(F405,[1]characters!$A:$I,9,FALSE)</f>
        <v>5</v>
      </c>
      <c r="J405" s="8" t="str">
        <f>VLOOKUP(F405,[1]characters!$A:$H,8,FALSE)</f>
        <v>blue</v>
      </c>
      <c r="K405" s="8" t="str">
        <f>VLOOKUP(F405,[1]characters!$A:$K,11,FALSE)</f>
        <v>heal</v>
      </c>
      <c r="L405" s="8" t="str">
        <f>VLOOKUP(F405,[1]characters!$A:$M,13,FALSE)</f>
        <v>animal</v>
      </c>
      <c r="M405" s="16">
        <f>VLOOKUP(D405,gacha_303_base!A:B,2,FALSE)</f>
        <v>57</v>
      </c>
      <c r="N405" s="37">
        <f>IFERROR(VLOOKUP($F405,bug_conf_sheet!$A:$H,3,FALSE),VLOOKUP("other",bug_conf_sheet!$A:$H,3,FALSE))</f>
        <v>1</v>
      </c>
      <c r="O405" s="37">
        <f>IFERROR(VLOOKUP($F405,bug_conf_sheet!$A:$H,4,FALSE),VLOOKUP("other",bug_conf_sheet!$A:$H,4,FALSE))</f>
        <v>0</v>
      </c>
      <c r="P405" s="37">
        <f>IFERROR(VLOOKUP($F405,bug_conf_sheet!$A:$H,5,FALSE),VLOOKUP("other",bug_conf_sheet!$A:$H,5,FALSE))</f>
        <v>0</v>
      </c>
      <c r="Q405" s="37">
        <f>IFERROR(VLOOKUP($F405,bug_conf_sheet!$A:$H,6,FALSE),VLOOKUP("other",bug_conf_sheet!$A:$H,6,FALSE))</f>
        <v>0</v>
      </c>
      <c r="R405" s="37">
        <f>IFERROR(VLOOKUP($F405,bug_conf_sheet!$A:$H,7,FALSE),VLOOKUP("other",bug_conf_sheet!$A:$H,7,FALSE))</f>
        <v>0</v>
      </c>
      <c r="S405" s="37">
        <f>IFERROR(VLOOKUP($F405,bug_conf_sheet!$A:$H,8,FALSE),VLOOKUP("other",bug_conf_sheet!$A:$H,8,FALSE))</f>
        <v>1</v>
      </c>
    </row>
    <row r="406" spans="1:19" ht="21" hidden="1" customHeight="1">
      <c r="A406" s="7" t="str">
        <f t="shared" si="46"/>
        <v>3031604</v>
      </c>
      <c r="B406" s="2" t="str">
        <f t="shared" si="44"/>
        <v>3031</v>
      </c>
      <c r="C406" s="8" t="str">
        <f t="shared" si="47"/>
        <v>1PremiumS3</v>
      </c>
      <c r="D406" s="8" t="str">
        <f t="shared" si="45"/>
        <v>1PremiumS3</v>
      </c>
      <c r="E406" s="10">
        <v>1</v>
      </c>
      <c r="F406" s="6">
        <v>604</v>
      </c>
      <c r="G406" s="8" t="str">
        <f>VLOOKUP(F406,[1]characters!$A:$C,3,FALSE)</f>
        <v>バルドル</v>
      </c>
      <c r="H406" s="8" t="str">
        <f>VLOOKUP(F406,[1]characters!$A:$J,10,FALSE)</f>
        <v>PremiumS</v>
      </c>
      <c r="I406" s="8">
        <f>VLOOKUP(F406,[1]characters!$A:$I,9,FALSE)</f>
        <v>3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VLOOKUP(D406,gacha_303_base!A:B,2,FALSE)</f>
        <v>2862</v>
      </c>
      <c r="N406" s="37">
        <f>IFERROR(VLOOKUP($F406,bug_conf_sheet!$A:$H,3,FALSE),VLOOKUP("other",bug_conf_sheet!$A:$H,3,FALSE))</f>
        <v>1</v>
      </c>
      <c r="O406" s="37">
        <f>IFERROR(VLOOKUP($F406,bug_conf_sheet!$A:$H,4,FALSE),VLOOKUP("other",bug_conf_sheet!$A:$H,4,FALSE))</f>
        <v>0</v>
      </c>
      <c r="P406" s="37">
        <f>IFERROR(VLOOKUP($F406,bug_conf_sheet!$A:$H,5,FALSE),VLOOKUP("other",bug_conf_sheet!$A:$H,5,FALSE))</f>
        <v>0</v>
      </c>
      <c r="Q406" s="37">
        <f>IFERROR(VLOOKUP($F406,bug_conf_sheet!$A:$H,6,FALSE),VLOOKUP("other",bug_conf_sheet!$A:$H,6,FALSE))</f>
        <v>0</v>
      </c>
      <c r="R406" s="37">
        <f>IFERROR(VLOOKUP($F406,bug_conf_sheet!$A:$H,7,FALSE),VLOOKUP("other",bug_conf_sheet!$A:$H,7,FALSE))</f>
        <v>0</v>
      </c>
      <c r="S406" s="37">
        <f>IFERROR(VLOOKUP($F406,bug_conf_sheet!$A:$H,8,FALSE),VLOOKUP("other",bug_conf_sheet!$A:$H,8,FALSE))</f>
        <v>1</v>
      </c>
    </row>
    <row r="407" spans="1:19" ht="21" hidden="1" customHeight="1">
      <c r="A407" s="7" t="str">
        <f t="shared" si="46"/>
        <v>3031605</v>
      </c>
      <c r="B407" s="2" t="str">
        <f t="shared" si="44"/>
        <v>3031</v>
      </c>
      <c r="C407" s="8" t="str">
        <f t="shared" si="47"/>
        <v>1PremiumS4</v>
      </c>
      <c r="D407" s="8" t="str">
        <f t="shared" si="45"/>
        <v>1PremiumS4</v>
      </c>
      <c r="E407" s="10">
        <v>1</v>
      </c>
      <c r="F407" s="6">
        <v>605</v>
      </c>
      <c r="G407" s="8" t="str">
        <f>VLOOKUP(F407,[1]characters!$A:$C,3,FALSE)</f>
        <v>祝福される光耀 バルドル</v>
      </c>
      <c r="H407" s="8" t="str">
        <f>VLOOKUP(F407,[1]characters!$A:$J,10,FALSE)</f>
        <v>PremiumS</v>
      </c>
      <c r="I407" s="8">
        <f>VLOOKUP(F407,[1]characters!$A:$I,9,FALSE)</f>
        <v>4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VLOOKUP(D407,gacha_303_base!A:B,2,FALSE)</f>
        <v>2536</v>
      </c>
      <c r="N407" s="37">
        <f>IFERROR(VLOOKUP($F407,bug_conf_sheet!$A:$H,3,FALSE),VLOOKUP("other",bug_conf_sheet!$A:$H,3,FALSE))</f>
        <v>1</v>
      </c>
      <c r="O407" s="37">
        <f>IFERROR(VLOOKUP($F407,bug_conf_sheet!$A:$H,4,FALSE),VLOOKUP("other",bug_conf_sheet!$A:$H,4,FALSE))</f>
        <v>0</v>
      </c>
      <c r="P407" s="37">
        <f>IFERROR(VLOOKUP($F407,bug_conf_sheet!$A:$H,5,FALSE),VLOOKUP("other",bug_conf_sheet!$A:$H,5,FALSE))</f>
        <v>0</v>
      </c>
      <c r="Q407" s="37">
        <f>IFERROR(VLOOKUP($F407,bug_conf_sheet!$A:$H,6,FALSE),VLOOKUP("other",bug_conf_sheet!$A:$H,6,FALSE))</f>
        <v>0</v>
      </c>
      <c r="R407" s="37">
        <f>IFERROR(VLOOKUP($F407,bug_conf_sheet!$A:$H,7,FALSE),VLOOKUP("other",bug_conf_sheet!$A:$H,7,FALSE))</f>
        <v>0</v>
      </c>
      <c r="S407" s="37">
        <f>IFERROR(VLOOKUP($F407,bug_conf_sheet!$A:$H,8,FALSE),VLOOKUP("other",bug_conf_sheet!$A:$H,8,FALSE))</f>
        <v>1</v>
      </c>
    </row>
    <row r="408" spans="1:19" ht="21" hidden="1" customHeight="1">
      <c r="A408" s="7" t="str">
        <f t="shared" si="46"/>
        <v>3031606</v>
      </c>
      <c r="B408" s="2" t="str">
        <f t="shared" si="44"/>
        <v>3031</v>
      </c>
      <c r="C408" s="8" t="str">
        <f t="shared" si="47"/>
        <v>1PremiumS5</v>
      </c>
      <c r="D408" s="8" t="str">
        <f t="shared" si="45"/>
        <v>1PremiumS5</v>
      </c>
      <c r="E408" s="10">
        <v>1</v>
      </c>
      <c r="F408" s="6">
        <v>606</v>
      </c>
      <c r="G408" s="8" t="str">
        <f>VLOOKUP(F408,[1]characters!$A:$C,3,FALSE)</f>
        <v>冀望の光芒 バルドル</v>
      </c>
      <c r="H408" s="8" t="str">
        <f>VLOOKUP(F408,[1]characters!$A:$J,10,FALSE)</f>
        <v>PremiumS</v>
      </c>
      <c r="I408" s="8">
        <f>VLOOKUP(F408,[1]characters!$A:$I,9,FALSE)</f>
        <v>5</v>
      </c>
      <c r="J408" s="8" t="str">
        <f>VLOOKUP(F408,[1]characters!$A:$H,8,FALSE)</f>
        <v>yellow</v>
      </c>
      <c r="K408" s="8" t="str">
        <f>VLOOKUP(F408,[1]characters!$A:$K,11,FALSE)</f>
        <v>heal</v>
      </c>
      <c r="L408" s="8" t="str">
        <f>VLOOKUP(F408,[1]characters!$A:$M,13,FALSE)</f>
        <v>god</v>
      </c>
      <c r="M408" s="16">
        <f>VLOOKUP(D408,gacha_303_base!A:B,2,FALSE)</f>
        <v>326</v>
      </c>
      <c r="N408" s="37">
        <f>IFERROR(VLOOKUP($F408,bug_conf_sheet!$A:$H,3,FALSE),VLOOKUP("other",bug_conf_sheet!$A:$H,3,FALSE))</f>
        <v>1</v>
      </c>
      <c r="O408" s="37">
        <f>IFERROR(VLOOKUP($F408,bug_conf_sheet!$A:$H,4,FALSE),VLOOKUP("other",bug_conf_sheet!$A:$H,4,FALSE))</f>
        <v>0</v>
      </c>
      <c r="P408" s="37">
        <f>IFERROR(VLOOKUP($F408,bug_conf_sheet!$A:$H,5,FALSE),VLOOKUP("other",bug_conf_sheet!$A:$H,5,FALSE))</f>
        <v>0</v>
      </c>
      <c r="Q408" s="37">
        <f>IFERROR(VLOOKUP($F408,bug_conf_sheet!$A:$H,6,FALSE),VLOOKUP("other",bug_conf_sheet!$A:$H,6,FALSE))</f>
        <v>0</v>
      </c>
      <c r="R408" s="37">
        <f>IFERROR(VLOOKUP($F408,bug_conf_sheet!$A:$H,7,FALSE),VLOOKUP("other",bug_conf_sheet!$A:$H,7,FALSE))</f>
        <v>0</v>
      </c>
      <c r="S408" s="37">
        <f>IFERROR(VLOOKUP($F408,bug_conf_sheet!$A:$H,8,FALSE),VLOOKUP("other",bug_conf_sheet!$A:$H,8,FALSE))</f>
        <v>1</v>
      </c>
    </row>
    <row r="409" spans="1:19" ht="21" hidden="1" customHeight="1">
      <c r="A409" s="7" t="str">
        <f t="shared" ref="A409:A419" si="48">B409&amp;F409</f>
        <v>3031658</v>
      </c>
      <c r="B409" s="2" t="str">
        <f t="shared" si="44"/>
        <v>3031</v>
      </c>
      <c r="C409" s="8" t="str">
        <f t="shared" ref="C409:C419" si="49">E409&amp;H409&amp;I409</f>
        <v>1PremiumSS4</v>
      </c>
      <c r="D409" s="8" t="str">
        <f t="shared" si="45"/>
        <v>1PremiumSS4</v>
      </c>
      <c r="E409" s="10">
        <v>1</v>
      </c>
      <c r="F409" s="6">
        <v>658</v>
      </c>
      <c r="G409" s="8" t="str">
        <f>VLOOKUP(F409,[1]characters!$A:$C,3,FALSE)</f>
        <v>猫又 クルミ</v>
      </c>
      <c r="H409" s="8" t="str">
        <f>VLOOKUP(F409,[1]characters!$A:$J,10,FALSE)</f>
        <v>PremiumSS</v>
      </c>
      <c r="I409" s="8">
        <f>VLOOKUP(F409,[1]characters!$A:$I,9,FALSE)</f>
        <v>4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VLOOKUP(D409,gacha_303_base!A:B,2,FALSE)</f>
        <v>943</v>
      </c>
      <c r="N409" s="37">
        <f>IFERROR(VLOOKUP($F409,bug_conf_sheet!$A:$H,3,FALSE),VLOOKUP("other",bug_conf_sheet!$A:$H,3,FALSE))</f>
        <v>1</v>
      </c>
      <c r="O409" s="37">
        <f>IFERROR(VLOOKUP($F409,bug_conf_sheet!$A:$H,4,FALSE),VLOOKUP("other",bug_conf_sheet!$A:$H,4,FALSE))</f>
        <v>0</v>
      </c>
      <c r="P409" s="37">
        <f>IFERROR(VLOOKUP($F409,bug_conf_sheet!$A:$H,5,FALSE),VLOOKUP("other",bug_conf_sheet!$A:$H,5,FALSE))</f>
        <v>0</v>
      </c>
      <c r="Q409" s="37">
        <f>IFERROR(VLOOKUP($F409,bug_conf_sheet!$A:$H,6,FALSE),VLOOKUP("other",bug_conf_sheet!$A:$H,6,FALSE))</f>
        <v>0</v>
      </c>
      <c r="R409" s="37">
        <f>IFERROR(VLOOKUP($F409,bug_conf_sheet!$A:$H,7,FALSE),VLOOKUP("other",bug_conf_sheet!$A:$H,7,FALSE))</f>
        <v>0</v>
      </c>
      <c r="S409" s="37">
        <f>IFERROR(VLOOKUP($F409,bug_conf_sheet!$A:$H,8,FALSE),VLOOKUP("other",bug_conf_sheet!$A:$H,8,FALSE))</f>
        <v>1</v>
      </c>
    </row>
    <row r="410" spans="1:19" ht="21" hidden="1" customHeight="1">
      <c r="A410" s="7" t="str">
        <f t="shared" si="48"/>
        <v>3031659</v>
      </c>
      <c r="B410" s="2" t="str">
        <f t="shared" si="44"/>
        <v>3031</v>
      </c>
      <c r="C410" s="8" t="str">
        <f t="shared" si="49"/>
        <v>1PremiumSS5</v>
      </c>
      <c r="D410" s="8" t="str">
        <f t="shared" si="45"/>
        <v>1PremiumSS5</v>
      </c>
      <c r="E410" s="10">
        <v>1</v>
      </c>
      <c r="F410" s="6">
        <v>659</v>
      </c>
      <c r="G410" s="8" t="str">
        <f>VLOOKUP(F410,[1]characters!$A:$C,3,FALSE)</f>
        <v>跳梁する化猫 クルミ</v>
      </c>
      <c r="H410" s="8" t="str">
        <f>VLOOKUP(F410,[1]characters!$A:$J,10,FALSE)</f>
        <v>PremiumSS</v>
      </c>
      <c r="I410" s="8">
        <f>VLOOKUP(F410,[1]characters!$A:$I,9,FALSE)</f>
        <v>5</v>
      </c>
      <c r="J410" s="8" t="str">
        <f>VLOOKUP(F410,[1]characters!$A:$H,8,FALSE)</f>
        <v>red</v>
      </c>
      <c r="K410" s="8" t="str">
        <f>VLOOKUP(F410,[1]characters!$A:$K,11,FALSE)</f>
        <v>attack</v>
      </c>
      <c r="L410" s="8" t="str">
        <f>VLOOKUP(F410,[1]characters!$A:$M,13,FALSE)</f>
        <v>animal</v>
      </c>
      <c r="M410" s="16">
        <f>VLOOKUP(D410,gacha_303_base!A:B,2,FALSE)</f>
        <v>57</v>
      </c>
      <c r="N410" s="37">
        <f>IFERROR(VLOOKUP($F410,bug_conf_sheet!$A:$H,3,FALSE),VLOOKUP("other",bug_conf_sheet!$A:$H,3,FALSE))</f>
        <v>1</v>
      </c>
      <c r="O410" s="37">
        <f>IFERROR(VLOOKUP($F410,bug_conf_sheet!$A:$H,4,FALSE),VLOOKUP("other",bug_conf_sheet!$A:$H,4,FALSE))</f>
        <v>0</v>
      </c>
      <c r="P410" s="37">
        <f>IFERROR(VLOOKUP($F410,bug_conf_sheet!$A:$H,5,FALSE),VLOOKUP("other",bug_conf_sheet!$A:$H,5,FALSE))</f>
        <v>0</v>
      </c>
      <c r="Q410" s="37">
        <f>IFERROR(VLOOKUP($F410,bug_conf_sheet!$A:$H,6,FALSE),VLOOKUP("other",bug_conf_sheet!$A:$H,6,FALSE))</f>
        <v>0</v>
      </c>
      <c r="R410" s="37">
        <f>IFERROR(VLOOKUP($F410,bug_conf_sheet!$A:$H,7,FALSE),VLOOKUP("other",bug_conf_sheet!$A:$H,7,FALSE))</f>
        <v>0</v>
      </c>
      <c r="S410" s="37">
        <f>IFERROR(VLOOKUP($F410,bug_conf_sheet!$A:$H,8,FALSE),VLOOKUP("other",bug_conf_sheet!$A:$H,8,FALSE))</f>
        <v>1</v>
      </c>
    </row>
    <row r="411" spans="1:19" ht="21" hidden="1" customHeight="1">
      <c r="A411" s="7" t="str">
        <f t="shared" si="48"/>
        <v>3031660</v>
      </c>
      <c r="B411" s="2" t="str">
        <f t="shared" si="44"/>
        <v>3031</v>
      </c>
      <c r="C411" s="8" t="str">
        <f t="shared" si="49"/>
        <v>1PremiumSS4</v>
      </c>
      <c r="D411" s="8" t="str">
        <f t="shared" si="45"/>
        <v>1PremiumSS4green</v>
      </c>
      <c r="E411" s="10">
        <v>1</v>
      </c>
      <c r="F411" s="6">
        <v>660</v>
      </c>
      <c r="G411" s="8" t="str">
        <f>VLOOKUP(F411,[1]characters!$A:$C,3,FALSE)</f>
        <v>烏天狗 フウガ</v>
      </c>
      <c r="H411" s="8" t="str">
        <f>VLOOKUP(F411,[1]characters!$A:$J,10,FALSE)</f>
        <v>PremiumSS</v>
      </c>
      <c r="I411" s="8">
        <f>VLOOKUP(F411,[1]characters!$A:$I,9,FALSE)</f>
        <v>4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VLOOKUP(D411,gacha_303_base!A:B,2,FALSE)</f>
        <v>6601</v>
      </c>
      <c r="N411" s="37">
        <f>IFERROR(VLOOKUP($F411,bug_conf_sheet!$A:$H,3,FALSE),VLOOKUP("other",bug_conf_sheet!$A:$H,3,FALSE))</f>
        <v>1</v>
      </c>
      <c r="O411" s="37">
        <f>IFERROR(VLOOKUP($F411,bug_conf_sheet!$A:$H,4,FALSE),VLOOKUP("other",bug_conf_sheet!$A:$H,4,FALSE))</f>
        <v>0</v>
      </c>
      <c r="P411" s="37">
        <f>IFERROR(VLOOKUP($F411,bug_conf_sheet!$A:$H,5,FALSE),VLOOKUP("other",bug_conf_sheet!$A:$H,5,FALSE))</f>
        <v>0</v>
      </c>
      <c r="Q411" s="37">
        <f>IFERROR(VLOOKUP($F411,bug_conf_sheet!$A:$H,6,FALSE),VLOOKUP("other",bug_conf_sheet!$A:$H,6,FALSE))</f>
        <v>0</v>
      </c>
      <c r="R411" s="37">
        <f>IFERROR(VLOOKUP($F411,bug_conf_sheet!$A:$H,7,FALSE),VLOOKUP("other",bug_conf_sheet!$A:$H,7,FALSE))</f>
        <v>0</v>
      </c>
      <c r="S411" s="37">
        <f>IFERROR(VLOOKUP($F411,bug_conf_sheet!$A:$H,8,FALSE),VLOOKUP("other",bug_conf_sheet!$A:$H,8,FALSE))</f>
        <v>1</v>
      </c>
    </row>
    <row r="412" spans="1:19" ht="21" customHeight="1">
      <c r="A412" s="7" t="str">
        <f t="shared" si="48"/>
        <v>3031661</v>
      </c>
      <c r="B412" s="2" t="str">
        <f t="shared" si="44"/>
        <v>3031</v>
      </c>
      <c r="C412" s="8" t="str">
        <f t="shared" si="49"/>
        <v>1PremiumSS5</v>
      </c>
      <c r="D412" s="8" t="str">
        <f t="shared" si="45"/>
        <v>1PremiumSS5green</v>
      </c>
      <c r="E412" s="10">
        <v>1</v>
      </c>
      <c r="F412" s="6">
        <v>661</v>
      </c>
      <c r="G412" s="8" t="str">
        <f>VLOOKUP(F412,[1]characters!$A:$C,3,FALSE)</f>
        <v>疾風の天狗礫 フウガ</v>
      </c>
      <c r="H412" s="8" t="str">
        <f>VLOOKUP(F412,[1]characters!$A:$J,10,FALSE)</f>
        <v>PremiumSS</v>
      </c>
      <c r="I412" s="8">
        <f>VLOOKUP(F412,[1]characters!$A:$I,9,FALSE)</f>
        <v>5</v>
      </c>
      <c r="J412" s="8" t="str">
        <f>VLOOKUP(F412,[1]characters!$A:$H,8,FALSE)</f>
        <v>green</v>
      </c>
      <c r="K412" s="8" t="str">
        <f>VLOOKUP(F412,[1]characters!$A:$K,11,FALSE)</f>
        <v>balance</v>
      </c>
      <c r="L412" s="8" t="str">
        <f>VLOOKUP(F412,[1]characters!$A:$M,13,FALSE)</f>
        <v>animal</v>
      </c>
      <c r="M412" s="16">
        <f>VLOOKUP(D412,gacha_303_base!A:B,2,FALSE)</f>
        <v>399</v>
      </c>
      <c r="N412" s="37">
        <f>IFERROR(VLOOKUP($F412,bug_conf_sheet!$A:$H,3,FALSE),VLOOKUP("other",bug_conf_sheet!$A:$H,3,FALSE))</f>
        <v>1</v>
      </c>
      <c r="O412" s="37">
        <f>IFERROR(VLOOKUP($F412,bug_conf_sheet!$A:$H,4,FALSE),VLOOKUP("other",bug_conf_sheet!$A:$H,4,FALSE))</f>
        <v>0</v>
      </c>
      <c r="P412" s="37">
        <f>IFERROR(VLOOKUP($F412,bug_conf_sheet!$A:$H,5,FALSE),VLOOKUP("other",bug_conf_sheet!$A:$H,5,FALSE))</f>
        <v>0</v>
      </c>
      <c r="Q412" s="37">
        <f>IFERROR(VLOOKUP($F412,bug_conf_sheet!$A:$H,6,FALSE),VLOOKUP("other",bug_conf_sheet!$A:$H,6,FALSE))</f>
        <v>0</v>
      </c>
      <c r="R412" s="37">
        <f>IFERROR(VLOOKUP($F412,bug_conf_sheet!$A:$H,7,FALSE),VLOOKUP("other",bug_conf_sheet!$A:$H,7,FALSE))</f>
        <v>0</v>
      </c>
      <c r="S412" s="37">
        <f>IFERROR(VLOOKUP($F412,bug_conf_sheet!$A:$H,8,FALSE),VLOOKUP("other",bug_conf_sheet!$A:$H,8,FALSE))</f>
        <v>1</v>
      </c>
    </row>
    <row r="413" spans="1:19" ht="21" hidden="1" customHeight="1">
      <c r="A413" s="7" t="str">
        <f t="shared" si="48"/>
        <v>3031662</v>
      </c>
      <c r="B413" s="2" t="str">
        <f t="shared" si="44"/>
        <v>3031</v>
      </c>
      <c r="C413" s="8" t="str">
        <f t="shared" si="49"/>
        <v>1PremiumS3</v>
      </c>
      <c r="D413" s="8" t="str">
        <f t="shared" si="45"/>
        <v>1PremiumS3</v>
      </c>
      <c r="E413" s="10">
        <v>1</v>
      </c>
      <c r="F413" s="6">
        <v>662</v>
      </c>
      <c r="G413" s="8" t="str">
        <f>VLOOKUP(F413,[1]characters!$A:$C,3,FALSE)</f>
        <v>ダイダラ</v>
      </c>
      <c r="H413" s="8" t="str">
        <f>VLOOKUP(F413,[1]characters!$A:$J,10,FALSE)</f>
        <v>PremiumS</v>
      </c>
      <c r="I413" s="8">
        <f>VLOOKUP(F413,[1]characters!$A:$I,9,FALSE)</f>
        <v>3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VLOOKUP(D413,gacha_303_base!A:B,2,FALSE)</f>
        <v>2862</v>
      </c>
      <c r="N413" s="37">
        <f>IFERROR(VLOOKUP($F413,bug_conf_sheet!$A:$H,3,FALSE),VLOOKUP("other",bug_conf_sheet!$A:$H,3,FALSE))</f>
        <v>1</v>
      </c>
      <c r="O413" s="37">
        <f>IFERROR(VLOOKUP($F413,bug_conf_sheet!$A:$H,4,FALSE),VLOOKUP("other",bug_conf_sheet!$A:$H,4,FALSE))</f>
        <v>0</v>
      </c>
      <c r="P413" s="37">
        <f>IFERROR(VLOOKUP($F413,bug_conf_sheet!$A:$H,5,FALSE),VLOOKUP("other",bug_conf_sheet!$A:$H,5,FALSE))</f>
        <v>0</v>
      </c>
      <c r="Q413" s="37">
        <f>IFERROR(VLOOKUP($F413,bug_conf_sheet!$A:$H,6,FALSE),VLOOKUP("other",bug_conf_sheet!$A:$H,6,FALSE))</f>
        <v>0</v>
      </c>
      <c r="R413" s="37">
        <f>IFERROR(VLOOKUP($F413,bug_conf_sheet!$A:$H,7,FALSE),VLOOKUP("other",bug_conf_sheet!$A:$H,7,FALSE))</f>
        <v>0</v>
      </c>
      <c r="S413" s="37">
        <f>IFERROR(VLOOKUP($F413,bug_conf_sheet!$A:$H,8,FALSE),VLOOKUP("other",bug_conf_sheet!$A:$H,8,FALSE))</f>
        <v>1</v>
      </c>
    </row>
    <row r="414" spans="1:19" ht="21" hidden="1" customHeight="1">
      <c r="A414" s="7" t="str">
        <f t="shared" si="48"/>
        <v>3031663</v>
      </c>
      <c r="B414" s="2" t="str">
        <f t="shared" si="44"/>
        <v>3031</v>
      </c>
      <c r="C414" s="8" t="str">
        <f t="shared" si="49"/>
        <v>1PremiumS4</v>
      </c>
      <c r="D414" s="8" t="str">
        <f t="shared" si="45"/>
        <v>1PremiumS4</v>
      </c>
      <c r="E414" s="10">
        <v>1</v>
      </c>
      <c r="F414" s="6">
        <v>663</v>
      </c>
      <c r="G414" s="8" t="str">
        <f>VLOOKUP(F414,[1]characters!$A:$C,3,FALSE)</f>
        <v>都揺らす地響き ダイダラ</v>
      </c>
      <c r="H414" s="8" t="str">
        <f>VLOOKUP(F414,[1]characters!$A:$J,10,FALSE)</f>
        <v>PremiumS</v>
      </c>
      <c r="I414" s="8">
        <f>VLOOKUP(F414,[1]characters!$A:$I,9,FALSE)</f>
        <v>4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VLOOKUP(D414,gacha_303_base!A:B,2,FALSE)</f>
        <v>2536</v>
      </c>
      <c r="N414" s="37">
        <f>IFERROR(VLOOKUP($F414,bug_conf_sheet!$A:$H,3,FALSE),VLOOKUP("other",bug_conf_sheet!$A:$H,3,FALSE))</f>
        <v>1</v>
      </c>
      <c r="O414" s="37">
        <f>IFERROR(VLOOKUP($F414,bug_conf_sheet!$A:$H,4,FALSE),VLOOKUP("other",bug_conf_sheet!$A:$H,4,FALSE))</f>
        <v>0</v>
      </c>
      <c r="P414" s="37">
        <f>IFERROR(VLOOKUP($F414,bug_conf_sheet!$A:$H,5,FALSE),VLOOKUP("other",bug_conf_sheet!$A:$H,5,FALSE))</f>
        <v>0</v>
      </c>
      <c r="Q414" s="37">
        <f>IFERROR(VLOOKUP($F414,bug_conf_sheet!$A:$H,6,FALSE),VLOOKUP("other",bug_conf_sheet!$A:$H,6,FALSE))</f>
        <v>0</v>
      </c>
      <c r="R414" s="37">
        <f>IFERROR(VLOOKUP($F414,bug_conf_sheet!$A:$H,7,FALSE),VLOOKUP("other",bug_conf_sheet!$A:$H,7,FALSE))</f>
        <v>0</v>
      </c>
      <c r="S414" s="37">
        <f>IFERROR(VLOOKUP($F414,bug_conf_sheet!$A:$H,8,FALSE),VLOOKUP("other",bug_conf_sheet!$A:$H,8,FALSE))</f>
        <v>1</v>
      </c>
    </row>
    <row r="415" spans="1:19" ht="21" hidden="1" customHeight="1">
      <c r="A415" s="7" t="str">
        <f t="shared" si="48"/>
        <v>3031664</v>
      </c>
      <c r="B415" s="2" t="str">
        <f t="shared" si="44"/>
        <v>3031</v>
      </c>
      <c r="C415" s="8" t="str">
        <f t="shared" si="49"/>
        <v>1PremiumS5</v>
      </c>
      <c r="D415" s="8" t="str">
        <f t="shared" si="45"/>
        <v>1PremiumS5</v>
      </c>
      <c r="E415" s="10">
        <v>1</v>
      </c>
      <c r="F415" s="6">
        <v>664</v>
      </c>
      <c r="G415" s="8" t="str">
        <f>VLOOKUP(F415,[1]characters!$A:$C,3,FALSE)</f>
        <v>山掴み国造り ダイダラ</v>
      </c>
      <c r="H415" s="8" t="str">
        <f>VLOOKUP(F415,[1]characters!$A:$J,10,FALSE)</f>
        <v>PremiumS</v>
      </c>
      <c r="I415" s="8">
        <f>VLOOKUP(F415,[1]characters!$A:$I,9,FALSE)</f>
        <v>5</v>
      </c>
      <c r="J415" s="8" t="str">
        <f>VLOOKUP(F415,[1]characters!$A:$H,8,FALSE)</f>
        <v>blue</v>
      </c>
      <c r="K415" s="8" t="str">
        <f>VLOOKUP(F415,[1]characters!$A:$K,11,FALSE)</f>
        <v>hp</v>
      </c>
      <c r="L415" s="8" t="str">
        <f>VLOOKUP(F415,[1]characters!$A:$M,13,FALSE)</f>
        <v>unknown</v>
      </c>
      <c r="M415" s="16">
        <f>VLOOKUP(D415,gacha_303_base!A:B,2,FALSE)</f>
        <v>326</v>
      </c>
      <c r="N415" s="37">
        <f>IFERROR(VLOOKUP($F415,bug_conf_sheet!$A:$H,3,FALSE),VLOOKUP("other",bug_conf_sheet!$A:$H,3,FALSE))</f>
        <v>1</v>
      </c>
      <c r="O415" s="37">
        <f>IFERROR(VLOOKUP($F415,bug_conf_sheet!$A:$H,4,FALSE),VLOOKUP("other",bug_conf_sheet!$A:$H,4,FALSE))</f>
        <v>0</v>
      </c>
      <c r="P415" s="37">
        <f>IFERROR(VLOOKUP($F415,bug_conf_sheet!$A:$H,5,FALSE),VLOOKUP("other",bug_conf_sheet!$A:$H,5,FALSE))</f>
        <v>0</v>
      </c>
      <c r="Q415" s="37">
        <f>IFERROR(VLOOKUP($F415,bug_conf_sheet!$A:$H,6,FALSE),VLOOKUP("other",bug_conf_sheet!$A:$H,6,FALSE))</f>
        <v>0</v>
      </c>
      <c r="R415" s="37">
        <f>IFERROR(VLOOKUP($F415,bug_conf_sheet!$A:$H,7,FALSE),VLOOKUP("other",bug_conf_sheet!$A:$H,7,FALSE))</f>
        <v>0</v>
      </c>
      <c r="S415" s="37">
        <f>IFERROR(VLOOKUP($F415,bug_conf_sheet!$A:$H,8,FALSE),VLOOKUP("other",bug_conf_sheet!$A:$H,8,FALSE))</f>
        <v>1</v>
      </c>
    </row>
    <row r="416" spans="1:19" ht="21" hidden="1" customHeight="1">
      <c r="A416" s="7" t="str">
        <f t="shared" si="48"/>
        <v>3031665</v>
      </c>
      <c r="B416" s="2" t="str">
        <f t="shared" si="44"/>
        <v>3031</v>
      </c>
      <c r="C416" s="8" t="str">
        <f t="shared" si="49"/>
        <v>1PremiumS3</v>
      </c>
      <c r="D416" s="8" t="str">
        <f t="shared" si="45"/>
        <v>1PremiumS3</v>
      </c>
      <c r="E416" s="10">
        <v>1</v>
      </c>
      <c r="F416" s="6">
        <v>665</v>
      </c>
      <c r="G416" s="8" t="str">
        <f>VLOOKUP(F416,[1]characters!$A:$C,3,FALSE)</f>
        <v>座敷童子 テマリ</v>
      </c>
      <c r="H416" s="8" t="str">
        <f>VLOOKUP(F416,[1]characters!$A:$J,10,FALSE)</f>
        <v>PremiumS</v>
      </c>
      <c r="I416" s="8">
        <f>VLOOKUP(F416,[1]characters!$A:$I,9,FALSE)</f>
        <v>3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VLOOKUP(D416,gacha_303_base!A:B,2,FALSE)</f>
        <v>2862</v>
      </c>
      <c r="N416" s="37">
        <f>IFERROR(VLOOKUP($F416,bug_conf_sheet!$A:$H,3,FALSE),VLOOKUP("other",bug_conf_sheet!$A:$H,3,FALSE))</f>
        <v>1</v>
      </c>
      <c r="O416" s="37">
        <f>IFERROR(VLOOKUP($F416,bug_conf_sheet!$A:$H,4,FALSE),VLOOKUP("other",bug_conf_sheet!$A:$H,4,FALSE))</f>
        <v>0</v>
      </c>
      <c r="P416" s="37">
        <f>IFERROR(VLOOKUP($F416,bug_conf_sheet!$A:$H,5,FALSE),VLOOKUP("other",bug_conf_sheet!$A:$H,5,FALSE))</f>
        <v>0</v>
      </c>
      <c r="Q416" s="37">
        <f>IFERROR(VLOOKUP($F416,bug_conf_sheet!$A:$H,6,FALSE),VLOOKUP("other",bug_conf_sheet!$A:$H,6,FALSE))</f>
        <v>0</v>
      </c>
      <c r="R416" s="37">
        <f>IFERROR(VLOOKUP($F416,bug_conf_sheet!$A:$H,7,FALSE),VLOOKUP("other",bug_conf_sheet!$A:$H,7,FALSE))</f>
        <v>0</v>
      </c>
      <c r="S416" s="37">
        <f>IFERROR(VLOOKUP($F416,bug_conf_sheet!$A:$H,8,FALSE),VLOOKUP("other",bug_conf_sheet!$A:$H,8,FALSE))</f>
        <v>1</v>
      </c>
    </row>
    <row r="417" spans="1:19" ht="21" hidden="1" customHeight="1">
      <c r="A417" s="7" t="str">
        <f t="shared" si="48"/>
        <v>3031666</v>
      </c>
      <c r="B417" s="2" t="str">
        <f t="shared" si="44"/>
        <v>3031</v>
      </c>
      <c r="C417" s="8" t="str">
        <f t="shared" si="49"/>
        <v>1PremiumS4</v>
      </c>
      <c r="D417" s="8" t="str">
        <f t="shared" si="45"/>
        <v>1PremiumS4</v>
      </c>
      <c r="E417" s="10">
        <v>1</v>
      </c>
      <c r="F417" s="6">
        <v>666</v>
      </c>
      <c r="G417" s="8" t="str">
        <f>VLOOKUP(F417,[1]characters!$A:$C,3,FALSE)</f>
        <v>拡散する幸福 テマリ</v>
      </c>
      <c r="H417" s="8" t="str">
        <f>VLOOKUP(F417,[1]characters!$A:$J,10,FALSE)</f>
        <v>PremiumS</v>
      </c>
      <c r="I417" s="8">
        <f>VLOOKUP(F417,[1]characters!$A:$I,9,FALSE)</f>
        <v>4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VLOOKUP(D417,gacha_303_base!A:B,2,FALSE)</f>
        <v>2536</v>
      </c>
      <c r="N417" s="37">
        <f>IFERROR(VLOOKUP($F417,bug_conf_sheet!$A:$H,3,FALSE),VLOOKUP("other",bug_conf_sheet!$A:$H,3,FALSE))</f>
        <v>1</v>
      </c>
      <c r="O417" s="37">
        <f>IFERROR(VLOOKUP($F417,bug_conf_sheet!$A:$H,4,FALSE),VLOOKUP("other",bug_conf_sheet!$A:$H,4,FALSE))</f>
        <v>0</v>
      </c>
      <c r="P417" s="37">
        <f>IFERROR(VLOOKUP($F417,bug_conf_sheet!$A:$H,5,FALSE),VLOOKUP("other",bug_conf_sheet!$A:$H,5,FALSE))</f>
        <v>0</v>
      </c>
      <c r="Q417" s="37">
        <f>IFERROR(VLOOKUP($F417,bug_conf_sheet!$A:$H,6,FALSE),VLOOKUP("other",bug_conf_sheet!$A:$H,6,FALSE))</f>
        <v>0</v>
      </c>
      <c r="R417" s="37">
        <f>IFERROR(VLOOKUP($F417,bug_conf_sheet!$A:$H,7,FALSE),VLOOKUP("other",bug_conf_sheet!$A:$H,7,FALSE))</f>
        <v>0</v>
      </c>
      <c r="S417" s="37">
        <f>IFERROR(VLOOKUP($F417,bug_conf_sheet!$A:$H,8,FALSE),VLOOKUP("other",bug_conf_sheet!$A:$H,8,FALSE))</f>
        <v>1</v>
      </c>
    </row>
    <row r="418" spans="1:19" ht="21" hidden="1" customHeight="1">
      <c r="A418" s="7" t="str">
        <f t="shared" si="48"/>
        <v>3031667</v>
      </c>
      <c r="B418" s="2" t="str">
        <f t="shared" si="44"/>
        <v>3031</v>
      </c>
      <c r="C418" s="8" t="str">
        <f t="shared" si="49"/>
        <v>1PremiumS5</v>
      </c>
      <c r="D418" s="8" t="str">
        <f t="shared" si="45"/>
        <v>1PremiumS5</v>
      </c>
      <c r="E418" s="10">
        <v>1</v>
      </c>
      <c r="F418" s="6">
        <v>667</v>
      </c>
      <c r="G418" s="8" t="str">
        <f>VLOOKUP(F418,[1]characters!$A:$C,3,FALSE)</f>
        <v>最幸運の妖童 テマリ</v>
      </c>
      <c r="H418" s="8" t="str">
        <f>VLOOKUP(F418,[1]characters!$A:$J,10,FALSE)</f>
        <v>PremiumS</v>
      </c>
      <c r="I418" s="8">
        <f>VLOOKUP(F418,[1]characters!$A:$I,9,FALSE)</f>
        <v>5</v>
      </c>
      <c r="J418" s="8" t="str">
        <f>VLOOKUP(F418,[1]characters!$A:$H,8,FALSE)</f>
        <v>yellow</v>
      </c>
      <c r="K418" s="8" t="str">
        <f>VLOOKUP(F418,[1]characters!$A:$K,11,FALSE)</f>
        <v>balance</v>
      </c>
      <c r="L418" s="8" t="str">
        <f>VLOOKUP(F418,[1]characters!$A:$M,13,FALSE)</f>
        <v>unknown</v>
      </c>
      <c r="M418" s="16">
        <f>VLOOKUP(D418,gacha_303_base!A:B,2,FALSE)</f>
        <v>326</v>
      </c>
      <c r="N418" s="37">
        <f>IFERROR(VLOOKUP($F418,bug_conf_sheet!$A:$H,3,FALSE),VLOOKUP("other",bug_conf_sheet!$A:$H,3,FALSE))</f>
        <v>1</v>
      </c>
      <c r="O418" s="37">
        <f>IFERROR(VLOOKUP($F418,bug_conf_sheet!$A:$H,4,FALSE),VLOOKUP("other",bug_conf_sheet!$A:$H,4,FALSE))</f>
        <v>0</v>
      </c>
      <c r="P418" s="37">
        <f>IFERROR(VLOOKUP($F418,bug_conf_sheet!$A:$H,5,FALSE),VLOOKUP("other",bug_conf_sheet!$A:$H,5,FALSE))</f>
        <v>0</v>
      </c>
      <c r="Q418" s="37">
        <f>IFERROR(VLOOKUP($F418,bug_conf_sheet!$A:$H,6,FALSE),VLOOKUP("other",bug_conf_sheet!$A:$H,6,FALSE))</f>
        <v>0</v>
      </c>
      <c r="R418" s="37">
        <f>IFERROR(VLOOKUP($F418,bug_conf_sheet!$A:$H,7,FALSE),VLOOKUP("other",bug_conf_sheet!$A:$H,7,FALSE))</f>
        <v>0</v>
      </c>
      <c r="S418" s="37">
        <f>IFERROR(VLOOKUP($F418,bug_conf_sheet!$A:$H,8,FALSE),VLOOKUP("other",bug_conf_sheet!$A:$H,8,FALSE))</f>
        <v>1</v>
      </c>
    </row>
    <row r="419" spans="1:19" ht="21" customHeight="1">
      <c r="A419" s="7" t="str">
        <f t="shared" si="48"/>
        <v>3031487</v>
      </c>
      <c r="B419" s="2" t="str">
        <f t="shared" si="44"/>
        <v>3031</v>
      </c>
      <c r="C419" s="8" t="str">
        <f t="shared" si="49"/>
        <v>1PremiumSSS5</v>
      </c>
      <c r="D419" s="8" t="str">
        <f t="shared" si="45"/>
        <v>1PremiumSSS5green</v>
      </c>
      <c r="E419" s="10">
        <v>1</v>
      </c>
      <c r="F419" s="6">
        <v>487</v>
      </c>
      <c r="G419" s="8" t="str">
        <f>VLOOKUP(F419,[1]characters!$A:$C,3,FALSE)</f>
        <v>暴創の造物 チューリング</v>
      </c>
      <c r="H419" s="8" t="str">
        <f>VLOOKUP(F419,[1]characters!$A:$J,10,FALSE)</f>
        <v>PremiumSSS</v>
      </c>
      <c r="I419" s="8">
        <f>VLOOKUP(F419,[1]characters!$A:$I,9,FALSE)</f>
        <v>5</v>
      </c>
      <c r="J419" s="8" t="str">
        <f>VLOOKUP(F419,[1]characters!$A:$H,8,FALSE)</f>
        <v>green</v>
      </c>
      <c r="K419" s="8" t="str">
        <f>VLOOKUP(F419,[1]characters!$A:$K,11,FALSE)</f>
        <v>hp</v>
      </c>
      <c r="L419" s="8" t="str">
        <f>VLOOKUP(F419,[1]characters!$A:$M,13,FALSE)</f>
        <v>human</v>
      </c>
      <c r="M419" s="16">
        <f>VLOOKUP(D419,gacha_303_base!A:B,2,FALSE)</f>
        <v>5000</v>
      </c>
      <c r="N419" s="37">
        <f>IFERROR(VLOOKUP($F419,bug_conf_sheet!$A:$H,3,FALSE),VLOOKUP("other",bug_conf_sheet!$A:$H,3,FALSE))</f>
        <v>1</v>
      </c>
      <c r="O419" s="37">
        <f>IFERROR(VLOOKUP($F419,bug_conf_sheet!$A:$H,4,FALSE),VLOOKUP("other",bug_conf_sheet!$A:$H,4,FALSE))</f>
        <v>0</v>
      </c>
      <c r="P419" s="37">
        <f>IFERROR(VLOOKUP($F419,bug_conf_sheet!$A:$H,5,FALSE),VLOOKUP("other",bug_conf_sheet!$A:$H,5,FALSE))</f>
        <v>0</v>
      </c>
      <c r="Q419" s="37">
        <f>IFERROR(VLOOKUP($F419,bug_conf_sheet!$A:$H,6,FALSE),VLOOKUP("other",bug_conf_sheet!$A:$H,6,FALSE))</f>
        <v>0</v>
      </c>
      <c r="R419" s="37">
        <f>IFERROR(VLOOKUP($F419,bug_conf_sheet!$A:$H,7,FALSE),VLOOKUP("other",bug_conf_sheet!$A:$H,7,FALSE))</f>
        <v>0</v>
      </c>
      <c r="S419" s="37">
        <f>IFERROR(VLOOKUP($F419,bug_conf_sheet!$A:$H,8,FALSE),VLOOKUP("other",bug_conf_sheet!$A:$H,8,FALSE))</f>
        <v>1</v>
      </c>
    </row>
  </sheetData>
  <autoFilter ref="A1:S419">
    <filterColumn colId="8">
      <filters>
        <filter val="5"/>
      </filters>
    </filterColumn>
    <filterColumn colId="9">
      <filters>
        <filter val="green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1"/>
  <sheetViews>
    <sheetView showGridLines="0" tabSelected="1" workbookViewId="0">
      <pane ySplit="1" topLeftCell="A2" activePane="bottomLeft" state="frozen"/>
      <selection activeCell="M24" sqref="M24"/>
      <selection pane="bottomLeft" activeCell="L20" sqref="L2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>
        <v>3033</v>
      </c>
      <c r="C2" s="8" t="str">
        <f>G2&amp;H2</f>
        <v>PremiumN5</v>
      </c>
      <c r="E2" s="6">
        <v>171</v>
      </c>
      <c r="F2" s="8" t="str">
        <f>VLOOKUP(E2,[1]characters!$A:$C,3,FALSE)</f>
        <v>精解の預知者 オセ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green</v>
      </c>
      <c r="J2" s="8" t="str">
        <f>VLOOKUP(E2,[1]characters!$A:$K,11,FALSE)</f>
        <v>attack</v>
      </c>
      <c r="K2" s="8" t="str">
        <f>VLOOKUP(E2,[1]characters!$A:$M,13,FALSE)</f>
        <v>god</v>
      </c>
      <c r="L2" s="16">
        <f>ROUND(93.5/13*1000,0)</f>
        <v>7192</v>
      </c>
      <c r="M2" s="37">
        <f>IFERROR(VLOOKUP($E2,bug_conf_sheet!$A:$H,3,FALSE),VLOOKUP("other",bug_conf_sheet!$A:$H,3,FALSE))</f>
        <v>1</v>
      </c>
      <c r="N2" s="37">
        <f>IFERROR(VLOOKUP($E2,bug_conf_sheet!$A:$H,4,FALSE),VLOOKUP("other",bug_conf_sheet!$A:$H,4,FALSE))</f>
        <v>0</v>
      </c>
      <c r="O2" s="37">
        <f>IFERROR(VLOOKUP($E2,bug_conf_sheet!$A:$H,5,FALSE),VLOOKUP("other",bug_conf_sheet!$A:$H,5,FALSE))</f>
        <v>0</v>
      </c>
      <c r="P2" s="37">
        <f>IFERROR(VLOOKUP($E2,bug_conf_sheet!$A:$H,6,FALSE),VLOOKUP("other",bug_conf_sheet!$A:$H,6,FALSE))</f>
        <v>0</v>
      </c>
      <c r="Q2" s="37">
        <f>IFERROR(VLOOKUP($E2,bug_conf_sheet!$A:$H,7,FALSE),VLOOKUP("other",bug_conf_sheet!$A:$H,7,FALSE))</f>
        <v>0</v>
      </c>
      <c r="R2" s="37">
        <f>IFERROR(VLOOKUP($E2,bug_conf_sheet!$A:$H,8,FALSE),VLOOKUP("other",bug_conf_sheet!$A:$H,8,FALSE))</f>
        <v>1</v>
      </c>
    </row>
    <row r="3" spans="1:18" ht="21" customHeight="1">
      <c r="B3" s="2">
        <v>3033</v>
      </c>
      <c r="C3" s="8" t="str">
        <f t="shared" ref="C3:C20" si="0">G3&amp;H3</f>
        <v>PremiumN5</v>
      </c>
      <c r="E3" s="6">
        <v>183</v>
      </c>
      <c r="F3" s="8" t="str">
        <f>VLOOKUP(E3,[1]characters!$A:$C,3,FALSE)</f>
        <v>鈍重な彷徨者 ベヒモス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hp</v>
      </c>
      <c r="K3" s="8" t="str">
        <f>VLOOKUP(E3,[1]characters!$A:$M,13,FALSE)</f>
        <v>animal</v>
      </c>
      <c r="L3" s="16">
        <f t="shared" ref="L3:L9" si="1">ROUND(93.5/13*1000,0)</f>
        <v>7192</v>
      </c>
      <c r="M3" s="37">
        <f>IFERROR(VLOOKUP($E3,bug_conf_sheet!$A:$H,3,FALSE),VLOOKUP("other",bug_conf_sheet!$A:$H,3,FALSE))</f>
        <v>1</v>
      </c>
      <c r="N3" s="37">
        <f>IFERROR(VLOOKUP($E3,bug_conf_sheet!$A:$H,4,FALSE),VLOOKUP("other",bug_conf_sheet!$A:$H,4,FALSE))</f>
        <v>0</v>
      </c>
      <c r="O3" s="37">
        <f>IFERROR(VLOOKUP($E3,bug_conf_sheet!$A:$H,5,FALSE),VLOOKUP("other",bug_conf_sheet!$A:$H,5,FALSE))</f>
        <v>0</v>
      </c>
      <c r="P3" s="37">
        <f>IFERROR(VLOOKUP($E3,bug_conf_sheet!$A:$H,6,FALSE),VLOOKUP("other",bug_conf_sheet!$A:$H,6,FALSE))</f>
        <v>0</v>
      </c>
      <c r="Q3" s="37">
        <f>IFERROR(VLOOKUP($E3,bug_conf_sheet!$A:$H,7,FALSE),VLOOKUP("other",bug_conf_sheet!$A:$H,7,FALSE))</f>
        <v>0</v>
      </c>
      <c r="R3" s="37">
        <f>IFERROR(VLOOKUP($E3,bug_conf_sheet!$A:$H,8,FALSE),VLOOKUP("other",bug_conf_sheet!$A:$H,8,FALSE))</f>
        <v>1</v>
      </c>
    </row>
    <row r="4" spans="1:18" ht="21" customHeight="1">
      <c r="B4" s="2">
        <v>3033</v>
      </c>
      <c r="C4" s="8" t="str">
        <f t="shared" si="0"/>
        <v>PremiumN5</v>
      </c>
      <c r="E4" s="6">
        <v>195</v>
      </c>
      <c r="F4" s="8" t="str">
        <f>VLOOKUP(E4,[1]characters!$A:$C,3,FALSE)</f>
        <v>グランドハンター ロビンフッド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green</v>
      </c>
      <c r="J4" s="8" t="str">
        <f>VLOOKUP(E4,[1]characters!$A:$K,11,FALSE)</f>
        <v>balance</v>
      </c>
      <c r="K4" s="8" t="str">
        <f>VLOOKUP(E4,[1]characters!$A:$M,13,FALSE)</f>
        <v>human</v>
      </c>
      <c r="L4" s="16">
        <f t="shared" si="1"/>
        <v>7192</v>
      </c>
      <c r="M4" s="37">
        <f>IFERROR(VLOOKUP($E4,bug_conf_sheet!$A:$H,3,FALSE),VLOOKUP("other",bug_conf_sheet!$A:$H,3,FALSE))</f>
        <v>1</v>
      </c>
      <c r="N4" s="37">
        <f>IFERROR(VLOOKUP($E4,bug_conf_sheet!$A:$H,4,FALSE),VLOOKUP("other",bug_conf_sheet!$A:$H,4,FALSE))</f>
        <v>0</v>
      </c>
      <c r="O4" s="37">
        <f>IFERROR(VLOOKUP($E4,bug_conf_sheet!$A:$H,5,FALSE),VLOOKUP("other",bug_conf_sheet!$A:$H,5,FALSE))</f>
        <v>0</v>
      </c>
      <c r="P4" s="37">
        <f>IFERROR(VLOOKUP($E4,bug_conf_sheet!$A:$H,6,FALSE),VLOOKUP("other",bug_conf_sheet!$A:$H,6,FALSE))</f>
        <v>0</v>
      </c>
      <c r="Q4" s="37">
        <f>IFERROR(VLOOKUP($E4,bug_conf_sheet!$A:$H,7,FALSE),VLOOKUP("other",bug_conf_sheet!$A:$H,7,FALSE))</f>
        <v>0</v>
      </c>
      <c r="R4" s="37">
        <f>IFERROR(VLOOKUP($E4,bug_conf_sheet!$A:$H,8,FALSE),VLOOKUP("other",bug_conf_sheet!$A:$H,8,FALSE))</f>
        <v>1</v>
      </c>
    </row>
    <row r="5" spans="1:18" ht="21" customHeight="1">
      <c r="B5" s="2">
        <v>3033</v>
      </c>
      <c r="C5" s="8" t="str">
        <f t="shared" si="0"/>
        <v>PremiumN5</v>
      </c>
      <c r="E5" s="5">
        <v>207</v>
      </c>
      <c r="F5" s="8" t="str">
        <f>VLOOKUP(E5,[1]characters!$A:$C,3,FALSE)</f>
        <v>豊穣の麗神・アフロディーテ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hp</v>
      </c>
      <c r="K5" s="8" t="str">
        <f>VLOOKUP(E5,[1]characters!$A:$M,13,FALSE)</f>
        <v>god</v>
      </c>
      <c r="L5" s="16">
        <f t="shared" si="1"/>
        <v>7192</v>
      </c>
      <c r="M5" s="37">
        <f>IFERROR(VLOOKUP($E5,bug_conf_sheet!$A:$H,3,FALSE),VLOOKUP("other",bug_conf_sheet!$A:$H,3,FALSE))</f>
        <v>1</v>
      </c>
      <c r="N5" s="37">
        <f>IFERROR(VLOOKUP($E5,bug_conf_sheet!$A:$H,4,FALSE),VLOOKUP("other",bug_conf_sheet!$A:$H,4,FALSE))</f>
        <v>0</v>
      </c>
      <c r="O5" s="37">
        <f>IFERROR(VLOOKUP($E5,bug_conf_sheet!$A:$H,5,FALSE),VLOOKUP("other",bug_conf_sheet!$A:$H,5,FALSE))</f>
        <v>0</v>
      </c>
      <c r="P5" s="37">
        <f>IFERROR(VLOOKUP($E5,bug_conf_sheet!$A:$H,6,FALSE),VLOOKUP("other",bug_conf_sheet!$A:$H,6,FALSE))</f>
        <v>0</v>
      </c>
      <c r="Q5" s="37">
        <f>IFERROR(VLOOKUP($E5,bug_conf_sheet!$A:$H,7,FALSE),VLOOKUP("other",bug_conf_sheet!$A:$H,7,FALSE))</f>
        <v>0</v>
      </c>
      <c r="R5" s="37">
        <f>IFERROR(VLOOKUP($E5,bug_conf_sheet!$A:$H,8,FALSE),VLOOKUP("other",bug_conf_sheet!$A:$H,8,FALSE))</f>
        <v>1</v>
      </c>
    </row>
    <row r="6" spans="1:18" ht="21" customHeight="1">
      <c r="B6" s="2">
        <v>3033</v>
      </c>
      <c r="C6" s="8" t="str">
        <f t="shared" si="0"/>
        <v>PremiumN5</v>
      </c>
      <c r="E6" s="5">
        <v>219</v>
      </c>
      <c r="F6" s="8" t="str">
        <f>VLOOKUP(E6,[1]characters!$A:$C,3,FALSE)</f>
        <v>覇翼の聖蛇竜 ケツァクアトル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green</v>
      </c>
      <c r="J6" s="8" t="str">
        <f>VLOOKUP(E6,[1]characters!$A:$K,11,FALSE)</f>
        <v>hp</v>
      </c>
      <c r="K6" s="8" t="str">
        <f>VLOOKUP(E6,[1]characters!$A:$M,13,FALSE)</f>
        <v>dragon</v>
      </c>
      <c r="L6" s="16">
        <f t="shared" si="1"/>
        <v>7192</v>
      </c>
      <c r="M6" s="37">
        <f>IFERROR(VLOOKUP($E6,bug_conf_sheet!$A:$H,3,FALSE),VLOOKUP("other",bug_conf_sheet!$A:$H,3,FALSE))</f>
        <v>1</v>
      </c>
      <c r="N6" s="37">
        <f>IFERROR(VLOOKUP($E6,bug_conf_sheet!$A:$H,4,FALSE),VLOOKUP("other",bug_conf_sheet!$A:$H,4,FALSE))</f>
        <v>0</v>
      </c>
      <c r="O6" s="37">
        <f>IFERROR(VLOOKUP($E6,bug_conf_sheet!$A:$H,5,FALSE),VLOOKUP("other",bug_conf_sheet!$A:$H,5,FALSE))</f>
        <v>0</v>
      </c>
      <c r="P6" s="37">
        <f>IFERROR(VLOOKUP($E6,bug_conf_sheet!$A:$H,6,FALSE),VLOOKUP("other",bug_conf_sheet!$A:$H,6,FALSE))</f>
        <v>0</v>
      </c>
      <c r="Q6" s="37">
        <f>IFERROR(VLOOKUP($E6,bug_conf_sheet!$A:$H,7,FALSE),VLOOKUP("other",bug_conf_sheet!$A:$H,7,FALSE))</f>
        <v>0</v>
      </c>
      <c r="R6" s="37">
        <f>IFERROR(VLOOKUP($E6,bug_conf_sheet!$A:$H,8,FALSE),VLOOKUP("other",bug_conf_sheet!$A:$H,8,FALSE))</f>
        <v>1</v>
      </c>
    </row>
    <row r="7" spans="1:18" ht="21" customHeight="1">
      <c r="B7" s="2">
        <v>3033</v>
      </c>
      <c r="C7" s="8" t="str">
        <f t="shared" si="0"/>
        <v>PremiumS5</v>
      </c>
      <c r="E7" s="5">
        <v>231</v>
      </c>
      <c r="F7" s="8" t="str">
        <f>VLOOKUP(E7,[1]characters!$A:$C,3,FALSE)</f>
        <v>必中の咬銃 ヨルムンガンド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technical</v>
      </c>
      <c r="K7" s="8" t="str">
        <f>VLOOKUP(E7,[1]characters!$A:$M,13,FALSE)</f>
        <v>dragon</v>
      </c>
      <c r="L7" s="16">
        <f t="shared" si="1"/>
        <v>7192</v>
      </c>
      <c r="M7" s="37">
        <f>IFERROR(VLOOKUP($E7,bug_conf_sheet!$A:$H,3,FALSE),VLOOKUP("other",bug_conf_sheet!$A:$H,3,FALSE))</f>
        <v>1</v>
      </c>
      <c r="N7" s="37">
        <f>IFERROR(VLOOKUP($E7,bug_conf_sheet!$A:$H,4,FALSE),VLOOKUP("other",bug_conf_sheet!$A:$H,4,FALSE))</f>
        <v>0</v>
      </c>
      <c r="O7" s="37">
        <f>IFERROR(VLOOKUP($E7,bug_conf_sheet!$A:$H,5,FALSE),VLOOKUP("other",bug_conf_sheet!$A:$H,5,FALSE))</f>
        <v>0</v>
      </c>
      <c r="P7" s="37">
        <f>IFERROR(VLOOKUP($E7,bug_conf_sheet!$A:$H,6,FALSE),VLOOKUP("other",bug_conf_sheet!$A:$H,6,FALSE))</f>
        <v>0</v>
      </c>
      <c r="Q7" s="37">
        <f>IFERROR(VLOOKUP($E7,bug_conf_sheet!$A:$H,7,FALSE),VLOOKUP("other",bug_conf_sheet!$A:$H,7,FALSE))</f>
        <v>0</v>
      </c>
      <c r="R7" s="37">
        <f>IFERROR(VLOOKUP($E7,bug_conf_sheet!$A:$H,8,FALSE),VLOOKUP("other",bug_conf_sheet!$A:$H,8,FALSE))</f>
        <v>1</v>
      </c>
    </row>
    <row r="8" spans="1:18" ht="21" customHeight="1">
      <c r="B8" s="2">
        <v>3033</v>
      </c>
      <c r="C8" s="8" t="str">
        <f t="shared" si="0"/>
        <v>PremiumS5</v>
      </c>
      <c r="E8" s="5">
        <v>243</v>
      </c>
      <c r="F8" s="8" t="str">
        <f>VLOOKUP(E8,[1]characters!$A:$C,3,FALSE)</f>
        <v>万花の天使 ガブリエル・ブルーム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green</v>
      </c>
      <c r="J8" s="8" t="str">
        <f>VLOOKUP(E8,[1]characters!$A:$K,11,FALSE)</f>
        <v>balance</v>
      </c>
      <c r="K8" s="8" t="str">
        <f>VLOOKUP(E8,[1]characters!$A:$M,13,FALSE)</f>
        <v>machine</v>
      </c>
      <c r="L8" s="16">
        <f t="shared" si="1"/>
        <v>7192</v>
      </c>
      <c r="M8" s="37">
        <f>IFERROR(VLOOKUP($E8,bug_conf_sheet!$A:$H,3,FALSE),VLOOKUP("other",bug_conf_sheet!$A:$H,3,FALSE))</f>
        <v>1</v>
      </c>
      <c r="N8" s="37">
        <f>IFERROR(VLOOKUP($E8,bug_conf_sheet!$A:$H,4,FALSE),VLOOKUP("other",bug_conf_sheet!$A:$H,4,FALSE))</f>
        <v>0</v>
      </c>
      <c r="O8" s="37">
        <f>IFERROR(VLOOKUP($E8,bug_conf_sheet!$A:$H,5,FALSE),VLOOKUP("other",bug_conf_sheet!$A:$H,5,FALSE))</f>
        <v>0</v>
      </c>
      <c r="P8" s="37">
        <f>IFERROR(VLOOKUP($E8,bug_conf_sheet!$A:$H,6,FALSE),VLOOKUP("other",bug_conf_sheet!$A:$H,6,FALSE))</f>
        <v>0</v>
      </c>
      <c r="Q8" s="37">
        <f>IFERROR(VLOOKUP($E8,bug_conf_sheet!$A:$H,7,FALSE),VLOOKUP("other",bug_conf_sheet!$A:$H,7,FALSE))</f>
        <v>0</v>
      </c>
      <c r="R8" s="37">
        <f>IFERROR(VLOOKUP($E8,bug_conf_sheet!$A:$H,8,FALSE),VLOOKUP("other",bug_conf_sheet!$A:$H,8,FALSE))</f>
        <v>1</v>
      </c>
    </row>
    <row r="9" spans="1:18" ht="21" customHeight="1">
      <c r="B9" s="2">
        <v>3033</v>
      </c>
      <c r="C9" s="8" t="str">
        <f t="shared" si="0"/>
        <v>PremiumS5</v>
      </c>
      <c r="E9" s="6">
        <v>255</v>
      </c>
      <c r="F9" s="8" t="str">
        <f>VLOOKUP(E9,[1]characters!$A:$C,3,FALSE)</f>
        <v>怠惰の頂点 ベルフェゴール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green</v>
      </c>
      <c r="J9" s="8" t="str">
        <f>VLOOKUP(E9,[1]characters!$A:$K,11,FALSE)</f>
        <v>technical</v>
      </c>
      <c r="K9" s="8" t="str">
        <f>VLOOKUP(E9,[1]characters!$A:$M,13,FALSE)</f>
        <v>god</v>
      </c>
      <c r="L9" s="16">
        <f t="shared" si="1"/>
        <v>7192</v>
      </c>
      <c r="M9" s="37">
        <f>IFERROR(VLOOKUP($E9,bug_conf_sheet!$A:$H,3,FALSE),VLOOKUP("other",bug_conf_sheet!$A:$H,3,FALSE))</f>
        <v>1</v>
      </c>
      <c r="N9" s="37">
        <f>IFERROR(VLOOKUP($E9,bug_conf_sheet!$A:$H,4,FALSE),VLOOKUP("other",bug_conf_sheet!$A:$H,4,FALSE))</f>
        <v>0</v>
      </c>
      <c r="O9" s="37">
        <f>IFERROR(VLOOKUP($E9,bug_conf_sheet!$A:$H,5,FALSE),VLOOKUP("other",bug_conf_sheet!$A:$H,5,FALSE))</f>
        <v>0</v>
      </c>
      <c r="P9" s="37">
        <f>IFERROR(VLOOKUP($E9,bug_conf_sheet!$A:$H,6,FALSE),VLOOKUP("other",bug_conf_sheet!$A:$H,6,FALSE))</f>
        <v>0</v>
      </c>
      <c r="Q9" s="37">
        <f>IFERROR(VLOOKUP($E9,bug_conf_sheet!$A:$H,7,FALSE),VLOOKUP("other",bug_conf_sheet!$A:$H,7,FALSE))</f>
        <v>0</v>
      </c>
      <c r="R9" s="37">
        <f>IFERROR(VLOOKUP($E9,bug_conf_sheet!$A:$H,8,FALSE),VLOOKUP("other",bug_conf_sheet!$A:$H,8,FALSE))</f>
        <v>1</v>
      </c>
    </row>
    <row r="10" spans="1:18" ht="21" customHeight="1">
      <c r="B10" s="2">
        <v>3033</v>
      </c>
      <c r="C10" s="8" t="str">
        <f t="shared" si="0"/>
        <v>PremiumSS5</v>
      </c>
      <c r="E10" s="6">
        <v>323</v>
      </c>
      <c r="F10" s="8" t="str">
        <f>VLOOKUP(E10,[1]characters!$A:$C,3,FALSE)</f>
        <v>流麗の愛志士 土方歳三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green</v>
      </c>
      <c r="J10" s="8" t="str">
        <f>VLOOKUP(E10,[1]characters!$A:$K,11,FALSE)</f>
        <v>attack</v>
      </c>
      <c r="K10" s="8" t="str">
        <f>VLOOKUP(E10,[1]characters!$A:$M,13,FALSE)</f>
        <v>human</v>
      </c>
      <c r="L10" s="16">
        <f>1*1000</f>
        <v>1000</v>
      </c>
      <c r="M10" s="37">
        <f>IFERROR(VLOOKUP($E10,bug_conf_sheet!$A:$H,3,FALSE),VLOOKUP("other",bug_conf_sheet!$A:$H,3,FALSE))</f>
        <v>1</v>
      </c>
      <c r="N10" s="37">
        <f>IFERROR(VLOOKUP($E10,bug_conf_sheet!$A:$H,4,FALSE),VLOOKUP("other",bug_conf_sheet!$A:$H,4,FALSE))</f>
        <v>0</v>
      </c>
      <c r="O10" s="37">
        <f>IFERROR(VLOOKUP($E10,bug_conf_sheet!$A:$H,5,FALSE),VLOOKUP("other",bug_conf_sheet!$A:$H,5,FALSE))</f>
        <v>0</v>
      </c>
      <c r="P10" s="37">
        <f>IFERROR(VLOOKUP($E10,bug_conf_sheet!$A:$H,6,FALSE),VLOOKUP("other",bug_conf_sheet!$A:$H,6,FALSE))</f>
        <v>0</v>
      </c>
      <c r="Q10" s="37">
        <f>IFERROR(VLOOKUP($E10,bug_conf_sheet!$A:$H,7,FALSE),VLOOKUP("other",bug_conf_sheet!$A:$H,7,FALSE))</f>
        <v>0</v>
      </c>
      <c r="R10" s="37">
        <f>IFERROR(VLOOKUP($E10,bug_conf_sheet!$A:$H,8,FALSE),VLOOKUP("other",bug_conf_sheet!$A:$H,8,FALSE))</f>
        <v>1</v>
      </c>
    </row>
    <row r="11" spans="1:18" ht="21" customHeight="1">
      <c r="B11" s="2">
        <v>3033</v>
      </c>
      <c r="C11" s="8" t="str">
        <f t="shared" si="0"/>
        <v>PremiumSS5</v>
      </c>
      <c r="E11" s="6">
        <v>384</v>
      </c>
      <c r="F11" s="8" t="str">
        <f>VLOOKUP(E11,[1]characters!$A:$C,3,FALSE)</f>
        <v>破国の呑龍 ヤマタノオロチ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hp</v>
      </c>
      <c r="K11" s="8" t="str">
        <f>VLOOKUP(E11,[1]characters!$A:$M,13,FALSE)</f>
        <v>dragon</v>
      </c>
      <c r="L11" s="16">
        <f>1*1000</f>
        <v>1000</v>
      </c>
      <c r="M11" s="37">
        <f>IFERROR(VLOOKUP($E11,bug_conf_sheet!$A:$H,3,FALSE),VLOOKUP("other",bug_conf_sheet!$A:$H,3,FALSE))</f>
        <v>1</v>
      </c>
      <c r="N11" s="37">
        <f>IFERROR(VLOOKUP($E11,bug_conf_sheet!$A:$H,4,FALSE),VLOOKUP("other",bug_conf_sheet!$A:$H,4,FALSE))</f>
        <v>0</v>
      </c>
      <c r="O11" s="37">
        <f>IFERROR(VLOOKUP($E11,bug_conf_sheet!$A:$H,5,FALSE),VLOOKUP("other",bug_conf_sheet!$A:$H,5,FALSE))</f>
        <v>0</v>
      </c>
      <c r="P11" s="37">
        <f>IFERROR(VLOOKUP($E11,bug_conf_sheet!$A:$H,6,FALSE),VLOOKUP("other",bug_conf_sheet!$A:$H,6,FALSE))</f>
        <v>0</v>
      </c>
      <c r="Q11" s="37">
        <f>IFERROR(VLOOKUP($E11,bug_conf_sheet!$A:$H,7,FALSE),VLOOKUP("other",bug_conf_sheet!$A:$H,7,FALSE))</f>
        <v>0</v>
      </c>
      <c r="R11" s="37">
        <f>IFERROR(VLOOKUP($E11,bug_conf_sheet!$A:$H,8,FALSE),VLOOKUP("other",bug_conf_sheet!$A:$H,8,FALSE))</f>
        <v>1</v>
      </c>
    </row>
    <row r="12" spans="1:18" ht="21" customHeight="1">
      <c r="B12" s="2">
        <v>3033</v>
      </c>
      <c r="C12" s="8" t="str">
        <f t="shared" si="0"/>
        <v>PremiumS5</v>
      </c>
      <c r="E12" s="6">
        <v>394</v>
      </c>
      <c r="F12" s="8" t="str">
        <f>VLOOKUP(E12,[1]characters!$A:$C,3,FALSE)</f>
        <v>影求の悪童 ピーターパン</v>
      </c>
      <c r="G12" s="8" t="str">
        <f>VLOOKUP(E12,[1]characters!$A:$J,10,FALSE)</f>
        <v>PremiumS</v>
      </c>
      <c r="H12" s="8">
        <f>VLOOKUP(E12,[1]characters!$A:$I,9,FALSE)</f>
        <v>5</v>
      </c>
      <c r="I12" s="8" t="str">
        <f>VLOOKUP(E12,[1]characters!$A:$H,8,FALSE)</f>
        <v>green</v>
      </c>
      <c r="J12" s="8" t="str">
        <f>VLOOKUP(E12,[1]characters!$A:$K,11,FALSE)</f>
        <v>attack</v>
      </c>
      <c r="K12" s="8" t="str">
        <f>VLOOKUP(E12,[1]characters!$A:$M,13,FALSE)</f>
        <v>human</v>
      </c>
      <c r="L12" s="16">
        <f t="shared" ref="L12" si="2">ROUND(93.5/13*1000,0)</f>
        <v>7192</v>
      </c>
      <c r="M12" s="37">
        <f>IFERROR(VLOOKUP($E12,bug_conf_sheet!$A:$H,3,FALSE),VLOOKUP("other",bug_conf_sheet!$A:$H,3,FALSE))</f>
        <v>1</v>
      </c>
      <c r="N12" s="37">
        <f>IFERROR(VLOOKUP($E12,bug_conf_sheet!$A:$H,4,FALSE),VLOOKUP("other",bug_conf_sheet!$A:$H,4,FALSE))</f>
        <v>0</v>
      </c>
      <c r="O12" s="37">
        <f>IFERROR(VLOOKUP($E12,bug_conf_sheet!$A:$H,5,FALSE),VLOOKUP("other",bug_conf_sheet!$A:$H,5,FALSE))</f>
        <v>0</v>
      </c>
      <c r="P12" s="37">
        <f>IFERROR(VLOOKUP($E12,bug_conf_sheet!$A:$H,6,FALSE),VLOOKUP("other",bug_conf_sheet!$A:$H,6,FALSE))</f>
        <v>0</v>
      </c>
      <c r="Q12" s="37">
        <f>IFERROR(VLOOKUP($E12,bug_conf_sheet!$A:$H,7,FALSE),VLOOKUP("other",bug_conf_sheet!$A:$H,7,FALSE))</f>
        <v>0</v>
      </c>
      <c r="R12" s="37">
        <f>IFERROR(VLOOKUP($E12,bug_conf_sheet!$A:$H,8,FALSE),VLOOKUP("other",bug_conf_sheet!$A:$H,8,FALSE))</f>
        <v>1</v>
      </c>
    </row>
    <row r="13" spans="1:18" ht="21" customHeight="1">
      <c r="B13" s="2">
        <v>3033</v>
      </c>
      <c r="C13" s="8" t="str">
        <f t="shared" si="0"/>
        <v>PremiumSS5</v>
      </c>
      <c r="E13" s="6">
        <v>404</v>
      </c>
      <c r="F13" s="8" t="str">
        <f>VLOOKUP(E13,[1]characters!$A:$C,3,FALSE)</f>
        <v>空襲の神眼 八咫烏</v>
      </c>
      <c r="G13" s="8" t="str">
        <f>VLOOKUP(E13,[1]characters!$A:$J,10,FALSE)</f>
        <v>PremiumSS</v>
      </c>
      <c r="H13" s="8">
        <f>VLOOKUP(E13,[1]characters!$A:$I,9,FALSE)</f>
        <v>5</v>
      </c>
      <c r="I13" s="8" t="str">
        <f>VLOOKUP(E13,[1]characters!$A:$H,8,FALSE)</f>
        <v>green</v>
      </c>
      <c r="J13" s="8" t="str">
        <f>VLOOKUP(E13,[1]characters!$A:$K,11,FALSE)</f>
        <v>balance</v>
      </c>
      <c r="K13" s="8" t="str">
        <f>VLOOKUP(E13,[1]characters!$A:$M,13,FALSE)</f>
        <v>animal</v>
      </c>
      <c r="L13" s="16">
        <f>1*1000</f>
        <v>1000</v>
      </c>
      <c r="M13" s="37">
        <f>IFERROR(VLOOKUP($E13,bug_conf_sheet!$A:$H,3,FALSE),VLOOKUP("other",bug_conf_sheet!$A:$H,3,FALSE))</f>
        <v>1</v>
      </c>
      <c r="N13" s="37">
        <f>IFERROR(VLOOKUP($E13,bug_conf_sheet!$A:$H,4,FALSE),VLOOKUP("other",bug_conf_sheet!$A:$H,4,FALSE))</f>
        <v>0</v>
      </c>
      <c r="O13" s="37">
        <f>IFERROR(VLOOKUP($E13,bug_conf_sheet!$A:$H,5,FALSE),VLOOKUP("other",bug_conf_sheet!$A:$H,5,FALSE))</f>
        <v>0</v>
      </c>
      <c r="P13" s="37">
        <f>IFERROR(VLOOKUP($E13,bug_conf_sheet!$A:$H,6,FALSE),VLOOKUP("other",bug_conf_sheet!$A:$H,6,FALSE))</f>
        <v>0</v>
      </c>
      <c r="Q13" s="37">
        <f>IFERROR(VLOOKUP($E13,bug_conf_sheet!$A:$H,7,FALSE),VLOOKUP("other",bug_conf_sheet!$A:$H,7,FALSE))</f>
        <v>0</v>
      </c>
      <c r="R13" s="37">
        <f>IFERROR(VLOOKUP($E13,bug_conf_sheet!$A:$H,8,FALSE),VLOOKUP("other",bug_conf_sheet!$A:$H,8,FALSE))</f>
        <v>1</v>
      </c>
    </row>
    <row r="14" spans="1:18" ht="21" customHeight="1">
      <c r="B14" s="2">
        <v>3033</v>
      </c>
      <c r="C14" s="8" t="str">
        <f t="shared" si="0"/>
        <v>PremiumS5</v>
      </c>
      <c r="E14" s="6">
        <v>438</v>
      </c>
      <c r="F14" s="8" t="str">
        <f>VLOOKUP(E14,[1]characters!$A:$C,3,FALSE)</f>
        <v>記憶の奪還 カカシ</v>
      </c>
      <c r="G14" s="8" t="str">
        <f>VLOOKUP(E14,[1]characters!$A:$J,10,FALSE)</f>
        <v>PremiumS</v>
      </c>
      <c r="H14" s="8">
        <f>VLOOKUP(E14,[1]characters!$A:$I,9,FALSE)</f>
        <v>5</v>
      </c>
      <c r="I14" s="8" t="str">
        <f>VLOOKUP(E14,[1]characters!$A:$H,8,FALSE)</f>
        <v>green</v>
      </c>
      <c r="J14" s="8" t="str">
        <f>VLOOKUP(E14,[1]characters!$A:$K,11,FALSE)</f>
        <v>technical</v>
      </c>
      <c r="K14" s="8" t="str">
        <f>VLOOKUP(E14,[1]characters!$A:$M,13,FALSE)</f>
        <v>human</v>
      </c>
      <c r="L14" s="16">
        <f t="shared" ref="L14" si="3">ROUND(93.5/13*1000,0)</f>
        <v>7192</v>
      </c>
      <c r="M14" s="37">
        <f>IFERROR(VLOOKUP($E14,bug_conf_sheet!$A:$H,3,FALSE),VLOOKUP("other",bug_conf_sheet!$A:$H,3,FALSE))</f>
        <v>1</v>
      </c>
      <c r="N14" s="37">
        <f>IFERROR(VLOOKUP($E14,bug_conf_sheet!$A:$H,4,FALSE),VLOOKUP("other",bug_conf_sheet!$A:$H,4,FALSE))</f>
        <v>0</v>
      </c>
      <c r="O14" s="37">
        <f>IFERROR(VLOOKUP($E14,bug_conf_sheet!$A:$H,5,FALSE),VLOOKUP("other",bug_conf_sheet!$A:$H,5,FALSE))</f>
        <v>0</v>
      </c>
      <c r="P14" s="37">
        <f>IFERROR(VLOOKUP($E14,bug_conf_sheet!$A:$H,6,FALSE),VLOOKUP("other",bug_conf_sheet!$A:$H,6,FALSE))</f>
        <v>0</v>
      </c>
      <c r="Q14" s="37">
        <f>IFERROR(VLOOKUP($E14,bug_conf_sheet!$A:$H,7,FALSE),VLOOKUP("other",bug_conf_sheet!$A:$H,7,FALSE))</f>
        <v>0</v>
      </c>
      <c r="R14" s="37">
        <f>IFERROR(VLOOKUP($E14,bug_conf_sheet!$A:$H,8,FALSE),VLOOKUP("other",bug_conf_sheet!$A:$H,8,FALSE))</f>
        <v>1</v>
      </c>
    </row>
    <row r="15" spans="1:18" ht="21" customHeight="1">
      <c r="B15" s="2">
        <v>3033</v>
      </c>
      <c r="C15" s="8" t="str">
        <f t="shared" si="0"/>
        <v>PremiumSS5</v>
      </c>
      <c r="E15" s="6">
        <v>466</v>
      </c>
      <c r="F15" s="8" t="str">
        <f>VLOOKUP(E15,[1]characters!$A:$C,3,FALSE)</f>
        <v>真断の勇覇 ランスロット</v>
      </c>
      <c r="G15" s="8" t="str">
        <f>VLOOKUP(E15,[1]characters!$A:$J,10,FALSE)</f>
        <v>PremiumSS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balance</v>
      </c>
      <c r="K15" s="8" t="str">
        <f>VLOOKUP(E15,[1]characters!$A:$M,13,FALSE)</f>
        <v>human</v>
      </c>
      <c r="L15" s="16">
        <f>1*1000</f>
        <v>1000</v>
      </c>
      <c r="M15" s="37">
        <f>IFERROR(VLOOKUP($E15,bug_conf_sheet!$A:$H,3,FALSE),VLOOKUP("other",bug_conf_sheet!$A:$H,3,FALSE))</f>
        <v>1</v>
      </c>
      <c r="N15" s="37">
        <f>IFERROR(VLOOKUP($E15,bug_conf_sheet!$A:$H,4,FALSE),VLOOKUP("other",bug_conf_sheet!$A:$H,4,FALSE))</f>
        <v>0</v>
      </c>
      <c r="O15" s="37">
        <f>IFERROR(VLOOKUP($E15,bug_conf_sheet!$A:$H,5,FALSE),VLOOKUP("other",bug_conf_sheet!$A:$H,5,FALSE))</f>
        <v>0</v>
      </c>
      <c r="P15" s="37">
        <f>IFERROR(VLOOKUP($E15,bug_conf_sheet!$A:$H,6,FALSE),VLOOKUP("other",bug_conf_sheet!$A:$H,6,FALSE))</f>
        <v>0</v>
      </c>
      <c r="Q15" s="37">
        <f>IFERROR(VLOOKUP($E15,bug_conf_sheet!$A:$H,7,FALSE),VLOOKUP("other",bug_conf_sheet!$A:$H,7,FALSE))</f>
        <v>0</v>
      </c>
      <c r="R15" s="37">
        <f>IFERROR(VLOOKUP($E15,bug_conf_sheet!$A:$H,8,FALSE),VLOOKUP("other",bug_conf_sheet!$A:$H,8,FALSE))</f>
        <v>1</v>
      </c>
    </row>
    <row r="16" spans="1:18" ht="21" customHeight="1">
      <c r="B16" s="2">
        <v>3033</v>
      </c>
      <c r="C16" s="8" t="str">
        <f t="shared" si="0"/>
        <v>PremiumS5</v>
      </c>
      <c r="E16" s="6">
        <v>478</v>
      </c>
      <c r="F16" s="8" t="str">
        <f>VLOOKUP(E16,[1]characters!$A:$C,3,FALSE)</f>
        <v>時計仕掛けの愛羽妖精 ファータ</v>
      </c>
      <c r="G16" s="8" t="str">
        <f>VLOOKUP(E16,[1]characters!$A:$J,10,FALSE)</f>
        <v>PremiumS</v>
      </c>
      <c r="H16" s="8">
        <f>VLOOKUP(E16,[1]characters!$A:$I,9,FALSE)</f>
        <v>5</v>
      </c>
      <c r="I16" s="8" t="str">
        <f>VLOOKUP(E16,[1]characters!$A:$H,8,FALSE)</f>
        <v>green</v>
      </c>
      <c r="J16" s="8" t="str">
        <f>VLOOKUP(E16,[1]characters!$A:$K,11,FALSE)</f>
        <v>heal</v>
      </c>
      <c r="K16" s="8" t="str">
        <f>VLOOKUP(E16,[1]characters!$A:$M,13,FALSE)</f>
        <v>unknown</v>
      </c>
      <c r="L16" s="16">
        <f t="shared" ref="L16" si="4">ROUND(93.5/13*1000,0)</f>
        <v>7192</v>
      </c>
      <c r="M16" s="37">
        <f>IFERROR(VLOOKUP($E16,bug_conf_sheet!$A:$H,3,FALSE),VLOOKUP("other",bug_conf_sheet!$A:$H,3,FALSE))</f>
        <v>1</v>
      </c>
      <c r="N16" s="37">
        <f>IFERROR(VLOOKUP($E16,bug_conf_sheet!$A:$H,4,FALSE),VLOOKUP("other",bug_conf_sheet!$A:$H,4,FALSE))</f>
        <v>0</v>
      </c>
      <c r="O16" s="37">
        <f>IFERROR(VLOOKUP($E16,bug_conf_sheet!$A:$H,5,FALSE),VLOOKUP("other",bug_conf_sheet!$A:$H,5,FALSE))</f>
        <v>0</v>
      </c>
      <c r="P16" s="37">
        <f>IFERROR(VLOOKUP($E16,bug_conf_sheet!$A:$H,6,FALSE),VLOOKUP("other",bug_conf_sheet!$A:$H,6,FALSE))</f>
        <v>0</v>
      </c>
      <c r="Q16" s="37">
        <f>IFERROR(VLOOKUP($E16,bug_conf_sheet!$A:$H,7,FALSE),VLOOKUP("other",bug_conf_sheet!$A:$H,7,FALSE))</f>
        <v>0</v>
      </c>
      <c r="R16" s="37">
        <f>IFERROR(VLOOKUP($E16,bug_conf_sheet!$A:$H,8,FALSE),VLOOKUP("other",bug_conf_sheet!$A:$H,8,FALSE))</f>
        <v>1</v>
      </c>
    </row>
    <row r="17" spans="2:18" ht="21" customHeight="1">
      <c r="B17" s="2">
        <v>3033</v>
      </c>
      <c r="C17" s="8" t="str">
        <f t="shared" si="0"/>
        <v>PremiumSS5</v>
      </c>
      <c r="E17" s="6">
        <v>495</v>
      </c>
      <c r="F17" s="8" t="str">
        <f>VLOOKUP(E17,[1]characters!$A:$C,3,FALSE)</f>
        <v>鼠災呼ぶ笛音 ハーメルン</v>
      </c>
      <c r="G17" s="8" t="str">
        <f>VLOOKUP(E17,[1]characters!$A:$J,10,FALSE)</f>
        <v>PremiumSS</v>
      </c>
      <c r="H17" s="8">
        <f>VLOOKUP(E17,[1]characters!$A:$I,9,FALSE)</f>
        <v>5</v>
      </c>
      <c r="I17" s="8" t="str">
        <f>VLOOKUP(E17,[1]characters!$A:$H,8,FALSE)</f>
        <v>green</v>
      </c>
      <c r="J17" s="8" t="str">
        <f>VLOOKUP(E17,[1]characters!$A:$K,11,FALSE)</f>
        <v>technical</v>
      </c>
      <c r="K17" s="8" t="str">
        <f>VLOOKUP(E17,[1]characters!$A:$M,13,FALSE)</f>
        <v>human</v>
      </c>
      <c r="L17" s="16">
        <f>1*1000</f>
        <v>1000</v>
      </c>
      <c r="M17" s="37">
        <f>IFERROR(VLOOKUP($E17,bug_conf_sheet!$A:$H,3,FALSE),VLOOKUP("other",bug_conf_sheet!$A:$H,3,FALSE))</f>
        <v>1</v>
      </c>
      <c r="N17" s="37">
        <f>IFERROR(VLOOKUP($E17,bug_conf_sheet!$A:$H,4,FALSE),VLOOKUP("other",bug_conf_sheet!$A:$H,4,FALSE))</f>
        <v>0</v>
      </c>
      <c r="O17" s="37">
        <f>IFERROR(VLOOKUP($E17,bug_conf_sheet!$A:$H,5,FALSE),VLOOKUP("other",bug_conf_sheet!$A:$H,5,FALSE))</f>
        <v>0</v>
      </c>
      <c r="P17" s="37">
        <f>IFERROR(VLOOKUP($E17,bug_conf_sheet!$A:$H,6,FALSE),VLOOKUP("other",bug_conf_sheet!$A:$H,6,FALSE))</f>
        <v>0</v>
      </c>
      <c r="Q17" s="37">
        <f>IFERROR(VLOOKUP($E17,bug_conf_sheet!$A:$H,7,FALSE),VLOOKUP("other",bug_conf_sheet!$A:$H,7,FALSE))</f>
        <v>0</v>
      </c>
      <c r="R17" s="37">
        <f>IFERROR(VLOOKUP($E17,bug_conf_sheet!$A:$H,8,FALSE),VLOOKUP("other",bug_conf_sheet!$A:$H,8,FALSE))</f>
        <v>1</v>
      </c>
    </row>
    <row r="18" spans="2:18" ht="21" customHeight="1">
      <c r="B18" s="2">
        <v>3033</v>
      </c>
      <c r="C18" s="8" t="str">
        <f t="shared" si="0"/>
        <v>PremiumS5</v>
      </c>
      <c r="E18" s="6">
        <v>590</v>
      </c>
      <c r="F18" s="8" t="str">
        <f>VLOOKUP(E18,[1]characters!$A:$C,3,FALSE)</f>
        <v>永遠を廻る呪い ニーベルゲン</v>
      </c>
      <c r="G18" s="8" t="str">
        <f>VLOOKUP(E18,[1]characters!$A:$J,10,FALSE)</f>
        <v>PremiumS</v>
      </c>
      <c r="H18" s="8">
        <f>VLOOKUP(E18,[1]characters!$A:$I,9,FALSE)</f>
        <v>5</v>
      </c>
      <c r="I18" s="8" t="str">
        <f>VLOOKUP(E18,[1]characters!$A:$H,8,FALSE)</f>
        <v>green</v>
      </c>
      <c r="J18" s="8" t="str">
        <f>VLOOKUP(E18,[1]characters!$A:$K,11,FALSE)</f>
        <v>balance</v>
      </c>
      <c r="K18" s="8" t="str">
        <f>VLOOKUP(E18,[1]characters!$A:$M,13,FALSE)</f>
        <v>unknown</v>
      </c>
      <c r="L18" s="16">
        <f t="shared" ref="L18:L19" si="5">ROUND(93.5/13*1000,0)</f>
        <v>7192</v>
      </c>
      <c r="M18" s="37">
        <f>IFERROR(VLOOKUP($E18,bug_conf_sheet!$A:$H,3,FALSE),VLOOKUP("other",bug_conf_sheet!$A:$H,3,FALSE))</f>
        <v>1</v>
      </c>
      <c r="N18" s="37">
        <f>IFERROR(VLOOKUP($E18,bug_conf_sheet!$A:$H,4,FALSE),VLOOKUP("other",bug_conf_sheet!$A:$H,4,FALSE))</f>
        <v>0</v>
      </c>
      <c r="O18" s="37">
        <f>IFERROR(VLOOKUP($E18,bug_conf_sheet!$A:$H,5,FALSE),VLOOKUP("other",bug_conf_sheet!$A:$H,5,FALSE))</f>
        <v>0</v>
      </c>
      <c r="P18" s="37">
        <f>IFERROR(VLOOKUP($E18,bug_conf_sheet!$A:$H,6,FALSE),VLOOKUP("other",bug_conf_sheet!$A:$H,6,FALSE))</f>
        <v>0</v>
      </c>
      <c r="Q18" s="37">
        <f>IFERROR(VLOOKUP($E18,bug_conf_sheet!$A:$H,7,FALSE),VLOOKUP("other",bug_conf_sheet!$A:$H,7,FALSE))</f>
        <v>0</v>
      </c>
      <c r="R18" s="37">
        <f>IFERROR(VLOOKUP($E18,bug_conf_sheet!$A:$H,8,FALSE),VLOOKUP("other",bug_conf_sheet!$A:$H,8,FALSE))</f>
        <v>1</v>
      </c>
    </row>
    <row r="19" spans="2:18" ht="21" customHeight="1">
      <c r="B19" s="2">
        <v>3033</v>
      </c>
      <c r="C19" s="8" t="str">
        <f t="shared" si="0"/>
        <v>PremiumS5</v>
      </c>
      <c r="E19" s="6">
        <v>601</v>
      </c>
      <c r="F19" s="8" t="str">
        <f>VLOOKUP(E19,[1]characters!$A:$C,3,FALSE)</f>
        <v>界根蝕む悪食 ニーズヘッグ</v>
      </c>
      <c r="G19" s="8" t="str">
        <f>VLOOKUP(E19,[1]characters!$A:$J,10,FALSE)</f>
        <v>PremiumS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attack</v>
      </c>
      <c r="K19" s="8" t="str">
        <f>VLOOKUP(E19,[1]characters!$A:$M,13,FALSE)</f>
        <v>dragon</v>
      </c>
      <c r="L19" s="16">
        <f t="shared" si="5"/>
        <v>7192</v>
      </c>
      <c r="M19" s="37">
        <f>IFERROR(VLOOKUP($E19,bug_conf_sheet!$A:$H,3,FALSE),VLOOKUP("other",bug_conf_sheet!$A:$H,3,FALSE))</f>
        <v>1</v>
      </c>
      <c r="N19" s="37">
        <f>IFERROR(VLOOKUP($E19,bug_conf_sheet!$A:$H,4,FALSE),VLOOKUP("other",bug_conf_sheet!$A:$H,4,FALSE))</f>
        <v>0</v>
      </c>
      <c r="O19" s="37">
        <f>IFERROR(VLOOKUP($E19,bug_conf_sheet!$A:$H,5,FALSE),VLOOKUP("other",bug_conf_sheet!$A:$H,5,FALSE))</f>
        <v>0</v>
      </c>
      <c r="P19" s="37">
        <f>IFERROR(VLOOKUP($E19,bug_conf_sheet!$A:$H,6,FALSE),VLOOKUP("other",bug_conf_sheet!$A:$H,6,FALSE))</f>
        <v>0</v>
      </c>
      <c r="Q19" s="37">
        <f>IFERROR(VLOOKUP($E19,bug_conf_sheet!$A:$H,7,FALSE),VLOOKUP("other",bug_conf_sheet!$A:$H,7,FALSE))</f>
        <v>0</v>
      </c>
      <c r="R19" s="37">
        <f>IFERROR(VLOOKUP($E19,bug_conf_sheet!$A:$H,8,FALSE),VLOOKUP("other",bug_conf_sheet!$A:$H,8,FALSE))</f>
        <v>1</v>
      </c>
    </row>
    <row r="20" spans="2:18" ht="21" customHeight="1">
      <c r="B20" s="2">
        <v>3033</v>
      </c>
      <c r="C20" s="8" t="str">
        <f t="shared" si="0"/>
        <v>PremiumSS5</v>
      </c>
      <c r="E20" s="6">
        <v>661</v>
      </c>
      <c r="F20" s="8" t="str">
        <f>VLOOKUP(E20,[1]characters!$A:$C,3,FALSE)</f>
        <v>疾風の天狗礫 フウガ</v>
      </c>
      <c r="G20" s="8" t="str">
        <f>VLOOKUP(E20,[1]characters!$A:$J,10,FALSE)</f>
        <v>PremiumSS</v>
      </c>
      <c r="H20" s="8">
        <f>VLOOKUP(E20,[1]characters!$A:$I,9,FALSE)</f>
        <v>5</v>
      </c>
      <c r="I20" s="8" t="str">
        <f>VLOOKUP(E20,[1]characters!$A:$H,8,FALSE)</f>
        <v>green</v>
      </c>
      <c r="J20" s="8" t="str">
        <f>VLOOKUP(E20,[1]characters!$A:$K,11,FALSE)</f>
        <v>balance</v>
      </c>
      <c r="K20" s="8" t="str">
        <f>VLOOKUP(E20,[1]characters!$A:$M,13,FALSE)</f>
        <v>animal</v>
      </c>
      <c r="L20" s="16">
        <f>1*1000</f>
        <v>1000</v>
      </c>
      <c r="M20" s="37">
        <f>IFERROR(VLOOKUP($E20,bug_conf_sheet!$A:$H,3,FALSE),VLOOKUP("other",bug_conf_sheet!$A:$H,3,FALSE))</f>
        <v>1</v>
      </c>
      <c r="N20" s="37">
        <f>IFERROR(VLOOKUP($E20,bug_conf_sheet!$A:$H,4,FALSE),VLOOKUP("other",bug_conf_sheet!$A:$H,4,FALSE))</f>
        <v>0</v>
      </c>
      <c r="O20" s="37">
        <f>IFERROR(VLOOKUP($E20,bug_conf_sheet!$A:$H,5,FALSE),VLOOKUP("other",bug_conf_sheet!$A:$H,5,FALSE))</f>
        <v>0</v>
      </c>
      <c r="P20" s="37">
        <f>IFERROR(VLOOKUP($E20,bug_conf_sheet!$A:$H,6,FALSE),VLOOKUP("other",bug_conf_sheet!$A:$H,6,FALSE))</f>
        <v>0</v>
      </c>
      <c r="Q20" s="37">
        <f>IFERROR(VLOOKUP($E20,bug_conf_sheet!$A:$H,7,FALSE),VLOOKUP("other",bug_conf_sheet!$A:$H,7,FALSE))</f>
        <v>0</v>
      </c>
      <c r="R20" s="37">
        <f>IFERROR(VLOOKUP($E20,bug_conf_sheet!$A:$H,8,FALSE),VLOOKUP("other",bug_conf_sheet!$A:$H,8,FALSE))</f>
        <v>1</v>
      </c>
    </row>
    <row r="21" spans="2:18" ht="21" customHeight="1">
      <c r="B21" s="2">
        <v>3033</v>
      </c>
      <c r="C21" s="8" t="str">
        <f>G21&amp;H21</f>
        <v>PremiumSSS5</v>
      </c>
      <c r="E21" s="6">
        <v>487</v>
      </c>
      <c r="F21" s="8" t="str">
        <f>VLOOKUP(E21,[1]characters!$A:$C,3,FALSE)</f>
        <v>暴創の造物 チューリング</v>
      </c>
      <c r="G21" s="8" t="str">
        <f>VLOOKUP(E21,[1]characters!$A:$J,10,FALSE)</f>
        <v>PremiumSSS</v>
      </c>
      <c r="H21" s="8">
        <f>VLOOKUP(E21,[1]characters!$A:$I,9,FALSE)</f>
        <v>5</v>
      </c>
      <c r="I21" s="8" t="str">
        <f>VLOOKUP(E21,[1]characters!$A:$H,8,FALSE)</f>
        <v>green</v>
      </c>
      <c r="J21" s="8" t="str">
        <f>VLOOKUP(E21,[1]characters!$A:$K,11,FALSE)</f>
        <v>hp</v>
      </c>
      <c r="K21" s="8" t="str">
        <f>VLOOKUP(E21,[1]characters!$A:$M,13,FALSE)</f>
        <v>human</v>
      </c>
      <c r="L21" s="16">
        <f>0.5*1000</f>
        <v>500</v>
      </c>
      <c r="M21" s="37">
        <f>IFERROR(VLOOKUP($E21,bug_conf_sheet!$A:$H,3,FALSE),VLOOKUP("other",bug_conf_sheet!$A:$H,3,FALSE))</f>
        <v>1</v>
      </c>
      <c r="N21" s="37">
        <f>IFERROR(VLOOKUP($E21,bug_conf_sheet!$A:$H,4,FALSE),VLOOKUP("other",bug_conf_sheet!$A:$H,4,FALSE))</f>
        <v>0</v>
      </c>
      <c r="O21" s="37">
        <f>IFERROR(VLOOKUP($E21,bug_conf_sheet!$A:$H,5,FALSE),VLOOKUP("other",bug_conf_sheet!$A:$H,5,FALSE))</f>
        <v>0</v>
      </c>
      <c r="P21" s="37">
        <f>IFERROR(VLOOKUP($E21,bug_conf_sheet!$A:$H,6,FALSE),VLOOKUP("other",bug_conf_sheet!$A:$H,6,FALSE))</f>
        <v>0</v>
      </c>
      <c r="Q21" s="37">
        <f>IFERROR(VLOOKUP($E21,bug_conf_sheet!$A:$H,7,FALSE),VLOOKUP("other",bug_conf_sheet!$A:$H,7,FALSE))</f>
        <v>0</v>
      </c>
      <c r="R21" s="37">
        <f>IFERROR(VLOOKUP($E21,bug_conf_sheet!$A:$H,8,FALSE),VLOOKUP("other",bug_conf_sheet!$A:$H,8,FALSE))</f>
        <v>1</v>
      </c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7" activePane="bottomLeft" state="frozen"/>
      <selection pane="bottomLeft" activeCell="A2" sqref="A2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80</v>
      </c>
      <c r="C1" s="38" t="s">
        <v>83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 t="str">
        <f>IFERROR(VLOOKUP(A12,[1]characters!$A:$C,3,FALSE),"")</f>
        <v/>
      </c>
      <c r="C12" s="5"/>
      <c r="D12" s="5"/>
      <c r="E12" s="5"/>
      <c r="F12" s="5"/>
      <c r="G12" s="5"/>
      <c r="H12" s="16"/>
    </row>
    <row r="13" spans="1:8">
      <c r="A13" s="16"/>
      <c r="B13" s="8" t="str">
        <f>IFERROR(VLOOKUP(A13,[1]characters!$A:$C,3,FALSE),"")</f>
        <v/>
      </c>
      <c r="C13" s="5"/>
      <c r="D13" s="5"/>
      <c r="E13" s="5"/>
      <c r="F13" s="5"/>
      <c r="G13" s="5"/>
      <c r="H13" s="16"/>
    </row>
    <row r="14" spans="1:8">
      <c r="A14" s="16"/>
      <c r="B14" s="8" t="str">
        <f>IFERROR(VLOOKUP(A14,[1]characters!$A:$C,3,FALSE),"")</f>
        <v/>
      </c>
      <c r="C14" s="5"/>
      <c r="D14" s="5"/>
      <c r="E14" s="5"/>
      <c r="F14" s="5"/>
      <c r="G14" s="5"/>
      <c r="H14" s="16"/>
    </row>
    <row r="15" spans="1:8">
      <c r="A15" s="16"/>
      <c r="B15" s="8" t="str">
        <f>IFERROR(VLOOKUP(A15,[1]characters!$A:$C,3,FALSE),"")</f>
        <v/>
      </c>
      <c r="C15" s="5"/>
      <c r="D15" s="5"/>
      <c r="E15" s="5"/>
      <c r="F15" s="5"/>
      <c r="G15" s="5"/>
      <c r="H15" s="16"/>
    </row>
    <row r="16" spans="1:8">
      <c r="A16" s="16"/>
      <c r="B16" s="8" t="str">
        <f>IFERROR(VLOOKUP(A16,[1]characters!$A:$C,3,FALSE),"")</f>
        <v/>
      </c>
      <c r="C16" s="5"/>
      <c r="D16" s="5"/>
      <c r="E16" s="5"/>
      <c r="F16" s="5"/>
      <c r="G16" s="5"/>
      <c r="H16" s="16"/>
    </row>
    <row r="17" spans="1:8">
      <c r="A17" s="16"/>
      <c r="B17" s="8" t="str">
        <f>IFERROR(VLOOKUP(A17,[1]characters!$A:$C,3,FALSE),"")</f>
        <v/>
      </c>
      <c r="C17" s="5"/>
      <c r="D17" s="5"/>
      <c r="E17" s="5"/>
      <c r="F17" s="5"/>
      <c r="G17" s="5"/>
      <c r="H17" s="16"/>
    </row>
    <row r="18" spans="1:8">
      <c r="A18" s="16"/>
      <c r="B18" s="8" t="str">
        <f>IFERROR(VLOOKUP(A18,[1]characters!$A:$C,3,FALSE),"")</f>
        <v/>
      </c>
      <c r="C18" s="5"/>
      <c r="D18" s="5"/>
      <c r="E18" s="5"/>
      <c r="F18" s="5"/>
      <c r="G18" s="5"/>
      <c r="H18" s="16"/>
    </row>
    <row r="19" spans="1:8">
      <c r="A19" s="16"/>
      <c r="B19" s="8" t="str">
        <f>IFERROR(VLOOKUP(A19,[1]characters!$A:$C,3,FALSE),"")</f>
        <v/>
      </c>
      <c r="C19" s="5"/>
      <c r="D19" s="5"/>
      <c r="E19" s="5"/>
      <c r="F19" s="5"/>
      <c r="G19" s="5"/>
      <c r="H19" s="16"/>
    </row>
    <row r="20" spans="1:8">
      <c r="A20" s="16"/>
      <c r="B20" s="8" t="str">
        <f>IFERROR(VLOOKUP(A20,[1]characters!$A:$C,3,FALSE),"")</f>
        <v/>
      </c>
      <c r="C20" s="5"/>
      <c r="D20" s="5"/>
      <c r="E20" s="5"/>
      <c r="F20" s="5"/>
      <c r="G20" s="5"/>
      <c r="H20" s="16"/>
    </row>
    <row r="21" spans="1:8">
      <c r="A21" s="16"/>
      <c r="B21" s="8" t="str">
        <f>IFERROR(VLOOKUP(A21,[1]characters!$A:$C,3,FALSE),"")</f>
        <v/>
      </c>
      <c r="C21" s="5"/>
      <c r="D21" s="5"/>
      <c r="E21" s="5"/>
      <c r="F21" s="5"/>
      <c r="G21" s="5"/>
      <c r="H21" s="16"/>
    </row>
    <row r="22" spans="1:8">
      <c r="A22" s="16"/>
      <c r="B22" s="8" t="str">
        <f>IFERROR(VLOOKUP(A22,[1]characters!$A:$C,3,FALSE),"")</f>
        <v/>
      </c>
      <c r="C22" s="5"/>
      <c r="D22" s="5"/>
      <c r="E22" s="5"/>
      <c r="F22" s="5"/>
      <c r="G22" s="5"/>
      <c r="H22" s="16"/>
    </row>
    <row r="23" spans="1:8">
      <c r="A23" s="16"/>
      <c r="B23" s="8" t="str">
        <f>IFERROR(VLOOKUP(A23,[1]characters!$A:$C,3,FALSE),"")</f>
        <v/>
      </c>
      <c r="C23" s="5"/>
      <c r="D23" s="5"/>
      <c r="E23" s="5"/>
      <c r="F23" s="5"/>
      <c r="G23" s="5"/>
      <c r="H23" s="16"/>
    </row>
    <row r="24" spans="1:8">
      <c r="A24" s="16"/>
      <c r="B24" s="8" t="str">
        <f>IFERROR(VLOOKUP(A24,[1]characters!$A:$C,3,FALSE),"")</f>
        <v/>
      </c>
      <c r="C24" s="5"/>
      <c r="D24" s="5"/>
      <c r="E24" s="5"/>
      <c r="F24" s="5"/>
      <c r="G24" s="5"/>
      <c r="H24" s="16"/>
    </row>
    <row r="25" spans="1:8">
      <c r="A25" s="16"/>
      <c r="B25" s="8" t="str">
        <f>IFERROR(VLOOKUP(A25,[1]characters!$A:$C,3,FALSE),"")</f>
        <v/>
      </c>
      <c r="C25" s="5"/>
      <c r="D25" s="5"/>
      <c r="E25" s="5"/>
      <c r="F25" s="5"/>
      <c r="G25" s="5"/>
      <c r="H25" s="16"/>
    </row>
    <row r="26" spans="1:8">
      <c r="A26" s="16"/>
      <c r="B26" s="8" t="str">
        <f>IFERROR(VLOOKUP(A26,[1]characters!$A:$C,3,FALSE),"")</f>
        <v/>
      </c>
      <c r="C26" s="5"/>
      <c r="D26" s="5"/>
      <c r="E26" s="5"/>
      <c r="F26" s="5"/>
      <c r="G26" s="5"/>
      <c r="H26" s="16"/>
    </row>
    <row r="27" spans="1:8">
      <c r="A27" s="16"/>
      <c r="B27" s="8" t="str">
        <f>IFERROR(VLOOKUP(A27,[1]characters!$A:$C,3,FALSE),"")</f>
        <v/>
      </c>
      <c r="C27" s="5"/>
      <c r="D27" s="5"/>
      <c r="E27" s="5"/>
      <c r="F27" s="5"/>
      <c r="G27" s="5"/>
      <c r="H27" s="16"/>
    </row>
    <row r="28" spans="1:8">
      <c r="A28" s="16"/>
      <c r="B28" s="8" t="str">
        <f>IFERROR(VLOOKUP(A28,[1]characters!$A:$C,3,FALSE),"")</f>
        <v/>
      </c>
      <c r="C28" s="5"/>
      <c r="D28" s="5"/>
      <c r="E28" s="5"/>
      <c r="F28" s="5"/>
      <c r="G28" s="5"/>
      <c r="H28" s="16"/>
    </row>
    <row r="29" spans="1:8">
      <c r="A29" s="16"/>
      <c r="B29" s="8" t="str">
        <f>IFERROR(VLOOKUP(A29,[1]characters!$A:$C,3,FALSE),"")</f>
        <v/>
      </c>
      <c r="C29" s="5"/>
      <c r="D29" s="5"/>
      <c r="E29" s="5"/>
      <c r="F29" s="5"/>
      <c r="G29" s="5"/>
      <c r="H29" s="16"/>
    </row>
    <row r="30" spans="1:8">
      <c r="A30" s="16"/>
      <c r="B30" s="8" t="str">
        <f>IFERROR(VLOOKUP(A30,[1]characters!$A:$C,3,FALSE),"")</f>
        <v/>
      </c>
      <c r="C30" s="5"/>
      <c r="D30" s="5"/>
      <c r="E30" s="5"/>
      <c r="F30" s="5"/>
      <c r="G30" s="5"/>
      <c r="H30" s="16"/>
    </row>
    <row r="31" spans="1:8">
      <c r="A31" s="16"/>
      <c r="B31" s="8" t="str">
        <f>IFERROR(VLOOKUP(A31,[1]characters!$A:$C,3,FALSE),"")</f>
        <v/>
      </c>
      <c r="C31" s="5"/>
      <c r="D31" s="5"/>
      <c r="E31" s="5"/>
      <c r="F31" s="5"/>
      <c r="G31" s="5"/>
      <c r="H31" s="16"/>
    </row>
    <row r="32" spans="1:8">
      <c r="A32" s="16"/>
      <c r="B32" s="8" t="str">
        <f>IFERROR(VLOOKUP(A32,[1]characters!$A:$C,3,FALSE),"")</f>
        <v/>
      </c>
      <c r="C32" s="5"/>
      <c r="D32" s="5"/>
      <c r="E32" s="5"/>
      <c r="F32" s="5"/>
      <c r="G32" s="5"/>
      <c r="H32" s="16"/>
    </row>
    <row r="33" spans="1:8">
      <c r="A33" s="16"/>
      <c r="B33" s="8" t="str">
        <f>IFERROR(VLOOKUP(A33,[1]characters!$A:$C,3,FALSE),"")</f>
        <v/>
      </c>
      <c r="C33" s="5"/>
      <c r="D33" s="5"/>
      <c r="E33" s="5"/>
      <c r="F33" s="5"/>
      <c r="G33" s="5"/>
      <c r="H33" s="16"/>
    </row>
    <row r="34" spans="1:8">
      <c r="A34" s="16"/>
      <c r="B34" s="8" t="str">
        <f>IFERROR(VLOOKUP(A34,[1]characters!$A:$C,3,FALSE),"")</f>
        <v/>
      </c>
      <c r="C34" s="5"/>
      <c r="D34" s="5"/>
      <c r="E34" s="5"/>
      <c r="F34" s="5"/>
      <c r="G34" s="5"/>
      <c r="H34" s="16"/>
    </row>
    <row r="35" spans="1:8">
      <c r="A35" s="16"/>
      <c r="B35" s="8" t="str">
        <f>IFERROR(VLOOKUP(A35,[1]characters!$A:$C,3,FALSE),"")</f>
        <v/>
      </c>
      <c r="C35" s="5"/>
      <c r="D35" s="5"/>
      <c r="E35" s="5"/>
      <c r="F35" s="5"/>
      <c r="G35" s="5"/>
      <c r="H35" s="16"/>
    </row>
    <row r="36" spans="1:8">
      <c r="A36" s="16"/>
      <c r="B36" s="8" t="str">
        <f>IFERROR(VLOOKUP(A36,[1]characters!$A:$C,3,FALSE),"")</f>
        <v/>
      </c>
      <c r="C36" s="5"/>
      <c r="D36" s="5"/>
      <c r="E36" s="5"/>
      <c r="F36" s="5"/>
      <c r="G36" s="5"/>
      <c r="H36" s="16"/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56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0">
        <v>303</v>
      </c>
    </row>
    <row r="5" spans="1:8">
      <c r="A5" s="41" t="s">
        <v>82</v>
      </c>
      <c r="B5" s="42" t="str">
        <f>$A$3 &amp; "1"</f>
        <v>3031</v>
      </c>
      <c r="D5" s="41" t="s">
        <v>85</v>
      </c>
      <c r="E5" s="42" t="str">
        <f>$A$3 &amp; "0"</f>
        <v>3030</v>
      </c>
      <c r="G5" s="41" t="s">
        <v>86</v>
      </c>
      <c r="H5" s="42" t="str">
        <f>$A$3 &amp; "3"</f>
        <v>3033</v>
      </c>
    </row>
    <row r="6" spans="1:8">
      <c r="A6" s="43" t="s">
        <v>84</v>
      </c>
      <c r="B6" s="44"/>
      <c r="D6" s="43" t="s">
        <v>84</v>
      </c>
      <c r="E6" s="44"/>
      <c r="G6" s="43" t="s">
        <v>84</v>
      </c>
      <c r="H6" s="44"/>
    </row>
    <row r="7" spans="1:8">
      <c r="A7" s="46">
        <f>COUNTIFS(gacha_select_tables!$H:$H,"PremiumSSS",gacha_select_tables!$B:$B,B5)</f>
        <v>1</v>
      </c>
      <c r="B7" s="44"/>
      <c r="D7" s="46">
        <f>COUNTIFS(gacha_select_tables!$H:$H,"PremiumSSS",gacha_select_tables!$B:$B,E5)</f>
        <v>1</v>
      </c>
      <c r="E7" s="44"/>
      <c r="G7" s="46">
        <f>COUNTIF(gacha_settle_tables!G:G,"PremiumSSS")</f>
        <v>1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81</v>
      </c>
      <c r="B9" s="44"/>
      <c r="D9" s="43" t="s">
        <v>81</v>
      </c>
      <c r="E9" s="44"/>
      <c r="G9" s="43" t="s">
        <v>81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91</v>
      </c>
      <c r="B12" s="44"/>
      <c r="D12" s="43" t="s">
        <v>91</v>
      </c>
      <c r="E12" s="44"/>
      <c r="G12" s="43" t="s">
        <v>91</v>
      </c>
      <c r="H12" s="44"/>
    </row>
    <row r="13" spans="1:8">
      <c r="A13" s="46">
        <f>COUNTIFS(gacha_select_tables!$N:$N,"&gt;1",gacha_select_tables!$B:$B,B$5)</f>
        <v>0</v>
      </c>
      <c r="B13" s="44"/>
      <c r="D13" s="46">
        <f>COUNTIFS(gacha_select_tables!$N:$N,"&gt;1",gacha_select_tables!$B:$B,E$5)</f>
        <v>0</v>
      </c>
      <c r="E13" s="44"/>
      <c r="G13" s="46">
        <f>COUNTIFS(gacha_select_tables!$N:$N,"&gt;1",gacha_select_tables!$B:$B,H$5)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89</v>
      </c>
      <c r="B15" s="44"/>
      <c r="D15" s="43" t="s">
        <v>89</v>
      </c>
      <c r="E15" s="44"/>
      <c r="G15" s="43" t="s">
        <v>90</v>
      </c>
      <c r="H15" s="44"/>
    </row>
    <row r="16" spans="1:8">
      <c r="A16" s="46">
        <f>COUNTIF(gacha_select_tables!$B:$B,B$5)</f>
        <v>245</v>
      </c>
      <c r="B16" s="44"/>
      <c r="D16" s="46">
        <f>COUNTIF(gacha_select_tables!$B:$B,E$5)</f>
        <v>173</v>
      </c>
      <c r="E16" s="44"/>
      <c r="G16" s="46">
        <f>COUNTIF(gacha_settle_tables!$B:$B,H$5)</f>
        <v>20</v>
      </c>
      <c r="H16" s="44"/>
    </row>
    <row r="17" spans="1:8">
      <c r="A17" s="57"/>
      <c r="B17" s="45"/>
      <c r="D17" s="57"/>
      <c r="E17" s="45"/>
      <c r="G17" s="57"/>
      <c r="H17" s="4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gacha_303_base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2016-03-04T09:43:03Z</dcterms:modified>
</cp:coreProperties>
</file>