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3"/>
  </bookViews>
  <sheets>
    <sheet name="確率の考え方" sheetId="110" r:id="rId1"/>
    <sheet name="Sheet1" sheetId="107" r:id="rId2"/>
    <sheet name="output" sheetId="103" r:id="rId3"/>
    <sheet name="input_518010" sheetId="157" r:id="rId4"/>
    <sheet name="tables_518010" sheetId="158" r:id="rId5"/>
    <sheet name="input_518100" sheetId="153" r:id="rId6"/>
    <sheet name="tables_518100" sheetId="154" r:id="rId7"/>
    <sheet name="tables_settle_518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tables_518010!$A$1:$V$294</definedName>
    <definedName name="_xlnm._FilterDatabase" localSheetId="6" hidden="1">tables_518100!$A$1:$V$294</definedName>
    <definedName name="_xlnm._FilterDatabase" localSheetId="7" hidden="1">tables_settle_518105!$A$1:$V$3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O349" i="158"/>
  <c r="O350" i="158"/>
  <c r="O351" i="158"/>
  <c r="O352" i="158"/>
  <c r="O353" i="158"/>
  <c r="O354" i="158"/>
  <c r="O355" i="158"/>
  <c r="O356" i="158"/>
  <c r="O357" i="158"/>
  <c r="O358" i="158"/>
  <c r="O359" i="158"/>
  <c r="O360" i="158"/>
  <c r="O361" i="158"/>
  <c r="O362" i="158"/>
  <c r="O363" i="158"/>
  <c r="A2" i="153"/>
  <c r="A346" i="154"/>
  <c r="I346" i="154"/>
  <c r="D346" i="154"/>
  <c r="J346" i="154"/>
  <c r="E346" i="154"/>
  <c r="F346" i="154"/>
  <c r="C346" i="154"/>
  <c r="H346" i="154"/>
  <c r="K346" i="154"/>
  <c r="L346" i="154"/>
  <c r="M346" i="154"/>
  <c r="N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F353" i="154"/>
  <c r="C353" i="154"/>
  <c r="I354" i="154"/>
  <c r="D354" i="154"/>
  <c r="J354" i="154"/>
  <c r="F354" i="154"/>
  <c r="C354" i="154"/>
  <c r="I355" i="154"/>
  <c r="D355" i="154"/>
  <c r="J355" i="154"/>
  <c r="F355" i="154"/>
  <c r="C355" i="154"/>
  <c r="I356" i="154"/>
  <c r="D356" i="154"/>
  <c r="J356" i="154"/>
  <c r="F356" i="154"/>
  <c r="C356" i="154"/>
  <c r="I357" i="154"/>
  <c r="D357" i="154"/>
  <c r="J357" i="154"/>
  <c r="F357" i="154"/>
  <c r="C357" i="154"/>
  <c r="I358" i="154"/>
  <c r="D358" i="154"/>
  <c r="J358" i="154"/>
  <c r="F358" i="154"/>
  <c r="C358" i="154"/>
  <c r="I359" i="154"/>
  <c r="D359" i="154"/>
  <c r="J359" i="154"/>
  <c r="F359" i="154"/>
  <c r="C359" i="154"/>
  <c r="I360" i="154"/>
  <c r="D360" i="154"/>
  <c r="J360" i="154"/>
  <c r="F360" i="154"/>
  <c r="C36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E29" i="153"/>
  <c r="B29" i="153"/>
  <c r="G29" i="153"/>
  <c r="H29" i="153"/>
  <c r="O346" i="154"/>
  <c r="B10" i="153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28" i="153"/>
  <c r="B28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7" i="154"/>
  <c r="O348" i="154"/>
  <c r="O349" i="154"/>
  <c r="O350" i="154"/>
  <c r="R3" i="153"/>
  <c r="O351" i="154"/>
  <c r="R4" i="153"/>
  <c r="O352" i="154"/>
  <c r="R5" i="153"/>
  <c r="O353" i="154"/>
  <c r="R6" i="153"/>
  <c r="O354" i="154"/>
  <c r="N7" i="153"/>
  <c r="R7" i="153"/>
  <c r="O355" i="154"/>
  <c r="N9" i="153"/>
  <c r="R9" i="153"/>
  <c r="O356" i="154"/>
  <c r="N11" i="153"/>
  <c r="R11" i="153"/>
  <c r="O357" i="154"/>
  <c r="N8" i="153"/>
  <c r="R8" i="153"/>
  <c r="O358" i="154"/>
  <c r="N10" i="153"/>
  <c r="R10" i="153"/>
  <c r="O359" i="154"/>
  <c r="N12" i="153"/>
  <c r="R12" i="153"/>
  <c r="O360" i="154"/>
  <c r="P346" i="154"/>
  <c r="A347" i="154"/>
  <c r="H347" i="154"/>
  <c r="K347" i="154"/>
  <c r="L347" i="154"/>
  <c r="M347" i="154"/>
  <c r="N347" i="154"/>
  <c r="P347" i="154"/>
  <c r="A348" i="154"/>
  <c r="H348" i="154"/>
  <c r="K348" i="154"/>
  <c r="L348" i="154"/>
  <c r="M348" i="154"/>
  <c r="N348" i="154"/>
  <c r="P348" i="154"/>
  <c r="A349" i="154"/>
  <c r="H349" i="154"/>
  <c r="K349" i="154"/>
  <c r="L349" i="154"/>
  <c r="M349" i="154"/>
  <c r="N349" i="154"/>
  <c r="P349" i="154"/>
  <c r="A350" i="154"/>
  <c r="H350" i="154"/>
  <c r="K350" i="154"/>
  <c r="L350" i="154"/>
  <c r="M350" i="154"/>
  <c r="N350" i="154"/>
  <c r="P350" i="154"/>
  <c r="A346" i="158"/>
  <c r="I346" i="158"/>
  <c r="D346" i="158"/>
  <c r="J346" i="158"/>
  <c r="E346" i="158"/>
  <c r="F346" i="158"/>
  <c r="C346" i="158"/>
  <c r="H346" i="158"/>
  <c r="K346" i="158"/>
  <c r="L346" i="158"/>
  <c r="M346" i="158"/>
  <c r="N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F353" i="158"/>
  <c r="C353" i="158"/>
  <c r="I354" i="158"/>
  <c r="D354" i="158"/>
  <c r="J354" i="158"/>
  <c r="F354" i="158"/>
  <c r="C354" i="158"/>
  <c r="I355" i="158"/>
  <c r="D355" i="158"/>
  <c r="J355" i="158"/>
  <c r="F355" i="158"/>
  <c r="C355" i="158"/>
  <c r="I356" i="158"/>
  <c r="D356" i="158"/>
  <c r="J356" i="158"/>
  <c r="F356" i="158"/>
  <c r="C356" i="158"/>
  <c r="I357" i="158"/>
  <c r="D357" i="158"/>
  <c r="J357" i="158"/>
  <c r="F357" i="158"/>
  <c r="C357" i="158"/>
  <c r="I358" i="158"/>
  <c r="D358" i="158"/>
  <c r="J358" i="158"/>
  <c r="F358" i="158"/>
  <c r="C358" i="158"/>
  <c r="I359" i="158"/>
  <c r="D359" i="158"/>
  <c r="J359" i="158"/>
  <c r="F359" i="158"/>
  <c r="C359" i="158"/>
  <c r="I360" i="158"/>
  <c r="D360" i="158"/>
  <c r="J360" i="158"/>
  <c r="F360" i="158"/>
  <c r="C360" i="158"/>
  <c r="I361" i="158"/>
  <c r="D361" i="158"/>
  <c r="J361" i="158"/>
  <c r="F361" i="158"/>
  <c r="C361" i="158"/>
  <c r="I362" i="158"/>
  <c r="D362" i="158"/>
  <c r="J362" i="158"/>
  <c r="F362" i="158"/>
  <c r="C362" i="158"/>
  <c r="I363" i="158"/>
  <c r="D363" i="158"/>
  <c r="J363" i="158"/>
  <c r="F363" i="158"/>
  <c r="C363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O346" i="158"/>
  <c r="E17" i="157"/>
  <c r="B10" i="157"/>
  <c r="E6" i="157"/>
  <c r="E18" i="157"/>
  <c r="B18" i="157"/>
  <c r="B17" i="157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E23" i="157"/>
  <c r="B23" i="157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7" i="158"/>
  <c r="O348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A350" i="158"/>
  <c r="H350" i="158"/>
  <c r="K350" i="158"/>
  <c r="L350" i="158"/>
  <c r="M350" i="158"/>
  <c r="N350" i="158"/>
  <c r="P350" i="158"/>
  <c r="A342" i="158"/>
  <c r="A343" i="158"/>
  <c r="A344" i="158"/>
  <c r="A345" i="158"/>
  <c r="A351" i="158"/>
  <c r="A352" i="158"/>
  <c r="A353" i="158"/>
  <c r="A354" i="158"/>
  <c r="A355" i="158"/>
  <c r="A356" i="158"/>
  <c r="A357" i="158"/>
  <c r="A358" i="158"/>
  <c r="A359" i="158"/>
  <c r="A360" i="158"/>
  <c r="A361" i="158"/>
  <c r="A362" i="158"/>
  <c r="A363" i="158"/>
  <c r="N15" i="157"/>
  <c r="N14" i="157"/>
  <c r="N13" i="157"/>
  <c r="N12" i="157"/>
  <c r="N11" i="157"/>
  <c r="N10" i="157"/>
  <c r="N9" i="157"/>
  <c r="N8" i="157"/>
  <c r="N7" i="157"/>
  <c r="E31" i="153"/>
  <c r="G31" i="153"/>
  <c r="H31" i="153"/>
  <c r="P363" i="158"/>
  <c r="N363" i="158"/>
  <c r="M363" i="158"/>
  <c r="L363" i="158"/>
  <c r="K363" i="158"/>
  <c r="H363" i="158"/>
  <c r="P362" i="158"/>
  <c r="N362" i="158"/>
  <c r="M362" i="158"/>
  <c r="L362" i="158"/>
  <c r="K362" i="158"/>
  <c r="H362" i="158"/>
  <c r="P361" i="158"/>
  <c r="N361" i="158"/>
  <c r="M361" i="158"/>
  <c r="L361" i="158"/>
  <c r="K361" i="158"/>
  <c r="H361" i="158"/>
  <c r="A358" i="154"/>
  <c r="H358" i="154"/>
  <c r="K358" i="154"/>
  <c r="L358" i="154"/>
  <c r="M358" i="154"/>
  <c r="N358" i="154"/>
  <c r="E30" i="153"/>
  <c r="B30" i="153"/>
  <c r="G30" i="153"/>
  <c r="H30" i="153"/>
  <c r="P358" i="154"/>
  <c r="A359" i="154"/>
  <c r="H359" i="154"/>
  <c r="K359" i="154"/>
  <c r="L359" i="154"/>
  <c r="M359" i="154"/>
  <c r="N359" i="154"/>
  <c r="P359" i="154"/>
  <c r="A360" i="154"/>
  <c r="H360" i="154"/>
  <c r="K360" i="154"/>
  <c r="L360" i="154"/>
  <c r="M360" i="154"/>
  <c r="N360" i="154"/>
  <c r="P360" i="154"/>
  <c r="P355" i="158"/>
  <c r="N355" i="158"/>
  <c r="M355" i="158"/>
  <c r="L355" i="158"/>
  <c r="K355" i="158"/>
  <c r="H355" i="158"/>
  <c r="P357" i="158"/>
  <c r="N357" i="158"/>
  <c r="M357" i="158"/>
  <c r="L357" i="158"/>
  <c r="K357" i="158"/>
  <c r="H357" i="158"/>
  <c r="H360" i="158"/>
  <c r="K360" i="158"/>
  <c r="L360" i="158"/>
  <c r="M360" i="158"/>
  <c r="N360" i="158"/>
  <c r="P360" i="158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6" i="158"/>
  <c r="N356" i="158"/>
  <c r="M356" i="158"/>
  <c r="L356" i="158"/>
  <c r="K356" i="158"/>
  <c r="H356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R3" i="157"/>
  <c r="R4" i="157"/>
  <c r="R5" i="157"/>
  <c r="R6" i="157"/>
  <c r="R7" i="157"/>
  <c r="R8" i="157"/>
  <c r="R9" i="157"/>
  <c r="R10" i="157"/>
  <c r="R11" i="157"/>
  <c r="R12" i="157"/>
  <c r="A353" i="154"/>
  <c r="H353" i="154"/>
  <c r="K353" i="154"/>
  <c r="L353" i="154"/>
  <c r="M353" i="154"/>
  <c r="N353" i="154"/>
  <c r="P353" i="154"/>
  <c r="A354" i="154"/>
  <c r="H354" i="154"/>
  <c r="K354" i="154"/>
  <c r="L354" i="154"/>
  <c r="M354" i="154"/>
  <c r="N354" i="154"/>
  <c r="P354" i="154"/>
  <c r="P351" i="154"/>
  <c r="N351" i="154"/>
  <c r="M351" i="154"/>
  <c r="L351" i="154"/>
  <c r="K351" i="154"/>
  <c r="H351" i="154"/>
  <c r="A351" i="154"/>
  <c r="A352" i="154"/>
  <c r="A355" i="154"/>
  <c r="A356" i="154"/>
  <c r="A357" i="154"/>
  <c r="C19" i="157"/>
  <c r="P2" i="154"/>
  <c r="P2" i="158"/>
  <c r="C20" i="157"/>
  <c r="C20" i="153"/>
  <c r="P5" i="159"/>
  <c r="N5" i="159"/>
  <c r="M5" i="159"/>
  <c r="L5" i="159"/>
  <c r="K5" i="159"/>
  <c r="J5" i="159"/>
  <c r="I5" i="159"/>
  <c r="H5" i="159"/>
  <c r="F5" i="159"/>
  <c r="E5" i="159"/>
  <c r="D5" i="159"/>
  <c r="C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P357" i="154"/>
  <c r="N357" i="154"/>
  <c r="M357" i="154"/>
  <c r="L357" i="154"/>
  <c r="K357" i="154"/>
  <c r="H357" i="154"/>
  <c r="P356" i="154"/>
  <c r="N356" i="154"/>
  <c r="M356" i="154"/>
  <c r="L356" i="154"/>
  <c r="K356" i="154"/>
  <c r="H356" i="154"/>
  <c r="P355" i="154"/>
  <c r="N355" i="154"/>
  <c r="M355" i="154"/>
  <c r="L355" i="154"/>
  <c r="K355" i="154"/>
  <c r="H355" i="154"/>
  <c r="P352" i="154"/>
  <c r="N352" i="154"/>
  <c r="M352" i="154"/>
  <c r="L352" i="154"/>
  <c r="K352" i="154"/>
  <c r="H352" i="154"/>
  <c r="G31" i="157"/>
  <c r="E31" i="157"/>
  <c r="H31" i="157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P138" i="154"/>
  <c r="P139" i="154"/>
  <c r="P140" i="154"/>
  <c r="P14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8" i="153"/>
  <c r="F49" i="153"/>
  <c r="G48" i="153"/>
  <c r="F41" i="153"/>
  <c r="G41" i="153"/>
  <c r="H341" i="158"/>
  <c r="K341" i="158"/>
  <c r="L341" i="158"/>
  <c r="M341" i="158"/>
  <c r="N341" i="158"/>
  <c r="H342" i="158"/>
  <c r="K342" i="158"/>
  <c r="L342" i="158"/>
  <c r="M342" i="158"/>
  <c r="N342" i="158"/>
  <c r="A341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6" i="153"/>
  <c r="M5" i="153"/>
  <c r="M4" i="153"/>
  <c r="M3" i="153"/>
  <c r="F42" i="153"/>
  <c r="G42" i="153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1" i="157"/>
  <c r="B42" i="157"/>
  <c r="B43" i="157"/>
  <c r="B45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R18" i="157"/>
  <c r="P18" i="157"/>
  <c r="O18" i="157"/>
  <c r="M18" i="157"/>
  <c r="C18" i="157"/>
  <c r="R17" i="157"/>
  <c r="P17" i="157"/>
  <c r="O17" i="157"/>
  <c r="M17" i="157"/>
  <c r="C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17" i="153"/>
  <c r="P17" i="153"/>
  <c r="O17" i="153"/>
  <c r="M17" i="153"/>
  <c r="R16" i="153"/>
  <c r="P16" i="153"/>
  <c r="O16" i="153"/>
  <c r="M16" i="153"/>
  <c r="I19" i="153"/>
  <c r="J19" i="153"/>
  <c r="F19" i="153"/>
  <c r="D19" i="153"/>
  <c r="R15" i="153"/>
  <c r="P15" i="153"/>
  <c r="O15" i="153"/>
  <c r="M15" i="153"/>
  <c r="I18" i="153"/>
  <c r="J18" i="153"/>
  <c r="F18" i="153"/>
  <c r="C18" i="153"/>
  <c r="D18" i="153"/>
  <c r="R14" i="153"/>
  <c r="P14" i="153"/>
  <c r="O14" i="153"/>
  <c r="M14" i="153"/>
  <c r="I17" i="153"/>
  <c r="J17" i="153"/>
  <c r="F17" i="153"/>
  <c r="C17" i="153"/>
  <c r="D17" i="153"/>
  <c r="V16" i="153"/>
  <c r="R13" i="153"/>
  <c r="P13" i="153"/>
  <c r="O13" i="153"/>
  <c r="M13" i="153"/>
  <c r="V15" i="153"/>
  <c r="P12" i="153"/>
  <c r="O12" i="153"/>
  <c r="M12" i="153"/>
  <c r="V14" i="153"/>
  <c r="P11" i="153"/>
  <c r="O11" i="153"/>
  <c r="M11" i="153"/>
  <c r="V13" i="153"/>
  <c r="P10" i="153"/>
  <c r="O10" i="153"/>
  <c r="M10" i="153"/>
  <c r="V12" i="153"/>
  <c r="P9" i="153"/>
  <c r="O9" i="153"/>
  <c r="M9" i="153"/>
  <c r="V11" i="153"/>
  <c r="V10" i="153"/>
  <c r="P8" i="153"/>
  <c r="O8" i="153"/>
  <c r="M8" i="153"/>
  <c r="V9" i="153"/>
  <c r="V8" i="153"/>
  <c r="P7" i="153"/>
  <c r="O7" i="153"/>
  <c r="M7" i="153"/>
  <c r="V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D17" i="157"/>
  <c r="F17" i="157"/>
  <c r="I17" i="157"/>
  <c r="J17" i="157"/>
  <c r="D18" i="157"/>
  <c r="F18" i="157"/>
  <c r="I18" i="157"/>
  <c r="J18" i="157"/>
  <c r="D19" i="157"/>
  <c r="F19" i="157"/>
  <c r="I19" i="157"/>
  <c r="J19" i="157"/>
  <c r="D21" i="157"/>
  <c r="F21" i="157"/>
  <c r="I21" i="157"/>
  <c r="J21" i="157"/>
  <c r="B32" i="157"/>
  <c r="D32" i="157"/>
  <c r="F40" i="157"/>
  <c r="G4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F45" i="157"/>
  <c r="F46" i="157"/>
  <c r="B40" i="157"/>
  <c r="B44" i="157"/>
  <c r="B47" i="157"/>
  <c r="C40" i="157"/>
  <c r="C41" i="157"/>
  <c r="C42" i="157"/>
  <c r="C43" i="157"/>
  <c r="C44" i="157"/>
  <c r="C45" i="157"/>
  <c r="C46" i="157"/>
  <c r="C47" i="157"/>
  <c r="F47" i="157"/>
  <c r="F42" i="157"/>
  <c r="G42" i="157"/>
  <c r="F41" i="157"/>
  <c r="G41" i="157"/>
  <c r="F48" i="157"/>
  <c r="F49" i="157"/>
  <c r="G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<sst xmlns="http://schemas.openxmlformats.org/spreadsheetml/2006/main" count="535" uniqueCount="256">
  <si>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</si>
  <si>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</si>
  <si>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</si>
  <si>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</si>
  <si>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</si>
  <si>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</si>
  <si>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</si>
  <si>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</si>
  <si>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</si>
  <si>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</si>
  <si>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</si>
  <si>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</si>
  <si>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</si>
  <si>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</si>
  <si>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</si>
  <si>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</si>
  <si>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</si>
  <si>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</si>
  <si>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</si>
  <si>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</si>
  <si>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</si>
  <si>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</si>
  <si>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</si>
  <si>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</si>
  <si>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</si>
  <si>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</si>
  <si>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</si>
  <si>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</si>
  <si>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</si>
  <si>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</si>
  <si>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</si>
  <si>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</si>
  <si>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</si>
  <si>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</si>
  <si>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</si>
  <si>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</si>
  <si>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</si>
  <si>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</si>
  <si>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</si>
  <si>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</si>
  <si>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</si>
  <si>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</si>
  <si>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</si>
  <si>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</si>
  <si>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</si>
  <si>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</si>
  <si>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</si>
  <si>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</si>
  <si>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</si>
  <si>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</si>
  <si>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</si>
  <si>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</si>
  <si>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</si>
  <si>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</si>
  <si>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</si>
  <si>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</si>
  <si>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</si>
  <si>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</si>
  <si>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</si>
  <si>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</si>
  <si>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</si>
  <si>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</si>
  <si>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</si>
  <si>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</si>
  <si>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</si>
  <si>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</si>
  <si>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</si>
  <si>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</si>
  <si>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</si>
  <si>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</si>
  <si>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</si>
  <si>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</si>
  <si>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</si>
  <si>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</si>
  <si>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</si>
  <si>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</si>
  <si>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</si>
  <si>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</si>
  <si>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</si>
  <si>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</si>
  <si>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</si>
  <si>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</si>
  <si>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</si>
  <si>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</si>
  <si>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</si>
  <si>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</si>
  <si>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</si>
  <si>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</si>
  <si>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</si>
  <si>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</si>
  <si>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</si>
  <si>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</si>
  <si>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</si>
  <si>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</si>
  <si>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</si>
  <si>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</si>
  <si>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</si>
  <si>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</si>
  <si>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</si>
  <si>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</si>
  <si>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</si>
  <si>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</si>
  <si>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</si>
  <si>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</si>
  <si>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</si>
  <si>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</si>
  <si>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</si>
  <si>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</si>
  <si>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</si>
  <si>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</si>
  <si>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</si>
  <si>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</si>
  <si>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</si>
  <si>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</si>
  <si>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</si>
  <si>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</si>
  <si>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</si>
  <si>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</si>
  <si>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</si>
  <si>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</si>
  <si>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</si>
  <si>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</si>
  <si>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</si>
  <si>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</si>
  <si>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</si>
  <si>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</si>
  <si>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</si>
  <si>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</si>
  <si>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</si>
  <si>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</si>
  <si>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</si>
  <si>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</si>
  <si>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</si>
  <si>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</si>
  <si>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</si>
  <si>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</si>
  <si>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</si>
  <si>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</si>
  <si>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</si>
  <si>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</si>
  <si>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</si>
  <si>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</si>
  <si>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</si>
  <si>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</si>
  <si>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</si>
  <si>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</si>
  <si>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</si>
  <si>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</si>
  <si>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</si>
  <si>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</si>
  <si>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</si>
  <si>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</si>
  <si>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</si>
  <si>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</si>
  <si>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</si>
  <si>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</si>
  <si>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</si>
  <si>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</si>
  <si>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</si>
  <si>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</si>
  <si>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</si>
  <si>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</si>
  <si>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</si>
  <si>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</si>
  <si>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</si>
  <si>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</si>
  <si>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</si>
  <si>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</si>
  <si>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</si>
  <si>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</si>
  <si>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</si>
  <si>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</si>
  <si>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</si>
  <si>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</si>
  <si>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</si>
  <si>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</si>
  <si>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</si>
  <si>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</si>
  <si>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</si>
  <si>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</si>
  <si>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</si>
  <si>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</si>
  <si>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</si>
  <si>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</si>
  <si>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</si>
  <si>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</si>
  <si>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</si>
  <si>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</si>
  <si>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</si>
  <si>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</si>
  <si>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</si>
  <si>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</si>
  <si>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</si>
  <si>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</si>
  <si>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</si>
  <si>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</si>
  <si>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</si>
  <si>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</si>
  <si>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</si>
  <si>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</si>
  <si>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</si>
  <si>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</si>
  <si>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</si>
  <si>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</si>
  <si>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</si>
  <si>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</si>
  <si>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</si>
  <si>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</si>
  <si>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</si>
  <si>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</si>
  <si>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</si>
  <si>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</si>
  <si>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</si>
  <si>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</si>
  <si>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</si>
  <si>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</si>
  <si>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</si>
  <si>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</si>
  <si>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</si>
  <si>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</si>
  <si>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</si>
  <si>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</si>
  <si>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</si>
  <si>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</si>
  <si>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</si>
  <si>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</si>
  <si>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</si>
  <si>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</si>
  <si>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</si>
  <si>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</si>
  <si>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</si>
  <si>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</si>
  <si>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</si>
  <si>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</si>
  <si>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</si>
  <si>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</si>
  <si>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</si>
  <si>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</si>
  <si>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</si>
  <si>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</si>
  <si>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</si>
  <si>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</si>
  <si>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</si>
  <si>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</si>
  <si>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</si>
  <si>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</si>
  <si>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</si>
  <si>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</si>
  <si>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</si>
  <si>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</si>
  <si>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</si>
  <si>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tables_518100</t>
    <phoneticPr fontId="22"/>
  </si>
  <si>
    <t>tables_518010</t>
    <phoneticPr fontId="22"/>
  </si>
  <si>
    <t>tables_settle_518105</t>
    <phoneticPr fontId="22"/>
  </si>
  <si>
    <t>通常確率(5%)+レン確率(3%)</t>
    <phoneticPr fontId="22"/>
  </si>
  <si>
    <t>通常確率(5%)+レン確率(3%)</t>
    <rPh sb="11" eb="13">
      <t>カクリt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</si>
</sst>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2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180" fontId="0" fillId="4" borderId="1" xfId="0" applyNumberFormat="1" applyFill="1" applyBorder="1"/>
    <xf numFmtId="0" fontId="27" fillId="0" borderId="0" xfId="2" applyFont="1" applyFill="1" applyAlignment="1">
      <alignment vertical="center"/>
    </xf>
    <xf numFmtId="0" fontId="2" fillId="4" borderId="1" xfId="2978" applyFont="1" applyFill="1" applyBorder="1"/>
    <xf numFmtId="0" fontId="54" fillId="4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モカR5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モカR6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ショコラR5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ショコラR6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ヴァニラ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ビター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朱雀R6</v>
          </cell>
          <cell r="H1372" t="str">
            <v>red</v>
          </cell>
          <cell r="I1372">
            <v>6</v>
          </cell>
          <cell r="J1372" t="str">
            <v>DropWizS</v>
          </cell>
          <cell r="K1372" t="str">
            <v>balance</v>
          </cell>
          <cell r="L1372" t="str">
            <v>バランスタイプ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玄武R6</v>
          </cell>
          <cell r="H1373" t="str">
            <v>green</v>
          </cell>
          <cell r="I1373">
            <v>6</v>
          </cell>
          <cell r="J1373" t="str">
            <v>DropWizS</v>
          </cell>
          <cell r="K1373" t="str">
            <v>technical</v>
          </cell>
          <cell r="L1373" t="str">
            <v>テクニカルタイプ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青龍R6</v>
          </cell>
          <cell r="H1374" t="str">
            <v>blue</v>
          </cell>
          <cell r="I1374">
            <v>6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白虎R6</v>
          </cell>
          <cell r="H1375" t="str">
            <v>yellow</v>
          </cell>
          <cell r="I1375">
            <v>6</v>
          </cell>
          <cell r="J1375" t="str">
            <v>DropWizS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6001</v>
          </cell>
          <cell r="B1385" t="str">
            <v>ja</v>
          </cell>
          <cell r="C1385" t="str">
            <v>ジェリー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red</v>
          </cell>
          <cell r="I1385">
            <v>1</v>
          </cell>
          <cell r="J1385" t="str">
            <v>Drop1T</v>
          </cell>
          <cell r="K1385" t="str">
            <v>ra</v>
          </cell>
          <cell r="L1385" t="str">
            <v>ラグランジュチャレンジ</v>
          </cell>
          <cell r="M1385" t="str">
            <v>unknown</v>
          </cell>
        </row>
        <row r="1386">
          <cell r="A1386">
            <v>6002</v>
          </cell>
          <cell r="B1386" t="str">
            <v>ja</v>
          </cell>
          <cell r="C1386" t="str">
            <v>ヨシタカ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red</v>
          </cell>
          <cell r="I1386">
            <v>2</v>
          </cell>
          <cell r="J1386" t="str">
            <v>Drop1N</v>
          </cell>
          <cell r="K1386" t="str">
            <v>ra</v>
          </cell>
          <cell r="L1386" t="str">
            <v>ラグランジュチャレンジ</v>
          </cell>
          <cell r="M1386" t="str">
            <v>human</v>
          </cell>
        </row>
        <row r="1387">
          <cell r="A1387">
            <v>6003</v>
          </cell>
          <cell r="B1387" t="str">
            <v>ja</v>
          </cell>
          <cell r="C1387" t="str">
            <v>朱雀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red</v>
          </cell>
          <cell r="I1387">
            <v>3</v>
          </cell>
          <cell r="J1387" t="str">
            <v>Drop2N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6004</v>
          </cell>
          <cell r="B1388" t="str">
            <v>ja</v>
          </cell>
          <cell r="C1388" t="str">
            <v>ブレット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red</v>
          </cell>
          <cell r="I1388">
            <v>1</v>
          </cell>
          <cell r="J1388" t="str">
            <v>Drop1W</v>
          </cell>
          <cell r="K1388" t="str">
            <v>ra</v>
          </cell>
          <cell r="L1388" t="str">
            <v>ラグランジュチャレンジ</v>
          </cell>
          <cell r="M1388" t="str">
            <v>animal</v>
          </cell>
        </row>
        <row r="1389">
          <cell r="A1389">
            <v>6005</v>
          </cell>
          <cell r="B1389" t="str">
            <v>ja</v>
          </cell>
          <cell r="C1389" t="str">
            <v>孤神 テティス</v>
          </cell>
          <cell r="D1389" t="str">
            <v>初期ガチャ</v>
          </cell>
          <cell r="E1389" t="str">
            <v>管理者</v>
          </cell>
          <cell r="F1389" t="str">
            <v>美しい</v>
          </cell>
          <cell r="G1389" t="str">
            <v>女性</v>
          </cell>
          <cell r="H1389" t="str">
            <v>blue</v>
          </cell>
          <cell r="I1389">
            <v>4</v>
          </cell>
          <cell r="J1389" t="str">
            <v>PremiumN</v>
          </cell>
          <cell r="K1389" t="str">
            <v>ra</v>
          </cell>
          <cell r="L1389" t="str">
            <v>ラグランジュチャレンジ</v>
          </cell>
          <cell r="M1389" t="str">
            <v>god</v>
          </cell>
        </row>
        <row r="1390">
          <cell r="A1390">
            <v>6006</v>
          </cell>
          <cell r="B1390" t="str">
            <v>ja</v>
          </cell>
          <cell r="C1390" t="str">
            <v>海底の孤高神 テティス</v>
          </cell>
          <cell r="D1390" t="str">
            <v>初期ガチャ</v>
          </cell>
          <cell r="E1390" t="str">
            <v>管理者</v>
          </cell>
          <cell r="F1390" t="str">
            <v>美しい</v>
          </cell>
          <cell r="G1390" t="str">
            <v>女性</v>
          </cell>
          <cell r="H1390" t="str">
            <v>blue</v>
          </cell>
          <cell r="I1390">
            <v>5</v>
          </cell>
          <cell r="J1390" t="str">
            <v>PremiumN</v>
          </cell>
          <cell r="K1390" t="str">
            <v>ra</v>
          </cell>
          <cell r="L1390" t="str">
            <v>ラグランジュチャレンジ</v>
          </cell>
          <cell r="M1390" t="str">
            <v>god</v>
          </cell>
        </row>
        <row r="1391">
          <cell r="A1391">
            <v>6007</v>
          </cell>
          <cell r="B1391" t="str">
            <v>ja</v>
          </cell>
          <cell r="C1391" t="str">
            <v>番犬 ケルベロス</v>
          </cell>
          <cell r="D1391" t="str">
            <v>初期ガチャ</v>
          </cell>
          <cell r="E1391" t="str">
            <v>破界者</v>
          </cell>
          <cell r="F1391" t="str">
            <v>可愛い</v>
          </cell>
          <cell r="G1391" t="str">
            <v>女性</v>
          </cell>
          <cell r="H1391" t="str">
            <v>red</v>
          </cell>
          <cell r="I1391">
            <v>4</v>
          </cell>
          <cell r="J1391" t="str">
            <v>PremiumN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6008</v>
          </cell>
          <cell r="B1392" t="str">
            <v>ja</v>
          </cell>
          <cell r="C1392" t="str">
            <v>焔神 プロメテウス</v>
          </cell>
          <cell r="D1392" t="str">
            <v>初期ガチャ</v>
          </cell>
          <cell r="E1392" t="str">
            <v>管理者</v>
          </cell>
          <cell r="F1392" t="str">
            <v>格好いい</v>
          </cell>
          <cell r="G1392" t="str">
            <v>男性</v>
          </cell>
          <cell r="H1392" t="str">
            <v>red</v>
          </cell>
          <cell r="I1392">
            <v>4</v>
          </cell>
          <cell r="J1392" t="str">
            <v>PremiumN</v>
          </cell>
          <cell r="K1392" t="str">
            <v>ra</v>
          </cell>
          <cell r="L1392" t="str">
            <v>ラグランジュチャレンジ</v>
          </cell>
          <cell r="M1392" t="str">
            <v>god</v>
          </cell>
        </row>
        <row r="1393">
          <cell r="A1393">
            <v>6009</v>
          </cell>
          <cell r="B1393" t="str">
            <v>ja</v>
          </cell>
          <cell r="C1393" t="str">
            <v>超越自我 ラグランジュ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red</v>
          </cell>
          <cell r="I1393">
            <v>5</v>
          </cell>
          <cell r="J1393" t="str">
            <v>PremiumSSS</v>
          </cell>
          <cell r="K1393" t="str">
            <v>ra</v>
          </cell>
          <cell r="L1393" t="str">
            <v>ラグランジュチャレンジ</v>
          </cell>
          <cell r="M1393" t="str">
            <v>human</v>
          </cell>
        </row>
        <row r="1394">
          <cell r="A1394">
            <v>6010</v>
          </cell>
          <cell r="B1394" t="str">
            <v>ja</v>
          </cell>
          <cell r="C1394" t="str">
            <v>超越凌駕 ラグランジュ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女性</v>
          </cell>
          <cell r="H1394" t="str">
            <v>red</v>
          </cell>
          <cell r="I1394">
            <v>6</v>
          </cell>
          <cell r="J1394" t="str">
            <v>PremiumSSS</v>
          </cell>
          <cell r="K1394" t="str">
            <v>ra</v>
          </cell>
          <cell r="L1394" t="str">
            <v>ラグランジュチャレンジ</v>
          </cell>
          <cell r="M1394" t="str">
            <v>human</v>
          </cell>
        </row>
        <row r="1395">
          <cell r="A1395">
            <v>6011</v>
          </cell>
          <cell r="B1395" t="str">
            <v>ja</v>
          </cell>
          <cell r="C1395" t="str">
            <v>パトドッグリーダー ポチ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2</v>
          </cell>
          <cell r="J1395" t="str">
            <v>Drop1T</v>
          </cell>
          <cell r="K1395" t="str">
            <v>ra002</v>
          </cell>
          <cell r="L1395" t="str">
            <v>ユークリッドチャレンジ</v>
          </cell>
          <cell r="M1395" t="str">
            <v>unknown</v>
          </cell>
        </row>
        <row r="1396">
          <cell r="A1396">
            <v>6012</v>
          </cell>
          <cell r="B1396" t="str">
            <v>ja</v>
          </cell>
          <cell r="C1396" t="str">
            <v>ミミ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yellow</v>
          </cell>
          <cell r="I1396">
            <v>1</v>
          </cell>
          <cell r="J1396" t="str">
            <v>Drop1W</v>
          </cell>
          <cell r="K1396" t="str">
            <v>ra002</v>
          </cell>
          <cell r="L1396" t="str">
            <v>ユークリッドチャレンジ</v>
          </cell>
          <cell r="M1396" t="str">
            <v>animal</v>
          </cell>
        </row>
        <row r="1397">
          <cell r="A1397">
            <v>6013</v>
          </cell>
          <cell r="B1397" t="str">
            <v>ja</v>
          </cell>
          <cell r="C1397" t="str">
            <v>護衛機人 スケアクロウ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2</v>
          </cell>
          <cell r="J1397" t="str">
            <v>Drop1N</v>
          </cell>
          <cell r="K1397" t="str">
            <v>ra002</v>
          </cell>
          <cell r="L1397" t="str">
            <v>ユークリッドチャレンジ</v>
          </cell>
          <cell r="M1397" t="str">
            <v>machine</v>
          </cell>
        </row>
        <row r="1398">
          <cell r="A1398">
            <v>6014</v>
          </cell>
          <cell r="B1398" t="str">
            <v>ja</v>
          </cell>
          <cell r="C1398" t="str">
            <v>月下の人狼 ローレンス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blue</v>
          </cell>
          <cell r="I1398">
            <v>4</v>
          </cell>
          <cell r="J1398" t="str">
            <v>PremiumW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6015</v>
          </cell>
          <cell r="B1399" t="str">
            <v>ja</v>
          </cell>
          <cell r="C1399" t="str">
            <v>フレイヤ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4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6016</v>
          </cell>
          <cell r="B1400" t="str">
            <v>ja</v>
          </cell>
          <cell r="C1400" t="str">
            <v>根原論理 ユークリッド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5</v>
          </cell>
          <cell r="J1400" t="str">
            <v>PremiumSSS</v>
          </cell>
          <cell r="K1400" t="str">
            <v>ra002</v>
          </cell>
          <cell r="L1400" t="str">
            <v>ユークリッドチャレンジ</v>
          </cell>
          <cell r="M1400" t="str">
            <v>human</v>
          </cell>
        </row>
        <row r="1401">
          <cell r="A1401">
            <v>6017</v>
          </cell>
          <cell r="B1401" t="str">
            <v>ja</v>
          </cell>
          <cell r="C1401" t="str">
            <v>不朽の極論 ユークリッド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6</v>
          </cell>
          <cell r="J1401" t="str">
            <v>PremiumSSS</v>
          </cell>
          <cell r="K1401" t="str">
            <v>ra002</v>
          </cell>
          <cell r="L1401" t="str">
            <v>ユークリッドチャレンジ</v>
          </cell>
          <cell r="M1401" t="str">
            <v>human</v>
          </cell>
        </row>
        <row r="1402">
          <cell r="A1402">
            <v>6018</v>
          </cell>
          <cell r="B1402" t="str">
            <v>ja</v>
          </cell>
          <cell r="C1402" t="str">
            <v>ハヅル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red</v>
          </cell>
          <cell r="I1402">
            <v>4</v>
          </cell>
          <cell r="J1402" t="str">
            <v>PremiumSS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6019</v>
          </cell>
          <cell r="B1403" t="str">
            <v>ja</v>
          </cell>
          <cell r="C1403" t="str">
            <v>天織羽鶴 ハヅル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6020</v>
          </cell>
          <cell r="B1404" t="str">
            <v>ja</v>
          </cell>
          <cell r="C1404" t="str">
            <v>ミズチ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4</v>
          </cell>
          <cell r="J1404" t="str">
            <v>PremiumS</v>
          </cell>
          <cell r="K1404" t="str">
            <v>ra002</v>
          </cell>
          <cell r="L1404" t="str">
            <v>ユークリッドチャレンジ</v>
          </cell>
          <cell r="M1404" t="str">
            <v>dragon</v>
          </cell>
        </row>
        <row r="1405">
          <cell r="A1405">
            <v>8001</v>
          </cell>
          <cell r="B1405" t="str">
            <v>ja</v>
          </cell>
          <cell r="C1405" t="str">
            <v>媽祖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8002</v>
          </cell>
          <cell r="B1406" t="str">
            <v>ja</v>
          </cell>
          <cell r="C1406" t="str">
            <v>宣導する天海妃 媽祖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6</v>
          </cell>
          <cell r="J1406" t="str">
            <v>PremiumSS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8003</v>
          </cell>
          <cell r="B1407" t="str">
            <v>ja</v>
          </cell>
          <cell r="C1407" t="str">
            <v>蛟龍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blue</v>
          </cell>
          <cell r="I1407">
            <v>5</v>
          </cell>
          <cell r="J1407" t="str">
            <v>DropWizS</v>
          </cell>
          <cell r="K1407" t="str">
            <v>hp</v>
          </cell>
          <cell r="L1407" t="str">
            <v>体力タイプ</v>
          </cell>
          <cell r="M1407" t="str">
            <v>dragon</v>
          </cell>
        </row>
        <row r="1408">
          <cell r="A1408">
            <v>8004</v>
          </cell>
          <cell r="B1408" t="str">
            <v>ja</v>
          </cell>
          <cell r="C1408" t="str">
            <v>呼嵐の蒼棲龍 蛟龍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blue</v>
          </cell>
          <cell r="I1408">
            <v>6</v>
          </cell>
          <cell r="J1408" t="str">
            <v>DropWizS</v>
          </cell>
          <cell r="K1408" t="str">
            <v>hp</v>
          </cell>
          <cell r="L1408" t="str">
            <v>体力タイプ</v>
          </cell>
          <cell r="M1408" t="str">
            <v>dragon</v>
          </cell>
        </row>
        <row r="1409">
          <cell r="A1409">
            <v>8005</v>
          </cell>
          <cell r="B1409" t="str">
            <v>ja</v>
          </cell>
          <cell r="C1409" t="str">
            <v>三蔵法師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blue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8006</v>
          </cell>
          <cell r="B1410" t="str">
            <v>ja</v>
          </cell>
          <cell r="C1410" t="str">
            <v>慈戒の呪封使 三蔵法師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8007</v>
          </cell>
          <cell r="B1411" t="str">
            <v>ja</v>
          </cell>
          <cell r="C1411" t="str">
            <v>孫悟空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red</v>
          </cell>
          <cell r="I1411">
            <v>5</v>
          </cell>
          <cell r="J1411" t="str">
            <v>DropWizS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8008</v>
          </cell>
          <cell r="B1412" t="str">
            <v>ja</v>
          </cell>
          <cell r="C1412" t="str">
            <v>花果の天猿仙人 孫悟空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red</v>
          </cell>
          <cell r="I1412">
            <v>6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animal</v>
          </cell>
        </row>
        <row r="1413">
          <cell r="A1413">
            <v>8009</v>
          </cell>
          <cell r="B1413" t="str">
            <v>ja</v>
          </cell>
          <cell r="C1413" t="str">
            <v>西王娘娘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green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god</v>
          </cell>
        </row>
        <row r="1414">
          <cell r="A1414">
            <v>8010</v>
          </cell>
          <cell r="B1414" t="str">
            <v>ja</v>
          </cell>
          <cell r="C1414" t="str">
            <v>極楽瑶池の聖母 西王娘娘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green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god</v>
          </cell>
        </row>
        <row r="1415">
          <cell r="A1415">
            <v>8011</v>
          </cell>
          <cell r="B1415" t="str">
            <v>ja</v>
          </cell>
          <cell r="C1415" t="str">
            <v>月下老人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yellow</v>
          </cell>
          <cell r="I1415">
            <v>5</v>
          </cell>
          <cell r="J1415" t="str">
            <v>DropWizS</v>
          </cell>
          <cell r="K1415" t="str">
            <v>balance</v>
          </cell>
          <cell r="L1415" t="str">
            <v>バランスタイプ</v>
          </cell>
          <cell r="M1415" t="str">
            <v>god</v>
          </cell>
        </row>
        <row r="1416">
          <cell r="A1416">
            <v>8012</v>
          </cell>
          <cell r="B1416" t="str">
            <v>ja</v>
          </cell>
          <cell r="C1416" t="str">
            <v>破戀斬る縁剣 月下老人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6</v>
          </cell>
          <cell r="J1416" t="str">
            <v>DropWizS</v>
          </cell>
          <cell r="K1416" t="str">
            <v>balance</v>
          </cell>
          <cell r="L1416" t="str">
            <v>バランスタイプ</v>
          </cell>
          <cell r="M1416" t="str">
            <v>god</v>
          </cell>
        </row>
        <row r="1417">
          <cell r="A1417">
            <v>8013</v>
          </cell>
          <cell r="B1417" t="str">
            <v>ja</v>
          </cell>
          <cell r="C1417" t="str">
            <v>初音ミクV3</v>
          </cell>
          <cell r="D1417" t="str">
            <v>初音ミクV3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4</v>
          </cell>
          <cell r="J1417" t="str">
            <v>DropWizS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8014</v>
          </cell>
          <cell r="B1418" t="str">
            <v>ja</v>
          </cell>
          <cell r="C1418" t="str">
            <v>初音ミクV3</v>
          </cell>
          <cell r="D1418" t="str">
            <v>初音ミクV3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yellow</v>
          </cell>
          <cell r="I1418">
            <v>5</v>
          </cell>
          <cell r="J1418" t="str">
            <v>DropWizS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8015</v>
          </cell>
          <cell r="B1419" t="str">
            <v>ja</v>
          </cell>
          <cell r="C1419" t="str">
            <v>初音ミク・アペンド</v>
          </cell>
          <cell r="D1419" t="str">
            <v>初音ミク・アペンド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green</v>
          </cell>
          <cell r="I1419">
            <v>4</v>
          </cell>
          <cell r="J1419" t="str">
            <v>PremiumSSS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8016</v>
          </cell>
          <cell r="B1420" t="str">
            <v>ja</v>
          </cell>
          <cell r="C1420" t="str">
            <v>初音ミク・アペンド</v>
          </cell>
          <cell r="D1420" t="str">
            <v>初音ミク・アペンド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technical</v>
          </cell>
          <cell r="L1420" t="str">
            <v>テクニカルタイプ</v>
          </cell>
          <cell r="M1420" t="str">
            <v>unknown</v>
          </cell>
        </row>
        <row r="1421">
          <cell r="A1421">
            <v>8017</v>
          </cell>
          <cell r="B1421" t="str">
            <v>ja</v>
          </cell>
          <cell r="C1421" t="str">
            <v>初音ミク</v>
          </cell>
          <cell r="D1421" t="str">
            <v>初音ミク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green</v>
          </cell>
          <cell r="I1421">
            <v>4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8018</v>
          </cell>
          <cell r="B1422" t="str">
            <v>ja</v>
          </cell>
          <cell r="C1422" t="str">
            <v>初音ミク</v>
          </cell>
          <cell r="D1422" t="str">
            <v>初音ミク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green</v>
          </cell>
          <cell r="I1422">
            <v>5</v>
          </cell>
          <cell r="J1422" t="str">
            <v>PremiumSSS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8019</v>
          </cell>
          <cell r="B1423" t="str">
            <v>ja</v>
          </cell>
          <cell r="C1423" t="str">
            <v>鏡音リン</v>
          </cell>
          <cell r="D1423" t="str">
            <v>鏡音リン</v>
          </cell>
          <cell r="E1423" t="str">
            <v>執行者</v>
          </cell>
          <cell r="F1423" t="str">
            <v>格好いい</v>
          </cell>
          <cell r="G1423" t="str">
            <v>男性</v>
          </cell>
          <cell r="H1423" t="str">
            <v>yellow</v>
          </cell>
          <cell r="I1423">
            <v>4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unknown</v>
          </cell>
        </row>
        <row r="1424">
          <cell r="A1424">
            <v>8020</v>
          </cell>
          <cell r="B1424" t="str">
            <v>ja</v>
          </cell>
          <cell r="C1424" t="str">
            <v>鏡音リン</v>
          </cell>
          <cell r="D1424" t="str">
            <v>鏡音リン</v>
          </cell>
          <cell r="E1424" t="str">
            <v>執行者</v>
          </cell>
          <cell r="F1424" t="str">
            <v>格好いい</v>
          </cell>
          <cell r="G1424" t="str">
            <v>男性</v>
          </cell>
          <cell r="H1424" t="str">
            <v>yellow</v>
          </cell>
          <cell r="I1424">
            <v>5</v>
          </cell>
          <cell r="J1424" t="str">
            <v>PremiumSS</v>
          </cell>
          <cell r="K1424" t="str">
            <v>balance</v>
          </cell>
          <cell r="L1424" t="str">
            <v>バランスタイプ</v>
          </cell>
          <cell r="M1424" t="str">
            <v>unknown</v>
          </cell>
        </row>
        <row r="1425">
          <cell r="A1425">
            <v>8021</v>
          </cell>
          <cell r="B1425" t="str">
            <v>ja</v>
          </cell>
          <cell r="C1425" t="str">
            <v>鏡音レン</v>
          </cell>
          <cell r="D1425" t="str">
            <v>鏡音レン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yellow</v>
          </cell>
          <cell r="I1425">
            <v>4</v>
          </cell>
          <cell r="J1425" t="str">
            <v>PremiumSS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8022</v>
          </cell>
          <cell r="B1426" t="str">
            <v>ja</v>
          </cell>
          <cell r="C1426" t="str">
            <v>鏡音レン</v>
          </cell>
          <cell r="D1426" t="str">
            <v>鏡音レン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yellow</v>
          </cell>
          <cell r="I1426">
            <v>5</v>
          </cell>
          <cell r="J1426" t="str">
            <v>PremiumSS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8023</v>
          </cell>
          <cell r="B1427" t="str">
            <v>ja</v>
          </cell>
          <cell r="C1427" t="str">
            <v>巡音ルカ</v>
          </cell>
          <cell r="D1427" t="str">
            <v>巡音ルカ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3</v>
          </cell>
          <cell r="J1427" t="str">
            <v>PremiumS</v>
          </cell>
          <cell r="K1427" t="str">
            <v>attack</v>
          </cell>
          <cell r="L1427" t="str">
            <v>攻撃タイプ</v>
          </cell>
          <cell r="M1427" t="str">
            <v>unknown</v>
          </cell>
        </row>
        <row r="1428">
          <cell r="A1428">
            <v>8024</v>
          </cell>
          <cell r="B1428" t="str">
            <v>ja</v>
          </cell>
          <cell r="C1428" t="str">
            <v>巡音ルカ</v>
          </cell>
          <cell r="D1428" t="str">
            <v>巡音ルカ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red</v>
          </cell>
          <cell r="I1428">
            <v>4</v>
          </cell>
          <cell r="J1428" t="str">
            <v>PremiumS</v>
          </cell>
          <cell r="K1428" t="str">
            <v>attack</v>
          </cell>
          <cell r="L1428" t="str">
            <v>攻撃タイプ</v>
          </cell>
          <cell r="M1428" t="str">
            <v>unknown</v>
          </cell>
        </row>
        <row r="1429">
          <cell r="A1429">
            <v>8025</v>
          </cell>
          <cell r="B1429" t="str">
            <v>ja</v>
          </cell>
          <cell r="C1429" t="str">
            <v>MEIKO</v>
          </cell>
          <cell r="D1429" t="str">
            <v>MEIKO</v>
          </cell>
          <cell r="E1429" t="str">
            <v>執行者</v>
          </cell>
          <cell r="F1429" t="str">
            <v>格好いい</v>
          </cell>
          <cell r="G1429" t="str">
            <v>男性</v>
          </cell>
          <cell r="H1429" t="str">
            <v>red</v>
          </cell>
          <cell r="I1429">
            <v>3</v>
          </cell>
          <cell r="J1429" t="str">
            <v>PremiumS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8026</v>
          </cell>
          <cell r="B1430" t="str">
            <v>ja</v>
          </cell>
          <cell r="C1430" t="str">
            <v>MEIKO</v>
          </cell>
          <cell r="D1430" t="str">
            <v>MEIKO</v>
          </cell>
          <cell r="E1430" t="str">
            <v>執行者</v>
          </cell>
          <cell r="F1430" t="str">
            <v>格好いい</v>
          </cell>
          <cell r="G1430" t="str">
            <v>男性</v>
          </cell>
          <cell r="H1430" t="str">
            <v>red</v>
          </cell>
          <cell r="I1430">
            <v>4</v>
          </cell>
          <cell r="J1430" t="str">
            <v>PremiumS</v>
          </cell>
          <cell r="K1430" t="str">
            <v>hp</v>
          </cell>
          <cell r="L1430" t="str">
            <v>体力タイプ</v>
          </cell>
          <cell r="M1430" t="str">
            <v>unknown</v>
          </cell>
        </row>
        <row r="1431">
          <cell r="A1431">
            <v>8027</v>
          </cell>
          <cell r="B1431" t="str">
            <v>ja</v>
          </cell>
          <cell r="C1431" t="str">
            <v>KAITO</v>
          </cell>
          <cell r="D1431" t="str">
            <v>KAITO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3</v>
          </cell>
          <cell r="J1431" t="str">
            <v>PremiumS</v>
          </cell>
          <cell r="K1431" t="str">
            <v>technical</v>
          </cell>
          <cell r="L1431" t="str">
            <v>テクニカルタイプ</v>
          </cell>
          <cell r="M1431" t="str">
            <v>unknown</v>
          </cell>
        </row>
        <row r="1432">
          <cell r="A1432">
            <v>8028</v>
          </cell>
          <cell r="B1432" t="str">
            <v>ja</v>
          </cell>
          <cell r="C1432" t="str">
            <v>KAITO</v>
          </cell>
          <cell r="D1432" t="str">
            <v>KAITO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PremiumS</v>
          </cell>
          <cell r="K1432" t="str">
            <v>technical</v>
          </cell>
          <cell r="L1432" t="str">
            <v>テクニカルタイプ</v>
          </cell>
          <cell r="M1432" t="str">
            <v>unknown</v>
          </cell>
        </row>
        <row r="1433">
          <cell r="A1433">
            <v>8029</v>
          </cell>
          <cell r="B1433" t="str">
            <v>ja</v>
          </cell>
          <cell r="C1433" t="str">
            <v>Expoミク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8030</v>
          </cell>
          <cell r="B1434" t="str">
            <v>ja</v>
          </cell>
          <cell r="C1434" t="str">
            <v>Expoミク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blue</v>
          </cell>
          <cell r="I1434">
            <v>5</v>
          </cell>
          <cell r="J1434" t="str">
            <v>Drop2N</v>
          </cell>
          <cell r="K1434" t="str">
            <v>heal</v>
          </cell>
          <cell r="L1434" t="str">
            <v>回復タイプ</v>
          </cell>
          <cell r="M1434" t="str">
            <v>unknown</v>
          </cell>
        </row>
        <row r="1435">
          <cell r="A1435">
            <v>8031</v>
          </cell>
          <cell r="B1435" t="str">
            <v>ja</v>
          </cell>
          <cell r="C1435" t="str">
            <v>閻羅王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red</v>
          </cell>
          <cell r="I1435">
            <v>5</v>
          </cell>
          <cell r="J1435" t="str">
            <v>PremiumSS</v>
          </cell>
          <cell r="K1435" t="str">
            <v>balance</v>
          </cell>
          <cell r="L1435" t="str">
            <v>バランスタイプ</v>
          </cell>
          <cell r="M1435" t="str">
            <v>god</v>
          </cell>
        </row>
        <row r="1436">
          <cell r="A1436">
            <v>8032</v>
          </cell>
          <cell r="B1436" t="str">
            <v>ja</v>
          </cell>
          <cell r="C1436" t="str">
            <v>六道輪廻の絶獄 閻羅王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red</v>
          </cell>
          <cell r="I1436">
            <v>6</v>
          </cell>
          <cell r="J1436" t="str">
            <v>PremiumSS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8033</v>
          </cell>
          <cell r="B1437" t="str">
            <v>ja</v>
          </cell>
          <cell r="C1437" t="str">
            <v>牛頭馬面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green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god</v>
          </cell>
        </row>
        <row r="1438">
          <cell r="A1438">
            <v>8034</v>
          </cell>
          <cell r="B1438" t="str">
            <v>ja</v>
          </cell>
          <cell r="C1438" t="str">
            <v>冥府狩る魂使 牛頭馬面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god</v>
          </cell>
        </row>
        <row r="1439">
          <cell r="A1439">
            <v>8035</v>
          </cell>
          <cell r="B1439" t="str">
            <v>ja</v>
          </cell>
          <cell r="C1439" t="str">
            <v>飛衛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blue</v>
          </cell>
          <cell r="I1439">
            <v>5</v>
          </cell>
          <cell r="J1439" t="str">
            <v>PremiumSS</v>
          </cell>
          <cell r="K1439" t="str">
            <v>heal</v>
          </cell>
          <cell r="L1439" t="str">
            <v>回復タイプ</v>
          </cell>
          <cell r="M1439" t="str">
            <v>human</v>
          </cell>
        </row>
        <row r="1440">
          <cell r="A1440">
            <v>8036</v>
          </cell>
          <cell r="B1440" t="str">
            <v>ja</v>
          </cell>
          <cell r="C1440" t="str">
            <v>レア６飛衛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blue</v>
          </cell>
          <cell r="I1440">
            <v>6</v>
          </cell>
          <cell r="J1440" t="str">
            <v>PremiumSS</v>
          </cell>
          <cell r="K1440" t="str">
            <v>heal</v>
          </cell>
          <cell r="L1440" t="str">
            <v>回復タイプ</v>
          </cell>
          <cell r="M1440" t="str">
            <v>human</v>
          </cell>
        </row>
        <row r="1441">
          <cell r="A1441">
            <v>8037</v>
          </cell>
          <cell r="B1441" t="str">
            <v>ja</v>
          </cell>
          <cell r="C1441" t="str">
            <v>紀昌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8038</v>
          </cell>
          <cell r="B1442" t="str">
            <v>ja</v>
          </cell>
          <cell r="C1442" t="str">
            <v>レア６紀昌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human</v>
          </cell>
        </row>
        <row r="1443">
          <cell r="A1443">
            <v>8039</v>
          </cell>
          <cell r="B1443" t="str">
            <v>ja</v>
          </cell>
          <cell r="C1443" t="str">
            <v>何仙姑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yellow</v>
          </cell>
          <cell r="I1443">
            <v>5</v>
          </cell>
          <cell r="J1443" t="str">
            <v>PremiumSSw</v>
          </cell>
          <cell r="K1443" t="str">
            <v>hp</v>
          </cell>
          <cell r="L1443" t="str">
            <v>体力タイプ</v>
          </cell>
          <cell r="M1443" t="str">
            <v>god</v>
          </cell>
        </row>
        <row r="1444">
          <cell r="A1444">
            <v>8040</v>
          </cell>
          <cell r="B1444" t="str">
            <v>ja</v>
          </cell>
          <cell r="C1444" t="str">
            <v>レア６何仙姑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yellow</v>
          </cell>
          <cell r="I1444">
            <v>6</v>
          </cell>
          <cell r="J1444" t="str">
            <v>PremiumSSw</v>
          </cell>
          <cell r="K1444" t="str">
            <v>hp</v>
          </cell>
          <cell r="L1444" t="str">
            <v>体力タイプ</v>
          </cell>
          <cell r="M1444" t="str">
            <v>god</v>
          </cell>
        </row>
        <row r="1445">
          <cell r="A1445">
            <v>8041</v>
          </cell>
          <cell r="B1445" t="str">
            <v>ja</v>
          </cell>
          <cell r="C1445" t="str">
            <v>藍采和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blue</v>
          </cell>
          <cell r="I1445">
            <v>5</v>
          </cell>
          <cell r="J1445" t="str">
            <v>DropWizS</v>
          </cell>
          <cell r="K1445" t="str">
            <v>balance</v>
          </cell>
          <cell r="L1445" t="str">
            <v>バランスタイプ</v>
          </cell>
          <cell r="M1445" t="str">
            <v>god</v>
          </cell>
        </row>
        <row r="1446">
          <cell r="A1446">
            <v>8042</v>
          </cell>
          <cell r="B1446" t="str">
            <v>ja</v>
          </cell>
          <cell r="C1446" t="str">
            <v>レア６藍采和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blue</v>
          </cell>
          <cell r="I1446">
            <v>6</v>
          </cell>
          <cell r="J1446" t="str">
            <v>DropWizS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8043</v>
          </cell>
          <cell r="B1447" t="str">
            <v>ja</v>
          </cell>
          <cell r="C1447" t="str">
            <v>サンリオキャラ大集合+アザゼル</v>
          </cell>
          <cell r="D1447" t="str">
            <v>サンリオキャラ大集合+アザゼル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green</v>
          </cell>
          <cell r="I1447">
            <v>5</v>
          </cell>
          <cell r="J1447" t="str">
            <v>DropWizS</v>
          </cell>
          <cell r="K1447" t="str">
            <v>technical</v>
          </cell>
          <cell r="L1447" t="str">
            <v>テクニカルタイプ</v>
          </cell>
          <cell r="M1447" t="str">
            <v>ss</v>
          </cell>
        </row>
        <row r="1448">
          <cell r="A1448">
            <v>8044</v>
          </cell>
          <cell r="B1448" t="str">
            <v>ja</v>
          </cell>
          <cell r="C1448" t="str">
            <v>サンリオキャラ大集合+アザゼル</v>
          </cell>
          <cell r="D1448" t="str">
            <v>サンリオキャラ大集合+アザゼル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6</v>
          </cell>
          <cell r="J1448" t="str">
            <v>DropWizS</v>
          </cell>
          <cell r="K1448" t="str">
            <v>technical</v>
          </cell>
          <cell r="L1448" t="str">
            <v>テクニカルタイプ</v>
          </cell>
          <cell r="M1448" t="str">
            <v>ss</v>
          </cell>
        </row>
        <row r="1449">
          <cell r="A1449">
            <v>8045</v>
          </cell>
          <cell r="B1449" t="str">
            <v>ja</v>
          </cell>
          <cell r="C1449" t="str">
            <v>ニムダ_サンリオキャラ混じり</v>
          </cell>
          <cell r="D1449" t="str">
            <v>ニムダ_サンリオキャラ混じり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yellow</v>
          </cell>
          <cell r="I1449">
            <v>4</v>
          </cell>
          <cell r="J1449" t="str">
            <v>Drop2N</v>
          </cell>
          <cell r="K1449" t="str">
            <v>technical</v>
          </cell>
          <cell r="L1449" t="str">
            <v>テクニカルタイプ</v>
          </cell>
          <cell r="M1449" t="str">
            <v>ss</v>
          </cell>
        </row>
        <row r="1450">
          <cell r="A1450">
            <v>8046</v>
          </cell>
          <cell r="B1450" t="str">
            <v>ja</v>
          </cell>
          <cell r="C1450" t="str">
            <v>ニムダ_サンリオキャラ混じり</v>
          </cell>
          <cell r="D1450" t="str">
            <v>ニムダ_サンリオキャラ混じり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yellow</v>
          </cell>
          <cell r="I1450">
            <v>5</v>
          </cell>
          <cell r="J1450" t="str">
            <v>Drop2N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8047</v>
          </cell>
          <cell r="B1451" t="str">
            <v>ja</v>
          </cell>
          <cell r="C1451" t="str">
            <v>ハローキティ</v>
          </cell>
          <cell r="D1451" t="str">
            <v>ハローキティ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4</v>
          </cell>
          <cell r="J1451" t="str">
            <v>Drop2N</v>
          </cell>
          <cell r="K1451" t="str">
            <v>balance</v>
          </cell>
          <cell r="L1451" t="str">
            <v>バランスタイプ</v>
          </cell>
          <cell r="M1451" t="str">
            <v>ss</v>
          </cell>
        </row>
        <row r="1452">
          <cell r="A1452">
            <v>8048</v>
          </cell>
          <cell r="B1452" t="str">
            <v>ja</v>
          </cell>
          <cell r="C1452" t="str">
            <v>ハローキティ</v>
          </cell>
          <cell r="D1452" t="str">
            <v>ハローキティ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5</v>
          </cell>
          <cell r="J1452" t="str">
            <v>Drop2N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8049</v>
          </cell>
          <cell r="B1453" t="str">
            <v>ja</v>
          </cell>
          <cell r="C1453" t="str">
            <v>KIRIMIちゃん</v>
          </cell>
          <cell r="D1453" t="str">
            <v>KIRIMIちゃん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4</v>
          </cell>
          <cell r="J1453" t="str">
            <v>Drop2N</v>
          </cell>
          <cell r="K1453" t="str">
            <v>hp</v>
          </cell>
          <cell r="L1453" t="str">
            <v>体力タイプ</v>
          </cell>
          <cell r="M1453" t="str">
            <v>ss</v>
          </cell>
        </row>
        <row r="1454">
          <cell r="A1454">
            <v>8050</v>
          </cell>
          <cell r="B1454" t="str">
            <v>ja</v>
          </cell>
          <cell r="C1454" t="str">
            <v>KIRIMIちゃん</v>
          </cell>
          <cell r="D1454" t="str">
            <v>KIRIMIちゃん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5</v>
          </cell>
          <cell r="J1454" t="str">
            <v>Drop2N</v>
          </cell>
          <cell r="K1454" t="str">
            <v>hp</v>
          </cell>
          <cell r="L1454" t="str">
            <v>体力タイプ</v>
          </cell>
          <cell r="M1454" t="str">
            <v>ss</v>
          </cell>
        </row>
        <row r="1455">
          <cell r="A1455">
            <v>8051</v>
          </cell>
          <cell r="B1455" t="str">
            <v>ja</v>
          </cell>
          <cell r="C1455" t="str">
            <v>ハローキティのリボン</v>
          </cell>
          <cell r="D1455" t="str">
            <v>ハローキティのリボン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5</v>
          </cell>
          <cell r="J1455" t="str">
            <v>Drop2N</v>
          </cell>
          <cell r="K1455" t="str">
            <v>evolution</v>
          </cell>
          <cell r="L1455" t="str">
            <v>覚醒素材タイプ</v>
          </cell>
          <cell r="M1455" t="str">
            <v>ss</v>
          </cell>
        </row>
        <row r="1456">
          <cell r="A1456">
            <v>8052</v>
          </cell>
          <cell r="B1456" t="str">
            <v>ja</v>
          </cell>
          <cell r="C1456" t="str">
            <v>ママの作ったアップルパイ</v>
          </cell>
          <cell r="D1456" t="str">
            <v>ママの作ったアップルパイ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4</v>
          </cell>
          <cell r="J1456" t="str">
            <v>Drop2N</v>
          </cell>
          <cell r="K1456" t="str">
            <v>evolution</v>
          </cell>
          <cell r="L1456" t="str">
            <v>覚醒素材タイプ</v>
          </cell>
          <cell r="M1456" t="str">
            <v>ss</v>
          </cell>
        </row>
        <row r="1457">
          <cell r="A1457">
            <v>8053</v>
          </cell>
          <cell r="B1457" t="str">
            <v>ja</v>
          </cell>
          <cell r="C1457" t="str">
            <v>D.R.T.H__キティコスプレ</v>
          </cell>
          <cell r="D1457" t="str">
            <v>D.R.T.H__キティコスプレ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5</v>
          </cell>
          <cell r="J1457" t="str">
            <v>PremiumSS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8054</v>
          </cell>
          <cell r="B1458" t="str">
            <v>ja</v>
          </cell>
          <cell r="C1458" t="str">
            <v>D.R.T.H__キティコスプレ</v>
          </cell>
          <cell r="D1458" t="str">
            <v>D.R.T.H__キティコスプレ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6</v>
          </cell>
          <cell r="J1458" t="str">
            <v>PremiumSS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8055</v>
          </cell>
          <cell r="B1459" t="str">
            <v>ja</v>
          </cell>
          <cell r="C1459" t="str">
            <v>マイメロディ</v>
          </cell>
          <cell r="D1459" t="str">
            <v>マイメロディ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8056</v>
          </cell>
          <cell r="B1460" t="str">
            <v>ja</v>
          </cell>
          <cell r="C1460" t="str">
            <v>マイメロディ</v>
          </cell>
          <cell r="D1460" t="str">
            <v>マイメロディ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5</v>
          </cell>
          <cell r="J1460" t="str">
            <v>PremiumS</v>
          </cell>
          <cell r="K1460" t="str">
            <v>attack</v>
          </cell>
          <cell r="L1460" t="str">
            <v>攻撃タイプ</v>
          </cell>
          <cell r="M1460" t="str">
            <v>ss</v>
          </cell>
        </row>
        <row r="1461">
          <cell r="A1461">
            <v>8057</v>
          </cell>
          <cell r="B1461" t="str">
            <v>ja</v>
          </cell>
          <cell r="C1461" t="str">
            <v>ニーベルゲン_シナモロールコスプレ</v>
          </cell>
          <cell r="D1461" t="str">
            <v>ニーベルゲン_シナモロールコスプレ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4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8058</v>
          </cell>
          <cell r="B1462" t="str">
            <v>ja</v>
          </cell>
          <cell r="C1462" t="str">
            <v>ニーベルゲン_シナモロールコスプレ</v>
          </cell>
          <cell r="D1462" t="str">
            <v>ニーベルゲン_シナモロールコスプレ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5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8059</v>
          </cell>
          <cell r="B1463" t="str">
            <v>ja</v>
          </cell>
          <cell r="C1463" t="str">
            <v>カカシ_マイメロディコスプレ</v>
          </cell>
          <cell r="D1463" t="str">
            <v>カカシ_マイメロディコスプレ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green</v>
          </cell>
          <cell r="I1463">
            <v>4</v>
          </cell>
          <cell r="J1463" t="str">
            <v>PremiumS</v>
          </cell>
          <cell r="K1463" t="str">
            <v>technical</v>
          </cell>
          <cell r="L1463" t="str">
            <v>テクニカルタイプ</v>
          </cell>
          <cell r="M1463" t="str">
            <v>ss</v>
          </cell>
        </row>
        <row r="1464">
          <cell r="A1464">
            <v>8060</v>
          </cell>
          <cell r="B1464" t="str">
            <v>ja</v>
          </cell>
          <cell r="C1464" t="str">
            <v>カカシ_マイメロディコスプレ</v>
          </cell>
          <cell r="D1464" t="str">
            <v>カカシ_マイメロディコスプレ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green</v>
          </cell>
          <cell r="I1464">
            <v>5</v>
          </cell>
          <cell r="J1464" t="str">
            <v>PremiumS</v>
          </cell>
          <cell r="K1464" t="str">
            <v>technical</v>
          </cell>
          <cell r="L1464" t="str">
            <v>テクニカルタイプ</v>
          </cell>
          <cell r="M1464" t="str">
            <v>ss</v>
          </cell>
        </row>
        <row r="1465">
          <cell r="A1465">
            <v>8061</v>
          </cell>
          <cell r="B1465" t="str">
            <v>ja</v>
          </cell>
          <cell r="C1465" t="str">
            <v>ケロケロけろっぴ</v>
          </cell>
          <cell r="D1465" t="str">
            <v>ケロケロけろっぴ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3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8062</v>
          </cell>
          <cell r="B1466" t="str">
            <v>ja</v>
          </cell>
          <cell r="C1466" t="str">
            <v>ケロケロけろっぴ</v>
          </cell>
          <cell r="D1466" t="str">
            <v>ケロケロけろっぴ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4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8063</v>
          </cell>
          <cell r="B1467" t="str">
            <v>ja</v>
          </cell>
          <cell r="C1467" t="str">
            <v>モルドレッド_ポムポムプリンコスプレ</v>
          </cell>
          <cell r="D1467" t="str">
            <v>モルドレッド_ポムポムプリンコスプレ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5</v>
          </cell>
          <cell r="J1467" t="str">
            <v>PremiumSS</v>
          </cell>
          <cell r="K1467" t="str">
            <v>heal</v>
          </cell>
          <cell r="L1467" t="str">
            <v>回復タイプ</v>
          </cell>
          <cell r="M1467" t="str">
            <v>ss</v>
          </cell>
        </row>
        <row r="1468">
          <cell r="A1468">
            <v>8064</v>
          </cell>
          <cell r="B1468" t="str">
            <v>ja</v>
          </cell>
          <cell r="C1468" t="str">
            <v>モルドレッド_ポムポムプリンコスプレ</v>
          </cell>
          <cell r="D1468" t="str">
            <v>モルドレッド_ポムポムプリンコスプレ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6</v>
          </cell>
          <cell r="J1468" t="str">
            <v>PremiumSS</v>
          </cell>
          <cell r="K1468" t="str">
            <v>heal</v>
          </cell>
          <cell r="L1468" t="str">
            <v>回復タイプ</v>
          </cell>
          <cell r="M1468" t="str">
            <v>ss</v>
          </cell>
        </row>
        <row r="1469">
          <cell r="A1469">
            <v>8065</v>
          </cell>
          <cell r="B1469" t="str">
            <v>ja</v>
          </cell>
          <cell r="C1469" t="str">
            <v>クロミ</v>
          </cell>
          <cell r="D1469" t="str">
            <v>クロミ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3</v>
          </cell>
          <cell r="J1469" t="str">
            <v>PremiumS</v>
          </cell>
          <cell r="K1469" t="str">
            <v>technical</v>
          </cell>
          <cell r="L1469" t="str">
            <v>テクニカルタイプ</v>
          </cell>
          <cell r="M1469" t="str">
            <v>ss</v>
          </cell>
        </row>
        <row r="1470">
          <cell r="A1470">
            <v>8066</v>
          </cell>
          <cell r="B1470" t="str">
            <v>ja</v>
          </cell>
          <cell r="C1470" t="str">
            <v>クロミ</v>
          </cell>
          <cell r="D1470" t="str">
            <v>クロミ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blue</v>
          </cell>
          <cell r="I1470">
            <v>4</v>
          </cell>
          <cell r="J1470" t="str">
            <v>PremiumS</v>
          </cell>
          <cell r="K1470" t="str">
            <v>technical</v>
          </cell>
          <cell r="L1470" t="str">
            <v>テクニカルタイプ</v>
          </cell>
          <cell r="M1470" t="str">
            <v>ss</v>
          </cell>
        </row>
        <row r="1471">
          <cell r="A1471">
            <v>8067</v>
          </cell>
          <cell r="B1471" t="str">
            <v>ja</v>
          </cell>
          <cell r="C1471" t="str">
            <v>バッドばつ丸</v>
          </cell>
          <cell r="D1471" t="str">
            <v>バッドばつ丸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3</v>
          </cell>
          <cell r="J1471" t="str">
            <v>PremiumS</v>
          </cell>
          <cell r="K1471" t="str">
            <v>attack</v>
          </cell>
          <cell r="L1471" t="str">
            <v>攻撃タイプ</v>
          </cell>
          <cell r="M1471" t="str">
            <v>ss</v>
          </cell>
        </row>
        <row r="1472">
          <cell r="A1472">
            <v>8068</v>
          </cell>
          <cell r="B1472" t="str">
            <v>ja</v>
          </cell>
          <cell r="C1472" t="str">
            <v>バッドばつ丸</v>
          </cell>
          <cell r="D1472" t="str">
            <v>バッドばつ丸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4</v>
          </cell>
          <cell r="J1472" t="str">
            <v>PremiumS</v>
          </cell>
          <cell r="K1472" t="str">
            <v>attack</v>
          </cell>
          <cell r="L1472" t="str">
            <v>攻撃タイプ</v>
          </cell>
          <cell r="M1472" t="str">
            <v>ss</v>
          </cell>
        </row>
        <row r="1473">
          <cell r="A1473">
            <v>8069</v>
          </cell>
          <cell r="B1473" t="str">
            <v>ja</v>
          </cell>
          <cell r="C1473" t="str">
            <v>シナモロール</v>
          </cell>
          <cell r="D1473" t="str">
            <v>シナモロール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PremiumS</v>
          </cell>
          <cell r="K1473" t="str">
            <v>heal</v>
          </cell>
          <cell r="L1473" t="str">
            <v>回復タイプ</v>
          </cell>
          <cell r="M1473" t="str">
            <v>ss</v>
          </cell>
        </row>
        <row r="1474">
          <cell r="A1474">
            <v>8070</v>
          </cell>
          <cell r="B1474" t="str">
            <v>ja</v>
          </cell>
          <cell r="C1474" t="str">
            <v>シナモロール</v>
          </cell>
          <cell r="D1474" t="str">
            <v>シナモロール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PremiumS</v>
          </cell>
          <cell r="K1474" t="str">
            <v>heal</v>
          </cell>
          <cell r="L1474" t="str">
            <v>回復タイプ</v>
          </cell>
          <cell r="M1474" t="str">
            <v>ss</v>
          </cell>
        </row>
        <row r="1475">
          <cell r="A1475">
            <v>8071</v>
          </cell>
          <cell r="B1475" t="str">
            <v>ja</v>
          </cell>
          <cell r="C1475" t="str">
            <v>ポムポムプリン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3</v>
          </cell>
          <cell r="J1475" t="str">
            <v>PremiumS</v>
          </cell>
          <cell r="K1475" t="str">
            <v>hp</v>
          </cell>
          <cell r="L1475" t="str">
            <v>体力タイプ</v>
          </cell>
          <cell r="M1475" t="str">
            <v>ss</v>
          </cell>
        </row>
        <row r="1476">
          <cell r="A1476">
            <v>8072</v>
          </cell>
          <cell r="B1476" t="str">
            <v>ja</v>
          </cell>
          <cell r="C1476" t="str">
            <v>ポムポムプリン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yellow</v>
          </cell>
          <cell r="I1476">
            <v>4</v>
          </cell>
          <cell r="J1476" t="str">
            <v>PremiumS</v>
          </cell>
          <cell r="K1476" t="str">
            <v>hp</v>
          </cell>
          <cell r="L1476" t="str">
            <v>体力タイプ</v>
          </cell>
          <cell r="M1476" t="str">
            <v>ss</v>
          </cell>
        </row>
        <row r="1477">
          <cell r="A1477">
            <v>8073</v>
          </cell>
          <cell r="B1477" t="str">
            <v>ja</v>
          </cell>
          <cell r="C1477" t="str">
            <v>星海祈る天光妃 媽祖</v>
          </cell>
          <cell r="D1477" t="str">
            <v>Expoミク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6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8074</v>
          </cell>
          <cell r="B1478" t="str">
            <v>ja</v>
          </cell>
          <cell r="C1478" t="str">
            <v>海戀の絶龍姫 蛟龍</v>
          </cell>
          <cell r="D1478" t="str">
            <v>Expoミク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DropWizS</v>
          </cell>
          <cell r="K1478" t="str">
            <v>hp</v>
          </cell>
          <cell r="L1478" t="str">
            <v>体力タイプ</v>
          </cell>
          <cell r="M1478" t="str">
            <v>dragon</v>
          </cell>
        </row>
        <row r="1479">
          <cell r="A1479">
            <v>8075</v>
          </cell>
          <cell r="B1479" t="str">
            <v>ja</v>
          </cell>
          <cell r="C1479" t="str">
            <v>三蔵法師_超覚醒</v>
          </cell>
          <cell r="D1479" t="str">
            <v>Expoミク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human</v>
          </cell>
        </row>
        <row r="1480">
          <cell r="A1480">
            <v>8076</v>
          </cell>
          <cell r="B1480" t="str">
            <v>ja</v>
          </cell>
          <cell r="C1480" t="str">
            <v>孫悟空_超覚醒</v>
          </cell>
          <cell r="D1480" t="str">
            <v>Expoミク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attack</v>
          </cell>
          <cell r="L1480" t="str">
            <v>攻撃タイプ</v>
          </cell>
          <cell r="M1480" t="str">
            <v>animal</v>
          </cell>
        </row>
        <row r="1481">
          <cell r="A1481">
            <v>8077</v>
          </cell>
          <cell r="B1481" t="str">
            <v>ja</v>
          </cell>
          <cell r="C1481" t="str">
            <v>鄭成功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blue</v>
          </cell>
          <cell r="I1481">
            <v>5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8078</v>
          </cell>
          <cell r="B1482" t="str">
            <v>ja</v>
          </cell>
          <cell r="C1482" t="str">
            <v>レア６鄭成功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PremiumSS</v>
          </cell>
          <cell r="K1482" t="str">
            <v>attack</v>
          </cell>
          <cell r="L1482" t="str">
            <v>攻撃タイプ</v>
          </cell>
          <cell r="M1482" t="str">
            <v>human</v>
          </cell>
        </row>
        <row r="1483">
          <cell r="A1483">
            <v>8079</v>
          </cell>
          <cell r="B1483" t="str">
            <v>ja</v>
          </cell>
          <cell r="C1483" t="str">
            <v>赤鬼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5</v>
          </cell>
          <cell r="J1483" t="str">
            <v>DropWizS</v>
          </cell>
          <cell r="K1483" t="str">
            <v>hp</v>
          </cell>
          <cell r="L1483" t="str">
            <v>体力タイプ</v>
          </cell>
          <cell r="M1483" t="str">
            <v>dragon</v>
          </cell>
        </row>
        <row r="1484">
          <cell r="A1484">
            <v>8080</v>
          </cell>
          <cell r="B1484" t="str">
            <v>ja</v>
          </cell>
          <cell r="C1484" t="str">
            <v>レア６赤鬼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hp</v>
          </cell>
          <cell r="L1484" t="str">
            <v>体力タイプ</v>
          </cell>
          <cell r="M1484" t="str">
            <v>dragon</v>
          </cell>
        </row>
        <row r="1485">
          <cell r="A1485">
            <v>8087</v>
          </cell>
          <cell r="B1485" t="str">
            <v>ja</v>
          </cell>
          <cell r="C1485" t="str">
            <v>財神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technical</v>
          </cell>
          <cell r="L1485" t="str">
            <v>テクニカルタイプ</v>
          </cell>
          <cell r="M1485" t="str">
            <v>god</v>
          </cell>
        </row>
        <row r="1486">
          <cell r="A1486">
            <v>8088</v>
          </cell>
          <cell r="B1486" t="str">
            <v>ja</v>
          </cell>
          <cell r="C1486" t="str">
            <v>★６財神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technical</v>
          </cell>
          <cell r="L1486" t="str">
            <v>テクニカルタイプ</v>
          </cell>
          <cell r="M1486" t="str">
            <v>god</v>
          </cell>
        </row>
        <row r="1487">
          <cell r="A1487">
            <v>8089</v>
          </cell>
          <cell r="B1487" t="str">
            <v>ja</v>
          </cell>
          <cell r="C1487" t="str">
            <v>年獣</v>
          </cell>
          <cell r="H1487" t="str">
            <v>green</v>
          </cell>
          <cell r="I1487">
            <v>5</v>
          </cell>
          <cell r="J1487" t="str">
            <v>DropWizS</v>
          </cell>
          <cell r="K1487" t="str">
            <v>attack</v>
          </cell>
          <cell r="L1487" t="str">
            <v>攻撃タイプ</v>
          </cell>
          <cell r="M1487" t="str">
            <v>animal</v>
          </cell>
        </row>
        <row r="1488">
          <cell r="A1488">
            <v>8090</v>
          </cell>
          <cell r="B1488" t="str">
            <v>ja</v>
          </cell>
          <cell r="C1488" t="str">
            <v>★６年獣</v>
          </cell>
          <cell r="H1488" t="str">
            <v>green</v>
          </cell>
          <cell r="I1488">
            <v>6</v>
          </cell>
          <cell r="J1488" t="str">
            <v>DropWizS</v>
          </cell>
          <cell r="K1488" t="str">
            <v>attack</v>
          </cell>
          <cell r="L1488" t="str">
            <v>攻撃タイプ</v>
          </cell>
          <cell r="M1488" t="str">
            <v>animal</v>
          </cell>
        </row>
        <row r="1489">
          <cell r="A1489">
            <v>8095</v>
          </cell>
          <cell r="B1489" t="str">
            <v>ja</v>
          </cell>
          <cell r="C1489" t="str">
            <v>バハムートダック赤</v>
          </cell>
          <cell r="D1489" t="str">
            <v>ポムポムプリン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red</v>
          </cell>
          <cell r="I1489">
            <v>6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8096</v>
          </cell>
          <cell r="B1490" t="str">
            <v>ja</v>
          </cell>
          <cell r="C1490" t="str">
            <v>バハムートダック緑</v>
          </cell>
          <cell r="D1490" t="str">
            <v>ポムポムプリン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green</v>
          </cell>
          <cell r="I1490">
            <v>6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8097</v>
          </cell>
          <cell r="B1491" t="str">
            <v>ja</v>
          </cell>
          <cell r="C1491" t="str">
            <v>バハムートダック青</v>
          </cell>
          <cell r="D1491" t="str">
            <v>ポムポムプリン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6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8098</v>
          </cell>
          <cell r="B1492" t="str">
            <v>ja</v>
          </cell>
          <cell r="C1492" t="str">
            <v>バハムートダック黄</v>
          </cell>
          <cell r="D1492" t="str">
            <v>ポムポムプリン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8099</v>
          </cell>
          <cell r="B1493" t="str">
            <v>ja</v>
          </cell>
          <cell r="C1493" t="str">
            <v>リトルハンプティ</v>
          </cell>
          <cell r="D1493" t="str">
            <v>各属性相性良3・黄・R455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green</v>
          </cell>
          <cell r="I1493">
            <v>6</v>
          </cell>
          <cell r="J1493" t="str">
            <v>Material</v>
          </cell>
          <cell r="K1493" t="str">
            <v>evolution</v>
          </cell>
          <cell r="L1493" t="str">
            <v>覚醒素材タイプ</v>
          </cell>
          <cell r="M149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4" sqref="D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245</v>
      </c>
      <c r="B2" s="61" t="s">
        <v>110</v>
      </c>
      <c r="C2" s="50" t="str">
        <f t="shared" ref="C2" si="0">RIGHT(F2,6)</f>
        <v>518100</v>
      </c>
      <c r="D2" s="19" t="s">
        <v>45</v>
      </c>
      <c r="E2" s="17" t="str">
        <f t="shared" ref="E2" si="1">B2&amp;C2&amp;D2</f>
        <v>gacha_select_tables_518100.tmp</v>
      </c>
      <c r="F2" s="100" t="s">
        <v>251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245</v>
      </c>
      <c r="B3" s="61" t="s">
        <v>110</v>
      </c>
      <c r="C3" s="50" t="str">
        <f t="shared" ref="C3:C7" si="2">RIGHT(F3,6)</f>
        <v>518010</v>
      </c>
      <c r="D3" s="19" t="s">
        <v>45</v>
      </c>
      <c r="E3" s="17" t="str">
        <f t="shared" ref="E3:E10" si="3">B3&amp;C3&amp;D3</f>
        <v>gacha_select_tables_518010.tmp</v>
      </c>
      <c r="F3" s="100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250</v>
      </c>
      <c r="B4" s="94" t="s">
        <v>246</v>
      </c>
      <c r="C4" s="95" t="str">
        <f t="shared" si="2"/>
        <v>518105</v>
      </c>
      <c r="D4" s="19" t="s">
        <v>247</v>
      </c>
      <c r="E4" s="17" t="str">
        <f t="shared" si="3"/>
        <v>gacha_settle_tables_518105.tmp</v>
      </c>
      <c r="F4" s="100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tabSelected="1" workbookViewId="0">
      <selection activeCell="C27" sqref="C27"/>
    </sheetView>
  </sheetViews>
  <sheetFormatPr baseColWidth="12" defaultRowHeight="14" x14ac:dyDescent="0.15"/>
  <cols>
    <col min="1" max="2" width="24.19921875" bestFit="1" customWidth="1"/>
    <col min="13" max="13" width="21.3984375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539</v>
      </c>
      <c r="M3" s="37" t="str">
        <f>VLOOKUP(L3,[1]characters!$A:$C,3,FALSE)</f>
        <v>初音ミク・アペンド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VLOOKUP(L3,tables_518010!B:C,2,FALSE)</f>
        <v>PremiumSSS4R3less</v>
      </c>
      <c r="R3" s="62">
        <f t="shared" ref="R3:R20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540</v>
      </c>
      <c r="M4" s="37" t="str">
        <f>VLOOKUP(L4,[1]characters!$A:$C,3,FALSE)</f>
        <v>来訪の歌姫 初音ミク・アペンド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VLOOKUP(L4,tables_518010!B:C,2,FALSE)</f>
        <v>PremiumSSS5R3less</v>
      </c>
      <c r="R4" s="62">
        <f t="shared" si="1"/>
        <v>1311000</v>
      </c>
      <c r="S4">
        <v>191</v>
      </c>
      <c r="U4" s="33" t="s">
        <v>97</v>
      </c>
      <c r="V4" s="54">
        <f t="shared" si="0"/>
        <v>6.7500000000000004E-2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7.246376811594203E-4</v>
      </c>
      <c r="F5">
        <f>(COUNTIF(tables_518010!C:C,input_518010!A28)+COUNTIF(tables_518010!C:C,input_518010!A29))</f>
        <v>70</v>
      </c>
      <c r="H5" s="84">
        <v>0.03</v>
      </c>
      <c r="I5" s="31">
        <v>1</v>
      </c>
      <c r="L5" s="1">
        <v>545</v>
      </c>
      <c r="M5" s="37" t="str">
        <f>VLOOKUP(L5,[1]characters!$A:$C,3,FALSE)</f>
        <v>鏡音レン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VLOOKUP(L5,tables_518010!B:C,2,FALSE)</f>
        <v>PremiumSS4</v>
      </c>
      <c r="R5" s="62">
        <f t="shared" si="1"/>
        <v>1966500</v>
      </c>
      <c r="S5">
        <v>192</v>
      </c>
      <c r="U5" s="33" t="s">
        <v>98</v>
      </c>
      <c r="V5" s="54">
        <f t="shared" si="0"/>
        <v>6.7500000000000004E-2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7.8947368421052634E-3</v>
      </c>
      <c r="F6">
        <f>(COUNTIF(tables_518010!C:C,input_518010!A25)+COUNTIF(tables_518010!C:C,input_518010!A18)+COUNTIF(tables_518010!C:C,input_518010!A20)+COUNTIF(tables_518010!C:C,input_518010!A22))</f>
        <v>98</v>
      </c>
      <c r="H6" s="88">
        <v>0.15</v>
      </c>
      <c r="I6" s="31">
        <v>3</v>
      </c>
      <c r="L6" s="1">
        <v>546</v>
      </c>
      <c r="M6" s="37" t="str">
        <f>VLOOKUP(L6,[1]characters!$A:$C,3,FALSE)</f>
        <v>残響の連符 鏡音レン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VLOOKUP(L6,tables_518010!B:C,2,FALSE)</f>
        <v>PremiumSS5</v>
      </c>
      <c r="R6" s="62">
        <f t="shared" si="1"/>
        <v>1966500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547</v>
      </c>
      <c r="M7" s="37" t="str">
        <f>VLOOKUP(L7,[1]characters!$A:$C,3,FALSE)</f>
        <v>巡音ルカ</v>
      </c>
      <c r="N7" s="63">
        <f>0.05*B$5</f>
        <v>2.2500000000000003E-2</v>
      </c>
      <c r="O7" s="37">
        <f>VLOOKUP(L7,[1]characters!$A:$I,9,FALSE)</f>
        <v>3</v>
      </c>
      <c r="P7" s="37" t="str">
        <f>VLOOKUP(L7,[1]characters!$A:$J,10,FALSE)</f>
        <v>PremiumS</v>
      </c>
      <c r="Q7" s="37" t="str">
        <f>VLOOKUP(L7,tables_518010!B:C,2,FALSE)</f>
        <v>Premium3</v>
      </c>
      <c r="R7" s="62">
        <f t="shared" si="1"/>
        <v>2949750.0000000005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548</v>
      </c>
      <c r="M8" s="37" t="str">
        <f>VLOOKUP(L8,[1]characters!$A:$C,3,FALSE)</f>
        <v>乱舞の音環 巡音ルカ</v>
      </c>
      <c r="N8" s="63">
        <f>0.05*B$6</f>
        <v>2.2500000000000003E-2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VLOOKUP(L8,tables_518010!B:C,2,FALSE)</f>
        <v>Premium4</v>
      </c>
      <c r="R8" s="62">
        <f t="shared" si="1"/>
        <v>2949750.0000000005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1313</v>
      </c>
      <c r="M9" s="37" t="str">
        <f>VLOOKUP(L9,[1]characters!$A:$C,3,FALSE)</f>
        <v>旋律する音廻 巡音ルカ</v>
      </c>
      <c r="N9" s="63">
        <f>0.05*B$7</f>
        <v>5.000000000000001E-3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VLOOKUP(L9,tables_518010!B:C,2,FALSE)</f>
        <v>Premium5</v>
      </c>
      <c r="R9" s="62">
        <f t="shared" si="1"/>
        <v>655500.00000000012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1">
        <v>549</v>
      </c>
      <c r="M10" s="37" t="str">
        <f>VLOOKUP(L10,[1]characters!$A:$C,3,FALSE)</f>
        <v>MEIKO</v>
      </c>
      <c r="N10" s="63">
        <f>0.05*B$5</f>
        <v>2.2500000000000003E-2</v>
      </c>
      <c r="O10" s="37">
        <f>VLOOKUP(L10,[1]characters!$A:$I,9,FALSE)</f>
        <v>3</v>
      </c>
      <c r="P10" s="37" t="str">
        <f>VLOOKUP(L10,[1]characters!$A:$J,10,FALSE)</f>
        <v>PremiumS</v>
      </c>
      <c r="Q10" s="37" t="str">
        <f>VLOOKUP(L10,tables_518010!B:C,2,FALSE)</f>
        <v>Premium3</v>
      </c>
      <c r="R10" s="62">
        <f t="shared" si="1"/>
        <v>2949750.0000000005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0.08</v>
      </c>
      <c r="C11" t="s">
        <v>255</v>
      </c>
      <c r="L11" s="1">
        <v>550</v>
      </c>
      <c r="M11" s="37" t="str">
        <f>VLOOKUP(L11,[1]characters!$A:$C,3,FALSE)</f>
        <v>解放の絶唱 MEIKO</v>
      </c>
      <c r="N11" s="63">
        <f>0.05*B$6</f>
        <v>2.2500000000000003E-2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VLOOKUP(L11,tables_518010!B:C,2,FALSE)</f>
        <v>Premium4</v>
      </c>
      <c r="R11" s="62">
        <f t="shared" si="1"/>
        <v>2949750.0000000005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0.02</v>
      </c>
      <c r="L12" s="1">
        <v>1314</v>
      </c>
      <c r="M12" s="37" t="str">
        <f>VLOOKUP(L12,[1]characters!$A:$C,3,FALSE)</f>
        <v>救声の唱動 MEIKO</v>
      </c>
      <c r="N12" s="63">
        <f>0.05*B$7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VLOOKUP(L12,tables_518010!B:C,2,FALSE)</f>
        <v>Premium5</v>
      </c>
      <c r="R12" s="62">
        <f t="shared" si="1"/>
        <v>655500.00000000012</v>
      </c>
      <c r="S12">
        <v>496</v>
      </c>
      <c r="U12" s="33" t="s">
        <v>106</v>
      </c>
      <c r="V12" s="54">
        <f t="shared" si="0"/>
        <v>1.4999999999999999E-2</v>
      </c>
    </row>
    <row r="13" spans="1:22" x14ac:dyDescent="0.15">
      <c r="L13" s="1">
        <v>551</v>
      </c>
      <c r="M13" s="37" t="str">
        <f>VLOOKUP(L13,[1]characters!$A:$C,3,FALSE)</f>
        <v>KAITO</v>
      </c>
      <c r="N13" s="63">
        <f>0.05*B$5</f>
        <v>2.2500000000000003E-2</v>
      </c>
      <c r="O13" s="37">
        <f>VLOOKUP(L13,[1]characters!$A:$I,9,FALSE)</f>
        <v>3</v>
      </c>
      <c r="P13" s="37" t="str">
        <f>VLOOKUP(L13,[1]characters!$A:$J,10,FALSE)</f>
        <v>PremiumS</v>
      </c>
      <c r="Q13" s="37" t="str">
        <f>VLOOKUP(L13,tables_518010!B:C,2,FALSE)</f>
        <v>Premium3</v>
      </c>
      <c r="R13" s="62">
        <f t="shared" si="1"/>
        <v>2949750.0000000005</v>
      </c>
      <c r="S13">
        <v>497</v>
      </c>
      <c r="U13" s="33" t="s">
        <v>107</v>
      </c>
      <c r="V13" s="54">
        <f t="shared" si="0"/>
        <v>1.4999999999999999E-2</v>
      </c>
    </row>
    <row r="14" spans="1:22" x14ac:dyDescent="0.15">
      <c r="L14" s="1">
        <v>552</v>
      </c>
      <c r="M14" s="37" t="str">
        <f>VLOOKUP(L14,[1]characters!$A:$C,3,FALSE)</f>
        <v>愉悦の愛唱 KAITO</v>
      </c>
      <c r="N14" s="63">
        <f>0.05*B$6</f>
        <v>2.2500000000000003E-2</v>
      </c>
      <c r="O14" s="37">
        <f>VLOOKUP(L14,[1]characters!$A:$I,9,FALSE)</f>
        <v>4</v>
      </c>
      <c r="P14" s="37" t="str">
        <f>VLOOKUP(L14,[1]characters!$A:$J,10,FALSE)</f>
        <v>PremiumS</v>
      </c>
      <c r="Q14" s="37" t="str">
        <f>VLOOKUP(L14,tables_518010!B:C,2,FALSE)</f>
        <v>Premium4</v>
      </c>
      <c r="R14" s="62">
        <f t="shared" si="1"/>
        <v>2949750.0000000005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L15" s="99">
        <v>1315</v>
      </c>
      <c r="M15" s="37" t="str">
        <f>VLOOKUP(L15,[1]characters!$A:$C,3,FALSE)</f>
        <v>快響の楽唱歌 KAITO</v>
      </c>
      <c r="N15" s="63">
        <f>0.05*B$7</f>
        <v>5.000000000000001E-3</v>
      </c>
      <c r="O15" s="37">
        <f>VLOOKUP(L15,[1]characters!$A:$I,9,FALSE)</f>
        <v>5</v>
      </c>
      <c r="P15" s="37" t="str">
        <f>VLOOKUP(L15,[1]characters!$A:$J,10,FALSE)</f>
        <v>PremiumS</v>
      </c>
      <c r="Q15" s="37" t="str">
        <f>VLOOKUP(L15,tables_518010!B:C,2,FALSE)</f>
        <v>Premium5</v>
      </c>
      <c r="R15" s="62">
        <f t="shared" si="1"/>
        <v>655500.00000000012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L16" s="99"/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7.1052631578947353E-2</v>
      </c>
      <c r="C17" s="85">
        <f t="shared" ref="C17:C31" si="2">SUMIF(Q:Q,A17,N:N)</f>
        <v>0</v>
      </c>
      <c r="D17" s="74">
        <f t="shared" ref="D17:D32" si="3">B17-C17</f>
        <v>7.1052631578947353E-2</v>
      </c>
      <c r="E17">
        <f>COUNTIF(tables_518010!C:C,input_518010!A17)-COUNTIF(Q:Q,A17)</f>
        <v>20</v>
      </c>
      <c r="F17" s="43">
        <f>IFERROR(B17/E17,0)</f>
        <v>3.5526315789473676E-3</v>
      </c>
      <c r="G17">
        <f t="shared" ref="G17:G31" si="4">A$36*B17</f>
        <v>9314999.9999999981</v>
      </c>
      <c r="H17">
        <f t="shared" ref="H17:H31" si="5">IFERROR(ROUND(G17/E17,5),0)</f>
        <v>465750</v>
      </c>
      <c r="I17">
        <f t="shared" ref="I17:I31" si="6">MOD(H17,1)</f>
        <v>0</v>
      </c>
      <c r="J17">
        <f t="shared" ref="J17:J31" si="7">IFERROR(1/I17,1)</f>
        <v>1</v>
      </c>
      <c r="L17" s="99"/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8.6842105263157901E-2</v>
      </c>
      <c r="C18" s="85">
        <f t="shared" si="2"/>
        <v>0</v>
      </c>
      <c r="D18" s="74">
        <f t="shared" si="3"/>
        <v>8.6842105263157901E-2</v>
      </c>
      <c r="E18">
        <f>COUNTIF(tables_518010!C:C,input_518010!A18)-COUNTIF(Q:Q,A18)</f>
        <v>20</v>
      </c>
      <c r="F18" s="43">
        <f>IFERROR(B18/E18,0)</f>
        <v>4.3421052631578954E-3</v>
      </c>
      <c r="G18">
        <f t="shared" si="4"/>
        <v>11385000</v>
      </c>
      <c r="H18">
        <f t="shared" si="5"/>
        <v>569250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0.18473684210526317</v>
      </c>
      <c r="C19" s="85">
        <f t="shared" si="2"/>
        <v>6.7500000000000004E-2</v>
      </c>
      <c r="D19" s="74">
        <f t="shared" si="3"/>
        <v>0.11723684210526317</v>
      </c>
      <c r="E19">
        <f>COUNTIF(tables_518010!C:C,input_518010!A19)-COUNTIF(Q:Q,A19)</f>
        <v>52</v>
      </c>
      <c r="F19" s="43">
        <f t="shared" ref="F19:F31" si="8">IFERROR(B19/E19,0)</f>
        <v>3.5526315789473689E-3</v>
      </c>
      <c r="G19">
        <f t="shared" si="4"/>
        <v>24219000</v>
      </c>
      <c r="H19">
        <f t="shared" si="5"/>
        <v>465750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0.18473684210526317</v>
      </c>
      <c r="C20" s="85">
        <f t="shared" si="2"/>
        <v>6.7500000000000004E-2</v>
      </c>
      <c r="D20" s="74">
        <f t="shared" si="3"/>
        <v>0.11723684210526317</v>
      </c>
      <c r="E20">
        <f>COUNTIF(tables_518010!C:C,input_518010!A20)-COUNTIF(Q:Q,A20)</f>
        <v>52</v>
      </c>
      <c r="F20" s="43">
        <f t="shared" si="8"/>
        <v>3.5526315789473689E-3</v>
      </c>
      <c r="G20">
        <f t="shared" si="4"/>
        <v>24219000</v>
      </c>
      <c r="H20">
        <f t="shared" si="5"/>
        <v>465750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E21*E6-SUM(B19:B20)</f>
        <v>4.1052631578947341E-2</v>
      </c>
      <c r="C21" s="85">
        <f t="shared" si="2"/>
        <v>1.5000000000000003E-2</v>
      </c>
      <c r="D21" s="74">
        <f t="shared" si="3"/>
        <v>2.6052631578947338E-2</v>
      </c>
      <c r="E21">
        <f>COUNTIF(tables_518010!C:C,input_518010!A21)-COUNTIF(Q:Q,A21)</f>
        <v>52</v>
      </c>
      <c r="F21" s="43">
        <f t="shared" si="8"/>
        <v>7.8947368421052576E-4</v>
      </c>
      <c r="G21">
        <f t="shared" si="4"/>
        <v>5381999.9999999963</v>
      </c>
      <c r="H21">
        <f t="shared" si="5"/>
        <v>103500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0.13026315789473683</v>
      </c>
      <c r="C22" s="85">
        <f t="shared" si="2"/>
        <v>0</v>
      </c>
      <c r="D22" s="74">
        <f t="shared" si="3"/>
        <v>0.13026315789473683</v>
      </c>
      <c r="E22">
        <f>COUNTIF(tables_518010!C:C,input_518010!A22)-COUNTIF(Q:Q,A22)</f>
        <v>19</v>
      </c>
      <c r="F22" s="43">
        <f t="shared" si="8"/>
        <v>6.8559556786703599E-3</v>
      </c>
      <c r="G22">
        <f t="shared" si="4"/>
        <v>17077500</v>
      </c>
      <c r="H22">
        <f t="shared" si="5"/>
        <v>898815.78946999996</v>
      </c>
      <c r="I22">
        <f t="shared" si="6"/>
        <v>0.78946999995969236</v>
      </c>
      <c r="J22">
        <f t="shared" si="7"/>
        <v>1.2666725778700352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1.973684210526316E-2</v>
      </c>
      <c r="C23" s="85">
        <f t="shared" si="2"/>
        <v>0</v>
      </c>
      <c r="D23" s="74">
        <f t="shared" si="3"/>
        <v>1.973684210526316E-2</v>
      </c>
      <c r="E23">
        <f>COUNTIF(tables_518010!C:C,input_518010!A23)-COUNTIF(Q:Q,A23)</f>
        <v>25</v>
      </c>
      <c r="F23" s="43">
        <f t="shared" si="8"/>
        <v>7.8947368421052641E-4</v>
      </c>
      <c r="G23">
        <f t="shared" si="4"/>
        <v>2587500.0000000005</v>
      </c>
      <c r="H23">
        <f t="shared" si="5"/>
        <v>103500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1.4210526315789474E-2</v>
      </c>
      <c r="C24" s="85">
        <f t="shared" si="2"/>
        <v>0</v>
      </c>
      <c r="D24" s="74">
        <f t="shared" si="3"/>
        <v>1.4210526315789474E-2</v>
      </c>
      <c r="E24">
        <f>COUNTIF(tables_518010!C:C,input_518010!A24)-COUNTIF(Q:Q,A24)</f>
        <v>4</v>
      </c>
      <c r="F24" s="43">
        <f t="shared" si="8"/>
        <v>3.5526315789473684E-3</v>
      </c>
      <c r="G24">
        <f t="shared" si="4"/>
        <v>1863000</v>
      </c>
      <c r="H24">
        <f t="shared" si="5"/>
        <v>465750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1.4210526315789474E-2</v>
      </c>
      <c r="C25" s="85">
        <f t="shared" si="2"/>
        <v>0</v>
      </c>
      <c r="D25" s="74">
        <f t="shared" si="3"/>
        <v>1.4210526315789474E-2</v>
      </c>
      <c r="E25">
        <f>COUNTIF(tables_518010!C:C,input_518010!A25)-COUNTIF(Q:Q,A25)</f>
        <v>4</v>
      </c>
      <c r="F25" s="43">
        <f t="shared" si="8"/>
        <v>3.5526315789473684E-3</v>
      </c>
      <c r="G25">
        <f t="shared" si="4"/>
        <v>1863000</v>
      </c>
      <c r="H25">
        <f t="shared" si="5"/>
        <v>465750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3.1578947368421056E-3</v>
      </c>
      <c r="C26" s="85">
        <f t="shared" si="2"/>
        <v>0</v>
      </c>
      <c r="D26" s="74">
        <f t="shared" si="3"/>
        <v>3.1578947368421056E-3</v>
      </c>
      <c r="E26">
        <f>COUNTIF(tables_518010!C:C,input_518010!A26)-COUNTIF(Q:Q,A26)</f>
        <v>4</v>
      </c>
      <c r="F26" s="43">
        <f t="shared" si="8"/>
        <v>7.8947368421052641E-4</v>
      </c>
      <c r="G26">
        <f t="shared" si="4"/>
        <v>414000.00000000006</v>
      </c>
      <c r="H26">
        <f t="shared" si="5"/>
        <v>103500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1.4999999999999999E-2</v>
      </c>
      <c r="D27" s="74">
        <f t="shared" si="3"/>
        <v>3.2608695652173898E-3</v>
      </c>
      <c r="E27">
        <f>COUNTIF(tables_518010!C:C,input_518010!A27)-COUNTIF(Q:Q,A27)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1.4999999999999999E-2</v>
      </c>
      <c r="D28" s="74">
        <f t="shared" si="3"/>
        <v>-1.2971014492753622E-2</v>
      </c>
      <c r="E28">
        <f>COUNTIF(tables_518010!C:C,input_518010!A28)-COUNTIF(Q:Q,A28)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</v>
      </c>
      <c r="D29" s="74">
        <f t="shared" si="3"/>
        <v>2.9710144927536233E-2</v>
      </c>
      <c r="E29">
        <f>COUNTIF(tables_518010!C:C,input_518010!A29)-COUNTIF(Q:Q,A29)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0.01</v>
      </c>
      <c r="D30" s="74">
        <f t="shared" si="3"/>
        <v>-0.01</v>
      </c>
      <c r="E30">
        <f>COUNTIF(tables_518010!C:C,input_518010!A30)-COUNTIF(Q:Q,A30)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COUNTIF(tables_518010!C:C,input_518010!A31)-COUNTIF(Q:Q,A31)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</v>
      </c>
      <c r="C32" s="41">
        <f>SUM(C19:C31)</f>
        <v>0.20000000000000007</v>
      </c>
      <c r="D32" s="42">
        <f t="shared" si="3"/>
        <v>0.6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SUMIF(tables_518010!C:C,input_518010!A40,tables_518010!O:O)</f>
        <v>33068250</v>
      </c>
      <c r="C40" s="54">
        <f t="shared" ref="C40:C46" ca="1" si="9">B40/B$47</f>
        <v>0.41295049826419239</v>
      </c>
      <c r="E40">
        <v>3</v>
      </c>
      <c r="F40">
        <f ca="1">SUMIF(tables_518010!J:J,input_518010!E40,tables_518010!O:O)</f>
        <v>44246250</v>
      </c>
      <c r="G40">
        <f ca="1">F40/A36</f>
        <v>0.33750000000000002</v>
      </c>
    </row>
    <row r="41" spans="1:7" x14ac:dyDescent="0.15">
      <c r="A41" s="33" t="s">
        <v>104</v>
      </c>
      <c r="B41">
        <f ca="1">SUMIF(tables_518010!C:C,input_518010!A41,tables_518010!O:O)</f>
        <v>33068250</v>
      </c>
      <c r="C41" s="54">
        <f t="shared" ca="1" si="9"/>
        <v>0.41295049826419239</v>
      </c>
      <c r="E41">
        <v>4</v>
      </c>
      <c r="F41">
        <f ca="1">SUMIF(tables_518010!J:J,input_518010!E41,tables_518010!O:O)</f>
        <v>69065249.999930039</v>
      </c>
      <c r="G41">
        <f ca="1">F41/A36</f>
        <v>0.52681350114363112</v>
      </c>
    </row>
    <row r="42" spans="1:7" x14ac:dyDescent="0.15">
      <c r="A42" s="33" t="s">
        <v>106</v>
      </c>
      <c r="B42">
        <f ca="1">SUMIF(tables_518010!C:C,input_518010!A42,tables_518010!O:O)</f>
        <v>4360500</v>
      </c>
      <c r="C42" s="54">
        <f t="shared" ca="1" si="9"/>
        <v>5.4453158170783486E-2</v>
      </c>
      <c r="E42">
        <v>5</v>
      </c>
      <c r="F42">
        <f ca="1">SUMIF(tables_518010!J:J,input_518010!E42,tables_518010!O:O)</f>
        <v>17788500</v>
      </c>
      <c r="G42">
        <f ca="1">F42/A36</f>
        <v>0.13568649885583525</v>
      </c>
    </row>
    <row r="43" spans="1:7" x14ac:dyDescent="0.15">
      <c r="A43" s="33" t="s">
        <v>109</v>
      </c>
      <c r="B43">
        <f>SUMIF(tables_518010!C:C,input_518010!A43,tables_518010!O:O)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SUMIF(tables_518010!C:C,input_518010!A44,tables_518010!O:O)</f>
        <v>7348500</v>
      </c>
      <c r="C44" s="54">
        <f t="shared" ca="1" si="9"/>
        <v>9.1766777392042753E-2</v>
      </c>
      <c r="E44" t="s">
        <v>54</v>
      </c>
      <c r="F44" s="55"/>
    </row>
    <row r="45" spans="1:7" x14ac:dyDescent="0.15">
      <c r="A45" s="33" t="s">
        <v>107</v>
      </c>
      <c r="B45">
        <f ca="1">SUMIF(tables_518010!C:C,input_518010!A45,tables_518010!O:O)</f>
        <v>2232500</v>
      </c>
      <c r="C45" s="54">
        <f t="shared" ca="1" si="9"/>
        <v>2.787906790878893E-2</v>
      </c>
      <c r="E45" t="s">
        <v>204</v>
      </c>
      <c r="F45" s="55">
        <f ca="1">SUMIF(tables_518010!I:I,input_518010!E45,tables_518010!P:P)</f>
        <v>0.16263157894745517</v>
      </c>
    </row>
    <row r="46" spans="1:7" x14ac:dyDescent="0.15">
      <c r="A46" s="33" t="s">
        <v>108</v>
      </c>
      <c r="B46">
        <f>SUMIF(tables_518010!C:C,input_518010!A46,tables_518010!O:O)</f>
        <v>0</v>
      </c>
      <c r="C46" s="54">
        <f t="shared" ca="1" si="9"/>
        <v>0</v>
      </c>
      <c r="E46" t="s">
        <v>205</v>
      </c>
      <c r="F46" s="55">
        <f ca="1">SUMIF(tables_518010!I:I,input_518010!E46,tables_518010!P:P)</f>
        <v>0.15789473684218946</v>
      </c>
    </row>
    <row r="47" spans="1:7" x14ac:dyDescent="0.15">
      <c r="A47" s="39" t="s">
        <v>59</v>
      </c>
      <c r="B47">
        <f ca="1">SUM(B40:B46)</f>
        <v>80078000</v>
      </c>
      <c r="C47" s="55">
        <f ca="1">SUM(C40:C46)</f>
        <v>0.99999999999999989</v>
      </c>
      <c r="E47" t="s">
        <v>206</v>
      </c>
      <c r="F47" s="55">
        <f ca="1">SUMIF(tables_518010!I:I,input_518010!E47,tables_518010!P:P)</f>
        <v>0.57947368421030154</v>
      </c>
    </row>
    <row r="48" spans="1:7" x14ac:dyDescent="0.15">
      <c r="E48" t="s">
        <v>207</v>
      </c>
      <c r="F48" s="55">
        <f ca="1">SUMIF(tables_518010!I:I,input_518010!E48,tables_518010!P:P)</f>
        <v>7.4202898550764285E-2</v>
      </c>
      <c r="G48" s="55">
        <f ca="1">0.05-F48-F49</f>
        <v>-3.0000000000042736E-2</v>
      </c>
    </row>
    <row r="49" spans="5:7" x14ac:dyDescent="0.15">
      <c r="E49" t="s">
        <v>248</v>
      </c>
      <c r="F49" s="55">
        <f ca="1">SUMIF(tables_518010!I:I,input_518010!E49,tables_518010!P:P)</f>
        <v>5.7971014492784554E-3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38" activePane="bottomLeft" state="frozen"/>
      <selection activeCell="H276" sqref="H276"/>
      <selection pane="bottomLeft" activeCell="O348" sqref="O348:O36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input_518010!A$2</f>
        <v>518010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IFERROR(VLOOKUP(B2,input_518010!L:R,7,FALSE),VLOOKUP(tables_518010!C2,input_518010!A:H,8,FALSE))</f>
        <v>465750</v>
      </c>
      <c r="P2" s="46">
        <f t="shared" ref="P2:P65" ca="1" si="1">O2/SUM(O:O)</f>
        <v>3.5526315789492641E-3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input_518010!A$2</f>
        <v>518010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IFERROR(VLOOKUP(B3,input_518010!L:R,7,FALSE),VLOOKUP(tables_518010!C3,input_518010!A:H,8,FALSE))</f>
        <v>569250</v>
      </c>
      <c r="P3" s="46">
        <f t="shared" ca="1" si="1"/>
        <v>4.3421052631602121E-3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input_518010!A$2</f>
        <v>518010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IFERROR(VLOOKUP(B4,input_518010!L:R,7,FALSE),VLOOKUP(tables_518010!C4,input_518010!A:H,8,FALSE))</f>
        <v>465750</v>
      </c>
      <c r="P4" s="46">
        <f t="shared" ca="1" si="1"/>
        <v>3.5526315789492641E-3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input_518010!A$2</f>
        <v>518010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IFERROR(VLOOKUP(B5,input_518010!L:R,7,FALSE),VLOOKUP(tables_518010!C5,input_518010!A:H,8,FALSE))</f>
        <v>569250</v>
      </c>
      <c r="P5" s="46">
        <f t="shared" ca="1" si="1"/>
        <v>4.3421052631602121E-3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input_518010!A$2</f>
        <v>518010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IFERROR(VLOOKUP(B6,input_518010!L:R,7,FALSE),VLOOKUP(tables_518010!C6,input_518010!A:H,8,FALSE))</f>
        <v>465750</v>
      </c>
      <c r="P6" s="46">
        <f t="shared" ca="1" si="1"/>
        <v>3.5526315789492641E-3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input_518010!A$2</f>
        <v>518010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IFERROR(VLOOKUP(B7,input_518010!L:R,7,FALSE),VLOOKUP(tables_518010!C7,input_518010!A:H,8,FALSE))</f>
        <v>569250</v>
      </c>
      <c r="P7" s="46">
        <f t="shared" ca="1" si="1"/>
        <v>4.3421052631602121E-3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input_518010!A$2</f>
        <v>518010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IFERROR(VLOOKUP(B8,input_518010!L:R,7,FALSE),VLOOKUP(tables_518010!C8,input_518010!A:H,8,FALSE))</f>
        <v>465750</v>
      </c>
      <c r="P8" s="46">
        <f t="shared" ca="1" si="1"/>
        <v>3.5526315789492641E-3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input_518010!A$2</f>
        <v>518010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IFERROR(VLOOKUP(B9,input_518010!L:R,7,FALSE),VLOOKUP(tables_518010!C9,input_518010!A:H,8,FALSE))</f>
        <v>569250</v>
      </c>
      <c r="P9" s="46">
        <f t="shared" ca="1" si="1"/>
        <v>4.3421052631602121E-3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input_518010!A$2</f>
        <v>518010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IFERROR(VLOOKUP(B10,input_518010!L:R,7,FALSE),VLOOKUP(tables_518010!C10,input_518010!A:H,8,FALSE))</f>
        <v>465750</v>
      </c>
      <c r="P10" s="46">
        <f t="shared" ca="1" si="1"/>
        <v>3.5526315789492641E-3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input_518010!A$2</f>
        <v>518010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IFERROR(VLOOKUP(B11,input_518010!L:R,7,FALSE),VLOOKUP(tables_518010!C11,input_518010!A:H,8,FALSE))</f>
        <v>569250</v>
      </c>
      <c r="P11" s="46">
        <f t="shared" ca="1" si="1"/>
        <v>4.3421052631602121E-3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input_518010!A$2</f>
        <v>518010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IFERROR(VLOOKUP(B12,input_518010!L:R,7,FALSE),VLOOKUP(tables_518010!C12,input_518010!A:H,8,FALSE))</f>
        <v>465750</v>
      </c>
      <c r="P12" s="46">
        <f t="shared" ca="1" si="1"/>
        <v>3.5526315789492641E-3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input_518010!A$2</f>
        <v>518010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IFERROR(VLOOKUP(B13,input_518010!L:R,7,FALSE),VLOOKUP(tables_518010!C13,input_518010!A:H,8,FALSE))</f>
        <v>569250</v>
      </c>
      <c r="P13" s="46">
        <f t="shared" ca="1" si="1"/>
        <v>4.3421052631602121E-3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input_518010!A$2</f>
        <v>518010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IFERROR(VLOOKUP(B14,input_518010!L:R,7,FALSE),VLOOKUP(tables_518010!C14,input_518010!A:H,8,FALSE))</f>
        <v>465750</v>
      </c>
      <c r="P14" s="46">
        <f t="shared" ca="1" si="1"/>
        <v>3.5526315789492641E-3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input_518010!A$2</f>
        <v>518010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IFERROR(VLOOKUP(B15,input_518010!L:R,7,FALSE),VLOOKUP(tables_518010!C15,input_518010!A:H,8,FALSE))</f>
        <v>569250</v>
      </c>
      <c r="P15" s="46">
        <f t="shared" ca="1" si="1"/>
        <v>4.3421052631602121E-3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input_518010!A$2</f>
        <v>518010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IFERROR(VLOOKUP(B16,input_518010!L:R,7,FALSE),VLOOKUP(tables_518010!C16,input_518010!A:H,8,FALSE))</f>
        <v>465750</v>
      </c>
      <c r="P16" s="46">
        <f t="shared" ca="1" si="1"/>
        <v>3.5526315789492641E-3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input_518010!A$2</f>
        <v>518010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IFERROR(VLOOKUP(B17,input_518010!L:R,7,FALSE),VLOOKUP(tables_518010!C17,input_518010!A:H,8,FALSE))</f>
        <v>569250</v>
      </c>
      <c r="P17" s="46">
        <f t="shared" ca="1" si="1"/>
        <v>4.3421052631602121E-3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input_518010!A$2</f>
        <v>518010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IFERROR(VLOOKUP(B18,input_518010!L:R,7,FALSE),VLOOKUP(tables_518010!C18,input_518010!A:H,8,FALSE))</f>
        <v>465750</v>
      </c>
      <c r="P18" s="46">
        <f t="shared" ca="1" si="1"/>
        <v>3.5526315789492641E-3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input_518010!A$2</f>
        <v>518010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IFERROR(VLOOKUP(B19,input_518010!L:R,7,FALSE),VLOOKUP(tables_518010!C19,input_518010!A:H,8,FALSE))</f>
        <v>569250</v>
      </c>
      <c r="P19" s="46">
        <f t="shared" ca="1" si="1"/>
        <v>4.3421052631602121E-3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input_518010!A$2</f>
        <v>518010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IFERROR(VLOOKUP(B20,input_518010!L:R,7,FALSE),VLOOKUP(tables_518010!C20,input_518010!A:H,8,FALSE))</f>
        <v>465750</v>
      </c>
      <c r="P20" s="46">
        <f t="shared" ca="1" si="1"/>
        <v>3.5526315789492641E-3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input_518010!A$2</f>
        <v>518010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IFERROR(VLOOKUP(B21,input_518010!L:R,7,FALSE),VLOOKUP(tables_518010!C21,input_518010!A:H,8,FALSE))</f>
        <v>569250</v>
      </c>
      <c r="P21" s="46">
        <f t="shared" ca="1" si="1"/>
        <v>4.3421052631602121E-3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input_518010!A$2</f>
        <v>518010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IFERROR(VLOOKUP(B22,input_518010!L:R,7,FALSE),VLOOKUP(tables_518010!C22,input_518010!A:H,8,FALSE))</f>
        <v>465750</v>
      </c>
      <c r="P22" s="46">
        <f t="shared" ca="1" si="1"/>
        <v>3.5526315789492641E-3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input_518010!A$2</f>
        <v>518010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IFERROR(VLOOKUP(B23,input_518010!L:R,7,FALSE),VLOOKUP(tables_518010!C23,input_518010!A:H,8,FALSE))</f>
        <v>569250</v>
      </c>
      <c r="P23" s="46">
        <f t="shared" ca="1" si="1"/>
        <v>4.3421052631602121E-3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input_518010!A$2</f>
        <v>518010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IFERROR(VLOOKUP(B24,input_518010!L:R,7,FALSE),VLOOKUP(tables_518010!C24,input_518010!A:H,8,FALSE))</f>
        <v>465750</v>
      </c>
      <c r="P24" s="46">
        <f t="shared" ca="1" si="1"/>
        <v>3.5526315789492641E-3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input_518010!A$2</f>
        <v>518010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IFERROR(VLOOKUP(B25,input_518010!L:R,7,FALSE),VLOOKUP(tables_518010!C25,input_518010!A:H,8,FALSE))</f>
        <v>569250</v>
      </c>
      <c r="P25" s="46">
        <f t="shared" ca="1" si="1"/>
        <v>4.3421052631602121E-3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input_518010!A$2</f>
        <v>518010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IFERROR(VLOOKUP(B26,input_518010!L:R,7,FALSE),VLOOKUP(tables_518010!C26,input_518010!A:H,8,FALSE))</f>
        <v>465750</v>
      </c>
      <c r="P26" s="46">
        <f t="shared" ca="1" si="1"/>
        <v>3.5526315789492641E-3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input_518010!A$2</f>
        <v>518010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IFERROR(VLOOKUP(B27,input_518010!L:R,7,FALSE),VLOOKUP(tables_518010!C27,input_518010!A:H,8,FALSE))</f>
        <v>569250</v>
      </c>
      <c r="P27" s="46">
        <f t="shared" ca="1" si="1"/>
        <v>4.3421052631602121E-3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input_518010!A$2</f>
        <v>518010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IFERROR(VLOOKUP(B28,input_518010!L:R,7,FALSE),VLOOKUP(tables_518010!C28,input_518010!A:H,8,FALSE))</f>
        <v>465750</v>
      </c>
      <c r="P28" s="46">
        <f t="shared" ca="1" si="1"/>
        <v>3.5526315789492641E-3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input_518010!A$2</f>
        <v>518010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IFERROR(VLOOKUP(B29,input_518010!L:R,7,FALSE),VLOOKUP(tables_518010!C29,input_518010!A:H,8,FALSE))</f>
        <v>569250</v>
      </c>
      <c r="P29" s="46">
        <f t="shared" ca="1" si="1"/>
        <v>4.3421052631602121E-3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input_518010!A$2</f>
        <v>518010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IFERROR(VLOOKUP(B30,input_518010!L:R,7,FALSE),VLOOKUP(tables_518010!C30,input_518010!A:H,8,FALSE))</f>
        <v>465750</v>
      </c>
      <c r="P30" s="46">
        <f t="shared" ca="1" si="1"/>
        <v>3.5526315789492641E-3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input_518010!A$2</f>
        <v>518010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IFERROR(VLOOKUP(B31,input_518010!L:R,7,FALSE),VLOOKUP(tables_518010!C31,input_518010!A:H,8,FALSE))</f>
        <v>569250</v>
      </c>
      <c r="P31" s="46">
        <f t="shared" ca="1" si="1"/>
        <v>4.3421052631602121E-3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input_518010!A$2</f>
        <v>518010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IFERROR(VLOOKUP(B32,input_518010!L:R,7,FALSE),VLOOKUP(tables_518010!C32,input_518010!A:H,8,FALSE))</f>
        <v>465750</v>
      </c>
      <c r="P32" s="46">
        <f t="shared" ca="1" si="1"/>
        <v>3.5526315789492641E-3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input_518010!A$2</f>
        <v>518010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IFERROR(VLOOKUP(B33,input_518010!L:R,7,FALSE),VLOOKUP(tables_518010!C33,input_518010!A:H,8,FALSE))</f>
        <v>569250</v>
      </c>
      <c r="P33" s="46">
        <f t="shared" ca="1" si="1"/>
        <v>4.3421052631602121E-3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input_518010!A$2</f>
        <v>518010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IFERROR(VLOOKUP(B34,input_518010!L:R,7,FALSE),VLOOKUP(tables_518010!C34,input_518010!A:H,8,FALSE))</f>
        <v>465750</v>
      </c>
      <c r="P34" s="46">
        <f t="shared" ca="1" si="1"/>
        <v>3.5526315789492641E-3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input_518010!A$2</f>
        <v>518010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IFERROR(VLOOKUP(B35,input_518010!L:R,7,FALSE),VLOOKUP(tables_518010!C35,input_518010!A:H,8,FALSE))</f>
        <v>569250</v>
      </c>
      <c r="P35" s="46">
        <f t="shared" ca="1" si="1"/>
        <v>4.3421052631602121E-3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input_518010!A$2</f>
        <v>518010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IFERROR(VLOOKUP(B36,input_518010!L:R,7,FALSE),VLOOKUP(tables_518010!C36,input_518010!A:H,8,FALSE))</f>
        <v>465750</v>
      </c>
      <c r="P36" s="46">
        <f t="shared" ca="1" si="1"/>
        <v>3.5526315789492641E-3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input_518010!A$2</f>
        <v>518010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IFERROR(VLOOKUP(B37,input_518010!L:R,7,FALSE),VLOOKUP(tables_518010!C37,input_518010!A:H,8,FALSE))</f>
        <v>569250</v>
      </c>
      <c r="P37" s="46">
        <f t="shared" ca="1" si="1"/>
        <v>4.3421052631602121E-3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input_518010!A$2</f>
        <v>518010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IFERROR(VLOOKUP(B38,input_518010!L:R,7,FALSE),VLOOKUP(tables_518010!C38,input_518010!A:H,8,FALSE))</f>
        <v>465750</v>
      </c>
      <c r="P38" s="46">
        <f t="shared" ca="1" si="1"/>
        <v>3.5526315789492641E-3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input_518010!A$2</f>
        <v>518010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IFERROR(VLOOKUP(B39,input_518010!L:R,7,FALSE),VLOOKUP(tables_518010!C39,input_518010!A:H,8,FALSE))</f>
        <v>569250</v>
      </c>
      <c r="P39" s="46">
        <f t="shared" ca="1" si="1"/>
        <v>4.3421052631602121E-3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input_518010!A$2</f>
        <v>518010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IFERROR(VLOOKUP(B40,input_518010!L:R,7,FALSE),VLOOKUP(tables_518010!C40,input_518010!A:H,8,FALSE))</f>
        <v>465750</v>
      </c>
      <c r="P40" s="46">
        <f t="shared" ca="1" si="1"/>
        <v>3.5526315789492641E-3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input_518010!A$2</f>
        <v>518010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IFERROR(VLOOKUP(B41,input_518010!L:R,7,FALSE),VLOOKUP(tables_518010!C41,input_518010!A:H,8,FALSE))</f>
        <v>569250</v>
      </c>
      <c r="P41" s="46">
        <f t="shared" ca="1" si="1"/>
        <v>4.3421052631602121E-3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input_518010!A$2</f>
        <v>518010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IFERROR(VLOOKUP(B42,input_518010!L:R,7,FALSE),VLOOKUP(tables_518010!C42,input_518010!A:H,8,FALSE))</f>
        <v>465750</v>
      </c>
      <c r="P42" s="46">
        <f t="shared" ca="1" si="1"/>
        <v>3.5526315789492641E-3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input_518010!A$2</f>
        <v>518010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IFERROR(VLOOKUP(B43,input_518010!L:R,7,FALSE),VLOOKUP(tables_518010!C43,input_518010!A:H,8,FALSE))</f>
        <v>465750</v>
      </c>
      <c r="P43" s="46">
        <f t="shared" ca="1" si="1"/>
        <v>3.5526315789492641E-3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input_518010!A$2</f>
        <v>518010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IFERROR(VLOOKUP(B44,input_518010!L:R,7,FALSE),VLOOKUP(tables_518010!C44,input_518010!A:H,8,FALSE))</f>
        <v>103500</v>
      </c>
      <c r="P44" s="46">
        <f t="shared" ca="1" si="1"/>
        <v>7.8947368421094762E-4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input_518010!A$2</f>
        <v>518010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IFERROR(VLOOKUP(B45,input_518010!L:R,7,FALSE),VLOOKUP(tables_518010!C45,input_518010!A:H,8,FALSE))</f>
        <v>465750</v>
      </c>
      <c r="P45" s="46">
        <f t="shared" ca="1" si="1"/>
        <v>3.5526315789492641E-3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input_518010!A$2</f>
        <v>518010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IFERROR(VLOOKUP(B46,input_518010!L:R,7,FALSE),VLOOKUP(tables_518010!C46,input_518010!A:H,8,FALSE))</f>
        <v>465750</v>
      </c>
      <c r="P46" s="46">
        <f t="shared" ca="1" si="1"/>
        <v>3.5526315789492641E-3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input_518010!A$2</f>
        <v>518010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IFERROR(VLOOKUP(B47,input_518010!L:R,7,FALSE),VLOOKUP(tables_518010!C47,input_518010!A:H,8,FALSE))</f>
        <v>103500</v>
      </c>
      <c r="P47" s="46">
        <f t="shared" ca="1" si="1"/>
        <v>7.8947368421094762E-4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input_518010!A$2</f>
        <v>518010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IFERROR(VLOOKUP(B48,input_518010!L:R,7,FALSE),VLOOKUP(tables_518010!C48,input_518010!A:H,8,FALSE))</f>
        <v>465750</v>
      </c>
      <c r="P48" s="46">
        <f t="shared" ca="1" si="1"/>
        <v>3.5526315789492641E-3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input_518010!A$2</f>
        <v>518010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IFERROR(VLOOKUP(B49,input_518010!L:R,7,FALSE),VLOOKUP(tables_518010!C49,input_518010!A:H,8,FALSE))</f>
        <v>465750</v>
      </c>
      <c r="P49" s="46">
        <f t="shared" ca="1" si="1"/>
        <v>3.5526315789492641E-3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input_518010!A$2</f>
        <v>518010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IFERROR(VLOOKUP(B50,input_518010!L:R,7,FALSE),VLOOKUP(tables_518010!C50,input_518010!A:H,8,FALSE))</f>
        <v>103500</v>
      </c>
      <c r="P50" s="46">
        <f t="shared" ca="1" si="1"/>
        <v>7.8947368421094762E-4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input_518010!A$2</f>
        <v>518010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IFERROR(VLOOKUP(B51,input_518010!L:R,7,FALSE),VLOOKUP(tables_518010!C51,input_518010!A:H,8,FALSE))</f>
        <v>465750</v>
      </c>
      <c r="P51" s="46">
        <f t="shared" ca="1" si="1"/>
        <v>3.5526315789492641E-3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input_518010!A$2</f>
        <v>518010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IFERROR(VLOOKUP(B52,input_518010!L:R,7,FALSE),VLOOKUP(tables_518010!C52,input_518010!A:H,8,FALSE))</f>
        <v>465750</v>
      </c>
      <c r="P52" s="46">
        <f t="shared" ca="1" si="1"/>
        <v>3.5526315789492641E-3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input_518010!A$2</f>
        <v>518010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IFERROR(VLOOKUP(B53,input_518010!L:R,7,FALSE),VLOOKUP(tables_518010!C53,input_518010!A:H,8,FALSE))</f>
        <v>103500</v>
      </c>
      <c r="P53" s="46">
        <f t="shared" ca="1" si="1"/>
        <v>7.8947368421094762E-4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input_518010!A$2</f>
        <v>518010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IFERROR(VLOOKUP(B54,input_518010!L:R,7,FALSE),VLOOKUP(tables_518010!C54,input_518010!A:H,8,FALSE))</f>
        <v>465750</v>
      </c>
      <c r="P54" s="46">
        <f t="shared" ca="1" si="1"/>
        <v>3.5526315789492641E-3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input_518010!A$2</f>
        <v>518010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IFERROR(VLOOKUP(B55,input_518010!L:R,7,FALSE),VLOOKUP(tables_518010!C55,input_518010!A:H,8,FALSE))</f>
        <v>465750</v>
      </c>
      <c r="P55" s="46">
        <f t="shared" ca="1" si="1"/>
        <v>3.5526315789492641E-3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input_518010!A$2</f>
        <v>518010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IFERROR(VLOOKUP(B56,input_518010!L:R,7,FALSE),VLOOKUP(tables_518010!C56,input_518010!A:H,8,FALSE))</f>
        <v>103500</v>
      </c>
      <c r="P56" s="46">
        <f t="shared" ca="1" si="1"/>
        <v>7.8947368421094762E-4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input_518010!A$2</f>
        <v>518010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IFERROR(VLOOKUP(B57,input_518010!L:R,7,FALSE),VLOOKUP(tables_518010!C57,input_518010!A:H,8,FALSE))</f>
        <v>465750</v>
      </c>
      <c r="P57" s="46">
        <f t="shared" ca="1" si="1"/>
        <v>3.5526315789492641E-3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input_518010!A$2</f>
        <v>518010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IFERROR(VLOOKUP(B58,input_518010!L:R,7,FALSE),VLOOKUP(tables_518010!C58,input_518010!A:H,8,FALSE))</f>
        <v>465750</v>
      </c>
      <c r="P58" s="46">
        <f t="shared" ca="1" si="1"/>
        <v>3.5526315789492641E-3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input_518010!A$2</f>
        <v>518010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IFERROR(VLOOKUP(B59,input_518010!L:R,7,FALSE),VLOOKUP(tables_518010!C59,input_518010!A:H,8,FALSE))</f>
        <v>103500</v>
      </c>
      <c r="P59" s="46">
        <f t="shared" ca="1" si="1"/>
        <v>7.8947368421094762E-4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input_518010!A$2</f>
        <v>518010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IFERROR(VLOOKUP(B60,input_518010!L:R,7,FALSE),VLOOKUP(tables_518010!C60,input_518010!A:H,8,FALSE))</f>
        <v>465750</v>
      </c>
      <c r="P60" s="46">
        <f t="shared" ca="1" si="1"/>
        <v>3.5526315789492641E-3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input_518010!A$2</f>
        <v>518010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IFERROR(VLOOKUP(B61,input_518010!L:R,7,FALSE),VLOOKUP(tables_518010!C61,input_518010!A:H,8,FALSE))</f>
        <v>465750</v>
      </c>
      <c r="P61" s="46">
        <f t="shared" ca="1" si="1"/>
        <v>3.5526315789492641E-3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input_518010!A$2</f>
        <v>518010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IFERROR(VLOOKUP(B62,input_518010!L:R,7,FALSE),VLOOKUP(tables_518010!C62,input_518010!A:H,8,FALSE))</f>
        <v>103500</v>
      </c>
      <c r="P62" s="46">
        <f t="shared" ca="1" si="1"/>
        <v>7.8947368421094762E-4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input_518010!A$2</f>
        <v>518010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IFERROR(VLOOKUP(B63,input_518010!L:R,7,FALSE),VLOOKUP(tables_518010!C63,input_518010!A:H,8,FALSE))</f>
        <v>465750</v>
      </c>
      <c r="P63" s="46">
        <f t="shared" ca="1" si="1"/>
        <v>3.5526315789492641E-3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input_518010!A$2</f>
        <v>518010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IFERROR(VLOOKUP(B64,input_518010!L:R,7,FALSE),VLOOKUP(tables_518010!C64,input_518010!A:H,8,FALSE))</f>
        <v>465750</v>
      </c>
      <c r="P64" s="46">
        <f t="shared" ca="1" si="1"/>
        <v>3.5526315789492641E-3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input_518010!A$2</f>
        <v>518010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IFERROR(VLOOKUP(B65,input_518010!L:R,7,FALSE),VLOOKUP(tables_518010!C65,input_518010!A:H,8,FALSE))</f>
        <v>103500</v>
      </c>
      <c r="P65" s="46">
        <f t="shared" ca="1" si="1"/>
        <v>7.8947368421094762E-4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input_518010!A$2</f>
        <v>518010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IFERROR(VLOOKUP(B66,input_518010!L:R,7,FALSE),VLOOKUP(tables_518010!C66,input_518010!A:H,8,FALSE))</f>
        <v>465750</v>
      </c>
      <c r="P66" s="46">
        <f t="shared" ref="P66:P129" ca="1" si="4">O66/SUM(O:O)</f>
        <v>3.5526315789492641E-3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input_518010!A$2</f>
        <v>518010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IFERROR(VLOOKUP(B67,input_518010!L:R,7,FALSE),VLOOKUP(tables_518010!C67,input_518010!A:H,8,FALSE))</f>
        <v>465750</v>
      </c>
      <c r="P67" s="46">
        <f t="shared" ca="1" si="4"/>
        <v>3.5526315789492641E-3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input_518010!A$2</f>
        <v>518010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IFERROR(VLOOKUP(B68,input_518010!L:R,7,FALSE),VLOOKUP(tables_518010!C68,input_518010!A:H,8,FALSE))</f>
        <v>103500</v>
      </c>
      <c r="P68" s="46">
        <f t="shared" ca="1" si="4"/>
        <v>7.8947368421094762E-4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input_518010!A$2</f>
        <v>518010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IFERROR(VLOOKUP(B69,input_518010!L:R,7,FALSE),VLOOKUP(tables_518010!C69,input_518010!A:H,8,FALSE))</f>
        <v>465750</v>
      </c>
      <c r="P69" s="46">
        <f t="shared" ca="1" si="4"/>
        <v>3.5526315789492641E-3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input_518010!A$2</f>
        <v>518010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IFERROR(VLOOKUP(B70,input_518010!L:R,7,FALSE),VLOOKUP(tables_518010!C70,input_518010!A:H,8,FALSE))</f>
        <v>465750</v>
      </c>
      <c r="P70" s="46">
        <f t="shared" ca="1" si="4"/>
        <v>3.5526315789492641E-3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input_518010!A$2</f>
        <v>518010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IFERROR(VLOOKUP(B71,input_518010!L:R,7,FALSE),VLOOKUP(tables_518010!C71,input_518010!A:H,8,FALSE))</f>
        <v>103500</v>
      </c>
      <c r="P71" s="46">
        <f t="shared" ca="1" si="4"/>
        <v>7.8947368421094762E-4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input_518010!A$2</f>
        <v>518010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IFERROR(VLOOKUP(B72,input_518010!L:R,7,FALSE),VLOOKUP(tables_518010!C72,input_518010!A:H,8,FALSE))</f>
        <v>465750</v>
      </c>
      <c r="P72" s="46">
        <f t="shared" ca="1" si="4"/>
        <v>3.5526315789492641E-3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input_518010!A$2</f>
        <v>518010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IFERROR(VLOOKUP(B73,input_518010!L:R,7,FALSE),VLOOKUP(tables_518010!C73,input_518010!A:H,8,FALSE))</f>
        <v>465750</v>
      </c>
      <c r="P73" s="46">
        <f t="shared" ca="1" si="4"/>
        <v>3.5526315789492641E-3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input_518010!A$2</f>
        <v>518010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IFERROR(VLOOKUP(B74,input_518010!L:R,7,FALSE),VLOOKUP(tables_518010!C74,input_518010!A:H,8,FALSE))</f>
        <v>103500</v>
      </c>
      <c r="P74" s="46">
        <f t="shared" ca="1" si="4"/>
        <v>7.8947368421094762E-4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input_518010!A$2</f>
        <v>518010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IFERROR(VLOOKUP(B75,input_518010!L:R,7,FALSE),VLOOKUP(tables_518010!C75,input_518010!A:H,8,FALSE))</f>
        <v>465750</v>
      </c>
      <c r="P75" s="46">
        <f t="shared" ca="1" si="4"/>
        <v>3.5526315789492641E-3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input_518010!A$2</f>
        <v>518010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IFERROR(VLOOKUP(B76,input_518010!L:R,7,FALSE),VLOOKUP(tables_518010!C76,input_518010!A:H,8,FALSE))</f>
        <v>465750</v>
      </c>
      <c r="P76" s="46">
        <f t="shared" ca="1" si="4"/>
        <v>3.5526315789492641E-3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input_518010!A$2</f>
        <v>518010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IFERROR(VLOOKUP(B77,input_518010!L:R,7,FALSE),VLOOKUP(tables_518010!C77,input_518010!A:H,8,FALSE))</f>
        <v>103500</v>
      </c>
      <c r="P77" s="46">
        <f t="shared" ca="1" si="4"/>
        <v>7.8947368421094762E-4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input_518010!A$2</f>
        <v>518010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IFERROR(VLOOKUP(B78,input_518010!L:R,7,FALSE),VLOOKUP(tables_518010!C78,input_518010!A:H,8,FALSE))</f>
        <v>465750</v>
      </c>
      <c r="P78" s="46">
        <f t="shared" ca="1" si="4"/>
        <v>3.5526315789492641E-3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input_518010!A$2</f>
        <v>518010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IFERROR(VLOOKUP(B79,input_518010!L:R,7,FALSE),VLOOKUP(tables_518010!C79,input_518010!A:H,8,FALSE))</f>
        <v>465750</v>
      </c>
      <c r="P79" s="46">
        <f t="shared" ca="1" si="4"/>
        <v>3.5526315789492641E-3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input_518010!A$2</f>
        <v>518010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IFERROR(VLOOKUP(B80,input_518010!L:R,7,FALSE),VLOOKUP(tables_518010!C80,input_518010!A:H,8,FALSE))</f>
        <v>103500</v>
      </c>
      <c r="P80" s="46">
        <f t="shared" ca="1" si="4"/>
        <v>7.8947368421094762E-4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input_518010!A$2</f>
        <v>518010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IFERROR(VLOOKUP(B81,input_518010!L:R,7,FALSE),VLOOKUP(tables_518010!C81,input_518010!A:H,8,FALSE))</f>
        <v>465750</v>
      </c>
      <c r="P81" s="46">
        <f t="shared" ca="1" si="4"/>
        <v>3.5526315789492641E-3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input_518010!A$2</f>
        <v>518010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IFERROR(VLOOKUP(B82,input_518010!L:R,7,FALSE),VLOOKUP(tables_518010!C82,input_518010!A:H,8,FALSE))</f>
        <v>465750</v>
      </c>
      <c r="P82" s="46">
        <f t="shared" ca="1" si="4"/>
        <v>3.5526315789492641E-3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input_518010!A$2</f>
        <v>518010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IFERROR(VLOOKUP(B83,input_518010!L:R,7,FALSE),VLOOKUP(tables_518010!C83,input_518010!A:H,8,FALSE))</f>
        <v>103500</v>
      </c>
      <c r="P83" s="46">
        <f t="shared" ca="1" si="4"/>
        <v>7.8947368421094762E-4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input_518010!A$2</f>
        <v>518010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IFERROR(VLOOKUP(B84,input_518010!L:R,7,FALSE),VLOOKUP(tables_518010!C84,input_518010!A:H,8,FALSE))</f>
        <v>465750</v>
      </c>
      <c r="P84" s="46">
        <f t="shared" ca="1" si="4"/>
        <v>3.5526315789492641E-3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input_518010!A$2</f>
        <v>518010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IFERROR(VLOOKUP(B85,input_518010!L:R,7,FALSE),VLOOKUP(tables_518010!C85,input_518010!A:H,8,FALSE))</f>
        <v>465750</v>
      </c>
      <c r="P85" s="46">
        <f t="shared" ca="1" si="4"/>
        <v>3.5526315789492641E-3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input_518010!A$2</f>
        <v>518010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IFERROR(VLOOKUP(B86,input_518010!L:R,7,FALSE),VLOOKUP(tables_518010!C86,input_518010!A:H,8,FALSE))</f>
        <v>103500</v>
      </c>
      <c r="P86" s="46">
        <f t="shared" ca="1" si="4"/>
        <v>7.8947368421094762E-4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input_518010!A$2</f>
        <v>518010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IFERROR(VLOOKUP(B87,input_518010!L:R,7,FALSE),VLOOKUP(tables_518010!C87,input_518010!A:H,8,FALSE))</f>
        <v>465750</v>
      </c>
      <c r="P87" s="46">
        <f t="shared" ca="1" si="4"/>
        <v>3.5526315789492641E-3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input_518010!A$2</f>
        <v>518010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IFERROR(VLOOKUP(B88,input_518010!L:R,7,FALSE),VLOOKUP(tables_518010!C88,input_518010!A:H,8,FALSE))</f>
        <v>465750</v>
      </c>
      <c r="P88" s="46">
        <f t="shared" ca="1" si="4"/>
        <v>3.5526315789492641E-3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input_518010!A$2</f>
        <v>518010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IFERROR(VLOOKUP(B89,input_518010!L:R,7,FALSE),VLOOKUP(tables_518010!C89,input_518010!A:H,8,FALSE))</f>
        <v>103500</v>
      </c>
      <c r="P89" s="46">
        <f t="shared" ca="1" si="4"/>
        <v>7.8947368421094762E-4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input_518010!A$2</f>
        <v>518010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IFERROR(VLOOKUP(B90,input_518010!L:R,7,FALSE),VLOOKUP(tables_518010!C90,input_518010!A:H,8,FALSE))</f>
        <v>465750</v>
      </c>
      <c r="P90" s="46">
        <f t="shared" ca="1" si="4"/>
        <v>3.5526315789492641E-3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input_518010!A$2</f>
        <v>518010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IFERROR(VLOOKUP(B91,input_518010!L:R,7,FALSE),VLOOKUP(tables_518010!C91,input_518010!A:H,8,FALSE))</f>
        <v>465750</v>
      </c>
      <c r="P91" s="46">
        <f t="shared" ca="1" si="4"/>
        <v>3.5526315789492641E-3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input_518010!A$2</f>
        <v>518010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IFERROR(VLOOKUP(B92,input_518010!L:R,7,FALSE),VLOOKUP(tables_518010!C92,input_518010!A:H,8,FALSE))</f>
        <v>103500</v>
      </c>
      <c r="P92" s="46">
        <f t="shared" ca="1" si="4"/>
        <v>7.8947368421094762E-4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input_518010!A$2</f>
        <v>518010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IFERROR(VLOOKUP(B93,input_518010!L:R,7,FALSE),VLOOKUP(tables_518010!C93,input_518010!A:H,8,FALSE))</f>
        <v>465750</v>
      </c>
      <c r="P93" s="46">
        <f t="shared" ca="1" si="4"/>
        <v>3.5526315789492641E-3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input_518010!A$2</f>
        <v>518010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IFERROR(VLOOKUP(B94,input_518010!L:R,7,FALSE),VLOOKUP(tables_518010!C94,input_518010!A:H,8,FALSE))</f>
        <v>465750</v>
      </c>
      <c r="P94" s="46">
        <f t="shared" ca="1" si="4"/>
        <v>3.5526315789492641E-3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input_518010!A$2</f>
        <v>518010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IFERROR(VLOOKUP(B95,input_518010!L:R,7,FALSE),VLOOKUP(tables_518010!C95,input_518010!A:H,8,FALSE))</f>
        <v>103500</v>
      </c>
      <c r="P95" s="46">
        <f t="shared" ca="1" si="4"/>
        <v>7.8947368421094762E-4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input_518010!A$2</f>
        <v>518010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IFERROR(VLOOKUP(B96,input_518010!L:R,7,FALSE),VLOOKUP(tables_518010!C96,input_518010!A:H,8,FALSE))</f>
        <v>465750</v>
      </c>
      <c r="P96" s="46">
        <f t="shared" ca="1" si="4"/>
        <v>3.5526315789492641E-3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input_518010!A$2</f>
        <v>518010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IFERROR(VLOOKUP(B97,input_518010!L:R,7,FALSE),VLOOKUP(tables_518010!C97,input_518010!A:H,8,FALSE))</f>
        <v>465750</v>
      </c>
      <c r="P97" s="46">
        <f t="shared" ca="1" si="4"/>
        <v>3.5526315789492641E-3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input_518010!A$2</f>
        <v>518010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IFERROR(VLOOKUP(B98,input_518010!L:R,7,FALSE),VLOOKUP(tables_518010!C98,input_518010!A:H,8,FALSE))</f>
        <v>103500</v>
      </c>
      <c r="P98" s="46">
        <f t="shared" ca="1" si="4"/>
        <v>7.8947368421094762E-4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input_518010!A$2</f>
        <v>518010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IFERROR(VLOOKUP(B99,input_518010!L:R,7,FALSE),VLOOKUP(tables_518010!C99,input_518010!A:H,8,FALSE))</f>
        <v>465750</v>
      </c>
      <c r="P99" s="46">
        <f t="shared" ca="1" si="4"/>
        <v>3.5526315789492641E-3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input_518010!A$2</f>
        <v>518010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IFERROR(VLOOKUP(B100,input_518010!L:R,7,FALSE),VLOOKUP(tables_518010!C100,input_518010!A:H,8,FALSE))</f>
        <v>465750</v>
      </c>
      <c r="P100" s="46">
        <f t="shared" ca="1" si="4"/>
        <v>3.5526315789492641E-3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input_518010!A$2</f>
        <v>518010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IFERROR(VLOOKUP(B101,input_518010!L:R,7,FALSE),VLOOKUP(tables_518010!C101,input_518010!A:H,8,FALSE))</f>
        <v>103500</v>
      </c>
      <c r="P101" s="46">
        <f t="shared" ca="1" si="4"/>
        <v>7.8947368421094762E-4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input_518010!A$2</f>
        <v>518010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IFERROR(VLOOKUP(B102,input_518010!L:R,7,FALSE),VLOOKUP(tables_518010!C102,input_518010!A:H,8,FALSE))</f>
        <v>465750</v>
      </c>
      <c r="P102" s="46">
        <f t="shared" ca="1" si="4"/>
        <v>3.5526315789492641E-3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input_518010!A$2</f>
        <v>518010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IFERROR(VLOOKUP(B103,input_518010!L:R,7,FALSE),VLOOKUP(tables_518010!C103,input_518010!A:H,8,FALSE))</f>
        <v>465750</v>
      </c>
      <c r="P103" s="46">
        <f t="shared" ca="1" si="4"/>
        <v>3.5526315789492641E-3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input_518010!A$2</f>
        <v>518010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IFERROR(VLOOKUP(B104,input_518010!L:R,7,FALSE),VLOOKUP(tables_518010!C104,input_518010!A:H,8,FALSE))</f>
        <v>103500</v>
      </c>
      <c r="P104" s="46">
        <f t="shared" ca="1" si="4"/>
        <v>7.8947368421094762E-4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input_518010!A$2</f>
        <v>518010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IFERROR(VLOOKUP(B105,input_518010!L:R,7,FALSE),VLOOKUP(tables_518010!C105,input_518010!A:H,8,FALSE))</f>
        <v>465750</v>
      </c>
      <c r="P105" s="46">
        <f t="shared" ca="1" si="4"/>
        <v>3.5526315789492641E-3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input_518010!A$2</f>
        <v>518010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IFERROR(VLOOKUP(B106,input_518010!L:R,7,FALSE),VLOOKUP(tables_518010!C106,input_518010!A:H,8,FALSE))</f>
        <v>465750</v>
      </c>
      <c r="P106" s="46">
        <f t="shared" ca="1" si="4"/>
        <v>3.5526315789492641E-3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input_518010!A$2</f>
        <v>518010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IFERROR(VLOOKUP(B107,input_518010!L:R,7,FALSE),VLOOKUP(tables_518010!C107,input_518010!A:H,8,FALSE))</f>
        <v>103500</v>
      </c>
      <c r="P107" s="46">
        <f t="shared" ca="1" si="4"/>
        <v>7.8947368421094762E-4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input_518010!A$2</f>
        <v>518010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IFERROR(VLOOKUP(B108,input_518010!L:R,7,FALSE),VLOOKUP(tables_518010!C108,input_518010!A:H,8,FALSE))</f>
        <v>465750</v>
      </c>
      <c r="P108" s="46">
        <f t="shared" ca="1" si="4"/>
        <v>3.5526315789492641E-3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input_518010!A$2</f>
        <v>518010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IFERROR(VLOOKUP(B109,input_518010!L:R,7,FALSE),VLOOKUP(tables_518010!C109,input_518010!A:H,8,FALSE))</f>
        <v>465750</v>
      </c>
      <c r="P109" s="46">
        <f t="shared" ca="1" si="4"/>
        <v>3.5526315789492641E-3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input_518010!A$2</f>
        <v>518010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IFERROR(VLOOKUP(B110,input_518010!L:R,7,FALSE),VLOOKUP(tables_518010!C110,input_518010!A:H,8,FALSE))</f>
        <v>103500</v>
      </c>
      <c r="P110" s="46">
        <f t="shared" ca="1" si="4"/>
        <v>7.8947368421094762E-4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input_518010!A$2</f>
        <v>518010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IFERROR(VLOOKUP(B111,input_518010!L:R,7,FALSE),VLOOKUP(tables_518010!C111,input_518010!A:H,8,FALSE))</f>
        <v>465750</v>
      </c>
      <c r="P111" s="46">
        <f t="shared" ca="1" si="4"/>
        <v>3.5526315789492641E-3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input_518010!A$2</f>
        <v>518010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IFERROR(VLOOKUP(B112,input_518010!L:R,7,FALSE),VLOOKUP(tables_518010!C112,input_518010!A:H,8,FALSE))</f>
        <v>465750</v>
      </c>
      <c r="P112" s="46">
        <f t="shared" ca="1" si="4"/>
        <v>3.5526315789492641E-3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input_518010!A$2</f>
        <v>518010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IFERROR(VLOOKUP(B113,input_518010!L:R,7,FALSE),VLOOKUP(tables_518010!C113,input_518010!A:H,8,FALSE))</f>
        <v>103500</v>
      </c>
      <c r="P113" s="46">
        <f t="shared" ca="1" si="4"/>
        <v>7.8947368421094762E-4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input_518010!A$2</f>
        <v>518010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IFERROR(VLOOKUP(B114,input_518010!L:R,7,FALSE),VLOOKUP(tables_518010!C114,input_518010!A:H,8,FALSE))</f>
        <v>465750</v>
      </c>
      <c r="P114" s="46">
        <f t="shared" ca="1" si="4"/>
        <v>3.5526315789492641E-3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input_518010!A$2</f>
        <v>518010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IFERROR(VLOOKUP(B115,input_518010!L:R,7,FALSE),VLOOKUP(tables_518010!C115,input_518010!A:H,8,FALSE))</f>
        <v>465750</v>
      </c>
      <c r="P115" s="46">
        <f t="shared" ca="1" si="4"/>
        <v>3.5526315789492641E-3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input_518010!A$2</f>
        <v>518010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IFERROR(VLOOKUP(B116,input_518010!L:R,7,FALSE),VLOOKUP(tables_518010!C116,input_518010!A:H,8,FALSE))</f>
        <v>103500</v>
      </c>
      <c r="P116" s="46">
        <f t="shared" ca="1" si="4"/>
        <v>7.8947368421094762E-4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input_518010!A$2</f>
        <v>518010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IFERROR(VLOOKUP(B117,input_518010!L:R,7,FALSE),VLOOKUP(tables_518010!C117,input_518010!A:H,8,FALSE))</f>
        <v>465750</v>
      </c>
      <c r="P117" s="46">
        <f t="shared" ca="1" si="4"/>
        <v>3.5526315789492641E-3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input_518010!A$2</f>
        <v>518010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IFERROR(VLOOKUP(B118,input_518010!L:R,7,FALSE),VLOOKUP(tables_518010!C118,input_518010!A:H,8,FALSE))</f>
        <v>465750</v>
      </c>
      <c r="P118" s="46">
        <f t="shared" ca="1" si="4"/>
        <v>3.5526315789492641E-3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input_518010!A$2</f>
        <v>518010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IFERROR(VLOOKUP(B119,input_518010!L:R,7,FALSE),VLOOKUP(tables_518010!C119,input_518010!A:H,8,FALSE))</f>
        <v>103500</v>
      </c>
      <c r="P119" s="46">
        <f t="shared" ca="1" si="4"/>
        <v>7.8947368421094762E-4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input_518010!A$2</f>
        <v>518010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IFERROR(VLOOKUP(B120,input_518010!L:R,7,FALSE),VLOOKUP(tables_518010!C120,input_518010!A:H,8,FALSE))</f>
        <v>465750</v>
      </c>
      <c r="P120" s="46">
        <f t="shared" ca="1" si="4"/>
        <v>3.5526315789492641E-3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input_518010!A$2</f>
        <v>518010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IFERROR(VLOOKUP(B121,input_518010!L:R,7,FALSE),VLOOKUP(tables_518010!C121,input_518010!A:H,8,FALSE))</f>
        <v>465750</v>
      </c>
      <c r="P121" s="46">
        <f t="shared" ca="1" si="4"/>
        <v>3.5526315789492641E-3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input_518010!A$2</f>
        <v>518010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IFERROR(VLOOKUP(B122,input_518010!L:R,7,FALSE),VLOOKUP(tables_518010!C122,input_518010!A:H,8,FALSE))</f>
        <v>103500</v>
      </c>
      <c r="P122" s="46">
        <f t="shared" ca="1" si="4"/>
        <v>7.8947368421094762E-4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input_518010!A$2</f>
        <v>518010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IFERROR(VLOOKUP(B123,input_518010!L:R,7,FALSE),VLOOKUP(tables_518010!C123,input_518010!A:H,8,FALSE))</f>
        <v>465750</v>
      </c>
      <c r="P123" s="46">
        <f t="shared" ca="1" si="4"/>
        <v>3.5526315789492641E-3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input_518010!A$2</f>
        <v>518010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IFERROR(VLOOKUP(B124,input_518010!L:R,7,FALSE),VLOOKUP(tables_518010!C124,input_518010!A:H,8,FALSE))</f>
        <v>465750</v>
      </c>
      <c r="P124" s="46">
        <f t="shared" ca="1" si="4"/>
        <v>3.5526315789492641E-3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input_518010!A$2</f>
        <v>518010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IFERROR(VLOOKUP(B125,input_518010!L:R,7,FALSE),VLOOKUP(tables_518010!C125,input_518010!A:H,8,FALSE))</f>
        <v>103500</v>
      </c>
      <c r="P125" s="46">
        <f t="shared" ca="1" si="4"/>
        <v>7.8947368421094762E-4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input_518010!A$2</f>
        <v>518010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IFERROR(VLOOKUP(B126,input_518010!L:R,7,FALSE),VLOOKUP(tables_518010!C126,input_518010!A:H,8,FALSE))</f>
        <v>465750</v>
      </c>
      <c r="P126" s="46">
        <f t="shared" ca="1" si="4"/>
        <v>3.5526315789492641E-3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input_518010!A$2</f>
        <v>518010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IFERROR(VLOOKUP(B127,input_518010!L:R,7,FALSE),VLOOKUP(tables_518010!C127,input_518010!A:H,8,FALSE))</f>
        <v>465750</v>
      </c>
      <c r="P127" s="46">
        <f t="shared" ca="1" si="4"/>
        <v>3.5526315789492641E-3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input_518010!A$2</f>
        <v>518010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IFERROR(VLOOKUP(B128,input_518010!L:R,7,FALSE),VLOOKUP(tables_518010!C128,input_518010!A:H,8,FALSE))</f>
        <v>103500</v>
      </c>
      <c r="P128" s="46">
        <f t="shared" ca="1" si="4"/>
        <v>7.8947368421094762E-4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input_518010!A$2</f>
        <v>518010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IFERROR(VLOOKUP(B129,input_518010!L:R,7,FALSE),VLOOKUP(tables_518010!C129,input_518010!A:H,8,FALSE))</f>
        <v>465750</v>
      </c>
      <c r="P129" s="46">
        <f t="shared" ca="1" si="4"/>
        <v>3.5526315789492641E-3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input_518010!A$2</f>
        <v>518010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IFERROR(VLOOKUP(B130,input_518010!L:R,7,FALSE),VLOOKUP(tables_518010!C130,input_518010!A:H,8,FALSE))</f>
        <v>465750</v>
      </c>
      <c r="P130" s="46">
        <f t="shared" ref="P130:P193" ca="1" si="7">O130/SUM(O:O)</f>
        <v>3.5526315789492641E-3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input_518010!A$2</f>
        <v>518010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IFERROR(VLOOKUP(B131,input_518010!L:R,7,FALSE),VLOOKUP(tables_518010!C131,input_518010!A:H,8,FALSE))</f>
        <v>103500</v>
      </c>
      <c r="P131" s="46">
        <f t="shared" ca="1" si="7"/>
        <v>7.8947368421094762E-4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input_518010!A$2</f>
        <v>518010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IFERROR(VLOOKUP(B132,input_518010!L:R,7,FALSE),VLOOKUP(tables_518010!C132,input_518010!A:H,8,FALSE))</f>
        <v>465750</v>
      </c>
      <c r="P132" s="46">
        <f t="shared" ca="1" si="7"/>
        <v>3.5526315789492641E-3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input_518010!A$2</f>
        <v>518010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IFERROR(VLOOKUP(B133,input_518010!L:R,7,FALSE),VLOOKUP(tables_518010!C133,input_518010!A:H,8,FALSE))</f>
        <v>465750</v>
      </c>
      <c r="P133" s="46">
        <f t="shared" ca="1" si="7"/>
        <v>3.5526315789492641E-3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input_518010!A$2</f>
        <v>518010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IFERROR(VLOOKUP(B134,input_518010!L:R,7,FALSE),VLOOKUP(tables_518010!C134,input_518010!A:H,8,FALSE))</f>
        <v>103500</v>
      </c>
      <c r="P134" s="46">
        <f t="shared" ca="1" si="7"/>
        <v>7.8947368421094762E-4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input_518010!A$2</f>
        <v>518010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IFERROR(VLOOKUP(B135,input_518010!L:R,7,FALSE),VLOOKUP(tables_518010!C135,input_518010!A:H,8,FALSE))</f>
        <v>465750</v>
      </c>
      <c r="P135" s="46">
        <f t="shared" ca="1" si="7"/>
        <v>3.5526315789492641E-3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input_518010!A$2</f>
        <v>518010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IFERROR(VLOOKUP(B136,input_518010!L:R,7,FALSE),VLOOKUP(tables_518010!C136,input_518010!A:H,8,FALSE))</f>
        <v>465750</v>
      </c>
      <c r="P136" s="46">
        <f t="shared" ca="1" si="7"/>
        <v>3.5526315789492641E-3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input_518010!A$2</f>
        <v>518010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IFERROR(VLOOKUP(B137,input_518010!L:R,7,FALSE),VLOOKUP(tables_518010!C137,input_518010!A:H,8,FALSE))</f>
        <v>103500</v>
      </c>
      <c r="P137" s="46">
        <f t="shared" ca="1" si="7"/>
        <v>7.8947368421094762E-4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input_518010!A$2</f>
        <v>518010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IFERROR(VLOOKUP(B138,input_518010!L:R,7,FALSE),VLOOKUP(tables_518010!C138,input_518010!A:H,8,FALSE))</f>
        <v>85500</v>
      </c>
      <c r="P138" s="46">
        <f t="shared" ca="1" si="7"/>
        <v>6.5217391304382634E-4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input_518010!A$2</f>
        <v>518010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IFERROR(VLOOKUP(B139,input_518010!L:R,7,FALSE),VLOOKUP(tables_518010!C139,input_518010!A:H,8,FALSE))</f>
        <v>9500</v>
      </c>
      <c r="P139" s="46">
        <f t="shared" ca="1" si="7"/>
        <v>7.2463768115980693E-5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input_518010!A$2</f>
        <v>518010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IFERROR(VLOOKUP(B140,input_518010!L:R,7,FALSE),VLOOKUP(tables_518010!C140,input_518010!A:H,8,FALSE))</f>
        <v>85500</v>
      </c>
      <c r="P140" s="46">
        <f t="shared" ca="1" si="7"/>
        <v>6.5217391304382634E-4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input_518010!A$2</f>
        <v>518010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IFERROR(VLOOKUP(B141,input_518010!L:R,7,FALSE),VLOOKUP(tables_518010!C141,input_518010!A:H,8,FALSE))</f>
        <v>9500</v>
      </c>
      <c r="P141" s="46">
        <f t="shared" ca="1" si="7"/>
        <v>7.2463768115980693E-5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input_518010!A$2</f>
        <v>518010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IFERROR(VLOOKUP(B142,input_518010!L:R,7,FALSE),VLOOKUP(tables_518010!C142,input_518010!A:H,8,FALSE))</f>
        <v>85500</v>
      </c>
      <c r="P142" s="46">
        <f t="shared" ca="1" si="7"/>
        <v>6.5217391304382634E-4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input_518010!A$2</f>
        <v>518010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IFERROR(VLOOKUP(B143,input_518010!L:R,7,FALSE),VLOOKUP(tables_518010!C143,input_518010!A:H,8,FALSE))</f>
        <v>9500</v>
      </c>
      <c r="P143" s="46">
        <f t="shared" ca="1" si="7"/>
        <v>7.2463768115980693E-5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input_518010!A$2</f>
        <v>518010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IFERROR(VLOOKUP(B144,input_518010!L:R,7,FALSE),VLOOKUP(tables_518010!C144,input_518010!A:H,8,FALSE))</f>
        <v>85500</v>
      </c>
      <c r="P144" s="46">
        <f t="shared" ca="1" si="7"/>
        <v>6.5217391304382634E-4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input_518010!A$2</f>
        <v>518010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IFERROR(VLOOKUP(B145,input_518010!L:R,7,FALSE),VLOOKUP(tables_518010!C145,input_518010!A:H,8,FALSE))</f>
        <v>9500</v>
      </c>
      <c r="P145" s="46">
        <f t="shared" ca="1" si="7"/>
        <v>7.2463768115980693E-5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input_518010!A$2</f>
        <v>518010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IFERROR(VLOOKUP(B146,input_518010!L:R,7,FALSE),VLOOKUP(tables_518010!C146,input_518010!A:H,8,FALSE))</f>
        <v>465750</v>
      </c>
      <c r="P146" s="46">
        <f t="shared" ca="1" si="7"/>
        <v>3.5526315789492641E-3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input_518010!A$2</f>
        <v>518010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IFERROR(VLOOKUP(B147,input_518010!L:R,7,FALSE),VLOOKUP(tables_518010!C147,input_518010!A:H,8,FALSE))</f>
        <v>465750</v>
      </c>
      <c r="P147" s="46">
        <f t="shared" ca="1" si="7"/>
        <v>3.5526315789492641E-3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input_518010!A$2</f>
        <v>518010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IFERROR(VLOOKUP(B148,input_518010!L:R,7,FALSE),VLOOKUP(tables_518010!C148,input_518010!A:H,8,FALSE))</f>
        <v>103500</v>
      </c>
      <c r="P148" s="46">
        <f t="shared" ca="1" si="7"/>
        <v>7.8947368421094762E-4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input_518010!A$2</f>
        <v>518010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IFERROR(VLOOKUP(B149,input_518010!L:R,7,FALSE),VLOOKUP(tables_518010!C149,input_518010!A:H,8,FALSE))</f>
        <v>85500</v>
      </c>
      <c r="P149" s="46">
        <f t="shared" ca="1" si="7"/>
        <v>6.5217391304382634E-4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input_518010!A$2</f>
        <v>518010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IFERROR(VLOOKUP(B150,input_518010!L:R,7,FALSE),VLOOKUP(tables_518010!C150,input_518010!A:H,8,FALSE))</f>
        <v>9500</v>
      </c>
      <c r="P150" s="46">
        <f t="shared" ca="1" si="7"/>
        <v>7.2463768115980693E-5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input_518010!A$2</f>
        <v>518010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IFERROR(VLOOKUP(B151,input_518010!L:R,7,FALSE),VLOOKUP(tables_518010!C151,input_518010!A:H,8,FALSE))</f>
        <v>85500</v>
      </c>
      <c r="P151" s="46">
        <f t="shared" ca="1" si="7"/>
        <v>6.5217391304382634E-4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input_518010!A$2</f>
        <v>518010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IFERROR(VLOOKUP(B152,input_518010!L:R,7,FALSE),VLOOKUP(tables_518010!C152,input_518010!A:H,8,FALSE))</f>
        <v>9500</v>
      </c>
      <c r="P152" s="46">
        <f t="shared" ca="1" si="7"/>
        <v>7.2463768115980693E-5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input_518010!A$2</f>
        <v>518010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IFERROR(VLOOKUP(B153,input_518010!L:R,7,FALSE),VLOOKUP(tables_518010!C153,input_518010!A:H,8,FALSE))</f>
        <v>465750</v>
      </c>
      <c r="P153" s="46">
        <f t="shared" ca="1" si="7"/>
        <v>3.5526315789492641E-3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input_518010!A$2</f>
        <v>518010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IFERROR(VLOOKUP(B154,input_518010!L:R,7,FALSE),VLOOKUP(tables_518010!C154,input_518010!A:H,8,FALSE))</f>
        <v>465750</v>
      </c>
      <c r="P154" s="46">
        <f t="shared" ca="1" si="7"/>
        <v>3.5526315789492641E-3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input_518010!A$2</f>
        <v>518010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IFERROR(VLOOKUP(B155,input_518010!L:R,7,FALSE),VLOOKUP(tables_518010!C155,input_518010!A:H,8,FALSE))</f>
        <v>103500</v>
      </c>
      <c r="P155" s="46">
        <f t="shared" ca="1" si="7"/>
        <v>7.8947368421094762E-4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input_518010!A$2</f>
        <v>518010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IFERROR(VLOOKUP(B156,input_518010!L:R,7,FALSE),VLOOKUP(tables_518010!C156,input_518010!A:H,8,FALSE))</f>
        <v>85500</v>
      </c>
      <c r="P156" s="46">
        <f t="shared" ca="1" si="7"/>
        <v>6.5217391304382634E-4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input_518010!A$2</f>
        <v>518010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IFERROR(VLOOKUP(B157,input_518010!L:R,7,FALSE),VLOOKUP(tables_518010!C157,input_518010!A:H,8,FALSE))</f>
        <v>9500</v>
      </c>
      <c r="P157" s="46">
        <f t="shared" ca="1" si="7"/>
        <v>7.2463768115980693E-5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input_518010!A$2</f>
        <v>518010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IFERROR(VLOOKUP(B158,input_518010!L:R,7,FALSE),VLOOKUP(tables_518010!C158,input_518010!A:H,8,FALSE))</f>
        <v>465750</v>
      </c>
      <c r="P158" s="46">
        <f t="shared" ca="1" si="7"/>
        <v>3.5526315789492641E-3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input_518010!A$2</f>
        <v>518010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IFERROR(VLOOKUP(B159,input_518010!L:R,7,FALSE),VLOOKUP(tables_518010!C159,input_518010!A:H,8,FALSE))</f>
        <v>465750</v>
      </c>
      <c r="P159" s="46">
        <f t="shared" ca="1" si="7"/>
        <v>3.5526315789492641E-3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input_518010!A$2</f>
        <v>518010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IFERROR(VLOOKUP(B160,input_518010!L:R,7,FALSE),VLOOKUP(tables_518010!C160,input_518010!A:H,8,FALSE))</f>
        <v>103500</v>
      </c>
      <c r="P160" s="46">
        <f t="shared" ca="1" si="7"/>
        <v>7.8947368421094762E-4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input_518010!A$2</f>
        <v>518010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IFERROR(VLOOKUP(B161,input_518010!L:R,7,FALSE),VLOOKUP(tables_518010!C161,input_518010!A:H,8,FALSE))</f>
        <v>465750</v>
      </c>
      <c r="P161" s="46">
        <f t="shared" ca="1" si="7"/>
        <v>3.5526315789492641E-3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input_518010!A$2</f>
        <v>518010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IFERROR(VLOOKUP(B162,input_518010!L:R,7,FALSE),VLOOKUP(tables_518010!C162,input_518010!A:H,8,FALSE))</f>
        <v>465750</v>
      </c>
      <c r="P162" s="46">
        <f t="shared" ca="1" si="7"/>
        <v>3.5526315789492641E-3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input_518010!A$2</f>
        <v>518010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IFERROR(VLOOKUP(B163,input_518010!L:R,7,FALSE),VLOOKUP(tables_518010!C163,input_518010!A:H,8,FALSE))</f>
        <v>103500</v>
      </c>
      <c r="P163" s="46">
        <f t="shared" ca="1" si="7"/>
        <v>7.8947368421094762E-4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input_518010!A$2</f>
        <v>518010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IFERROR(VLOOKUP(B164,input_518010!L:R,7,FALSE),VLOOKUP(tables_518010!C164,input_518010!A:H,8,FALSE))</f>
        <v>85500</v>
      </c>
      <c r="P164" s="46">
        <f t="shared" ca="1" si="7"/>
        <v>6.5217391304382634E-4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input_518010!A$2</f>
        <v>518010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IFERROR(VLOOKUP(B165,input_518010!L:R,7,FALSE),VLOOKUP(tables_518010!C165,input_518010!A:H,8,FALSE))</f>
        <v>9500</v>
      </c>
      <c r="P165" s="46">
        <f t="shared" ca="1" si="7"/>
        <v>7.2463768115980693E-5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input_518010!A$2</f>
        <v>518010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IFERROR(VLOOKUP(B166,input_518010!L:R,7,FALSE),VLOOKUP(tables_518010!C166,input_518010!A:H,8,FALSE))</f>
        <v>465750</v>
      </c>
      <c r="P166" s="46">
        <f t="shared" ca="1" si="7"/>
        <v>3.5526315789492641E-3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input_518010!A$2</f>
        <v>518010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IFERROR(VLOOKUP(B167,input_518010!L:R,7,FALSE),VLOOKUP(tables_518010!C167,input_518010!A:H,8,FALSE))</f>
        <v>465750</v>
      </c>
      <c r="P167" s="46">
        <f t="shared" ca="1" si="7"/>
        <v>3.5526315789492641E-3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input_518010!A$2</f>
        <v>518010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IFERROR(VLOOKUP(B168,input_518010!L:R,7,FALSE),VLOOKUP(tables_518010!C168,input_518010!A:H,8,FALSE))</f>
        <v>103500</v>
      </c>
      <c r="P168" s="46">
        <f t="shared" ca="1" si="7"/>
        <v>7.8947368421094762E-4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input_518010!A$2</f>
        <v>518010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IFERROR(VLOOKUP(B169,input_518010!L:R,7,FALSE),VLOOKUP(tables_518010!C169,input_518010!A:H,8,FALSE))</f>
        <v>85500</v>
      </c>
      <c r="P169" s="46">
        <f t="shared" ca="1" si="7"/>
        <v>6.5217391304382634E-4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input_518010!A$2</f>
        <v>518010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IFERROR(VLOOKUP(B170,input_518010!L:R,7,FALSE),VLOOKUP(tables_518010!C170,input_518010!A:H,8,FALSE))</f>
        <v>9500</v>
      </c>
      <c r="P170" s="46">
        <f t="shared" ca="1" si="7"/>
        <v>7.2463768115980693E-5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input_518010!A$2</f>
        <v>518010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IFERROR(VLOOKUP(B171,input_518010!L:R,7,FALSE),VLOOKUP(tables_518010!C171,input_518010!A:H,8,FALSE))</f>
        <v>465750</v>
      </c>
      <c r="P171" s="46">
        <f t="shared" ca="1" si="7"/>
        <v>3.5526315789492641E-3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input_518010!A$2</f>
        <v>518010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IFERROR(VLOOKUP(B172,input_518010!L:R,7,FALSE),VLOOKUP(tables_518010!C172,input_518010!A:H,8,FALSE))</f>
        <v>465750</v>
      </c>
      <c r="P172" s="46">
        <f t="shared" ca="1" si="7"/>
        <v>3.5526315789492641E-3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input_518010!A$2</f>
        <v>518010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IFERROR(VLOOKUP(B173,input_518010!L:R,7,FALSE),VLOOKUP(tables_518010!C173,input_518010!A:H,8,FALSE))</f>
        <v>103500</v>
      </c>
      <c r="P173" s="46">
        <f t="shared" ca="1" si="7"/>
        <v>7.8947368421094762E-4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input_518010!A$2</f>
        <v>518010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IFERROR(VLOOKUP(B174,input_518010!L:R,7,FALSE),VLOOKUP(tables_518010!C174,input_518010!A:H,8,FALSE))</f>
        <v>85500</v>
      </c>
      <c r="P174" s="46">
        <f t="shared" ca="1" si="7"/>
        <v>6.5217391304382634E-4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input_518010!A$2</f>
        <v>518010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IFERROR(VLOOKUP(B175,input_518010!L:R,7,FALSE),VLOOKUP(tables_518010!C175,input_518010!A:H,8,FALSE))</f>
        <v>9500</v>
      </c>
      <c r="P175" s="46">
        <f t="shared" ca="1" si="7"/>
        <v>7.2463768115980693E-5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input_518010!A$2</f>
        <v>518010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IFERROR(VLOOKUP(B176,input_518010!L:R,7,FALSE),VLOOKUP(tables_518010!C176,input_518010!A:H,8,FALSE))</f>
        <v>85500</v>
      </c>
      <c r="P176" s="46">
        <f t="shared" ca="1" si="7"/>
        <v>6.5217391304382634E-4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input_518010!A$2</f>
        <v>518010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IFERROR(VLOOKUP(B177,input_518010!L:R,7,FALSE),VLOOKUP(tables_518010!C177,input_518010!A:H,8,FALSE))</f>
        <v>9500</v>
      </c>
      <c r="P177" s="46">
        <f t="shared" ca="1" si="7"/>
        <v>7.2463768115980693E-5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input_518010!A$2</f>
        <v>518010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IFERROR(VLOOKUP(B178,input_518010!L:R,7,FALSE),VLOOKUP(tables_518010!C178,input_518010!A:H,8,FALSE))</f>
        <v>465750</v>
      </c>
      <c r="P178" s="46">
        <f t="shared" ca="1" si="7"/>
        <v>3.5526315789492641E-3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input_518010!A$2</f>
        <v>518010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IFERROR(VLOOKUP(B179,input_518010!L:R,7,FALSE),VLOOKUP(tables_518010!C179,input_518010!A:H,8,FALSE))</f>
        <v>465750</v>
      </c>
      <c r="P179" s="46">
        <f t="shared" ca="1" si="7"/>
        <v>3.5526315789492641E-3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input_518010!A$2</f>
        <v>518010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IFERROR(VLOOKUP(B180,input_518010!L:R,7,FALSE),VLOOKUP(tables_518010!C180,input_518010!A:H,8,FALSE))</f>
        <v>103500</v>
      </c>
      <c r="P180" s="46">
        <f t="shared" ca="1" si="7"/>
        <v>7.8947368421094762E-4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input_518010!A$2</f>
        <v>518010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IFERROR(VLOOKUP(B181,input_518010!L:R,7,FALSE),VLOOKUP(tables_518010!C181,input_518010!A:H,8,FALSE))</f>
        <v>465750</v>
      </c>
      <c r="P181" s="46">
        <f t="shared" ca="1" si="7"/>
        <v>3.5526315789492641E-3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input_518010!A$2</f>
        <v>518010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IFERROR(VLOOKUP(B182,input_518010!L:R,7,FALSE),VLOOKUP(tables_518010!C182,input_518010!A:H,8,FALSE))</f>
        <v>465750</v>
      </c>
      <c r="P182" s="46">
        <f t="shared" ca="1" si="7"/>
        <v>3.5526315789492641E-3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input_518010!A$2</f>
        <v>518010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IFERROR(VLOOKUP(B183,input_518010!L:R,7,FALSE),VLOOKUP(tables_518010!C183,input_518010!A:H,8,FALSE))</f>
        <v>103500</v>
      </c>
      <c r="P183" s="46">
        <f t="shared" ca="1" si="7"/>
        <v>7.8947368421094762E-4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input_518010!A$2</f>
        <v>518010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IFERROR(VLOOKUP(B184,input_518010!L:R,7,FALSE),VLOOKUP(tables_518010!C184,input_518010!A:H,8,FALSE))</f>
        <v>85500</v>
      </c>
      <c r="P184" s="46">
        <f t="shared" ca="1" si="7"/>
        <v>6.5217391304382634E-4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input_518010!A$2</f>
        <v>518010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IFERROR(VLOOKUP(B185,input_518010!L:R,7,FALSE),VLOOKUP(tables_518010!C185,input_518010!A:H,8,FALSE))</f>
        <v>9500</v>
      </c>
      <c r="P185" s="46">
        <f t="shared" ca="1" si="7"/>
        <v>7.2463768115980693E-5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input_518010!A$2</f>
        <v>518010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IFERROR(VLOOKUP(B186,input_518010!L:R,7,FALSE),VLOOKUP(tables_518010!C186,input_518010!A:H,8,FALSE))</f>
        <v>465750</v>
      </c>
      <c r="P186" s="46">
        <f t="shared" ca="1" si="7"/>
        <v>3.5526315789492641E-3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input_518010!A$2</f>
        <v>518010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IFERROR(VLOOKUP(B187,input_518010!L:R,7,FALSE),VLOOKUP(tables_518010!C187,input_518010!A:H,8,FALSE))</f>
        <v>465750</v>
      </c>
      <c r="P187" s="46">
        <f t="shared" ca="1" si="7"/>
        <v>3.5526315789492641E-3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input_518010!A$2</f>
        <v>518010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IFERROR(VLOOKUP(B188,input_518010!L:R,7,FALSE),VLOOKUP(tables_518010!C188,input_518010!A:H,8,FALSE))</f>
        <v>103500</v>
      </c>
      <c r="P188" s="46">
        <f t="shared" ca="1" si="7"/>
        <v>7.8947368421094762E-4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input_518010!A$2</f>
        <v>518010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IFERROR(VLOOKUP(B189,input_518010!L:R,7,FALSE),VLOOKUP(tables_518010!C189,input_518010!A:H,8,FALSE))</f>
        <v>85500</v>
      </c>
      <c r="P189" s="46">
        <f t="shared" ca="1" si="7"/>
        <v>6.5217391304382634E-4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input_518010!A$2</f>
        <v>518010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IFERROR(VLOOKUP(B190,input_518010!L:R,7,FALSE),VLOOKUP(tables_518010!C190,input_518010!A:H,8,FALSE))</f>
        <v>9500</v>
      </c>
      <c r="P190" s="46">
        <f t="shared" ca="1" si="7"/>
        <v>7.2463768115980693E-5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input_518010!A$2</f>
        <v>518010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IFERROR(VLOOKUP(B191,input_518010!L:R,7,FALSE),VLOOKUP(tables_518010!C191,input_518010!A:H,8,FALSE))</f>
        <v>85500</v>
      </c>
      <c r="P191" s="46">
        <f t="shared" ca="1" si="7"/>
        <v>6.5217391304382634E-4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input_518010!A$2</f>
        <v>518010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IFERROR(VLOOKUP(B192,input_518010!L:R,7,FALSE),VLOOKUP(tables_518010!C192,input_518010!A:H,8,FALSE))</f>
        <v>9500</v>
      </c>
      <c r="P192" s="46">
        <f t="shared" ca="1" si="7"/>
        <v>7.2463768115980693E-5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input_518010!A$2</f>
        <v>518010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IFERROR(VLOOKUP(B193,input_518010!L:R,7,FALSE),VLOOKUP(tables_518010!C193,input_518010!A:H,8,FALSE))</f>
        <v>465750</v>
      </c>
      <c r="P193" s="46">
        <f t="shared" ca="1" si="7"/>
        <v>3.5526315789492641E-3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input_518010!A$2</f>
        <v>518010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IFERROR(VLOOKUP(B194,input_518010!L:R,7,FALSE),VLOOKUP(tables_518010!C194,input_518010!A:H,8,FALSE))</f>
        <v>465750</v>
      </c>
      <c r="P194" s="46">
        <f t="shared" ref="P194:P257" ca="1" si="10">O194/SUM(O:O)</f>
        <v>3.5526315789492641E-3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input_518010!A$2</f>
        <v>518010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IFERROR(VLOOKUP(B195,input_518010!L:R,7,FALSE),VLOOKUP(tables_518010!C195,input_518010!A:H,8,FALSE))</f>
        <v>103500</v>
      </c>
      <c r="P195" s="46">
        <f t="shared" ca="1" si="10"/>
        <v>7.8947368421094762E-4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input_518010!A$2</f>
        <v>518010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IFERROR(VLOOKUP(B196,input_518010!L:R,7,FALSE),VLOOKUP(tables_518010!C196,input_518010!A:H,8,FALSE))</f>
        <v>85500</v>
      </c>
      <c r="P196" s="46">
        <f t="shared" ca="1" si="10"/>
        <v>6.5217391304382634E-4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input_518010!A$2</f>
        <v>518010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IFERROR(VLOOKUP(B197,input_518010!L:R,7,FALSE),VLOOKUP(tables_518010!C197,input_518010!A:H,8,FALSE))</f>
        <v>9500</v>
      </c>
      <c r="P197" s="46">
        <f t="shared" ca="1" si="10"/>
        <v>7.2463768115980693E-5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input_518010!A$2</f>
        <v>518010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IFERROR(VLOOKUP(B198,input_518010!L:R,7,FALSE),VLOOKUP(tables_518010!C198,input_518010!A:H,8,FALSE))</f>
        <v>465750</v>
      </c>
      <c r="P198" s="46">
        <f t="shared" ca="1" si="10"/>
        <v>3.5526315789492641E-3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input_518010!A$2</f>
        <v>518010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IFERROR(VLOOKUP(B199,input_518010!L:R,7,FALSE),VLOOKUP(tables_518010!C199,input_518010!A:H,8,FALSE))</f>
        <v>465750</v>
      </c>
      <c r="P199" s="46">
        <f t="shared" ca="1" si="10"/>
        <v>3.5526315789492641E-3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input_518010!A$2</f>
        <v>518010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IFERROR(VLOOKUP(B200,input_518010!L:R,7,FALSE),VLOOKUP(tables_518010!C200,input_518010!A:H,8,FALSE))</f>
        <v>103500</v>
      </c>
      <c r="P200" s="46">
        <f t="shared" ca="1" si="10"/>
        <v>7.8947368421094762E-4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input_518010!A$2</f>
        <v>518010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IFERROR(VLOOKUP(B201,input_518010!L:R,7,FALSE),VLOOKUP(tables_518010!C201,input_518010!A:H,8,FALSE))</f>
        <v>85500</v>
      </c>
      <c r="P201" s="46">
        <f t="shared" ca="1" si="10"/>
        <v>6.5217391304382634E-4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input_518010!A$2</f>
        <v>518010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IFERROR(VLOOKUP(B202,input_518010!L:R,7,FALSE),VLOOKUP(tables_518010!C202,input_518010!A:H,8,FALSE))</f>
        <v>9500</v>
      </c>
      <c r="P202" s="46">
        <f t="shared" ca="1" si="10"/>
        <v>7.2463768115980693E-5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input_518010!A$2</f>
        <v>518010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IFERROR(VLOOKUP(B203,input_518010!L:R,7,FALSE),VLOOKUP(tables_518010!C203,input_518010!A:H,8,FALSE))</f>
        <v>465750</v>
      </c>
      <c r="P203" s="46">
        <f t="shared" ca="1" si="10"/>
        <v>3.5526315789492641E-3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input_518010!A$2</f>
        <v>518010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IFERROR(VLOOKUP(B204,input_518010!L:R,7,FALSE),VLOOKUP(tables_518010!C204,input_518010!A:H,8,FALSE))</f>
        <v>465750</v>
      </c>
      <c r="P204" s="46">
        <f t="shared" ca="1" si="10"/>
        <v>3.5526315789492641E-3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input_518010!A$2</f>
        <v>518010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IFERROR(VLOOKUP(B205,input_518010!L:R,7,FALSE),VLOOKUP(tables_518010!C205,input_518010!A:H,8,FALSE))</f>
        <v>103500</v>
      </c>
      <c r="P205" s="46">
        <f t="shared" ca="1" si="10"/>
        <v>7.8947368421094762E-4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input_518010!A$2</f>
        <v>518010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IFERROR(VLOOKUP(B206,input_518010!L:R,7,FALSE),VLOOKUP(tables_518010!C206,input_518010!A:H,8,FALSE))</f>
        <v>85500</v>
      </c>
      <c r="P206" s="46">
        <f t="shared" ca="1" si="10"/>
        <v>6.5217391304382634E-4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input_518010!A$2</f>
        <v>518010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IFERROR(VLOOKUP(B207,input_518010!L:R,7,FALSE),VLOOKUP(tables_518010!C207,input_518010!A:H,8,FALSE))</f>
        <v>9500</v>
      </c>
      <c r="P207" s="46">
        <f t="shared" ca="1" si="10"/>
        <v>7.2463768115980693E-5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input_518010!A$2</f>
        <v>518010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IFERROR(VLOOKUP(B208,input_518010!L:R,7,FALSE),VLOOKUP(tables_518010!C208,input_518010!A:H,8,FALSE))</f>
        <v>85500</v>
      </c>
      <c r="P208" s="46">
        <f t="shared" ca="1" si="10"/>
        <v>6.5217391304382634E-4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input_518010!A$2</f>
        <v>518010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IFERROR(VLOOKUP(B209,input_518010!L:R,7,FALSE),VLOOKUP(tables_518010!C209,input_518010!A:H,8,FALSE))</f>
        <v>9500</v>
      </c>
      <c r="P209" s="46">
        <f t="shared" ca="1" si="10"/>
        <v>7.2463768115980693E-5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input_518010!A$2</f>
        <v>518010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IFERROR(VLOOKUP(B210,input_518010!L:R,7,FALSE),VLOOKUP(tables_518010!C210,input_518010!A:H,8,FALSE))</f>
        <v>465750</v>
      </c>
      <c r="P210" s="46">
        <f t="shared" ca="1" si="10"/>
        <v>3.5526315789492641E-3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input_518010!A$2</f>
        <v>518010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IFERROR(VLOOKUP(B211,input_518010!L:R,7,FALSE),VLOOKUP(tables_518010!C211,input_518010!A:H,8,FALSE))</f>
        <v>465750</v>
      </c>
      <c r="P211" s="46">
        <f t="shared" ca="1" si="10"/>
        <v>3.5526315789492641E-3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input_518010!A$2</f>
        <v>518010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IFERROR(VLOOKUP(B212,input_518010!L:R,7,FALSE),VLOOKUP(tables_518010!C212,input_518010!A:H,8,FALSE))</f>
        <v>103500</v>
      </c>
      <c r="P212" s="46">
        <f t="shared" ca="1" si="10"/>
        <v>7.8947368421094762E-4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input_518010!A$2</f>
        <v>518010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IFERROR(VLOOKUP(B213,input_518010!L:R,7,FALSE),VLOOKUP(tables_518010!C213,input_518010!A:H,8,FALSE))</f>
        <v>85500</v>
      </c>
      <c r="P213" s="46">
        <f t="shared" ca="1" si="10"/>
        <v>6.5217391304382634E-4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input_518010!A$2</f>
        <v>518010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IFERROR(VLOOKUP(B214,input_518010!L:R,7,FALSE),VLOOKUP(tables_518010!C214,input_518010!A:H,8,FALSE))</f>
        <v>9500</v>
      </c>
      <c r="P214" s="46">
        <f t="shared" ca="1" si="10"/>
        <v>7.2463768115980693E-5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input_518010!A$2</f>
        <v>518010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IFERROR(VLOOKUP(B215,input_518010!L:R,7,FALSE),VLOOKUP(tables_518010!C215,input_518010!A:H,8,FALSE))</f>
        <v>103500</v>
      </c>
      <c r="P215" s="46">
        <f t="shared" ca="1" si="10"/>
        <v>7.8947368421094762E-4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input_518010!A$2</f>
        <v>518010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IFERROR(VLOOKUP(B216,input_518010!L:R,7,FALSE),VLOOKUP(tables_518010!C216,input_518010!A:H,8,FALSE))</f>
        <v>103500</v>
      </c>
      <c r="P216" s="46">
        <f t="shared" ca="1" si="10"/>
        <v>7.8947368421094762E-4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input_518010!A$2</f>
        <v>518010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IFERROR(VLOOKUP(B217,input_518010!L:R,7,FALSE),VLOOKUP(tables_518010!C217,input_518010!A:H,8,FALSE))</f>
        <v>103500</v>
      </c>
      <c r="P217" s="46">
        <f t="shared" ca="1" si="10"/>
        <v>7.8947368421094762E-4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input_518010!A$2</f>
        <v>518010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IFERROR(VLOOKUP(B218,input_518010!L:R,7,FALSE),VLOOKUP(tables_518010!C218,input_518010!A:H,8,FALSE))</f>
        <v>103500</v>
      </c>
      <c r="P218" s="46">
        <f t="shared" ca="1" si="10"/>
        <v>7.8947368421094762E-4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input_518010!A$2</f>
        <v>518010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IFERROR(VLOOKUP(B219,input_518010!L:R,7,FALSE),VLOOKUP(tables_518010!C219,input_518010!A:H,8,FALSE))</f>
        <v>103500</v>
      </c>
      <c r="P219" s="46">
        <f t="shared" ca="1" si="10"/>
        <v>7.8947368421094762E-4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input_518010!A$2</f>
        <v>518010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IFERROR(VLOOKUP(B220,input_518010!L:R,7,FALSE),VLOOKUP(tables_518010!C220,input_518010!A:H,8,FALSE))</f>
        <v>103500</v>
      </c>
      <c r="P220" s="46">
        <f t="shared" ca="1" si="10"/>
        <v>7.8947368421094762E-4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input_518010!A$2</f>
        <v>518010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IFERROR(VLOOKUP(B221,input_518010!L:R,7,FALSE),VLOOKUP(tables_518010!C221,input_518010!A:H,8,FALSE))</f>
        <v>85500</v>
      </c>
      <c r="P221" s="46">
        <f t="shared" ca="1" si="10"/>
        <v>6.5217391304382634E-4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input_518010!A$2</f>
        <v>518010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IFERROR(VLOOKUP(B222,input_518010!L:R,7,FALSE),VLOOKUP(tables_518010!C222,input_518010!A:H,8,FALSE))</f>
        <v>9500</v>
      </c>
      <c r="P222" s="46">
        <f t="shared" ca="1" si="10"/>
        <v>7.2463768115980693E-5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input_518010!A$2</f>
        <v>518010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IFERROR(VLOOKUP(B223,input_518010!L:R,7,FALSE),VLOOKUP(tables_518010!C223,input_518010!A:H,8,FALSE))</f>
        <v>465750</v>
      </c>
      <c r="P223" s="46">
        <f t="shared" ca="1" si="10"/>
        <v>3.5526315789492641E-3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input_518010!A$2</f>
        <v>518010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IFERROR(VLOOKUP(B224,input_518010!L:R,7,FALSE),VLOOKUP(tables_518010!C224,input_518010!A:H,8,FALSE))</f>
        <v>465750</v>
      </c>
      <c r="P224" s="46">
        <f t="shared" ca="1" si="10"/>
        <v>3.5526315789492641E-3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input_518010!A$2</f>
        <v>518010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IFERROR(VLOOKUP(B225,input_518010!L:R,7,FALSE),VLOOKUP(tables_518010!C225,input_518010!A:H,8,FALSE))</f>
        <v>103500</v>
      </c>
      <c r="P225" s="46">
        <f t="shared" ca="1" si="10"/>
        <v>7.8947368421094762E-4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input_518010!A$2</f>
        <v>518010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IFERROR(VLOOKUP(B226,input_518010!L:R,7,FALSE),VLOOKUP(tables_518010!C226,input_518010!A:H,8,FALSE))</f>
        <v>465750</v>
      </c>
      <c r="P226" s="46">
        <f t="shared" ca="1" si="10"/>
        <v>3.5526315789492641E-3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input_518010!A$2</f>
        <v>518010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IFERROR(VLOOKUP(B227,input_518010!L:R,7,FALSE),VLOOKUP(tables_518010!C227,input_518010!A:H,8,FALSE))</f>
        <v>465750</v>
      </c>
      <c r="P227" s="46">
        <f t="shared" ca="1" si="10"/>
        <v>3.5526315789492641E-3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input_518010!A$2</f>
        <v>518010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IFERROR(VLOOKUP(B228,input_518010!L:R,7,FALSE),VLOOKUP(tables_518010!C228,input_518010!A:H,8,FALSE))</f>
        <v>103500</v>
      </c>
      <c r="P228" s="46">
        <f t="shared" ca="1" si="10"/>
        <v>7.8947368421094762E-4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input_518010!A$2</f>
        <v>518010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IFERROR(VLOOKUP(B229,input_518010!L:R,7,FALSE),VLOOKUP(tables_518010!C229,input_518010!A:H,8,FALSE))</f>
        <v>85500</v>
      </c>
      <c r="P229" s="46">
        <f t="shared" ca="1" si="10"/>
        <v>6.5217391304382634E-4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input_518010!A$2</f>
        <v>518010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IFERROR(VLOOKUP(B230,input_518010!L:R,7,FALSE),VLOOKUP(tables_518010!C230,input_518010!A:H,8,FALSE))</f>
        <v>9500</v>
      </c>
      <c r="P230" s="46">
        <f t="shared" ca="1" si="10"/>
        <v>7.2463768115980693E-5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input_518010!A$2</f>
        <v>518010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IFERROR(VLOOKUP(B231,input_518010!L:R,7,FALSE),VLOOKUP(tables_518010!C231,input_518010!A:H,8,FALSE))</f>
        <v>465750</v>
      </c>
      <c r="P231" s="46">
        <f t="shared" ca="1" si="10"/>
        <v>3.5526315789492641E-3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input_518010!A$2</f>
        <v>518010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IFERROR(VLOOKUP(B232,input_518010!L:R,7,FALSE),VLOOKUP(tables_518010!C232,input_518010!A:H,8,FALSE))</f>
        <v>465750</v>
      </c>
      <c r="P232" s="46">
        <f t="shared" ca="1" si="10"/>
        <v>3.5526315789492641E-3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input_518010!A$2</f>
        <v>518010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IFERROR(VLOOKUP(B233,input_518010!L:R,7,FALSE),VLOOKUP(tables_518010!C233,input_518010!A:H,8,FALSE))</f>
        <v>103500</v>
      </c>
      <c r="P233" s="46">
        <f t="shared" ca="1" si="10"/>
        <v>7.8947368421094762E-4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input_518010!A$2</f>
        <v>518010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IFERROR(VLOOKUP(B234,input_518010!L:R,7,FALSE),VLOOKUP(tables_518010!C234,input_518010!A:H,8,FALSE))</f>
        <v>465750</v>
      </c>
      <c r="P234" s="46">
        <f t="shared" ca="1" si="10"/>
        <v>3.5526315789492641E-3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input_518010!A$2</f>
        <v>518010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IFERROR(VLOOKUP(B235,input_518010!L:R,7,FALSE),VLOOKUP(tables_518010!C235,input_518010!A:H,8,FALSE))</f>
        <v>465750</v>
      </c>
      <c r="P235" s="46">
        <f t="shared" ca="1" si="10"/>
        <v>3.5526315789492641E-3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input_518010!A$2</f>
        <v>518010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IFERROR(VLOOKUP(B236,input_518010!L:R,7,FALSE),VLOOKUP(tables_518010!C236,input_518010!A:H,8,FALSE))</f>
        <v>103500</v>
      </c>
      <c r="P236" s="46">
        <f t="shared" ca="1" si="10"/>
        <v>7.8947368421094762E-4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input_518010!A$2</f>
        <v>518010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IFERROR(VLOOKUP(B237,input_518010!L:R,7,FALSE),VLOOKUP(tables_518010!C237,input_518010!A:H,8,FALSE))</f>
        <v>85500</v>
      </c>
      <c r="P237" s="46">
        <f t="shared" ca="1" si="10"/>
        <v>6.5217391304382634E-4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input_518010!A$2</f>
        <v>518010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IFERROR(VLOOKUP(B238,input_518010!L:R,7,FALSE),VLOOKUP(tables_518010!C238,input_518010!A:H,8,FALSE))</f>
        <v>9500</v>
      </c>
      <c r="P238" s="46">
        <f t="shared" ca="1" si="10"/>
        <v>7.2463768115980693E-5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input_518010!A$2</f>
        <v>518010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IFERROR(VLOOKUP(B239,input_518010!L:R,7,FALSE),VLOOKUP(tables_518010!C239,input_518010!A:H,8,FALSE))</f>
        <v>465750</v>
      </c>
      <c r="P239" s="46">
        <f t="shared" ca="1" si="10"/>
        <v>3.5526315789492641E-3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input_518010!A$2</f>
        <v>518010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IFERROR(VLOOKUP(B240,input_518010!L:R,7,FALSE),VLOOKUP(tables_518010!C240,input_518010!A:H,8,FALSE))</f>
        <v>465750</v>
      </c>
      <c r="P240" s="46">
        <f t="shared" ca="1" si="10"/>
        <v>3.5526315789492641E-3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input_518010!A$2</f>
        <v>518010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IFERROR(VLOOKUP(B241,input_518010!L:R,7,FALSE),VLOOKUP(tables_518010!C241,input_518010!A:H,8,FALSE))</f>
        <v>103500</v>
      </c>
      <c r="P241" s="46">
        <f t="shared" ca="1" si="10"/>
        <v>7.8947368421094762E-4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input_518010!A$2</f>
        <v>518010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IFERROR(VLOOKUP(B242,input_518010!L:R,7,FALSE),VLOOKUP(tables_518010!C242,input_518010!A:H,8,FALSE))</f>
        <v>85500</v>
      </c>
      <c r="P242" s="46">
        <f t="shared" ca="1" si="10"/>
        <v>6.5217391304382634E-4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input_518010!A$2</f>
        <v>518010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IFERROR(VLOOKUP(B243,input_518010!L:R,7,FALSE),VLOOKUP(tables_518010!C243,input_518010!A:H,8,FALSE))</f>
        <v>9500</v>
      </c>
      <c r="P243" s="46">
        <f t="shared" ca="1" si="10"/>
        <v>7.2463768115980693E-5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input_518010!A$2</f>
        <v>518010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IFERROR(VLOOKUP(B244,input_518010!L:R,7,FALSE),VLOOKUP(tables_518010!C244,input_518010!A:H,8,FALSE))</f>
        <v>85500</v>
      </c>
      <c r="P244" s="46">
        <f t="shared" ca="1" si="10"/>
        <v>6.5217391304382634E-4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input_518010!A$2</f>
        <v>518010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IFERROR(VLOOKUP(B245,input_518010!L:R,7,FALSE),VLOOKUP(tables_518010!C245,input_518010!A:H,8,FALSE))</f>
        <v>9500</v>
      </c>
      <c r="P245" s="46">
        <f t="shared" ca="1" si="10"/>
        <v>7.2463768115980693E-5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input_518010!A$2</f>
        <v>518010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IFERROR(VLOOKUP(B246,input_518010!L:R,7,FALSE),VLOOKUP(tables_518010!C246,input_518010!A:H,8,FALSE))</f>
        <v>465750</v>
      </c>
      <c r="P246" s="46">
        <f t="shared" ca="1" si="10"/>
        <v>3.5526315789492641E-3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input_518010!A$2</f>
        <v>518010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IFERROR(VLOOKUP(B247,input_518010!L:R,7,FALSE),VLOOKUP(tables_518010!C247,input_518010!A:H,8,FALSE))</f>
        <v>465750</v>
      </c>
      <c r="P247" s="46">
        <f t="shared" ca="1" si="10"/>
        <v>3.5526315789492641E-3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input_518010!A$2</f>
        <v>518010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IFERROR(VLOOKUP(B248,input_518010!L:R,7,FALSE),VLOOKUP(tables_518010!C248,input_518010!A:H,8,FALSE))</f>
        <v>103500</v>
      </c>
      <c r="P248" s="46">
        <f t="shared" ca="1" si="10"/>
        <v>7.8947368421094762E-4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input_518010!A$2</f>
        <v>518010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IFERROR(VLOOKUP(B249,input_518010!L:R,7,FALSE),VLOOKUP(tables_518010!C249,input_518010!A:H,8,FALSE))</f>
        <v>465750</v>
      </c>
      <c r="P249" s="46">
        <f t="shared" ca="1" si="10"/>
        <v>3.5526315789492641E-3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input_518010!A$2</f>
        <v>518010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IFERROR(VLOOKUP(B250,input_518010!L:R,7,FALSE),VLOOKUP(tables_518010!C250,input_518010!A:H,8,FALSE))</f>
        <v>465750</v>
      </c>
      <c r="P250" s="46">
        <f t="shared" ca="1" si="10"/>
        <v>3.5526315789492641E-3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input_518010!A$2</f>
        <v>518010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IFERROR(VLOOKUP(B251,input_518010!L:R,7,FALSE),VLOOKUP(tables_518010!C251,input_518010!A:H,8,FALSE))</f>
        <v>103500</v>
      </c>
      <c r="P251" s="46">
        <f t="shared" ca="1" si="10"/>
        <v>7.8947368421094762E-4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input_518010!A$2</f>
        <v>518010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IFERROR(VLOOKUP(B252,input_518010!L:R,7,FALSE),VLOOKUP(tables_518010!C252,input_518010!A:H,8,FALSE))</f>
        <v>465750</v>
      </c>
      <c r="P252" s="46">
        <f t="shared" ca="1" si="10"/>
        <v>3.5526315789492641E-3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input_518010!A$2</f>
        <v>518010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IFERROR(VLOOKUP(B253,input_518010!L:R,7,FALSE),VLOOKUP(tables_518010!C253,input_518010!A:H,8,FALSE))</f>
        <v>465750</v>
      </c>
      <c r="P253" s="46">
        <f t="shared" ca="1" si="10"/>
        <v>3.5526315789492641E-3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input_518010!A$2</f>
        <v>518010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IFERROR(VLOOKUP(B254,input_518010!L:R,7,FALSE),VLOOKUP(tables_518010!C254,input_518010!A:H,8,FALSE))</f>
        <v>103500</v>
      </c>
      <c r="P254" s="46">
        <f t="shared" ca="1" si="10"/>
        <v>7.8947368421094762E-4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input_518010!A$2</f>
        <v>518010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IFERROR(VLOOKUP(B255,input_518010!L:R,7,FALSE),VLOOKUP(tables_518010!C255,input_518010!A:H,8,FALSE))</f>
        <v>465750</v>
      </c>
      <c r="P255" s="46">
        <f t="shared" ca="1" si="10"/>
        <v>3.5526315789492641E-3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input_518010!A$2</f>
        <v>518010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IFERROR(VLOOKUP(B256,input_518010!L:R,7,FALSE),VLOOKUP(tables_518010!C256,input_518010!A:H,8,FALSE))</f>
        <v>465750</v>
      </c>
      <c r="P256" s="46">
        <f t="shared" ca="1" si="10"/>
        <v>3.5526315789492641E-3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input_518010!A$2</f>
        <v>518010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IFERROR(VLOOKUP(B257,input_518010!L:R,7,FALSE),VLOOKUP(tables_518010!C257,input_518010!A:H,8,FALSE))</f>
        <v>103500</v>
      </c>
      <c r="P257" s="46">
        <f t="shared" ca="1" si="10"/>
        <v>7.8947368421094762E-4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input_518010!A$2</f>
        <v>518010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IFERROR(VLOOKUP(B258,input_518010!L:R,7,FALSE),VLOOKUP(tables_518010!C258,input_518010!A:H,8,FALSE))</f>
        <v>85500</v>
      </c>
      <c r="P258" s="46">
        <f t="shared" ref="P258:P321" ca="1" si="13">O258/SUM(O:O)</f>
        <v>6.5217391304382634E-4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input_518010!A$2</f>
        <v>518010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IFERROR(VLOOKUP(B259,input_518010!L:R,7,FALSE),VLOOKUP(tables_518010!C259,input_518010!A:H,8,FALSE))</f>
        <v>9500</v>
      </c>
      <c r="P259" s="46">
        <f t="shared" ca="1" si="13"/>
        <v>7.2463768115980693E-5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input_518010!A$2</f>
        <v>518010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IFERROR(VLOOKUP(B260,input_518010!L:R,7,FALSE),VLOOKUP(tables_518010!C260,input_518010!A:H,8,FALSE))</f>
        <v>85500</v>
      </c>
      <c r="P260" s="46">
        <f t="shared" ca="1" si="13"/>
        <v>6.5217391304382634E-4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input_518010!A$2</f>
        <v>518010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IFERROR(VLOOKUP(B261,input_518010!L:R,7,FALSE),VLOOKUP(tables_518010!C261,input_518010!A:H,8,FALSE))</f>
        <v>9500</v>
      </c>
      <c r="P261" s="46">
        <f t="shared" ca="1" si="13"/>
        <v>7.2463768115980693E-5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input_518010!A$2</f>
        <v>518010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IFERROR(VLOOKUP(B262,input_518010!L:R,7,FALSE),VLOOKUP(tables_518010!C262,input_518010!A:H,8,FALSE))</f>
        <v>898815.78946999996</v>
      </c>
      <c r="P262" s="46">
        <f t="shared" ca="1" si="13"/>
        <v>6.8559556786459159E-3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input_518010!A$2</f>
        <v>518010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IFERROR(VLOOKUP(B263,input_518010!L:R,7,FALSE),VLOOKUP(tables_518010!C263,input_518010!A:H,8,FALSE))</f>
        <v>103500</v>
      </c>
      <c r="P263" s="46">
        <f t="shared" ca="1" si="13"/>
        <v>7.8947368421094762E-4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input_518010!A$2</f>
        <v>518010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IFERROR(VLOOKUP(B264,input_518010!L:R,7,FALSE),VLOOKUP(tables_518010!C264,input_518010!A:H,8,FALSE))</f>
        <v>898815.78946999996</v>
      </c>
      <c r="P264" s="46">
        <f t="shared" ca="1" si="13"/>
        <v>6.8559556786459159E-3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input_518010!A$2</f>
        <v>518010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IFERROR(VLOOKUP(B265,input_518010!L:R,7,FALSE),VLOOKUP(tables_518010!C265,input_518010!A:H,8,FALSE))</f>
        <v>103500</v>
      </c>
      <c r="P265" s="46">
        <f t="shared" ca="1" si="13"/>
        <v>7.8947368421094762E-4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input_518010!A$2</f>
        <v>518010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IFERROR(VLOOKUP(B266,input_518010!L:R,7,FALSE),VLOOKUP(tables_518010!C266,input_518010!A:H,8,FALSE))</f>
        <v>95000</v>
      </c>
      <c r="P266" s="46">
        <f t="shared" ca="1" si="13"/>
        <v>7.2463768115980703E-4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input_518010!A$2</f>
        <v>518010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IFERROR(VLOOKUP(B267,input_518010!L:R,7,FALSE),VLOOKUP(tables_518010!C267,input_518010!A:H,8,FALSE))</f>
        <v>95000</v>
      </c>
      <c r="P267" s="46">
        <f t="shared" ca="1" si="13"/>
        <v>7.2463768115980703E-4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input_518010!A$2</f>
        <v>518010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IFERROR(VLOOKUP(B268,input_518010!L:R,7,FALSE),VLOOKUP(tables_518010!C268,input_518010!A:H,8,FALSE))</f>
        <v>95000</v>
      </c>
      <c r="P268" s="46">
        <f t="shared" ca="1" si="13"/>
        <v>7.2463768115980703E-4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input_518010!A$2</f>
        <v>518010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IFERROR(VLOOKUP(B269,input_518010!L:R,7,FALSE),VLOOKUP(tables_518010!C269,input_518010!A:H,8,FALSE))</f>
        <v>95000</v>
      </c>
      <c r="P269" s="46">
        <f t="shared" ca="1" si="13"/>
        <v>7.2463768115980703E-4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input_518010!A$2</f>
        <v>518010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IFERROR(VLOOKUP(B270,input_518010!L:R,7,FALSE),VLOOKUP(tables_518010!C270,input_518010!A:H,8,FALSE))</f>
        <v>898815.78946999996</v>
      </c>
      <c r="P270" s="46">
        <f t="shared" ca="1" si="13"/>
        <v>6.8559556786459159E-3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input_518010!A$2</f>
        <v>518010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IFERROR(VLOOKUP(B271,input_518010!L:R,7,FALSE),VLOOKUP(tables_518010!C271,input_518010!A:H,8,FALSE))</f>
        <v>103500</v>
      </c>
      <c r="P271" s="46">
        <f t="shared" ca="1" si="13"/>
        <v>7.8947368421094762E-4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input_518010!A$2</f>
        <v>518010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IFERROR(VLOOKUP(B272,input_518010!L:R,7,FALSE),VLOOKUP(tables_518010!C272,input_518010!A:H,8,FALSE))</f>
        <v>898815.78946999996</v>
      </c>
      <c r="P272" s="46">
        <f t="shared" ca="1" si="13"/>
        <v>6.8559556786459159E-3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input_518010!A$2</f>
        <v>518010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IFERROR(VLOOKUP(B273,input_518010!L:R,7,FALSE),VLOOKUP(tables_518010!C273,input_518010!A:H,8,FALSE))</f>
        <v>103500</v>
      </c>
      <c r="P273" s="46">
        <f t="shared" ca="1" si="13"/>
        <v>7.8947368421094762E-4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input_518010!A$2</f>
        <v>518010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IFERROR(VLOOKUP(B274,input_518010!L:R,7,FALSE),VLOOKUP(tables_518010!C274,input_518010!A:H,8,FALSE))</f>
        <v>85500</v>
      </c>
      <c r="P274" s="46">
        <f t="shared" ca="1" si="13"/>
        <v>6.5217391304382634E-4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input_518010!A$2</f>
        <v>518010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IFERROR(VLOOKUP(B275,input_518010!L:R,7,FALSE),VLOOKUP(tables_518010!C275,input_518010!A:H,8,FALSE))</f>
        <v>9500</v>
      </c>
      <c r="P275" s="46">
        <f t="shared" ca="1" si="13"/>
        <v>7.2463768115980693E-5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input_518010!A$2</f>
        <v>518010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IFERROR(VLOOKUP(B276,input_518010!L:R,7,FALSE),VLOOKUP(tables_518010!C276,input_518010!A:H,8,FALSE))</f>
        <v>85500</v>
      </c>
      <c r="P276" s="46">
        <f t="shared" ca="1" si="13"/>
        <v>6.5217391304382634E-4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input_518010!A$2</f>
        <v>518010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IFERROR(VLOOKUP(B277,input_518010!L:R,7,FALSE),VLOOKUP(tables_518010!C277,input_518010!A:H,8,FALSE))</f>
        <v>9500</v>
      </c>
      <c r="P277" s="46">
        <f t="shared" ca="1" si="13"/>
        <v>7.2463768115980693E-5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input_518010!A$2</f>
        <v>518010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IFERROR(VLOOKUP(B278,input_518010!L:R,7,FALSE),VLOOKUP(tables_518010!C278,input_518010!A:H,8,FALSE))</f>
        <v>465750</v>
      </c>
      <c r="P278" s="46">
        <f t="shared" ca="1" si="13"/>
        <v>3.5526315789492641E-3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input_518010!A$2</f>
        <v>518010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IFERROR(VLOOKUP(B279,input_518010!L:R,7,FALSE),VLOOKUP(tables_518010!C279,input_518010!A:H,8,FALSE))</f>
        <v>465750</v>
      </c>
      <c r="P279" s="46">
        <f t="shared" ca="1" si="13"/>
        <v>3.5526315789492641E-3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input_518010!A$2</f>
        <v>518010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IFERROR(VLOOKUP(B280,input_518010!L:R,7,FALSE),VLOOKUP(tables_518010!C280,input_518010!A:H,8,FALSE))</f>
        <v>103500</v>
      </c>
      <c r="P280" s="46">
        <f t="shared" ca="1" si="13"/>
        <v>7.8947368421094762E-4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input_518010!A$2</f>
        <v>518010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IFERROR(VLOOKUP(B281,input_518010!L:R,7,FALSE),VLOOKUP(tables_518010!C281,input_518010!A:H,8,FALSE))</f>
        <v>465750</v>
      </c>
      <c r="P281" s="46">
        <f t="shared" ca="1" si="13"/>
        <v>3.5526315789492641E-3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input_518010!A$2</f>
        <v>518010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IFERROR(VLOOKUP(B282,input_518010!L:R,7,FALSE),VLOOKUP(tables_518010!C282,input_518010!A:H,8,FALSE))</f>
        <v>465750</v>
      </c>
      <c r="P282" s="46">
        <f t="shared" ca="1" si="13"/>
        <v>3.5526315789492641E-3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input_518010!A$2</f>
        <v>518010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IFERROR(VLOOKUP(B283,input_518010!L:R,7,FALSE),VLOOKUP(tables_518010!C283,input_518010!A:H,8,FALSE))</f>
        <v>103500</v>
      </c>
      <c r="P283" s="46">
        <f t="shared" ca="1" si="13"/>
        <v>7.8947368421094762E-4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input_518010!A$2</f>
        <v>518010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IFERROR(VLOOKUP(B284,input_518010!L:R,7,FALSE),VLOOKUP(tables_518010!C284,input_518010!A:H,8,FALSE))</f>
        <v>95000</v>
      </c>
      <c r="P284" s="46">
        <f t="shared" ca="1" si="13"/>
        <v>7.2463768115980703E-4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input_518010!A$2</f>
        <v>518010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IFERROR(VLOOKUP(B285,input_518010!L:R,7,FALSE),VLOOKUP(tables_518010!C285,input_518010!A:H,8,FALSE))</f>
        <v>95000</v>
      </c>
      <c r="P285" s="46">
        <f t="shared" ca="1" si="13"/>
        <v>7.2463768115980703E-4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input_518010!A$2</f>
        <v>518010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IFERROR(VLOOKUP(B286,input_518010!L:R,7,FALSE),VLOOKUP(tables_518010!C286,input_518010!A:H,8,FALSE))</f>
        <v>898815.78946999996</v>
      </c>
      <c r="P286" s="46">
        <f t="shared" ca="1" si="13"/>
        <v>6.8559556786459159E-3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input_518010!A$2</f>
        <v>518010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IFERROR(VLOOKUP(B287,input_518010!L:R,7,FALSE),VLOOKUP(tables_518010!C287,input_518010!A:H,8,FALSE))</f>
        <v>103500</v>
      </c>
      <c r="P287" s="46">
        <f t="shared" ca="1" si="13"/>
        <v>7.8947368421094762E-4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input_518010!A$2</f>
        <v>518010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IFERROR(VLOOKUP(B288,input_518010!L:R,7,FALSE),VLOOKUP(tables_518010!C288,input_518010!A:H,8,FALSE))</f>
        <v>898815.78946999996</v>
      </c>
      <c r="P288" s="46">
        <f t="shared" ca="1" si="13"/>
        <v>6.8559556786459159E-3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input_518010!A$2</f>
        <v>518010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IFERROR(VLOOKUP(B289,input_518010!L:R,7,FALSE),VLOOKUP(tables_518010!C289,input_518010!A:H,8,FALSE))</f>
        <v>103500</v>
      </c>
      <c r="P289" s="46">
        <f t="shared" ca="1" si="13"/>
        <v>7.8947368421094762E-4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input_518010!A$2</f>
        <v>518010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IFERROR(VLOOKUP(B290,input_518010!L:R,7,FALSE),VLOOKUP(tables_518010!C290,input_518010!A:H,8,FALSE))</f>
        <v>898815.78946999996</v>
      </c>
      <c r="P290" s="46">
        <f t="shared" ca="1" si="13"/>
        <v>6.8559556786459159E-3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input_518010!A$2</f>
        <v>518010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IFERROR(VLOOKUP(B291,input_518010!L:R,7,FALSE),VLOOKUP(tables_518010!C291,input_518010!A:H,8,FALSE))</f>
        <v>103500</v>
      </c>
      <c r="P291" s="46">
        <f t="shared" ca="1" si="13"/>
        <v>7.8947368421094762E-4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input_518010!A$2</f>
        <v>518010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IFERROR(VLOOKUP(B292,input_518010!L:R,7,FALSE),VLOOKUP(tables_518010!C292,input_518010!A:H,8,FALSE))</f>
        <v>898815.78946999996</v>
      </c>
      <c r="P292" s="46">
        <f t="shared" ca="1" si="13"/>
        <v>6.8559556786459159E-3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input_518010!A$2</f>
        <v>518010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IFERROR(VLOOKUP(B293,input_518010!L:R,7,FALSE),VLOOKUP(tables_518010!C293,input_518010!A:H,8,FALSE))</f>
        <v>103500</v>
      </c>
      <c r="P293" s="46">
        <f t="shared" ca="1" si="13"/>
        <v>7.8947368421094762E-4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input_518010!A$2</f>
        <v>518010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IFERROR(VLOOKUP(B294,input_518010!L:R,7,FALSE),VLOOKUP(tables_518010!C294,input_518010!A:H,8,FALSE))</f>
        <v>95000</v>
      </c>
      <c r="P294" s="46">
        <f t="shared" ca="1" si="13"/>
        <v>7.2463768115980703E-4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input_518010!A$2</f>
        <v>518010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IFERROR(VLOOKUP(B295,input_518010!L:R,7,FALSE),VLOOKUP(tables_518010!C295,input_518010!A:H,8,FALSE))</f>
        <v>95000</v>
      </c>
      <c r="P295" s="46">
        <f t="shared" ca="1" si="13"/>
        <v>7.2463768115980703E-4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input_518010!A$2</f>
        <v>518010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IFERROR(VLOOKUP(B296,input_518010!L:R,7,FALSE),VLOOKUP(tables_518010!C296,input_518010!A:H,8,FALSE))</f>
        <v>95000</v>
      </c>
      <c r="P296" s="46">
        <f t="shared" ca="1" si="13"/>
        <v>7.2463768115980703E-4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input_518010!A$2</f>
        <v>518010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IFERROR(VLOOKUP(B297,input_518010!L:R,7,FALSE),VLOOKUP(tables_518010!C297,input_518010!A:H,8,FALSE))</f>
        <v>898815.78946999996</v>
      </c>
      <c r="P297" s="46">
        <f t="shared" ca="1" si="13"/>
        <v>6.8559556786459159E-3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input_518010!A$2</f>
        <v>518010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IFERROR(VLOOKUP(B298,input_518010!L:R,7,FALSE),VLOOKUP(tables_518010!C298,input_518010!A:H,8,FALSE))</f>
        <v>103500</v>
      </c>
      <c r="P298" s="46">
        <f t="shared" ca="1" si="13"/>
        <v>7.8947368421094762E-4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input_518010!A$2</f>
        <v>518010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IFERROR(VLOOKUP(B299,input_518010!L:R,7,FALSE),VLOOKUP(tables_518010!C299,input_518010!A:H,8,FALSE))</f>
        <v>95000</v>
      </c>
      <c r="P299" s="46">
        <f t="shared" ca="1" si="13"/>
        <v>7.2463768115980703E-4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input_518010!A$2</f>
        <v>518010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IFERROR(VLOOKUP(B300,input_518010!L:R,7,FALSE),VLOOKUP(tables_518010!C300,input_518010!A:H,8,FALSE))</f>
        <v>95000</v>
      </c>
      <c r="P300" s="46">
        <f t="shared" ca="1" si="13"/>
        <v>7.2463768115980703E-4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input_518010!A$2</f>
        <v>518010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IFERROR(VLOOKUP(B301,input_518010!L:R,7,FALSE),VLOOKUP(tables_518010!C301,input_518010!A:H,8,FALSE))</f>
        <v>95000</v>
      </c>
      <c r="P301" s="46">
        <f t="shared" ca="1" si="13"/>
        <v>7.2463768115980703E-4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input_518010!A$2</f>
        <v>518010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IFERROR(VLOOKUP(B302,input_518010!L:R,7,FALSE),VLOOKUP(tables_518010!C302,input_518010!A:H,8,FALSE))</f>
        <v>95000</v>
      </c>
      <c r="P302" s="46">
        <f t="shared" ca="1" si="13"/>
        <v>7.2463768115980703E-4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input_518010!A$2</f>
        <v>518010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IFERROR(VLOOKUP(B303,input_518010!L:R,7,FALSE),VLOOKUP(tables_518010!C303,input_518010!A:H,8,FALSE))</f>
        <v>898815.78946999996</v>
      </c>
      <c r="P303" s="46">
        <f t="shared" ca="1" si="13"/>
        <v>6.8559556786459159E-3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input_518010!A$2</f>
        <v>518010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IFERROR(VLOOKUP(B304,input_518010!L:R,7,FALSE),VLOOKUP(tables_518010!C304,input_518010!A:H,8,FALSE))</f>
        <v>103500</v>
      </c>
      <c r="P304" s="46">
        <f t="shared" ca="1" si="13"/>
        <v>7.8947368421094762E-4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input_518010!A$2</f>
        <v>518010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IFERROR(VLOOKUP(B305,input_518010!L:R,7,FALSE),VLOOKUP(tables_518010!C305,input_518010!A:H,8,FALSE))</f>
        <v>95000</v>
      </c>
      <c r="P305" s="46">
        <f t="shared" ca="1" si="13"/>
        <v>7.2463768115980703E-4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input_518010!A$2</f>
        <v>518010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IFERROR(VLOOKUP(B306,input_518010!L:R,7,FALSE),VLOOKUP(tables_518010!C306,input_518010!A:H,8,FALSE))</f>
        <v>898815.78946999996</v>
      </c>
      <c r="P306" s="46">
        <f t="shared" ca="1" si="13"/>
        <v>6.8559556786459159E-3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input_518010!A$2</f>
        <v>518010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IFERROR(VLOOKUP(B307,input_518010!L:R,7,FALSE),VLOOKUP(tables_518010!C307,input_518010!A:H,8,FALSE))</f>
        <v>103500</v>
      </c>
      <c r="P307" s="46">
        <f t="shared" ca="1" si="13"/>
        <v>7.8947368421094762E-4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input_518010!A$2</f>
        <v>518010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IFERROR(VLOOKUP(B308,input_518010!L:R,7,FALSE),VLOOKUP(tables_518010!C308,input_518010!A:H,8,FALSE))</f>
        <v>95000</v>
      </c>
      <c r="P308" s="46">
        <f t="shared" ca="1" si="13"/>
        <v>7.2463768115980703E-4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input_518010!A$2</f>
        <v>518010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IFERROR(VLOOKUP(B309,input_518010!L:R,7,FALSE),VLOOKUP(tables_518010!C309,input_518010!A:H,8,FALSE))</f>
        <v>95000</v>
      </c>
      <c r="P309" s="46">
        <f t="shared" ca="1" si="13"/>
        <v>7.2463768115980703E-4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input_518010!A$2</f>
        <v>518010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IFERROR(VLOOKUP(B310,input_518010!L:R,7,FALSE),VLOOKUP(tables_518010!C310,input_518010!A:H,8,FALSE))</f>
        <v>95000</v>
      </c>
      <c r="P310" s="46">
        <f t="shared" ca="1" si="13"/>
        <v>7.2463768115980703E-4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input_518010!A$2</f>
        <v>518010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IFERROR(VLOOKUP(B311,input_518010!L:R,7,FALSE),VLOOKUP(tables_518010!C311,input_518010!A:H,8,FALSE))</f>
        <v>898815.78946999996</v>
      </c>
      <c r="P311" s="46">
        <f t="shared" ca="1" si="13"/>
        <v>6.8559556786459159E-3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input_518010!A$2</f>
        <v>518010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IFERROR(VLOOKUP(B312,input_518010!L:R,7,FALSE),VLOOKUP(tables_518010!C312,input_518010!A:H,8,FALSE))</f>
        <v>103500</v>
      </c>
      <c r="P312" s="46">
        <f t="shared" ca="1" si="13"/>
        <v>7.8947368421094762E-4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input_518010!A$2</f>
        <v>518010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IFERROR(VLOOKUP(B313,input_518010!L:R,7,FALSE),VLOOKUP(tables_518010!C313,input_518010!A:H,8,FALSE))</f>
        <v>95000</v>
      </c>
      <c r="P313" s="46">
        <f t="shared" ca="1" si="13"/>
        <v>7.2463768115980703E-4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input_518010!A$2</f>
        <v>518010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IFERROR(VLOOKUP(B314,input_518010!L:R,7,FALSE),VLOOKUP(tables_518010!C314,input_518010!A:H,8,FALSE))</f>
        <v>95000</v>
      </c>
      <c r="P314" s="46">
        <f t="shared" ca="1" si="13"/>
        <v>7.2463768115980703E-4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input_518010!A$2</f>
        <v>518010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IFERROR(VLOOKUP(B315,input_518010!L:R,7,FALSE),VLOOKUP(tables_518010!C315,input_518010!A:H,8,FALSE))</f>
        <v>95000</v>
      </c>
      <c r="P315" s="46">
        <f t="shared" ca="1" si="13"/>
        <v>7.2463768115980703E-4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input_518010!A$2</f>
        <v>518010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IFERROR(VLOOKUP(B316,input_518010!L:R,7,FALSE),VLOOKUP(tables_518010!C316,input_518010!A:H,8,FALSE))</f>
        <v>95000</v>
      </c>
      <c r="P316" s="46">
        <f t="shared" ca="1" si="13"/>
        <v>7.2463768115980703E-4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input_518010!A$2</f>
        <v>518010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IFERROR(VLOOKUP(B317,input_518010!L:R,7,FALSE),VLOOKUP(tables_518010!C317,input_518010!A:H,8,FALSE))</f>
        <v>95000</v>
      </c>
      <c r="P317" s="46">
        <f t="shared" ca="1" si="13"/>
        <v>7.2463768115980703E-4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input_518010!A$2</f>
        <v>518010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IFERROR(VLOOKUP(B318,input_518010!L:R,7,FALSE),VLOOKUP(tables_518010!C318,input_518010!A:H,8,FALSE))</f>
        <v>898815.78946999996</v>
      </c>
      <c r="P318" s="46">
        <f t="shared" ca="1" si="13"/>
        <v>6.8559556786459159E-3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input_518010!A$2</f>
        <v>518010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IFERROR(VLOOKUP(B319,input_518010!L:R,7,FALSE),VLOOKUP(tables_518010!C319,input_518010!A:H,8,FALSE))</f>
        <v>103500</v>
      </c>
      <c r="P319" s="46">
        <f t="shared" ca="1" si="13"/>
        <v>7.8947368421094762E-4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input_518010!A$2</f>
        <v>518010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IFERROR(VLOOKUP(B320,input_518010!L:R,7,FALSE),VLOOKUP(tables_518010!C320,input_518010!A:H,8,FALSE))</f>
        <v>95000</v>
      </c>
      <c r="P320" s="46">
        <f t="shared" ca="1" si="13"/>
        <v>7.2463768115980703E-4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input_518010!A$2</f>
        <v>518010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IFERROR(VLOOKUP(B321,input_518010!L:R,7,FALSE),VLOOKUP(tables_518010!C321,input_518010!A:H,8,FALSE))</f>
        <v>95000</v>
      </c>
      <c r="P321" s="46">
        <f t="shared" ca="1" si="13"/>
        <v>7.2463768115980703E-4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input_518010!A$2</f>
        <v>518010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IFERROR(VLOOKUP(B322,input_518010!L:R,7,FALSE),VLOOKUP(tables_518010!C322,input_518010!A:H,8,FALSE))</f>
        <v>95000</v>
      </c>
      <c r="P322" s="46">
        <f t="shared" ref="P322:P345" ca="1" si="23">O322/SUM(O:O)</f>
        <v>7.2463768115980703E-4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input_518010!A$2</f>
        <v>518010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IFERROR(VLOOKUP(B323,input_518010!L:R,7,FALSE),VLOOKUP(tables_518010!C323,input_518010!A:H,8,FALSE))</f>
        <v>95000</v>
      </c>
      <c r="P323" s="46">
        <f t="shared" ca="1" si="23"/>
        <v>7.2463768115980703E-4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input_518010!A$2</f>
        <v>518010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IFERROR(VLOOKUP(B324,input_518010!L:R,7,FALSE),VLOOKUP(tables_518010!C324,input_518010!A:H,8,FALSE))</f>
        <v>898815.78946999996</v>
      </c>
      <c r="P324" s="46">
        <f t="shared" ca="1" si="23"/>
        <v>6.8559556786459159E-3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input_518010!A$2</f>
        <v>518010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IFERROR(VLOOKUP(B325,input_518010!L:R,7,FALSE),VLOOKUP(tables_518010!C325,input_518010!A:H,8,FALSE))</f>
        <v>103500</v>
      </c>
      <c r="P325" s="46">
        <f t="shared" ca="1" si="23"/>
        <v>7.8947368421094762E-4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input_518010!A$2</f>
        <v>518010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IFERROR(VLOOKUP(B326,input_518010!L:R,7,FALSE),VLOOKUP(tables_518010!C326,input_518010!A:H,8,FALSE))</f>
        <v>898815.78946999996</v>
      </c>
      <c r="P326" s="46">
        <f t="shared" ca="1" si="23"/>
        <v>6.8559556786459159E-3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input_518010!A$2</f>
        <v>518010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IFERROR(VLOOKUP(B327,input_518010!L:R,7,FALSE),VLOOKUP(tables_518010!C327,input_518010!A:H,8,FALSE))</f>
        <v>103500</v>
      </c>
      <c r="P327" s="46">
        <f t="shared" ca="1" si="23"/>
        <v>7.8947368421094762E-4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input_518010!A$2</f>
        <v>518010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IFERROR(VLOOKUP(B328,input_518010!L:R,7,FALSE),VLOOKUP(tables_518010!C328,input_518010!A:H,8,FALSE))</f>
        <v>95000</v>
      </c>
      <c r="P328" s="46">
        <f t="shared" ca="1" si="23"/>
        <v>7.2463768115980703E-4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input_518010!A$2</f>
        <v>518010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IFERROR(VLOOKUP(B329,input_518010!L:R,7,FALSE),VLOOKUP(tables_518010!C329,input_518010!A:H,8,FALSE))</f>
        <v>95000</v>
      </c>
      <c r="P329" s="46">
        <f t="shared" ca="1" si="23"/>
        <v>7.2463768115980703E-4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input_518010!A$2</f>
        <v>518010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IFERROR(VLOOKUP(B330,input_518010!L:R,7,FALSE),VLOOKUP(tables_518010!C330,input_518010!A:H,8,FALSE))</f>
        <v>95000</v>
      </c>
      <c r="P330" s="46">
        <f t="shared" ca="1" si="23"/>
        <v>7.2463768115980703E-4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input_518010!A$2</f>
        <v>518010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IFERROR(VLOOKUP(B331,input_518010!L:R,7,FALSE),VLOOKUP(tables_518010!C331,input_518010!A:H,8,FALSE))</f>
        <v>95000</v>
      </c>
      <c r="P331" s="46">
        <f t="shared" ca="1" si="23"/>
        <v>7.2463768115980703E-4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input_518010!A$2</f>
        <v>518010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IFERROR(VLOOKUP(B332,input_518010!L:R,7,FALSE),VLOOKUP(tables_518010!C332,input_518010!A:H,8,FALSE))</f>
        <v>95000</v>
      </c>
      <c r="P332" s="46">
        <f t="shared" ca="1" si="23"/>
        <v>7.2463768115980703E-4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input_518010!A$2</f>
        <v>518010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IFERROR(VLOOKUP(B333,input_518010!L:R,7,FALSE),VLOOKUP(tables_518010!C333,input_518010!A:H,8,FALSE))</f>
        <v>95000</v>
      </c>
      <c r="P333" s="46">
        <f t="shared" ca="1" si="23"/>
        <v>7.2463768115980703E-4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input_518010!A$2</f>
        <v>518010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IFERROR(VLOOKUP(B334,input_518010!L:R,7,FALSE),VLOOKUP(tables_518010!C334,input_518010!A:H,8,FALSE))</f>
        <v>898815.78946999996</v>
      </c>
      <c r="P334" s="46">
        <f t="shared" ca="1" si="23"/>
        <v>6.8559556786459159E-3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input_518010!A$2</f>
        <v>518010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IFERROR(VLOOKUP(B335,input_518010!L:R,7,FALSE),VLOOKUP(tables_518010!C335,input_518010!A:H,8,FALSE))</f>
        <v>103500</v>
      </c>
      <c r="P335" s="46">
        <f t="shared" ca="1" si="23"/>
        <v>7.8947368421094762E-4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input_518010!A$2</f>
        <v>518010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IFERROR(VLOOKUP(B336,input_518010!L:R,7,FALSE),VLOOKUP(tables_518010!C336,input_518010!A:H,8,FALSE))</f>
        <v>898815.78946999996</v>
      </c>
      <c r="P336" s="46">
        <f t="shared" ca="1" si="23"/>
        <v>6.8559556786459159E-3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input_518010!A$2</f>
        <v>518010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IFERROR(VLOOKUP(B337,input_518010!L:R,7,FALSE),VLOOKUP(tables_518010!C337,input_518010!A:H,8,FALSE))</f>
        <v>103500</v>
      </c>
      <c r="P337" s="46">
        <f t="shared" ca="1" si="23"/>
        <v>7.8947368421094762E-4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input_518010!A$2</f>
        <v>518010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IFERROR(VLOOKUP(B338,input_518010!L:R,7,FALSE),VLOOKUP(tables_518010!C338,input_518010!A:H,8,FALSE))</f>
        <v>95000</v>
      </c>
      <c r="P338" s="46">
        <f t="shared" ca="1" si="23"/>
        <v>7.2463768115980703E-4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input_518010!A$2</f>
        <v>518010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IFERROR(VLOOKUP(B339,input_518010!L:R,7,FALSE),VLOOKUP(tables_518010!C339,input_518010!A:H,8,FALSE))</f>
        <v>95000</v>
      </c>
      <c r="P339" s="46">
        <f t="shared" ca="1" si="23"/>
        <v>7.2463768115980703E-4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input_518010!A$2</f>
        <v>518010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IFERROR(VLOOKUP(B340,input_518010!L:R,7,FALSE),VLOOKUP(tables_518010!C340,input_518010!A:H,8,FALSE))</f>
        <v>95000</v>
      </c>
      <c r="P340" s="46">
        <f t="shared" ca="1" si="23"/>
        <v>7.2463768115980703E-4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input_518010!A$2</f>
        <v>518010</v>
      </c>
      <c r="B341" s="2">
        <v>1244</v>
      </c>
      <c r="C341" s="7" t="str">
        <f t="shared" ref="C341:C342" si="30">D341&amp;J341&amp;E341&amp;F341&amp;G341</f>
        <v>PremiumSS5R5only</v>
      </c>
      <c r="D341" s="96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IFERROR(VLOOKUP(B341,input_518010!L:R,7,FALSE),VLOOKUP(tables_518010!C341,input_518010!A:H,8,FALSE))</f>
        <v>95000</v>
      </c>
      <c r="P341" s="46">
        <f t="shared" ca="1" si="23"/>
        <v>7.2463768115980703E-4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input_518010!A$2</f>
        <v>518010</v>
      </c>
      <c r="B342" s="2">
        <v>1246</v>
      </c>
      <c r="C342" s="7" t="str">
        <f t="shared" si="30"/>
        <v>PremiumSS5R5only</v>
      </c>
      <c r="D342" s="96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IFERROR(VLOOKUP(B342,input_518010!L:R,7,FALSE),VLOOKUP(tables_518010!C342,input_518010!A:H,8,FALSE))</f>
        <v>95000</v>
      </c>
      <c r="P342" s="46">
        <f t="shared" ca="1" si="23"/>
        <v>7.2463768115980703E-4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input_518010!A$2</f>
        <v>518010</v>
      </c>
      <c r="B343" s="2">
        <v>1248</v>
      </c>
      <c r="C343" s="7" t="str">
        <f t="shared" ref="C343:C359" si="32">D343&amp;J343&amp;E343&amp;F343&amp;G343</f>
        <v>Premium4R3less</v>
      </c>
      <c r="D343" s="96" t="str">
        <f t="shared" ref="D343:D359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IFERROR(VLOOKUP(B343,input_518010!L:R,7,FALSE),VLOOKUP(tables_518010!C343,input_518010!A:H,8,FALSE))</f>
        <v>898815.78946999996</v>
      </c>
      <c r="P343" s="46">
        <f t="shared" ca="1" si="23"/>
        <v>6.8559556786459159E-3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input_518010!A$2</f>
        <v>518010</v>
      </c>
      <c r="B344" s="2">
        <v>1249</v>
      </c>
      <c r="C344" s="7" t="str">
        <f t="shared" si="32"/>
        <v>Premium5R3less</v>
      </c>
      <c r="D344" s="96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IFERROR(VLOOKUP(B344,input_518010!L:R,7,FALSE),VLOOKUP(tables_518010!C344,input_518010!A:H,8,FALSE))</f>
        <v>103500</v>
      </c>
      <c r="P344" s="46">
        <f t="shared" ca="1" si="23"/>
        <v>7.8947368421094762E-4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input_518010!A$2</f>
        <v>518010</v>
      </c>
      <c r="B345" s="2">
        <v>1250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IFERROR(VLOOKUP(B345,input_518010!L:R,7,FALSE),VLOOKUP(tables_518010!C345,input_518010!A:H,8,FALSE))</f>
        <v>95000</v>
      </c>
      <c r="P345" s="46">
        <f t="shared" ca="1" si="23"/>
        <v>7.2463768115980703E-4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input_518010!A$2</f>
        <v>518010</v>
      </c>
      <c r="B346" s="2">
        <v>1260</v>
      </c>
      <c r="C346" s="7" t="str">
        <f t="shared" ref="C346:C350" si="34">D346&amp;J346&amp;E346&amp;F346&amp;G346</f>
        <v>PremiumSS5R5only</v>
      </c>
      <c r="D346" s="96" t="str">
        <f t="shared" ref="D346:D350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IFERROR(VLOOKUP(B346,input_518010!L:R,7,FALSE),VLOOKUP(tables_518010!C346,input_518010!A:H,8,FALSE))</f>
        <v>95000</v>
      </c>
      <c r="P346" s="46">
        <f t="shared" ref="P346:P350" ca="1" si="36">O346/SUM(O:O)</f>
        <v>7.2463768115980703E-4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input_518010!A$2</f>
        <v>518010</v>
      </c>
      <c r="B347" s="2">
        <v>1262</v>
      </c>
      <c r="C347" s="7" t="str">
        <f t="shared" si="34"/>
        <v>PremiumSS5R5only</v>
      </c>
      <c r="D347" s="96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IFERROR(VLOOKUP(B347,input_518010!L:R,7,FALSE),VLOOKUP(tables_518010!C347,input_518010!A:H,8,FALSE))</f>
        <v>95000</v>
      </c>
      <c r="P347" s="46">
        <f t="shared" ca="1" si="36"/>
        <v>7.2463768115980703E-4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input_518010!A$2</f>
        <v>518010</v>
      </c>
      <c r="B348" s="2">
        <v>1264</v>
      </c>
      <c r="C348" s="7" t="str">
        <f t="shared" si="34"/>
        <v>PremiumSS5R5only</v>
      </c>
      <c r="D348" s="96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IFERROR(VLOOKUP(B348,input_518010!L:R,7,FALSE),VLOOKUP(tables_518010!C348,input_518010!A:H,8,FALSE))</f>
        <v>95000</v>
      </c>
      <c r="P348" s="46">
        <f t="shared" ca="1" si="36"/>
        <v>7.2463768115980703E-4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input_518010!A$2</f>
        <v>518010</v>
      </c>
      <c r="B349" s="2">
        <v>1266</v>
      </c>
      <c r="C349" s="7" t="str">
        <f t="shared" si="34"/>
        <v>Premium4R3less</v>
      </c>
      <c r="D349" s="96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IFERROR(VLOOKUP(B349,input_518010!L:R,7,FALSE),VLOOKUP(tables_518010!C349,input_518010!A:H,8,FALSE))</f>
        <v>898815.78946999996</v>
      </c>
      <c r="P349" s="46">
        <f t="shared" ca="1" si="36"/>
        <v>6.8559556786459159E-3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input_518010!A$2</f>
        <v>518010</v>
      </c>
      <c r="B350" s="2">
        <v>1267</v>
      </c>
      <c r="C350" s="7" t="str">
        <f t="shared" si="34"/>
        <v>Premium5R3less</v>
      </c>
      <c r="D350" s="96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IFERROR(VLOOKUP(B350,input_518010!L:R,7,FALSE),VLOOKUP(tables_518010!C350,input_518010!A:H,8,FALSE))</f>
        <v>103500</v>
      </c>
      <c r="P350" s="46">
        <f t="shared" ca="1" si="36"/>
        <v>7.8947368421094762E-4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input_518010!A$2</f>
        <v>518010</v>
      </c>
      <c r="B351" s="2">
        <v>539</v>
      </c>
      <c r="C351" s="7" t="str">
        <f t="shared" si="32"/>
        <v>PremiumSSS4R3less</v>
      </c>
      <c r="D351" s="96" t="str">
        <f t="shared" si="33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初音ミク・アペンド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unknown</v>
      </c>
      <c r="N351" s="7" t="str">
        <f>VLOOKUP(B351,[1]characters!$A:$G,7,FALSE)</f>
        <v>女性</v>
      </c>
      <c r="O351" s="45">
        <f>IFERROR(VLOOKUP(B351,input_518010!L:R,7,FALSE),VLOOKUP(tables_518010!C351,input_518010!A:H,8,FALSE))</f>
        <v>1311000</v>
      </c>
      <c r="P351" s="46">
        <f t="shared" ref="P351:P363" ca="1" si="37">O351/SUM(O:O)</f>
        <v>1.0000000000005336E-2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1">
        <v>5</v>
      </c>
    </row>
    <row r="352" spans="1:22" ht="21" customHeight="1" x14ac:dyDescent="0.15">
      <c r="A352" s="2" t="str">
        <f ca="1">input_518010!A$2</f>
        <v>518010</v>
      </c>
      <c r="B352" s="2">
        <v>540</v>
      </c>
      <c r="C352" s="7" t="str">
        <f t="shared" si="32"/>
        <v>PremiumSSS5R3less</v>
      </c>
      <c r="D352" s="96" t="str">
        <f t="shared" si="33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来訪の歌姫 初音ミク・アペンド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technical</v>
      </c>
      <c r="M352" s="7" t="str">
        <f>VLOOKUP(B352,[1]characters!$A:$M,13,FALSE)</f>
        <v>unknown</v>
      </c>
      <c r="N352" s="7" t="str">
        <f>VLOOKUP(B352,[1]characters!$A:$G,7,FALSE)</f>
        <v>女性</v>
      </c>
      <c r="O352" s="45">
        <f>IFERROR(VLOOKUP(B352,input_518010!L:R,7,FALSE),VLOOKUP(tables_518010!C352,input_518010!A:H,8,FALSE))</f>
        <v>1311000</v>
      </c>
      <c r="P352" s="46">
        <f t="shared" ca="1" si="37"/>
        <v>1.0000000000005336E-2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1">
        <v>5</v>
      </c>
    </row>
    <row r="353" spans="1:22" ht="21" customHeight="1" x14ac:dyDescent="0.15">
      <c r="A353" s="2" t="str">
        <f ca="1">input_518010!A$2</f>
        <v>518010</v>
      </c>
      <c r="B353" s="2">
        <v>545</v>
      </c>
      <c r="C353" s="7" t="str">
        <f t="shared" si="32"/>
        <v>PremiumSS4</v>
      </c>
      <c r="D353" s="96" t="str">
        <f t="shared" si="33"/>
        <v>PremiumSS</v>
      </c>
      <c r="E353" s="7"/>
      <c r="F353" s="7" t="str">
        <f>IF(COUNTIF('R6開放'!A:A,B353)&gt;0,"R6release","")</f>
        <v/>
      </c>
      <c r="G353" s="7"/>
      <c r="H353" s="7" t="str">
        <f>VLOOKUP(B353,[1]characters!$A:$C,3,FALSE)</f>
        <v>鏡音レン</v>
      </c>
      <c r="I353" s="7" t="str">
        <f>VLOOKUP(B353,[1]characters!$A:$J,10,FALSE)</f>
        <v>PremiumSS</v>
      </c>
      <c r="J353" s="7">
        <f>VLOOKUP(B353,[1]characters!$A:$I,9,FALSE)</f>
        <v>4</v>
      </c>
      <c r="K353" s="7" t="str">
        <f>VLOOKUP(B353,[1]characters!$A:$H,8,FALSE)</f>
        <v>yellow</v>
      </c>
      <c r="L353" s="7" t="str">
        <f>VLOOKUP(B353,[1]characters!$A:$K,11,FALSE)</f>
        <v>heal</v>
      </c>
      <c r="M353" s="7" t="str">
        <f>VLOOKUP(B353,[1]characters!$A:$M,13,FALSE)</f>
        <v>unknown</v>
      </c>
      <c r="N353" s="7" t="str">
        <f>VLOOKUP(B353,[1]characters!$A:$G,7,FALSE)</f>
        <v>男性</v>
      </c>
      <c r="O353" s="45">
        <f>IFERROR(VLOOKUP(B353,input_518010!L:R,7,FALSE),VLOOKUP(tables_518010!C353,input_518010!A:H,8,FALSE))</f>
        <v>1966500</v>
      </c>
      <c r="P353" s="46">
        <f t="shared" ca="1" si="37"/>
        <v>1.5000000000008005E-2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1">
        <v>5</v>
      </c>
    </row>
    <row r="354" spans="1:22" ht="21" customHeight="1" x14ac:dyDescent="0.15">
      <c r="A354" s="2" t="str">
        <f ca="1">input_518010!A$2</f>
        <v>518010</v>
      </c>
      <c r="B354" s="2">
        <v>546</v>
      </c>
      <c r="C354" s="7" t="str">
        <f t="shared" si="32"/>
        <v>PremiumSS5</v>
      </c>
      <c r="D354" s="96" t="str">
        <f t="shared" si="33"/>
        <v>PremiumSS</v>
      </c>
      <c r="E354" s="7"/>
      <c r="F354" s="7" t="str">
        <f>IF(COUNTIF('R6開放'!A:A,B354)&gt;0,"R6release","")</f>
        <v/>
      </c>
      <c r="G354" s="7"/>
      <c r="H354" s="7" t="str">
        <f>VLOOKUP(B354,[1]characters!$A:$C,3,FALSE)</f>
        <v>残響の連符 鏡音レン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yellow</v>
      </c>
      <c r="L354" s="7" t="str">
        <f>VLOOKUP(B354,[1]characters!$A:$K,11,FALSE)</f>
        <v>heal</v>
      </c>
      <c r="M354" s="7" t="str">
        <f>VLOOKUP(B354,[1]characters!$A:$M,13,FALSE)</f>
        <v>unknown</v>
      </c>
      <c r="N354" s="7" t="str">
        <f>VLOOKUP(B354,[1]characters!$A:$G,7,FALSE)</f>
        <v>男性</v>
      </c>
      <c r="O354" s="45">
        <f>IFERROR(VLOOKUP(B354,input_518010!L:R,7,FALSE),VLOOKUP(tables_518010!C354,input_518010!A:H,8,FALSE))</f>
        <v>1966500</v>
      </c>
      <c r="P354" s="46">
        <f t="shared" ca="1" si="37"/>
        <v>1.5000000000008005E-2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1">
        <v>5</v>
      </c>
    </row>
    <row r="355" spans="1:22" ht="21" customHeight="1" x14ac:dyDescent="0.15">
      <c r="A355" s="2" t="str">
        <f ca="1">input_518010!A$2</f>
        <v>518010</v>
      </c>
      <c r="B355" s="2">
        <v>547</v>
      </c>
      <c r="C355" s="7" t="str">
        <f t="shared" ref="C355" si="38">D355&amp;J355&amp;E355&amp;F355&amp;G355</f>
        <v>Premium3</v>
      </c>
      <c r="D355" s="96" t="str">
        <f t="shared" ref="D355" si="39">IF(OR(I355="PremiumSS",I355="PremiumSSw"),"PremiumSS",IF(I355="PremiumSSS",I355,IF(I355="PremiumW",IF(J355=5,"premium",I355),"Premium")))</f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巡音ルカ</v>
      </c>
      <c r="I355" s="7" t="str">
        <f>VLOOKUP(B355,[1]characters!$A:$J,10,FALSE)</f>
        <v>PremiumS</v>
      </c>
      <c r="J355" s="7">
        <f>VLOOKUP(B355,[1]characters!$A:$I,9,FALSE)</f>
        <v>3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IFERROR(VLOOKUP(B355,input_518010!L:R,7,FALSE),VLOOKUP(tables_518010!C355,input_518010!A:H,8,FALSE))</f>
        <v>2949750.0000000005</v>
      </c>
      <c r="P355" s="46">
        <f t="shared" ca="1" si="37"/>
        <v>2.250000000001201E-2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1">
        <v>5</v>
      </c>
    </row>
    <row r="356" spans="1:22" ht="21" customHeight="1" x14ac:dyDescent="0.15">
      <c r="A356" s="2" t="str">
        <f ca="1">input_518010!A$2</f>
        <v>518010</v>
      </c>
      <c r="B356" s="2">
        <v>548</v>
      </c>
      <c r="C356" s="7" t="str">
        <f t="shared" si="32"/>
        <v>Premium4</v>
      </c>
      <c r="D356" s="96" t="str">
        <f t="shared" si="33"/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乱舞の音環 巡音ルカ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 t="str">
        <f>VLOOKUP(B356,[1]characters!$A:$G,7,FALSE)</f>
        <v>女性</v>
      </c>
      <c r="O356" s="45">
        <f>IFERROR(VLOOKUP(B356,input_518010!L:R,7,FALSE),VLOOKUP(tables_518010!C356,input_518010!A:H,8,FALSE))</f>
        <v>2949750.0000000005</v>
      </c>
      <c r="P356" s="46">
        <f t="shared" ca="1" si="37"/>
        <v>2.250000000001201E-2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1">
        <v>5</v>
      </c>
    </row>
    <row r="357" spans="1:22" ht="21" customHeight="1" x14ac:dyDescent="0.15">
      <c r="A357" s="2" t="str">
        <f ca="1">input_518010!A$2</f>
        <v>518010</v>
      </c>
      <c r="B357" s="2">
        <v>549</v>
      </c>
      <c r="C357" s="7" t="str">
        <f t="shared" ref="C357" si="40">D357&amp;J357&amp;E357&amp;F357&amp;G357</f>
        <v>Premium3</v>
      </c>
      <c r="D357" s="96" t="str">
        <f t="shared" ref="D357" si="41">IF(OR(I357="PremiumSS",I357="PremiumSSw"),"PremiumSS",IF(I357="PremiumSSS",I357,IF(I357="PremiumW",IF(J357=5,"premium",I357),"Premium")))</f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MEIKO</v>
      </c>
      <c r="I357" s="7" t="str">
        <f>VLOOKUP(B357,[1]characters!$A:$J,10,FALSE)</f>
        <v>PremiumS</v>
      </c>
      <c r="J357" s="7">
        <f>VLOOKUP(B357,[1]characters!$A:$I,9,FALSE)</f>
        <v>3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unknown</v>
      </c>
      <c r="N357" s="7" t="str">
        <f>VLOOKUP(B357,[1]characters!$A:$G,7,FALSE)</f>
        <v>女性</v>
      </c>
      <c r="O357" s="45">
        <f>IFERROR(VLOOKUP(B357,input_518010!L:R,7,FALSE),VLOOKUP(tables_518010!C357,input_518010!A:H,8,FALSE))</f>
        <v>2949750.0000000005</v>
      </c>
      <c r="P357" s="46">
        <f t="shared" ca="1" si="37"/>
        <v>2.250000000001201E-2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1">
        <v>5</v>
      </c>
    </row>
    <row r="358" spans="1:22" ht="21" customHeight="1" x14ac:dyDescent="0.15">
      <c r="A358" s="2" t="str">
        <f ca="1">input_518010!A$2</f>
        <v>518010</v>
      </c>
      <c r="B358" s="2">
        <v>550</v>
      </c>
      <c r="C358" s="7" t="str">
        <f t="shared" si="32"/>
        <v>Premium4</v>
      </c>
      <c r="D358" s="96" t="str">
        <f t="shared" si="33"/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解放の絶唱 MEIKO</v>
      </c>
      <c r="I358" s="7" t="str">
        <f>VLOOKUP(B358,[1]characters!$A:$J,10,FALSE)</f>
        <v>PremiumS</v>
      </c>
      <c r="J358" s="7">
        <f>VLOOKUP(B358,[1]characters!$A:$I,9,FALSE)</f>
        <v>4</v>
      </c>
      <c r="K358" s="7" t="str">
        <f>VLOOKUP(B358,[1]characters!$A:$H,8,FALSE)</f>
        <v>red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 t="str">
        <f>VLOOKUP(B358,[1]characters!$A:$G,7,FALSE)</f>
        <v>女性</v>
      </c>
      <c r="O358" s="45">
        <f>IFERROR(VLOOKUP(B358,input_518010!L:R,7,FALSE),VLOOKUP(tables_518010!C358,input_518010!A:H,8,FALSE))</f>
        <v>2949750.0000000005</v>
      </c>
      <c r="P358" s="46">
        <f t="shared" ca="1" si="37"/>
        <v>2.250000000001201E-2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1">
        <v>5</v>
      </c>
    </row>
    <row r="359" spans="1:22" ht="21" customHeight="1" x14ac:dyDescent="0.15">
      <c r="A359" s="2" t="str">
        <f ca="1">input_518010!A$2</f>
        <v>518010</v>
      </c>
      <c r="B359" s="2">
        <v>551</v>
      </c>
      <c r="C359" s="7" t="str">
        <f t="shared" si="32"/>
        <v>Premium3</v>
      </c>
      <c r="D359" s="96" t="str">
        <f t="shared" si="33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KAITO</v>
      </c>
      <c r="I359" s="7" t="str">
        <f>VLOOKUP(B359,[1]characters!$A:$J,10,FALSE)</f>
        <v>PremiumS</v>
      </c>
      <c r="J359" s="7">
        <f>VLOOKUP(B359,[1]characters!$A:$I,9,FALSE)</f>
        <v>3</v>
      </c>
      <c r="K359" s="7" t="str">
        <f>VLOOKUP(B359,[1]characters!$A:$H,8,FALSE)</f>
        <v>blue</v>
      </c>
      <c r="L359" s="7" t="str">
        <f>VLOOKUP(B359,[1]characters!$A:$K,11,FALSE)</f>
        <v>technical</v>
      </c>
      <c r="M359" s="7" t="str">
        <f>VLOOKUP(B359,[1]characters!$A:$M,13,FALSE)</f>
        <v>unknown</v>
      </c>
      <c r="N359" s="7" t="str">
        <f>VLOOKUP(B359,[1]characters!$A:$G,7,FALSE)</f>
        <v>男性</v>
      </c>
      <c r="O359" s="45">
        <f>IFERROR(VLOOKUP(B359,input_518010!L:R,7,FALSE),VLOOKUP(tables_518010!C359,input_518010!A:H,8,FALSE))</f>
        <v>2949750.0000000005</v>
      </c>
      <c r="P359" s="46">
        <f t="shared" ca="1" si="37"/>
        <v>2.250000000001201E-2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1">
        <v>5</v>
      </c>
    </row>
    <row r="360" spans="1:22" ht="21" customHeight="1" x14ac:dyDescent="0.15">
      <c r="A360" s="2" t="str">
        <f ca="1">input_518010!A$2</f>
        <v>518010</v>
      </c>
      <c r="B360" s="2">
        <v>552</v>
      </c>
      <c r="C360" s="7" t="str">
        <f t="shared" ref="C360:C363" si="42">D360&amp;J360&amp;E360&amp;F360&amp;G360</f>
        <v>Premium4</v>
      </c>
      <c r="D360" s="96" t="str">
        <f t="shared" ref="D360:D363" si="43">IF(OR(I360="PremiumSS",I360="PremiumSSw"),"PremiumSS",IF(I360="PremiumSSS",I360,IF(I360="PremiumW",IF(J360=5,"premium",I360),"Premium")))</f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愉悦の愛唱 KAITO</v>
      </c>
      <c r="I360" s="7" t="str">
        <f>VLOOKUP(B360,[1]characters!$A:$J,10,FALSE)</f>
        <v>PremiumS</v>
      </c>
      <c r="J360" s="7">
        <f>VLOOKUP(B360,[1]characters!$A:$I,9,FALSE)</f>
        <v>4</v>
      </c>
      <c r="K360" s="7" t="str">
        <f>VLOOKUP(B360,[1]characters!$A:$H,8,FALSE)</f>
        <v>blue</v>
      </c>
      <c r="L360" s="7" t="str">
        <f>VLOOKUP(B360,[1]characters!$A:$K,11,FALSE)</f>
        <v>technical</v>
      </c>
      <c r="M360" s="7" t="str">
        <f>VLOOKUP(B360,[1]characters!$A:$M,13,FALSE)</f>
        <v>unknown</v>
      </c>
      <c r="N360" s="7" t="str">
        <f>VLOOKUP(B360,[1]characters!$A:$G,7,FALSE)</f>
        <v>男性</v>
      </c>
      <c r="O360" s="45">
        <f>IFERROR(VLOOKUP(B360,input_518010!L:R,7,FALSE),VLOOKUP(tables_518010!C360,input_518010!A:H,8,FALSE))</f>
        <v>2949750.0000000005</v>
      </c>
      <c r="P360" s="46">
        <f t="shared" ca="1" si="37"/>
        <v>2.250000000001201E-2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1">
        <v>5</v>
      </c>
    </row>
    <row r="361" spans="1:22" ht="21" customHeight="1" x14ac:dyDescent="0.15">
      <c r="A361" s="2" t="str">
        <f ca="1">input_518010!A$2</f>
        <v>518010</v>
      </c>
      <c r="B361" s="2">
        <v>1313</v>
      </c>
      <c r="C361" s="7" t="str">
        <f t="shared" si="42"/>
        <v>Premium5</v>
      </c>
      <c r="D361" s="7" t="str">
        <f t="shared" si="43"/>
        <v>Premium</v>
      </c>
      <c r="E361" s="7"/>
      <c r="F361" s="7" t="str">
        <f>IF(COUNTIF('R6開放'!A:A,B361)&gt;0,"R6release","")</f>
        <v/>
      </c>
      <c r="G361" s="7"/>
      <c r="H361" s="7" t="str">
        <f>VLOOKUP(B361,[1]characters!$A:$C,3,FALSE)</f>
        <v>旋律する音廻 巡音ルカ</v>
      </c>
      <c r="I361" s="7" t="str">
        <f>VLOOKUP(B361,[1]characters!$A:$J,10,FALSE)</f>
        <v>PremiumS</v>
      </c>
      <c r="J361" s="7">
        <f>VLOOKUP(B361,[1]characters!$A:$I,9,FALSE)</f>
        <v>5</v>
      </c>
      <c r="K361" s="7" t="str">
        <f>VLOOKUP(B361,[1]characters!$A:$H,8,FALSE)</f>
        <v>red</v>
      </c>
      <c r="L361" s="7" t="str">
        <f>VLOOKUP(B361,[1]characters!$A:$K,11,FALSE)</f>
        <v>attack</v>
      </c>
      <c r="M361" s="7" t="str">
        <f>VLOOKUP(B361,[1]characters!$A:$M,13,FALSE)</f>
        <v>unknown</v>
      </c>
      <c r="N361" s="7">
        <f>VLOOKUP(B361,[1]characters!$A:$G,7,FALSE)</f>
        <v>0</v>
      </c>
      <c r="O361" s="45">
        <f>IFERROR(VLOOKUP(B361,input_518010!L:R,7,FALSE),VLOOKUP(tables_518010!C361,input_518010!A:H,8,FALSE))</f>
        <v>655500.00000000012</v>
      </c>
      <c r="P361" s="46">
        <f t="shared" ca="1" si="37"/>
        <v>5.000000000002669E-3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1">
        <v>5</v>
      </c>
    </row>
    <row r="362" spans="1:22" ht="21" customHeight="1" x14ac:dyDescent="0.15">
      <c r="A362" s="2" t="str">
        <f ca="1">input_518010!A$2</f>
        <v>518010</v>
      </c>
      <c r="B362" s="2">
        <v>1314</v>
      </c>
      <c r="C362" s="7" t="str">
        <f t="shared" si="42"/>
        <v>Premium5</v>
      </c>
      <c r="D362" s="7" t="str">
        <f t="shared" si="43"/>
        <v>Premium</v>
      </c>
      <c r="E362" s="7"/>
      <c r="F362" s="7" t="str">
        <f>IF(COUNTIF('R6開放'!A:A,B362)&gt;0,"R6release","")</f>
        <v/>
      </c>
      <c r="G362" s="7"/>
      <c r="H362" s="7" t="str">
        <f>VLOOKUP(B362,[1]characters!$A:$C,3,FALSE)</f>
        <v>救声の唱動 MEIKO</v>
      </c>
      <c r="I362" s="7" t="str">
        <f>VLOOKUP(B362,[1]characters!$A:$J,10,FALSE)</f>
        <v>PremiumS</v>
      </c>
      <c r="J362" s="7">
        <f>VLOOKUP(B362,[1]characters!$A:$I,9,FALSE)</f>
        <v>5</v>
      </c>
      <c r="K362" s="7" t="str">
        <f>VLOOKUP(B362,[1]characters!$A:$H,8,FALSE)</f>
        <v>red</v>
      </c>
      <c r="L362" s="7" t="str">
        <f>VLOOKUP(B362,[1]characters!$A:$K,11,FALSE)</f>
        <v>hp</v>
      </c>
      <c r="M362" s="7" t="str">
        <f>VLOOKUP(B362,[1]characters!$A:$M,13,FALSE)</f>
        <v>unknown</v>
      </c>
      <c r="N362" s="7">
        <f>VLOOKUP(B362,[1]characters!$A:$G,7,FALSE)</f>
        <v>0</v>
      </c>
      <c r="O362" s="45">
        <f>IFERROR(VLOOKUP(B362,input_518010!L:R,7,FALSE),VLOOKUP(tables_518010!C362,input_518010!A:H,8,FALSE))</f>
        <v>655500.00000000012</v>
      </c>
      <c r="P362" s="46">
        <f t="shared" ca="1" si="37"/>
        <v>5.000000000002669E-3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1">
        <v>5</v>
      </c>
    </row>
    <row r="363" spans="1:22" ht="21" customHeight="1" x14ac:dyDescent="0.15">
      <c r="A363" s="2" t="str">
        <f ca="1">input_518010!A$2</f>
        <v>518010</v>
      </c>
      <c r="B363" s="2">
        <v>1315</v>
      </c>
      <c r="C363" s="7" t="str">
        <f t="shared" si="42"/>
        <v>Premium5</v>
      </c>
      <c r="D363" s="7" t="str">
        <f t="shared" si="43"/>
        <v>Premium</v>
      </c>
      <c r="E363" s="7"/>
      <c r="F363" s="7" t="str">
        <f>IF(COUNTIF('R6開放'!A:A,B363)&gt;0,"R6release","")</f>
        <v/>
      </c>
      <c r="G363" s="7"/>
      <c r="H363" s="7" t="str">
        <f>VLOOKUP(B363,[1]characters!$A:$C,3,FALSE)</f>
        <v>快響の楽唱歌 KAITO</v>
      </c>
      <c r="I363" s="7" t="str">
        <f>VLOOKUP(B363,[1]characters!$A:$J,10,FALSE)</f>
        <v>PremiumS</v>
      </c>
      <c r="J363" s="7">
        <f>VLOOKUP(B363,[1]characters!$A:$I,9,FALSE)</f>
        <v>5</v>
      </c>
      <c r="K363" s="7" t="str">
        <f>VLOOKUP(B363,[1]characters!$A:$H,8,FALSE)</f>
        <v>blue</v>
      </c>
      <c r="L363" s="7" t="str">
        <f>VLOOKUP(B363,[1]characters!$A:$K,11,FALSE)</f>
        <v>technical</v>
      </c>
      <c r="M363" s="7" t="str">
        <f>VLOOKUP(B363,[1]characters!$A:$M,13,FALSE)</f>
        <v>unknown</v>
      </c>
      <c r="N363" s="7">
        <f>VLOOKUP(B363,[1]characters!$A:$G,7,FALSE)</f>
        <v>0</v>
      </c>
      <c r="O363" s="45">
        <f>IFERROR(VLOOKUP(B363,input_518010!L:R,7,FALSE),VLOOKUP(tables_518010!C363,input_518010!A:H,8,FALSE))</f>
        <v>655500.00000000012</v>
      </c>
      <c r="P363" s="46">
        <f t="shared" ca="1" si="37"/>
        <v>5.000000000002669E-3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1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M8" sqref="M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539</v>
      </c>
      <c r="M3" s="37" t="str">
        <f>VLOOKUP(L3,[1]characters!$A:$C,3,FALSE)</f>
        <v>初音ミク・アペンド</v>
      </c>
      <c r="N3" s="63">
        <v>0.01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VLOOKUP(L3,tables_518100!B:C,2,FALSE)</f>
        <v>PremiumSSS4R3less</v>
      </c>
      <c r="R3" s="62">
        <f t="shared" ref="R3:R17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540</v>
      </c>
      <c r="M4" s="37" t="str">
        <f>VLOOKUP(L4,[1]characters!$A:$C,3,FALSE)</f>
        <v>来訪の歌姫 初音ミク・アペンド</v>
      </c>
      <c r="N4" s="63">
        <v>0.01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VLOOKUP(L4,tables_518100!B:C,2,FALSE)</f>
        <v>PremiumSSS5R3less</v>
      </c>
      <c r="R4" s="62">
        <f t="shared" si="1"/>
        <v>1311000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(COUNTIF(tables_518100!C:C,input_518100!A28)+COUNTIF(tables_518100!C:C,input_518100!A29))</f>
        <v>70</v>
      </c>
      <c r="H5" s="84">
        <v>0.03</v>
      </c>
      <c r="I5" s="31">
        <v>1</v>
      </c>
      <c r="L5" s="1">
        <v>545</v>
      </c>
      <c r="M5" s="37" t="str">
        <f>VLOOKUP(L5,[1]characters!$A:$C,3,FALSE)</f>
        <v>鏡音レン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VLOOKUP(L5,tables_518100!B:C,2,FALSE)</f>
        <v>PremiumSS4</v>
      </c>
      <c r="R5" s="62">
        <f t="shared" si="1"/>
        <v>1966500</v>
      </c>
      <c r="S5">
        <v>192</v>
      </c>
      <c r="U5" s="33" t="s">
        <v>98</v>
      </c>
      <c r="V5" s="54">
        <f t="shared" si="0"/>
        <v>0.13500000000000001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7.8947368421052634E-3</v>
      </c>
      <c r="F6">
        <f>(COUNTIF(tables_518100!C:C,input_518100!A25)+COUNTIF(tables_518100!C:C,input_518100!A18)+COUNTIF(tables_518100!C:C,input_518100!A20)+COUNTIF(tables_518100!C:C,input_518100!A22))</f>
        <v>98</v>
      </c>
      <c r="H6" s="88">
        <v>0.15</v>
      </c>
      <c r="I6" s="31">
        <v>3</v>
      </c>
      <c r="L6" s="1">
        <v>546</v>
      </c>
      <c r="M6" s="37" t="str">
        <f>VLOOKUP(L6,[1]characters!$A:$C,3,FALSE)</f>
        <v>残響の連符 鏡音レン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VLOOKUP(L6,tables_518100!B:C,2,FALSE)</f>
        <v>PremiumSS5</v>
      </c>
      <c r="R6" s="62">
        <f t="shared" si="1"/>
        <v>1966500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548</v>
      </c>
      <c r="M7" s="37" t="str">
        <f>VLOOKUP(L7,[1]characters!$A:$C,3,FALSE)</f>
        <v>乱舞の音環 巡音ルカ</v>
      </c>
      <c r="N7" s="63">
        <f>0.05*0.9</f>
        <v>4.5000000000000005E-2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VLOOKUP(L7,tables_518100!B:C,2,FALSE)</f>
        <v>Premium4</v>
      </c>
      <c r="R7" s="62">
        <f t="shared" si="1"/>
        <v>5899500.0000000009</v>
      </c>
      <c r="S7">
        <v>598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1313</v>
      </c>
      <c r="M8" s="37" t="str">
        <f>VLOOKUP(L8,[1]characters!$A:$C,3,FALSE)</f>
        <v>旋律する音廻 巡音ルカ</v>
      </c>
      <c r="N8" s="63">
        <f>0.05*0.1</f>
        <v>5.000000000000001E-3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VLOOKUP(L8,tables_518100!B:C,2,FALSE)</f>
        <v>Premium5</v>
      </c>
      <c r="R8" s="62">
        <f t="shared" si="1"/>
        <v>655500.00000000012</v>
      </c>
      <c r="S8">
        <v>391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550</v>
      </c>
      <c r="M9" s="37" t="str">
        <f>VLOOKUP(L9,[1]characters!$A:$C,3,FALSE)</f>
        <v>解放の絶唱 MEIKO</v>
      </c>
      <c r="N9" s="63">
        <f t="shared" ref="N9:N11" si="2">0.05*0.9</f>
        <v>4.5000000000000005E-2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VLOOKUP(L9,tables_518100!B:C,2,FALSE)</f>
        <v>Premium4</v>
      </c>
      <c r="R9" s="62">
        <f t="shared" si="1"/>
        <v>5899500.0000000009</v>
      </c>
      <c r="S9">
        <v>496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99">
        <v>1314</v>
      </c>
      <c r="M10" s="37" t="str">
        <f>VLOOKUP(L10,[1]characters!$A:$C,3,FALSE)</f>
        <v>救声の唱動 MEIKO</v>
      </c>
      <c r="N10" s="63">
        <f>0.05*0.1</f>
        <v>5.000000000000001E-3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VLOOKUP(L10,tables_518100!B:C,2,FALSE)</f>
        <v>Premium5</v>
      </c>
      <c r="R10" s="62">
        <f t="shared" si="1"/>
        <v>655500.00000000012</v>
      </c>
      <c r="S10">
        <v>497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0.08</v>
      </c>
      <c r="C11" t="s">
        <v>254</v>
      </c>
      <c r="L11" s="1">
        <v>552</v>
      </c>
      <c r="M11" s="37" t="str">
        <f>VLOOKUP(L11,[1]characters!$A:$C,3,FALSE)</f>
        <v>愉悦の愛唱 KAITO</v>
      </c>
      <c r="N11" s="63">
        <f t="shared" si="2"/>
        <v>4.5000000000000005E-2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VLOOKUP(L11,tables_518100!B:C,2,FALSE)</f>
        <v>Premium4</v>
      </c>
      <c r="R11" s="62">
        <f t="shared" si="1"/>
        <v>5899500.0000000009</v>
      </c>
      <c r="S11">
        <v>498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0.02</v>
      </c>
      <c r="L12" s="1">
        <v>1315</v>
      </c>
      <c r="M12" s="37" t="str">
        <f>VLOOKUP(L12,[1]characters!$A:$C,3,FALSE)</f>
        <v>快響の楽唱歌 KAITO</v>
      </c>
      <c r="N12" s="63">
        <f t="shared" ref="N12" si="3">0.05*0.1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VLOOKUP(L12,tables_518100!B:C,2,FALSE)</f>
        <v>Premium5</v>
      </c>
      <c r="R12" s="62">
        <f t="shared" si="1"/>
        <v>655500.00000000012</v>
      </c>
      <c r="S12">
        <v>395</v>
      </c>
      <c r="U12" s="33" t="s">
        <v>106</v>
      </c>
      <c r="V12" s="54">
        <f t="shared" si="0"/>
        <v>1.4999999999999999E-2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VLOOKUP(L13,tables_518100!B:C,2,FALSE)</f>
        <v>#N/A</v>
      </c>
      <c r="R13" s="62">
        <f t="shared" si="1"/>
        <v>0</v>
      </c>
      <c r="S13">
        <v>396</v>
      </c>
      <c r="U13" s="33" t="s">
        <v>107</v>
      </c>
      <c r="V13" s="54">
        <f t="shared" si="0"/>
        <v>1.4999999999999999E-2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VLOOKUP(L14,tables_518100!B:C,2,FALSE)</f>
        <v>#N/A</v>
      </c>
      <c r="R14" s="62">
        <f t="shared" si="1"/>
        <v>0</v>
      </c>
      <c r="S14">
        <v>397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VLOOKUP(L15,tables_518100!B:C,2,FALSE)</f>
        <v>#N/A</v>
      </c>
      <c r="R15" s="62">
        <f t="shared" si="1"/>
        <v>0</v>
      </c>
      <c r="S15">
        <v>324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VLOOKUP(L16,tables_518100!B:C,2,FALSE)</f>
        <v>#N/A</v>
      </c>
      <c r="R16" s="62">
        <f t="shared" si="1"/>
        <v>0</v>
      </c>
      <c r="S16">
        <v>325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4">SUMIF(Q:Q,A17,N:N)</f>
        <v>0</v>
      </c>
      <c r="D17" s="74">
        <f t="shared" ref="D17:D32" si="5">B17-C17</f>
        <v>0</v>
      </c>
      <c r="E17">
        <f>COUNTIF(tables_518100!C:C,input_518100!A17)-COUNTIF(Q:Q,A17)</f>
        <v>20</v>
      </c>
      <c r="F17" s="43">
        <f>IFERROR(B17/E17,0)</f>
        <v>0</v>
      </c>
      <c r="G17">
        <f t="shared" ref="G17:G31" si="6">A$36*B17</f>
        <v>0</v>
      </c>
      <c r="H17">
        <f t="shared" ref="H17:H31" si="7">IFERROR(ROUND(G17/E17,5),0)</f>
        <v>0</v>
      </c>
      <c r="I17">
        <f t="shared" ref="I17:I31" si="8">MOD(H17,1)</f>
        <v>0</v>
      </c>
      <c r="J17">
        <f t="shared" ref="J17:J31" si="9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VLOOKUP(L17,tables_518100!B:C,2,FALSE)</f>
        <v>#N/A</v>
      </c>
      <c r="R17" s="62">
        <f t="shared" si="1"/>
        <v>0</v>
      </c>
      <c r="S17">
        <v>809</v>
      </c>
    </row>
    <row r="18" spans="1:19" x14ac:dyDescent="0.15">
      <c r="A18" s="33" t="s">
        <v>191</v>
      </c>
      <c r="B18" s="56">
        <f>E$6*E18-B17</f>
        <v>0.15789473684210525</v>
      </c>
      <c r="C18" s="85">
        <f t="shared" si="4"/>
        <v>0</v>
      </c>
      <c r="D18" s="74">
        <f t="shared" si="5"/>
        <v>0.15789473684210525</v>
      </c>
      <c r="E18">
        <f>COUNTIF(tables_518100!C:C,input_518100!A18)-COUNTIF(Q:Q,A18)</f>
        <v>20</v>
      </c>
      <c r="F18" s="43">
        <f>IFERROR(B18/E18,0)</f>
        <v>7.8947368421052634E-3</v>
      </c>
      <c r="G18">
        <f t="shared" si="6"/>
        <v>20700000</v>
      </c>
      <c r="H18">
        <f t="shared" si="7"/>
        <v>1035000</v>
      </c>
      <c r="I18">
        <f t="shared" si="8"/>
        <v>0</v>
      </c>
      <c r="J18">
        <f t="shared" si="9"/>
        <v>1</v>
      </c>
      <c r="L18" s="57"/>
      <c r="M18" s="57"/>
      <c r="N18" s="58"/>
      <c r="O18" s="57"/>
      <c r="P18" s="57"/>
      <c r="Q18" s="57"/>
      <c r="R18" s="59"/>
    </row>
    <row r="19" spans="1:19" x14ac:dyDescent="0.15">
      <c r="A19" s="33" t="s">
        <v>97</v>
      </c>
      <c r="B19" s="56">
        <f>E$6*E19*B$5</f>
        <v>0</v>
      </c>
      <c r="C19" s="85">
        <f t="shared" si="4"/>
        <v>0</v>
      </c>
      <c r="D19" s="74">
        <f t="shared" si="5"/>
        <v>0</v>
      </c>
      <c r="E19">
        <f>COUNTIF(tables_518100!C:C,input_518100!A19)-COUNTIF(Q:Q,A19)</f>
        <v>52</v>
      </c>
      <c r="F19" s="43">
        <f t="shared" ref="F19:F31" si="10">IFERROR(B19/E19,0)</f>
        <v>0</v>
      </c>
      <c r="G19">
        <f t="shared" si="6"/>
        <v>0</v>
      </c>
      <c r="H19">
        <f t="shared" si="7"/>
        <v>0</v>
      </c>
      <c r="I19">
        <f t="shared" si="8"/>
        <v>0</v>
      </c>
      <c r="J19">
        <f t="shared" si="9"/>
        <v>1</v>
      </c>
      <c r="L19" s="57"/>
      <c r="M19" s="57"/>
      <c r="N19" s="58"/>
      <c r="O19" s="57"/>
      <c r="P19" s="57"/>
      <c r="Q19" s="57"/>
      <c r="R19" s="59"/>
    </row>
    <row r="20" spans="1:19" x14ac:dyDescent="0.15">
      <c r="A20" s="33" t="s">
        <v>98</v>
      </c>
      <c r="B20" s="93">
        <f>E20*E6-B21</f>
        <v>0.36516018306636155</v>
      </c>
      <c r="C20" s="85">
        <f t="shared" si="4"/>
        <v>0.13500000000000001</v>
      </c>
      <c r="D20" s="74">
        <f t="shared" si="5"/>
        <v>0.23016018306636155</v>
      </c>
      <c r="E20">
        <f>COUNTIF(tables_518100!C:C,input_518100!A20)-COUNTIF(Q:Q,A20)</f>
        <v>52</v>
      </c>
      <c r="F20" s="43">
        <f t="shared" si="10"/>
        <v>7.0223112128146451E-3</v>
      </c>
      <c r="G20">
        <f t="shared" si="6"/>
        <v>47872500</v>
      </c>
      <c r="H20">
        <f t="shared" si="7"/>
        <v>920625</v>
      </c>
      <c r="I20">
        <f t="shared" si="8"/>
        <v>0</v>
      </c>
      <c r="J20">
        <f t="shared" si="9"/>
        <v>1</v>
      </c>
      <c r="L20" s="57"/>
      <c r="M20" s="57"/>
      <c r="N20" s="58"/>
      <c r="O20" s="57"/>
      <c r="P20" s="57"/>
      <c r="Q20" s="57"/>
      <c r="R20" s="59"/>
    </row>
    <row r="21" spans="1:19" x14ac:dyDescent="0.15">
      <c r="A21" s="33" t="s">
        <v>99</v>
      </c>
      <c r="B21" s="56">
        <f>B7-B23-B26-B28-B29</f>
        <v>4.5366132723112115E-2</v>
      </c>
      <c r="C21" s="85">
        <f t="shared" si="4"/>
        <v>1.5000000000000003E-2</v>
      </c>
      <c r="D21" s="74">
        <f t="shared" si="5"/>
        <v>3.0366132723112112E-2</v>
      </c>
      <c r="E21">
        <f>COUNTIF(tables_518100!C:C,input_518100!A21)-COUNTIF(Q:Q,A21)</f>
        <v>52</v>
      </c>
      <c r="F21" s="43">
        <f t="shared" si="10"/>
        <v>8.7242562929061758E-4</v>
      </c>
      <c r="G21">
        <f t="shared" si="6"/>
        <v>5947499.9999999981</v>
      </c>
      <c r="H21">
        <f t="shared" si="7"/>
        <v>114375</v>
      </c>
      <c r="I21">
        <f t="shared" si="8"/>
        <v>0</v>
      </c>
      <c r="J21">
        <f t="shared" si="9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0.13026315789473683</v>
      </c>
      <c r="C22" s="85">
        <f t="shared" si="4"/>
        <v>0</v>
      </c>
      <c r="D22" s="74">
        <f t="shared" si="5"/>
        <v>0.13026315789473683</v>
      </c>
      <c r="E22">
        <f>COUNTIF(tables_518100!C:C,input_518100!A22)-COUNTIF(Q:Q,A22)</f>
        <v>19</v>
      </c>
      <c r="F22" s="43">
        <f t="shared" si="10"/>
        <v>6.8559556786703599E-3</v>
      </c>
      <c r="G22">
        <f t="shared" si="6"/>
        <v>17077500</v>
      </c>
      <c r="H22">
        <f t="shared" si="7"/>
        <v>898815.78946999996</v>
      </c>
      <c r="I22">
        <f t="shared" si="8"/>
        <v>0.78946999995969236</v>
      </c>
      <c r="J22">
        <f t="shared" si="9"/>
        <v>1.2666725778700352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1.973684210526316E-2</v>
      </c>
      <c r="C23" s="85">
        <f t="shared" si="4"/>
        <v>0</v>
      </c>
      <c r="D23" s="74">
        <f t="shared" si="5"/>
        <v>1.973684210526316E-2</v>
      </c>
      <c r="E23">
        <f>COUNTIF(tables_518100!C:C,input_518100!A23)-COUNTIF(Q:Q,A23)</f>
        <v>25</v>
      </c>
      <c r="F23" s="43">
        <f t="shared" si="10"/>
        <v>7.8947368421052641E-4</v>
      </c>
      <c r="G23">
        <f t="shared" si="6"/>
        <v>2587500.0000000005</v>
      </c>
      <c r="H23">
        <f t="shared" si="7"/>
        <v>103500</v>
      </c>
      <c r="I23">
        <f t="shared" si="8"/>
        <v>0</v>
      </c>
      <c r="J23">
        <f t="shared" si="9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4"/>
        <v>0</v>
      </c>
      <c r="D24" s="74">
        <f t="shared" si="5"/>
        <v>0</v>
      </c>
      <c r="E24">
        <f>COUNTIF(tables_518100!C:C,input_518100!A24)-COUNTIF(Q:Q,A24)</f>
        <v>4</v>
      </c>
      <c r="F24" s="43">
        <f t="shared" si="10"/>
        <v>0</v>
      </c>
      <c r="G24">
        <f t="shared" si="6"/>
        <v>0</v>
      </c>
      <c r="H24">
        <f t="shared" si="7"/>
        <v>0</v>
      </c>
      <c r="I24">
        <f t="shared" si="8"/>
        <v>0</v>
      </c>
      <c r="J24">
        <f t="shared" si="9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2.8421052631578948E-2</v>
      </c>
      <c r="C25" s="85">
        <f t="shared" si="4"/>
        <v>0</v>
      </c>
      <c r="D25" s="74">
        <f t="shared" si="5"/>
        <v>2.8421052631578948E-2</v>
      </c>
      <c r="E25">
        <f>COUNTIF(tables_518100!C:C,input_518100!A25)-COUNTIF(Q:Q,A25)</f>
        <v>4</v>
      </c>
      <c r="F25" s="43">
        <f t="shared" si="10"/>
        <v>7.1052631578947369E-3</v>
      </c>
      <c r="G25">
        <f t="shared" si="6"/>
        <v>3726000</v>
      </c>
      <c r="H25">
        <f t="shared" si="7"/>
        <v>931500</v>
      </c>
      <c r="I25">
        <f t="shared" si="8"/>
        <v>0</v>
      </c>
      <c r="J25">
        <f t="shared" si="9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3.1578947368421056E-3</v>
      </c>
      <c r="C26" s="85">
        <f t="shared" si="4"/>
        <v>0</v>
      </c>
      <c r="D26" s="74">
        <f t="shared" si="5"/>
        <v>3.1578947368421056E-3</v>
      </c>
      <c r="E26">
        <f>COUNTIF(tables_518100!C:C,input_518100!A26)-COUNTIF(Q:Q,A26)</f>
        <v>4</v>
      </c>
      <c r="F26" s="43">
        <f t="shared" si="10"/>
        <v>7.8947368421052641E-4</v>
      </c>
      <c r="G26">
        <f t="shared" si="6"/>
        <v>414000.00000000006</v>
      </c>
      <c r="H26">
        <f t="shared" si="7"/>
        <v>103500</v>
      </c>
      <c r="I26">
        <f t="shared" si="8"/>
        <v>0</v>
      </c>
      <c r="J26">
        <f t="shared" si="9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4"/>
        <v>1.4999999999999999E-2</v>
      </c>
      <c r="D27" s="74">
        <f t="shared" si="5"/>
        <v>3.2608695652173898E-3</v>
      </c>
      <c r="E27">
        <f>COUNTIF(tables_518100!C:C,input_518100!A27)-COUNTIF(Q:Q,A27)</f>
        <v>28</v>
      </c>
      <c r="F27" s="43">
        <f>IFERROR(B27/E27,0)</f>
        <v>6.521739130434782E-4</v>
      </c>
      <c r="G27">
        <f t="shared" si="6"/>
        <v>2393999.9999999995</v>
      </c>
      <c r="H27">
        <f t="shared" si="7"/>
        <v>85500</v>
      </c>
      <c r="I27">
        <f t="shared" si="8"/>
        <v>0</v>
      </c>
      <c r="J27">
        <f t="shared" si="9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4"/>
        <v>1.4999999999999999E-2</v>
      </c>
      <c r="D28" s="74">
        <f t="shared" si="5"/>
        <v>-1.2971014492753622E-2</v>
      </c>
      <c r="E28">
        <f>COUNTIF(tables_518100!C:C,input_518100!A28)-COUNTIF(Q:Q,A28)</f>
        <v>28</v>
      </c>
      <c r="F28" s="43">
        <f t="shared" si="10"/>
        <v>7.2463768115942027E-5</v>
      </c>
      <c r="G28">
        <f t="shared" si="6"/>
        <v>266000</v>
      </c>
      <c r="H28">
        <f t="shared" si="7"/>
        <v>9500</v>
      </c>
      <c r="I28">
        <f t="shared" si="8"/>
        <v>0</v>
      </c>
      <c r="J28">
        <f t="shared" si="9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4"/>
        <v>0</v>
      </c>
      <c r="D29" s="74">
        <f t="shared" si="5"/>
        <v>2.9710144927536233E-2</v>
      </c>
      <c r="E29">
        <f>COUNTIF(tables_518100!C:C,input_518100!A29)-COUNTIF(Q:Q,A29)</f>
        <v>41</v>
      </c>
      <c r="F29" s="43">
        <f t="shared" si="10"/>
        <v>7.246376811594203E-4</v>
      </c>
      <c r="G29">
        <f t="shared" si="6"/>
        <v>3895000</v>
      </c>
      <c r="H29">
        <f t="shared" si="7"/>
        <v>95000</v>
      </c>
      <c r="I29">
        <f t="shared" si="8"/>
        <v>0</v>
      </c>
      <c r="J29">
        <f t="shared" si="9"/>
        <v>1</v>
      </c>
      <c r="L29" s="57"/>
      <c r="M29" s="57"/>
      <c r="N29" s="57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4"/>
        <v>0.01</v>
      </c>
      <c r="D30" s="74">
        <f t="shared" si="5"/>
        <v>-0.01</v>
      </c>
      <c r="E30">
        <f>COUNTIF(tables_518100!C:C,input_518100!A30)-COUNTIF(Q:Q,A30)</f>
        <v>0</v>
      </c>
      <c r="F30" s="43">
        <f t="shared" si="10"/>
        <v>0</v>
      </c>
      <c r="G30">
        <f t="shared" si="6"/>
        <v>0</v>
      </c>
      <c r="H30">
        <f t="shared" si="7"/>
        <v>0</v>
      </c>
      <c r="I30">
        <f t="shared" si="8"/>
        <v>0</v>
      </c>
      <c r="J30">
        <f t="shared" si="9"/>
        <v>1</v>
      </c>
    </row>
    <row r="31" spans="1:19" x14ac:dyDescent="0.15">
      <c r="A31" s="33" t="s">
        <v>240</v>
      </c>
      <c r="B31" s="56">
        <v>0</v>
      </c>
      <c r="C31" s="85">
        <f t="shared" si="4"/>
        <v>0.01</v>
      </c>
      <c r="D31" s="74">
        <f t="shared" si="5"/>
        <v>-0.01</v>
      </c>
      <c r="E31">
        <f>COUNTIF(tables_518100!C:C,input_518100!A31)-COUNTIF(Q:Q,A31)</f>
        <v>0</v>
      </c>
      <c r="F31" s="43">
        <f t="shared" si="10"/>
        <v>0</v>
      </c>
      <c r="G31">
        <f t="shared" si="6"/>
        <v>0</v>
      </c>
      <c r="H31">
        <f t="shared" si="7"/>
        <v>0</v>
      </c>
      <c r="I31">
        <f t="shared" si="8"/>
        <v>0</v>
      </c>
      <c r="J31">
        <f t="shared" si="9"/>
        <v>1</v>
      </c>
    </row>
    <row r="32" spans="1:19" x14ac:dyDescent="0.15">
      <c r="A32" s="39" t="s">
        <v>59</v>
      </c>
      <c r="B32" s="40">
        <f>SUM(B17:B31)</f>
        <v>0.8</v>
      </c>
      <c r="C32" s="41">
        <f>SUM(C19:C31)</f>
        <v>0.20000000000000007</v>
      </c>
      <c r="D32" s="42">
        <f t="shared" si="5"/>
        <v>0.6</v>
      </c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SUMIF(tables_518100!C:C,input_518100!A40,tables_518100!O:O)</f>
        <v>0</v>
      </c>
      <c r="C40" s="54">
        <f t="shared" ref="C40:C46" ca="1" si="11">B40/B$47</f>
        <v>0</v>
      </c>
      <c r="E40">
        <v>3</v>
      </c>
      <c r="F40">
        <f ca="1">SUMIF(tables_518100!J:J,input_518100!E40,tables_518100!O:O)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SUMIF(tables_518100!C:C,input_518100!A41,tables_518100!O:O)</f>
        <v>65571000</v>
      </c>
      <c r="C41" s="54">
        <f t="shared" ca="1" si="11"/>
        <v>0.81883913184644974</v>
      </c>
      <c r="E41">
        <v>4</v>
      </c>
      <c r="F41">
        <f ca="1">SUMIF(tables_518100!J:J,input_518100!E41,tables_518100!O:O)</f>
        <v>112745999.99993004</v>
      </c>
      <c r="G41">
        <f ca="1">F41/A36</f>
        <v>0.8599999999994663</v>
      </c>
    </row>
    <row r="42" spans="1:7" x14ac:dyDescent="0.15">
      <c r="A42" s="33" t="s">
        <v>106</v>
      </c>
      <c r="B42">
        <f ca="1">SUMIF(tables_518100!C:C,input_518100!A42,tables_518100!O:O)</f>
        <v>4360500</v>
      </c>
      <c r="C42" s="54">
        <f t="shared" ca="1" si="11"/>
        <v>5.4453158170783486E-2</v>
      </c>
      <c r="E42">
        <v>5</v>
      </c>
      <c r="F42">
        <f ca="1">SUMIF(tables_518100!J:J,input_518100!E42,tables_518100!O:O)</f>
        <v>18354000</v>
      </c>
      <c r="G42">
        <f ca="1">F42/A36</f>
        <v>0.14000000000000001</v>
      </c>
    </row>
    <row r="43" spans="1:7" x14ac:dyDescent="0.15">
      <c r="A43" s="33" t="s">
        <v>109</v>
      </c>
      <c r="B43">
        <f>SUMIF(tables_518100!C:C,input_518100!A43,tables_518100!O:O)</f>
        <v>0</v>
      </c>
      <c r="C43" s="54">
        <f t="shared" ca="1" si="11"/>
        <v>0</v>
      </c>
      <c r="F43" s="55"/>
    </row>
    <row r="44" spans="1:7" x14ac:dyDescent="0.15">
      <c r="A44" s="33" t="s">
        <v>105</v>
      </c>
      <c r="B44">
        <f ca="1">SUMIF(tables_518100!C:C,input_518100!A44,tables_518100!O:O)</f>
        <v>7914000</v>
      </c>
      <c r="C44" s="54">
        <f t="shared" ca="1" si="11"/>
        <v>9.8828642073977874E-2</v>
      </c>
      <c r="E44" t="s">
        <v>54</v>
      </c>
      <c r="F44" s="55"/>
    </row>
    <row r="45" spans="1:7" x14ac:dyDescent="0.15">
      <c r="A45" s="33" t="s">
        <v>107</v>
      </c>
      <c r="B45">
        <f ca="1">SUMIF(tables_518100!C:C,input_518100!A45,tables_518100!O:O)</f>
        <v>2232500</v>
      </c>
      <c r="C45" s="54">
        <f t="shared" ca="1" si="11"/>
        <v>2.787906790878893E-2</v>
      </c>
      <c r="E45" t="s">
        <v>204</v>
      </c>
      <c r="F45" s="55">
        <f ca="1">SUMIF(tables_518100!I:I,input_518100!E45,tables_518100!P:P)</f>
        <v>0.16263157894745525</v>
      </c>
    </row>
    <row r="46" spans="1:7" x14ac:dyDescent="0.15">
      <c r="A46" s="33" t="s">
        <v>108</v>
      </c>
      <c r="B46">
        <f>SUMIF(tables_518100!C:C,input_518100!A46,tables_518100!O:O)</f>
        <v>0</v>
      </c>
      <c r="C46" s="54">
        <f t="shared" ca="1" si="11"/>
        <v>0</v>
      </c>
      <c r="E46" t="s">
        <v>205</v>
      </c>
      <c r="F46" s="55">
        <f ca="1">SUMIF(tables_518100!I:I,input_518100!E46,tables_518100!P:P)</f>
        <v>0.15789473684218952</v>
      </c>
    </row>
    <row r="47" spans="1:7" x14ac:dyDescent="0.15">
      <c r="A47" s="39" t="s">
        <v>59</v>
      </c>
      <c r="B47">
        <f ca="1">SUM(B40:B46)</f>
        <v>80078000</v>
      </c>
      <c r="C47" s="55">
        <f ca="1">SUM(C40:C46)</f>
        <v>1</v>
      </c>
      <c r="E47" t="s">
        <v>206</v>
      </c>
      <c r="F47" s="55">
        <f ca="1">SUMIF(tables_518100!I:I,input_518100!E47,tables_518100!P:P)</f>
        <v>0.5794736842103021</v>
      </c>
    </row>
    <row r="48" spans="1:7" x14ac:dyDescent="0.15">
      <c r="E48" t="s">
        <v>207</v>
      </c>
      <c r="F48" s="55">
        <f ca="1">SUMIF(tables_518100!I:I,input_518100!E48,tables_518100!P:P)</f>
        <v>7.4202898550764285E-2</v>
      </c>
      <c r="G48" s="55">
        <f ca="1">0.05-F48-F49</f>
        <v>-3.0000000000042736E-2</v>
      </c>
    </row>
    <row r="49" spans="5:7" x14ac:dyDescent="0.15">
      <c r="E49" t="s">
        <v>249</v>
      </c>
      <c r="F49" s="55">
        <f ca="1">SUMIF(tables_518100!I:I,input_518100!E49,tables_518100!P:P)</f>
        <v>5.7971014492784554E-3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35" activePane="bottomLeft" state="frozen"/>
      <selection activeCell="D34" sqref="D34"/>
      <selection pane="bottomLeft" activeCell="O351" sqref="O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input_518100!A$2</f>
        <v>518100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IFERROR(VLOOKUP(B2,input_518100!L:R,7,FALSE),VLOOKUP(tables_518100!C2,input_518100!A:H,8,FALSE))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input_518100!A$2</f>
        <v>518100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IFERROR(VLOOKUP(B3,input_518100!L:R,7,FALSE),VLOOKUP(tables_518100!C3,input_518100!A:H,8,FALSE))</f>
        <v>1035000</v>
      </c>
      <c r="P3" s="46">
        <f t="shared" ca="1" si="1"/>
        <v>7.8947368421094753E-3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input_518100!A$2</f>
        <v>518100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IFERROR(VLOOKUP(B4,input_518100!L:R,7,FALSE),VLOOKUP(tables_518100!C4,input_518100!A:H,8,FALSE))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input_518100!A$2</f>
        <v>518100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IFERROR(VLOOKUP(B5,input_518100!L:R,7,FALSE),VLOOKUP(tables_518100!C5,input_518100!A:H,8,FALSE))</f>
        <v>1035000</v>
      </c>
      <c r="P5" s="46">
        <f t="shared" ca="1" si="1"/>
        <v>7.8947368421094753E-3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input_518100!A$2</f>
        <v>518100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IFERROR(VLOOKUP(B6,input_518100!L:R,7,FALSE),VLOOKUP(tables_518100!C6,input_518100!A:H,8,FALSE))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input_518100!A$2</f>
        <v>518100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IFERROR(VLOOKUP(B7,input_518100!L:R,7,FALSE),VLOOKUP(tables_518100!C7,input_518100!A:H,8,FALSE))</f>
        <v>1035000</v>
      </c>
      <c r="P7" s="46">
        <f t="shared" ca="1" si="1"/>
        <v>7.8947368421094753E-3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input_518100!A$2</f>
        <v>518100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IFERROR(VLOOKUP(B8,input_518100!L:R,7,FALSE),VLOOKUP(tables_518100!C8,input_518100!A:H,8,FALSE))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input_518100!A$2</f>
        <v>518100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IFERROR(VLOOKUP(B9,input_518100!L:R,7,FALSE),VLOOKUP(tables_518100!C9,input_518100!A:H,8,FALSE))</f>
        <v>1035000</v>
      </c>
      <c r="P9" s="46">
        <f t="shared" ca="1" si="1"/>
        <v>7.8947368421094753E-3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input_518100!A$2</f>
        <v>518100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IFERROR(VLOOKUP(B10,input_518100!L:R,7,FALSE),VLOOKUP(tables_518100!C10,input_518100!A:H,8,FALSE))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input_518100!A$2</f>
        <v>518100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IFERROR(VLOOKUP(B11,input_518100!L:R,7,FALSE),VLOOKUP(tables_518100!C11,input_518100!A:H,8,FALSE))</f>
        <v>1035000</v>
      </c>
      <c r="P11" s="46">
        <f t="shared" ca="1" si="1"/>
        <v>7.8947368421094753E-3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input_518100!A$2</f>
        <v>518100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IFERROR(VLOOKUP(B12,input_518100!L:R,7,FALSE),VLOOKUP(tables_518100!C12,input_518100!A:H,8,FALSE))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input_518100!A$2</f>
        <v>518100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IFERROR(VLOOKUP(B13,input_518100!L:R,7,FALSE),VLOOKUP(tables_518100!C13,input_518100!A:H,8,FALSE))</f>
        <v>1035000</v>
      </c>
      <c r="P13" s="46">
        <f t="shared" ca="1" si="1"/>
        <v>7.8947368421094753E-3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input_518100!A$2</f>
        <v>518100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IFERROR(VLOOKUP(B14,input_518100!L:R,7,FALSE),VLOOKUP(tables_518100!C14,input_518100!A:H,8,FALSE))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input_518100!A$2</f>
        <v>518100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IFERROR(VLOOKUP(B15,input_518100!L:R,7,FALSE),VLOOKUP(tables_518100!C15,input_518100!A:H,8,FALSE))</f>
        <v>1035000</v>
      </c>
      <c r="P15" s="46">
        <f t="shared" ca="1" si="1"/>
        <v>7.8947368421094753E-3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input_518100!A$2</f>
        <v>518100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IFERROR(VLOOKUP(B16,input_518100!L:R,7,FALSE),VLOOKUP(tables_518100!C16,input_518100!A:H,8,FALSE))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input_518100!A$2</f>
        <v>518100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IFERROR(VLOOKUP(B17,input_518100!L:R,7,FALSE),VLOOKUP(tables_518100!C17,input_518100!A:H,8,FALSE))</f>
        <v>1035000</v>
      </c>
      <c r="P17" s="46">
        <f t="shared" ca="1" si="1"/>
        <v>7.8947368421094753E-3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input_518100!A$2</f>
        <v>518100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IFERROR(VLOOKUP(B18,input_518100!L:R,7,FALSE),VLOOKUP(tables_518100!C18,input_518100!A:H,8,FALSE))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input_518100!A$2</f>
        <v>518100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IFERROR(VLOOKUP(B19,input_518100!L:R,7,FALSE),VLOOKUP(tables_518100!C19,input_518100!A:H,8,FALSE))</f>
        <v>1035000</v>
      </c>
      <c r="P19" s="46">
        <f t="shared" ca="1" si="1"/>
        <v>7.8947368421094753E-3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input_518100!A$2</f>
        <v>518100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IFERROR(VLOOKUP(B20,input_518100!L:R,7,FALSE),VLOOKUP(tables_518100!C20,input_518100!A:H,8,FALSE))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input_518100!A$2</f>
        <v>518100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IFERROR(VLOOKUP(B21,input_518100!L:R,7,FALSE),VLOOKUP(tables_518100!C21,input_518100!A:H,8,FALSE))</f>
        <v>1035000</v>
      </c>
      <c r="P21" s="46">
        <f t="shared" ca="1" si="1"/>
        <v>7.8947368421094753E-3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input_518100!A$2</f>
        <v>518100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IFERROR(VLOOKUP(B22,input_518100!L:R,7,FALSE),VLOOKUP(tables_518100!C22,input_518100!A:H,8,FALSE))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input_518100!A$2</f>
        <v>518100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IFERROR(VLOOKUP(B23,input_518100!L:R,7,FALSE),VLOOKUP(tables_518100!C23,input_518100!A:H,8,FALSE))</f>
        <v>1035000</v>
      </c>
      <c r="P23" s="46">
        <f t="shared" ca="1" si="1"/>
        <v>7.8947368421094753E-3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input_518100!A$2</f>
        <v>518100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IFERROR(VLOOKUP(B24,input_518100!L:R,7,FALSE),VLOOKUP(tables_518100!C24,input_518100!A:H,8,FALSE))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input_518100!A$2</f>
        <v>518100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IFERROR(VLOOKUP(B25,input_518100!L:R,7,FALSE),VLOOKUP(tables_518100!C25,input_518100!A:H,8,FALSE))</f>
        <v>1035000</v>
      </c>
      <c r="P25" s="46">
        <f t="shared" ca="1" si="1"/>
        <v>7.8947368421094753E-3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input_518100!A$2</f>
        <v>518100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IFERROR(VLOOKUP(B26,input_518100!L:R,7,FALSE),VLOOKUP(tables_518100!C26,input_518100!A:H,8,FALSE))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input_518100!A$2</f>
        <v>518100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IFERROR(VLOOKUP(B27,input_518100!L:R,7,FALSE),VLOOKUP(tables_518100!C27,input_518100!A:H,8,FALSE))</f>
        <v>1035000</v>
      </c>
      <c r="P27" s="46">
        <f t="shared" ca="1" si="1"/>
        <v>7.8947368421094753E-3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input_518100!A$2</f>
        <v>518100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IFERROR(VLOOKUP(B28,input_518100!L:R,7,FALSE),VLOOKUP(tables_518100!C28,input_518100!A:H,8,FALSE))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input_518100!A$2</f>
        <v>518100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IFERROR(VLOOKUP(B29,input_518100!L:R,7,FALSE),VLOOKUP(tables_518100!C29,input_518100!A:H,8,FALSE))</f>
        <v>1035000</v>
      </c>
      <c r="P29" s="46">
        <f t="shared" ca="1" si="1"/>
        <v>7.8947368421094753E-3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input_518100!A$2</f>
        <v>518100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IFERROR(VLOOKUP(B30,input_518100!L:R,7,FALSE),VLOOKUP(tables_518100!C30,input_518100!A:H,8,FALSE))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input_518100!A$2</f>
        <v>518100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IFERROR(VLOOKUP(B31,input_518100!L:R,7,FALSE),VLOOKUP(tables_518100!C31,input_518100!A:H,8,FALSE))</f>
        <v>1035000</v>
      </c>
      <c r="P31" s="46">
        <f t="shared" ca="1" si="1"/>
        <v>7.8947368421094753E-3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input_518100!A$2</f>
        <v>518100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IFERROR(VLOOKUP(B32,input_518100!L:R,7,FALSE),VLOOKUP(tables_518100!C32,input_518100!A:H,8,FALSE))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input_518100!A$2</f>
        <v>518100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IFERROR(VLOOKUP(B33,input_518100!L:R,7,FALSE),VLOOKUP(tables_518100!C33,input_518100!A:H,8,FALSE))</f>
        <v>1035000</v>
      </c>
      <c r="P33" s="46">
        <f t="shared" ca="1" si="1"/>
        <v>7.8947368421094753E-3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input_518100!A$2</f>
        <v>518100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IFERROR(VLOOKUP(B34,input_518100!L:R,7,FALSE),VLOOKUP(tables_518100!C34,input_518100!A:H,8,FALSE))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input_518100!A$2</f>
        <v>518100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IFERROR(VLOOKUP(B35,input_518100!L:R,7,FALSE),VLOOKUP(tables_518100!C35,input_518100!A:H,8,FALSE))</f>
        <v>1035000</v>
      </c>
      <c r="P35" s="46">
        <f t="shared" ca="1" si="1"/>
        <v>7.8947368421094753E-3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input_518100!A$2</f>
        <v>518100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IFERROR(VLOOKUP(B36,input_518100!L:R,7,FALSE),VLOOKUP(tables_518100!C36,input_518100!A:H,8,FALSE))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input_518100!A$2</f>
        <v>518100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IFERROR(VLOOKUP(B37,input_518100!L:R,7,FALSE),VLOOKUP(tables_518100!C37,input_518100!A:H,8,FALSE))</f>
        <v>1035000</v>
      </c>
      <c r="P37" s="46">
        <f t="shared" ca="1" si="1"/>
        <v>7.8947368421094753E-3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input_518100!A$2</f>
        <v>518100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IFERROR(VLOOKUP(B38,input_518100!L:R,7,FALSE),VLOOKUP(tables_518100!C38,input_518100!A:H,8,FALSE))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input_518100!A$2</f>
        <v>518100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IFERROR(VLOOKUP(B39,input_518100!L:R,7,FALSE),VLOOKUP(tables_518100!C39,input_518100!A:H,8,FALSE))</f>
        <v>1035000</v>
      </c>
      <c r="P39" s="46">
        <f t="shared" ca="1" si="1"/>
        <v>7.8947368421094753E-3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input_518100!A$2</f>
        <v>518100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IFERROR(VLOOKUP(B40,input_518100!L:R,7,FALSE),VLOOKUP(tables_518100!C40,input_518100!A:H,8,FALSE))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input_518100!A$2</f>
        <v>518100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IFERROR(VLOOKUP(B41,input_518100!L:R,7,FALSE),VLOOKUP(tables_518100!C41,input_518100!A:H,8,FALSE))</f>
        <v>1035000</v>
      </c>
      <c r="P41" s="46">
        <f t="shared" ca="1" si="1"/>
        <v>7.8947368421094753E-3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input_518100!A$2</f>
        <v>518100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IFERROR(VLOOKUP(B42,input_518100!L:R,7,FALSE),VLOOKUP(tables_518100!C42,input_518100!A:H,8,FALSE))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input_518100!A$2</f>
        <v>518100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IFERROR(VLOOKUP(B43,input_518100!L:R,7,FALSE),VLOOKUP(tables_518100!C43,input_518100!A:H,8,FALSE))</f>
        <v>931500</v>
      </c>
      <c r="P43" s="46">
        <f t="shared" ca="1" si="1"/>
        <v>7.1052631578985281E-3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input_518100!A$2</f>
        <v>518100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IFERROR(VLOOKUP(B44,input_518100!L:R,7,FALSE),VLOOKUP(tables_518100!C44,input_518100!A:H,8,FALSE))</f>
        <v>103500</v>
      </c>
      <c r="P44" s="46">
        <f t="shared" ca="1" si="1"/>
        <v>7.8947368421094762E-4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input_518100!A$2</f>
        <v>518100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IFERROR(VLOOKUP(B45,input_518100!L:R,7,FALSE),VLOOKUP(tables_518100!C45,input_518100!A:H,8,FALSE))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input_518100!A$2</f>
        <v>518100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IFERROR(VLOOKUP(B46,input_518100!L:R,7,FALSE),VLOOKUP(tables_518100!C46,input_518100!A:H,8,FALSE))</f>
        <v>931500</v>
      </c>
      <c r="P46" s="46">
        <f t="shared" ca="1" si="1"/>
        <v>7.1052631578985281E-3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input_518100!A$2</f>
        <v>518100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IFERROR(VLOOKUP(B47,input_518100!L:R,7,FALSE),VLOOKUP(tables_518100!C47,input_518100!A:H,8,FALSE))</f>
        <v>103500</v>
      </c>
      <c r="P47" s="46">
        <f t="shared" ca="1" si="1"/>
        <v>7.8947368421094762E-4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input_518100!A$2</f>
        <v>518100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IFERROR(VLOOKUP(B48,input_518100!L:R,7,FALSE),VLOOKUP(tables_518100!C48,input_518100!A:H,8,FALSE))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input_518100!A$2</f>
        <v>518100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IFERROR(VLOOKUP(B49,input_518100!L:R,7,FALSE),VLOOKUP(tables_518100!C49,input_518100!A:H,8,FALSE))</f>
        <v>931500</v>
      </c>
      <c r="P49" s="46">
        <f t="shared" ca="1" si="1"/>
        <v>7.1052631578985281E-3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input_518100!A$2</f>
        <v>518100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IFERROR(VLOOKUP(B50,input_518100!L:R,7,FALSE),VLOOKUP(tables_518100!C50,input_518100!A:H,8,FALSE))</f>
        <v>103500</v>
      </c>
      <c r="P50" s="46">
        <f t="shared" ca="1" si="1"/>
        <v>7.8947368421094762E-4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input_518100!A$2</f>
        <v>518100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IFERROR(VLOOKUP(B51,input_518100!L:R,7,FALSE),VLOOKUP(tables_518100!C51,input_518100!A:H,8,FALSE))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input_518100!A$2</f>
        <v>518100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IFERROR(VLOOKUP(B52,input_518100!L:R,7,FALSE),VLOOKUP(tables_518100!C52,input_518100!A:H,8,FALSE))</f>
        <v>920625</v>
      </c>
      <c r="P52" s="46">
        <f t="shared" ca="1" si="1"/>
        <v>7.0223112128183929E-3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input_518100!A$2</f>
        <v>518100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IFERROR(VLOOKUP(B53,input_518100!L:R,7,FALSE),VLOOKUP(tables_518100!C53,input_518100!A:H,8,FALSE))</f>
        <v>114375</v>
      </c>
      <c r="P53" s="46">
        <f t="shared" ca="1" si="1"/>
        <v>8.7242562929108346E-4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input_518100!A$2</f>
        <v>518100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IFERROR(VLOOKUP(B54,input_518100!L:R,7,FALSE),VLOOKUP(tables_518100!C54,input_518100!A:H,8,FALSE))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input_518100!A$2</f>
        <v>518100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IFERROR(VLOOKUP(B55,input_518100!L:R,7,FALSE),VLOOKUP(tables_518100!C55,input_518100!A:H,8,FALSE))</f>
        <v>920625</v>
      </c>
      <c r="P55" s="46">
        <f t="shared" ca="1" si="1"/>
        <v>7.0223112128183929E-3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input_518100!A$2</f>
        <v>518100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IFERROR(VLOOKUP(B56,input_518100!L:R,7,FALSE),VLOOKUP(tables_518100!C56,input_518100!A:H,8,FALSE))</f>
        <v>114375</v>
      </c>
      <c r="P56" s="46">
        <f t="shared" ca="1" si="1"/>
        <v>8.7242562929108346E-4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input_518100!A$2</f>
        <v>518100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IFERROR(VLOOKUP(B57,input_518100!L:R,7,FALSE),VLOOKUP(tables_518100!C57,input_518100!A:H,8,FALSE))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input_518100!A$2</f>
        <v>518100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IFERROR(VLOOKUP(B58,input_518100!L:R,7,FALSE),VLOOKUP(tables_518100!C58,input_518100!A:H,8,FALSE))</f>
        <v>920625</v>
      </c>
      <c r="P58" s="46">
        <f t="shared" ca="1" si="1"/>
        <v>7.0223112128183929E-3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input_518100!A$2</f>
        <v>518100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IFERROR(VLOOKUP(B59,input_518100!L:R,7,FALSE),VLOOKUP(tables_518100!C59,input_518100!A:H,8,FALSE))</f>
        <v>114375</v>
      </c>
      <c r="P59" s="46">
        <f t="shared" ca="1" si="1"/>
        <v>8.7242562929108346E-4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input_518100!A$2</f>
        <v>518100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IFERROR(VLOOKUP(B60,input_518100!L:R,7,FALSE),VLOOKUP(tables_518100!C60,input_518100!A:H,8,FALSE))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input_518100!A$2</f>
        <v>518100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IFERROR(VLOOKUP(B61,input_518100!L:R,7,FALSE),VLOOKUP(tables_518100!C61,input_518100!A:H,8,FALSE))</f>
        <v>920625</v>
      </c>
      <c r="P61" s="46">
        <f t="shared" ca="1" si="1"/>
        <v>7.0223112128183929E-3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input_518100!A$2</f>
        <v>518100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IFERROR(VLOOKUP(B62,input_518100!L:R,7,FALSE),VLOOKUP(tables_518100!C62,input_518100!A:H,8,FALSE))</f>
        <v>114375</v>
      </c>
      <c r="P62" s="46">
        <f t="shared" ca="1" si="1"/>
        <v>8.7242562929108346E-4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input_518100!A$2</f>
        <v>518100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IFERROR(VLOOKUP(B63,input_518100!L:R,7,FALSE),VLOOKUP(tables_518100!C63,input_518100!A:H,8,FALSE))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input_518100!A$2</f>
        <v>518100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IFERROR(VLOOKUP(B64,input_518100!L:R,7,FALSE),VLOOKUP(tables_518100!C64,input_518100!A:H,8,FALSE))</f>
        <v>920625</v>
      </c>
      <c r="P64" s="46">
        <f t="shared" ca="1" si="1"/>
        <v>7.0223112128183929E-3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input_518100!A$2</f>
        <v>518100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IFERROR(VLOOKUP(B65,input_518100!L:R,7,FALSE),VLOOKUP(tables_518100!C65,input_518100!A:H,8,FALSE))</f>
        <v>114375</v>
      </c>
      <c r="P65" s="46">
        <f t="shared" ca="1" si="1"/>
        <v>8.7242562929108346E-4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input_518100!A$2</f>
        <v>518100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IFERROR(VLOOKUP(B66,input_518100!L:R,7,FALSE),VLOOKUP(tables_518100!C66,input_518100!A:H,8,FALSE))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input_518100!A$2</f>
        <v>518100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IFERROR(VLOOKUP(B67,input_518100!L:R,7,FALSE),VLOOKUP(tables_518100!C67,input_518100!A:H,8,FALSE))</f>
        <v>920625</v>
      </c>
      <c r="P67" s="46">
        <f t="shared" ca="1" si="4"/>
        <v>7.0223112128183929E-3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input_518100!A$2</f>
        <v>518100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IFERROR(VLOOKUP(B68,input_518100!L:R,7,FALSE),VLOOKUP(tables_518100!C68,input_518100!A:H,8,FALSE))</f>
        <v>114375</v>
      </c>
      <c r="P68" s="46">
        <f t="shared" ca="1" si="4"/>
        <v>8.7242562929108346E-4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input_518100!A$2</f>
        <v>518100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IFERROR(VLOOKUP(B69,input_518100!L:R,7,FALSE),VLOOKUP(tables_518100!C69,input_518100!A:H,8,FALSE))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input_518100!A$2</f>
        <v>518100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IFERROR(VLOOKUP(B70,input_518100!L:R,7,FALSE),VLOOKUP(tables_518100!C70,input_518100!A:H,8,FALSE))</f>
        <v>920625</v>
      </c>
      <c r="P70" s="46">
        <f t="shared" ca="1" si="4"/>
        <v>7.0223112128183929E-3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input_518100!A$2</f>
        <v>518100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IFERROR(VLOOKUP(B71,input_518100!L:R,7,FALSE),VLOOKUP(tables_518100!C71,input_518100!A:H,8,FALSE))</f>
        <v>114375</v>
      </c>
      <c r="P71" s="46">
        <f t="shared" ca="1" si="4"/>
        <v>8.7242562929108346E-4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input_518100!A$2</f>
        <v>518100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IFERROR(VLOOKUP(B72,input_518100!L:R,7,FALSE),VLOOKUP(tables_518100!C72,input_518100!A:H,8,FALSE))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input_518100!A$2</f>
        <v>518100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IFERROR(VLOOKUP(B73,input_518100!L:R,7,FALSE),VLOOKUP(tables_518100!C73,input_518100!A:H,8,FALSE))</f>
        <v>920625</v>
      </c>
      <c r="P73" s="46">
        <f t="shared" ca="1" si="4"/>
        <v>7.0223112128183929E-3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input_518100!A$2</f>
        <v>518100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IFERROR(VLOOKUP(B74,input_518100!L:R,7,FALSE),VLOOKUP(tables_518100!C74,input_518100!A:H,8,FALSE))</f>
        <v>114375</v>
      </c>
      <c r="P74" s="46">
        <f t="shared" ca="1" si="4"/>
        <v>8.7242562929108346E-4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input_518100!A$2</f>
        <v>518100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IFERROR(VLOOKUP(B75,input_518100!L:R,7,FALSE),VLOOKUP(tables_518100!C75,input_518100!A:H,8,FALSE))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input_518100!A$2</f>
        <v>518100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IFERROR(VLOOKUP(B76,input_518100!L:R,7,FALSE),VLOOKUP(tables_518100!C76,input_518100!A:H,8,FALSE))</f>
        <v>920625</v>
      </c>
      <c r="P76" s="46">
        <f t="shared" ca="1" si="4"/>
        <v>7.0223112128183929E-3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input_518100!A$2</f>
        <v>518100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IFERROR(VLOOKUP(B77,input_518100!L:R,7,FALSE),VLOOKUP(tables_518100!C77,input_518100!A:H,8,FALSE))</f>
        <v>114375</v>
      </c>
      <c r="P77" s="46">
        <f t="shared" ca="1" si="4"/>
        <v>8.7242562929108346E-4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input_518100!A$2</f>
        <v>518100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IFERROR(VLOOKUP(B78,input_518100!L:R,7,FALSE),VLOOKUP(tables_518100!C78,input_518100!A:H,8,FALSE))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input_518100!A$2</f>
        <v>518100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IFERROR(VLOOKUP(B79,input_518100!L:R,7,FALSE),VLOOKUP(tables_518100!C79,input_518100!A:H,8,FALSE))</f>
        <v>920625</v>
      </c>
      <c r="P79" s="46">
        <f t="shared" ca="1" si="4"/>
        <v>7.0223112128183929E-3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input_518100!A$2</f>
        <v>518100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IFERROR(VLOOKUP(B80,input_518100!L:R,7,FALSE),VLOOKUP(tables_518100!C80,input_518100!A:H,8,FALSE))</f>
        <v>114375</v>
      </c>
      <c r="P80" s="46">
        <f t="shared" ca="1" si="4"/>
        <v>8.7242562929108346E-4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input_518100!A$2</f>
        <v>518100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IFERROR(VLOOKUP(B81,input_518100!L:R,7,FALSE),VLOOKUP(tables_518100!C81,input_518100!A:H,8,FALSE))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input_518100!A$2</f>
        <v>518100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IFERROR(VLOOKUP(B82,input_518100!L:R,7,FALSE),VLOOKUP(tables_518100!C82,input_518100!A:H,8,FALSE))</f>
        <v>920625</v>
      </c>
      <c r="P82" s="46">
        <f t="shared" ca="1" si="4"/>
        <v>7.0223112128183929E-3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input_518100!A$2</f>
        <v>518100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IFERROR(VLOOKUP(B83,input_518100!L:R,7,FALSE),VLOOKUP(tables_518100!C83,input_518100!A:H,8,FALSE))</f>
        <v>114375</v>
      </c>
      <c r="P83" s="46">
        <f t="shared" ca="1" si="4"/>
        <v>8.7242562929108346E-4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input_518100!A$2</f>
        <v>518100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IFERROR(VLOOKUP(B84,input_518100!L:R,7,FALSE),VLOOKUP(tables_518100!C84,input_518100!A:H,8,FALSE))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input_518100!A$2</f>
        <v>518100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IFERROR(VLOOKUP(B85,input_518100!L:R,7,FALSE),VLOOKUP(tables_518100!C85,input_518100!A:H,8,FALSE))</f>
        <v>920625</v>
      </c>
      <c r="P85" s="46">
        <f t="shared" ca="1" si="4"/>
        <v>7.0223112128183929E-3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input_518100!A$2</f>
        <v>518100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IFERROR(VLOOKUP(B86,input_518100!L:R,7,FALSE),VLOOKUP(tables_518100!C86,input_518100!A:H,8,FALSE))</f>
        <v>114375</v>
      </c>
      <c r="P86" s="46">
        <f t="shared" ca="1" si="4"/>
        <v>8.7242562929108346E-4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input_518100!A$2</f>
        <v>518100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IFERROR(VLOOKUP(B87,input_518100!L:R,7,FALSE),VLOOKUP(tables_518100!C87,input_518100!A:H,8,FALSE))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input_518100!A$2</f>
        <v>518100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IFERROR(VLOOKUP(B88,input_518100!L:R,7,FALSE),VLOOKUP(tables_518100!C88,input_518100!A:H,8,FALSE))</f>
        <v>920625</v>
      </c>
      <c r="P88" s="46">
        <f t="shared" ca="1" si="4"/>
        <v>7.0223112128183929E-3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input_518100!A$2</f>
        <v>518100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IFERROR(VLOOKUP(B89,input_518100!L:R,7,FALSE),VLOOKUP(tables_518100!C89,input_518100!A:H,8,FALSE))</f>
        <v>114375</v>
      </c>
      <c r="P89" s="46">
        <f t="shared" ca="1" si="4"/>
        <v>8.7242562929108346E-4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input_518100!A$2</f>
        <v>518100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IFERROR(VLOOKUP(B90,input_518100!L:R,7,FALSE),VLOOKUP(tables_518100!C90,input_518100!A:H,8,FALSE))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input_518100!A$2</f>
        <v>518100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IFERROR(VLOOKUP(B91,input_518100!L:R,7,FALSE),VLOOKUP(tables_518100!C91,input_518100!A:H,8,FALSE))</f>
        <v>920625</v>
      </c>
      <c r="P91" s="46">
        <f t="shared" ca="1" si="4"/>
        <v>7.0223112128183929E-3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input_518100!A$2</f>
        <v>518100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IFERROR(VLOOKUP(B92,input_518100!L:R,7,FALSE),VLOOKUP(tables_518100!C92,input_518100!A:H,8,FALSE))</f>
        <v>114375</v>
      </c>
      <c r="P92" s="46">
        <f t="shared" ca="1" si="4"/>
        <v>8.7242562929108346E-4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input_518100!A$2</f>
        <v>518100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IFERROR(VLOOKUP(B93,input_518100!L:R,7,FALSE),VLOOKUP(tables_518100!C93,input_518100!A:H,8,FALSE))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input_518100!A$2</f>
        <v>518100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IFERROR(VLOOKUP(B94,input_518100!L:R,7,FALSE),VLOOKUP(tables_518100!C94,input_518100!A:H,8,FALSE))</f>
        <v>920625</v>
      </c>
      <c r="P94" s="46">
        <f t="shared" ca="1" si="4"/>
        <v>7.0223112128183929E-3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input_518100!A$2</f>
        <v>518100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IFERROR(VLOOKUP(B95,input_518100!L:R,7,FALSE),VLOOKUP(tables_518100!C95,input_518100!A:H,8,FALSE))</f>
        <v>114375</v>
      </c>
      <c r="P95" s="46">
        <f t="shared" ca="1" si="4"/>
        <v>8.7242562929108346E-4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input_518100!A$2</f>
        <v>518100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IFERROR(VLOOKUP(B96,input_518100!L:R,7,FALSE),VLOOKUP(tables_518100!C96,input_518100!A:H,8,FALSE))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input_518100!A$2</f>
        <v>518100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IFERROR(VLOOKUP(B97,input_518100!L:R,7,FALSE),VLOOKUP(tables_518100!C97,input_518100!A:H,8,FALSE))</f>
        <v>920625</v>
      </c>
      <c r="P97" s="46">
        <f t="shared" ca="1" si="4"/>
        <v>7.0223112128183929E-3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input_518100!A$2</f>
        <v>518100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IFERROR(VLOOKUP(B98,input_518100!L:R,7,FALSE),VLOOKUP(tables_518100!C98,input_518100!A:H,8,FALSE))</f>
        <v>114375</v>
      </c>
      <c r="P98" s="46">
        <f t="shared" ca="1" si="4"/>
        <v>8.7242562929108346E-4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input_518100!A$2</f>
        <v>518100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IFERROR(VLOOKUP(B99,input_518100!L:R,7,FALSE),VLOOKUP(tables_518100!C99,input_518100!A:H,8,FALSE))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input_518100!A$2</f>
        <v>518100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IFERROR(VLOOKUP(B100,input_518100!L:R,7,FALSE),VLOOKUP(tables_518100!C100,input_518100!A:H,8,FALSE))</f>
        <v>920625</v>
      </c>
      <c r="P100" s="46">
        <f t="shared" ca="1" si="4"/>
        <v>7.0223112128183929E-3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input_518100!A$2</f>
        <v>518100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IFERROR(VLOOKUP(B101,input_518100!L:R,7,FALSE),VLOOKUP(tables_518100!C101,input_518100!A:H,8,FALSE))</f>
        <v>114375</v>
      </c>
      <c r="P101" s="46">
        <f t="shared" ca="1" si="4"/>
        <v>8.7242562929108346E-4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input_518100!A$2</f>
        <v>518100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IFERROR(VLOOKUP(B102,input_518100!L:R,7,FALSE),VLOOKUP(tables_518100!C102,input_518100!A:H,8,FALSE))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input_518100!A$2</f>
        <v>518100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IFERROR(VLOOKUP(B103,input_518100!L:R,7,FALSE),VLOOKUP(tables_518100!C103,input_518100!A:H,8,FALSE))</f>
        <v>920625</v>
      </c>
      <c r="P103" s="46">
        <f t="shared" ca="1" si="4"/>
        <v>7.0223112128183929E-3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input_518100!A$2</f>
        <v>518100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IFERROR(VLOOKUP(B104,input_518100!L:R,7,FALSE),VLOOKUP(tables_518100!C104,input_518100!A:H,8,FALSE))</f>
        <v>114375</v>
      </c>
      <c r="P104" s="46">
        <f t="shared" ca="1" si="4"/>
        <v>8.7242562929108346E-4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input_518100!A$2</f>
        <v>518100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IFERROR(VLOOKUP(B105,input_518100!L:R,7,FALSE),VLOOKUP(tables_518100!C105,input_518100!A:H,8,FALSE))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input_518100!A$2</f>
        <v>518100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IFERROR(VLOOKUP(B106,input_518100!L:R,7,FALSE),VLOOKUP(tables_518100!C106,input_518100!A:H,8,FALSE))</f>
        <v>920625</v>
      </c>
      <c r="P106" s="46">
        <f t="shared" ca="1" si="4"/>
        <v>7.0223112128183929E-3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input_518100!A$2</f>
        <v>518100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IFERROR(VLOOKUP(B107,input_518100!L:R,7,FALSE),VLOOKUP(tables_518100!C107,input_518100!A:H,8,FALSE))</f>
        <v>114375</v>
      </c>
      <c r="P107" s="46">
        <f t="shared" ca="1" si="4"/>
        <v>8.7242562929108346E-4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input_518100!A$2</f>
        <v>518100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IFERROR(VLOOKUP(B108,input_518100!L:R,7,FALSE),VLOOKUP(tables_518100!C108,input_518100!A:H,8,FALSE))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input_518100!A$2</f>
        <v>518100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IFERROR(VLOOKUP(B109,input_518100!L:R,7,FALSE),VLOOKUP(tables_518100!C109,input_518100!A:H,8,FALSE))</f>
        <v>920625</v>
      </c>
      <c r="P109" s="46">
        <f t="shared" ca="1" si="4"/>
        <v>7.0223112128183929E-3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input_518100!A$2</f>
        <v>518100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IFERROR(VLOOKUP(B110,input_518100!L:R,7,FALSE),VLOOKUP(tables_518100!C110,input_518100!A:H,8,FALSE))</f>
        <v>114375</v>
      </c>
      <c r="P110" s="46">
        <f t="shared" ca="1" si="4"/>
        <v>8.7242562929108346E-4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input_518100!A$2</f>
        <v>518100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IFERROR(VLOOKUP(B111,input_518100!L:R,7,FALSE),VLOOKUP(tables_518100!C111,input_518100!A:H,8,FALSE))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input_518100!A$2</f>
        <v>518100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IFERROR(VLOOKUP(B112,input_518100!L:R,7,FALSE),VLOOKUP(tables_518100!C112,input_518100!A:H,8,FALSE))</f>
        <v>931500</v>
      </c>
      <c r="P112" s="46">
        <f t="shared" ca="1" si="4"/>
        <v>7.1052631578985281E-3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input_518100!A$2</f>
        <v>518100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IFERROR(VLOOKUP(B113,input_518100!L:R,7,FALSE),VLOOKUP(tables_518100!C113,input_518100!A:H,8,FALSE))</f>
        <v>103500</v>
      </c>
      <c r="P113" s="46">
        <f t="shared" ca="1" si="4"/>
        <v>7.8947368421094762E-4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input_518100!A$2</f>
        <v>518100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IFERROR(VLOOKUP(B114,input_518100!L:R,7,FALSE),VLOOKUP(tables_518100!C114,input_518100!A:H,8,FALSE))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input_518100!A$2</f>
        <v>518100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IFERROR(VLOOKUP(B115,input_518100!L:R,7,FALSE),VLOOKUP(tables_518100!C115,input_518100!A:H,8,FALSE))</f>
        <v>920625</v>
      </c>
      <c r="P115" s="46">
        <f t="shared" ca="1" si="4"/>
        <v>7.0223112128183929E-3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input_518100!A$2</f>
        <v>518100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IFERROR(VLOOKUP(B116,input_518100!L:R,7,FALSE),VLOOKUP(tables_518100!C116,input_518100!A:H,8,FALSE))</f>
        <v>114375</v>
      </c>
      <c r="P116" s="46">
        <f t="shared" ca="1" si="4"/>
        <v>8.7242562929108346E-4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input_518100!A$2</f>
        <v>518100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IFERROR(VLOOKUP(B117,input_518100!L:R,7,FALSE),VLOOKUP(tables_518100!C117,input_518100!A:H,8,FALSE))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input_518100!A$2</f>
        <v>518100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IFERROR(VLOOKUP(B118,input_518100!L:R,7,FALSE),VLOOKUP(tables_518100!C118,input_518100!A:H,8,FALSE))</f>
        <v>920625</v>
      </c>
      <c r="P118" s="46">
        <f t="shared" ca="1" si="4"/>
        <v>7.0223112128183929E-3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input_518100!A$2</f>
        <v>518100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IFERROR(VLOOKUP(B119,input_518100!L:R,7,FALSE),VLOOKUP(tables_518100!C119,input_518100!A:H,8,FALSE))</f>
        <v>114375</v>
      </c>
      <c r="P119" s="46">
        <f t="shared" ca="1" si="4"/>
        <v>8.7242562929108346E-4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input_518100!A$2</f>
        <v>518100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IFERROR(VLOOKUP(B120,input_518100!L:R,7,FALSE),VLOOKUP(tables_518100!C120,input_518100!A:H,8,FALSE))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input_518100!A$2</f>
        <v>518100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IFERROR(VLOOKUP(B121,input_518100!L:R,7,FALSE),VLOOKUP(tables_518100!C121,input_518100!A:H,8,FALSE))</f>
        <v>920625</v>
      </c>
      <c r="P121" s="46">
        <f t="shared" ca="1" si="4"/>
        <v>7.0223112128183929E-3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input_518100!A$2</f>
        <v>518100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IFERROR(VLOOKUP(B122,input_518100!L:R,7,FALSE),VLOOKUP(tables_518100!C122,input_518100!A:H,8,FALSE))</f>
        <v>114375</v>
      </c>
      <c r="P122" s="46">
        <f t="shared" ca="1" si="4"/>
        <v>8.7242562929108346E-4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input_518100!A$2</f>
        <v>518100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IFERROR(VLOOKUP(B123,input_518100!L:R,7,FALSE),VLOOKUP(tables_518100!C123,input_518100!A:H,8,FALSE))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input_518100!A$2</f>
        <v>518100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IFERROR(VLOOKUP(B124,input_518100!L:R,7,FALSE),VLOOKUP(tables_518100!C124,input_518100!A:H,8,FALSE))</f>
        <v>920625</v>
      </c>
      <c r="P124" s="46">
        <f t="shared" ca="1" si="4"/>
        <v>7.0223112128183929E-3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input_518100!A$2</f>
        <v>518100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IFERROR(VLOOKUP(B125,input_518100!L:R,7,FALSE),VLOOKUP(tables_518100!C125,input_518100!A:H,8,FALSE))</f>
        <v>114375</v>
      </c>
      <c r="P125" s="46">
        <f t="shared" ca="1" si="4"/>
        <v>8.7242562929108346E-4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input_518100!A$2</f>
        <v>518100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IFERROR(VLOOKUP(B126,input_518100!L:R,7,FALSE),VLOOKUP(tables_518100!C126,input_518100!A:H,8,FALSE))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input_518100!A$2</f>
        <v>518100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IFERROR(VLOOKUP(B127,input_518100!L:R,7,FALSE),VLOOKUP(tables_518100!C127,input_518100!A:H,8,FALSE))</f>
        <v>920625</v>
      </c>
      <c r="P127" s="46">
        <f t="shared" ca="1" si="4"/>
        <v>7.0223112128183929E-3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input_518100!A$2</f>
        <v>518100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IFERROR(VLOOKUP(B128,input_518100!L:R,7,FALSE),VLOOKUP(tables_518100!C128,input_518100!A:H,8,FALSE))</f>
        <v>114375</v>
      </c>
      <c r="P128" s="46">
        <f t="shared" ca="1" si="4"/>
        <v>8.7242562929108346E-4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input_518100!A$2</f>
        <v>518100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IFERROR(VLOOKUP(B129,input_518100!L:R,7,FALSE),VLOOKUP(tables_518100!C129,input_518100!A:H,8,FALSE))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input_518100!A$2</f>
        <v>518100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IFERROR(VLOOKUP(B130,input_518100!L:R,7,FALSE),VLOOKUP(tables_518100!C130,input_518100!A:H,8,FALSE))</f>
        <v>920625</v>
      </c>
      <c r="P130" s="46">
        <f t="shared" ref="P130:P193" ca="1" si="7">O130/SUM(O:O)</f>
        <v>7.0223112128183929E-3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input_518100!A$2</f>
        <v>518100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IFERROR(VLOOKUP(B131,input_518100!L:R,7,FALSE),VLOOKUP(tables_518100!C131,input_518100!A:H,8,FALSE))</f>
        <v>114375</v>
      </c>
      <c r="P131" s="46">
        <f t="shared" ca="1" si="7"/>
        <v>8.7242562929108346E-4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input_518100!A$2</f>
        <v>518100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IFERROR(VLOOKUP(B132,input_518100!L:R,7,FALSE),VLOOKUP(tables_518100!C132,input_518100!A:H,8,FALSE))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input_518100!A$2</f>
        <v>518100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IFERROR(VLOOKUP(B133,input_518100!L:R,7,FALSE),VLOOKUP(tables_518100!C133,input_518100!A:H,8,FALSE))</f>
        <v>920625</v>
      </c>
      <c r="P133" s="46">
        <f t="shared" ca="1" si="7"/>
        <v>7.0223112128183929E-3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input_518100!A$2</f>
        <v>518100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IFERROR(VLOOKUP(B134,input_518100!L:R,7,FALSE),VLOOKUP(tables_518100!C134,input_518100!A:H,8,FALSE))</f>
        <v>114375</v>
      </c>
      <c r="P134" s="46">
        <f t="shared" ca="1" si="7"/>
        <v>8.7242562929108346E-4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input_518100!A$2</f>
        <v>518100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IFERROR(VLOOKUP(B135,input_518100!L:R,7,FALSE),VLOOKUP(tables_518100!C135,input_518100!A:H,8,FALSE))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input_518100!A$2</f>
        <v>518100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IFERROR(VLOOKUP(B136,input_518100!L:R,7,FALSE),VLOOKUP(tables_518100!C136,input_518100!A:H,8,FALSE))</f>
        <v>920625</v>
      </c>
      <c r="P136" s="46">
        <f t="shared" ca="1" si="7"/>
        <v>7.0223112128183929E-3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input_518100!A$2</f>
        <v>518100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IFERROR(VLOOKUP(B137,input_518100!L:R,7,FALSE),VLOOKUP(tables_518100!C137,input_518100!A:H,8,FALSE))</f>
        <v>114375</v>
      </c>
      <c r="P137" s="46">
        <f t="shared" ca="1" si="7"/>
        <v>8.7242562929108346E-4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input_518100!A$2</f>
        <v>518100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IFERROR(VLOOKUP(B138,input_518100!L:R,7,FALSE),VLOOKUP(tables_518100!C138,input_518100!A:H,8,FALSE))</f>
        <v>85500</v>
      </c>
      <c r="P138" s="46">
        <f t="shared" ca="1" si="7"/>
        <v>6.5217391304382634E-4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input_518100!A$2</f>
        <v>518100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IFERROR(VLOOKUP(B139,input_518100!L:R,7,FALSE),VLOOKUP(tables_518100!C139,input_518100!A:H,8,FALSE))</f>
        <v>9500</v>
      </c>
      <c r="P139" s="46">
        <f t="shared" ca="1" si="7"/>
        <v>7.2463768115980693E-5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input_518100!A$2</f>
        <v>518100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IFERROR(VLOOKUP(B140,input_518100!L:R,7,FALSE),VLOOKUP(tables_518100!C140,input_518100!A:H,8,FALSE))</f>
        <v>85500</v>
      </c>
      <c r="P140" s="46">
        <f t="shared" ca="1" si="7"/>
        <v>6.5217391304382634E-4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input_518100!A$2</f>
        <v>518100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IFERROR(VLOOKUP(B141,input_518100!L:R,7,FALSE),VLOOKUP(tables_518100!C141,input_518100!A:H,8,FALSE))</f>
        <v>9500</v>
      </c>
      <c r="P141" s="46">
        <f t="shared" ca="1" si="7"/>
        <v>7.2463768115980693E-5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input_518100!A$2</f>
        <v>518100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IFERROR(VLOOKUP(B142,input_518100!L:R,7,FALSE),VLOOKUP(tables_518100!C142,input_518100!A:H,8,FALSE))</f>
        <v>85500</v>
      </c>
      <c r="P142" s="46">
        <f t="shared" ca="1" si="7"/>
        <v>6.5217391304382634E-4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input_518100!A$2</f>
        <v>518100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IFERROR(VLOOKUP(B143,input_518100!L:R,7,FALSE),VLOOKUP(tables_518100!C143,input_518100!A:H,8,FALSE))</f>
        <v>9500</v>
      </c>
      <c r="P143" s="46">
        <f t="shared" ca="1" si="7"/>
        <v>7.2463768115980693E-5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input_518100!A$2</f>
        <v>518100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IFERROR(VLOOKUP(B144,input_518100!L:R,7,FALSE),VLOOKUP(tables_518100!C144,input_518100!A:H,8,FALSE))</f>
        <v>85500</v>
      </c>
      <c r="P144" s="46">
        <f t="shared" ca="1" si="7"/>
        <v>6.5217391304382634E-4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input_518100!A$2</f>
        <v>518100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IFERROR(VLOOKUP(B145,input_518100!L:R,7,FALSE),VLOOKUP(tables_518100!C145,input_518100!A:H,8,FALSE))</f>
        <v>9500</v>
      </c>
      <c r="P145" s="46">
        <f t="shared" ca="1" si="7"/>
        <v>7.2463768115980693E-5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input_518100!A$2</f>
        <v>518100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IFERROR(VLOOKUP(B146,input_518100!L:R,7,FALSE),VLOOKUP(tables_518100!C146,input_518100!A:H,8,FALSE))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input_518100!A$2</f>
        <v>518100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IFERROR(VLOOKUP(B147,input_518100!L:R,7,FALSE),VLOOKUP(tables_518100!C147,input_518100!A:H,8,FALSE))</f>
        <v>920625</v>
      </c>
      <c r="P147" s="46">
        <f t="shared" ca="1" si="7"/>
        <v>7.0223112128183929E-3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input_518100!A$2</f>
        <v>518100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IFERROR(VLOOKUP(B148,input_518100!L:R,7,FALSE),VLOOKUP(tables_518100!C148,input_518100!A:H,8,FALSE))</f>
        <v>114375</v>
      </c>
      <c r="P148" s="46">
        <f t="shared" ca="1" si="7"/>
        <v>8.7242562929108346E-4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input_518100!A$2</f>
        <v>518100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IFERROR(VLOOKUP(B149,input_518100!L:R,7,FALSE),VLOOKUP(tables_518100!C149,input_518100!A:H,8,FALSE))</f>
        <v>85500</v>
      </c>
      <c r="P149" s="46">
        <f t="shared" ca="1" si="7"/>
        <v>6.5217391304382634E-4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input_518100!A$2</f>
        <v>518100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IFERROR(VLOOKUP(B150,input_518100!L:R,7,FALSE),VLOOKUP(tables_518100!C150,input_518100!A:H,8,FALSE))</f>
        <v>9500</v>
      </c>
      <c r="P150" s="46">
        <f t="shared" ca="1" si="7"/>
        <v>7.2463768115980693E-5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input_518100!A$2</f>
        <v>518100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IFERROR(VLOOKUP(B151,input_518100!L:R,7,FALSE),VLOOKUP(tables_518100!C151,input_518100!A:H,8,FALSE))</f>
        <v>85500</v>
      </c>
      <c r="P151" s="46">
        <f t="shared" ca="1" si="7"/>
        <v>6.5217391304382634E-4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input_518100!A$2</f>
        <v>518100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IFERROR(VLOOKUP(B152,input_518100!L:R,7,FALSE),VLOOKUP(tables_518100!C152,input_518100!A:H,8,FALSE))</f>
        <v>9500</v>
      </c>
      <c r="P152" s="46">
        <f t="shared" ca="1" si="7"/>
        <v>7.2463768115980693E-5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input_518100!A$2</f>
        <v>518100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IFERROR(VLOOKUP(B153,input_518100!L:R,7,FALSE),VLOOKUP(tables_518100!C153,input_518100!A:H,8,FALSE))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input_518100!A$2</f>
        <v>518100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IFERROR(VLOOKUP(B154,input_518100!L:R,7,FALSE),VLOOKUP(tables_518100!C154,input_518100!A:H,8,FALSE))</f>
        <v>920625</v>
      </c>
      <c r="P154" s="46">
        <f t="shared" ca="1" si="7"/>
        <v>7.0223112128183929E-3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input_518100!A$2</f>
        <v>518100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IFERROR(VLOOKUP(B155,input_518100!L:R,7,FALSE),VLOOKUP(tables_518100!C155,input_518100!A:H,8,FALSE))</f>
        <v>114375</v>
      </c>
      <c r="P155" s="46">
        <f t="shared" ca="1" si="7"/>
        <v>8.7242562929108346E-4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input_518100!A$2</f>
        <v>518100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IFERROR(VLOOKUP(B156,input_518100!L:R,7,FALSE),VLOOKUP(tables_518100!C156,input_518100!A:H,8,FALSE))</f>
        <v>85500</v>
      </c>
      <c r="P156" s="46">
        <f t="shared" ca="1" si="7"/>
        <v>6.5217391304382634E-4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input_518100!A$2</f>
        <v>518100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IFERROR(VLOOKUP(B157,input_518100!L:R,7,FALSE),VLOOKUP(tables_518100!C157,input_518100!A:H,8,FALSE))</f>
        <v>9500</v>
      </c>
      <c r="P157" s="46">
        <f t="shared" ca="1" si="7"/>
        <v>7.2463768115980693E-5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input_518100!A$2</f>
        <v>518100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IFERROR(VLOOKUP(B158,input_518100!L:R,7,FALSE),VLOOKUP(tables_518100!C158,input_518100!A:H,8,FALSE))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input_518100!A$2</f>
        <v>518100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IFERROR(VLOOKUP(B159,input_518100!L:R,7,FALSE),VLOOKUP(tables_518100!C159,input_518100!A:H,8,FALSE))</f>
        <v>920625</v>
      </c>
      <c r="P159" s="46">
        <f t="shared" ca="1" si="7"/>
        <v>7.0223112128183929E-3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input_518100!A$2</f>
        <v>518100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IFERROR(VLOOKUP(B160,input_518100!L:R,7,FALSE),VLOOKUP(tables_518100!C160,input_518100!A:H,8,FALSE))</f>
        <v>114375</v>
      </c>
      <c r="P160" s="46">
        <f t="shared" ca="1" si="7"/>
        <v>8.7242562929108346E-4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input_518100!A$2</f>
        <v>518100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IFERROR(VLOOKUP(B161,input_518100!L:R,7,FALSE),VLOOKUP(tables_518100!C161,input_518100!A:H,8,FALSE))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input_518100!A$2</f>
        <v>518100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IFERROR(VLOOKUP(B162,input_518100!L:R,7,FALSE),VLOOKUP(tables_518100!C162,input_518100!A:H,8,FALSE))</f>
        <v>920625</v>
      </c>
      <c r="P162" s="46">
        <f t="shared" ca="1" si="7"/>
        <v>7.0223112128183929E-3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input_518100!A$2</f>
        <v>518100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IFERROR(VLOOKUP(B163,input_518100!L:R,7,FALSE),VLOOKUP(tables_518100!C163,input_518100!A:H,8,FALSE))</f>
        <v>114375</v>
      </c>
      <c r="P163" s="46">
        <f t="shared" ca="1" si="7"/>
        <v>8.7242562929108346E-4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input_518100!A$2</f>
        <v>518100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IFERROR(VLOOKUP(B164,input_518100!L:R,7,FALSE),VLOOKUP(tables_518100!C164,input_518100!A:H,8,FALSE))</f>
        <v>85500</v>
      </c>
      <c r="P164" s="46">
        <f t="shared" ca="1" si="7"/>
        <v>6.5217391304382634E-4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input_518100!A$2</f>
        <v>518100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IFERROR(VLOOKUP(B165,input_518100!L:R,7,FALSE),VLOOKUP(tables_518100!C165,input_518100!A:H,8,FALSE))</f>
        <v>9500</v>
      </c>
      <c r="P165" s="46">
        <f t="shared" ca="1" si="7"/>
        <v>7.2463768115980693E-5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input_518100!A$2</f>
        <v>518100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IFERROR(VLOOKUP(B166,input_518100!L:R,7,FALSE),VLOOKUP(tables_518100!C166,input_518100!A:H,8,FALSE))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input_518100!A$2</f>
        <v>518100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IFERROR(VLOOKUP(B167,input_518100!L:R,7,FALSE),VLOOKUP(tables_518100!C167,input_518100!A:H,8,FALSE))</f>
        <v>920625</v>
      </c>
      <c r="P167" s="46">
        <f t="shared" ca="1" si="7"/>
        <v>7.0223112128183929E-3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input_518100!A$2</f>
        <v>518100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IFERROR(VLOOKUP(B168,input_518100!L:R,7,FALSE),VLOOKUP(tables_518100!C168,input_518100!A:H,8,FALSE))</f>
        <v>114375</v>
      </c>
      <c r="P168" s="46">
        <f t="shared" ca="1" si="7"/>
        <v>8.7242562929108346E-4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input_518100!A$2</f>
        <v>518100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IFERROR(VLOOKUP(B169,input_518100!L:R,7,FALSE),VLOOKUP(tables_518100!C169,input_518100!A:H,8,FALSE))</f>
        <v>85500</v>
      </c>
      <c r="P169" s="46">
        <f t="shared" ca="1" si="7"/>
        <v>6.5217391304382634E-4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input_518100!A$2</f>
        <v>518100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IFERROR(VLOOKUP(B170,input_518100!L:R,7,FALSE),VLOOKUP(tables_518100!C170,input_518100!A:H,8,FALSE))</f>
        <v>9500</v>
      </c>
      <c r="P170" s="46">
        <f t="shared" ca="1" si="7"/>
        <v>7.2463768115980693E-5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input_518100!A$2</f>
        <v>518100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IFERROR(VLOOKUP(B171,input_518100!L:R,7,FALSE),VLOOKUP(tables_518100!C171,input_518100!A:H,8,FALSE))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input_518100!A$2</f>
        <v>518100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IFERROR(VLOOKUP(B172,input_518100!L:R,7,FALSE),VLOOKUP(tables_518100!C172,input_518100!A:H,8,FALSE))</f>
        <v>920625</v>
      </c>
      <c r="P172" s="46">
        <f t="shared" ca="1" si="7"/>
        <v>7.0223112128183929E-3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input_518100!A$2</f>
        <v>518100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IFERROR(VLOOKUP(B173,input_518100!L:R,7,FALSE),VLOOKUP(tables_518100!C173,input_518100!A:H,8,FALSE))</f>
        <v>114375</v>
      </c>
      <c r="P173" s="46">
        <f t="shared" ca="1" si="7"/>
        <v>8.7242562929108346E-4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input_518100!A$2</f>
        <v>518100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IFERROR(VLOOKUP(B174,input_518100!L:R,7,FALSE),VLOOKUP(tables_518100!C174,input_518100!A:H,8,FALSE))</f>
        <v>85500</v>
      </c>
      <c r="P174" s="46">
        <f t="shared" ca="1" si="7"/>
        <v>6.5217391304382634E-4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input_518100!A$2</f>
        <v>518100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IFERROR(VLOOKUP(B175,input_518100!L:R,7,FALSE),VLOOKUP(tables_518100!C175,input_518100!A:H,8,FALSE))</f>
        <v>9500</v>
      </c>
      <c r="P175" s="46">
        <f t="shared" ca="1" si="7"/>
        <v>7.2463768115980693E-5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input_518100!A$2</f>
        <v>518100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IFERROR(VLOOKUP(B176,input_518100!L:R,7,FALSE),VLOOKUP(tables_518100!C176,input_518100!A:H,8,FALSE))</f>
        <v>85500</v>
      </c>
      <c r="P176" s="46">
        <f t="shared" ca="1" si="7"/>
        <v>6.5217391304382634E-4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input_518100!A$2</f>
        <v>518100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IFERROR(VLOOKUP(B177,input_518100!L:R,7,FALSE),VLOOKUP(tables_518100!C177,input_518100!A:H,8,FALSE))</f>
        <v>9500</v>
      </c>
      <c r="P177" s="46">
        <f t="shared" ca="1" si="7"/>
        <v>7.2463768115980693E-5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input_518100!A$2</f>
        <v>518100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IFERROR(VLOOKUP(B178,input_518100!L:R,7,FALSE),VLOOKUP(tables_518100!C178,input_518100!A:H,8,FALSE))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input_518100!A$2</f>
        <v>518100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IFERROR(VLOOKUP(B179,input_518100!L:R,7,FALSE),VLOOKUP(tables_518100!C179,input_518100!A:H,8,FALSE))</f>
        <v>920625</v>
      </c>
      <c r="P179" s="46">
        <f t="shared" ca="1" si="7"/>
        <v>7.0223112128183929E-3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input_518100!A$2</f>
        <v>518100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IFERROR(VLOOKUP(B180,input_518100!L:R,7,FALSE),VLOOKUP(tables_518100!C180,input_518100!A:H,8,FALSE))</f>
        <v>114375</v>
      </c>
      <c r="P180" s="46">
        <f t="shared" ca="1" si="7"/>
        <v>8.7242562929108346E-4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input_518100!A$2</f>
        <v>518100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IFERROR(VLOOKUP(B181,input_518100!L:R,7,FALSE),VLOOKUP(tables_518100!C181,input_518100!A:H,8,FALSE))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input_518100!A$2</f>
        <v>518100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IFERROR(VLOOKUP(B182,input_518100!L:R,7,FALSE),VLOOKUP(tables_518100!C182,input_518100!A:H,8,FALSE))</f>
        <v>920625</v>
      </c>
      <c r="P182" s="46">
        <f t="shared" ca="1" si="7"/>
        <v>7.0223112128183929E-3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input_518100!A$2</f>
        <v>518100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IFERROR(VLOOKUP(B183,input_518100!L:R,7,FALSE),VLOOKUP(tables_518100!C183,input_518100!A:H,8,FALSE))</f>
        <v>114375</v>
      </c>
      <c r="P183" s="46">
        <f t="shared" ca="1" si="7"/>
        <v>8.7242562929108346E-4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input_518100!A$2</f>
        <v>518100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IFERROR(VLOOKUP(B184,input_518100!L:R,7,FALSE),VLOOKUP(tables_518100!C184,input_518100!A:H,8,FALSE))</f>
        <v>85500</v>
      </c>
      <c r="P184" s="46">
        <f t="shared" ca="1" si="7"/>
        <v>6.5217391304382634E-4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input_518100!A$2</f>
        <v>518100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IFERROR(VLOOKUP(B185,input_518100!L:R,7,FALSE),VLOOKUP(tables_518100!C185,input_518100!A:H,8,FALSE))</f>
        <v>9500</v>
      </c>
      <c r="P185" s="46">
        <f t="shared" ca="1" si="7"/>
        <v>7.2463768115980693E-5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input_518100!A$2</f>
        <v>518100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IFERROR(VLOOKUP(B186,input_518100!L:R,7,FALSE),VLOOKUP(tables_518100!C186,input_518100!A:H,8,FALSE))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input_518100!A$2</f>
        <v>518100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IFERROR(VLOOKUP(B187,input_518100!L:R,7,FALSE),VLOOKUP(tables_518100!C187,input_518100!A:H,8,FALSE))</f>
        <v>920625</v>
      </c>
      <c r="P187" s="46">
        <f t="shared" ca="1" si="7"/>
        <v>7.0223112128183929E-3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input_518100!A$2</f>
        <v>518100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IFERROR(VLOOKUP(B188,input_518100!L:R,7,FALSE),VLOOKUP(tables_518100!C188,input_518100!A:H,8,FALSE))</f>
        <v>114375</v>
      </c>
      <c r="P188" s="46">
        <f t="shared" ca="1" si="7"/>
        <v>8.7242562929108346E-4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input_518100!A$2</f>
        <v>518100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IFERROR(VLOOKUP(B189,input_518100!L:R,7,FALSE),VLOOKUP(tables_518100!C189,input_518100!A:H,8,FALSE))</f>
        <v>85500</v>
      </c>
      <c r="P189" s="46">
        <f t="shared" ca="1" si="7"/>
        <v>6.5217391304382634E-4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input_518100!A$2</f>
        <v>518100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IFERROR(VLOOKUP(B190,input_518100!L:R,7,FALSE),VLOOKUP(tables_518100!C190,input_518100!A:H,8,FALSE))</f>
        <v>9500</v>
      </c>
      <c r="P190" s="46">
        <f t="shared" ca="1" si="7"/>
        <v>7.2463768115980693E-5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input_518100!A$2</f>
        <v>518100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IFERROR(VLOOKUP(B191,input_518100!L:R,7,FALSE),VLOOKUP(tables_518100!C191,input_518100!A:H,8,FALSE))</f>
        <v>85500</v>
      </c>
      <c r="P191" s="46">
        <f t="shared" ca="1" si="7"/>
        <v>6.5217391304382634E-4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input_518100!A$2</f>
        <v>518100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IFERROR(VLOOKUP(B192,input_518100!L:R,7,FALSE),VLOOKUP(tables_518100!C192,input_518100!A:H,8,FALSE))</f>
        <v>9500</v>
      </c>
      <c r="P192" s="46">
        <f t="shared" ca="1" si="7"/>
        <v>7.2463768115980693E-5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input_518100!A$2</f>
        <v>518100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IFERROR(VLOOKUP(B193,input_518100!L:R,7,FALSE),VLOOKUP(tables_518100!C193,input_518100!A:H,8,FALSE))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input_518100!A$2</f>
        <v>518100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IFERROR(VLOOKUP(B194,input_518100!L:R,7,FALSE),VLOOKUP(tables_518100!C194,input_518100!A:H,8,FALSE))</f>
        <v>920625</v>
      </c>
      <c r="P194" s="46">
        <f t="shared" ref="P194:P257" ca="1" si="10">O194/SUM(O:O)</f>
        <v>7.0223112128183929E-3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input_518100!A$2</f>
        <v>518100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IFERROR(VLOOKUP(B195,input_518100!L:R,7,FALSE),VLOOKUP(tables_518100!C195,input_518100!A:H,8,FALSE))</f>
        <v>114375</v>
      </c>
      <c r="P195" s="46">
        <f t="shared" ca="1" si="10"/>
        <v>8.7242562929108346E-4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input_518100!A$2</f>
        <v>518100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IFERROR(VLOOKUP(B196,input_518100!L:R,7,FALSE),VLOOKUP(tables_518100!C196,input_518100!A:H,8,FALSE))</f>
        <v>85500</v>
      </c>
      <c r="P196" s="46">
        <f t="shared" ca="1" si="10"/>
        <v>6.5217391304382634E-4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input_518100!A$2</f>
        <v>518100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IFERROR(VLOOKUP(B197,input_518100!L:R,7,FALSE),VLOOKUP(tables_518100!C197,input_518100!A:H,8,FALSE))</f>
        <v>9500</v>
      </c>
      <c r="P197" s="46">
        <f t="shared" ca="1" si="10"/>
        <v>7.2463768115980693E-5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input_518100!A$2</f>
        <v>518100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IFERROR(VLOOKUP(B198,input_518100!L:R,7,FALSE),VLOOKUP(tables_518100!C198,input_518100!A:H,8,FALSE))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input_518100!A$2</f>
        <v>518100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IFERROR(VLOOKUP(B199,input_518100!L:R,7,FALSE),VLOOKUP(tables_518100!C199,input_518100!A:H,8,FALSE))</f>
        <v>920625</v>
      </c>
      <c r="P199" s="46">
        <f t="shared" ca="1" si="10"/>
        <v>7.0223112128183929E-3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input_518100!A$2</f>
        <v>518100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IFERROR(VLOOKUP(B200,input_518100!L:R,7,FALSE),VLOOKUP(tables_518100!C200,input_518100!A:H,8,FALSE))</f>
        <v>114375</v>
      </c>
      <c r="P200" s="46">
        <f t="shared" ca="1" si="10"/>
        <v>8.7242562929108346E-4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input_518100!A$2</f>
        <v>518100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IFERROR(VLOOKUP(B201,input_518100!L:R,7,FALSE),VLOOKUP(tables_518100!C201,input_518100!A:H,8,FALSE))</f>
        <v>85500</v>
      </c>
      <c r="P201" s="46">
        <f t="shared" ca="1" si="10"/>
        <v>6.5217391304382634E-4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input_518100!A$2</f>
        <v>518100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IFERROR(VLOOKUP(B202,input_518100!L:R,7,FALSE),VLOOKUP(tables_518100!C202,input_518100!A:H,8,FALSE))</f>
        <v>9500</v>
      </c>
      <c r="P202" s="46">
        <f t="shared" ca="1" si="10"/>
        <v>7.2463768115980693E-5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input_518100!A$2</f>
        <v>518100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IFERROR(VLOOKUP(B203,input_518100!L:R,7,FALSE),VLOOKUP(tables_518100!C203,input_518100!A:H,8,FALSE))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input_518100!A$2</f>
        <v>518100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IFERROR(VLOOKUP(B204,input_518100!L:R,7,FALSE),VLOOKUP(tables_518100!C204,input_518100!A:H,8,FALSE))</f>
        <v>920625</v>
      </c>
      <c r="P204" s="46">
        <f t="shared" ca="1" si="10"/>
        <v>7.0223112128183929E-3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input_518100!A$2</f>
        <v>518100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IFERROR(VLOOKUP(B205,input_518100!L:R,7,FALSE),VLOOKUP(tables_518100!C205,input_518100!A:H,8,FALSE))</f>
        <v>114375</v>
      </c>
      <c r="P205" s="46">
        <f t="shared" ca="1" si="10"/>
        <v>8.7242562929108346E-4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input_518100!A$2</f>
        <v>518100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IFERROR(VLOOKUP(B206,input_518100!L:R,7,FALSE),VLOOKUP(tables_518100!C206,input_518100!A:H,8,FALSE))</f>
        <v>85500</v>
      </c>
      <c r="P206" s="46">
        <f t="shared" ca="1" si="10"/>
        <v>6.5217391304382634E-4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input_518100!A$2</f>
        <v>518100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IFERROR(VLOOKUP(B207,input_518100!L:R,7,FALSE),VLOOKUP(tables_518100!C207,input_518100!A:H,8,FALSE))</f>
        <v>9500</v>
      </c>
      <c r="P207" s="46">
        <f t="shared" ca="1" si="10"/>
        <v>7.2463768115980693E-5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input_518100!A$2</f>
        <v>518100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IFERROR(VLOOKUP(B208,input_518100!L:R,7,FALSE),VLOOKUP(tables_518100!C208,input_518100!A:H,8,FALSE))</f>
        <v>85500</v>
      </c>
      <c r="P208" s="46">
        <f t="shared" ca="1" si="10"/>
        <v>6.5217391304382634E-4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input_518100!A$2</f>
        <v>518100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IFERROR(VLOOKUP(B209,input_518100!L:R,7,FALSE),VLOOKUP(tables_518100!C209,input_518100!A:H,8,FALSE))</f>
        <v>9500</v>
      </c>
      <c r="P209" s="46">
        <f t="shared" ca="1" si="10"/>
        <v>7.2463768115980693E-5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input_518100!A$2</f>
        <v>518100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IFERROR(VLOOKUP(B210,input_518100!L:R,7,FALSE),VLOOKUP(tables_518100!C210,input_518100!A:H,8,FALSE))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input_518100!A$2</f>
        <v>518100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IFERROR(VLOOKUP(B211,input_518100!L:R,7,FALSE),VLOOKUP(tables_518100!C211,input_518100!A:H,8,FALSE))</f>
        <v>920625</v>
      </c>
      <c r="P211" s="46">
        <f t="shared" ca="1" si="10"/>
        <v>7.0223112128183929E-3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input_518100!A$2</f>
        <v>518100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IFERROR(VLOOKUP(B212,input_518100!L:R,7,FALSE),VLOOKUP(tables_518100!C212,input_518100!A:H,8,FALSE))</f>
        <v>114375</v>
      </c>
      <c r="P212" s="46">
        <f t="shared" ca="1" si="10"/>
        <v>8.7242562929108346E-4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input_518100!A$2</f>
        <v>518100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IFERROR(VLOOKUP(B213,input_518100!L:R,7,FALSE),VLOOKUP(tables_518100!C213,input_518100!A:H,8,FALSE))</f>
        <v>85500</v>
      </c>
      <c r="P213" s="46">
        <f t="shared" ca="1" si="10"/>
        <v>6.5217391304382634E-4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input_518100!A$2</f>
        <v>518100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IFERROR(VLOOKUP(B214,input_518100!L:R,7,FALSE),VLOOKUP(tables_518100!C214,input_518100!A:H,8,FALSE))</f>
        <v>9500</v>
      </c>
      <c r="P214" s="46">
        <f t="shared" ca="1" si="10"/>
        <v>7.2463768115980693E-5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input_518100!A$2</f>
        <v>518100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IFERROR(VLOOKUP(B215,input_518100!L:R,7,FALSE),VLOOKUP(tables_518100!C215,input_518100!A:H,8,FALSE))</f>
        <v>103500</v>
      </c>
      <c r="P215" s="46">
        <f t="shared" ca="1" si="10"/>
        <v>7.8947368421094762E-4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input_518100!A$2</f>
        <v>518100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IFERROR(VLOOKUP(B216,input_518100!L:R,7,FALSE),VLOOKUP(tables_518100!C216,input_518100!A:H,8,FALSE))</f>
        <v>103500</v>
      </c>
      <c r="P216" s="46">
        <f t="shared" ca="1" si="10"/>
        <v>7.8947368421094762E-4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input_518100!A$2</f>
        <v>518100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IFERROR(VLOOKUP(B217,input_518100!L:R,7,FALSE),VLOOKUP(tables_518100!C217,input_518100!A:H,8,FALSE))</f>
        <v>103500</v>
      </c>
      <c r="P217" s="46">
        <f t="shared" ca="1" si="10"/>
        <v>7.8947368421094762E-4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input_518100!A$2</f>
        <v>518100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IFERROR(VLOOKUP(B218,input_518100!L:R,7,FALSE),VLOOKUP(tables_518100!C218,input_518100!A:H,8,FALSE))</f>
        <v>103500</v>
      </c>
      <c r="P218" s="46">
        <f t="shared" ca="1" si="10"/>
        <v>7.8947368421094762E-4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input_518100!A$2</f>
        <v>518100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IFERROR(VLOOKUP(B219,input_518100!L:R,7,FALSE),VLOOKUP(tables_518100!C219,input_518100!A:H,8,FALSE))</f>
        <v>103500</v>
      </c>
      <c r="P219" s="46">
        <f t="shared" ca="1" si="10"/>
        <v>7.8947368421094762E-4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input_518100!A$2</f>
        <v>518100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IFERROR(VLOOKUP(B220,input_518100!L:R,7,FALSE),VLOOKUP(tables_518100!C220,input_518100!A:H,8,FALSE))</f>
        <v>103500</v>
      </c>
      <c r="P220" s="46">
        <f t="shared" ca="1" si="10"/>
        <v>7.8947368421094762E-4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input_518100!A$2</f>
        <v>518100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IFERROR(VLOOKUP(B221,input_518100!L:R,7,FALSE),VLOOKUP(tables_518100!C221,input_518100!A:H,8,FALSE))</f>
        <v>85500</v>
      </c>
      <c r="P221" s="46">
        <f t="shared" ca="1" si="10"/>
        <v>6.5217391304382634E-4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input_518100!A$2</f>
        <v>518100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IFERROR(VLOOKUP(B222,input_518100!L:R,7,FALSE),VLOOKUP(tables_518100!C222,input_518100!A:H,8,FALSE))</f>
        <v>9500</v>
      </c>
      <c r="P222" s="46">
        <f t="shared" ca="1" si="10"/>
        <v>7.2463768115980693E-5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input_518100!A$2</f>
        <v>518100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IFERROR(VLOOKUP(B223,input_518100!L:R,7,FALSE),VLOOKUP(tables_518100!C223,input_518100!A:H,8,FALSE))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input_518100!A$2</f>
        <v>518100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IFERROR(VLOOKUP(B224,input_518100!L:R,7,FALSE),VLOOKUP(tables_518100!C224,input_518100!A:H,8,FALSE))</f>
        <v>920625</v>
      </c>
      <c r="P224" s="46">
        <f t="shared" ca="1" si="10"/>
        <v>7.0223112128183929E-3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input_518100!A$2</f>
        <v>518100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IFERROR(VLOOKUP(B225,input_518100!L:R,7,FALSE),VLOOKUP(tables_518100!C225,input_518100!A:H,8,FALSE))</f>
        <v>114375</v>
      </c>
      <c r="P225" s="46">
        <f t="shared" ca="1" si="10"/>
        <v>8.7242562929108346E-4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input_518100!A$2</f>
        <v>518100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IFERROR(VLOOKUP(B226,input_518100!L:R,7,FALSE),VLOOKUP(tables_518100!C226,input_518100!A:H,8,FALSE))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input_518100!A$2</f>
        <v>518100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IFERROR(VLOOKUP(B227,input_518100!L:R,7,FALSE),VLOOKUP(tables_518100!C227,input_518100!A:H,8,FALSE))</f>
        <v>920625</v>
      </c>
      <c r="P227" s="46">
        <f t="shared" ca="1" si="10"/>
        <v>7.0223112128183929E-3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input_518100!A$2</f>
        <v>518100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IFERROR(VLOOKUP(B228,input_518100!L:R,7,FALSE),VLOOKUP(tables_518100!C228,input_518100!A:H,8,FALSE))</f>
        <v>114375</v>
      </c>
      <c r="P228" s="46">
        <f t="shared" ca="1" si="10"/>
        <v>8.7242562929108346E-4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input_518100!A$2</f>
        <v>518100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IFERROR(VLOOKUP(B229,input_518100!L:R,7,FALSE),VLOOKUP(tables_518100!C229,input_518100!A:H,8,FALSE))</f>
        <v>85500</v>
      </c>
      <c r="P229" s="46">
        <f t="shared" ca="1" si="10"/>
        <v>6.5217391304382634E-4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input_518100!A$2</f>
        <v>518100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IFERROR(VLOOKUP(B230,input_518100!L:R,7,FALSE),VLOOKUP(tables_518100!C230,input_518100!A:H,8,FALSE))</f>
        <v>9500</v>
      </c>
      <c r="P230" s="46">
        <f t="shared" ca="1" si="10"/>
        <v>7.2463768115980693E-5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input_518100!A$2</f>
        <v>518100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IFERROR(VLOOKUP(B231,input_518100!L:R,7,FALSE),VLOOKUP(tables_518100!C231,input_518100!A:H,8,FALSE))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input_518100!A$2</f>
        <v>518100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IFERROR(VLOOKUP(B232,input_518100!L:R,7,FALSE),VLOOKUP(tables_518100!C232,input_518100!A:H,8,FALSE))</f>
        <v>920625</v>
      </c>
      <c r="P232" s="46">
        <f t="shared" ca="1" si="10"/>
        <v>7.0223112128183929E-3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input_518100!A$2</f>
        <v>518100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IFERROR(VLOOKUP(B233,input_518100!L:R,7,FALSE),VLOOKUP(tables_518100!C233,input_518100!A:H,8,FALSE))</f>
        <v>114375</v>
      </c>
      <c r="P233" s="46">
        <f t="shared" ca="1" si="10"/>
        <v>8.7242562929108346E-4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input_518100!A$2</f>
        <v>518100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IFERROR(VLOOKUP(B234,input_518100!L:R,7,FALSE),VLOOKUP(tables_518100!C234,input_518100!A:H,8,FALSE))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input_518100!A$2</f>
        <v>518100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IFERROR(VLOOKUP(B235,input_518100!L:R,7,FALSE),VLOOKUP(tables_518100!C235,input_518100!A:H,8,FALSE))</f>
        <v>920625</v>
      </c>
      <c r="P235" s="46">
        <f t="shared" ca="1" si="10"/>
        <v>7.0223112128183929E-3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input_518100!A$2</f>
        <v>518100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IFERROR(VLOOKUP(B236,input_518100!L:R,7,FALSE),VLOOKUP(tables_518100!C236,input_518100!A:H,8,FALSE))</f>
        <v>114375</v>
      </c>
      <c r="P236" s="46">
        <f t="shared" ca="1" si="10"/>
        <v>8.7242562929108346E-4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input_518100!A$2</f>
        <v>518100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IFERROR(VLOOKUP(B237,input_518100!L:R,7,FALSE),VLOOKUP(tables_518100!C237,input_518100!A:H,8,FALSE))</f>
        <v>85500</v>
      </c>
      <c r="P237" s="46">
        <f t="shared" ca="1" si="10"/>
        <v>6.5217391304382634E-4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input_518100!A$2</f>
        <v>518100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IFERROR(VLOOKUP(B238,input_518100!L:R,7,FALSE),VLOOKUP(tables_518100!C238,input_518100!A:H,8,FALSE))</f>
        <v>9500</v>
      </c>
      <c r="P238" s="46">
        <f t="shared" ca="1" si="10"/>
        <v>7.2463768115980693E-5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input_518100!A$2</f>
        <v>518100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IFERROR(VLOOKUP(B239,input_518100!L:R,7,FALSE),VLOOKUP(tables_518100!C239,input_518100!A:H,8,FALSE))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input_518100!A$2</f>
        <v>518100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IFERROR(VLOOKUP(B240,input_518100!L:R,7,FALSE),VLOOKUP(tables_518100!C240,input_518100!A:H,8,FALSE))</f>
        <v>920625</v>
      </c>
      <c r="P240" s="46">
        <f t="shared" ca="1" si="10"/>
        <v>7.0223112128183929E-3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input_518100!A$2</f>
        <v>518100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IFERROR(VLOOKUP(B241,input_518100!L:R,7,FALSE),VLOOKUP(tables_518100!C241,input_518100!A:H,8,FALSE))</f>
        <v>114375</v>
      </c>
      <c r="P241" s="46">
        <f t="shared" ca="1" si="10"/>
        <v>8.7242562929108346E-4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input_518100!A$2</f>
        <v>518100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IFERROR(VLOOKUP(B242,input_518100!L:R,7,FALSE),VLOOKUP(tables_518100!C242,input_518100!A:H,8,FALSE))</f>
        <v>85500</v>
      </c>
      <c r="P242" s="46">
        <f t="shared" ca="1" si="10"/>
        <v>6.5217391304382634E-4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input_518100!A$2</f>
        <v>518100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IFERROR(VLOOKUP(B243,input_518100!L:R,7,FALSE),VLOOKUP(tables_518100!C243,input_518100!A:H,8,FALSE))</f>
        <v>9500</v>
      </c>
      <c r="P243" s="46">
        <f t="shared" ca="1" si="10"/>
        <v>7.2463768115980693E-5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input_518100!A$2</f>
        <v>518100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IFERROR(VLOOKUP(B244,input_518100!L:R,7,FALSE),VLOOKUP(tables_518100!C244,input_518100!A:H,8,FALSE))</f>
        <v>85500</v>
      </c>
      <c r="P244" s="46">
        <f t="shared" ca="1" si="10"/>
        <v>6.5217391304382634E-4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input_518100!A$2</f>
        <v>518100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IFERROR(VLOOKUP(B245,input_518100!L:R,7,FALSE),VLOOKUP(tables_518100!C245,input_518100!A:H,8,FALSE))</f>
        <v>9500</v>
      </c>
      <c r="P245" s="46">
        <f t="shared" ca="1" si="10"/>
        <v>7.2463768115980693E-5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input_518100!A$2</f>
        <v>518100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IFERROR(VLOOKUP(B246,input_518100!L:R,7,FALSE),VLOOKUP(tables_518100!C246,input_518100!A:H,8,FALSE))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input_518100!A$2</f>
        <v>518100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IFERROR(VLOOKUP(B247,input_518100!L:R,7,FALSE),VLOOKUP(tables_518100!C247,input_518100!A:H,8,FALSE))</f>
        <v>920625</v>
      </c>
      <c r="P247" s="46">
        <f t="shared" ca="1" si="10"/>
        <v>7.0223112128183929E-3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input_518100!A$2</f>
        <v>518100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IFERROR(VLOOKUP(B248,input_518100!L:R,7,FALSE),VLOOKUP(tables_518100!C248,input_518100!A:H,8,FALSE))</f>
        <v>114375</v>
      </c>
      <c r="P248" s="46">
        <f t="shared" ca="1" si="10"/>
        <v>8.7242562929108346E-4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input_518100!A$2</f>
        <v>518100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IFERROR(VLOOKUP(B249,input_518100!L:R,7,FALSE),VLOOKUP(tables_518100!C249,input_518100!A:H,8,FALSE))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input_518100!A$2</f>
        <v>518100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IFERROR(VLOOKUP(B250,input_518100!L:R,7,FALSE),VLOOKUP(tables_518100!C250,input_518100!A:H,8,FALSE))</f>
        <v>920625</v>
      </c>
      <c r="P250" s="46">
        <f t="shared" ca="1" si="10"/>
        <v>7.0223112128183929E-3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input_518100!A$2</f>
        <v>518100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IFERROR(VLOOKUP(B251,input_518100!L:R,7,FALSE),VLOOKUP(tables_518100!C251,input_518100!A:H,8,FALSE))</f>
        <v>114375</v>
      </c>
      <c r="P251" s="46">
        <f t="shared" ca="1" si="10"/>
        <v>8.7242562929108346E-4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input_518100!A$2</f>
        <v>518100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IFERROR(VLOOKUP(B252,input_518100!L:R,7,FALSE),VLOOKUP(tables_518100!C252,input_518100!A:H,8,FALSE))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input_518100!A$2</f>
        <v>518100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IFERROR(VLOOKUP(B253,input_518100!L:R,7,FALSE),VLOOKUP(tables_518100!C253,input_518100!A:H,8,FALSE))</f>
        <v>920625</v>
      </c>
      <c r="P253" s="46">
        <f t="shared" ca="1" si="10"/>
        <v>7.0223112128183929E-3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input_518100!A$2</f>
        <v>518100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IFERROR(VLOOKUP(B254,input_518100!L:R,7,FALSE),VLOOKUP(tables_518100!C254,input_518100!A:H,8,FALSE))</f>
        <v>114375</v>
      </c>
      <c r="P254" s="46">
        <f t="shared" ca="1" si="10"/>
        <v>8.7242562929108346E-4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input_518100!A$2</f>
        <v>518100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IFERROR(VLOOKUP(B255,input_518100!L:R,7,FALSE),VLOOKUP(tables_518100!C255,input_518100!A:H,8,FALSE))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input_518100!A$2</f>
        <v>518100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IFERROR(VLOOKUP(B256,input_518100!L:R,7,FALSE),VLOOKUP(tables_518100!C256,input_518100!A:H,8,FALSE))</f>
        <v>920625</v>
      </c>
      <c r="P256" s="46">
        <f t="shared" ca="1" si="10"/>
        <v>7.0223112128183929E-3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input_518100!A$2</f>
        <v>518100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IFERROR(VLOOKUP(B257,input_518100!L:R,7,FALSE),VLOOKUP(tables_518100!C257,input_518100!A:H,8,FALSE))</f>
        <v>114375</v>
      </c>
      <c r="P257" s="46">
        <f t="shared" ca="1" si="10"/>
        <v>8.7242562929108346E-4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input_518100!A$2</f>
        <v>518100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IFERROR(VLOOKUP(B258,input_518100!L:R,7,FALSE),VLOOKUP(tables_518100!C258,input_518100!A:H,8,FALSE))</f>
        <v>85500</v>
      </c>
      <c r="P258" s="46">
        <f t="shared" ref="P258:P321" ca="1" si="13">O258/SUM(O:O)</f>
        <v>6.5217391304382634E-4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input_518100!A$2</f>
        <v>518100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IFERROR(VLOOKUP(B259,input_518100!L:R,7,FALSE),VLOOKUP(tables_518100!C259,input_518100!A:H,8,FALSE))</f>
        <v>9500</v>
      </c>
      <c r="P259" s="46">
        <f t="shared" ca="1" si="13"/>
        <v>7.2463768115980693E-5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input_518100!A$2</f>
        <v>518100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IFERROR(VLOOKUP(B260,input_518100!L:R,7,FALSE),VLOOKUP(tables_518100!C260,input_518100!A:H,8,FALSE))</f>
        <v>85500</v>
      </c>
      <c r="P260" s="46">
        <f t="shared" ca="1" si="13"/>
        <v>6.5217391304382634E-4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input_518100!A$2</f>
        <v>518100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IFERROR(VLOOKUP(B261,input_518100!L:R,7,FALSE),VLOOKUP(tables_518100!C261,input_518100!A:H,8,FALSE))</f>
        <v>9500</v>
      </c>
      <c r="P261" s="46">
        <f t="shared" ca="1" si="13"/>
        <v>7.2463768115980693E-5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input_518100!A$2</f>
        <v>518100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IFERROR(VLOOKUP(B262,input_518100!L:R,7,FALSE),VLOOKUP(tables_518100!C262,input_518100!A:H,8,FALSE))</f>
        <v>898815.78946999996</v>
      </c>
      <c r="P262" s="46">
        <f t="shared" ca="1" si="13"/>
        <v>6.8559556786459159E-3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input_518100!A$2</f>
        <v>518100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IFERROR(VLOOKUP(B263,input_518100!L:R,7,FALSE),VLOOKUP(tables_518100!C263,input_518100!A:H,8,FALSE))</f>
        <v>103500</v>
      </c>
      <c r="P263" s="46">
        <f t="shared" ca="1" si="13"/>
        <v>7.8947368421094762E-4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input_518100!A$2</f>
        <v>518100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IFERROR(VLOOKUP(B264,input_518100!L:R,7,FALSE),VLOOKUP(tables_518100!C264,input_518100!A:H,8,FALSE))</f>
        <v>898815.78946999996</v>
      </c>
      <c r="P264" s="46">
        <f t="shared" ca="1" si="13"/>
        <v>6.8559556786459159E-3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input_518100!A$2</f>
        <v>518100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IFERROR(VLOOKUP(B265,input_518100!L:R,7,FALSE),VLOOKUP(tables_518100!C265,input_518100!A:H,8,FALSE))</f>
        <v>103500</v>
      </c>
      <c r="P265" s="46">
        <f t="shared" ca="1" si="13"/>
        <v>7.8947368421094762E-4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input_518100!A$2</f>
        <v>518100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IFERROR(VLOOKUP(B266,input_518100!L:R,7,FALSE),VLOOKUP(tables_518100!C266,input_518100!A:H,8,FALSE))</f>
        <v>95000</v>
      </c>
      <c r="P266" s="46">
        <f t="shared" ca="1" si="13"/>
        <v>7.2463768115980703E-4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input_518100!A$2</f>
        <v>518100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IFERROR(VLOOKUP(B267,input_518100!L:R,7,FALSE),VLOOKUP(tables_518100!C267,input_518100!A:H,8,FALSE))</f>
        <v>95000</v>
      </c>
      <c r="P267" s="46">
        <f t="shared" ca="1" si="13"/>
        <v>7.2463768115980703E-4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input_518100!A$2</f>
        <v>518100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IFERROR(VLOOKUP(B268,input_518100!L:R,7,FALSE),VLOOKUP(tables_518100!C268,input_518100!A:H,8,FALSE))</f>
        <v>95000</v>
      </c>
      <c r="P268" s="46">
        <f t="shared" ca="1" si="13"/>
        <v>7.2463768115980703E-4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input_518100!A$2</f>
        <v>518100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IFERROR(VLOOKUP(B269,input_518100!L:R,7,FALSE),VLOOKUP(tables_518100!C269,input_518100!A:H,8,FALSE))</f>
        <v>95000</v>
      </c>
      <c r="P269" s="46">
        <f t="shared" ca="1" si="13"/>
        <v>7.2463768115980703E-4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input_518100!A$2</f>
        <v>518100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IFERROR(VLOOKUP(B270,input_518100!L:R,7,FALSE),VLOOKUP(tables_518100!C270,input_518100!A:H,8,FALSE))</f>
        <v>898815.78946999996</v>
      </c>
      <c r="P270" s="46">
        <f t="shared" ca="1" si="13"/>
        <v>6.8559556786459159E-3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input_518100!A$2</f>
        <v>518100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IFERROR(VLOOKUP(B271,input_518100!L:R,7,FALSE),VLOOKUP(tables_518100!C271,input_518100!A:H,8,FALSE))</f>
        <v>103500</v>
      </c>
      <c r="P271" s="46">
        <f t="shared" ca="1" si="13"/>
        <v>7.8947368421094762E-4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input_518100!A$2</f>
        <v>518100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IFERROR(VLOOKUP(B272,input_518100!L:R,7,FALSE),VLOOKUP(tables_518100!C272,input_518100!A:H,8,FALSE))</f>
        <v>898815.78946999996</v>
      </c>
      <c r="P272" s="46">
        <f t="shared" ca="1" si="13"/>
        <v>6.8559556786459159E-3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input_518100!A$2</f>
        <v>518100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IFERROR(VLOOKUP(B273,input_518100!L:R,7,FALSE),VLOOKUP(tables_518100!C273,input_518100!A:H,8,FALSE))</f>
        <v>103500</v>
      </c>
      <c r="P273" s="46">
        <f t="shared" ca="1" si="13"/>
        <v>7.8947368421094762E-4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input_518100!A$2</f>
        <v>518100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IFERROR(VLOOKUP(B274,input_518100!L:R,7,FALSE),VLOOKUP(tables_518100!C274,input_518100!A:H,8,FALSE))</f>
        <v>85500</v>
      </c>
      <c r="P274" s="46">
        <f t="shared" ca="1" si="13"/>
        <v>6.5217391304382634E-4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input_518100!A$2</f>
        <v>518100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IFERROR(VLOOKUP(B275,input_518100!L:R,7,FALSE),VLOOKUP(tables_518100!C275,input_518100!A:H,8,FALSE))</f>
        <v>9500</v>
      </c>
      <c r="P275" s="46">
        <f t="shared" ca="1" si="13"/>
        <v>7.2463768115980693E-5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input_518100!A$2</f>
        <v>518100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IFERROR(VLOOKUP(B276,input_518100!L:R,7,FALSE),VLOOKUP(tables_518100!C276,input_518100!A:H,8,FALSE))</f>
        <v>85500</v>
      </c>
      <c r="P276" s="46">
        <f t="shared" ca="1" si="13"/>
        <v>6.5217391304382634E-4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input_518100!A$2</f>
        <v>518100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IFERROR(VLOOKUP(B277,input_518100!L:R,7,FALSE),VLOOKUP(tables_518100!C277,input_518100!A:H,8,FALSE))</f>
        <v>9500</v>
      </c>
      <c r="P277" s="46">
        <f t="shared" ca="1" si="13"/>
        <v>7.2463768115980693E-5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input_518100!A$2</f>
        <v>518100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IFERROR(VLOOKUP(B278,input_518100!L:R,7,FALSE),VLOOKUP(tables_518100!C278,input_518100!A:H,8,FALSE))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input_518100!A$2</f>
        <v>518100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IFERROR(VLOOKUP(B279,input_518100!L:R,7,FALSE),VLOOKUP(tables_518100!C279,input_518100!A:H,8,FALSE))</f>
        <v>920625</v>
      </c>
      <c r="P279" s="46">
        <f t="shared" ca="1" si="13"/>
        <v>7.0223112128183929E-3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input_518100!A$2</f>
        <v>518100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IFERROR(VLOOKUP(B280,input_518100!L:R,7,FALSE),VLOOKUP(tables_518100!C280,input_518100!A:H,8,FALSE))</f>
        <v>114375</v>
      </c>
      <c r="P280" s="46">
        <f t="shared" ca="1" si="13"/>
        <v>8.7242562929108346E-4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input_518100!A$2</f>
        <v>518100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IFERROR(VLOOKUP(B281,input_518100!L:R,7,FALSE),VLOOKUP(tables_518100!C281,input_518100!A:H,8,FALSE))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input_518100!A$2</f>
        <v>518100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IFERROR(VLOOKUP(B282,input_518100!L:R,7,FALSE),VLOOKUP(tables_518100!C282,input_518100!A:H,8,FALSE))</f>
        <v>920625</v>
      </c>
      <c r="P282" s="46">
        <f t="shared" ca="1" si="13"/>
        <v>7.0223112128183929E-3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input_518100!A$2</f>
        <v>518100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IFERROR(VLOOKUP(B283,input_518100!L:R,7,FALSE),VLOOKUP(tables_518100!C283,input_518100!A:H,8,FALSE))</f>
        <v>114375</v>
      </c>
      <c r="P283" s="46">
        <f t="shared" ca="1" si="13"/>
        <v>8.7242562929108346E-4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input_518100!A$2</f>
        <v>518100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IFERROR(VLOOKUP(B284,input_518100!L:R,7,FALSE),VLOOKUP(tables_518100!C284,input_518100!A:H,8,FALSE))</f>
        <v>95000</v>
      </c>
      <c r="P284" s="46">
        <f t="shared" ca="1" si="13"/>
        <v>7.2463768115980703E-4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input_518100!A$2</f>
        <v>518100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IFERROR(VLOOKUP(B285,input_518100!L:R,7,FALSE),VLOOKUP(tables_518100!C285,input_518100!A:H,8,FALSE))</f>
        <v>95000</v>
      </c>
      <c r="P285" s="46">
        <f t="shared" ca="1" si="13"/>
        <v>7.2463768115980703E-4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input_518100!A$2</f>
        <v>518100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IFERROR(VLOOKUP(B286,input_518100!L:R,7,FALSE),VLOOKUP(tables_518100!C286,input_518100!A:H,8,FALSE))</f>
        <v>898815.78946999996</v>
      </c>
      <c r="P286" s="46">
        <f t="shared" ca="1" si="13"/>
        <v>6.8559556786459159E-3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input_518100!A$2</f>
        <v>518100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IFERROR(VLOOKUP(B287,input_518100!L:R,7,FALSE),VLOOKUP(tables_518100!C287,input_518100!A:H,8,FALSE))</f>
        <v>103500</v>
      </c>
      <c r="P287" s="46">
        <f t="shared" ca="1" si="13"/>
        <v>7.8947368421094762E-4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input_518100!A$2</f>
        <v>518100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IFERROR(VLOOKUP(B288,input_518100!L:R,7,FALSE),VLOOKUP(tables_518100!C288,input_518100!A:H,8,FALSE))</f>
        <v>898815.78946999996</v>
      </c>
      <c r="P288" s="46">
        <f t="shared" ca="1" si="13"/>
        <v>6.8559556786459159E-3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input_518100!A$2</f>
        <v>518100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IFERROR(VLOOKUP(B289,input_518100!L:R,7,FALSE),VLOOKUP(tables_518100!C289,input_518100!A:H,8,FALSE))</f>
        <v>103500</v>
      </c>
      <c r="P289" s="46">
        <f t="shared" ca="1" si="13"/>
        <v>7.8947368421094762E-4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input_518100!A$2</f>
        <v>518100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IFERROR(VLOOKUP(B290,input_518100!L:R,7,FALSE),VLOOKUP(tables_518100!C290,input_518100!A:H,8,FALSE))</f>
        <v>898815.78946999996</v>
      </c>
      <c r="P290" s="46">
        <f t="shared" ca="1" si="13"/>
        <v>6.8559556786459159E-3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input_518100!A$2</f>
        <v>518100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IFERROR(VLOOKUP(B291,input_518100!L:R,7,FALSE),VLOOKUP(tables_518100!C291,input_518100!A:H,8,FALSE))</f>
        <v>103500</v>
      </c>
      <c r="P291" s="46">
        <f t="shared" ca="1" si="13"/>
        <v>7.8947368421094762E-4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input_518100!A$2</f>
        <v>518100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IFERROR(VLOOKUP(B292,input_518100!L:R,7,FALSE),VLOOKUP(tables_518100!C292,input_518100!A:H,8,FALSE))</f>
        <v>898815.78946999996</v>
      </c>
      <c r="P292" s="46">
        <f t="shared" ca="1" si="13"/>
        <v>6.8559556786459159E-3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input_518100!A$2</f>
        <v>518100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IFERROR(VLOOKUP(B293,input_518100!L:R,7,FALSE),VLOOKUP(tables_518100!C293,input_518100!A:H,8,FALSE))</f>
        <v>103500</v>
      </c>
      <c r="P293" s="46">
        <f t="shared" ca="1" si="13"/>
        <v>7.8947368421094762E-4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input_518100!A$2</f>
        <v>518100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IFERROR(VLOOKUP(B294,input_518100!L:R,7,FALSE),VLOOKUP(tables_518100!C294,input_518100!A:H,8,FALSE))</f>
        <v>95000</v>
      </c>
      <c r="P294" s="46">
        <f t="shared" ca="1" si="13"/>
        <v>7.2463768115980703E-4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input_518100!A$2</f>
        <v>518100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IFERROR(VLOOKUP(B295,input_518100!L:R,7,FALSE),VLOOKUP(tables_518100!C295,input_518100!A:H,8,FALSE))</f>
        <v>95000</v>
      </c>
      <c r="P295" s="46">
        <f t="shared" ca="1" si="13"/>
        <v>7.2463768115980703E-4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input_518100!A$2</f>
        <v>518100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IFERROR(VLOOKUP(B296,input_518100!L:R,7,FALSE),VLOOKUP(tables_518100!C296,input_518100!A:H,8,FALSE))</f>
        <v>95000</v>
      </c>
      <c r="P296" s="46">
        <f t="shared" ca="1" si="13"/>
        <v>7.2463768115980703E-4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input_518100!A$2</f>
        <v>518100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IFERROR(VLOOKUP(B297,input_518100!L:R,7,FALSE),VLOOKUP(tables_518100!C297,input_518100!A:H,8,FALSE))</f>
        <v>898815.78946999996</v>
      </c>
      <c r="P297" s="46">
        <f t="shared" ca="1" si="13"/>
        <v>6.8559556786459159E-3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input_518100!A$2</f>
        <v>518100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IFERROR(VLOOKUP(B298,input_518100!L:R,7,FALSE),VLOOKUP(tables_518100!C298,input_518100!A:H,8,FALSE))</f>
        <v>103500</v>
      </c>
      <c r="P298" s="46">
        <f t="shared" ca="1" si="13"/>
        <v>7.8947368421094762E-4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input_518100!A$2</f>
        <v>518100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IFERROR(VLOOKUP(B299,input_518100!L:R,7,FALSE),VLOOKUP(tables_518100!C299,input_518100!A:H,8,FALSE))</f>
        <v>95000</v>
      </c>
      <c r="P299" s="46">
        <f t="shared" ca="1" si="13"/>
        <v>7.2463768115980703E-4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input_518100!A$2</f>
        <v>518100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IFERROR(VLOOKUP(B300,input_518100!L:R,7,FALSE),VLOOKUP(tables_518100!C300,input_518100!A:H,8,FALSE))</f>
        <v>95000</v>
      </c>
      <c r="P300" s="46">
        <f t="shared" ca="1" si="13"/>
        <v>7.2463768115980703E-4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input_518100!A$2</f>
        <v>518100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IFERROR(VLOOKUP(B301,input_518100!L:R,7,FALSE),VLOOKUP(tables_518100!C301,input_518100!A:H,8,FALSE))</f>
        <v>95000</v>
      </c>
      <c r="P301" s="46">
        <f t="shared" ca="1" si="13"/>
        <v>7.2463768115980703E-4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input_518100!A$2</f>
        <v>518100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IFERROR(VLOOKUP(B302,input_518100!L:R,7,FALSE),VLOOKUP(tables_518100!C302,input_518100!A:H,8,FALSE))</f>
        <v>95000</v>
      </c>
      <c r="P302" s="46">
        <f t="shared" ca="1" si="13"/>
        <v>7.2463768115980703E-4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input_518100!A$2</f>
        <v>518100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IFERROR(VLOOKUP(B303,input_518100!L:R,7,FALSE),VLOOKUP(tables_518100!C303,input_518100!A:H,8,FALSE))</f>
        <v>898815.78946999996</v>
      </c>
      <c r="P303" s="46">
        <f t="shared" ca="1" si="13"/>
        <v>6.8559556786459159E-3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input_518100!A$2</f>
        <v>518100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IFERROR(VLOOKUP(B304,input_518100!L:R,7,FALSE),VLOOKUP(tables_518100!C304,input_518100!A:H,8,FALSE))</f>
        <v>103500</v>
      </c>
      <c r="P304" s="46">
        <f t="shared" ca="1" si="13"/>
        <v>7.8947368421094762E-4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input_518100!A$2</f>
        <v>518100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IFERROR(VLOOKUP(B305,input_518100!L:R,7,FALSE),VLOOKUP(tables_518100!C305,input_518100!A:H,8,FALSE))</f>
        <v>95000</v>
      </c>
      <c r="P305" s="46">
        <f t="shared" ca="1" si="13"/>
        <v>7.2463768115980703E-4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input_518100!A$2</f>
        <v>518100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IFERROR(VLOOKUP(B306,input_518100!L:R,7,FALSE),VLOOKUP(tables_518100!C306,input_518100!A:H,8,FALSE))</f>
        <v>898815.78946999996</v>
      </c>
      <c r="P306" s="46">
        <f t="shared" ca="1" si="13"/>
        <v>6.8559556786459159E-3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input_518100!A$2</f>
        <v>518100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IFERROR(VLOOKUP(B307,input_518100!L:R,7,FALSE),VLOOKUP(tables_518100!C307,input_518100!A:H,8,FALSE))</f>
        <v>103500</v>
      </c>
      <c r="P307" s="46">
        <f t="shared" ca="1" si="13"/>
        <v>7.8947368421094762E-4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input_518100!A$2</f>
        <v>518100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IFERROR(VLOOKUP(B308,input_518100!L:R,7,FALSE),VLOOKUP(tables_518100!C308,input_518100!A:H,8,FALSE))</f>
        <v>95000</v>
      </c>
      <c r="P308" s="46">
        <f t="shared" ca="1" si="13"/>
        <v>7.2463768115980703E-4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input_518100!A$2</f>
        <v>518100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IFERROR(VLOOKUP(B309,input_518100!L:R,7,FALSE),VLOOKUP(tables_518100!C309,input_518100!A:H,8,FALSE))</f>
        <v>95000</v>
      </c>
      <c r="P309" s="46">
        <f t="shared" ca="1" si="13"/>
        <v>7.2463768115980703E-4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input_518100!A$2</f>
        <v>518100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IFERROR(VLOOKUP(B310,input_518100!L:R,7,FALSE),VLOOKUP(tables_518100!C310,input_518100!A:H,8,FALSE))</f>
        <v>95000</v>
      </c>
      <c r="P310" s="46">
        <f t="shared" ca="1" si="13"/>
        <v>7.2463768115980703E-4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input_518100!A$2</f>
        <v>518100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IFERROR(VLOOKUP(B311,input_518100!L:R,7,FALSE),VLOOKUP(tables_518100!C311,input_518100!A:H,8,FALSE))</f>
        <v>898815.78946999996</v>
      </c>
      <c r="P311" s="46">
        <f t="shared" ca="1" si="13"/>
        <v>6.8559556786459159E-3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input_518100!A$2</f>
        <v>518100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IFERROR(VLOOKUP(B312,input_518100!L:R,7,FALSE),VLOOKUP(tables_518100!C312,input_518100!A:H,8,FALSE))</f>
        <v>103500</v>
      </c>
      <c r="P312" s="46">
        <f t="shared" ca="1" si="13"/>
        <v>7.8947368421094762E-4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input_518100!A$2</f>
        <v>518100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IFERROR(VLOOKUP(B313,input_518100!L:R,7,FALSE),VLOOKUP(tables_518100!C313,input_518100!A:H,8,FALSE))</f>
        <v>95000</v>
      </c>
      <c r="P313" s="46">
        <f t="shared" ca="1" si="13"/>
        <v>7.2463768115980703E-4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input_518100!A$2</f>
        <v>518100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IFERROR(VLOOKUP(B314,input_518100!L:R,7,FALSE),VLOOKUP(tables_518100!C314,input_518100!A:H,8,FALSE))</f>
        <v>95000</v>
      </c>
      <c r="P314" s="46">
        <f t="shared" ca="1" si="13"/>
        <v>7.2463768115980703E-4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input_518100!A$2</f>
        <v>518100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IFERROR(VLOOKUP(B315,input_518100!L:R,7,FALSE),VLOOKUP(tables_518100!C315,input_518100!A:H,8,FALSE))</f>
        <v>95000</v>
      </c>
      <c r="P315" s="46">
        <f t="shared" ca="1" si="13"/>
        <v>7.2463768115980703E-4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input_518100!A$2</f>
        <v>518100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IFERROR(VLOOKUP(B316,input_518100!L:R,7,FALSE),VLOOKUP(tables_518100!C316,input_518100!A:H,8,FALSE))</f>
        <v>95000</v>
      </c>
      <c r="P316" s="46">
        <f t="shared" ca="1" si="13"/>
        <v>7.2463768115980703E-4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input_518100!A$2</f>
        <v>518100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IFERROR(VLOOKUP(B317,input_518100!L:R,7,FALSE),VLOOKUP(tables_518100!C317,input_518100!A:H,8,FALSE))</f>
        <v>95000</v>
      </c>
      <c r="P317" s="46">
        <f t="shared" ca="1" si="13"/>
        <v>7.2463768115980703E-4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input_518100!A$2</f>
        <v>518100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IFERROR(VLOOKUP(B318,input_518100!L:R,7,FALSE),VLOOKUP(tables_518100!C318,input_518100!A:H,8,FALSE))</f>
        <v>898815.78946999996</v>
      </c>
      <c r="P318" s="46">
        <f t="shared" ca="1" si="13"/>
        <v>6.8559556786459159E-3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input_518100!A$2</f>
        <v>518100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IFERROR(VLOOKUP(B319,input_518100!L:R,7,FALSE),VLOOKUP(tables_518100!C319,input_518100!A:H,8,FALSE))</f>
        <v>103500</v>
      </c>
      <c r="P319" s="46">
        <f t="shared" ca="1" si="13"/>
        <v>7.8947368421094762E-4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input_518100!A$2</f>
        <v>518100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IFERROR(VLOOKUP(B320,input_518100!L:R,7,FALSE),VLOOKUP(tables_518100!C320,input_518100!A:H,8,FALSE))</f>
        <v>95000</v>
      </c>
      <c r="P320" s="46">
        <f t="shared" ca="1" si="13"/>
        <v>7.2463768115980703E-4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input_518100!A$2</f>
        <v>518100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IFERROR(VLOOKUP(B321,input_518100!L:R,7,FALSE),VLOOKUP(tables_518100!C321,input_518100!A:H,8,FALSE))</f>
        <v>95000</v>
      </c>
      <c r="P321" s="46">
        <f t="shared" ca="1" si="13"/>
        <v>7.2463768115980703E-4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input_518100!A$2</f>
        <v>518100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IFERROR(VLOOKUP(B322,input_518100!L:R,7,FALSE),VLOOKUP(tables_518100!C322,input_518100!A:H,8,FALSE))</f>
        <v>95000</v>
      </c>
      <c r="P322" s="46">
        <f t="shared" ref="P322:P345" ca="1" si="26">O322/SUM(O:O)</f>
        <v>7.2463768115980703E-4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input_518100!A$2</f>
        <v>518100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IFERROR(VLOOKUP(B323,input_518100!L:R,7,FALSE),VLOOKUP(tables_518100!C323,input_518100!A:H,8,FALSE))</f>
        <v>95000</v>
      </c>
      <c r="P323" s="46">
        <f t="shared" ca="1" si="26"/>
        <v>7.2463768115980703E-4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input_518100!A$2</f>
        <v>518100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IFERROR(VLOOKUP(B324,input_518100!L:R,7,FALSE),VLOOKUP(tables_518100!C324,input_518100!A:H,8,FALSE))</f>
        <v>898815.78946999996</v>
      </c>
      <c r="P324" s="46">
        <f t="shared" ca="1" si="26"/>
        <v>6.8559556786459159E-3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input_518100!A$2</f>
        <v>518100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IFERROR(VLOOKUP(B325,input_518100!L:R,7,FALSE),VLOOKUP(tables_518100!C325,input_518100!A:H,8,FALSE))</f>
        <v>103500</v>
      </c>
      <c r="P325" s="46">
        <f t="shared" ca="1" si="26"/>
        <v>7.8947368421094762E-4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input_518100!A$2</f>
        <v>518100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IFERROR(VLOOKUP(B326,input_518100!L:R,7,FALSE),VLOOKUP(tables_518100!C326,input_518100!A:H,8,FALSE))</f>
        <v>898815.78946999996</v>
      </c>
      <c r="P326" s="46">
        <f t="shared" ca="1" si="26"/>
        <v>6.8559556786459159E-3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input_518100!A$2</f>
        <v>518100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IFERROR(VLOOKUP(B327,input_518100!L:R,7,FALSE),VLOOKUP(tables_518100!C327,input_518100!A:H,8,FALSE))</f>
        <v>103500</v>
      </c>
      <c r="P327" s="46">
        <f t="shared" ca="1" si="26"/>
        <v>7.8947368421094762E-4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input_518100!A$2</f>
        <v>518100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IFERROR(VLOOKUP(B328,input_518100!L:R,7,FALSE),VLOOKUP(tables_518100!C328,input_518100!A:H,8,FALSE))</f>
        <v>95000</v>
      </c>
      <c r="P328" s="46">
        <f t="shared" ca="1" si="26"/>
        <v>7.2463768115980703E-4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input_518100!A$2</f>
        <v>518100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IFERROR(VLOOKUP(B329,input_518100!L:R,7,FALSE),VLOOKUP(tables_518100!C329,input_518100!A:H,8,FALSE))</f>
        <v>95000</v>
      </c>
      <c r="P329" s="46">
        <f t="shared" ca="1" si="26"/>
        <v>7.2463768115980703E-4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input_518100!A$2</f>
        <v>518100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IFERROR(VLOOKUP(B330,input_518100!L:R,7,FALSE),VLOOKUP(tables_518100!C330,input_518100!A:H,8,FALSE))</f>
        <v>95000</v>
      </c>
      <c r="P330" s="46">
        <f t="shared" ca="1" si="26"/>
        <v>7.2463768115980703E-4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input_518100!A$2</f>
        <v>518100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IFERROR(VLOOKUP(B331,input_518100!L:R,7,FALSE),VLOOKUP(tables_518100!C331,input_518100!A:H,8,FALSE))</f>
        <v>95000</v>
      </c>
      <c r="P331" s="46">
        <f t="shared" ca="1" si="26"/>
        <v>7.2463768115980703E-4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input_518100!A$2</f>
        <v>518100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IFERROR(VLOOKUP(B332,input_518100!L:R,7,FALSE),VLOOKUP(tables_518100!C332,input_518100!A:H,8,FALSE))</f>
        <v>95000</v>
      </c>
      <c r="P332" s="46">
        <f t="shared" ca="1" si="26"/>
        <v>7.2463768115980703E-4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input_518100!A$2</f>
        <v>518100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IFERROR(VLOOKUP(B333,input_518100!L:R,7,FALSE),VLOOKUP(tables_518100!C333,input_518100!A:H,8,FALSE))</f>
        <v>95000</v>
      </c>
      <c r="P333" s="46">
        <f t="shared" ca="1" si="26"/>
        <v>7.2463768115980703E-4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input_518100!A$2</f>
        <v>518100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IFERROR(VLOOKUP(B334,input_518100!L:R,7,FALSE),VLOOKUP(tables_518100!C334,input_518100!A:H,8,FALSE))</f>
        <v>898815.78946999996</v>
      </c>
      <c r="P334" s="46">
        <f t="shared" ca="1" si="26"/>
        <v>6.8559556786459159E-3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input_518100!A$2</f>
        <v>518100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IFERROR(VLOOKUP(B335,input_518100!L:R,7,FALSE),VLOOKUP(tables_518100!C335,input_518100!A:H,8,FALSE))</f>
        <v>103500</v>
      </c>
      <c r="P335" s="46">
        <f t="shared" ca="1" si="26"/>
        <v>7.8947368421094762E-4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input_518100!A$2</f>
        <v>518100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IFERROR(VLOOKUP(B336,input_518100!L:R,7,FALSE),VLOOKUP(tables_518100!C336,input_518100!A:H,8,FALSE))</f>
        <v>898815.78946999996</v>
      </c>
      <c r="P336" s="46">
        <f t="shared" ca="1" si="26"/>
        <v>6.8559556786459159E-3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input_518100!A$2</f>
        <v>518100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IFERROR(VLOOKUP(B337,input_518100!L:R,7,FALSE),VLOOKUP(tables_518100!C337,input_518100!A:H,8,FALSE))</f>
        <v>103500</v>
      </c>
      <c r="P337" s="46">
        <f t="shared" ca="1" si="26"/>
        <v>7.8947368421094762E-4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input_518100!A$2</f>
        <v>518100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IFERROR(VLOOKUP(B338,input_518100!L:R,7,FALSE),VLOOKUP(tables_518100!C338,input_518100!A:H,8,FALSE))</f>
        <v>95000</v>
      </c>
      <c r="P338" s="46">
        <f t="shared" ca="1" si="26"/>
        <v>7.2463768115980703E-4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input_518100!A$2</f>
        <v>518100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IFERROR(VLOOKUP(B339,input_518100!L:R,7,FALSE),VLOOKUP(tables_518100!C339,input_518100!A:H,8,FALSE))</f>
        <v>95000</v>
      </c>
      <c r="P339" s="46">
        <f t="shared" ca="1" si="26"/>
        <v>7.2463768115980703E-4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input_518100!A$2</f>
        <v>518100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IFERROR(VLOOKUP(B340,input_518100!L:R,7,FALSE),VLOOKUP(tables_518100!C340,input_518100!A:H,8,FALSE))</f>
        <v>95000</v>
      </c>
      <c r="P340" s="46">
        <f t="shared" ca="1" si="26"/>
        <v>7.2463768115980703E-4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input_518100!A$2</f>
        <v>518100</v>
      </c>
      <c r="B341" s="2">
        <v>1244</v>
      </c>
      <c r="C341" s="7" t="str">
        <f t="shared" ref="C341:C357" si="33">D341&amp;J341&amp;E341&amp;F341&amp;G341</f>
        <v>PremiumSS5R5only</v>
      </c>
      <c r="D341" s="7" t="str">
        <f t="shared" ref="D341:D357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IFERROR(VLOOKUP(B341,input_518100!L:R,7,FALSE),VLOOKUP(tables_518100!C341,input_518100!A:H,8,FALSE))</f>
        <v>95000</v>
      </c>
      <c r="P341" s="46">
        <f t="shared" ca="1" si="26"/>
        <v>7.2463768115980703E-4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input_518100!A$2</f>
        <v>518100</v>
      </c>
      <c r="B342" s="2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IFERROR(VLOOKUP(B342,input_518100!L:R,7,FALSE),VLOOKUP(tables_518100!C342,input_518100!A:H,8,FALSE))</f>
        <v>95000</v>
      </c>
      <c r="P342" s="46">
        <f t="shared" ca="1" si="26"/>
        <v>7.2463768115980703E-4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input_518100!A$2</f>
        <v>518100</v>
      </c>
      <c r="B343" s="2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IFERROR(VLOOKUP(B343,input_518100!L:R,7,FALSE),VLOOKUP(tables_518100!C343,input_518100!A:H,8,FALSE))</f>
        <v>898815.78946999996</v>
      </c>
      <c r="P343" s="46">
        <f t="shared" ca="1" si="26"/>
        <v>6.8559556786459159E-3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input_518100!A$2</f>
        <v>518100</v>
      </c>
      <c r="B344" s="2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IFERROR(VLOOKUP(B344,input_518100!L:R,7,FALSE),VLOOKUP(tables_518100!C344,input_518100!A:H,8,FALSE))</f>
        <v>103500</v>
      </c>
      <c r="P344" s="46">
        <f t="shared" ca="1" si="26"/>
        <v>7.8947368421094762E-4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input_518100!A$2</f>
        <v>518100</v>
      </c>
      <c r="B345" s="2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IFERROR(VLOOKUP(B345,input_518100!L:R,7,FALSE),VLOOKUP(tables_518100!C345,input_518100!A:H,8,FALSE))</f>
        <v>95000</v>
      </c>
      <c r="P345" s="46">
        <f t="shared" ca="1" si="26"/>
        <v>7.2463768115980703E-4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input_518100!A$2</f>
        <v>518100</v>
      </c>
      <c r="B346" s="2">
        <v>1260</v>
      </c>
      <c r="C346" s="7" t="str">
        <f t="shared" ref="C346:C350" si="35">D346&amp;J346&amp;E346&amp;F346&amp;G346</f>
        <v>PremiumSS5R5only</v>
      </c>
      <c r="D346" s="7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IFERROR(VLOOKUP(B346,input_518100!L:R,7,FALSE),VLOOKUP(tables_518100!C346,input_518100!A:H,8,FALSE))</f>
        <v>95000</v>
      </c>
      <c r="P346" s="46">
        <f t="shared" ref="P346:P350" ca="1" si="37">O346/SUM(O:O)</f>
        <v>7.2463768115980703E-4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input_518100!A$2</f>
        <v>518100</v>
      </c>
      <c r="B347" s="2">
        <v>1262</v>
      </c>
      <c r="C347" s="7" t="str">
        <f t="shared" si="35"/>
        <v>PremiumSS5R5only</v>
      </c>
      <c r="D347" s="7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IFERROR(VLOOKUP(B347,input_518100!L:R,7,FALSE),VLOOKUP(tables_518100!C347,input_518100!A:H,8,FALSE))</f>
        <v>95000</v>
      </c>
      <c r="P347" s="46">
        <f t="shared" ca="1" si="37"/>
        <v>7.2463768115980703E-4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input_518100!A$2</f>
        <v>518100</v>
      </c>
      <c r="B348" s="2">
        <v>1264</v>
      </c>
      <c r="C348" s="7" t="str">
        <f t="shared" si="35"/>
        <v>PremiumSS5R5only</v>
      </c>
      <c r="D348" s="7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IFERROR(VLOOKUP(B348,input_518100!L:R,7,FALSE),VLOOKUP(tables_518100!C348,input_518100!A:H,8,FALSE))</f>
        <v>95000</v>
      </c>
      <c r="P348" s="46">
        <f t="shared" ca="1" si="37"/>
        <v>7.2463768115980703E-4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input_518100!A$2</f>
        <v>518100</v>
      </c>
      <c r="B349" s="2">
        <v>1266</v>
      </c>
      <c r="C349" s="7" t="str">
        <f t="shared" si="35"/>
        <v>Premium4R3less</v>
      </c>
      <c r="D349" s="7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IFERROR(VLOOKUP(B349,input_518100!L:R,7,FALSE),VLOOKUP(tables_518100!C349,input_518100!A:H,8,FALSE))</f>
        <v>898815.78946999996</v>
      </c>
      <c r="P349" s="46">
        <f t="shared" ca="1" si="37"/>
        <v>6.8559556786459159E-3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input_518100!A$2</f>
        <v>518100</v>
      </c>
      <c r="B350" s="2">
        <v>1267</v>
      </c>
      <c r="C350" s="7" t="str">
        <f t="shared" si="35"/>
        <v>Premium5R3less</v>
      </c>
      <c r="D350" s="7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IFERROR(VLOOKUP(B350,input_518100!L:R,7,FALSE),VLOOKUP(tables_518100!C350,input_518100!A:H,8,FALSE))</f>
        <v>103500</v>
      </c>
      <c r="P350" s="46">
        <f t="shared" ca="1" si="37"/>
        <v>7.8947368421094762E-4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input_518100!A$2</f>
        <v>518100</v>
      </c>
      <c r="B351" s="2">
        <v>539</v>
      </c>
      <c r="C351" s="7" t="str">
        <f t="shared" ref="C351" si="38">D351&amp;J351&amp;E351&amp;F351&amp;G351</f>
        <v>PremiumSSS4R3less</v>
      </c>
      <c r="D351" s="7" t="str">
        <f t="shared" ref="D351" si="39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初音ミク・アペンド</v>
      </c>
      <c r="I351" s="7" t="str">
        <f>VLOOKUP(B351,[1]characters!$A:$J,10,FALSE)</f>
        <v>PremiumSSS</v>
      </c>
      <c r="J351" s="7">
        <f>VLOOKUP(B351,[1]characters!$A:$I,9,FALSE)</f>
        <v>4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unknown</v>
      </c>
      <c r="N351" s="7" t="str">
        <f>VLOOKUP(B351,[1]characters!$A:$G,7,FALSE)</f>
        <v>女性</v>
      </c>
      <c r="O351" s="45">
        <f>IFERROR(VLOOKUP(B351,input_518100!L:R,7,FALSE),VLOOKUP(tables_518100!C351,input_518100!A:H,8,FALSE))</f>
        <v>1311000</v>
      </c>
      <c r="P351" s="46">
        <f t="shared" ref="P351:P360" ca="1" si="40">O351/SUM(O:O)</f>
        <v>1.0000000000005336E-2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1">
        <v>5</v>
      </c>
    </row>
    <row r="352" spans="1:22" ht="21" customHeight="1" x14ac:dyDescent="0.15">
      <c r="A352" s="2" t="str">
        <f ca="1">input_518100!A$2</f>
        <v>518100</v>
      </c>
      <c r="B352" s="2">
        <v>540</v>
      </c>
      <c r="C352" s="7" t="str">
        <f t="shared" si="33"/>
        <v>PremiumSSS5R3less</v>
      </c>
      <c r="D352" s="7" t="str">
        <f t="shared" si="34"/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来訪の歌姫 初音ミク・アペンド</v>
      </c>
      <c r="I352" s="7" t="str">
        <f>VLOOKUP(B352,[1]characters!$A:$J,10,FALSE)</f>
        <v>PremiumSSS</v>
      </c>
      <c r="J352" s="7">
        <f>VLOOKUP(B352,[1]characters!$A:$I,9,FALSE)</f>
        <v>5</v>
      </c>
      <c r="K352" s="7" t="str">
        <f>VLOOKUP(B352,[1]characters!$A:$H,8,FALSE)</f>
        <v>green</v>
      </c>
      <c r="L352" s="7" t="str">
        <f>VLOOKUP(B352,[1]characters!$A:$K,11,FALSE)</f>
        <v>technical</v>
      </c>
      <c r="M352" s="7" t="str">
        <f>VLOOKUP(B352,[1]characters!$A:$M,13,FALSE)</f>
        <v>unknown</v>
      </c>
      <c r="N352" s="7" t="str">
        <f>VLOOKUP(B352,[1]characters!$A:$G,7,FALSE)</f>
        <v>女性</v>
      </c>
      <c r="O352" s="45">
        <f>IFERROR(VLOOKUP(B352,input_518100!L:R,7,FALSE),VLOOKUP(tables_518100!C352,input_518100!A:H,8,FALSE))</f>
        <v>1311000</v>
      </c>
      <c r="P352" s="46">
        <f t="shared" ca="1" si="40"/>
        <v>1.0000000000005336E-2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1">
        <v>5</v>
      </c>
    </row>
    <row r="353" spans="1:22" ht="21" customHeight="1" x14ac:dyDescent="0.15">
      <c r="A353" s="2" t="str">
        <f ca="1">input_518100!A$2</f>
        <v>518100</v>
      </c>
      <c r="B353" s="2">
        <v>545</v>
      </c>
      <c r="C353" s="7" t="str">
        <f t="shared" ref="C353:C354" si="41">D353&amp;J353&amp;E353&amp;F353&amp;G353</f>
        <v>PremiumSS4</v>
      </c>
      <c r="D353" s="7" t="str">
        <f t="shared" ref="D353:D354" si="42">IF(OR(I353="PremiumSS",I353="PremiumSSw"),"PremiumSS",IF(I353="PremiumSSS",I353,IF(I353="PremiumW",IF(J353=5,"premium",I353),"Premium")))</f>
        <v>PremiumSS</v>
      </c>
      <c r="E353" s="7"/>
      <c r="F353" s="7" t="str">
        <f>IF(COUNTIF('R6開放'!A:A,B353)&gt;0,"R6release","")</f>
        <v/>
      </c>
      <c r="G353" s="7"/>
      <c r="H353" s="7" t="str">
        <f>VLOOKUP(B353,[1]characters!$A:$C,3,FALSE)</f>
        <v>鏡音レン</v>
      </c>
      <c r="I353" s="7" t="str">
        <f>VLOOKUP(B353,[1]characters!$A:$J,10,FALSE)</f>
        <v>PremiumSS</v>
      </c>
      <c r="J353" s="7">
        <f>VLOOKUP(B353,[1]characters!$A:$I,9,FALSE)</f>
        <v>4</v>
      </c>
      <c r="K353" s="7" t="str">
        <f>VLOOKUP(B353,[1]characters!$A:$H,8,FALSE)</f>
        <v>yellow</v>
      </c>
      <c r="L353" s="7" t="str">
        <f>VLOOKUP(B353,[1]characters!$A:$K,11,FALSE)</f>
        <v>heal</v>
      </c>
      <c r="M353" s="7" t="str">
        <f>VLOOKUP(B353,[1]characters!$A:$M,13,FALSE)</f>
        <v>unknown</v>
      </c>
      <c r="N353" s="7" t="str">
        <f>VLOOKUP(B353,[1]characters!$A:$G,7,FALSE)</f>
        <v>男性</v>
      </c>
      <c r="O353" s="45">
        <f>IFERROR(VLOOKUP(B353,input_518100!L:R,7,FALSE),VLOOKUP(tables_518100!C353,input_518100!A:H,8,FALSE))</f>
        <v>1966500</v>
      </c>
      <c r="P353" s="46">
        <f t="shared" ca="1" si="40"/>
        <v>1.5000000000008005E-2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1">
        <v>5</v>
      </c>
    </row>
    <row r="354" spans="1:22" ht="21" customHeight="1" x14ac:dyDescent="0.15">
      <c r="A354" s="2" t="str">
        <f ca="1">input_518100!A$2</f>
        <v>518100</v>
      </c>
      <c r="B354" s="2">
        <v>546</v>
      </c>
      <c r="C354" s="7" t="str">
        <f t="shared" si="41"/>
        <v>PremiumSS5</v>
      </c>
      <c r="D354" s="7" t="str">
        <f t="shared" si="42"/>
        <v>PremiumSS</v>
      </c>
      <c r="E354" s="7"/>
      <c r="F354" s="7" t="str">
        <f>IF(COUNTIF('R6開放'!A:A,B354)&gt;0,"R6release","")</f>
        <v/>
      </c>
      <c r="G354" s="7"/>
      <c r="H354" s="7" t="str">
        <f>VLOOKUP(B354,[1]characters!$A:$C,3,FALSE)</f>
        <v>残響の連符 鏡音レン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yellow</v>
      </c>
      <c r="L354" s="7" t="str">
        <f>VLOOKUP(B354,[1]characters!$A:$K,11,FALSE)</f>
        <v>heal</v>
      </c>
      <c r="M354" s="7" t="str">
        <f>VLOOKUP(B354,[1]characters!$A:$M,13,FALSE)</f>
        <v>unknown</v>
      </c>
      <c r="N354" s="7" t="str">
        <f>VLOOKUP(B354,[1]characters!$A:$G,7,FALSE)</f>
        <v>男性</v>
      </c>
      <c r="O354" s="45">
        <f>IFERROR(VLOOKUP(B354,input_518100!L:R,7,FALSE),VLOOKUP(tables_518100!C354,input_518100!A:H,8,FALSE))</f>
        <v>1966500</v>
      </c>
      <c r="P354" s="46">
        <f t="shared" ca="1" si="40"/>
        <v>1.5000000000008005E-2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1">
        <v>5</v>
      </c>
    </row>
    <row r="355" spans="1:22" ht="21" customHeight="1" x14ac:dyDescent="0.15">
      <c r="A355" s="2" t="str">
        <f ca="1">input_518100!A$2</f>
        <v>518100</v>
      </c>
      <c r="B355" s="2">
        <v>548</v>
      </c>
      <c r="C355" s="7" t="str">
        <f t="shared" si="33"/>
        <v>Premium4</v>
      </c>
      <c r="D355" s="7" t="str">
        <f t="shared" si="34"/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乱舞の音環 巡音ルカ</v>
      </c>
      <c r="I355" s="7" t="str">
        <f>VLOOKUP(B355,[1]characters!$A:$J,10,FALSE)</f>
        <v>PremiumS</v>
      </c>
      <c r="J355" s="7">
        <f>VLOOKUP(B355,[1]characters!$A:$I,9,FALSE)</f>
        <v>4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IFERROR(VLOOKUP(B355,input_518100!L:R,7,FALSE),VLOOKUP(tables_518100!C355,input_518100!A:H,8,FALSE))</f>
        <v>5899500.0000000009</v>
      </c>
      <c r="P355" s="46">
        <f t="shared" ca="1" si="40"/>
        <v>4.5000000000024021E-2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1">
        <v>5</v>
      </c>
    </row>
    <row r="356" spans="1:22" ht="21" customHeight="1" x14ac:dyDescent="0.15">
      <c r="A356" s="2" t="str">
        <f ca="1">input_518100!A$2</f>
        <v>518100</v>
      </c>
      <c r="B356" s="2">
        <v>550</v>
      </c>
      <c r="C356" s="7" t="str">
        <f t="shared" si="33"/>
        <v>Premium4</v>
      </c>
      <c r="D356" s="7" t="str">
        <f t="shared" si="34"/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解放の絶唱 MEIKO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unknown</v>
      </c>
      <c r="N356" s="7" t="str">
        <f>VLOOKUP(B356,[1]characters!$A:$G,7,FALSE)</f>
        <v>女性</v>
      </c>
      <c r="O356" s="45">
        <f>IFERROR(VLOOKUP(B356,input_518100!L:R,7,FALSE),VLOOKUP(tables_518100!C356,input_518100!A:H,8,FALSE))</f>
        <v>5899500.0000000009</v>
      </c>
      <c r="P356" s="46">
        <f t="shared" ca="1" si="40"/>
        <v>4.5000000000024021E-2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1">
        <v>5</v>
      </c>
    </row>
    <row r="357" spans="1:22" ht="21" customHeight="1" x14ac:dyDescent="0.15">
      <c r="A357" s="2" t="str">
        <f ca="1">input_518100!A$2</f>
        <v>518100</v>
      </c>
      <c r="B357" s="2">
        <v>552</v>
      </c>
      <c r="C357" s="7" t="str">
        <f t="shared" si="33"/>
        <v>Premium4</v>
      </c>
      <c r="D357" s="7" t="str">
        <f t="shared" si="34"/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愉悦の愛唱 KAITO</v>
      </c>
      <c r="I357" s="7" t="str">
        <f>VLOOKUP(B357,[1]characters!$A:$J,10,FALSE)</f>
        <v>PremiumS</v>
      </c>
      <c r="J357" s="7">
        <f>VLOOKUP(B357,[1]characters!$A:$I,9,FALSE)</f>
        <v>4</v>
      </c>
      <c r="K357" s="7" t="str">
        <f>VLOOKUP(B357,[1]characters!$A:$H,8,FALSE)</f>
        <v>blue</v>
      </c>
      <c r="L357" s="7" t="str">
        <f>VLOOKUP(B357,[1]characters!$A:$K,11,FALSE)</f>
        <v>technical</v>
      </c>
      <c r="M357" s="7" t="str">
        <f>VLOOKUP(B357,[1]characters!$A:$M,13,FALSE)</f>
        <v>unknown</v>
      </c>
      <c r="N357" s="7" t="str">
        <f>VLOOKUP(B357,[1]characters!$A:$G,7,FALSE)</f>
        <v>男性</v>
      </c>
      <c r="O357" s="45">
        <f>IFERROR(VLOOKUP(B357,input_518100!L:R,7,FALSE),VLOOKUP(tables_518100!C357,input_518100!A:H,8,FALSE))</f>
        <v>5899500.0000000009</v>
      </c>
      <c r="P357" s="46">
        <f t="shared" ca="1" si="40"/>
        <v>4.5000000000024021E-2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1">
        <v>5</v>
      </c>
    </row>
    <row r="358" spans="1:22" ht="21" customHeight="1" x14ac:dyDescent="0.15">
      <c r="A358" s="2" t="str">
        <f ca="1">input_518100!A$2</f>
        <v>518100</v>
      </c>
      <c r="B358" s="2">
        <v>1313</v>
      </c>
      <c r="C358" s="7" t="str">
        <f t="shared" ref="C358:C360" si="43">D358&amp;J358&amp;E358&amp;F358&amp;G358</f>
        <v>Premium5</v>
      </c>
      <c r="D358" s="7" t="str">
        <f t="shared" ref="D358:D360" si="44">IF(OR(I358="PremiumSS",I358="PremiumSSw"),"PremiumSS",IF(I358="PremiumSSS",I358,IF(I358="PremiumW",IF(J358=5,"premium",I358),"Premium")))</f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旋律する音廻 巡音ルカ</v>
      </c>
      <c r="I358" s="7" t="str">
        <f>VLOOKUP(B358,[1]characters!$A:$J,10,FALSE)</f>
        <v>PremiumS</v>
      </c>
      <c r="J358" s="7">
        <f>VLOOKUP(B358,[1]characters!$A:$I,9,FALSE)</f>
        <v>5</v>
      </c>
      <c r="K358" s="7" t="str">
        <f>VLOOKUP(B358,[1]characters!$A:$H,8,FALSE)</f>
        <v>red</v>
      </c>
      <c r="L358" s="7" t="str">
        <f>VLOOKUP(B358,[1]characters!$A:$K,11,FALSE)</f>
        <v>attack</v>
      </c>
      <c r="M358" s="7" t="str">
        <f>VLOOKUP(B358,[1]characters!$A:$M,13,FALSE)</f>
        <v>unknown</v>
      </c>
      <c r="N358" s="7">
        <f>VLOOKUP(B358,[1]characters!$A:$G,7,FALSE)</f>
        <v>0</v>
      </c>
      <c r="O358" s="45">
        <f>IFERROR(VLOOKUP(B358,input_518100!L:R,7,FALSE),VLOOKUP(tables_518100!C358,input_518100!A:H,8,FALSE))</f>
        <v>655500.00000000012</v>
      </c>
      <c r="P358" s="46">
        <f t="shared" ca="1" si="40"/>
        <v>5.000000000002669E-3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1">
        <v>5</v>
      </c>
    </row>
    <row r="359" spans="1:22" ht="21" customHeight="1" x14ac:dyDescent="0.15">
      <c r="A359" s="2" t="str">
        <f ca="1">input_518100!A$2</f>
        <v>518100</v>
      </c>
      <c r="B359" s="2">
        <v>1314</v>
      </c>
      <c r="C359" s="7" t="str">
        <f t="shared" si="43"/>
        <v>Premium5</v>
      </c>
      <c r="D359" s="7" t="str">
        <f t="shared" si="44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救声の唱動 MEIKO</v>
      </c>
      <c r="I359" s="7" t="str">
        <f>VLOOKUP(B359,[1]characters!$A:$J,10,FALSE)</f>
        <v>PremiumS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hp</v>
      </c>
      <c r="M359" s="7" t="str">
        <f>VLOOKUP(B359,[1]characters!$A:$M,13,FALSE)</f>
        <v>unknown</v>
      </c>
      <c r="N359" s="7">
        <f>VLOOKUP(B359,[1]characters!$A:$G,7,FALSE)</f>
        <v>0</v>
      </c>
      <c r="O359" s="45">
        <f>IFERROR(VLOOKUP(B359,input_518100!L:R,7,FALSE),VLOOKUP(tables_518100!C359,input_518100!A:H,8,FALSE))</f>
        <v>655500.00000000012</v>
      </c>
      <c r="P359" s="46">
        <f t="shared" ca="1" si="40"/>
        <v>5.000000000002669E-3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1">
        <v>5</v>
      </c>
    </row>
    <row r="360" spans="1:22" ht="21" customHeight="1" x14ac:dyDescent="0.15">
      <c r="A360" s="2" t="str">
        <f ca="1">input_518100!A$2</f>
        <v>518100</v>
      </c>
      <c r="B360" s="2">
        <v>1315</v>
      </c>
      <c r="C360" s="7" t="str">
        <f t="shared" si="43"/>
        <v>Premium5</v>
      </c>
      <c r="D360" s="7" t="str">
        <f t="shared" si="44"/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快響の楽唱歌 KAITO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blue</v>
      </c>
      <c r="L360" s="7" t="str">
        <f>VLOOKUP(B360,[1]characters!$A:$K,11,FALSE)</f>
        <v>technical</v>
      </c>
      <c r="M360" s="7" t="str">
        <f>VLOOKUP(B360,[1]characters!$A:$M,13,FALSE)</f>
        <v>unknown</v>
      </c>
      <c r="N360" s="7">
        <f>VLOOKUP(B360,[1]characters!$A:$G,7,FALSE)</f>
        <v>0</v>
      </c>
      <c r="O360" s="45">
        <f>IFERROR(VLOOKUP(B360,input_518100!L:R,7,FALSE),VLOOKUP(tables_518100!C360,input_518100!A:H,8,FALSE))</f>
        <v>655500.00000000012</v>
      </c>
      <c r="P360" s="46">
        <f t="shared" ca="1" si="40"/>
        <v>5.000000000002669E-3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1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M13" sqref="M1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518105</v>
      </c>
      <c r="B2" s="2">
        <v>539</v>
      </c>
      <c r="C2" s="7" t="str">
        <f t="shared" ref="C2:C5" si="0">D2&amp;J2&amp;E2&amp;F2&amp;G2</f>
        <v>PremiumSSS4R3less</v>
      </c>
      <c r="D2" s="96" t="str">
        <f t="shared" ref="D2:D5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初音ミク・アペンド</v>
      </c>
      <c r="I2" s="7" t="str">
        <f>VLOOKUP(B2,[1]characters!$A:$J,10,FALSE)</f>
        <v>PremiumSSS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unknown</v>
      </c>
      <c r="N2" s="7" t="str">
        <f>VLOOKUP(B2,[1]characters!$A:$G,7,FALSE)</f>
        <v>女性</v>
      </c>
      <c r="O2" s="45">
        <v>150</v>
      </c>
      <c r="P2" s="46">
        <f t="shared" ref="P2:P5" si="2">O2/SUM(O:O)</f>
        <v>0.15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01">
        <v>5</v>
      </c>
    </row>
    <row r="3" spans="1:22" ht="21" customHeight="1" x14ac:dyDescent="0.15">
      <c r="A3" s="2">
        <v>518105</v>
      </c>
      <c r="B3" s="2">
        <v>540</v>
      </c>
      <c r="C3" s="7" t="str">
        <f t="shared" si="0"/>
        <v>PremiumSSS5R3less</v>
      </c>
      <c r="D3" s="96" t="str">
        <f t="shared" si="1"/>
        <v>PremiumSSS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来訪の歌姫 初音ミク・アペンド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technical</v>
      </c>
      <c r="M3" s="7" t="str">
        <f>VLOOKUP(B3,[1]characters!$A:$M,13,FALSE)</f>
        <v>unknown</v>
      </c>
      <c r="N3" s="7" t="str">
        <f>VLOOKUP(B3,[1]characters!$A:$G,7,FALSE)</f>
        <v>女性</v>
      </c>
      <c r="O3" s="45">
        <v>150</v>
      </c>
      <c r="P3" s="46">
        <f t="shared" si="2"/>
        <v>0.15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01">
        <v>5</v>
      </c>
    </row>
    <row r="4" spans="1:22" ht="21" customHeight="1" x14ac:dyDescent="0.15">
      <c r="A4" s="2">
        <v>518105</v>
      </c>
      <c r="B4" s="2">
        <v>545</v>
      </c>
      <c r="C4" s="7" t="str">
        <f t="shared" si="0"/>
        <v>PremiumSS4R5only</v>
      </c>
      <c r="D4" s="96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鏡音レン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heal</v>
      </c>
      <c r="M4" s="7" t="str">
        <f>VLOOKUP(B4,[1]characters!$A:$M,13,FALSE)</f>
        <v>unknown</v>
      </c>
      <c r="N4" s="7" t="str">
        <f>VLOOKUP(B4,[1]characters!$A:$G,7,FALSE)</f>
        <v>男性</v>
      </c>
      <c r="O4" s="45">
        <v>350</v>
      </c>
      <c r="P4" s="46">
        <f t="shared" si="2"/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01">
        <v>5</v>
      </c>
    </row>
    <row r="5" spans="1:22" ht="21" customHeight="1" x14ac:dyDescent="0.15">
      <c r="A5" s="2">
        <v>518105</v>
      </c>
      <c r="B5" s="2">
        <v>546</v>
      </c>
      <c r="C5" s="7" t="str">
        <f t="shared" si="0"/>
        <v>PremiumSS5R5only</v>
      </c>
      <c r="D5" s="96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残響の連符 鏡音レン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heal</v>
      </c>
      <c r="M5" s="7" t="str">
        <f>VLOOKUP(B5,[1]characters!$A:$M,13,FALSE)</f>
        <v>unknown</v>
      </c>
      <c r="N5" s="7" t="str">
        <f>VLOOKUP(B5,[1]characters!$A:$G,7,FALSE)</f>
        <v>男性</v>
      </c>
      <c r="O5" s="45">
        <v>350</v>
      </c>
      <c r="P5" s="46">
        <f t="shared" si="2"/>
        <v>0.35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101">
        <v>5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input_518010</vt:lpstr>
      <vt:lpstr>tables_518010</vt:lpstr>
      <vt:lpstr>input_518100</vt:lpstr>
      <vt:lpstr>tables_518100</vt:lpstr>
      <vt:lpstr>tables_settle_518105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2017-01-23T12:05:12Z</dcterms:modified>
</cp:coreProperties>
</file>