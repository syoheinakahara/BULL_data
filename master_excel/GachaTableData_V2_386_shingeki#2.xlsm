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activeTab="6"/>
  </bookViews>
  <sheets>
    <sheet name="確率の考え方" sheetId="110" r:id="rId1"/>
    <sheet name="Sheet1" sheetId="107" r:id="rId2"/>
    <sheet name="output" sheetId="103" r:id="rId3"/>
    <sheet name="input_386010" sheetId="159" r:id="rId4"/>
    <sheet name="tables_386010" sheetId="160" r:id="rId5"/>
    <sheet name="input_386100" sheetId="153" r:id="rId6"/>
    <sheet name="tables_386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tables_386010!$A$1:$V$294</definedName>
    <definedName name="_xlnm._FilterDatabase" localSheetId="6" hidden="1">tables_386100!$A$1:$V$294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Q3" i="153"/>
  <c r="Q4" i="153"/>
  <c r="Q5" i="153"/>
  <c r="Q6" i="153"/>
  <c r="Q7" i="153"/>
  <c r="Q8" i="153"/>
  <c r="Q9" i="153"/>
  <c r="Q10" i="153"/>
  <c r="E29" i="153"/>
  <c r="E5" i="153"/>
  <c r="B29" i="153"/>
  <c r="A36" i="153"/>
  <c r="G29" i="153"/>
  <c r="H29" i="153"/>
  <c r="O296" i="154"/>
  <c r="E22" i="153"/>
  <c r="E6" i="153"/>
  <c r="B22" i="153"/>
  <c r="G22" i="153"/>
  <c r="H22" i="153"/>
  <c r="O297" i="154"/>
  <c r="E23" i="153"/>
  <c r="B23" i="153"/>
  <c r="G23" i="153"/>
  <c r="H23" i="153"/>
  <c r="O298" i="154"/>
  <c r="O299" i="154"/>
  <c r="R3" i="153"/>
  <c r="O300" i="154"/>
  <c r="R4" i="153"/>
  <c r="O301" i="154"/>
  <c r="R5" i="153"/>
  <c r="O302" i="154"/>
  <c r="R6" i="153"/>
  <c r="O303" i="154"/>
  <c r="R7" i="153"/>
  <c r="O304" i="154"/>
  <c r="R8" i="153"/>
  <c r="O305" i="154"/>
  <c r="R9" i="153"/>
  <c r="O306" i="154"/>
  <c r="R10" i="153"/>
  <c r="O307" i="154"/>
  <c r="A300" i="154"/>
  <c r="A301" i="154"/>
  <c r="A302" i="154"/>
  <c r="A303" i="154"/>
  <c r="A304" i="154"/>
  <c r="A305" i="154"/>
  <c r="A306" i="154"/>
  <c r="A307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F5" i="153"/>
  <c r="F6" i="153"/>
  <c r="Q11" i="153"/>
  <c r="Q12" i="153"/>
  <c r="Q13" i="153"/>
  <c r="Q14" i="153"/>
  <c r="Q15" i="153"/>
  <c r="Q16" i="153"/>
  <c r="Q17" i="153"/>
  <c r="Q18" i="153"/>
  <c r="Q19" i="153"/>
  <c r="Q20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E28" i="153"/>
  <c r="B28" i="153"/>
  <c r="B21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P307" i="154"/>
  <c r="N307" i="154"/>
  <c r="M307" i="154"/>
  <c r="L307" i="154"/>
  <c r="K307" i="154"/>
  <c r="H307" i="154"/>
  <c r="A2" i="159"/>
  <c r="P306" i="154"/>
  <c r="N306" i="154"/>
  <c r="M306" i="154"/>
  <c r="L306" i="154"/>
  <c r="K306" i="154"/>
  <c r="H306" i="154"/>
  <c r="P305" i="154"/>
  <c r="N305" i="154"/>
  <c r="M305" i="154"/>
  <c r="L305" i="154"/>
  <c r="K305" i="154"/>
  <c r="H305" i="154"/>
  <c r="P304" i="154"/>
  <c r="N304" i="154"/>
  <c r="M304" i="154"/>
  <c r="L304" i="154"/>
  <c r="K304" i="154"/>
  <c r="H304" i="154"/>
  <c r="P303" i="154"/>
  <c r="N303" i="154"/>
  <c r="M303" i="154"/>
  <c r="L303" i="154"/>
  <c r="K303" i="154"/>
  <c r="H303" i="154"/>
  <c r="P302" i="154"/>
  <c r="N302" i="154"/>
  <c r="M302" i="154"/>
  <c r="L302" i="154"/>
  <c r="K302" i="154"/>
  <c r="H302" i="154"/>
  <c r="P301" i="154"/>
  <c r="N301" i="154"/>
  <c r="M301" i="154"/>
  <c r="L301" i="154"/>
  <c r="K301" i="154"/>
  <c r="H301" i="154"/>
  <c r="P300" i="154"/>
  <c r="N300" i="154"/>
  <c r="M300" i="154"/>
  <c r="L300" i="154"/>
  <c r="K300" i="154"/>
  <c r="H300" i="154"/>
  <c r="A307" i="160"/>
  <c r="I307" i="160"/>
  <c r="D307" i="160"/>
  <c r="J307" i="160"/>
  <c r="E307" i="160"/>
  <c r="F307" i="160"/>
  <c r="C307" i="160"/>
  <c r="H307" i="160"/>
  <c r="K307" i="160"/>
  <c r="L307" i="160"/>
  <c r="M307" i="160"/>
  <c r="N307" i="160"/>
  <c r="I306" i="160"/>
  <c r="D306" i="160"/>
  <c r="J306" i="160"/>
  <c r="E306" i="160"/>
  <c r="F306" i="160"/>
  <c r="C306" i="160"/>
  <c r="F5" i="159"/>
  <c r="F6" i="159"/>
  <c r="A36" i="159"/>
  <c r="R9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23" i="159"/>
  <c r="E6" i="159"/>
  <c r="B23" i="159"/>
  <c r="G23" i="159"/>
  <c r="H23" i="159"/>
  <c r="R10" i="159"/>
  <c r="O307" i="160"/>
  <c r="E17" i="159"/>
  <c r="B17" i="159"/>
  <c r="G17" i="159"/>
  <c r="H17" i="159"/>
  <c r="O2" i="160"/>
  <c r="E18" i="159"/>
  <c r="B18" i="159"/>
  <c r="G18" i="159"/>
  <c r="H18" i="159"/>
  <c r="O3" i="160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E24" i="159"/>
  <c r="B24" i="159"/>
  <c r="G24" i="159"/>
  <c r="H24" i="159"/>
  <c r="O42" i="160"/>
  <c r="E25" i="159"/>
  <c r="B25" i="159"/>
  <c r="G25" i="159"/>
  <c r="H25" i="159"/>
  <c r="O43" i="160"/>
  <c r="E26" i="159"/>
  <c r="B26" i="159"/>
  <c r="G26" i="159"/>
  <c r="H26" i="159"/>
  <c r="O44" i="160"/>
  <c r="O45" i="160"/>
  <c r="O46" i="160"/>
  <c r="O47" i="160"/>
  <c r="O48" i="160"/>
  <c r="O49" i="160"/>
  <c r="O50" i="160"/>
  <c r="E19" i="159"/>
  <c r="B19" i="159"/>
  <c r="G19" i="159"/>
  <c r="H19" i="159"/>
  <c r="O51" i="160"/>
  <c r="E20" i="159"/>
  <c r="E5" i="159"/>
  <c r="E28" i="159"/>
  <c r="B28" i="159"/>
  <c r="E29" i="159"/>
  <c r="B29" i="159"/>
  <c r="B21" i="159"/>
  <c r="B20" i="159"/>
  <c r="G20" i="159"/>
  <c r="H20" i="159"/>
  <c r="O52" i="160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59"/>
  <c r="B27" i="159"/>
  <c r="G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E22" i="159"/>
  <c r="B22" i="159"/>
  <c r="G22" i="159"/>
  <c r="H22" i="159"/>
  <c r="O256" i="160"/>
  <c r="O257" i="160"/>
  <c r="O258" i="160"/>
  <c r="O259" i="160"/>
  <c r="G29" i="159"/>
  <c r="H29" i="159"/>
  <c r="O260" i="160"/>
  <c r="O261" i="160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R3" i="159"/>
  <c r="O300" i="160"/>
  <c r="R4" i="159"/>
  <c r="O301" i="160"/>
  <c r="R5" i="159"/>
  <c r="O302" i="160"/>
  <c r="R6" i="159"/>
  <c r="O303" i="160"/>
  <c r="R7" i="159"/>
  <c r="O304" i="160"/>
  <c r="R8" i="159"/>
  <c r="O305" i="160"/>
  <c r="O306" i="160"/>
  <c r="P307" i="160"/>
  <c r="C2" i="103"/>
  <c r="I3" i="160"/>
  <c r="D3" i="160"/>
  <c r="J3" i="160"/>
  <c r="E3" i="160"/>
  <c r="C3" i="160"/>
  <c r="I2" i="160"/>
  <c r="D2" i="160"/>
  <c r="J2" i="160"/>
  <c r="E2" i="160"/>
  <c r="C2" i="160"/>
  <c r="I4" i="160"/>
  <c r="D4" i="160"/>
  <c r="J4" i="160"/>
  <c r="E4" i="160"/>
  <c r="C4" i="160"/>
  <c r="I5" i="160"/>
  <c r="D5" i="160"/>
  <c r="J5" i="160"/>
  <c r="E5" i="160"/>
  <c r="C5" i="160"/>
  <c r="I6" i="160"/>
  <c r="D6" i="160"/>
  <c r="J6" i="160"/>
  <c r="E6" i="160"/>
  <c r="C6" i="160"/>
  <c r="I7" i="160"/>
  <c r="D7" i="160"/>
  <c r="J7" i="160"/>
  <c r="E7" i="160"/>
  <c r="C7" i="160"/>
  <c r="I8" i="160"/>
  <c r="D8" i="160"/>
  <c r="J8" i="160"/>
  <c r="E8" i="160"/>
  <c r="C8" i="160"/>
  <c r="I9" i="160"/>
  <c r="D9" i="160"/>
  <c r="J9" i="160"/>
  <c r="E9" i="160"/>
  <c r="C9" i="160"/>
  <c r="I10" i="160"/>
  <c r="D10" i="160"/>
  <c r="J10" i="160"/>
  <c r="E10" i="160"/>
  <c r="C10" i="160"/>
  <c r="I11" i="160"/>
  <c r="D11" i="160"/>
  <c r="J11" i="160"/>
  <c r="E11" i="160"/>
  <c r="C11" i="160"/>
  <c r="I12" i="160"/>
  <c r="D12" i="160"/>
  <c r="J12" i="160"/>
  <c r="E12" i="160"/>
  <c r="C12" i="160"/>
  <c r="I13" i="160"/>
  <c r="D13" i="160"/>
  <c r="J13" i="160"/>
  <c r="E13" i="160"/>
  <c r="C13" i="160"/>
  <c r="I14" i="160"/>
  <c r="D14" i="160"/>
  <c r="J14" i="160"/>
  <c r="E14" i="160"/>
  <c r="C14" i="160"/>
  <c r="I15" i="160"/>
  <c r="D15" i="160"/>
  <c r="J15" i="160"/>
  <c r="E15" i="160"/>
  <c r="C15" i="160"/>
  <c r="I16" i="160"/>
  <c r="D16" i="160"/>
  <c r="J16" i="160"/>
  <c r="E16" i="160"/>
  <c r="C16" i="160"/>
  <c r="I17" i="160"/>
  <c r="D17" i="160"/>
  <c r="J17" i="160"/>
  <c r="E17" i="160"/>
  <c r="C17" i="160"/>
  <c r="I18" i="160"/>
  <c r="D18" i="160"/>
  <c r="J18" i="160"/>
  <c r="E18" i="160"/>
  <c r="C18" i="160"/>
  <c r="I19" i="160"/>
  <c r="D19" i="160"/>
  <c r="J19" i="160"/>
  <c r="E19" i="160"/>
  <c r="C19" i="160"/>
  <c r="I20" i="160"/>
  <c r="D20" i="160"/>
  <c r="J20" i="160"/>
  <c r="E20" i="160"/>
  <c r="C20" i="160"/>
  <c r="I21" i="160"/>
  <c r="D21" i="160"/>
  <c r="J21" i="160"/>
  <c r="E21" i="160"/>
  <c r="C21" i="160"/>
  <c r="I22" i="160"/>
  <c r="D22" i="160"/>
  <c r="J22" i="160"/>
  <c r="E22" i="160"/>
  <c r="C22" i="160"/>
  <c r="I23" i="160"/>
  <c r="D23" i="160"/>
  <c r="J23" i="160"/>
  <c r="E23" i="160"/>
  <c r="C23" i="160"/>
  <c r="I24" i="160"/>
  <c r="D24" i="160"/>
  <c r="J24" i="160"/>
  <c r="E24" i="160"/>
  <c r="C24" i="160"/>
  <c r="I25" i="160"/>
  <c r="D25" i="160"/>
  <c r="J25" i="160"/>
  <c r="E25" i="160"/>
  <c r="C25" i="160"/>
  <c r="I26" i="160"/>
  <c r="D26" i="160"/>
  <c r="J26" i="160"/>
  <c r="E26" i="160"/>
  <c r="C26" i="160"/>
  <c r="I27" i="160"/>
  <c r="D27" i="160"/>
  <c r="J27" i="160"/>
  <c r="E27" i="160"/>
  <c r="C27" i="160"/>
  <c r="I28" i="160"/>
  <c r="D28" i="160"/>
  <c r="J28" i="160"/>
  <c r="E28" i="160"/>
  <c r="C28" i="160"/>
  <c r="I29" i="160"/>
  <c r="D29" i="160"/>
  <c r="J29" i="160"/>
  <c r="E29" i="160"/>
  <c r="C29" i="160"/>
  <c r="I30" i="160"/>
  <c r="D30" i="160"/>
  <c r="J30" i="160"/>
  <c r="E30" i="160"/>
  <c r="C30" i="160"/>
  <c r="I31" i="160"/>
  <c r="D31" i="160"/>
  <c r="J31" i="160"/>
  <c r="E31" i="160"/>
  <c r="C31" i="160"/>
  <c r="I32" i="160"/>
  <c r="D32" i="160"/>
  <c r="J32" i="160"/>
  <c r="E32" i="160"/>
  <c r="C32" i="160"/>
  <c r="I33" i="160"/>
  <c r="D33" i="160"/>
  <c r="J33" i="160"/>
  <c r="E33" i="160"/>
  <c r="C33" i="160"/>
  <c r="I34" i="160"/>
  <c r="D34" i="160"/>
  <c r="J34" i="160"/>
  <c r="E34" i="160"/>
  <c r="C34" i="160"/>
  <c r="I35" i="160"/>
  <c r="D35" i="160"/>
  <c r="J35" i="160"/>
  <c r="E35" i="160"/>
  <c r="C35" i="160"/>
  <c r="I36" i="160"/>
  <c r="D36" i="160"/>
  <c r="J36" i="160"/>
  <c r="E36" i="160"/>
  <c r="C36" i="160"/>
  <c r="I37" i="160"/>
  <c r="D37" i="160"/>
  <c r="J37" i="160"/>
  <c r="E37" i="160"/>
  <c r="C37" i="160"/>
  <c r="I38" i="160"/>
  <c r="D38" i="160"/>
  <c r="J38" i="160"/>
  <c r="E38" i="160"/>
  <c r="C38" i="160"/>
  <c r="I39" i="160"/>
  <c r="D39" i="160"/>
  <c r="J39" i="160"/>
  <c r="E39" i="160"/>
  <c r="C39" i="160"/>
  <c r="I40" i="160"/>
  <c r="D40" i="160"/>
  <c r="J40" i="160"/>
  <c r="E40" i="160"/>
  <c r="C40" i="160"/>
  <c r="I41" i="160"/>
  <c r="D41" i="160"/>
  <c r="J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D215" i="160"/>
  <c r="J215" i="160"/>
  <c r="E215" i="160"/>
  <c r="C215" i="160"/>
  <c r="I216" i="160"/>
  <c r="D216" i="160"/>
  <c r="J216" i="160"/>
  <c r="E216" i="160"/>
  <c r="C216" i="160"/>
  <c r="I217" i="160"/>
  <c r="D217" i="160"/>
  <c r="J217" i="160"/>
  <c r="E217" i="160"/>
  <c r="C217" i="160"/>
  <c r="I218" i="160"/>
  <c r="D218" i="160"/>
  <c r="J218" i="160"/>
  <c r="E218" i="160"/>
  <c r="C218" i="160"/>
  <c r="I219" i="160"/>
  <c r="D219" i="160"/>
  <c r="J219" i="160"/>
  <c r="E219" i="160"/>
  <c r="C219" i="160"/>
  <c r="I220" i="160"/>
  <c r="D220" i="160"/>
  <c r="J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I300" i="160"/>
  <c r="D300" i="160"/>
  <c r="J300" i="160"/>
  <c r="E300" i="160"/>
  <c r="F300" i="160"/>
  <c r="C300" i="160"/>
  <c r="I301" i="160"/>
  <c r="D301" i="160"/>
  <c r="J301" i="160"/>
  <c r="E301" i="160"/>
  <c r="F301" i="160"/>
  <c r="C301" i="160"/>
  <c r="I302" i="160"/>
  <c r="D302" i="160"/>
  <c r="J302" i="160"/>
  <c r="E302" i="160"/>
  <c r="F302" i="160"/>
  <c r="C302" i="160"/>
  <c r="I303" i="160"/>
  <c r="D303" i="160"/>
  <c r="J303" i="160"/>
  <c r="E303" i="160"/>
  <c r="F303" i="160"/>
  <c r="C303" i="160"/>
  <c r="I304" i="160"/>
  <c r="D304" i="160"/>
  <c r="J304" i="160"/>
  <c r="E304" i="160"/>
  <c r="F304" i="160"/>
  <c r="C304" i="160"/>
  <c r="I305" i="160"/>
  <c r="D305" i="160"/>
  <c r="J305" i="160"/>
  <c r="E305" i="160"/>
  <c r="F305" i="160"/>
  <c r="C305" i="160"/>
  <c r="I3" i="154"/>
  <c r="D3" i="154"/>
  <c r="J3" i="154"/>
  <c r="E3" i="154"/>
  <c r="C3" i="154"/>
  <c r="I2" i="154"/>
  <c r="D2" i="154"/>
  <c r="J2" i="154"/>
  <c r="E2" i="154"/>
  <c r="C2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F40" i="153"/>
  <c r="G40" i="153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A299" i="160"/>
  <c r="F299" i="160"/>
  <c r="H299" i="160"/>
  <c r="K299" i="160"/>
  <c r="L299" i="160"/>
  <c r="M299" i="160"/>
  <c r="N299" i="160"/>
  <c r="P299" i="160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F295" i="160"/>
  <c r="F296" i="160"/>
  <c r="F297" i="160"/>
  <c r="F298" i="160"/>
  <c r="F42" i="153"/>
  <c r="F41" i="153"/>
  <c r="G41" i="153"/>
  <c r="M9" i="153"/>
  <c r="M8" i="153"/>
  <c r="M7" i="153"/>
  <c r="M6" i="153"/>
  <c r="M5" i="153"/>
  <c r="M4" i="153"/>
  <c r="M3" i="153"/>
  <c r="F40" i="159"/>
  <c r="G40" i="159"/>
  <c r="A301" i="160"/>
  <c r="H301" i="160"/>
  <c r="K301" i="160"/>
  <c r="L301" i="160"/>
  <c r="M301" i="160"/>
  <c r="N301" i="160"/>
  <c r="P301" i="160"/>
  <c r="A302" i="160"/>
  <c r="H302" i="160"/>
  <c r="K302" i="160"/>
  <c r="L302" i="160"/>
  <c r="M302" i="160"/>
  <c r="N302" i="160"/>
  <c r="P302" i="160"/>
  <c r="A303" i="160"/>
  <c r="H303" i="160"/>
  <c r="K303" i="160"/>
  <c r="L303" i="160"/>
  <c r="M303" i="160"/>
  <c r="N303" i="160"/>
  <c r="P303" i="160"/>
  <c r="A304" i="160"/>
  <c r="H304" i="160"/>
  <c r="K304" i="160"/>
  <c r="L304" i="160"/>
  <c r="M304" i="160"/>
  <c r="N304" i="160"/>
  <c r="P304" i="160"/>
  <c r="A305" i="160"/>
  <c r="H305" i="160"/>
  <c r="K305" i="160"/>
  <c r="L305" i="160"/>
  <c r="M305" i="160"/>
  <c r="N305" i="160"/>
  <c r="P305" i="160"/>
  <c r="A306" i="160"/>
  <c r="H306" i="160"/>
  <c r="K306" i="160"/>
  <c r="L306" i="160"/>
  <c r="M306" i="160"/>
  <c r="N306" i="160"/>
  <c r="P306" i="160"/>
  <c r="E4" i="103"/>
  <c r="B32" i="153"/>
  <c r="A295" i="154"/>
  <c r="F295" i="154"/>
  <c r="H295" i="154"/>
  <c r="K295" i="154"/>
  <c r="L295" i="154"/>
  <c r="M295" i="154"/>
  <c r="N295" i="154"/>
  <c r="F296" i="154"/>
  <c r="F297" i="154"/>
  <c r="F298" i="154"/>
  <c r="F299" i="154"/>
  <c r="B10" i="153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P2" i="154"/>
  <c r="B10" i="159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38" i="160"/>
  <c r="P139" i="160"/>
  <c r="P140" i="160"/>
  <c r="P141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300" i="160"/>
  <c r="P2" i="160"/>
  <c r="A295" i="160"/>
  <c r="H295" i="160"/>
  <c r="K295" i="160"/>
  <c r="L295" i="160"/>
  <c r="M295" i="160"/>
  <c r="N295" i="160"/>
  <c r="A296" i="160"/>
  <c r="H296" i="160"/>
  <c r="K296" i="160"/>
  <c r="L296" i="160"/>
  <c r="M296" i="160"/>
  <c r="N296" i="160"/>
  <c r="A297" i="160"/>
  <c r="H297" i="160"/>
  <c r="K297" i="160"/>
  <c r="L297" i="160"/>
  <c r="M297" i="160"/>
  <c r="N297" i="160"/>
  <c r="A298" i="160"/>
  <c r="H298" i="160"/>
  <c r="K298" i="160"/>
  <c r="L298" i="160"/>
  <c r="M298" i="160"/>
  <c r="N298" i="160"/>
  <c r="A300" i="160"/>
  <c r="H300" i="160"/>
  <c r="K300" i="160"/>
  <c r="L300" i="160"/>
  <c r="M300" i="160"/>
  <c r="N300" i="160"/>
  <c r="B32" i="159"/>
  <c r="E31" i="159"/>
  <c r="G31" i="159"/>
  <c r="H31" i="159"/>
  <c r="E30" i="159"/>
  <c r="G30" i="159"/>
  <c r="H30" i="159"/>
  <c r="N294" i="160"/>
  <c r="M294" i="160"/>
  <c r="L294" i="160"/>
  <c r="K294" i="160"/>
  <c r="H294" i="160"/>
  <c r="A294" i="160"/>
  <c r="N293" i="160"/>
  <c r="M293" i="160"/>
  <c r="L293" i="160"/>
  <c r="K293" i="160"/>
  <c r="H293" i="160"/>
  <c r="A293" i="160"/>
  <c r="N292" i="160"/>
  <c r="M292" i="160"/>
  <c r="L292" i="160"/>
  <c r="K292" i="160"/>
  <c r="H292" i="160"/>
  <c r="A292" i="160"/>
  <c r="N291" i="160"/>
  <c r="M291" i="160"/>
  <c r="L291" i="160"/>
  <c r="K291" i="160"/>
  <c r="H291" i="160"/>
  <c r="A291" i="160"/>
  <c r="N290" i="160"/>
  <c r="M290" i="160"/>
  <c r="L290" i="160"/>
  <c r="K290" i="160"/>
  <c r="H290" i="160"/>
  <c r="A290" i="160"/>
  <c r="N289" i="160"/>
  <c r="M289" i="160"/>
  <c r="L289" i="160"/>
  <c r="K289" i="160"/>
  <c r="H289" i="160"/>
  <c r="A289" i="160"/>
  <c r="N288" i="160"/>
  <c r="M288" i="160"/>
  <c r="L288" i="160"/>
  <c r="K288" i="160"/>
  <c r="H288" i="160"/>
  <c r="A288" i="160"/>
  <c r="N287" i="160"/>
  <c r="M287" i="160"/>
  <c r="L287" i="160"/>
  <c r="K287" i="160"/>
  <c r="H287" i="160"/>
  <c r="A287" i="160"/>
  <c r="N286" i="160"/>
  <c r="M286" i="160"/>
  <c r="L286" i="160"/>
  <c r="K286" i="160"/>
  <c r="H286" i="160"/>
  <c r="A286" i="160"/>
  <c r="N285" i="160"/>
  <c r="M285" i="160"/>
  <c r="L285" i="160"/>
  <c r="K285" i="160"/>
  <c r="H285" i="160"/>
  <c r="A285" i="160"/>
  <c r="N284" i="160"/>
  <c r="M284" i="160"/>
  <c r="L284" i="160"/>
  <c r="K284" i="160"/>
  <c r="H284" i="160"/>
  <c r="A284" i="160"/>
  <c r="N283" i="160"/>
  <c r="M283" i="160"/>
  <c r="L283" i="160"/>
  <c r="K283" i="160"/>
  <c r="H283" i="160"/>
  <c r="A283" i="160"/>
  <c r="N282" i="160"/>
  <c r="M282" i="160"/>
  <c r="L282" i="160"/>
  <c r="K282" i="160"/>
  <c r="H282" i="160"/>
  <c r="A282" i="160"/>
  <c r="N281" i="160"/>
  <c r="M281" i="160"/>
  <c r="L281" i="160"/>
  <c r="K281" i="160"/>
  <c r="H281" i="160"/>
  <c r="A281" i="160"/>
  <c r="N280" i="160"/>
  <c r="M280" i="160"/>
  <c r="L280" i="160"/>
  <c r="K280" i="160"/>
  <c r="H280" i="160"/>
  <c r="A280" i="160"/>
  <c r="N279" i="160"/>
  <c r="M279" i="160"/>
  <c r="L279" i="160"/>
  <c r="K279" i="160"/>
  <c r="H279" i="160"/>
  <c r="A279" i="160"/>
  <c r="N278" i="160"/>
  <c r="M278" i="160"/>
  <c r="L278" i="160"/>
  <c r="K278" i="160"/>
  <c r="H278" i="160"/>
  <c r="A278" i="160"/>
  <c r="N277" i="160"/>
  <c r="M277" i="160"/>
  <c r="L277" i="160"/>
  <c r="K277" i="160"/>
  <c r="H277" i="160"/>
  <c r="A277" i="160"/>
  <c r="N276" i="160"/>
  <c r="M276" i="160"/>
  <c r="L276" i="160"/>
  <c r="K276" i="160"/>
  <c r="H276" i="160"/>
  <c r="A276" i="160"/>
  <c r="N275" i="160"/>
  <c r="M275" i="160"/>
  <c r="L275" i="160"/>
  <c r="K275" i="160"/>
  <c r="H275" i="160"/>
  <c r="A275" i="160"/>
  <c r="N274" i="160"/>
  <c r="M274" i="160"/>
  <c r="L274" i="160"/>
  <c r="K274" i="160"/>
  <c r="H274" i="160"/>
  <c r="A274" i="160"/>
  <c r="N273" i="160"/>
  <c r="M273" i="160"/>
  <c r="L273" i="160"/>
  <c r="K273" i="160"/>
  <c r="H273" i="160"/>
  <c r="A273" i="160"/>
  <c r="N272" i="160"/>
  <c r="M272" i="160"/>
  <c r="L272" i="160"/>
  <c r="K272" i="160"/>
  <c r="H272" i="160"/>
  <c r="A272" i="160"/>
  <c r="N271" i="160"/>
  <c r="M271" i="160"/>
  <c r="L271" i="160"/>
  <c r="K271" i="160"/>
  <c r="H271" i="160"/>
  <c r="A271" i="160"/>
  <c r="N270" i="160"/>
  <c r="M270" i="160"/>
  <c r="L270" i="160"/>
  <c r="K270" i="160"/>
  <c r="H270" i="160"/>
  <c r="A270" i="160"/>
  <c r="N269" i="160"/>
  <c r="M269" i="160"/>
  <c r="L269" i="160"/>
  <c r="K269" i="160"/>
  <c r="H269" i="160"/>
  <c r="A269" i="160"/>
  <c r="N268" i="160"/>
  <c r="M268" i="160"/>
  <c r="L268" i="160"/>
  <c r="K268" i="160"/>
  <c r="H268" i="160"/>
  <c r="A268" i="160"/>
  <c r="N267" i="160"/>
  <c r="M267" i="160"/>
  <c r="L267" i="160"/>
  <c r="K267" i="160"/>
  <c r="H267" i="160"/>
  <c r="A267" i="160"/>
  <c r="N266" i="160"/>
  <c r="M266" i="160"/>
  <c r="L266" i="160"/>
  <c r="K266" i="160"/>
  <c r="H266" i="160"/>
  <c r="A266" i="160"/>
  <c r="N265" i="160"/>
  <c r="M265" i="160"/>
  <c r="L265" i="160"/>
  <c r="K265" i="160"/>
  <c r="H265" i="160"/>
  <c r="A265" i="160"/>
  <c r="N264" i="160"/>
  <c r="M264" i="160"/>
  <c r="L264" i="160"/>
  <c r="K264" i="160"/>
  <c r="H264" i="160"/>
  <c r="A264" i="160"/>
  <c r="N263" i="160"/>
  <c r="M263" i="160"/>
  <c r="L263" i="160"/>
  <c r="K263" i="160"/>
  <c r="H263" i="160"/>
  <c r="A263" i="160"/>
  <c r="N262" i="160"/>
  <c r="M262" i="160"/>
  <c r="L262" i="160"/>
  <c r="K262" i="160"/>
  <c r="H262" i="160"/>
  <c r="A262" i="160"/>
  <c r="N261" i="160"/>
  <c r="M261" i="160"/>
  <c r="L261" i="160"/>
  <c r="K261" i="160"/>
  <c r="H261" i="160"/>
  <c r="A261" i="160"/>
  <c r="N260" i="160"/>
  <c r="M260" i="160"/>
  <c r="L260" i="160"/>
  <c r="K260" i="160"/>
  <c r="H260" i="160"/>
  <c r="A260" i="160"/>
  <c r="N259" i="160"/>
  <c r="M259" i="160"/>
  <c r="L259" i="160"/>
  <c r="K259" i="160"/>
  <c r="H259" i="160"/>
  <c r="A259" i="160"/>
  <c r="N258" i="160"/>
  <c r="M258" i="160"/>
  <c r="L258" i="160"/>
  <c r="K258" i="160"/>
  <c r="H258" i="160"/>
  <c r="A258" i="160"/>
  <c r="N257" i="160"/>
  <c r="M257" i="160"/>
  <c r="L257" i="160"/>
  <c r="K257" i="160"/>
  <c r="H257" i="160"/>
  <c r="A257" i="160"/>
  <c r="N256" i="160"/>
  <c r="M256" i="160"/>
  <c r="L256" i="160"/>
  <c r="K256" i="160"/>
  <c r="H256" i="160"/>
  <c r="A256" i="160"/>
  <c r="N255" i="160"/>
  <c r="M255" i="160"/>
  <c r="L255" i="160"/>
  <c r="K255" i="160"/>
  <c r="H255" i="160"/>
  <c r="A255" i="160"/>
  <c r="N254" i="160"/>
  <c r="M254" i="160"/>
  <c r="L254" i="160"/>
  <c r="K254" i="160"/>
  <c r="H254" i="160"/>
  <c r="A254" i="160"/>
  <c r="N253" i="160"/>
  <c r="M253" i="160"/>
  <c r="L253" i="160"/>
  <c r="K253" i="160"/>
  <c r="H253" i="160"/>
  <c r="A253" i="160"/>
  <c r="N252" i="160"/>
  <c r="M252" i="160"/>
  <c r="L252" i="160"/>
  <c r="K252" i="160"/>
  <c r="H252" i="160"/>
  <c r="A252" i="160"/>
  <c r="N251" i="160"/>
  <c r="M251" i="160"/>
  <c r="L251" i="160"/>
  <c r="K251" i="160"/>
  <c r="H251" i="160"/>
  <c r="A251" i="160"/>
  <c r="N250" i="160"/>
  <c r="M250" i="160"/>
  <c r="L250" i="160"/>
  <c r="K250" i="160"/>
  <c r="H250" i="160"/>
  <c r="A250" i="160"/>
  <c r="N249" i="160"/>
  <c r="M249" i="160"/>
  <c r="L249" i="160"/>
  <c r="K249" i="160"/>
  <c r="H249" i="160"/>
  <c r="A249" i="160"/>
  <c r="N248" i="160"/>
  <c r="M248" i="160"/>
  <c r="L248" i="160"/>
  <c r="K248" i="160"/>
  <c r="H248" i="160"/>
  <c r="A248" i="160"/>
  <c r="N247" i="160"/>
  <c r="M247" i="160"/>
  <c r="L247" i="160"/>
  <c r="K247" i="160"/>
  <c r="H247" i="160"/>
  <c r="A247" i="160"/>
  <c r="N246" i="160"/>
  <c r="M246" i="160"/>
  <c r="L246" i="160"/>
  <c r="K246" i="160"/>
  <c r="H246" i="160"/>
  <c r="A246" i="160"/>
  <c r="N245" i="160"/>
  <c r="M245" i="160"/>
  <c r="L245" i="160"/>
  <c r="K245" i="160"/>
  <c r="H245" i="160"/>
  <c r="A245" i="160"/>
  <c r="N244" i="160"/>
  <c r="M244" i="160"/>
  <c r="L244" i="160"/>
  <c r="K244" i="160"/>
  <c r="H244" i="160"/>
  <c r="A244" i="160"/>
  <c r="N243" i="160"/>
  <c r="M243" i="160"/>
  <c r="L243" i="160"/>
  <c r="K243" i="160"/>
  <c r="H243" i="160"/>
  <c r="A243" i="160"/>
  <c r="N242" i="160"/>
  <c r="M242" i="160"/>
  <c r="L242" i="160"/>
  <c r="K242" i="160"/>
  <c r="H242" i="160"/>
  <c r="A242" i="160"/>
  <c r="N241" i="160"/>
  <c r="M241" i="160"/>
  <c r="L241" i="160"/>
  <c r="K241" i="160"/>
  <c r="H241" i="160"/>
  <c r="A241" i="160"/>
  <c r="N240" i="160"/>
  <c r="M240" i="160"/>
  <c r="L240" i="160"/>
  <c r="K240" i="160"/>
  <c r="H240" i="160"/>
  <c r="A240" i="160"/>
  <c r="N239" i="160"/>
  <c r="M239" i="160"/>
  <c r="L239" i="160"/>
  <c r="K239" i="160"/>
  <c r="H239" i="160"/>
  <c r="A239" i="160"/>
  <c r="N238" i="160"/>
  <c r="M238" i="160"/>
  <c r="L238" i="160"/>
  <c r="K238" i="160"/>
  <c r="H238" i="160"/>
  <c r="A238" i="160"/>
  <c r="N237" i="160"/>
  <c r="M237" i="160"/>
  <c r="L237" i="160"/>
  <c r="K237" i="160"/>
  <c r="H237" i="160"/>
  <c r="A237" i="160"/>
  <c r="N236" i="160"/>
  <c r="M236" i="160"/>
  <c r="L236" i="160"/>
  <c r="K236" i="160"/>
  <c r="H236" i="160"/>
  <c r="A236" i="160"/>
  <c r="N235" i="160"/>
  <c r="M235" i="160"/>
  <c r="L235" i="160"/>
  <c r="K235" i="160"/>
  <c r="H235" i="160"/>
  <c r="A235" i="160"/>
  <c r="N234" i="160"/>
  <c r="M234" i="160"/>
  <c r="L234" i="160"/>
  <c r="K234" i="160"/>
  <c r="H234" i="160"/>
  <c r="A234" i="160"/>
  <c r="N233" i="160"/>
  <c r="M233" i="160"/>
  <c r="L233" i="160"/>
  <c r="K233" i="160"/>
  <c r="H233" i="160"/>
  <c r="A233" i="160"/>
  <c r="N232" i="160"/>
  <c r="M232" i="160"/>
  <c r="L232" i="160"/>
  <c r="K232" i="160"/>
  <c r="H232" i="160"/>
  <c r="A232" i="160"/>
  <c r="N231" i="160"/>
  <c r="M231" i="160"/>
  <c r="L231" i="160"/>
  <c r="K231" i="160"/>
  <c r="H231" i="160"/>
  <c r="A231" i="160"/>
  <c r="N230" i="160"/>
  <c r="M230" i="160"/>
  <c r="L230" i="160"/>
  <c r="K230" i="160"/>
  <c r="H230" i="160"/>
  <c r="A230" i="160"/>
  <c r="N229" i="160"/>
  <c r="M229" i="160"/>
  <c r="L229" i="160"/>
  <c r="K229" i="160"/>
  <c r="H229" i="160"/>
  <c r="A229" i="160"/>
  <c r="N228" i="160"/>
  <c r="M228" i="160"/>
  <c r="L228" i="160"/>
  <c r="K228" i="160"/>
  <c r="H228" i="160"/>
  <c r="A228" i="160"/>
  <c r="N227" i="160"/>
  <c r="M227" i="160"/>
  <c r="L227" i="160"/>
  <c r="K227" i="160"/>
  <c r="H227" i="160"/>
  <c r="A227" i="160"/>
  <c r="N226" i="160"/>
  <c r="M226" i="160"/>
  <c r="L226" i="160"/>
  <c r="K226" i="160"/>
  <c r="H226" i="160"/>
  <c r="A226" i="160"/>
  <c r="N225" i="160"/>
  <c r="M225" i="160"/>
  <c r="L225" i="160"/>
  <c r="K225" i="160"/>
  <c r="H225" i="160"/>
  <c r="A225" i="160"/>
  <c r="N224" i="160"/>
  <c r="M224" i="160"/>
  <c r="L224" i="160"/>
  <c r="K224" i="160"/>
  <c r="H224" i="160"/>
  <c r="A224" i="160"/>
  <c r="N223" i="160"/>
  <c r="M223" i="160"/>
  <c r="L223" i="160"/>
  <c r="K223" i="160"/>
  <c r="H223" i="160"/>
  <c r="A223" i="160"/>
  <c r="N222" i="160"/>
  <c r="M222" i="160"/>
  <c r="L222" i="160"/>
  <c r="K222" i="160"/>
  <c r="H222" i="160"/>
  <c r="A222" i="160"/>
  <c r="N221" i="160"/>
  <c r="M221" i="160"/>
  <c r="L221" i="160"/>
  <c r="K221" i="160"/>
  <c r="H221" i="160"/>
  <c r="A221" i="160"/>
  <c r="N220" i="160"/>
  <c r="M220" i="160"/>
  <c r="L220" i="160"/>
  <c r="K220" i="160"/>
  <c r="H220" i="160"/>
  <c r="A220" i="160"/>
  <c r="N219" i="160"/>
  <c r="M219" i="160"/>
  <c r="L219" i="160"/>
  <c r="K219" i="160"/>
  <c r="H219" i="160"/>
  <c r="A219" i="160"/>
  <c r="N218" i="160"/>
  <c r="M218" i="160"/>
  <c r="L218" i="160"/>
  <c r="K218" i="160"/>
  <c r="H218" i="160"/>
  <c r="A218" i="160"/>
  <c r="N217" i="160"/>
  <c r="M217" i="160"/>
  <c r="L217" i="160"/>
  <c r="K217" i="160"/>
  <c r="H217" i="160"/>
  <c r="A217" i="160"/>
  <c r="N216" i="160"/>
  <c r="M216" i="160"/>
  <c r="L216" i="160"/>
  <c r="K216" i="160"/>
  <c r="H216" i="160"/>
  <c r="A216" i="160"/>
  <c r="N215" i="160"/>
  <c r="M215" i="160"/>
  <c r="L215" i="160"/>
  <c r="K215" i="160"/>
  <c r="H215" i="160"/>
  <c r="A215" i="160"/>
  <c r="N214" i="160"/>
  <c r="M214" i="160"/>
  <c r="L214" i="160"/>
  <c r="K214" i="160"/>
  <c r="H214" i="160"/>
  <c r="A214" i="160"/>
  <c r="N213" i="160"/>
  <c r="M213" i="160"/>
  <c r="L213" i="160"/>
  <c r="K213" i="160"/>
  <c r="H213" i="160"/>
  <c r="A213" i="160"/>
  <c r="N212" i="160"/>
  <c r="M212" i="160"/>
  <c r="L212" i="160"/>
  <c r="K212" i="160"/>
  <c r="H212" i="160"/>
  <c r="A212" i="160"/>
  <c r="N211" i="160"/>
  <c r="M211" i="160"/>
  <c r="L211" i="160"/>
  <c r="K211" i="160"/>
  <c r="H211" i="160"/>
  <c r="A211" i="160"/>
  <c r="N210" i="160"/>
  <c r="M210" i="160"/>
  <c r="L210" i="160"/>
  <c r="K210" i="160"/>
  <c r="H210" i="160"/>
  <c r="A210" i="160"/>
  <c r="N209" i="160"/>
  <c r="M209" i="160"/>
  <c r="L209" i="160"/>
  <c r="K209" i="160"/>
  <c r="H209" i="160"/>
  <c r="A209" i="160"/>
  <c r="N208" i="160"/>
  <c r="M208" i="160"/>
  <c r="L208" i="160"/>
  <c r="K208" i="160"/>
  <c r="H208" i="160"/>
  <c r="A208" i="160"/>
  <c r="N207" i="160"/>
  <c r="M207" i="160"/>
  <c r="L207" i="160"/>
  <c r="K207" i="160"/>
  <c r="H207" i="160"/>
  <c r="A207" i="160"/>
  <c r="N206" i="160"/>
  <c r="M206" i="160"/>
  <c r="L206" i="160"/>
  <c r="K206" i="160"/>
  <c r="H206" i="160"/>
  <c r="A206" i="160"/>
  <c r="N205" i="160"/>
  <c r="M205" i="160"/>
  <c r="L205" i="160"/>
  <c r="K205" i="160"/>
  <c r="H205" i="160"/>
  <c r="A205" i="160"/>
  <c r="N204" i="160"/>
  <c r="M204" i="160"/>
  <c r="L204" i="160"/>
  <c r="K204" i="160"/>
  <c r="H204" i="160"/>
  <c r="A204" i="160"/>
  <c r="N203" i="160"/>
  <c r="M203" i="160"/>
  <c r="L203" i="160"/>
  <c r="K203" i="160"/>
  <c r="H203" i="160"/>
  <c r="A203" i="160"/>
  <c r="N202" i="160"/>
  <c r="M202" i="160"/>
  <c r="L202" i="160"/>
  <c r="K202" i="160"/>
  <c r="H202" i="160"/>
  <c r="A202" i="160"/>
  <c r="N201" i="160"/>
  <c r="M201" i="160"/>
  <c r="L201" i="160"/>
  <c r="K201" i="160"/>
  <c r="H201" i="160"/>
  <c r="A201" i="160"/>
  <c r="N200" i="160"/>
  <c r="M200" i="160"/>
  <c r="L200" i="160"/>
  <c r="K200" i="160"/>
  <c r="H200" i="160"/>
  <c r="A200" i="160"/>
  <c r="N199" i="160"/>
  <c r="M199" i="160"/>
  <c r="L199" i="160"/>
  <c r="K199" i="160"/>
  <c r="H199" i="160"/>
  <c r="A199" i="160"/>
  <c r="N198" i="160"/>
  <c r="M198" i="160"/>
  <c r="L198" i="160"/>
  <c r="K198" i="160"/>
  <c r="H198" i="160"/>
  <c r="A198" i="160"/>
  <c r="N197" i="160"/>
  <c r="M197" i="160"/>
  <c r="L197" i="160"/>
  <c r="K197" i="160"/>
  <c r="H197" i="160"/>
  <c r="A197" i="160"/>
  <c r="N196" i="160"/>
  <c r="M196" i="160"/>
  <c r="L196" i="160"/>
  <c r="K196" i="160"/>
  <c r="H196" i="160"/>
  <c r="A196" i="160"/>
  <c r="N195" i="160"/>
  <c r="M195" i="160"/>
  <c r="L195" i="160"/>
  <c r="K195" i="160"/>
  <c r="H195" i="160"/>
  <c r="A195" i="160"/>
  <c r="N194" i="160"/>
  <c r="M194" i="160"/>
  <c r="L194" i="160"/>
  <c r="K194" i="160"/>
  <c r="H194" i="160"/>
  <c r="A194" i="160"/>
  <c r="N193" i="160"/>
  <c r="M193" i="160"/>
  <c r="L193" i="160"/>
  <c r="K193" i="160"/>
  <c r="H193" i="160"/>
  <c r="A193" i="160"/>
  <c r="N192" i="160"/>
  <c r="M192" i="160"/>
  <c r="L192" i="160"/>
  <c r="K192" i="160"/>
  <c r="H192" i="160"/>
  <c r="A192" i="160"/>
  <c r="N191" i="160"/>
  <c r="M191" i="160"/>
  <c r="L191" i="160"/>
  <c r="K191" i="160"/>
  <c r="H191" i="160"/>
  <c r="A191" i="160"/>
  <c r="N190" i="160"/>
  <c r="M190" i="160"/>
  <c r="L190" i="160"/>
  <c r="K190" i="160"/>
  <c r="H190" i="160"/>
  <c r="A190" i="160"/>
  <c r="N189" i="160"/>
  <c r="M189" i="160"/>
  <c r="L189" i="160"/>
  <c r="K189" i="160"/>
  <c r="H189" i="160"/>
  <c r="A189" i="160"/>
  <c r="N188" i="160"/>
  <c r="M188" i="160"/>
  <c r="L188" i="160"/>
  <c r="K188" i="160"/>
  <c r="H188" i="160"/>
  <c r="A188" i="160"/>
  <c r="N187" i="160"/>
  <c r="M187" i="160"/>
  <c r="L187" i="160"/>
  <c r="K187" i="160"/>
  <c r="H187" i="160"/>
  <c r="A187" i="160"/>
  <c r="N186" i="160"/>
  <c r="M186" i="160"/>
  <c r="L186" i="160"/>
  <c r="K186" i="160"/>
  <c r="H186" i="160"/>
  <c r="A186" i="160"/>
  <c r="N185" i="160"/>
  <c r="M185" i="160"/>
  <c r="L185" i="160"/>
  <c r="K185" i="160"/>
  <c r="H185" i="160"/>
  <c r="A185" i="160"/>
  <c r="N184" i="160"/>
  <c r="M184" i="160"/>
  <c r="L184" i="160"/>
  <c r="K184" i="160"/>
  <c r="H184" i="160"/>
  <c r="A184" i="160"/>
  <c r="N183" i="160"/>
  <c r="M183" i="160"/>
  <c r="L183" i="160"/>
  <c r="K183" i="160"/>
  <c r="H183" i="160"/>
  <c r="A183" i="160"/>
  <c r="N182" i="160"/>
  <c r="M182" i="160"/>
  <c r="L182" i="160"/>
  <c r="K182" i="160"/>
  <c r="H182" i="160"/>
  <c r="A182" i="160"/>
  <c r="N181" i="160"/>
  <c r="M181" i="160"/>
  <c r="L181" i="160"/>
  <c r="K181" i="160"/>
  <c r="H181" i="160"/>
  <c r="A181" i="160"/>
  <c r="N180" i="160"/>
  <c r="M180" i="160"/>
  <c r="L180" i="160"/>
  <c r="K180" i="160"/>
  <c r="H180" i="160"/>
  <c r="A180" i="160"/>
  <c r="N179" i="160"/>
  <c r="M179" i="160"/>
  <c r="L179" i="160"/>
  <c r="K179" i="160"/>
  <c r="H179" i="160"/>
  <c r="A179" i="160"/>
  <c r="N178" i="160"/>
  <c r="M178" i="160"/>
  <c r="L178" i="160"/>
  <c r="K178" i="160"/>
  <c r="H178" i="160"/>
  <c r="A178" i="160"/>
  <c r="N177" i="160"/>
  <c r="M177" i="160"/>
  <c r="L177" i="160"/>
  <c r="K177" i="160"/>
  <c r="H177" i="160"/>
  <c r="A177" i="160"/>
  <c r="N176" i="160"/>
  <c r="M176" i="160"/>
  <c r="L176" i="160"/>
  <c r="K176" i="160"/>
  <c r="H176" i="160"/>
  <c r="A176" i="160"/>
  <c r="N175" i="160"/>
  <c r="M175" i="160"/>
  <c r="L175" i="160"/>
  <c r="K175" i="160"/>
  <c r="H175" i="160"/>
  <c r="A175" i="160"/>
  <c r="N174" i="160"/>
  <c r="M174" i="160"/>
  <c r="L174" i="160"/>
  <c r="K174" i="160"/>
  <c r="H174" i="160"/>
  <c r="A174" i="160"/>
  <c r="N173" i="160"/>
  <c r="M173" i="160"/>
  <c r="L173" i="160"/>
  <c r="K173" i="160"/>
  <c r="H173" i="160"/>
  <c r="A173" i="160"/>
  <c r="N172" i="160"/>
  <c r="M172" i="160"/>
  <c r="L172" i="160"/>
  <c r="K172" i="160"/>
  <c r="H172" i="160"/>
  <c r="A172" i="160"/>
  <c r="N171" i="160"/>
  <c r="M171" i="160"/>
  <c r="L171" i="160"/>
  <c r="K171" i="160"/>
  <c r="H171" i="160"/>
  <c r="A171" i="160"/>
  <c r="N170" i="160"/>
  <c r="M170" i="160"/>
  <c r="L170" i="160"/>
  <c r="K170" i="160"/>
  <c r="H170" i="160"/>
  <c r="A170" i="160"/>
  <c r="N169" i="160"/>
  <c r="M169" i="160"/>
  <c r="L169" i="160"/>
  <c r="K169" i="160"/>
  <c r="H169" i="160"/>
  <c r="A169" i="160"/>
  <c r="N168" i="160"/>
  <c r="M168" i="160"/>
  <c r="L168" i="160"/>
  <c r="K168" i="160"/>
  <c r="H168" i="160"/>
  <c r="A168" i="160"/>
  <c r="N167" i="160"/>
  <c r="M167" i="160"/>
  <c r="L167" i="160"/>
  <c r="K167" i="160"/>
  <c r="H167" i="160"/>
  <c r="A167" i="160"/>
  <c r="N166" i="160"/>
  <c r="M166" i="160"/>
  <c r="L166" i="160"/>
  <c r="K166" i="160"/>
  <c r="H166" i="160"/>
  <c r="A166" i="160"/>
  <c r="N165" i="160"/>
  <c r="M165" i="160"/>
  <c r="L165" i="160"/>
  <c r="K165" i="160"/>
  <c r="H165" i="160"/>
  <c r="A165" i="160"/>
  <c r="N164" i="160"/>
  <c r="M164" i="160"/>
  <c r="L164" i="160"/>
  <c r="K164" i="160"/>
  <c r="H164" i="160"/>
  <c r="A164" i="160"/>
  <c r="N163" i="160"/>
  <c r="M163" i="160"/>
  <c r="L163" i="160"/>
  <c r="K163" i="160"/>
  <c r="H163" i="160"/>
  <c r="A163" i="160"/>
  <c r="N162" i="160"/>
  <c r="M162" i="160"/>
  <c r="L162" i="160"/>
  <c r="K162" i="160"/>
  <c r="H162" i="160"/>
  <c r="A162" i="160"/>
  <c r="N161" i="160"/>
  <c r="M161" i="160"/>
  <c r="L161" i="160"/>
  <c r="K161" i="160"/>
  <c r="H161" i="160"/>
  <c r="A161" i="160"/>
  <c r="N160" i="160"/>
  <c r="M160" i="160"/>
  <c r="L160" i="160"/>
  <c r="K160" i="160"/>
  <c r="H160" i="160"/>
  <c r="A160" i="160"/>
  <c r="N159" i="160"/>
  <c r="M159" i="160"/>
  <c r="L159" i="160"/>
  <c r="K159" i="160"/>
  <c r="H159" i="160"/>
  <c r="A159" i="160"/>
  <c r="N158" i="160"/>
  <c r="M158" i="160"/>
  <c r="L158" i="160"/>
  <c r="K158" i="160"/>
  <c r="H158" i="160"/>
  <c r="A158" i="160"/>
  <c r="N157" i="160"/>
  <c r="M157" i="160"/>
  <c r="L157" i="160"/>
  <c r="K157" i="160"/>
  <c r="H157" i="160"/>
  <c r="A157" i="160"/>
  <c r="N156" i="160"/>
  <c r="M156" i="160"/>
  <c r="L156" i="160"/>
  <c r="K156" i="160"/>
  <c r="H156" i="160"/>
  <c r="A156" i="160"/>
  <c r="N155" i="160"/>
  <c r="M155" i="160"/>
  <c r="L155" i="160"/>
  <c r="K155" i="160"/>
  <c r="H155" i="160"/>
  <c r="A155" i="160"/>
  <c r="N154" i="160"/>
  <c r="M154" i="160"/>
  <c r="L154" i="160"/>
  <c r="K154" i="160"/>
  <c r="H154" i="160"/>
  <c r="A154" i="160"/>
  <c r="N153" i="160"/>
  <c r="M153" i="160"/>
  <c r="L153" i="160"/>
  <c r="K153" i="160"/>
  <c r="H153" i="160"/>
  <c r="A153" i="160"/>
  <c r="N152" i="160"/>
  <c r="M152" i="160"/>
  <c r="L152" i="160"/>
  <c r="K152" i="160"/>
  <c r="H152" i="160"/>
  <c r="A152" i="160"/>
  <c r="N151" i="160"/>
  <c r="M151" i="160"/>
  <c r="L151" i="160"/>
  <c r="K151" i="160"/>
  <c r="H151" i="160"/>
  <c r="A151" i="160"/>
  <c r="N150" i="160"/>
  <c r="M150" i="160"/>
  <c r="L150" i="160"/>
  <c r="K150" i="160"/>
  <c r="H150" i="160"/>
  <c r="A150" i="160"/>
  <c r="N149" i="160"/>
  <c r="M149" i="160"/>
  <c r="L149" i="160"/>
  <c r="K149" i="160"/>
  <c r="H149" i="160"/>
  <c r="A149" i="160"/>
  <c r="N148" i="160"/>
  <c r="M148" i="160"/>
  <c r="L148" i="160"/>
  <c r="K148" i="160"/>
  <c r="H148" i="160"/>
  <c r="A148" i="160"/>
  <c r="N147" i="160"/>
  <c r="M147" i="160"/>
  <c r="L147" i="160"/>
  <c r="K147" i="160"/>
  <c r="H147" i="160"/>
  <c r="A147" i="160"/>
  <c r="N146" i="160"/>
  <c r="M146" i="160"/>
  <c r="L146" i="160"/>
  <c r="K146" i="160"/>
  <c r="H146" i="160"/>
  <c r="A146" i="160"/>
  <c r="N145" i="160"/>
  <c r="M145" i="160"/>
  <c r="L145" i="160"/>
  <c r="K145" i="160"/>
  <c r="H145" i="160"/>
  <c r="A145" i="160"/>
  <c r="N144" i="160"/>
  <c r="M144" i="160"/>
  <c r="L144" i="160"/>
  <c r="K144" i="160"/>
  <c r="H144" i="160"/>
  <c r="A144" i="160"/>
  <c r="N143" i="160"/>
  <c r="M143" i="160"/>
  <c r="L143" i="160"/>
  <c r="K143" i="160"/>
  <c r="H143" i="160"/>
  <c r="A143" i="160"/>
  <c r="N142" i="160"/>
  <c r="M142" i="160"/>
  <c r="L142" i="160"/>
  <c r="K142" i="160"/>
  <c r="H142" i="160"/>
  <c r="A142" i="160"/>
  <c r="N141" i="160"/>
  <c r="M141" i="160"/>
  <c r="L141" i="160"/>
  <c r="K141" i="160"/>
  <c r="H141" i="160"/>
  <c r="A141" i="160"/>
  <c r="N140" i="160"/>
  <c r="M140" i="160"/>
  <c r="L140" i="160"/>
  <c r="K140" i="160"/>
  <c r="H140" i="160"/>
  <c r="A140" i="160"/>
  <c r="N139" i="160"/>
  <c r="M139" i="160"/>
  <c r="L139" i="160"/>
  <c r="K139" i="160"/>
  <c r="H139" i="160"/>
  <c r="A139" i="160"/>
  <c r="N138" i="160"/>
  <c r="M138" i="160"/>
  <c r="L138" i="160"/>
  <c r="K138" i="160"/>
  <c r="H138" i="160"/>
  <c r="A138" i="160"/>
  <c r="N137" i="160"/>
  <c r="M137" i="160"/>
  <c r="L137" i="160"/>
  <c r="K137" i="160"/>
  <c r="H137" i="160"/>
  <c r="A137" i="160"/>
  <c r="N136" i="160"/>
  <c r="M136" i="160"/>
  <c r="L136" i="160"/>
  <c r="K136" i="160"/>
  <c r="H136" i="160"/>
  <c r="A136" i="160"/>
  <c r="N135" i="160"/>
  <c r="M135" i="160"/>
  <c r="L135" i="160"/>
  <c r="K135" i="160"/>
  <c r="H135" i="160"/>
  <c r="A135" i="160"/>
  <c r="N134" i="160"/>
  <c r="M134" i="160"/>
  <c r="L134" i="160"/>
  <c r="K134" i="160"/>
  <c r="H134" i="160"/>
  <c r="A134" i="160"/>
  <c r="N133" i="160"/>
  <c r="M133" i="160"/>
  <c r="L133" i="160"/>
  <c r="K133" i="160"/>
  <c r="H133" i="160"/>
  <c r="A133" i="160"/>
  <c r="N132" i="160"/>
  <c r="M132" i="160"/>
  <c r="L132" i="160"/>
  <c r="K132" i="160"/>
  <c r="H132" i="160"/>
  <c r="A132" i="160"/>
  <c r="N131" i="160"/>
  <c r="M131" i="160"/>
  <c r="L131" i="160"/>
  <c r="K131" i="160"/>
  <c r="H131" i="160"/>
  <c r="A131" i="160"/>
  <c r="N130" i="160"/>
  <c r="M130" i="160"/>
  <c r="L130" i="160"/>
  <c r="K130" i="160"/>
  <c r="H130" i="160"/>
  <c r="A130" i="160"/>
  <c r="N129" i="160"/>
  <c r="M129" i="160"/>
  <c r="L129" i="160"/>
  <c r="K129" i="160"/>
  <c r="H129" i="160"/>
  <c r="A129" i="160"/>
  <c r="N128" i="160"/>
  <c r="M128" i="160"/>
  <c r="L128" i="160"/>
  <c r="K128" i="160"/>
  <c r="H128" i="160"/>
  <c r="A128" i="160"/>
  <c r="N127" i="160"/>
  <c r="M127" i="160"/>
  <c r="L127" i="160"/>
  <c r="K127" i="160"/>
  <c r="H127" i="160"/>
  <c r="A127" i="160"/>
  <c r="N126" i="160"/>
  <c r="M126" i="160"/>
  <c r="L126" i="160"/>
  <c r="K126" i="160"/>
  <c r="H126" i="160"/>
  <c r="A126" i="160"/>
  <c r="N125" i="160"/>
  <c r="M125" i="160"/>
  <c r="L125" i="160"/>
  <c r="K125" i="160"/>
  <c r="H125" i="160"/>
  <c r="A125" i="160"/>
  <c r="N124" i="160"/>
  <c r="M124" i="160"/>
  <c r="L124" i="160"/>
  <c r="K124" i="160"/>
  <c r="H124" i="160"/>
  <c r="A124" i="160"/>
  <c r="N123" i="160"/>
  <c r="M123" i="160"/>
  <c r="L123" i="160"/>
  <c r="K123" i="160"/>
  <c r="H123" i="160"/>
  <c r="A123" i="160"/>
  <c r="N122" i="160"/>
  <c r="M122" i="160"/>
  <c r="L122" i="160"/>
  <c r="K122" i="160"/>
  <c r="H122" i="160"/>
  <c r="A122" i="160"/>
  <c r="N121" i="160"/>
  <c r="M121" i="160"/>
  <c r="L121" i="160"/>
  <c r="K121" i="160"/>
  <c r="H121" i="160"/>
  <c r="A121" i="160"/>
  <c r="N120" i="160"/>
  <c r="M120" i="160"/>
  <c r="L120" i="160"/>
  <c r="K120" i="160"/>
  <c r="H120" i="160"/>
  <c r="A120" i="160"/>
  <c r="N119" i="160"/>
  <c r="M119" i="160"/>
  <c r="L119" i="160"/>
  <c r="K119" i="160"/>
  <c r="H119" i="160"/>
  <c r="A119" i="160"/>
  <c r="N118" i="160"/>
  <c r="M118" i="160"/>
  <c r="L118" i="160"/>
  <c r="K118" i="160"/>
  <c r="H118" i="160"/>
  <c r="A118" i="160"/>
  <c r="N117" i="160"/>
  <c r="M117" i="160"/>
  <c r="L117" i="160"/>
  <c r="K117" i="160"/>
  <c r="H117" i="160"/>
  <c r="A117" i="160"/>
  <c r="N116" i="160"/>
  <c r="M116" i="160"/>
  <c r="L116" i="160"/>
  <c r="K116" i="160"/>
  <c r="H116" i="160"/>
  <c r="A116" i="160"/>
  <c r="N115" i="160"/>
  <c r="M115" i="160"/>
  <c r="L115" i="160"/>
  <c r="K115" i="160"/>
  <c r="H115" i="160"/>
  <c r="A115" i="160"/>
  <c r="N114" i="160"/>
  <c r="M114" i="160"/>
  <c r="L114" i="160"/>
  <c r="K114" i="160"/>
  <c r="H114" i="160"/>
  <c r="A114" i="160"/>
  <c r="N113" i="160"/>
  <c r="M113" i="160"/>
  <c r="L113" i="160"/>
  <c r="K113" i="160"/>
  <c r="H113" i="160"/>
  <c r="A113" i="160"/>
  <c r="N112" i="160"/>
  <c r="M112" i="160"/>
  <c r="L112" i="160"/>
  <c r="K112" i="160"/>
  <c r="H112" i="160"/>
  <c r="A112" i="160"/>
  <c r="N111" i="160"/>
  <c r="M111" i="160"/>
  <c r="L111" i="160"/>
  <c r="K111" i="160"/>
  <c r="H111" i="160"/>
  <c r="A111" i="160"/>
  <c r="N110" i="160"/>
  <c r="M110" i="160"/>
  <c r="L110" i="160"/>
  <c r="K110" i="160"/>
  <c r="H110" i="160"/>
  <c r="A110" i="160"/>
  <c r="N109" i="160"/>
  <c r="M109" i="160"/>
  <c r="L109" i="160"/>
  <c r="K109" i="160"/>
  <c r="H109" i="160"/>
  <c r="A109" i="160"/>
  <c r="N108" i="160"/>
  <c r="M108" i="160"/>
  <c r="L108" i="160"/>
  <c r="K108" i="160"/>
  <c r="H108" i="160"/>
  <c r="A108" i="160"/>
  <c r="N107" i="160"/>
  <c r="M107" i="160"/>
  <c r="L107" i="160"/>
  <c r="K107" i="160"/>
  <c r="H107" i="160"/>
  <c r="A107" i="160"/>
  <c r="N106" i="160"/>
  <c r="M106" i="160"/>
  <c r="L106" i="160"/>
  <c r="K106" i="160"/>
  <c r="H106" i="160"/>
  <c r="A106" i="160"/>
  <c r="N105" i="160"/>
  <c r="M105" i="160"/>
  <c r="L105" i="160"/>
  <c r="K105" i="160"/>
  <c r="H105" i="160"/>
  <c r="A105" i="160"/>
  <c r="N104" i="160"/>
  <c r="M104" i="160"/>
  <c r="L104" i="160"/>
  <c r="K104" i="160"/>
  <c r="H104" i="160"/>
  <c r="A104" i="160"/>
  <c r="N103" i="160"/>
  <c r="M103" i="160"/>
  <c r="L103" i="160"/>
  <c r="K103" i="160"/>
  <c r="H103" i="160"/>
  <c r="A103" i="160"/>
  <c r="N102" i="160"/>
  <c r="M102" i="160"/>
  <c r="L102" i="160"/>
  <c r="K102" i="160"/>
  <c r="H102" i="160"/>
  <c r="A102" i="160"/>
  <c r="N101" i="160"/>
  <c r="M101" i="160"/>
  <c r="L101" i="160"/>
  <c r="K101" i="160"/>
  <c r="H101" i="160"/>
  <c r="A101" i="160"/>
  <c r="N100" i="160"/>
  <c r="M100" i="160"/>
  <c r="L100" i="160"/>
  <c r="K100" i="160"/>
  <c r="H100" i="160"/>
  <c r="A100" i="160"/>
  <c r="N99" i="160"/>
  <c r="M99" i="160"/>
  <c r="L99" i="160"/>
  <c r="K99" i="160"/>
  <c r="H99" i="160"/>
  <c r="A99" i="160"/>
  <c r="N98" i="160"/>
  <c r="M98" i="160"/>
  <c r="L98" i="160"/>
  <c r="K98" i="160"/>
  <c r="H98" i="160"/>
  <c r="A98" i="160"/>
  <c r="N97" i="160"/>
  <c r="M97" i="160"/>
  <c r="L97" i="160"/>
  <c r="K97" i="160"/>
  <c r="H97" i="160"/>
  <c r="A97" i="160"/>
  <c r="N96" i="160"/>
  <c r="M96" i="160"/>
  <c r="L96" i="160"/>
  <c r="K96" i="160"/>
  <c r="H96" i="160"/>
  <c r="A96" i="160"/>
  <c r="N95" i="160"/>
  <c r="M95" i="160"/>
  <c r="L95" i="160"/>
  <c r="K95" i="160"/>
  <c r="H95" i="160"/>
  <c r="A95" i="160"/>
  <c r="N94" i="160"/>
  <c r="M94" i="160"/>
  <c r="L94" i="160"/>
  <c r="K94" i="160"/>
  <c r="H94" i="160"/>
  <c r="A94" i="160"/>
  <c r="N93" i="160"/>
  <c r="M93" i="160"/>
  <c r="L93" i="160"/>
  <c r="K93" i="160"/>
  <c r="H93" i="160"/>
  <c r="A93" i="160"/>
  <c r="N92" i="160"/>
  <c r="M92" i="160"/>
  <c r="L92" i="160"/>
  <c r="K92" i="160"/>
  <c r="H92" i="160"/>
  <c r="A92" i="160"/>
  <c r="N91" i="160"/>
  <c r="M91" i="160"/>
  <c r="L91" i="160"/>
  <c r="K91" i="160"/>
  <c r="H91" i="160"/>
  <c r="A91" i="160"/>
  <c r="N90" i="160"/>
  <c r="M90" i="160"/>
  <c r="L90" i="160"/>
  <c r="K90" i="160"/>
  <c r="H90" i="160"/>
  <c r="A90" i="160"/>
  <c r="N89" i="160"/>
  <c r="M89" i="160"/>
  <c r="L89" i="160"/>
  <c r="K89" i="160"/>
  <c r="H89" i="160"/>
  <c r="A89" i="160"/>
  <c r="N88" i="160"/>
  <c r="M88" i="160"/>
  <c r="L88" i="160"/>
  <c r="K88" i="160"/>
  <c r="H88" i="160"/>
  <c r="A88" i="160"/>
  <c r="N87" i="160"/>
  <c r="M87" i="160"/>
  <c r="L87" i="160"/>
  <c r="K87" i="160"/>
  <c r="H87" i="160"/>
  <c r="A87" i="160"/>
  <c r="N86" i="160"/>
  <c r="M86" i="160"/>
  <c r="L86" i="160"/>
  <c r="K86" i="160"/>
  <c r="H86" i="160"/>
  <c r="A86" i="160"/>
  <c r="N85" i="160"/>
  <c r="M85" i="160"/>
  <c r="L85" i="160"/>
  <c r="K85" i="160"/>
  <c r="H85" i="160"/>
  <c r="A85" i="160"/>
  <c r="N84" i="160"/>
  <c r="M84" i="160"/>
  <c r="L84" i="160"/>
  <c r="K84" i="160"/>
  <c r="H84" i="160"/>
  <c r="A84" i="160"/>
  <c r="N83" i="160"/>
  <c r="M83" i="160"/>
  <c r="L83" i="160"/>
  <c r="K83" i="160"/>
  <c r="H83" i="160"/>
  <c r="A83" i="160"/>
  <c r="N82" i="160"/>
  <c r="M82" i="160"/>
  <c r="L82" i="160"/>
  <c r="K82" i="160"/>
  <c r="H82" i="160"/>
  <c r="A82" i="160"/>
  <c r="N81" i="160"/>
  <c r="M81" i="160"/>
  <c r="L81" i="160"/>
  <c r="K81" i="160"/>
  <c r="H81" i="160"/>
  <c r="A81" i="160"/>
  <c r="N80" i="160"/>
  <c r="M80" i="160"/>
  <c r="L80" i="160"/>
  <c r="K80" i="160"/>
  <c r="H80" i="160"/>
  <c r="A80" i="160"/>
  <c r="N79" i="160"/>
  <c r="M79" i="160"/>
  <c r="L79" i="160"/>
  <c r="K79" i="160"/>
  <c r="H79" i="160"/>
  <c r="A79" i="160"/>
  <c r="N78" i="160"/>
  <c r="M78" i="160"/>
  <c r="L78" i="160"/>
  <c r="K78" i="160"/>
  <c r="H78" i="160"/>
  <c r="A78" i="160"/>
  <c r="N77" i="160"/>
  <c r="M77" i="160"/>
  <c r="L77" i="160"/>
  <c r="K77" i="160"/>
  <c r="H77" i="160"/>
  <c r="A77" i="160"/>
  <c r="N76" i="160"/>
  <c r="M76" i="160"/>
  <c r="L76" i="160"/>
  <c r="K76" i="160"/>
  <c r="H76" i="160"/>
  <c r="A76" i="160"/>
  <c r="N75" i="160"/>
  <c r="M75" i="160"/>
  <c r="L75" i="160"/>
  <c r="K75" i="160"/>
  <c r="H75" i="160"/>
  <c r="A75" i="160"/>
  <c r="N74" i="160"/>
  <c r="M74" i="160"/>
  <c r="L74" i="160"/>
  <c r="K74" i="160"/>
  <c r="H74" i="160"/>
  <c r="A74" i="160"/>
  <c r="N73" i="160"/>
  <c r="M73" i="160"/>
  <c r="L73" i="160"/>
  <c r="K73" i="160"/>
  <c r="H73" i="160"/>
  <c r="A73" i="160"/>
  <c r="N72" i="160"/>
  <c r="M72" i="160"/>
  <c r="L72" i="160"/>
  <c r="K72" i="160"/>
  <c r="H72" i="160"/>
  <c r="A72" i="160"/>
  <c r="N71" i="160"/>
  <c r="M71" i="160"/>
  <c r="L71" i="160"/>
  <c r="K71" i="160"/>
  <c r="H71" i="160"/>
  <c r="A71" i="160"/>
  <c r="N70" i="160"/>
  <c r="M70" i="160"/>
  <c r="L70" i="160"/>
  <c r="K70" i="160"/>
  <c r="H70" i="160"/>
  <c r="A70" i="160"/>
  <c r="N69" i="160"/>
  <c r="M69" i="160"/>
  <c r="L69" i="160"/>
  <c r="K69" i="160"/>
  <c r="H69" i="160"/>
  <c r="A69" i="160"/>
  <c r="N68" i="160"/>
  <c r="M68" i="160"/>
  <c r="L68" i="160"/>
  <c r="K68" i="160"/>
  <c r="H68" i="160"/>
  <c r="A68" i="160"/>
  <c r="N67" i="160"/>
  <c r="M67" i="160"/>
  <c r="L67" i="160"/>
  <c r="K67" i="160"/>
  <c r="H67" i="160"/>
  <c r="A67" i="160"/>
  <c r="N66" i="160"/>
  <c r="M66" i="160"/>
  <c r="L66" i="160"/>
  <c r="K66" i="160"/>
  <c r="H66" i="160"/>
  <c r="A66" i="160"/>
  <c r="N65" i="160"/>
  <c r="M65" i="160"/>
  <c r="L65" i="160"/>
  <c r="K65" i="160"/>
  <c r="H65" i="160"/>
  <c r="A65" i="160"/>
  <c r="N64" i="160"/>
  <c r="M64" i="160"/>
  <c r="L64" i="160"/>
  <c r="K64" i="160"/>
  <c r="H64" i="160"/>
  <c r="A64" i="160"/>
  <c r="N63" i="160"/>
  <c r="M63" i="160"/>
  <c r="L63" i="160"/>
  <c r="K63" i="160"/>
  <c r="H63" i="160"/>
  <c r="A63" i="160"/>
  <c r="N62" i="160"/>
  <c r="M62" i="160"/>
  <c r="L62" i="160"/>
  <c r="K62" i="160"/>
  <c r="H62" i="160"/>
  <c r="A62" i="160"/>
  <c r="N61" i="160"/>
  <c r="M61" i="160"/>
  <c r="L61" i="160"/>
  <c r="K61" i="160"/>
  <c r="H61" i="160"/>
  <c r="A61" i="160"/>
  <c r="N60" i="160"/>
  <c r="M60" i="160"/>
  <c r="L60" i="160"/>
  <c r="K60" i="160"/>
  <c r="H60" i="160"/>
  <c r="A60" i="160"/>
  <c r="N59" i="160"/>
  <c r="M59" i="160"/>
  <c r="L59" i="160"/>
  <c r="K59" i="160"/>
  <c r="H59" i="160"/>
  <c r="A59" i="160"/>
  <c r="N58" i="160"/>
  <c r="M58" i="160"/>
  <c r="L58" i="160"/>
  <c r="K58" i="160"/>
  <c r="H58" i="160"/>
  <c r="A58" i="160"/>
  <c r="N57" i="160"/>
  <c r="M57" i="160"/>
  <c r="L57" i="160"/>
  <c r="K57" i="160"/>
  <c r="H57" i="160"/>
  <c r="A57" i="160"/>
  <c r="N56" i="160"/>
  <c r="M56" i="160"/>
  <c r="L56" i="160"/>
  <c r="K56" i="160"/>
  <c r="H56" i="160"/>
  <c r="A56" i="160"/>
  <c r="N55" i="160"/>
  <c r="M55" i="160"/>
  <c r="L55" i="160"/>
  <c r="K55" i="160"/>
  <c r="H55" i="160"/>
  <c r="A55" i="160"/>
  <c r="N54" i="160"/>
  <c r="M54" i="160"/>
  <c r="L54" i="160"/>
  <c r="K54" i="160"/>
  <c r="H54" i="160"/>
  <c r="A54" i="160"/>
  <c r="N53" i="160"/>
  <c r="M53" i="160"/>
  <c r="L53" i="160"/>
  <c r="K53" i="160"/>
  <c r="H53" i="160"/>
  <c r="A53" i="160"/>
  <c r="N52" i="160"/>
  <c r="M52" i="160"/>
  <c r="L52" i="160"/>
  <c r="K52" i="160"/>
  <c r="H52" i="160"/>
  <c r="A52" i="160"/>
  <c r="N51" i="160"/>
  <c r="M51" i="160"/>
  <c r="L51" i="160"/>
  <c r="K51" i="160"/>
  <c r="H51" i="160"/>
  <c r="A51" i="160"/>
  <c r="N50" i="160"/>
  <c r="M50" i="160"/>
  <c r="L50" i="160"/>
  <c r="K50" i="160"/>
  <c r="H50" i="160"/>
  <c r="A50" i="160"/>
  <c r="N49" i="160"/>
  <c r="M49" i="160"/>
  <c r="L49" i="160"/>
  <c r="K49" i="160"/>
  <c r="H49" i="160"/>
  <c r="A49" i="160"/>
  <c r="N48" i="160"/>
  <c r="M48" i="160"/>
  <c r="L48" i="160"/>
  <c r="K48" i="160"/>
  <c r="H48" i="160"/>
  <c r="A48" i="160"/>
  <c r="N47" i="160"/>
  <c r="M47" i="160"/>
  <c r="L47" i="160"/>
  <c r="K47" i="160"/>
  <c r="H47" i="160"/>
  <c r="A47" i="160"/>
  <c r="N46" i="160"/>
  <c r="M46" i="160"/>
  <c r="L46" i="160"/>
  <c r="K46" i="160"/>
  <c r="H46" i="160"/>
  <c r="A46" i="160"/>
  <c r="N45" i="160"/>
  <c r="M45" i="160"/>
  <c r="L45" i="160"/>
  <c r="K45" i="160"/>
  <c r="H45" i="160"/>
  <c r="A45" i="160"/>
  <c r="N44" i="160"/>
  <c r="M44" i="160"/>
  <c r="L44" i="160"/>
  <c r="K44" i="160"/>
  <c r="H44" i="160"/>
  <c r="A44" i="160"/>
  <c r="N43" i="160"/>
  <c r="M43" i="160"/>
  <c r="L43" i="160"/>
  <c r="K43" i="160"/>
  <c r="H43" i="160"/>
  <c r="A43" i="160"/>
  <c r="N42" i="160"/>
  <c r="M42" i="160"/>
  <c r="L42" i="160"/>
  <c r="K42" i="160"/>
  <c r="H42" i="160"/>
  <c r="A42" i="160"/>
  <c r="N41" i="160"/>
  <c r="M41" i="160"/>
  <c r="L41" i="160"/>
  <c r="K41" i="160"/>
  <c r="H41" i="160"/>
  <c r="A41" i="160"/>
  <c r="N40" i="160"/>
  <c r="M40" i="160"/>
  <c r="L40" i="160"/>
  <c r="K40" i="160"/>
  <c r="H40" i="160"/>
  <c r="A40" i="160"/>
  <c r="N39" i="160"/>
  <c r="M39" i="160"/>
  <c r="L39" i="160"/>
  <c r="K39" i="160"/>
  <c r="H39" i="160"/>
  <c r="A39" i="160"/>
  <c r="N38" i="160"/>
  <c r="M38" i="160"/>
  <c r="L38" i="160"/>
  <c r="K38" i="160"/>
  <c r="H38" i="160"/>
  <c r="A38" i="160"/>
  <c r="N37" i="160"/>
  <c r="M37" i="160"/>
  <c r="L37" i="160"/>
  <c r="K37" i="160"/>
  <c r="H37" i="160"/>
  <c r="A37" i="160"/>
  <c r="N36" i="160"/>
  <c r="M36" i="160"/>
  <c r="L36" i="160"/>
  <c r="K36" i="160"/>
  <c r="H36" i="160"/>
  <c r="A36" i="160"/>
  <c r="N35" i="160"/>
  <c r="M35" i="160"/>
  <c r="L35" i="160"/>
  <c r="K35" i="160"/>
  <c r="H35" i="160"/>
  <c r="A35" i="160"/>
  <c r="N34" i="160"/>
  <c r="M34" i="160"/>
  <c r="L34" i="160"/>
  <c r="K34" i="160"/>
  <c r="H34" i="160"/>
  <c r="A34" i="160"/>
  <c r="N33" i="160"/>
  <c r="M33" i="160"/>
  <c r="L33" i="160"/>
  <c r="K33" i="160"/>
  <c r="H33" i="160"/>
  <c r="A33" i="160"/>
  <c r="N32" i="160"/>
  <c r="M32" i="160"/>
  <c r="L32" i="160"/>
  <c r="K32" i="160"/>
  <c r="H32" i="160"/>
  <c r="A32" i="160"/>
  <c r="N31" i="160"/>
  <c r="M31" i="160"/>
  <c r="L31" i="160"/>
  <c r="K31" i="160"/>
  <c r="H31" i="160"/>
  <c r="A31" i="160"/>
  <c r="N30" i="160"/>
  <c r="M30" i="160"/>
  <c r="L30" i="160"/>
  <c r="K30" i="160"/>
  <c r="H30" i="160"/>
  <c r="A30" i="160"/>
  <c r="N29" i="160"/>
  <c r="M29" i="160"/>
  <c r="L29" i="160"/>
  <c r="K29" i="160"/>
  <c r="H29" i="160"/>
  <c r="A29" i="160"/>
  <c r="N28" i="160"/>
  <c r="M28" i="160"/>
  <c r="L28" i="160"/>
  <c r="K28" i="160"/>
  <c r="H28" i="160"/>
  <c r="A28" i="160"/>
  <c r="N27" i="160"/>
  <c r="M27" i="160"/>
  <c r="L27" i="160"/>
  <c r="K27" i="160"/>
  <c r="H27" i="160"/>
  <c r="A27" i="160"/>
  <c r="N26" i="160"/>
  <c r="M26" i="160"/>
  <c r="L26" i="160"/>
  <c r="K26" i="160"/>
  <c r="H26" i="160"/>
  <c r="A26" i="160"/>
  <c r="N25" i="160"/>
  <c r="M25" i="160"/>
  <c r="L25" i="160"/>
  <c r="K25" i="160"/>
  <c r="H25" i="160"/>
  <c r="A25" i="160"/>
  <c r="N24" i="160"/>
  <c r="M24" i="160"/>
  <c r="L24" i="160"/>
  <c r="K24" i="160"/>
  <c r="H24" i="160"/>
  <c r="A24" i="160"/>
  <c r="N23" i="160"/>
  <c r="M23" i="160"/>
  <c r="L23" i="160"/>
  <c r="K23" i="160"/>
  <c r="H23" i="160"/>
  <c r="A23" i="160"/>
  <c r="N22" i="160"/>
  <c r="M22" i="160"/>
  <c r="L22" i="160"/>
  <c r="K22" i="160"/>
  <c r="H22" i="160"/>
  <c r="A22" i="160"/>
  <c r="N21" i="160"/>
  <c r="M21" i="160"/>
  <c r="L21" i="160"/>
  <c r="K21" i="160"/>
  <c r="H21" i="160"/>
  <c r="A21" i="160"/>
  <c r="N20" i="160"/>
  <c r="M20" i="160"/>
  <c r="L20" i="160"/>
  <c r="K20" i="160"/>
  <c r="H20" i="160"/>
  <c r="A20" i="160"/>
  <c r="N19" i="160"/>
  <c r="M19" i="160"/>
  <c r="L19" i="160"/>
  <c r="K19" i="160"/>
  <c r="H19" i="160"/>
  <c r="A19" i="160"/>
  <c r="N18" i="160"/>
  <c r="M18" i="160"/>
  <c r="L18" i="160"/>
  <c r="K18" i="160"/>
  <c r="H18" i="160"/>
  <c r="A18" i="160"/>
  <c r="N17" i="160"/>
  <c r="M17" i="160"/>
  <c r="L17" i="160"/>
  <c r="K17" i="160"/>
  <c r="H17" i="160"/>
  <c r="A17" i="160"/>
  <c r="N16" i="160"/>
  <c r="M16" i="160"/>
  <c r="L16" i="160"/>
  <c r="K16" i="160"/>
  <c r="H16" i="160"/>
  <c r="A16" i="160"/>
  <c r="N15" i="160"/>
  <c r="M15" i="160"/>
  <c r="L15" i="160"/>
  <c r="K15" i="160"/>
  <c r="H15" i="160"/>
  <c r="A15" i="160"/>
  <c r="N14" i="160"/>
  <c r="M14" i="160"/>
  <c r="L14" i="160"/>
  <c r="K14" i="160"/>
  <c r="H14" i="160"/>
  <c r="A14" i="160"/>
  <c r="N13" i="160"/>
  <c r="M13" i="160"/>
  <c r="L13" i="160"/>
  <c r="K13" i="160"/>
  <c r="H13" i="160"/>
  <c r="A13" i="160"/>
  <c r="N12" i="160"/>
  <c r="M12" i="160"/>
  <c r="L12" i="160"/>
  <c r="K12" i="160"/>
  <c r="H12" i="160"/>
  <c r="A12" i="160"/>
  <c r="N11" i="160"/>
  <c r="M11" i="160"/>
  <c r="L11" i="160"/>
  <c r="K11" i="160"/>
  <c r="H11" i="160"/>
  <c r="A11" i="160"/>
  <c r="N10" i="160"/>
  <c r="M10" i="160"/>
  <c r="L10" i="160"/>
  <c r="K10" i="160"/>
  <c r="H10" i="160"/>
  <c r="A10" i="160"/>
  <c r="N9" i="160"/>
  <c r="M9" i="160"/>
  <c r="L9" i="160"/>
  <c r="K9" i="160"/>
  <c r="H9" i="160"/>
  <c r="A9" i="160"/>
  <c r="N8" i="160"/>
  <c r="M8" i="160"/>
  <c r="L8" i="160"/>
  <c r="K8" i="160"/>
  <c r="H8" i="160"/>
  <c r="A8" i="160"/>
  <c r="N7" i="160"/>
  <c r="M7" i="160"/>
  <c r="L7" i="160"/>
  <c r="K7" i="160"/>
  <c r="H7" i="160"/>
  <c r="A7" i="160"/>
  <c r="N6" i="160"/>
  <c r="M6" i="160"/>
  <c r="L6" i="160"/>
  <c r="K6" i="160"/>
  <c r="H6" i="160"/>
  <c r="A6" i="160"/>
  <c r="N5" i="160"/>
  <c r="M5" i="160"/>
  <c r="L5" i="160"/>
  <c r="K5" i="160"/>
  <c r="H5" i="160"/>
  <c r="A5" i="160"/>
  <c r="N4" i="160"/>
  <c r="M4" i="160"/>
  <c r="L4" i="160"/>
  <c r="K4" i="160"/>
  <c r="H4" i="160"/>
  <c r="A4" i="160"/>
  <c r="N3" i="160"/>
  <c r="M3" i="160"/>
  <c r="L3" i="160"/>
  <c r="K3" i="160"/>
  <c r="H3" i="160"/>
  <c r="A3" i="160"/>
  <c r="N2" i="160"/>
  <c r="M2" i="160"/>
  <c r="L2" i="160"/>
  <c r="K2" i="160"/>
  <c r="H2" i="160"/>
  <c r="A2" i="160"/>
  <c r="F48" i="159"/>
  <c r="F47" i="159"/>
  <c r="B40" i="159"/>
  <c r="B41" i="159"/>
  <c r="B42" i="159"/>
  <c r="B43" i="159"/>
  <c r="B44" i="159"/>
  <c r="B45" i="159"/>
  <c r="B46" i="159"/>
  <c r="B47" i="159"/>
  <c r="C40" i="159"/>
  <c r="C41" i="159"/>
  <c r="C42" i="159"/>
  <c r="C43" i="159"/>
  <c r="C44" i="159"/>
  <c r="C45" i="159"/>
  <c r="C46" i="159"/>
  <c r="C47" i="159"/>
  <c r="F46" i="159"/>
  <c r="F45" i="159"/>
  <c r="F42" i="159"/>
  <c r="G42" i="159"/>
  <c r="F41" i="159"/>
  <c r="G41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I31" i="159"/>
  <c r="J31" i="159"/>
  <c r="F31" i="159"/>
  <c r="D31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P10" i="159"/>
  <c r="O10" i="159"/>
  <c r="M10" i="159"/>
  <c r="V9" i="159"/>
  <c r="P9" i="159"/>
  <c r="O9" i="159"/>
  <c r="M9" i="159"/>
  <c r="V8" i="159"/>
  <c r="P8" i="159"/>
  <c r="O8" i="159"/>
  <c r="M8" i="159"/>
  <c r="V7" i="159"/>
  <c r="P7" i="159"/>
  <c r="O7" i="159"/>
  <c r="M7" i="159"/>
  <c r="V6" i="159"/>
  <c r="P6" i="159"/>
  <c r="O6" i="159"/>
  <c r="M6" i="159"/>
  <c r="V5" i="159"/>
  <c r="P5" i="159"/>
  <c r="O5" i="159"/>
  <c r="M5" i="159"/>
  <c r="V4" i="159"/>
  <c r="P4" i="159"/>
  <c r="O4" i="159"/>
  <c r="M4" i="159"/>
  <c r="V3" i="159"/>
  <c r="P3" i="159"/>
  <c r="O3" i="159"/>
  <c r="M3" i="159"/>
  <c r="V2" i="159"/>
  <c r="G30" i="153"/>
  <c r="E30" i="153"/>
  <c r="H30" i="153"/>
  <c r="G31" i="153"/>
  <c r="E31" i="153"/>
  <c r="H31" i="153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G4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3" i="103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6" i="103"/>
  <c r="E5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<sst xmlns="http://schemas.openxmlformats.org/spreadsheetml/2006/main" count="439" uniqueCount="237">
  <si>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</si>
  <si>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</si>
  <si>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</si>
  <si>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</si>
  <si>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</si>
  <si>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</si>
  <si>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</si>
  <si>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</si>
  <si>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</si>
  <si>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</si>
  <si>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</si>
  <si>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</si>
  <si>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</si>
  <si>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</si>
  <si>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</si>
  <si>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</si>
  <si>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</si>
  <si>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</si>
  <si>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</si>
  <si>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</si>
  <si>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</si>
  <si>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</si>
  <si>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</si>
  <si>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</si>
  <si>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</si>
  <si>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</si>
  <si>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</si>
  <si>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</si>
  <si>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</si>
  <si>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</si>
  <si>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</si>
  <si>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</si>
  <si>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</si>
  <si>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</si>
  <si>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</si>
  <si>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</si>
  <si>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</si>
  <si>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</si>
  <si>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</si>
  <si>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</si>
  <si>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</si>
  <si>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</si>
  <si>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</si>
  <si>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</si>
  <si>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</si>
  <si>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</si>
  <si>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</si>
  <si>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</si>
  <si>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</si>
  <si>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t>出力flg</t>
    <rPh sb="0" eb="2">
      <t>シュツリョク</t>
    </rPh>
    <phoneticPr fontId="49"/>
  </si>
  <si>
    <t>color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</si>
  <si>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</si>
  <si>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</si>
  <si>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</si>
  <si>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</si>
  <si>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</si>
  <si>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</si>
  <si>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</si>
  <si>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</si>
  <si>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</si>
  <si>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</si>
  <si>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</si>
  <si>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</si>
  <si>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</si>
  <si>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</si>
  <si>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</si>
  <si>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</si>
  <si>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</si>
  <si>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</si>
  <si>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</si>
  <si>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</si>
  <si>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</si>
  <si>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</si>
  <si>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</si>
  <si>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</si>
  <si>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</si>
  <si>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</si>
  <si>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</si>
  <si>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</si>
  <si>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</si>
  <si>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</si>
  <si>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</si>
  <si>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</si>
  <si>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</si>
  <si>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</si>
  <si>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</si>
  <si>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</si>
  <si>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</si>
  <si>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</si>
  <si>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</si>
  <si>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</si>
  <si>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</si>
  <si>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</si>
  <si>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</si>
  <si>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</si>
  <si>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</si>
  <si>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</si>
  <si>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</si>
  <si>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</si>
  <si>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</si>
  <si>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</si>
  <si>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</si>
  <si>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</si>
  <si>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</si>
  <si>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</si>
  <si>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PremiumSS5</t>
    <phoneticPr fontId="16"/>
  </si>
  <si>
    <t>PremiumSSS5</t>
    <phoneticPr fontId="16"/>
  </si>
  <si>
    <t>PremiumSSS4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</si>
  <si>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</si>
  <si>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</si>
  <si>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</si>
  <si>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</si>
  <si>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</si>
  <si>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</si>
  <si>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</si>
  <si>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</si>
  <si>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</si>
  <si>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</si>
  <si>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</si>
  <si>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</si>
  <si>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B</t>
    <phoneticPr fontId="49"/>
  </si>
  <si>
    <t>D</t>
    <phoneticPr fontId="49"/>
  </si>
  <si>
    <t>F</t>
    <phoneticPr fontId="49"/>
  </si>
  <si>
    <t>E</t>
    <phoneticPr fontId="49"/>
  </si>
  <si>
    <t>G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</si>
  <si>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</si>
  <si>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</si>
  <si>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</si>
  <si>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</si>
  <si>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</si>
  <si>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</si>
  <si>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</si>
  <si>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</si>
  <si>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</si>
  <si>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</si>
  <si>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</si>
  <si>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X*{SS}*R5率</t>
    <rPh sb="9" eb="10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</si>
  <si>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</si>
  <si>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=</t>
    <phoneticPr fontId="49"/>
  </si>
  <si>
    <t>①</t>
    <phoneticPr fontId="49"/>
  </si>
  <si>
    <t>B + D + F</t>
    <phoneticPr fontId="49"/>
  </si>
  <si>
    <t>②</t>
    <phoneticPr fontId="49"/>
  </si>
  <si>
    <t>③</t>
    <phoneticPr fontId="49"/>
  </si>
  <si>
    <t>A+B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</si>
  <si>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</si>
  <si>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</si>
  <si>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</si>
  <si>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</si>
  <si>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</si>
  <si>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</si>
  <si>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</si>
  <si>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</si>
  <si>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</si>
  <si>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</si>
  <si>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</si>
  <si>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</si>
  <si>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</si>
  <si>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</si>
  <si>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</si>
  <si>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</si>
  <si>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Y*{W}-A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</si>
  <si>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</si>
  <si>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</si>
  <si>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</si>
  <si>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PremiumW3</t>
    <phoneticPr fontId="16"/>
  </si>
  <si>
    <t>PremiumW4</t>
    <phoneticPr fontId="16"/>
  </si>
  <si>
    <t>ラベル確率</t>
    <rPh sb="3" eb="5">
      <t>カクリツ</t>
    </rPh>
    <phoneticPr fontId="16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</si>
  <si>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</si>
  <si>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</si>
  <si>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</si>
  <si>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</si>
  <si>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</si>
  <si>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6"/>
  </si>
  <si>
    <t>PremiumSS5R5only</t>
  </si>
  <si>
    <t>計算用中間データ</t>
    <rPh sb="0" eb="3">
      <t>ケイサンヨウ</t>
    </rPh>
    <rPh sb="3" eb="5">
      <t>チュウカン</t>
    </rPh>
    <phoneticPr fontId="16"/>
  </si>
  <si>
    <t>X</t>
    <phoneticPr fontId="16"/>
  </si>
  <si>
    <t>Y</t>
    <phoneticPr fontId="16"/>
  </si>
  <si>
    <t>対象数</t>
    <rPh sb="0" eb="3">
      <t>タイショウスウ</t>
    </rPh>
    <phoneticPr fontId="16"/>
  </si>
  <si>
    <t>PremiumW</t>
    <phoneticPr fontId="16"/>
  </si>
  <si>
    <t>PremiumN</t>
    <phoneticPr fontId="16"/>
  </si>
  <si>
    <t>PremiumS</t>
    <phoneticPr fontId="16"/>
  </si>
  <si>
    <t>PremiumSS</t>
    <phoneticPr fontId="16"/>
  </si>
  <si>
    <t>←R6分はここから差し引く</t>
    <rPh sb="3" eb="4">
      <t>ブン</t>
    </rPh>
    <rPh sb="9" eb="10">
      <t>サシヒク</t>
    </rPh>
    <phoneticPr fontId="16"/>
  </si>
  <si>
    <t>除外確率</t>
    <rPh sb="0" eb="2">
      <t>ジョガイ</t>
    </rPh>
    <rPh sb="2" eb="4">
      <t>カクリツ</t>
    </rPh>
    <phoneticPr fontId="16"/>
  </si>
  <si>
    <t>除外数</t>
    <rPh sb="0" eb="3">
      <t>ジョガイスウ</t>
    </rPh>
    <phoneticPr fontId="16"/>
  </si>
  <si>
    <t>もうここは手で入れよう…</t>
    <rPh sb="5" eb="6">
      <t>テ</t>
    </rPh>
    <rPh sb="7" eb="8">
      <t>イレヨウ</t>
    </rPh>
    <phoneticPr fontId="16"/>
  </si>
  <si>
    <t>通常weight</t>
    <rPh sb="0" eb="2">
      <t>ツウジョウ</t>
    </rPh>
    <phoneticPr fontId="16"/>
  </si>
  <si>
    <t>A</t>
    <phoneticPr fontId="16"/>
  </si>
  <si>
    <t>B</t>
    <phoneticPr fontId="16"/>
  </si>
  <si>
    <t>PremiumW4</t>
    <phoneticPr fontId="16"/>
  </si>
  <si>
    <t>C</t>
    <phoneticPr fontId="16"/>
  </si>
  <si>
    <t>Premium3</t>
    <phoneticPr fontId="16"/>
  </si>
  <si>
    <t>D</t>
    <phoneticPr fontId="16"/>
  </si>
  <si>
    <t>Premium4</t>
    <phoneticPr fontId="16"/>
  </si>
  <si>
    <t>E</t>
    <phoneticPr fontId="16"/>
  </si>
  <si>
    <t>Premium5</t>
    <phoneticPr fontId="16"/>
  </si>
  <si>
    <t>F</t>
    <phoneticPr fontId="16"/>
  </si>
  <si>
    <t>Premium4R3less</t>
    <phoneticPr fontId="16"/>
  </si>
  <si>
    <t>G</t>
    <phoneticPr fontId="16"/>
  </si>
  <si>
    <t>Premium5R3less</t>
    <phoneticPr fontId="16"/>
  </si>
  <si>
    <t>K</t>
    <phoneticPr fontId="16"/>
  </si>
  <si>
    <t>PremiumSS4</t>
    <phoneticPr fontId="16"/>
  </si>
  <si>
    <t>PremiumSS5</t>
    <phoneticPr fontId="16"/>
  </si>
  <si>
    <t>L</t>
    <phoneticPr fontId="16"/>
  </si>
  <si>
    <t>M</t>
    <phoneticPr fontId="16"/>
  </si>
  <si>
    <t>PremiumSS5R5only</t>
    <phoneticPr fontId="16"/>
  </si>
  <si>
    <t>PremiumSSS4R3less</t>
    <phoneticPr fontId="16"/>
  </si>
  <si>
    <t>PremiumSSS5R3less</t>
    <phoneticPr fontId="16"/>
  </si>
  <si>
    <t>フェス確率</t>
    <phoneticPr fontId="16"/>
  </si>
  <si>
    <t>R3率</t>
    <phoneticPr fontId="49"/>
  </si>
  <si>
    <t>Y*{W}</t>
    <phoneticPr fontId="49"/>
  </si>
  <si>
    <t>→</t>
    <phoneticPr fontId="49"/>
  </si>
  <si>
    <t>ハズレ素体確率 Y = (1-SS率)/(W+N+S)</t>
    <rPh sb="3" eb="5">
      <t>ソタイカクリ</t>
    </rPh>
    <rPh sb="5" eb="7">
      <t>カクリツ</t>
    </rPh>
    <rPh sb="17" eb="18">
      <t>リツ</t>
    </rPh>
    <phoneticPr fontId="49"/>
  </si>
  <si>
    <t>H</t>
    <phoneticPr fontId="49"/>
  </si>
  <si>
    <t>I</t>
    <phoneticPr fontId="49"/>
  </si>
  <si>
    <t>J</t>
    <phoneticPr fontId="49"/>
  </si>
  <si>
    <t>A + C</t>
    <phoneticPr fontId="49"/>
  </si>
  <si>
    <t>R4率-H</t>
    <phoneticPr fontId="49"/>
  </si>
  <si>
    <t>J</t>
    <phoneticPr fontId="49"/>
  </si>
  <si>
    <t>H</t>
    <phoneticPr fontId="49"/>
  </si>
  <si>
    <t>I</t>
    <phoneticPr fontId="49"/>
  </si>
  <si>
    <t>E+G</t>
    <phoneticPr fontId="49"/>
  </si>
  <si>
    <t>R5率-I-J</t>
    <phoneticPr fontId="49"/>
  </si>
  <si>
    <t>⑦</t>
    <phoneticPr fontId="49"/>
  </si>
  <si>
    <t>A+B+C+D+E+F+G</t>
    <phoneticPr fontId="49"/>
  </si>
  <si>
    <t>50%-C</t>
    <phoneticPr fontId="49"/>
  </si>
  <si>
    <t>=</t>
    <phoneticPr fontId="16"/>
  </si>
  <si>
    <t>Y*{W}*R3率</t>
    <phoneticPr fontId="16"/>
  </si>
  <si>
    <t>5%-E-I-J</t>
    <phoneticPr fontId="49"/>
  </si>
  <si>
    <t>←R6releaseを取り除いた場合の計算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</si>
  <si>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</si>
  <si>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.tmp</t>
    <phoneticPr fontId="49"/>
  </si>
  <si>
    <t>gacha_bonus_tables</t>
    <phoneticPr fontId="49"/>
  </si>
  <si>
    <t>old</t>
    <phoneticPr fontId="16"/>
  </si>
  <si>
    <t>skip</t>
    <phoneticPr fontId="16"/>
  </si>
  <si>
    <t>tables_386010</t>
    <phoneticPr fontId="16"/>
  </si>
  <si>
    <t>tables_386100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</si>
</sst>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65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0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6" fillId="0" borderId="0"/>
    <xf numFmtId="38" fontId="51" fillId="0" borderId="0" applyFont="0" applyFill="0" applyBorder="0" applyAlignment="0" applyProtection="0"/>
    <xf numFmtId="0" fontId="3" fillId="0" borderId="0"/>
  </cellStyleXfs>
  <cellXfs count="111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48" fillId="30" borderId="1" xfId="0" applyFont="1" applyFill="1" applyBorder="1" applyAlignment="1">
      <alignment horizontal="left" vertical="center"/>
    </xf>
    <xf numFmtId="0" fontId="21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9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2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3" fillId="32" borderId="1" xfId="0" applyNumberFormat="1" applyFont="1" applyFill="1" applyBorder="1"/>
    <xf numFmtId="38" fontId="21" fillId="4" borderId="1" xfId="3663" quotePrefix="1" applyFont="1" applyFill="1" applyBorder="1" applyAlignment="1">
      <alignment vertical="center"/>
    </xf>
    <xf numFmtId="0" fontId="48" fillId="0" borderId="1" xfId="0" applyFont="1" applyBorder="1" applyAlignment="1">
      <alignment vertical="center"/>
    </xf>
    <xf numFmtId="0" fontId="48" fillId="0" borderId="1" xfId="0" applyFont="1" applyBorder="1" applyAlignment="1">
      <alignment vertical="center" wrapText="1"/>
    </xf>
    <xf numFmtId="0" fontId="21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10" fontId="0" fillId="4" borderId="0" xfId="0" applyNumberFormat="1" applyFill="1"/>
    <xf numFmtId="0" fontId="21" fillId="33" borderId="1" xfId="2" applyFont="1" applyFill="1" applyBorder="1" applyAlignment="1">
      <alignment vertical="center"/>
    </xf>
    <xf numFmtId="0" fontId="4" fillId="0" borderId="0" xfId="3662" applyFont="1"/>
    <xf numFmtId="9" fontId="5" fillId="0" borderId="0" xfId="3662" applyNumberFormat="1" applyFont="1"/>
    <xf numFmtId="0" fontId="6" fillId="0" borderId="17" xfId="3662" applyBorder="1"/>
    <xf numFmtId="0" fontId="6" fillId="0" borderId="18" xfId="3662" applyBorder="1"/>
    <xf numFmtId="0" fontId="6" fillId="0" borderId="19" xfId="3662" applyBorder="1"/>
    <xf numFmtId="0" fontId="6" fillId="0" borderId="20" xfId="3662" applyBorder="1"/>
    <xf numFmtId="0" fontId="6" fillId="0" borderId="0" xfId="3662" applyBorder="1"/>
    <xf numFmtId="0" fontId="6" fillId="0" borderId="21" xfId="3662" applyBorder="1"/>
    <xf numFmtId="0" fontId="6" fillId="4" borderId="0" xfId="3662" applyFill="1" applyBorder="1"/>
    <xf numFmtId="9" fontId="6" fillId="0" borderId="0" xfId="3662" applyNumberFormat="1" applyBorder="1"/>
    <xf numFmtId="0" fontId="4" fillId="4" borderId="0" xfId="3662" applyFont="1" applyFill="1" applyBorder="1"/>
    <xf numFmtId="0" fontId="6" fillId="0" borderId="0" xfId="3662" applyFill="1" applyBorder="1"/>
    <xf numFmtId="9" fontId="4" fillId="0" borderId="0" xfId="3662" applyNumberFormat="1" applyFont="1" applyBorder="1"/>
    <xf numFmtId="9" fontId="6" fillId="0" borderId="0" xfId="3662" applyNumberFormat="1" applyBorder="1" applyAlignment="1"/>
    <xf numFmtId="9" fontId="6" fillId="0" borderId="21" xfId="3662" applyNumberFormat="1" applyBorder="1"/>
    <xf numFmtId="0" fontId="4" fillId="0" borderId="20" xfId="3662" applyFont="1" applyBorder="1"/>
    <xf numFmtId="0" fontId="4" fillId="0" borderId="0" xfId="3662" applyFont="1" applyBorder="1"/>
    <xf numFmtId="0" fontId="4" fillId="0" borderId="0" xfId="3662" quotePrefix="1" applyFont="1" applyBorder="1"/>
    <xf numFmtId="0" fontId="4" fillId="0" borderId="22" xfId="3662" applyFont="1" applyBorder="1"/>
    <xf numFmtId="9" fontId="6" fillId="0" borderId="23" xfId="3662" applyNumberFormat="1" applyBorder="1"/>
    <xf numFmtId="0" fontId="6" fillId="0" borderId="23" xfId="3662" applyBorder="1"/>
    <xf numFmtId="0" fontId="6" fillId="0" borderId="24" xfId="3662" applyBorder="1"/>
    <xf numFmtId="176" fontId="0" fillId="0" borderId="0" xfId="3575" applyNumberFormat="1" applyFont="1"/>
    <xf numFmtId="0" fontId="21" fillId="0" borderId="1" xfId="2" applyFont="1" applyFill="1" applyBorder="1" applyAlignment="1">
      <alignment vertical="center"/>
    </xf>
    <xf numFmtId="0" fontId="3" fillId="0" borderId="1" xfId="2978" applyFont="1" applyBorder="1"/>
    <xf numFmtId="0" fontId="3" fillId="2" borderId="1" xfId="19" applyFont="1" applyFill="1" applyBorder="1"/>
    <xf numFmtId="0" fontId="2" fillId="0" borderId="1" xfId="3036" applyFont="1" applyBorder="1"/>
    <xf numFmtId="0" fontId="1" fillId="0" borderId="1" xfId="3036" applyFont="1" applyBorder="1"/>
    <xf numFmtId="0" fontId="1" fillId="4" borderId="1" xfId="2978" applyFont="1" applyFill="1" applyBorder="1"/>
    <xf numFmtId="0" fontId="48" fillId="4" borderId="1" xfId="0" applyFont="1" applyFill="1" applyBorder="1" applyAlignment="1">
      <alignment vertical="center"/>
    </xf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2 3" xfId="3664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源義経（牛若丸）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47"/>
  <sheetViews>
    <sheetView zoomScale="90" zoomScaleNormal="90" zoomScalePageLayoutView="90" workbookViewId="0">
      <selection activeCell="C33" sqref="C33"/>
    </sheetView>
  </sheetViews>
  <sheetFormatPr baseColWidth="12" defaultRowHeight="15" x14ac:dyDescent="0.15"/>
  <cols>
    <col min="1" max="1" width="45" style="61" customWidth="1"/>
    <col min="2" max="16384" width="13" style="61"/>
  </cols>
  <sheetData>
    <row r="1" spans="1:13" x14ac:dyDescent="0.15">
      <c r="A1" s="83" t="s">
        <v>109</v>
      </c>
      <c r="B1" s="84" t="s">
        <v>110</v>
      </c>
      <c r="C1" s="84"/>
      <c r="D1" s="84"/>
      <c r="E1" s="84"/>
      <c r="F1" s="84"/>
      <c r="G1" s="84"/>
      <c r="H1" s="85"/>
    </row>
    <row r="2" spans="1:13" x14ac:dyDescent="0.15">
      <c r="A2" s="86" t="s">
        <v>111</v>
      </c>
      <c r="B2" s="87" t="s">
        <v>112</v>
      </c>
      <c r="C2" s="87" t="s">
        <v>113</v>
      </c>
      <c r="D2" s="87" t="s">
        <v>114</v>
      </c>
      <c r="E2" s="87" t="s">
        <v>115</v>
      </c>
      <c r="F2" s="87" t="s">
        <v>116</v>
      </c>
      <c r="G2" s="87" t="s">
        <v>117</v>
      </c>
      <c r="H2" s="88"/>
    </row>
    <row r="3" spans="1:13" x14ac:dyDescent="0.15">
      <c r="A3" s="86">
        <v>3</v>
      </c>
      <c r="B3" s="89" t="s">
        <v>118</v>
      </c>
      <c r="C3" s="89" t="s">
        <v>119</v>
      </c>
      <c r="D3" s="87">
        <v>0</v>
      </c>
      <c r="E3" s="87">
        <v>0</v>
      </c>
      <c r="F3" s="87">
        <v>0</v>
      </c>
      <c r="G3" s="90">
        <v>0.5</v>
      </c>
      <c r="H3" s="88"/>
    </row>
    <row r="4" spans="1:13" x14ac:dyDescent="0.15">
      <c r="A4" s="86">
        <v>4</v>
      </c>
      <c r="B4" s="89" t="s">
        <v>120</v>
      </c>
      <c r="C4" s="89" t="s">
        <v>121</v>
      </c>
      <c r="D4" s="89" t="s">
        <v>122</v>
      </c>
      <c r="E4" s="91" t="s">
        <v>213</v>
      </c>
      <c r="F4" s="87">
        <v>0</v>
      </c>
      <c r="G4" s="90">
        <v>0.45</v>
      </c>
      <c r="H4" s="88"/>
      <c r="I4" s="81" t="s">
        <v>229</v>
      </c>
    </row>
    <row r="5" spans="1:13" x14ac:dyDescent="0.15">
      <c r="A5" s="86">
        <v>5</v>
      </c>
      <c r="B5" s="92">
        <v>0</v>
      </c>
      <c r="C5" s="89" t="s">
        <v>123</v>
      </c>
      <c r="D5" s="89" t="s">
        <v>124</v>
      </c>
      <c r="E5" s="91" t="s">
        <v>214</v>
      </c>
      <c r="F5" s="91" t="s">
        <v>215</v>
      </c>
      <c r="G5" s="90">
        <v>0.05</v>
      </c>
      <c r="H5" s="88"/>
    </row>
    <row r="6" spans="1:13" x14ac:dyDescent="0.15">
      <c r="A6" s="86"/>
      <c r="B6" s="90" t="s">
        <v>125</v>
      </c>
      <c r="C6" s="90" t="s">
        <v>125</v>
      </c>
      <c r="D6" s="93" t="s">
        <v>211</v>
      </c>
      <c r="E6" s="90" t="s">
        <v>125</v>
      </c>
      <c r="F6" s="94" t="s">
        <v>127</v>
      </c>
      <c r="G6" s="90">
        <v>1</v>
      </c>
      <c r="H6" s="88"/>
    </row>
    <row r="7" spans="1:13" x14ac:dyDescent="0.15">
      <c r="A7" s="86"/>
      <c r="B7" s="90"/>
      <c r="C7" s="90"/>
      <c r="D7" s="90"/>
      <c r="E7" s="90"/>
      <c r="F7" s="90"/>
      <c r="G7" s="94"/>
      <c r="H7" s="95"/>
    </row>
    <row r="8" spans="1:13" x14ac:dyDescent="0.15">
      <c r="A8" s="86" t="s">
        <v>128</v>
      </c>
      <c r="B8" s="90"/>
      <c r="C8" s="90"/>
      <c r="D8" s="90"/>
      <c r="E8" s="90"/>
      <c r="F8" s="90"/>
      <c r="G8" s="94"/>
      <c r="H8" s="95"/>
    </row>
    <row r="9" spans="1:13" x14ac:dyDescent="0.15">
      <c r="A9" s="86" t="s">
        <v>129</v>
      </c>
      <c r="B9" s="90"/>
      <c r="C9" s="90"/>
      <c r="D9" s="90"/>
      <c r="E9" s="90"/>
      <c r="F9" s="90"/>
      <c r="G9" s="94"/>
      <c r="H9" s="95"/>
    </row>
    <row r="10" spans="1:13" x14ac:dyDescent="0.15">
      <c r="A10" s="86" t="s">
        <v>130</v>
      </c>
      <c r="B10" s="90"/>
      <c r="C10" s="90"/>
      <c r="D10" s="90"/>
      <c r="E10" s="90"/>
      <c r="F10" s="90"/>
      <c r="G10" s="94"/>
      <c r="H10" s="95"/>
    </row>
    <row r="11" spans="1:13" x14ac:dyDescent="0.15">
      <c r="A11" s="86" t="s">
        <v>131</v>
      </c>
      <c r="B11" s="90"/>
      <c r="C11" s="90"/>
      <c r="D11" s="90"/>
      <c r="E11" s="90"/>
      <c r="F11" s="90"/>
      <c r="G11" s="94"/>
      <c r="H11" s="95"/>
    </row>
    <row r="12" spans="1:13" x14ac:dyDescent="0.15">
      <c r="A12" s="96" t="s">
        <v>218</v>
      </c>
      <c r="B12" s="90" t="s">
        <v>132</v>
      </c>
      <c r="C12" s="90" t="s">
        <v>133</v>
      </c>
      <c r="D12" s="90"/>
      <c r="E12" s="90"/>
      <c r="F12" s="90"/>
      <c r="G12" s="94"/>
      <c r="H12" s="95"/>
    </row>
    <row r="13" spans="1:13" x14ac:dyDescent="0.15">
      <c r="A13" s="96" t="s">
        <v>219</v>
      </c>
      <c r="B13" s="87" t="s">
        <v>134</v>
      </c>
      <c r="C13" s="87" t="s">
        <v>135</v>
      </c>
      <c r="D13" s="87"/>
      <c r="E13" s="87"/>
      <c r="F13" s="87"/>
      <c r="G13" s="87"/>
      <c r="H13" s="88"/>
    </row>
    <row r="14" spans="1:13" x14ac:dyDescent="0.15">
      <c r="A14" s="96" t="s">
        <v>220</v>
      </c>
      <c r="B14" s="87" t="s">
        <v>132</v>
      </c>
      <c r="C14" s="92" t="s">
        <v>136</v>
      </c>
      <c r="D14" s="87"/>
      <c r="E14" s="92"/>
      <c r="F14" s="92"/>
      <c r="G14" s="87"/>
      <c r="H14" s="88"/>
      <c r="M14" s="62"/>
    </row>
    <row r="15" spans="1:13" x14ac:dyDescent="0.15">
      <c r="A15" s="86"/>
      <c r="B15" s="90"/>
      <c r="C15" s="90"/>
      <c r="D15" s="87"/>
      <c r="E15" s="87"/>
      <c r="F15" s="87"/>
      <c r="G15" s="87"/>
      <c r="H15" s="88"/>
    </row>
    <row r="16" spans="1:13" x14ac:dyDescent="0.15">
      <c r="A16" s="86" t="s">
        <v>137</v>
      </c>
      <c r="B16" s="87"/>
      <c r="C16" s="87"/>
      <c r="D16" s="87"/>
      <c r="E16" s="87"/>
      <c r="F16" s="87"/>
      <c r="G16" s="87"/>
      <c r="H16" s="88"/>
    </row>
    <row r="17" spans="1:8" x14ac:dyDescent="0.15">
      <c r="A17" s="96" t="s">
        <v>212</v>
      </c>
      <c r="B17" s="90"/>
      <c r="C17" s="90"/>
      <c r="D17" s="87"/>
      <c r="E17" s="87"/>
      <c r="F17" s="87"/>
      <c r="G17" s="87"/>
      <c r="H17" s="88"/>
    </row>
    <row r="18" spans="1:8" x14ac:dyDescent="0.15">
      <c r="A18" s="96" t="s">
        <v>216</v>
      </c>
      <c r="B18" s="90" t="s">
        <v>138</v>
      </c>
      <c r="C18" s="93" t="s">
        <v>209</v>
      </c>
      <c r="D18" s="87" t="s">
        <v>139</v>
      </c>
      <c r="E18" s="87"/>
      <c r="F18" s="87"/>
      <c r="G18" s="87"/>
      <c r="H18" s="88"/>
    </row>
    <row r="19" spans="1:8" x14ac:dyDescent="0.15">
      <c r="A19" s="86" t="s">
        <v>140</v>
      </c>
      <c r="B19" s="90" t="s">
        <v>132</v>
      </c>
      <c r="C19" s="93" t="s">
        <v>217</v>
      </c>
      <c r="D19" s="87" t="s">
        <v>141</v>
      </c>
      <c r="E19" s="87"/>
      <c r="F19" s="87"/>
      <c r="G19" s="87"/>
      <c r="H19" s="88"/>
    </row>
    <row r="20" spans="1:8" x14ac:dyDescent="0.15">
      <c r="A20" s="96" t="s">
        <v>221</v>
      </c>
      <c r="B20" s="90" t="s">
        <v>132</v>
      </c>
      <c r="C20" s="97" t="s">
        <v>222</v>
      </c>
      <c r="D20" s="87" t="s">
        <v>142</v>
      </c>
      <c r="E20" s="87"/>
      <c r="F20" s="87"/>
      <c r="G20" s="87"/>
      <c r="H20" s="88"/>
    </row>
    <row r="21" spans="1:8" x14ac:dyDescent="0.15">
      <c r="A21" s="86" t="s">
        <v>143</v>
      </c>
      <c r="B21" s="90" t="s">
        <v>132</v>
      </c>
      <c r="C21" s="93" t="s">
        <v>210</v>
      </c>
      <c r="D21" s="87" t="s">
        <v>144</v>
      </c>
      <c r="E21" s="87"/>
      <c r="F21" s="87"/>
      <c r="G21" s="87"/>
      <c r="H21" s="88"/>
    </row>
    <row r="22" spans="1:8" x14ac:dyDescent="0.15">
      <c r="A22" s="86" t="s">
        <v>145</v>
      </c>
      <c r="B22" s="90" t="s">
        <v>132</v>
      </c>
      <c r="C22" s="90" t="s">
        <v>146</v>
      </c>
      <c r="D22" s="87" t="s">
        <v>147</v>
      </c>
      <c r="E22" s="87"/>
      <c r="F22" s="87"/>
      <c r="G22" s="87"/>
      <c r="H22" s="88"/>
    </row>
    <row r="23" spans="1:8" x14ac:dyDescent="0.15">
      <c r="A23" s="86" t="s">
        <v>148</v>
      </c>
      <c r="B23" s="90" t="s">
        <v>132</v>
      </c>
      <c r="C23" s="90" t="s">
        <v>149</v>
      </c>
      <c r="D23" s="87" t="s">
        <v>150</v>
      </c>
      <c r="E23" s="87"/>
      <c r="F23" s="87"/>
      <c r="G23" s="87"/>
      <c r="H23" s="88"/>
    </row>
    <row r="24" spans="1:8" x14ac:dyDescent="0.15">
      <c r="A24" s="96" t="s">
        <v>224</v>
      </c>
      <c r="B24" s="90" t="s">
        <v>132</v>
      </c>
      <c r="C24" s="90" t="s">
        <v>126</v>
      </c>
      <c r="D24" s="97" t="s">
        <v>223</v>
      </c>
      <c r="E24" s="87" t="s">
        <v>151</v>
      </c>
      <c r="F24" s="87"/>
      <c r="G24" s="87"/>
      <c r="H24" s="88"/>
    </row>
    <row r="25" spans="1:8" x14ac:dyDescent="0.15">
      <c r="A25" s="86" t="s">
        <v>119</v>
      </c>
      <c r="B25" s="90" t="s">
        <v>132</v>
      </c>
      <c r="C25" s="90" t="s">
        <v>152</v>
      </c>
      <c r="D25" s="87"/>
      <c r="E25" s="87" t="s">
        <v>153</v>
      </c>
      <c r="F25" s="87"/>
      <c r="G25" s="87"/>
      <c r="H25" s="88"/>
    </row>
    <row r="26" spans="1:8" x14ac:dyDescent="0.15">
      <c r="A26" s="86" t="s">
        <v>121</v>
      </c>
      <c r="B26" s="90" t="s">
        <v>132</v>
      </c>
      <c r="C26" s="90" t="s">
        <v>154</v>
      </c>
      <c r="D26" s="87"/>
      <c r="E26" s="87"/>
      <c r="F26" s="87"/>
      <c r="G26" s="87"/>
      <c r="H26" s="88"/>
    </row>
    <row r="27" spans="1:8" x14ac:dyDescent="0.15">
      <c r="A27" s="86"/>
      <c r="B27" s="90"/>
      <c r="C27" s="87"/>
      <c r="D27" s="87"/>
      <c r="E27" s="87"/>
      <c r="F27" s="87"/>
      <c r="G27" s="87"/>
      <c r="H27" s="88"/>
    </row>
    <row r="28" spans="1:8" x14ac:dyDescent="0.15">
      <c r="A28" s="86" t="s">
        <v>155</v>
      </c>
      <c r="B28" s="87"/>
      <c r="C28" s="87"/>
      <c r="D28" s="87"/>
      <c r="E28" s="87"/>
      <c r="F28" s="87"/>
      <c r="G28" s="87"/>
      <c r="H28" s="88"/>
    </row>
    <row r="29" spans="1:8" x14ac:dyDescent="0.15">
      <c r="A29" s="86" t="s">
        <v>156</v>
      </c>
      <c r="B29" s="90" t="s">
        <v>132</v>
      </c>
      <c r="C29" s="90" t="s">
        <v>157</v>
      </c>
      <c r="D29" s="87"/>
      <c r="E29" s="87"/>
      <c r="F29" s="87"/>
      <c r="G29" s="87"/>
      <c r="H29" s="88"/>
    </row>
    <row r="30" spans="1:8" x14ac:dyDescent="0.15">
      <c r="A30" s="86" t="s">
        <v>121</v>
      </c>
      <c r="B30" s="90" t="s">
        <v>132</v>
      </c>
      <c r="C30" s="90" t="s">
        <v>158</v>
      </c>
      <c r="D30" s="87"/>
      <c r="E30" s="87"/>
      <c r="F30" s="87"/>
      <c r="G30" s="87"/>
      <c r="H30" s="88"/>
    </row>
    <row r="31" spans="1:8" x14ac:dyDescent="0.15">
      <c r="A31" s="86" t="s">
        <v>119</v>
      </c>
      <c r="B31" s="90" t="s">
        <v>132</v>
      </c>
      <c r="C31" s="90" t="s">
        <v>159</v>
      </c>
      <c r="D31" s="87"/>
      <c r="E31" s="87"/>
      <c r="F31" s="87"/>
      <c r="G31" s="87"/>
      <c r="H31" s="88"/>
    </row>
    <row r="32" spans="1:8" x14ac:dyDescent="0.15">
      <c r="A32" s="86" t="s">
        <v>118</v>
      </c>
      <c r="B32" s="90" t="s">
        <v>132</v>
      </c>
      <c r="C32" s="93" t="s">
        <v>225</v>
      </c>
      <c r="D32" s="98" t="s">
        <v>226</v>
      </c>
      <c r="E32" s="97" t="s">
        <v>227</v>
      </c>
      <c r="F32" s="87"/>
      <c r="G32" s="87"/>
      <c r="H32" s="88"/>
    </row>
    <row r="33" spans="1:13" x14ac:dyDescent="0.15">
      <c r="A33" s="86" t="s">
        <v>120</v>
      </c>
      <c r="B33" s="90" t="s">
        <v>132</v>
      </c>
      <c r="C33" s="90" t="s">
        <v>160</v>
      </c>
      <c r="D33" s="98"/>
      <c r="E33" s="87"/>
      <c r="F33" s="87"/>
      <c r="G33" s="87"/>
      <c r="H33" s="88"/>
    </row>
    <row r="34" spans="1:13" x14ac:dyDescent="0.15">
      <c r="A34" s="86" t="s">
        <v>124</v>
      </c>
      <c r="B34" s="90" t="s">
        <v>132</v>
      </c>
      <c r="C34" s="93" t="s">
        <v>228</v>
      </c>
      <c r="D34" s="87"/>
      <c r="E34" s="87"/>
      <c r="F34" s="87"/>
      <c r="G34" s="87"/>
      <c r="H34" s="88"/>
    </row>
    <row r="35" spans="1:13" x14ac:dyDescent="0.15">
      <c r="A35" s="86" t="s">
        <v>122</v>
      </c>
      <c r="B35" s="90" t="s">
        <v>132</v>
      </c>
      <c r="C35" s="90" t="s">
        <v>161</v>
      </c>
      <c r="D35" s="87"/>
      <c r="E35" s="87"/>
      <c r="F35" s="87"/>
      <c r="G35" s="87"/>
      <c r="H35" s="88"/>
    </row>
    <row r="36" spans="1:13" x14ac:dyDescent="0.15">
      <c r="A36" s="99"/>
      <c r="B36" s="100"/>
      <c r="C36" s="101"/>
      <c r="D36" s="101"/>
      <c r="E36" s="101"/>
      <c r="F36" s="101"/>
      <c r="G36" s="101"/>
      <c r="H36" s="102"/>
    </row>
    <row r="37" spans="1:13" x14ac:dyDescent="0.15">
      <c r="A37" s="81"/>
      <c r="B37" s="62"/>
      <c r="J37" s="76" t="s">
        <v>187</v>
      </c>
      <c r="K37" s="76" t="s">
        <v>164</v>
      </c>
      <c r="M37" s="82"/>
    </row>
    <row r="38" spans="1:13" x14ac:dyDescent="0.15">
      <c r="A38" s="81"/>
      <c r="B38" s="62"/>
      <c r="J38" s="76" t="s">
        <v>188</v>
      </c>
      <c r="K38" s="76" t="s">
        <v>189</v>
      </c>
      <c r="M38" s="62"/>
    </row>
    <row r="39" spans="1:13" x14ac:dyDescent="0.15">
      <c r="J39" s="76" t="s">
        <v>190</v>
      </c>
      <c r="K39" s="76" t="s">
        <v>191</v>
      </c>
    </row>
    <row r="40" spans="1:13" x14ac:dyDescent="0.15">
      <c r="J40" s="76" t="s">
        <v>192</v>
      </c>
      <c r="K40" s="76" t="s">
        <v>193</v>
      </c>
    </row>
    <row r="41" spans="1:13" x14ac:dyDescent="0.15">
      <c r="J41" s="76" t="s">
        <v>194</v>
      </c>
      <c r="K41" s="76" t="s">
        <v>195</v>
      </c>
    </row>
    <row r="42" spans="1:13" x14ac:dyDescent="0.15">
      <c r="J42" s="76" t="s">
        <v>196</v>
      </c>
      <c r="K42" s="76" t="s">
        <v>197</v>
      </c>
    </row>
    <row r="43" spans="1:13" x14ac:dyDescent="0.15">
      <c r="J43" s="76" t="s">
        <v>198</v>
      </c>
      <c r="K43" s="76" t="s">
        <v>199</v>
      </c>
    </row>
    <row r="44" spans="1:13" x14ac:dyDescent="0.15">
      <c r="J44" s="76" t="s">
        <v>200</v>
      </c>
      <c r="K44" s="76" t="s">
        <v>201</v>
      </c>
    </row>
    <row r="45" spans="1:13" x14ac:dyDescent="0.15">
      <c r="J45" s="76" t="s">
        <v>203</v>
      </c>
      <c r="K45" s="76" t="s">
        <v>202</v>
      </c>
    </row>
    <row r="46" spans="1:13" x14ac:dyDescent="0.15">
      <c r="J46" s="76" t="s">
        <v>204</v>
      </c>
      <c r="K46" s="76" t="s">
        <v>205</v>
      </c>
    </row>
    <row r="47" spans="1:13" x14ac:dyDescent="0.15">
      <c r="J47" s="76"/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76</v>
      </c>
    </row>
    <row r="2" spans="1:1" x14ac:dyDescent="0.15">
      <c r="A2" t="s">
        <v>77</v>
      </c>
    </row>
    <row r="3" spans="1:1" x14ac:dyDescent="0.15">
      <c r="A3" t="s">
        <v>78</v>
      </c>
    </row>
    <row r="4" spans="1:1" x14ac:dyDescent="0.15">
      <c r="A4" t="s">
        <v>79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I18" sqref="I1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6" t="s">
        <v>49</v>
      </c>
      <c r="B1" s="16" t="s">
        <v>38</v>
      </c>
      <c r="C1" s="16" t="s">
        <v>39</v>
      </c>
      <c r="D1" s="16" t="s">
        <v>40</v>
      </c>
      <c r="E1" s="16" t="s">
        <v>41</v>
      </c>
      <c r="F1" s="16" t="s">
        <v>42</v>
      </c>
      <c r="G1" s="16" t="s">
        <v>43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7" t="s">
        <v>233</v>
      </c>
      <c r="B2" s="58" t="s">
        <v>108</v>
      </c>
      <c r="C2" s="47" t="str">
        <f t="shared" ref="C2:C3" si="0">RIGHT(F2,6)</f>
        <v>386010</v>
      </c>
      <c r="D2" s="19" t="s">
        <v>44</v>
      </c>
      <c r="E2" s="17" t="str">
        <f t="shared" ref="E2" si="1">B2&amp;C2&amp;D2</f>
        <v>gacha_select_tables_386010.tmp</v>
      </c>
      <c r="F2" s="109" t="s">
        <v>235</v>
      </c>
      <c r="G2" s="46" t="s">
        <v>83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107" t="s">
        <v>233</v>
      </c>
      <c r="B3" s="58" t="s">
        <v>108</v>
      </c>
      <c r="C3" s="47" t="str">
        <f t="shared" si="0"/>
        <v>386100</v>
      </c>
      <c r="D3" s="19" t="s">
        <v>44</v>
      </c>
      <c r="E3" s="17" t="str">
        <f t="shared" ref="E3:E4" si="2">B3&amp;C3&amp;D3</f>
        <v>gacha_select_tables_386100.tmp</v>
      </c>
      <c r="F3" s="109" t="s">
        <v>236</v>
      </c>
      <c r="G3" s="46" t="s">
        <v>83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8" t="s">
        <v>234</v>
      </c>
      <c r="B4" s="105" t="s">
        <v>230</v>
      </c>
      <c r="C4" s="105">
        <v>385</v>
      </c>
      <c r="D4" s="19" t="s">
        <v>231</v>
      </c>
      <c r="E4" s="17" t="str">
        <f t="shared" si="2"/>
        <v>gacha_bonus_tables_385.tmp</v>
      </c>
      <c r="F4" s="19" t="s">
        <v>232</v>
      </c>
      <c r="G4" s="106" t="s">
        <v>11</v>
      </c>
      <c r="H4" s="106" t="s">
        <v>13</v>
      </c>
      <c r="I4" s="106" t="s">
        <v>2</v>
      </c>
      <c r="J4" s="20"/>
      <c r="K4" s="20"/>
      <c r="L4" s="20"/>
      <c r="M4" s="20"/>
      <c r="N4" s="20"/>
      <c r="O4" s="20"/>
    </row>
    <row r="5" spans="1:21" x14ac:dyDescent="0.15">
      <c r="A5" s="108" t="s">
        <v>234</v>
      </c>
      <c r="B5" s="19" t="s">
        <v>47</v>
      </c>
      <c r="C5" s="105">
        <v>385</v>
      </c>
      <c r="D5" s="19" t="s">
        <v>45</v>
      </c>
      <c r="E5" s="17" t="str">
        <f t="shared" ref="E5:E6" si="3">B5&amp;C5&amp;D5</f>
        <v>gifts_tmp_385.tmp</v>
      </c>
      <c r="F5" s="19" t="s">
        <v>46</v>
      </c>
      <c r="G5" s="22" t="s">
        <v>21</v>
      </c>
      <c r="H5" s="23" t="s">
        <v>29</v>
      </c>
      <c r="I5" s="22" t="s">
        <v>22</v>
      </c>
      <c r="J5" s="22" t="s">
        <v>23</v>
      </c>
      <c r="K5" s="22" t="s">
        <v>23</v>
      </c>
      <c r="L5" s="22" t="s">
        <v>24</v>
      </c>
      <c r="M5" s="22" t="s">
        <v>24</v>
      </c>
      <c r="N5" s="22" t="s">
        <v>24</v>
      </c>
      <c r="O5" s="48" t="s">
        <v>7</v>
      </c>
      <c r="P5" s="48" t="s">
        <v>9</v>
      </c>
      <c r="Q5" s="48" t="s">
        <v>6</v>
      </c>
      <c r="R5" s="48" t="s">
        <v>84</v>
      </c>
      <c r="S5" s="48" t="s">
        <v>8</v>
      </c>
      <c r="T5" s="48" t="s">
        <v>85</v>
      </c>
      <c r="U5" s="48" t="s">
        <v>5</v>
      </c>
    </row>
    <row r="6" spans="1:21" x14ac:dyDescent="0.15">
      <c r="A6" s="108" t="s">
        <v>234</v>
      </c>
      <c r="B6" s="19" t="s">
        <v>48</v>
      </c>
      <c r="C6" s="105">
        <v>385</v>
      </c>
      <c r="D6" s="19" t="s">
        <v>45</v>
      </c>
      <c r="E6" s="17" t="str">
        <f t="shared" si="3"/>
        <v>gifts_i18n_385.tmp</v>
      </c>
      <c r="F6" s="19" t="s">
        <v>46</v>
      </c>
      <c r="G6" s="22" t="s">
        <v>12</v>
      </c>
      <c r="H6" s="24" t="s">
        <v>25</v>
      </c>
      <c r="I6" s="24" t="s">
        <v>26</v>
      </c>
      <c r="J6" s="24" t="s">
        <v>27</v>
      </c>
      <c r="K6" s="24" t="s">
        <v>28</v>
      </c>
      <c r="L6" s="25"/>
      <c r="M6" s="22"/>
      <c r="N6" s="22"/>
      <c r="O6" s="19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N5" sqref="N5:N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5" t="s">
        <v>80</v>
      </c>
      <c r="B1" s="45"/>
      <c r="L1" s="35" t="s">
        <v>59</v>
      </c>
      <c r="M1" s="35"/>
      <c r="U1" t="s">
        <v>59</v>
      </c>
    </row>
    <row r="2" spans="1:22" x14ac:dyDescent="0.15">
      <c r="A2" t="str">
        <f ca="1">RIGHT(RIGHT(CELL("filename",A2),LEN(CELL("filename",A2))-FIND("]",CELL("filename",A2))),6)</f>
        <v>386010</v>
      </c>
      <c r="L2" s="30" t="s">
        <v>1</v>
      </c>
      <c r="M2" s="34" t="s">
        <v>63</v>
      </c>
      <c r="N2" s="30" t="s">
        <v>61</v>
      </c>
      <c r="O2" s="34" t="s">
        <v>64</v>
      </c>
      <c r="P2" s="34" t="s">
        <v>65</v>
      </c>
      <c r="Q2" s="34" t="s">
        <v>62</v>
      </c>
      <c r="R2" s="41" t="s">
        <v>71</v>
      </c>
      <c r="U2" s="30" t="s">
        <v>164</v>
      </c>
      <c r="V2" s="51">
        <f t="shared" ref="V2:V16" si="0">SUMIF(Q:Q,U2,N:N)</f>
        <v>0</v>
      </c>
    </row>
    <row r="3" spans="1:22" x14ac:dyDescent="0.15">
      <c r="H3" s="66" t="s">
        <v>185</v>
      </c>
      <c r="L3" s="5">
        <v>996</v>
      </c>
      <c r="M3" s="34" t="str">
        <f>VLOOKUP(L3,[1]characters!$A:$C,3,FALSE)</f>
        <v>リヴァイ</v>
      </c>
      <c r="N3" s="60">
        <v>0.01</v>
      </c>
      <c r="O3" s="34">
        <f>VLOOKUP(L3,[1]characters!$A:$I,9,FALSE)</f>
        <v>5</v>
      </c>
      <c r="P3" s="34" t="str">
        <f>VLOOKUP(L3,[1]characters!$A:$J,10,FALSE)</f>
        <v>PremiumSS</v>
      </c>
      <c r="Q3" s="34" t="str">
        <f>VLOOKUP(L3,tables_386010!B:C,2,FALSE)</f>
        <v>PremiumSS5R5only</v>
      </c>
      <c r="R3" s="59">
        <f t="shared" ref="R3:R20" si="1">N3*A$36</f>
        <v>234780</v>
      </c>
      <c r="S3">
        <v>190</v>
      </c>
      <c r="U3" s="30" t="s">
        <v>165</v>
      </c>
      <c r="V3" s="51">
        <f t="shared" si="0"/>
        <v>0</v>
      </c>
    </row>
    <row r="4" spans="1:22" x14ac:dyDescent="0.15">
      <c r="A4" s="31" t="s">
        <v>51</v>
      </c>
      <c r="B4" s="31"/>
      <c r="D4" t="s">
        <v>174</v>
      </c>
      <c r="F4" t="s">
        <v>177</v>
      </c>
      <c r="H4" t="s">
        <v>183</v>
      </c>
      <c r="I4" t="s">
        <v>184</v>
      </c>
      <c r="L4" s="5">
        <v>988</v>
      </c>
      <c r="M4" s="34" t="str">
        <f>VLOOKUP(L4,[1]characters!$A:$C,3,FALSE)</f>
        <v>ミカサ</v>
      </c>
      <c r="N4" s="60">
        <v>0.01</v>
      </c>
      <c r="O4" s="34">
        <f>VLOOKUP(L4,[1]characters!$A:$I,9,FALSE)</f>
        <v>5</v>
      </c>
      <c r="P4" s="34" t="str">
        <f>VLOOKUP(L4,[1]characters!$A:$J,10,FALSE)</f>
        <v>PremiumSS</v>
      </c>
      <c r="Q4" s="34" t="str">
        <f>VLOOKUP(L4,tables_386010!B:C,2,FALSE)</f>
        <v>PremiumSS5R5only</v>
      </c>
      <c r="R4" s="59">
        <f t="shared" si="1"/>
        <v>234780</v>
      </c>
      <c r="S4">
        <v>191</v>
      </c>
      <c r="U4" s="30" t="s">
        <v>95</v>
      </c>
      <c r="V4" s="51">
        <f t="shared" si="0"/>
        <v>0</v>
      </c>
    </row>
    <row r="5" spans="1:22" x14ac:dyDescent="0.15">
      <c r="A5" s="30" t="s">
        <v>66</v>
      </c>
      <c r="B5" s="65">
        <v>0.5</v>
      </c>
      <c r="D5" t="s">
        <v>175</v>
      </c>
      <c r="E5" s="40">
        <f>(B11-H5)/(F5-I5)</f>
        <v>7.1428571428571439E-4</v>
      </c>
      <c r="F5">
        <f>(COUNTIF(tables_386010!C:C,input_386010!A28)+COUNTIF(tables_386010!C:C,input_386010!A29))</f>
        <v>44</v>
      </c>
      <c r="H5" s="77">
        <v>0.02</v>
      </c>
      <c r="I5" s="29">
        <v>2</v>
      </c>
      <c r="L5" s="5">
        <v>994</v>
      </c>
      <c r="M5" s="34" t="str">
        <f>VLOOKUP(L5,[1]characters!$A:$C,3,FALSE)</f>
        <v>アルミン</v>
      </c>
      <c r="N5" s="60">
        <v>0.09</v>
      </c>
      <c r="O5" s="34">
        <f>VLOOKUP(L5,[1]characters!$A:$I,9,FALSE)</f>
        <v>4</v>
      </c>
      <c r="P5" s="34" t="str">
        <f>VLOOKUP(L5,[1]characters!$A:$J,10,FALSE)</f>
        <v>PremiumS</v>
      </c>
      <c r="Q5" s="34" t="str">
        <f>VLOOKUP(L5,tables_386010!B:C,2,FALSE)</f>
        <v>Premium4R3less</v>
      </c>
      <c r="R5" s="59">
        <f t="shared" si="1"/>
        <v>2113020</v>
      </c>
      <c r="S5">
        <v>192</v>
      </c>
      <c r="U5" s="30" t="s">
        <v>96</v>
      </c>
      <c r="V5" s="51">
        <f t="shared" si="0"/>
        <v>0</v>
      </c>
    </row>
    <row r="6" spans="1:22" x14ac:dyDescent="0.15">
      <c r="A6" s="30" t="s">
        <v>67</v>
      </c>
      <c r="B6" s="65">
        <v>0.45</v>
      </c>
      <c r="D6" t="s">
        <v>176</v>
      </c>
      <c r="E6" s="69">
        <f>(B10-H6)/(F6-I6)</f>
        <v>6.3953488372093014E-3</v>
      </c>
      <c r="F6">
        <f>(COUNTIF(tables_386010!C:C,input_386010!A25)+COUNTIF(tables_386010!C:C,input_386010!A18)+COUNTIF(tables_386010!C:C,input_386010!A20)+COUNTIF(tables_386010!C:C,input_386010!A22))</f>
        <v>89</v>
      </c>
      <c r="H6" s="79">
        <v>0.4</v>
      </c>
      <c r="I6" s="29">
        <v>3</v>
      </c>
      <c r="L6" s="5">
        <v>995</v>
      </c>
      <c r="M6" s="34" t="str">
        <f>VLOOKUP(L6,[1]characters!$A:$C,3,FALSE)</f>
        <v>疾駆する閃略 アルミン</v>
      </c>
      <c r="N6" s="60">
        <v>0.01</v>
      </c>
      <c r="O6" s="34">
        <f>VLOOKUP(L6,[1]characters!$A:$I,9,FALSE)</f>
        <v>5</v>
      </c>
      <c r="P6" s="34" t="str">
        <f>VLOOKUP(L6,[1]characters!$A:$J,10,FALSE)</f>
        <v>PremiumS</v>
      </c>
      <c r="Q6" s="34" t="str">
        <f>VLOOKUP(L6,tables_386010!B:C,2,FALSE)</f>
        <v>Premium5R3less</v>
      </c>
      <c r="R6" s="59">
        <f t="shared" si="1"/>
        <v>234780</v>
      </c>
      <c r="S6">
        <v>596</v>
      </c>
      <c r="U6" s="30" t="s">
        <v>97</v>
      </c>
      <c r="V6" s="51">
        <f t="shared" si="0"/>
        <v>0</v>
      </c>
    </row>
    <row r="7" spans="1:22" x14ac:dyDescent="0.15">
      <c r="A7" s="30" t="s">
        <v>68</v>
      </c>
      <c r="B7" s="65">
        <v>0.05</v>
      </c>
      <c r="L7" s="5">
        <v>1000</v>
      </c>
      <c r="M7" s="34" t="str">
        <f>VLOOKUP(L7,[1]characters!$A:$C,3,FALSE)</f>
        <v>クリスタ</v>
      </c>
      <c r="N7" s="60">
        <v>0.13500000000000001</v>
      </c>
      <c r="O7" s="34">
        <f>VLOOKUP(L7,[1]characters!$A:$I,9,FALSE)</f>
        <v>4</v>
      </c>
      <c r="P7" s="34" t="str">
        <f>VLOOKUP(L7,[1]characters!$A:$J,10,FALSE)</f>
        <v>PremiumS</v>
      </c>
      <c r="Q7" s="34" t="str">
        <f>VLOOKUP(L7,tables_386010!B:C,2,FALSE)</f>
        <v>Premium4R3less</v>
      </c>
      <c r="R7" s="59">
        <f t="shared" si="1"/>
        <v>3169530</v>
      </c>
      <c r="S7">
        <v>597</v>
      </c>
      <c r="U7" s="30" t="s">
        <v>170</v>
      </c>
      <c r="V7" s="51">
        <f t="shared" si="0"/>
        <v>0.36</v>
      </c>
    </row>
    <row r="8" spans="1:22" x14ac:dyDescent="0.15">
      <c r="A8" s="54"/>
      <c r="B8" s="64"/>
      <c r="E8" s="69"/>
      <c r="L8" s="5">
        <v>1001</v>
      </c>
      <c r="M8" s="34" t="str">
        <f>VLOOKUP(L8,[1]characters!$A:$C,3,FALSE)</f>
        <v>細愛の女神 クリスタ</v>
      </c>
      <c r="N8" s="60">
        <v>1.4999999999999999E-2</v>
      </c>
      <c r="O8" s="34">
        <f>VLOOKUP(L8,[1]characters!$A:$I,9,FALSE)</f>
        <v>5</v>
      </c>
      <c r="P8" s="34" t="str">
        <f>VLOOKUP(L8,[1]characters!$A:$J,10,FALSE)</f>
        <v>PremiumS</v>
      </c>
      <c r="Q8" s="34" t="str">
        <f>VLOOKUP(L8,tables_386010!B:C,2,FALSE)</f>
        <v>Premium5R3less</v>
      </c>
      <c r="R8" s="59">
        <f t="shared" si="1"/>
        <v>352170</v>
      </c>
      <c r="S8">
        <v>598</v>
      </c>
      <c r="U8" s="30" t="s">
        <v>171</v>
      </c>
      <c r="V8" s="51">
        <f t="shared" si="0"/>
        <v>0.04</v>
      </c>
    </row>
    <row r="9" spans="1:22" x14ac:dyDescent="0.15">
      <c r="A9" s="32" t="s">
        <v>52</v>
      </c>
      <c r="B9" s="32"/>
      <c r="L9" s="5">
        <v>990</v>
      </c>
      <c r="M9" s="34" t="str">
        <f>VLOOKUP(L9,[1]characters!$A:$C,3,FALSE)</f>
        <v>エルヴィン</v>
      </c>
      <c r="N9" s="60">
        <v>0.13500000000000001</v>
      </c>
      <c r="O9" s="34">
        <f>VLOOKUP(L9,[1]characters!$A:$I,9,FALSE)</f>
        <v>4</v>
      </c>
      <c r="P9" s="34" t="str">
        <f>VLOOKUP(L9,[1]characters!$A:$J,10,FALSE)</f>
        <v>PremiumS</v>
      </c>
      <c r="Q9" s="34" t="str">
        <f>VLOOKUP(L9,tables_386010!B:C,2,FALSE)</f>
        <v>Premium4R3less</v>
      </c>
      <c r="R9" s="59">
        <f t="shared" si="1"/>
        <v>3169530</v>
      </c>
      <c r="S9">
        <v>390</v>
      </c>
      <c r="U9" s="30" t="s">
        <v>167</v>
      </c>
      <c r="V9" s="51">
        <f t="shared" si="0"/>
        <v>0</v>
      </c>
    </row>
    <row r="10" spans="1:22" x14ac:dyDescent="0.15">
      <c r="A10" s="30" t="s">
        <v>94</v>
      </c>
      <c r="B10" s="65">
        <f>1-B11-B12</f>
        <v>0.95</v>
      </c>
      <c r="C10" t="s">
        <v>182</v>
      </c>
      <c r="L10" s="5">
        <v>991</v>
      </c>
      <c r="M10" s="34" t="str">
        <f>VLOOKUP(L10,[1]characters!$A:$C,3,FALSE)</f>
        <v>反撃の核心 エルヴィン</v>
      </c>
      <c r="N10" s="60">
        <v>1.4999999999999999E-2</v>
      </c>
      <c r="O10" s="34">
        <f>VLOOKUP(L10,[1]characters!$A:$I,9,FALSE)</f>
        <v>5</v>
      </c>
      <c r="P10" s="34" t="str">
        <f>VLOOKUP(L10,[1]characters!$A:$J,10,FALSE)</f>
        <v>PremiumS</v>
      </c>
      <c r="Q10" s="34" t="str">
        <f>VLOOKUP(L10,tables_386010!B:C,2,FALSE)</f>
        <v>Premium5R3less</v>
      </c>
      <c r="R10" s="59">
        <f t="shared" si="1"/>
        <v>352170</v>
      </c>
      <c r="S10">
        <v>391</v>
      </c>
      <c r="U10" s="30" t="s">
        <v>168</v>
      </c>
      <c r="V10" s="51">
        <f t="shared" si="0"/>
        <v>0</v>
      </c>
    </row>
    <row r="11" spans="1:22" x14ac:dyDescent="0.15">
      <c r="A11" s="30" t="s">
        <v>54</v>
      </c>
      <c r="B11" s="70">
        <v>0.05</v>
      </c>
      <c r="M11" s="34" t="e">
        <f>VLOOKUP(L11,[1]characters!$A:$C,3,FALSE)</f>
        <v>#N/A</v>
      </c>
      <c r="N11" s="60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VLOOKUP(L11,tables_386010!B:C,2,FALSE)</f>
        <v>#N/A</v>
      </c>
      <c r="R11" s="59">
        <f t="shared" si="1"/>
        <v>0</v>
      </c>
      <c r="S11">
        <v>811</v>
      </c>
      <c r="U11" s="30" t="s">
        <v>169</v>
      </c>
      <c r="V11" s="51">
        <f t="shared" si="0"/>
        <v>0</v>
      </c>
    </row>
    <row r="12" spans="1:22" x14ac:dyDescent="0.15">
      <c r="A12" s="30" t="s">
        <v>53</v>
      </c>
      <c r="B12" s="65">
        <v>0</v>
      </c>
      <c r="M12" s="34" t="e">
        <f>VLOOKUP(L12,[1]characters!$A:$C,3,FALSE)</f>
        <v>#N/A</v>
      </c>
      <c r="N12" s="60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VLOOKUP(L12,tables_386010!B:C,2,FALSE)</f>
        <v>#N/A</v>
      </c>
      <c r="R12" s="59">
        <f t="shared" si="1"/>
        <v>0</v>
      </c>
      <c r="S12">
        <v>496</v>
      </c>
      <c r="U12" s="30" t="s">
        <v>104</v>
      </c>
      <c r="V12" s="51">
        <f t="shared" si="0"/>
        <v>0</v>
      </c>
    </row>
    <row r="13" spans="1:22" x14ac:dyDescent="0.15">
      <c r="M13" s="34" t="e">
        <f>VLOOKUP(L13,[1]characters!$A:$C,3,FALSE)</f>
        <v>#N/A</v>
      </c>
      <c r="N13" s="60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VLOOKUP(L13,tables_386010!B:C,2,FALSE)</f>
        <v>#N/A</v>
      </c>
      <c r="R13" s="59">
        <f t="shared" si="1"/>
        <v>0</v>
      </c>
      <c r="S13">
        <v>497</v>
      </c>
      <c r="U13" s="30" t="s">
        <v>105</v>
      </c>
      <c r="V13" s="51">
        <f t="shared" si="0"/>
        <v>0</v>
      </c>
    </row>
    <row r="14" spans="1:22" x14ac:dyDescent="0.15">
      <c r="M14" s="34" t="e">
        <f>VLOOKUP(L14,[1]characters!$A:$C,3,FALSE)</f>
        <v>#N/A</v>
      </c>
      <c r="N14" s="60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VLOOKUP(L14,tables_386010!B:C,2,FALSE)</f>
        <v>#N/A</v>
      </c>
      <c r="R14" s="59">
        <f t="shared" si="1"/>
        <v>0</v>
      </c>
      <c r="S14">
        <v>498</v>
      </c>
      <c r="U14" s="30" t="s">
        <v>173</v>
      </c>
      <c r="V14" s="51">
        <f t="shared" si="0"/>
        <v>0.02</v>
      </c>
    </row>
    <row r="15" spans="1:22" x14ac:dyDescent="0.15">
      <c r="A15" s="33" t="s">
        <v>55</v>
      </c>
      <c r="B15" s="33"/>
      <c r="C15" t="s">
        <v>81</v>
      </c>
      <c r="M15" s="34" t="e">
        <f>VLOOKUP(L15,[1]characters!$A:$C,3,FALSE)</f>
        <v>#N/A</v>
      </c>
      <c r="N15" s="60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VLOOKUP(L15,tables_386010!B:C,2,FALSE)</f>
        <v>#N/A</v>
      </c>
      <c r="R15" s="59">
        <f t="shared" si="1"/>
        <v>0</v>
      </c>
      <c r="S15">
        <v>395</v>
      </c>
      <c r="U15" s="30" t="s">
        <v>107</v>
      </c>
      <c r="V15" s="51">
        <f t="shared" si="0"/>
        <v>0</v>
      </c>
    </row>
    <row r="16" spans="1:22" x14ac:dyDescent="0.15">
      <c r="A16" s="30" t="s">
        <v>58</v>
      </c>
      <c r="B16" s="30" t="s">
        <v>166</v>
      </c>
      <c r="C16" s="34" t="s">
        <v>59</v>
      </c>
      <c r="D16" s="34" t="s">
        <v>60</v>
      </c>
      <c r="E16" t="s">
        <v>70</v>
      </c>
      <c r="F16" t="s">
        <v>69</v>
      </c>
      <c r="G16" t="s">
        <v>72</v>
      </c>
      <c r="H16" t="s">
        <v>186</v>
      </c>
      <c r="I16" t="s">
        <v>73</v>
      </c>
      <c r="J16" t="s">
        <v>75</v>
      </c>
      <c r="M16" s="34" t="e">
        <f>VLOOKUP(L16,[1]characters!$A:$C,3,FALSE)</f>
        <v>#N/A</v>
      </c>
      <c r="N16" s="60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VLOOKUP(L16,tables_386010!B:C,2,FALSE)</f>
        <v>#N/A</v>
      </c>
      <c r="R16" s="59">
        <f t="shared" si="1"/>
        <v>0</v>
      </c>
      <c r="S16">
        <v>396</v>
      </c>
      <c r="U16" s="30" t="s">
        <v>106</v>
      </c>
      <c r="V16" s="51">
        <f t="shared" si="0"/>
        <v>0</v>
      </c>
    </row>
    <row r="17" spans="1:19" x14ac:dyDescent="0.15">
      <c r="A17" s="30" t="s">
        <v>164</v>
      </c>
      <c r="B17" s="75">
        <f>E17*E$6*B5</f>
        <v>6.3953488372093012E-2</v>
      </c>
      <c r="C17" s="78">
        <f t="shared" ref="C17:C31" si="2">SUMIF(Q:Q,A17,N:N)</f>
        <v>0</v>
      </c>
      <c r="D17" s="67">
        <f t="shared" ref="D17:D32" si="3">B17-C17</f>
        <v>6.3953488372093012E-2</v>
      </c>
      <c r="E17">
        <f>COUNTIF(tables_386010!C:C,input_386010!A17)-COUNTIF(Q:Q,A17)</f>
        <v>20</v>
      </c>
      <c r="F17" s="40">
        <f>IFERROR(B17/E17,0)</f>
        <v>3.1976744186046507E-3</v>
      </c>
      <c r="G17">
        <f t="shared" ref="G17:G31" si="4">A$36*B17</f>
        <v>1501499.9999999998</v>
      </c>
      <c r="H17">
        <f t="shared" ref="H17:H31" si="5">IFERROR(ROUND(G17/E17,5),0)</f>
        <v>75075</v>
      </c>
      <c r="I17">
        <f t="shared" ref="I17:I31" si="6">MOD(H17,1)</f>
        <v>0</v>
      </c>
      <c r="J17">
        <f t="shared" ref="J17:J31" si="7">IFERROR(1/I17,1)</f>
        <v>1</v>
      </c>
      <c r="M17" s="34" t="e">
        <f>VLOOKUP(L17,[1]characters!$A:$C,3,FALSE)</f>
        <v>#N/A</v>
      </c>
      <c r="N17" s="60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VLOOKUP(L17,tables_386010!B:C,2,FALSE)</f>
        <v>#N/A</v>
      </c>
      <c r="R17" s="59">
        <f t="shared" si="1"/>
        <v>0</v>
      </c>
      <c r="S17">
        <v>397</v>
      </c>
    </row>
    <row r="18" spans="1:19" x14ac:dyDescent="0.15">
      <c r="A18" s="30" t="s">
        <v>165</v>
      </c>
      <c r="B18" s="53">
        <f>E$6*E18-B17</f>
        <v>6.3953488372093012E-2</v>
      </c>
      <c r="C18" s="78">
        <f t="shared" si="2"/>
        <v>0</v>
      </c>
      <c r="D18" s="67">
        <f t="shared" si="3"/>
        <v>6.3953488372093012E-2</v>
      </c>
      <c r="E18">
        <f>COUNTIF(tables_386010!C:C,input_386010!A18)-COUNTIF(Q:Q,A18)</f>
        <v>20</v>
      </c>
      <c r="F18" s="40">
        <f>IFERROR(B18/E18,0)</f>
        <v>3.1976744186046507E-3</v>
      </c>
      <c r="G18">
        <f t="shared" si="4"/>
        <v>1501499.9999999998</v>
      </c>
      <c r="H18">
        <f t="shared" si="5"/>
        <v>75075</v>
      </c>
      <c r="I18">
        <f t="shared" si="6"/>
        <v>0</v>
      </c>
      <c r="J18">
        <f t="shared" si="7"/>
        <v>1</v>
      </c>
      <c r="M18" s="34" t="e">
        <f>VLOOKUP(L18,[1]characters!$A:$C,3,FALSE)</f>
        <v>#N/A</v>
      </c>
      <c r="N18" s="60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VLOOKUP(L18,tables_386010!B:C,2,FALSE)</f>
        <v>#N/A</v>
      </c>
      <c r="R18" s="59">
        <f t="shared" si="1"/>
        <v>0</v>
      </c>
      <c r="S18">
        <v>324</v>
      </c>
    </row>
    <row r="19" spans="1:19" x14ac:dyDescent="0.15">
      <c r="A19" s="30" t="s">
        <v>95</v>
      </c>
      <c r="B19" s="53">
        <f>E$6*E19*B$5</f>
        <v>0.16627906976744183</v>
      </c>
      <c r="C19" s="78">
        <f t="shared" si="2"/>
        <v>0</v>
      </c>
      <c r="D19" s="67">
        <f t="shared" si="3"/>
        <v>0.16627906976744183</v>
      </c>
      <c r="E19">
        <f>COUNTIF(tables_386010!C:C,input_386010!A19)-COUNTIF(Q:Q,A19)</f>
        <v>52</v>
      </c>
      <c r="F19" s="40">
        <f t="shared" ref="F19:F31" si="8">IFERROR(B19/E19,0)</f>
        <v>3.1976744186046507E-3</v>
      </c>
      <c r="G19">
        <f t="shared" si="4"/>
        <v>3903899.9999999995</v>
      </c>
      <c r="H19">
        <f t="shared" si="5"/>
        <v>75075</v>
      </c>
      <c r="I19">
        <f t="shared" si="6"/>
        <v>0</v>
      </c>
      <c r="J19">
        <f t="shared" si="7"/>
        <v>1</v>
      </c>
      <c r="M19" s="34" t="e">
        <f>VLOOKUP(L19,[1]characters!$A:$C,3,FALSE)</f>
        <v>#N/A</v>
      </c>
      <c r="N19" s="60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VLOOKUP(L19,tables_386010!B:C,2,FALSE)</f>
        <v>#N/A</v>
      </c>
      <c r="R19" s="59">
        <f t="shared" si="1"/>
        <v>0</v>
      </c>
      <c r="S19">
        <v>325</v>
      </c>
    </row>
    <row r="20" spans="1:19" x14ac:dyDescent="0.15">
      <c r="A20" s="30" t="s">
        <v>96</v>
      </c>
      <c r="B20" s="75">
        <f>E20*E6-B21-B19</f>
        <v>0.13175581395348834</v>
      </c>
      <c r="C20" s="78">
        <f t="shared" si="2"/>
        <v>0</v>
      </c>
      <c r="D20" s="67">
        <f t="shared" si="3"/>
        <v>0.13175581395348834</v>
      </c>
      <c r="E20">
        <f>COUNTIF(tables_386010!C:C,input_386010!A20)-COUNTIF(Q:Q,A20)</f>
        <v>52</v>
      </c>
      <c r="F20" s="40">
        <f t="shared" si="8"/>
        <v>2.5337656529516991E-3</v>
      </c>
      <c r="G20">
        <f t="shared" si="4"/>
        <v>3093362.9999999995</v>
      </c>
      <c r="H20">
        <f t="shared" si="5"/>
        <v>59487.75</v>
      </c>
      <c r="I20">
        <f t="shared" si="6"/>
        <v>0.75</v>
      </c>
      <c r="J20">
        <f t="shared" si="7"/>
        <v>1.3333333333333333</v>
      </c>
      <c r="M20" s="34" t="e">
        <f>VLOOKUP(L20,[1]characters!$A:$C,3,FALSE)</f>
        <v>#N/A</v>
      </c>
      <c r="N20" s="60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VLOOKUP(L20,tables_386010!B:C,2,FALSE)</f>
        <v>#N/A</v>
      </c>
      <c r="R20" s="59">
        <f t="shared" si="1"/>
        <v>0</v>
      </c>
      <c r="S20">
        <v>809</v>
      </c>
    </row>
    <row r="21" spans="1:19" x14ac:dyDescent="0.15">
      <c r="A21" s="30" t="s">
        <v>97</v>
      </c>
      <c r="B21" s="53">
        <f>B7-B23-B26-B28-B29</f>
        <v>3.4523255813953491E-2</v>
      </c>
      <c r="C21" s="78">
        <f t="shared" si="2"/>
        <v>0</v>
      </c>
      <c r="D21" s="67">
        <f t="shared" si="3"/>
        <v>3.4523255813953491E-2</v>
      </c>
      <c r="E21">
        <f>COUNTIF(tables_386010!C:C,input_386010!A21)-COUNTIF(Q:Q,A21)</f>
        <v>52</v>
      </c>
      <c r="F21" s="40">
        <f t="shared" si="8"/>
        <v>6.6390876565295179E-4</v>
      </c>
      <c r="G21">
        <f t="shared" si="4"/>
        <v>810537</v>
      </c>
      <c r="H21">
        <f t="shared" si="5"/>
        <v>15587.25</v>
      </c>
      <c r="I21">
        <f t="shared" si="6"/>
        <v>0.25</v>
      </c>
      <c r="J21">
        <f t="shared" si="7"/>
        <v>4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0" t="s">
        <v>170</v>
      </c>
      <c r="B22" s="68">
        <f>E$6*E22*(B6+B5)</f>
        <v>6.0755813953488357E-2</v>
      </c>
      <c r="C22" s="78">
        <f t="shared" si="2"/>
        <v>0.36</v>
      </c>
      <c r="D22" s="67">
        <f t="shared" si="3"/>
        <v>-0.29924418604651165</v>
      </c>
      <c r="E22">
        <f>COUNTIF(tables_386010!C:C,input_386010!A22)-COUNTIF(Q:Q,A22)</f>
        <v>10</v>
      </c>
      <c r="F22" s="40">
        <f t="shared" si="8"/>
        <v>6.0755813953488353E-3</v>
      </c>
      <c r="G22">
        <f t="shared" si="4"/>
        <v>1426424.9999999995</v>
      </c>
      <c r="H22">
        <f t="shared" si="5"/>
        <v>142642.5</v>
      </c>
      <c r="I22">
        <f t="shared" si="6"/>
        <v>0.5</v>
      </c>
      <c r="J22">
        <f t="shared" si="7"/>
        <v>2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0" t="s">
        <v>171</v>
      </c>
      <c r="B23" s="63">
        <f>E23*E6*B7</f>
        <v>3.1976744186046507E-3</v>
      </c>
      <c r="C23" s="78">
        <f t="shared" si="2"/>
        <v>0.04</v>
      </c>
      <c r="D23" s="67">
        <f t="shared" si="3"/>
        <v>-3.6802325581395352E-2</v>
      </c>
      <c r="E23">
        <f>COUNTIF(tables_386010!C:C,input_386010!A23)-COUNTIF(Q:Q,A23)</f>
        <v>10</v>
      </c>
      <c r="F23" s="40">
        <f t="shared" si="8"/>
        <v>3.1976744186046509E-4</v>
      </c>
      <c r="G23">
        <f t="shared" si="4"/>
        <v>75074.999999999985</v>
      </c>
      <c r="H23">
        <f t="shared" si="5"/>
        <v>7507.5</v>
      </c>
      <c r="I23">
        <f t="shared" si="6"/>
        <v>0.5</v>
      </c>
      <c r="J23">
        <f t="shared" si="7"/>
        <v>2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0" t="s">
        <v>167</v>
      </c>
      <c r="B24" s="53">
        <f>E$6*E24*B$5</f>
        <v>1.2790697674418603E-2</v>
      </c>
      <c r="C24" s="78">
        <f t="shared" si="2"/>
        <v>0</v>
      </c>
      <c r="D24" s="67">
        <f t="shared" si="3"/>
        <v>1.2790697674418603E-2</v>
      </c>
      <c r="E24">
        <f>COUNTIF(tables_386010!C:C,input_386010!A24)-COUNTIF(Q:Q,A24)</f>
        <v>4</v>
      </c>
      <c r="F24" s="40">
        <f t="shared" si="8"/>
        <v>3.1976744186046507E-3</v>
      </c>
      <c r="G24">
        <f t="shared" si="4"/>
        <v>300299.99999999994</v>
      </c>
      <c r="H24">
        <f t="shared" si="5"/>
        <v>75075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0" t="s">
        <v>168</v>
      </c>
      <c r="B25" s="53">
        <f>E$6*B$6*E25</f>
        <v>1.1511627906976742E-2</v>
      </c>
      <c r="C25" s="78">
        <f t="shared" si="2"/>
        <v>0</v>
      </c>
      <c r="D25" s="67">
        <f t="shared" si="3"/>
        <v>1.1511627906976742E-2</v>
      </c>
      <c r="E25">
        <f>COUNTIF(tables_386010!C:C,input_386010!A25)-COUNTIF(Q:Q,A25)</f>
        <v>4</v>
      </c>
      <c r="F25" s="40">
        <f t="shared" si="8"/>
        <v>2.8779069767441855E-3</v>
      </c>
      <c r="G25">
        <f t="shared" si="4"/>
        <v>270269.99999999994</v>
      </c>
      <c r="H25">
        <f t="shared" si="5"/>
        <v>67567.5</v>
      </c>
      <c r="I25">
        <f t="shared" si="6"/>
        <v>0.5</v>
      </c>
      <c r="J25">
        <f t="shared" si="7"/>
        <v>2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0" t="s">
        <v>169</v>
      </c>
      <c r="B26" s="53">
        <f>E$6*B$7*E26</f>
        <v>1.2790697674418604E-3</v>
      </c>
      <c r="C26" s="78">
        <f t="shared" si="2"/>
        <v>0</v>
      </c>
      <c r="D26" s="67">
        <f t="shared" si="3"/>
        <v>1.2790697674418604E-3</v>
      </c>
      <c r="E26">
        <f>COUNTIF(tables_386010!C:C,input_386010!A26)-COUNTIF(Q:Q,A26)</f>
        <v>4</v>
      </c>
      <c r="F26" s="40">
        <f t="shared" si="8"/>
        <v>3.1976744186046509E-4</v>
      </c>
      <c r="G26">
        <f t="shared" si="4"/>
        <v>30029.999999999996</v>
      </c>
      <c r="H26">
        <f t="shared" si="5"/>
        <v>7507.5</v>
      </c>
      <c r="I26">
        <f t="shared" si="6"/>
        <v>0.5</v>
      </c>
      <c r="J26">
        <f t="shared" si="7"/>
        <v>2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0" t="s">
        <v>104</v>
      </c>
      <c r="B27" s="53">
        <f>E$5*E27*(B$5+B$6)</f>
        <v>1.9000000000000003E-2</v>
      </c>
      <c r="C27" s="78">
        <f t="shared" si="2"/>
        <v>0</v>
      </c>
      <c r="D27" s="67">
        <f t="shared" si="3"/>
        <v>1.9000000000000003E-2</v>
      </c>
      <c r="E27">
        <f>COUNTIF(tables_386010!C:C,input_386010!A27)-COUNTIF(Q:Q,A27)</f>
        <v>28</v>
      </c>
      <c r="F27" s="40">
        <f>IFERROR(B27/E27,0)</f>
        <v>6.7857142857142866E-4</v>
      </c>
      <c r="G27">
        <f t="shared" si="4"/>
        <v>446082.00000000006</v>
      </c>
      <c r="H27">
        <f t="shared" si="5"/>
        <v>15931.5</v>
      </c>
      <c r="I27">
        <f t="shared" si="6"/>
        <v>0.5</v>
      </c>
      <c r="J27">
        <f t="shared" si="7"/>
        <v>2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0" t="s">
        <v>105</v>
      </c>
      <c r="B28" s="53">
        <f>E$5*E28*B$7</f>
        <v>1.0000000000000002E-3</v>
      </c>
      <c r="C28" s="78">
        <f t="shared" si="2"/>
        <v>0</v>
      </c>
      <c r="D28" s="67">
        <f t="shared" si="3"/>
        <v>1.0000000000000002E-3</v>
      </c>
      <c r="E28">
        <f>COUNTIF(tables_386010!C:C,input_386010!A28)-COUNTIF(Q:Q,A28)</f>
        <v>28</v>
      </c>
      <c r="F28" s="40">
        <f t="shared" si="8"/>
        <v>3.5714285714285724E-5</v>
      </c>
      <c r="G28">
        <f t="shared" si="4"/>
        <v>23478.000000000007</v>
      </c>
      <c r="H28">
        <f t="shared" si="5"/>
        <v>838.5</v>
      </c>
      <c r="I28">
        <f t="shared" si="6"/>
        <v>0.5</v>
      </c>
      <c r="J28">
        <f t="shared" si="7"/>
        <v>2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0" t="s">
        <v>173</v>
      </c>
      <c r="B29" s="53">
        <f>E$5*E29</f>
        <v>1.0000000000000002E-2</v>
      </c>
      <c r="C29" s="78">
        <f t="shared" si="2"/>
        <v>0.02</v>
      </c>
      <c r="D29" s="67">
        <f t="shared" si="3"/>
        <v>-9.9999999999999985E-3</v>
      </c>
      <c r="E29">
        <f>COUNTIF(tables_386010!C:C,input_386010!A29)-COUNTIF(Q:Q,A29)</f>
        <v>14</v>
      </c>
      <c r="F29" s="40">
        <f t="shared" si="8"/>
        <v>7.1428571428571439E-4</v>
      </c>
      <c r="G29">
        <f t="shared" si="4"/>
        <v>234780.00000000006</v>
      </c>
      <c r="H29">
        <f t="shared" si="5"/>
        <v>16770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0" t="s">
        <v>206</v>
      </c>
      <c r="B30" s="53">
        <v>0</v>
      </c>
      <c r="C30" s="78">
        <f t="shared" si="2"/>
        <v>0</v>
      </c>
      <c r="D30" s="67">
        <f t="shared" si="3"/>
        <v>0</v>
      </c>
      <c r="E30">
        <f>COUNTIF(tables_386010!C:C,input_386010!A30)-COUNTIF(Q:Q,A30)</f>
        <v>0</v>
      </c>
      <c r="F30" s="40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0" t="s">
        <v>207</v>
      </c>
      <c r="B31" s="53">
        <v>0</v>
      </c>
      <c r="C31" s="78">
        <f t="shared" si="2"/>
        <v>0</v>
      </c>
      <c r="D31" s="67">
        <f t="shared" si="3"/>
        <v>0</v>
      </c>
      <c r="E31">
        <f>COUNTIF(tables_386010!C:C,input_386010!A31)-COUNTIF(Q:Q,A31)</f>
        <v>0</v>
      </c>
      <c r="F31" s="40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6" t="s">
        <v>57</v>
      </c>
      <c r="B32" s="37">
        <f>SUM(B17:B31)</f>
        <v>0.57999999999999996</v>
      </c>
      <c r="C32" s="38">
        <f>SUM(C19:C31)</f>
        <v>0.42</v>
      </c>
      <c r="D32" s="39">
        <f t="shared" si="3"/>
        <v>0.15999999999999998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71</v>
      </c>
    </row>
    <row r="36" spans="1:7" x14ac:dyDescent="0.15">
      <c r="A36" s="29">
        <f>LCM(F5-I5,F6-I6)*520*5*5</f>
        <v>23478000</v>
      </c>
    </row>
    <row r="38" spans="1:7" x14ac:dyDescent="0.15">
      <c r="A38" s="44" t="s">
        <v>74</v>
      </c>
    </row>
    <row r="39" spans="1:7" x14ac:dyDescent="0.15">
      <c r="A39" s="30" t="s">
        <v>58</v>
      </c>
      <c r="B39" t="s">
        <v>72</v>
      </c>
      <c r="C39" t="s">
        <v>98</v>
      </c>
      <c r="E39" t="s">
        <v>99</v>
      </c>
      <c r="F39" t="s">
        <v>2</v>
      </c>
      <c r="G39" t="s">
        <v>61</v>
      </c>
    </row>
    <row r="40" spans="1:7" x14ac:dyDescent="0.15">
      <c r="A40" s="30" t="s">
        <v>101</v>
      </c>
      <c r="B40">
        <f ca="1">SUMIF(tables_386010!C:C,input_386010!A40,tables_386010!O:O)</f>
        <v>3903900</v>
      </c>
      <c r="C40" s="51">
        <f t="shared" ref="C40:C46" ca="1" si="9">B40/B$47</f>
        <v>0.47163588390501321</v>
      </c>
      <c r="E40">
        <v>3</v>
      </c>
      <c r="F40">
        <f ca="1">SUMIF(tables_386010!J:J,input_386010!E40,tables_386010!O:O)</f>
        <v>5705700</v>
      </c>
      <c r="G40">
        <f ca="1">F40/A36</f>
        <v>0.24302325581395348</v>
      </c>
    </row>
    <row r="41" spans="1:7" x14ac:dyDescent="0.15">
      <c r="A41" s="30" t="s">
        <v>102</v>
      </c>
      <c r="B41">
        <f ca="1">SUMIF(tables_386010!C:C,input_386010!A41,tables_386010!O:O)</f>
        <v>3093363</v>
      </c>
      <c r="C41" s="51">
        <f t="shared" ca="1" si="9"/>
        <v>0.3737137203166227</v>
      </c>
      <c r="E41">
        <v>4</v>
      </c>
      <c r="F41">
        <f ca="1">SUMIF(tables_386010!J:J,input_386010!E41,tables_386010!O:O)</f>
        <v>15189720</v>
      </c>
      <c r="G41" s="103">
        <f ca="1">F41/A36</f>
        <v>0.64697674418604656</v>
      </c>
    </row>
    <row r="42" spans="1:7" x14ac:dyDescent="0.15">
      <c r="A42" s="30" t="s">
        <v>104</v>
      </c>
      <c r="B42">
        <f ca="1">SUMIF(tables_386010!C:C,input_386010!A42,tables_386010!O:O)</f>
        <v>446082</v>
      </c>
      <c r="C42" s="51">
        <f t="shared" ca="1" si="9"/>
        <v>5.3891820580474932E-2</v>
      </c>
      <c r="E42">
        <v>5</v>
      </c>
      <c r="F42">
        <f ca="1">SUMIF(tables_386010!J:J,input_386010!E42,tables_386010!O:O)</f>
        <v>2582580</v>
      </c>
      <c r="G42" s="103">
        <f ca="1">F42/A36</f>
        <v>0.11</v>
      </c>
    </row>
    <row r="43" spans="1:7" x14ac:dyDescent="0.15">
      <c r="A43" s="30" t="s">
        <v>107</v>
      </c>
      <c r="B43">
        <f>SUMIF(tables_386010!C:C,input_386010!A43,tables_386010!O:O)</f>
        <v>0</v>
      </c>
      <c r="C43" s="51">
        <f t="shared" ca="1" si="9"/>
        <v>0</v>
      </c>
      <c r="F43" s="52"/>
    </row>
    <row r="44" spans="1:7" x14ac:dyDescent="0.15">
      <c r="A44" s="30" t="s">
        <v>103</v>
      </c>
      <c r="B44">
        <f ca="1">SUMIF(tables_386010!C:C,input_386010!A44,tables_386010!O:O)</f>
        <v>810537</v>
      </c>
      <c r="C44" s="51">
        <f t="shared" ca="1" si="9"/>
        <v>9.7922163588390496E-2</v>
      </c>
      <c r="E44" t="s">
        <v>52</v>
      </c>
      <c r="F44" s="52"/>
    </row>
    <row r="45" spans="1:7" x14ac:dyDescent="0.15">
      <c r="A45" s="30" t="s">
        <v>105</v>
      </c>
      <c r="B45">
        <f ca="1">SUMIF(tables_386010!C:C,input_386010!A45,tables_386010!O:O)</f>
        <v>23478</v>
      </c>
      <c r="C45" s="51">
        <f t="shared" ca="1" si="9"/>
        <v>2.8364116094986807E-3</v>
      </c>
      <c r="E45" t="s">
        <v>178</v>
      </c>
      <c r="F45" s="52">
        <f ca="1">SUMIF(tables_386010!I:I,input_386010!E45,tables_386010!P:P)</f>
        <v>0.12790697674418597</v>
      </c>
    </row>
    <row r="46" spans="1:7" x14ac:dyDescent="0.15">
      <c r="A46" s="30" t="s">
        <v>106</v>
      </c>
      <c r="B46">
        <f>SUMIF(tables_386010!C:C,input_386010!A46,tables_386010!O:O)</f>
        <v>0</v>
      </c>
      <c r="C46" s="51">
        <f t="shared" ca="1" si="9"/>
        <v>0</v>
      </c>
      <c r="E46" t="s">
        <v>179</v>
      </c>
      <c r="F46" s="52">
        <f ca="1">SUMIF(tables_386010!I:I,input_386010!E46,tables_386010!P:P)</f>
        <v>0.12790697674418594</v>
      </c>
    </row>
    <row r="47" spans="1:7" x14ac:dyDescent="0.15">
      <c r="A47" s="36" t="s">
        <v>57</v>
      </c>
      <c r="B47">
        <f ca="1">SUM(B40:B46)</f>
        <v>8277360</v>
      </c>
      <c r="C47" s="52">
        <f ca="1">SUM(C40:C46)</f>
        <v>1</v>
      </c>
      <c r="E47" t="s">
        <v>180</v>
      </c>
      <c r="F47" s="52">
        <f ca="1">SUMIF(tables_386010!I:I,input_386010!E47,tables_386010!P:P)</f>
        <v>0.69418604651162785</v>
      </c>
    </row>
    <row r="48" spans="1:7" x14ac:dyDescent="0.15">
      <c r="E48" t="s">
        <v>181</v>
      </c>
      <c r="F48" s="52">
        <f ca="1">SUMIF(tables_386010!I:I,input_386010!E48,tables_386010!P:P)</f>
        <v>5.0000000000000031E-2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7"/>
  <sheetViews>
    <sheetView showGridLines="0" topLeftCell="C1" zoomScale="75" zoomScaleNormal="75" zoomScalePageLayoutView="75" workbookViewId="0">
      <pane ySplit="1" topLeftCell="A285" activePane="bottomLeft" state="frozen"/>
      <selection activeCell="B31" sqref="B31"/>
      <selection pane="bottomLeft" activeCell="Q300" sqref="Q300:Q30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82</v>
      </c>
      <c r="B1" s="15" t="s">
        <v>1</v>
      </c>
      <c r="C1" s="3" t="s">
        <v>30</v>
      </c>
      <c r="D1" s="3" t="s">
        <v>93</v>
      </c>
      <c r="E1" s="3" t="s">
        <v>162</v>
      </c>
      <c r="F1" s="3" t="s">
        <v>163</v>
      </c>
      <c r="G1" s="3" t="s">
        <v>100</v>
      </c>
      <c r="H1" s="3" t="s">
        <v>32</v>
      </c>
      <c r="I1" s="3" t="s">
        <v>33</v>
      </c>
      <c r="J1" s="3" t="s">
        <v>34</v>
      </c>
      <c r="K1" s="3" t="s">
        <v>50</v>
      </c>
      <c r="L1" s="3" t="s">
        <v>35</v>
      </c>
      <c r="M1" s="3" t="s">
        <v>36</v>
      </c>
      <c r="N1" s="3" t="s">
        <v>56</v>
      </c>
      <c r="O1" s="15" t="s">
        <v>2</v>
      </c>
      <c r="P1" s="3" t="s">
        <v>61</v>
      </c>
      <c r="Q1" s="15" t="s">
        <v>37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 t="str">
        <f ca="1">input_386010!A$2</f>
        <v>386010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IFERROR(VLOOKUP(B2,input_386010!L:R,7,FALSE),VLOOKUP(tables_386010!C2,input_386010!A:H,8,FALSE))</f>
        <v>75075</v>
      </c>
      <c r="P2" s="43">
        <f t="shared" ref="P2:P65" ca="1" si="2">O2/SUM(O:O)</f>
        <v>3.1976744186046511E-3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 t="str">
        <f ca="1">input_386010!A$2</f>
        <v>386010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IFERROR(VLOOKUP(B3,input_386010!L:R,7,FALSE),VLOOKUP(tables_386010!C3,input_386010!A:H,8,FALSE))</f>
        <v>75075</v>
      </c>
      <c r="P3" s="43">
        <f t="shared" ca="1" si="2"/>
        <v>3.1976744186046511E-3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 t="str">
        <f ca="1">input_386010!A$2</f>
        <v>386010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IFERROR(VLOOKUP(B4,input_386010!L:R,7,FALSE),VLOOKUP(tables_386010!C4,input_386010!A:H,8,FALSE))</f>
        <v>75075</v>
      </c>
      <c r="P4" s="43">
        <f t="shared" ca="1" si="2"/>
        <v>3.1976744186046511E-3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 t="str">
        <f ca="1">input_386010!A$2</f>
        <v>386010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IFERROR(VLOOKUP(B5,input_386010!L:R,7,FALSE),VLOOKUP(tables_386010!C5,input_386010!A:H,8,FALSE))</f>
        <v>75075</v>
      </c>
      <c r="P5" s="43">
        <f t="shared" ca="1" si="2"/>
        <v>3.1976744186046511E-3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 t="str">
        <f ca="1">input_386010!A$2</f>
        <v>386010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IFERROR(VLOOKUP(B6,input_386010!L:R,7,FALSE),VLOOKUP(tables_386010!C6,input_386010!A:H,8,FALSE))</f>
        <v>75075</v>
      </c>
      <c r="P6" s="43">
        <f t="shared" ca="1" si="2"/>
        <v>3.1976744186046511E-3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 t="str">
        <f ca="1">input_386010!A$2</f>
        <v>386010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IFERROR(VLOOKUP(B7,input_386010!L:R,7,FALSE),VLOOKUP(tables_386010!C7,input_386010!A:H,8,FALSE))</f>
        <v>75075</v>
      </c>
      <c r="P7" s="43">
        <f t="shared" ca="1" si="2"/>
        <v>3.1976744186046511E-3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 t="str">
        <f ca="1">input_386010!A$2</f>
        <v>386010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IFERROR(VLOOKUP(B8,input_386010!L:R,7,FALSE),VLOOKUP(tables_386010!C8,input_386010!A:H,8,FALSE))</f>
        <v>75075</v>
      </c>
      <c r="P8" s="43">
        <f t="shared" ca="1" si="2"/>
        <v>3.1976744186046511E-3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 t="str">
        <f ca="1">input_386010!A$2</f>
        <v>386010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IFERROR(VLOOKUP(B9,input_386010!L:R,7,FALSE),VLOOKUP(tables_386010!C9,input_386010!A:H,8,FALSE))</f>
        <v>75075</v>
      </c>
      <c r="P9" s="43">
        <f t="shared" ca="1" si="2"/>
        <v>3.1976744186046511E-3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 t="str">
        <f ca="1">input_386010!A$2</f>
        <v>386010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IFERROR(VLOOKUP(B10,input_386010!L:R,7,FALSE),VLOOKUP(tables_386010!C10,input_386010!A:H,8,FALSE))</f>
        <v>75075</v>
      </c>
      <c r="P10" s="43">
        <f t="shared" ca="1" si="2"/>
        <v>3.1976744186046511E-3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 t="str">
        <f ca="1">input_386010!A$2</f>
        <v>386010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IFERROR(VLOOKUP(B11,input_386010!L:R,7,FALSE),VLOOKUP(tables_386010!C11,input_386010!A:H,8,FALSE))</f>
        <v>75075</v>
      </c>
      <c r="P11" s="43">
        <f t="shared" ca="1" si="2"/>
        <v>3.1976744186046511E-3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 t="str">
        <f ca="1">input_386010!A$2</f>
        <v>386010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IFERROR(VLOOKUP(B12,input_386010!L:R,7,FALSE),VLOOKUP(tables_386010!C12,input_386010!A:H,8,FALSE))</f>
        <v>75075</v>
      </c>
      <c r="P12" s="43">
        <f t="shared" ca="1" si="2"/>
        <v>3.1976744186046511E-3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 t="str">
        <f ca="1">input_386010!A$2</f>
        <v>386010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IFERROR(VLOOKUP(B13,input_386010!L:R,7,FALSE),VLOOKUP(tables_386010!C13,input_386010!A:H,8,FALSE))</f>
        <v>75075</v>
      </c>
      <c r="P13" s="43">
        <f t="shared" ca="1" si="2"/>
        <v>3.1976744186046511E-3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 t="str">
        <f ca="1">input_386010!A$2</f>
        <v>386010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IFERROR(VLOOKUP(B14,input_386010!L:R,7,FALSE),VLOOKUP(tables_386010!C14,input_386010!A:H,8,FALSE))</f>
        <v>75075</v>
      </c>
      <c r="P14" s="43">
        <f t="shared" ca="1" si="2"/>
        <v>3.1976744186046511E-3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 t="str">
        <f ca="1">input_386010!A$2</f>
        <v>386010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IFERROR(VLOOKUP(B15,input_386010!L:R,7,FALSE),VLOOKUP(tables_386010!C15,input_386010!A:H,8,FALSE))</f>
        <v>75075</v>
      </c>
      <c r="P15" s="43">
        <f t="shared" ca="1" si="2"/>
        <v>3.1976744186046511E-3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 t="str">
        <f ca="1">input_386010!A$2</f>
        <v>386010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IFERROR(VLOOKUP(B16,input_386010!L:R,7,FALSE),VLOOKUP(tables_386010!C16,input_386010!A:H,8,FALSE))</f>
        <v>75075</v>
      </c>
      <c r="P16" s="43">
        <f t="shared" ca="1" si="2"/>
        <v>3.1976744186046511E-3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 t="str">
        <f ca="1">input_386010!A$2</f>
        <v>386010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IFERROR(VLOOKUP(B17,input_386010!L:R,7,FALSE),VLOOKUP(tables_386010!C17,input_386010!A:H,8,FALSE))</f>
        <v>75075</v>
      </c>
      <c r="P17" s="43">
        <f t="shared" ca="1" si="2"/>
        <v>3.1976744186046511E-3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 t="str">
        <f ca="1">input_386010!A$2</f>
        <v>386010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IFERROR(VLOOKUP(B18,input_386010!L:R,7,FALSE),VLOOKUP(tables_386010!C18,input_386010!A:H,8,FALSE))</f>
        <v>75075</v>
      </c>
      <c r="P18" s="43">
        <f t="shared" ca="1" si="2"/>
        <v>3.1976744186046511E-3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s="12" customFormat="1" ht="21" customHeight="1" thickBot="1" x14ac:dyDescent="0.2">
      <c r="A19" s="2" t="str">
        <f ca="1">input_386010!A$2</f>
        <v>386010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IFERROR(VLOOKUP(B19,input_386010!L:R,7,FALSE),VLOOKUP(tables_386010!C19,input_386010!A:H,8,FALSE))</f>
        <v>75075</v>
      </c>
      <c r="P19" s="43">
        <f t="shared" ca="1" si="2"/>
        <v>3.1976744186046511E-3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 t="str">
        <f ca="1">input_386010!A$2</f>
        <v>386010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IFERROR(VLOOKUP(B20,input_386010!L:R,7,FALSE),VLOOKUP(tables_386010!C20,input_386010!A:H,8,FALSE))</f>
        <v>75075</v>
      </c>
      <c r="P20" s="43">
        <f t="shared" ca="1" si="2"/>
        <v>3.1976744186046511E-3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 t="str">
        <f ca="1">input_386010!A$2</f>
        <v>386010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IFERROR(VLOOKUP(B21,input_386010!L:R,7,FALSE),VLOOKUP(tables_386010!C21,input_386010!A:H,8,FALSE))</f>
        <v>75075</v>
      </c>
      <c r="P21" s="43">
        <f t="shared" ca="1" si="2"/>
        <v>3.1976744186046511E-3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 t="str">
        <f ca="1">input_386010!A$2</f>
        <v>386010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IFERROR(VLOOKUP(B22,input_386010!L:R,7,FALSE),VLOOKUP(tables_386010!C22,input_386010!A:H,8,FALSE))</f>
        <v>75075</v>
      </c>
      <c r="P22" s="43">
        <f t="shared" ca="1" si="2"/>
        <v>3.1976744186046511E-3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 t="str">
        <f ca="1">input_386010!A$2</f>
        <v>386010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IFERROR(VLOOKUP(B23,input_386010!L:R,7,FALSE),VLOOKUP(tables_386010!C23,input_386010!A:H,8,FALSE))</f>
        <v>75075</v>
      </c>
      <c r="P23" s="43">
        <f t="shared" ca="1" si="2"/>
        <v>3.1976744186046511E-3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 t="str">
        <f ca="1">input_386010!A$2</f>
        <v>386010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IFERROR(VLOOKUP(B24,input_386010!L:R,7,FALSE),VLOOKUP(tables_386010!C24,input_386010!A:H,8,FALSE))</f>
        <v>75075</v>
      </c>
      <c r="P24" s="43">
        <f t="shared" ca="1" si="2"/>
        <v>3.1976744186046511E-3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 t="str">
        <f ca="1">input_386010!A$2</f>
        <v>386010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IFERROR(VLOOKUP(B25,input_386010!L:R,7,FALSE),VLOOKUP(tables_386010!C25,input_386010!A:H,8,FALSE))</f>
        <v>75075</v>
      </c>
      <c r="P25" s="43">
        <f t="shared" ca="1" si="2"/>
        <v>3.1976744186046511E-3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 t="str">
        <f ca="1">input_386010!A$2</f>
        <v>386010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IFERROR(VLOOKUP(B26,input_386010!L:R,7,FALSE),VLOOKUP(tables_386010!C26,input_386010!A:H,8,FALSE))</f>
        <v>75075</v>
      </c>
      <c r="P26" s="43">
        <f t="shared" ca="1" si="2"/>
        <v>3.1976744186046511E-3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 t="str">
        <f ca="1">input_386010!A$2</f>
        <v>386010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IFERROR(VLOOKUP(B27,input_386010!L:R,7,FALSE),VLOOKUP(tables_386010!C27,input_386010!A:H,8,FALSE))</f>
        <v>75075</v>
      </c>
      <c r="P27" s="43">
        <f t="shared" ca="1" si="2"/>
        <v>3.1976744186046511E-3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 t="str">
        <f ca="1">input_386010!A$2</f>
        <v>386010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IFERROR(VLOOKUP(B28,input_386010!L:R,7,FALSE),VLOOKUP(tables_386010!C28,input_386010!A:H,8,FALSE))</f>
        <v>75075</v>
      </c>
      <c r="P28" s="43">
        <f t="shared" ca="1" si="2"/>
        <v>3.1976744186046511E-3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 t="str">
        <f ca="1">input_386010!A$2</f>
        <v>386010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IFERROR(VLOOKUP(B29,input_386010!L:R,7,FALSE),VLOOKUP(tables_386010!C29,input_386010!A:H,8,FALSE))</f>
        <v>75075</v>
      </c>
      <c r="P29" s="43">
        <f t="shared" ca="1" si="2"/>
        <v>3.1976744186046511E-3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 t="str">
        <f ca="1">input_386010!A$2</f>
        <v>386010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IFERROR(VLOOKUP(B30,input_386010!L:R,7,FALSE),VLOOKUP(tables_386010!C30,input_386010!A:H,8,FALSE))</f>
        <v>75075</v>
      </c>
      <c r="P30" s="43">
        <f t="shared" ca="1" si="2"/>
        <v>3.1976744186046511E-3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 t="str">
        <f ca="1">input_386010!A$2</f>
        <v>386010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IFERROR(VLOOKUP(B31,input_386010!L:R,7,FALSE),VLOOKUP(tables_386010!C31,input_386010!A:H,8,FALSE))</f>
        <v>75075</v>
      </c>
      <c r="P31" s="43">
        <f t="shared" ca="1" si="2"/>
        <v>3.1976744186046511E-3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 t="str">
        <f ca="1">input_386010!A$2</f>
        <v>386010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IFERROR(VLOOKUP(B32,input_386010!L:R,7,FALSE),VLOOKUP(tables_386010!C32,input_386010!A:H,8,FALSE))</f>
        <v>75075</v>
      </c>
      <c r="P32" s="43">
        <f t="shared" ca="1" si="2"/>
        <v>3.1976744186046511E-3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 t="str">
        <f ca="1">input_386010!A$2</f>
        <v>386010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IFERROR(VLOOKUP(B33,input_386010!L:R,7,FALSE),VLOOKUP(tables_386010!C33,input_386010!A:H,8,FALSE))</f>
        <v>75075</v>
      </c>
      <c r="P33" s="43">
        <f t="shared" ca="1" si="2"/>
        <v>3.1976744186046511E-3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 t="str">
        <f ca="1">input_386010!A$2</f>
        <v>386010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IFERROR(VLOOKUP(B34,input_386010!L:R,7,FALSE),VLOOKUP(tables_386010!C34,input_386010!A:H,8,FALSE))</f>
        <v>75075</v>
      </c>
      <c r="P34" s="43">
        <f t="shared" ca="1" si="2"/>
        <v>3.1976744186046511E-3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 t="str">
        <f ca="1">input_386010!A$2</f>
        <v>386010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IFERROR(VLOOKUP(B35,input_386010!L:R,7,FALSE),VLOOKUP(tables_386010!C35,input_386010!A:H,8,FALSE))</f>
        <v>75075</v>
      </c>
      <c r="P35" s="43">
        <f t="shared" ca="1" si="2"/>
        <v>3.1976744186046511E-3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 t="str">
        <f ca="1">input_386010!A$2</f>
        <v>386010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IFERROR(VLOOKUP(B36,input_386010!L:R,7,FALSE),VLOOKUP(tables_386010!C36,input_386010!A:H,8,FALSE))</f>
        <v>75075</v>
      </c>
      <c r="P36" s="43">
        <f t="shared" ca="1" si="2"/>
        <v>3.1976744186046511E-3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 t="str">
        <f ca="1">input_386010!A$2</f>
        <v>386010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IFERROR(VLOOKUP(B37,input_386010!L:R,7,FALSE),VLOOKUP(tables_386010!C37,input_386010!A:H,8,FALSE))</f>
        <v>75075</v>
      </c>
      <c r="P37" s="43">
        <f t="shared" ca="1" si="2"/>
        <v>3.1976744186046511E-3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 t="str">
        <f ca="1">input_386010!A$2</f>
        <v>386010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IFERROR(VLOOKUP(B38,input_386010!L:R,7,FALSE),VLOOKUP(tables_386010!C38,input_386010!A:H,8,FALSE))</f>
        <v>75075</v>
      </c>
      <c r="P38" s="43">
        <f t="shared" ca="1" si="2"/>
        <v>3.1976744186046511E-3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 t="str">
        <f ca="1">input_386010!A$2</f>
        <v>386010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IFERROR(VLOOKUP(B39,input_386010!L:R,7,FALSE),VLOOKUP(tables_386010!C39,input_386010!A:H,8,FALSE))</f>
        <v>75075</v>
      </c>
      <c r="P39" s="43">
        <f t="shared" ca="1" si="2"/>
        <v>3.1976744186046511E-3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 t="str">
        <f ca="1">input_386010!A$2</f>
        <v>386010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IFERROR(VLOOKUP(B40,input_386010!L:R,7,FALSE),VLOOKUP(tables_386010!C40,input_386010!A:H,8,FALSE))</f>
        <v>75075</v>
      </c>
      <c r="P40" s="43">
        <f t="shared" ca="1" si="2"/>
        <v>3.1976744186046511E-3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 t="str">
        <f ca="1">input_386010!A$2</f>
        <v>386010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IFERROR(VLOOKUP(B41,input_386010!L:R,7,FALSE),VLOOKUP(tables_386010!C41,input_386010!A:H,8,FALSE))</f>
        <v>75075</v>
      </c>
      <c r="P41" s="43">
        <f t="shared" ca="1" si="2"/>
        <v>3.1976744186046511E-3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 t="str">
        <f ca="1">input_386010!A$2</f>
        <v>386010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IFERROR(VLOOKUP(B42,input_386010!L:R,7,FALSE),VLOOKUP(tables_386010!C42,input_386010!A:H,8,FALSE))</f>
        <v>75075</v>
      </c>
      <c r="P42" s="43">
        <f t="shared" ca="1" si="2"/>
        <v>3.1976744186046511E-3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 t="str">
        <f ca="1">input_386010!A$2</f>
        <v>386010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IFERROR(VLOOKUP(B43,input_386010!L:R,7,FALSE),VLOOKUP(tables_386010!C43,input_386010!A:H,8,FALSE))</f>
        <v>67567.5</v>
      </c>
      <c r="P43" s="43">
        <f t="shared" ca="1" si="2"/>
        <v>2.8779069767441859E-3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 t="str">
        <f ca="1">input_386010!A$2</f>
        <v>386010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IFERROR(VLOOKUP(B44,input_386010!L:R,7,FALSE),VLOOKUP(tables_386010!C44,input_386010!A:H,8,FALSE))</f>
        <v>7507.5</v>
      </c>
      <c r="P44" s="43">
        <f t="shared" ca="1" si="2"/>
        <v>3.1976744186046509E-4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 t="str">
        <f ca="1">input_386010!A$2</f>
        <v>386010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IFERROR(VLOOKUP(B45,input_386010!L:R,7,FALSE),VLOOKUP(tables_386010!C45,input_386010!A:H,8,FALSE))</f>
        <v>75075</v>
      </c>
      <c r="P45" s="43">
        <f t="shared" ca="1" si="2"/>
        <v>3.1976744186046511E-3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 t="str">
        <f ca="1">input_386010!A$2</f>
        <v>386010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IFERROR(VLOOKUP(B46,input_386010!L:R,7,FALSE),VLOOKUP(tables_386010!C46,input_386010!A:H,8,FALSE))</f>
        <v>67567.5</v>
      </c>
      <c r="P46" s="43">
        <f t="shared" ca="1" si="2"/>
        <v>2.8779069767441859E-3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 t="str">
        <f ca="1">input_386010!A$2</f>
        <v>386010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IFERROR(VLOOKUP(B47,input_386010!L:R,7,FALSE),VLOOKUP(tables_386010!C47,input_386010!A:H,8,FALSE))</f>
        <v>7507.5</v>
      </c>
      <c r="P47" s="43">
        <f t="shared" ca="1" si="2"/>
        <v>3.1976744186046509E-4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 t="str">
        <f ca="1">input_386010!A$2</f>
        <v>386010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IFERROR(VLOOKUP(B48,input_386010!L:R,7,FALSE),VLOOKUP(tables_386010!C48,input_386010!A:H,8,FALSE))</f>
        <v>75075</v>
      </c>
      <c r="P48" s="43">
        <f t="shared" ca="1" si="2"/>
        <v>3.1976744186046511E-3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 t="str">
        <f ca="1">input_386010!A$2</f>
        <v>386010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IFERROR(VLOOKUP(B49,input_386010!L:R,7,FALSE),VLOOKUP(tables_386010!C49,input_386010!A:H,8,FALSE))</f>
        <v>67567.5</v>
      </c>
      <c r="P49" s="43">
        <f t="shared" ca="1" si="2"/>
        <v>2.8779069767441859E-3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 t="str">
        <f ca="1">input_386010!A$2</f>
        <v>386010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IFERROR(VLOOKUP(B50,input_386010!L:R,7,FALSE),VLOOKUP(tables_386010!C50,input_386010!A:H,8,FALSE))</f>
        <v>7507.5</v>
      </c>
      <c r="P50" s="43">
        <f t="shared" ca="1" si="2"/>
        <v>3.1976744186046509E-4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 t="str">
        <f ca="1">input_386010!A$2</f>
        <v>386010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IFERROR(VLOOKUP(B51,input_386010!L:R,7,FALSE),VLOOKUP(tables_386010!C51,input_386010!A:H,8,FALSE))</f>
        <v>75075</v>
      </c>
      <c r="P51" s="43">
        <f t="shared" ca="1" si="2"/>
        <v>3.1976744186046511E-3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 t="str">
        <f ca="1">input_386010!A$2</f>
        <v>386010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IFERROR(VLOOKUP(B52,input_386010!L:R,7,FALSE),VLOOKUP(tables_386010!C52,input_386010!A:H,8,FALSE))</f>
        <v>59487.75</v>
      </c>
      <c r="P52" s="43">
        <f t="shared" ca="1" si="2"/>
        <v>2.5337656529516995E-3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 t="str">
        <f ca="1">input_386010!A$2</f>
        <v>386010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IFERROR(VLOOKUP(B53,input_386010!L:R,7,FALSE),VLOOKUP(tables_386010!C53,input_386010!A:H,8,FALSE))</f>
        <v>15587.25</v>
      </c>
      <c r="P53" s="43">
        <f t="shared" ca="1" si="2"/>
        <v>6.6390876565295168E-4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 t="str">
        <f ca="1">input_386010!A$2</f>
        <v>386010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IFERROR(VLOOKUP(B54,input_386010!L:R,7,FALSE),VLOOKUP(tables_386010!C54,input_386010!A:H,8,FALSE))</f>
        <v>75075</v>
      </c>
      <c r="P54" s="43">
        <f t="shared" ca="1" si="2"/>
        <v>3.1976744186046511E-3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 t="str">
        <f ca="1">input_386010!A$2</f>
        <v>386010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IFERROR(VLOOKUP(B55,input_386010!L:R,7,FALSE),VLOOKUP(tables_386010!C55,input_386010!A:H,8,FALSE))</f>
        <v>59487.75</v>
      </c>
      <c r="P55" s="43">
        <f t="shared" ca="1" si="2"/>
        <v>2.5337656529516995E-3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 t="str">
        <f ca="1">input_386010!A$2</f>
        <v>386010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IFERROR(VLOOKUP(B56,input_386010!L:R,7,FALSE),VLOOKUP(tables_386010!C56,input_386010!A:H,8,FALSE))</f>
        <v>15587.25</v>
      </c>
      <c r="P56" s="43">
        <f t="shared" ca="1" si="2"/>
        <v>6.6390876565295168E-4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 t="str">
        <f ca="1">input_386010!A$2</f>
        <v>386010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IFERROR(VLOOKUP(B57,input_386010!L:R,7,FALSE),VLOOKUP(tables_386010!C57,input_386010!A:H,8,FALSE))</f>
        <v>75075</v>
      </c>
      <c r="P57" s="43">
        <f t="shared" ca="1" si="2"/>
        <v>3.1976744186046511E-3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 t="str">
        <f ca="1">input_386010!A$2</f>
        <v>386010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IFERROR(VLOOKUP(B58,input_386010!L:R,7,FALSE),VLOOKUP(tables_386010!C58,input_386010!A:H,8,FALSE))</f>
        <v>59487.75</v>
      </c>
      <c r="P58" s="43">
        <f t="shared" ca="1" si="2"/>
        <v>2.5337656529516995E-3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 t="str">
        <f ca="1">input_386010!A$2</f>
        <v>386010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IFERROR(VLOOKUP(B59,input_386010!L:R,7,FALSE),VLOOKUP(tables_386010!C59,input_386010!A:H,8,FALSE))</f>
        <v>15587.25</v>
      </c>
      <c r="P59" s="43">
        <f t="shared" ca="1" si="2"/>
        <v>6.6390876565295168E-4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 t="str">
        <f ca="1">input_386010!A$2</f>
        <v>386010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IFERROR(VLOOKUP(B60,input_386010!L:R,7,FALSE),VLOOKUP(tables_386010!C60,input_386010!A:H,8,FALSE))</f>
        <v>75075</v>
      </c>
      <c r="P60" s="43">
        <f t="shared" ca="1" si="2"/>
        <v>3.1976744186046511E-3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 t="str">
        <f ca="1">input_386010!A$2</f>
        <v>386010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IFERROR(VLOOKUP(B61,input_386010!L:R,7,FALSE),VLOOKUP(tables_386010!C61,input_386010!A:H,8,FALSE))</f>
        <v>59487.75</v>
      </c>
      <c r="P61" s="43">
        <f t="shared" ca="1" si="2"/>
        <v>2.5337656529516995E-3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 t="str">
        <f ca="1">input_386010!A$2</f>
        <v>386010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IFERROR(VLOOKUP(B62,input_386010!L:R,7,FALSE),VLOOKUP(tables_386010!C62,input_386010!A:H,8,FALSE))</f>
        <v>15587.25</v>
      </c>
      <c r="P62" s="43">
        <f t="shared" ca="1" si="2"/>
        <v>6.6390876565295168E-4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 t="str">
        <f ca="1">input_386010!A$2</f>
        <v>386010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IFERROR(VLOOKUP(B63,input_386010!L:R,7,FALSE),VLOOKUP(tables_386010!C63,input_386010!A:H,8,FALSE))</f>
        <v>75075</v>
      </c>
      <c r="P63" s="43">
        <f t="shared" ca="1" si="2"/>
        <v>3.1976744186046511E-3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  <row r="64" spans="1:22" ht="21" customHeight="1" x14ac:dyDescent="0.15">
      <c r="A64" s="2" t="str">
        <f ca="1">input_386010!A$2</f>
        <v>386010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IFERROR(VLOOKUP(B64,input_386010!L:R,7,FALSE),VLOOKUP(tables_386010!C64,input_386010!A:H,8,FALSE))</f>
        <v>59487.75</v>
      </c>
      <c r="P64" s="43">
        <f t="shared" ca="1" si="2"/>
        <v>2.5337656529516995E-3</v>
      </c>
      <c r="Q64" s="28">
        <v>1</v>
      </c>
      <c r="R64" s="28">
        <v>0</v>
      </c>
      <c r="S64" s="28">
        <v>0</v>
      </c>
      <c r="T64" s="28">
        <v>0</v>
      </c>
      <c r="U64" s="28">
        <v>0</v>
      </c>
      <c r="V64" s="28">
        <v>1</v>
      </c>
    </row>
    <row r="65" spans="1:22" ht="21" customHeight="1" x14ac:dyDescent="0.15">
      <c r="A65" s="2" t="str">
        <f ca="1">input_386010!A$2</f>
        <v>386010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IFERROR(VLOOKUP(B65,input_386010!L:R,7,FALSE),VLOOKUP(tables_386010!C65,input_386010!A:H,8,FALSE))</f>
        <v>15587.25</v>
      </c>
      <c r="P65" s="43">
        <f t="shared" ca="1" si="2"/>
        <v>6.6390876565295168E-4</v>
      </c>
      <c r="Q65" s="28">
        <v>1</v>
      </c>
      <c r="R65" s="28">
        <v>0</v>
      </c>
      <c r="S65" s="28">
        <v>0</v>
      </c>
      <c r="T65" s="28">
        <v>0</v>
      </c>
      <c r="U65" s="28">
        <v>0</v>
      </c>
      <c r="V65" s="28">
        <v>1</v>
      </c>
    </row>
    <row r="66" spans="1:22" s="9" customFormat="1" ht="21" customHeight="1" thickBot="1" x14ac:dyDescent="0.2">
      <c r="A66" s="2" t="str">
        <f ca="1">input_386010!A$2</f>
        <v>386010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IFERROR(VLOOKUP(B66,input_386010!L:R,7,FALSE),VLOOKUP(tables_386010!C66,input_386010!A:H,8,FALSE))</f>
        <v>75075</v>
      </c>
      <c r="P66" s="43">
        <f t="shared" ref="P66:P129" ca="1" si="5">O66/SUM(O:O)</f>
        <v>3.1976744186046511E-3</v>
      </c>
      <c r="Q66" s="28">
        <v>1</v>
      </c>
      <c r="R66" s="28">
        <v>0</v>
      </c>
      <c r="S66" s="28">
        <v>0</v>
      </c>
      <c r="T66" s="28">
        <v>0</v>
      </c>
      <c r="U66" s="28">
        <v>0</v>
      </c>
      <c r="V66" s="28">
        <v>1</v>
      </c>
    </row>
    <row r="67" spans="1:22" ht="21" customHeight="1" x14ac:dyDescent="0.15">
      <c r="A67" s="2" t="str">
        <f ca="1">input_386010!A$2</f>
        <v>386010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IFERROR(VLOOKUP(B67,input_386010!L:R,7,FALSE),VLOOKUP(tables_386010!C67,input_386010!A:H,8,FALSE))</f>
        <v>59487.75</v>
      </c>
      <c r="P67" s="43">
        <f t="shared" ca="1" si="5"/>
        <v>2.5337656529516995E-3</v>
      </c>
      <c r="Q67" s="28">
        <v>1</v>
      </c>
      <c r="R67" s="28">
        <v>0</v>
      </c>
      <c r="S67" s="28">
        <v>0</v>
      </c>
      <c r="T67" s="28">
        <v>0</v>
      </c>
      <c r="U67" s="28">
        <v>0</v>
      </c>
      <c r="V67" s="28">
        <v>1</v>
      </c>
    </row>
    <row r="68" spans="1:22" ht="21" customHeight="1" x14ac:dyDescent="0.15">
      <c r="A68" s="2" t="str">
        <f ca="1">input_386010!A$2</f>
        <v>386010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IFERROR(VLOOKUP(B68,input_386010!L:R,7,FALSE),VLOOKUP(tables_386010!C68,input_386010!A:H,8,FALSE))</f>
        <v>15587.25</v>
      </c>
      <c r="P68" s="43">
        <f t="shared" ca="1" si="5"/>
        <v>6.6390876565295168E-4</v>
      </c>
      <c r="Q68" s="28">
        <v>1</v>
      </c>
      <c r="R68" s="28">
        <v>0</v>
      </c>
      <c r="S68" s="28">
        <v>0</v>
      </c>
      <c r="T68" s="28">
        <v>0</v>
      </c>
      <c r="U68" s="28">
        <v>0</v>
      </c>
      <c r="V68" s="28">
        <v>1</v>
      </c>
    </row>
    <row r="69" spans="1:22" ht="21" customHeight="1" x14ac:dyDescent="0.15">
      <c r="A69" s="2" t="str">
        <f ca="1">input_386010!A$2</f>
        <v>386010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IFERROR(VLOOKUP(B69,input_386010!L:R,7,FALSE),VLOOKUP(tables_386010!C69,input_386010!A:H,8,FALSE))</f>
        <v>75075</v>
      </c>
      <c r="P69" s="43">
        <f t="shared" ca="1" si="5"/>
        <v>3.1976744186046511E-3</v>
      </c>
      <c r="Q69" s="28">
        <v>1</v>
      </c>
      <c r="R69" s="28">
        <v>0</v>
      </c>
      <c r="S69" s="28">
        <v>0</v>
      </c>
      <c r="T69" s="28">
        <v>0</v>
      </c>
      <c r="U69" s="28">
        <v>0</v>
      </c>
      <c r="V69" s="28">
        <v>1</v>
      </c>
    </row>
    <row r="70" spans="1:22" ht="21" customHeight="1" x14ac:dyDescent="0.15">
      <c r="A70" s="2" t="str">
        <f ca="1">input_386010!A$2</f>
        <v>386010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IFERROR(VLOOKUP(B70,input_386010!L:R,7,FALSE),VLOOKUP(tables_386010!C70,input_386010!A:H,8,FALSE))</f>
        <v>59487.75</v>
      </c>
      <c r="P70" s="43">
        <f t="shared" ca="1" si="5"/>
        <v>2.5337656529516995E-3</v>
      </c>
      <c r="Q70" s="28">
        <v>1</v>
      </c>
      <c r="R70" s="28">
        <v>0</v>
      </c>
      <c r="S70" s="28">
        <v>0</v>
      </c>
      <c r="T70" s="28">
        <v>0</v>
      </c>
      <c r="U70" s="28">
        <v>0</v>
      </c>
      <c r="V70" s="28">
        <v>1</v>
      </c>
    </row>
    <row r="71" spans="1:22" ht="21" customHeight="1" x14ac:dyDescent="0.15">
      <c r="A71" s="2" t="str">
        <f ca="1">input_386010!A$2</f>
        <v>386010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IFERROR(VLOOKUP(B71,input_386010!L:R,7,FALSE),VLOOKUP(tables_386010!C71,input_386010!A:H,8,FALSE))</f>
        <v>15587.25</v>
      </c>
      <c r="P71" s="43">
        <f t="shared" ca="1" si="5"/>
        <v>6.6390876565295168E-4</v>
      </c>
      <c r="Q71" s="28">
        <v>1</v>
      </c>
      <c r="R71" s="28">
        <v>0</v>
      </c>
      <c r="S71" s="28">
        <v>0</v>
      </c>
      <c r="T71" s="28">
        <v>0</v>
      </c>
      <c r="U71" s="28">
        <v>0</v>
      </c>
      <c r="V71" s="28">
        <v>1</v>
      </c>
    </row>
    <row r="72" spans="1:22" ht="21" customHeight="1" x14ac:dyDescent="0.15">
      <c r="A72" s="2" t="str">
        <f ca="1">input_386010!A$2</f>
        <v>386010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IFERROR(VLOOKUP(B72,input_386010!L:R,7,FALSE),VLOOKUP(tables_386010!C72,input_386010!A:H,8,FALSE))</f>
        <v>75075</v>
      </c>
      <c r="P72" s="43">
        <f t="shared" ca="1" si="5"/>
        <v>3.1976744186046511E-3</v>
      </c>
      <c r="Q72" s="28">
        <v>1</v>
      </c>
      <c r="R72" s="28">
        <v>0</v>
      </c>
      <c r="S72" s="28">
        <v>0</v>
      </c>
      <c r="T72" s="28">
        <v>0</v>
      </c>
      <c r="U72" s="28">
        <v>0</v>
      </c>
      <c r="V72" s="28">
        <v>1</v>
      </c>
    </row>
    <row r="73" spans="1:22" ht="21" customHeight="1" x14ac:dyDescent="0.15">
      <c r="A73" s="2" t="str">
        <f ca="1">input_386010!A$2</f>
        <v>386010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IFERROR(VLOOKUP(B73,input_386010!L:R,7,FALSE),VLOOKUP(tables_386010!C73,input_386010!A:H,8,FALSE))</f>
        <v>59487.75</v>
      </c>
      <c r="P73" s="43">
        <f t="shared" ca="1" si="5"/>
        <v>2.5337656529516995E-3</v>
      </c>
      <c r="Q73" s="28">
        <v>1</v>
      </c>
      <c r="R73" s="28">
        <v>0</v>
      </c>
      <c r="S73" s="28">
        <v>0</v>
      </c>
      <c r="T73" s="28">
        <v>0</v>
      </c>
      <c r="U73" s="28">
        <v>0</v>
      </c>
      <c r="V73" s="28">
        <v>1</v>
      </c>
    </row>
    <row r="74" spans="1:22" ht="21" customHeight="1" x14ac:dyDescent="0.15">
      <c r="A74" s="2" t="str">
        <f ca="1">input_386010!A$2</f>
        <v>386010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IFERROR(VLOOKUP(B74,input_386010!L:R,7,FALSE),VLOOKUP(tables_386010!C74,input_386010!A:H,8,FALSE))</f>
        <v>15587.25</v>
      </c>
      <c r="P74" s="43">
        <f t="shared" ca="1" si="5"/>
        <v>6.6390876565295168E-4</v>
      </c>
      <c r="Q74" s="28">
        <v>1</v>
      </c>
      <c r="R74" s="28">
        <v>0</v>
      </c>
      <c r="S74" s="28">
        <v>0</v>
      </c>
      <c r="T74" s="28">
        <v>0</v>
      </c>
      <c r="U74" s="28">
        <v>0</v>
      </c>
      <c r="V74" s="28">
        <v>1</v>
      </c>
    </row>
    <row r="75" spans="1:22" ht="21" customHeight="1" x14ac:dyDescent="0.15">
      <c r="A75" s="2" t="str">
        <f ca="1">input_386010!A$2</f>
        <v>386010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IFERROR(VLOOKUP(B75,input_386010!L:R,7,FALSE),VLOOKUP(tables_386010!C75,input_386010!A:H,8,FALSE))</f>
        <v>75075</v>
      </c>
      <c r="P75" s="43">
        <f t="shared" ca="1" si="5"/>
        <v>3.1976744186046511E-3</v>
      </c>
      <c r="Q75" s="28">
        <v>1</v>
      </c>
      <c r="R75" s="28">
        <v>0</v>
      </c>
      <c r="S75" s="28">
        <v>0</v>
      </c>
      <c r="T75" s="28">
        <v>0</v>
      </c>
      <c r="U75" s="28">
        <v>0</v>
      </c>
      <c r="V75" s="28">
        <v>1</v>
      </c>
    </row>
    <row r="76" spans="1:22" ht="21" customHeight="1" x14ac:dyDescent="0.15">
      <c r="A76" s="2" t="str">
        <f ca="1">input_386010!A$2</f>
        <v>386010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IFERROR(VLOOKUP(B76,input_386010!L:R,7,FALSE),VLOOKUP(tables_386010!C76,input_386010!A:H,8,FALSE))</f>
        <v>59487.75</v>
      </c>
      <c r="P76" s="43">
        <f t="shared" ca="1" si="5"/>
        <v>2.5337656529516995E-3</v>
      </c>
      <c r="Q76" s="28">
        <v>1</v>
      </c>
      <c r="R76" s="28">
        <v>0</v>
      </c>
      <c r="S76" s="28">
        <v>0</v>
      </c>
      <c r="T76" s="28">
        <v>0</v>
      </c>
      <c r="U76" s="28">
        <v>0</v>
      </c>
      <c r="V76" s="28">
        <v>1</v>
      </c>
    </row>
    <row r="77" spans="1:22" ht="21" customHeight="1" x14ac:dyDescent="0.15">
      <c r="A77" s="2" t="str">
        <f ca="1">input_386010!A$2</f>
        <v>386010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IFERROR(VLOOKUP(B77,input_386010!L:R,7,FALSE),VLOOKUP(tables_386010!C77,input_386010!A:H,8,FALSE))</f>
        <v>15587.25</v>
      </c>
      <c r="P77" s="43">
        <f t="shared" ca="1" si="5"/>
        <v>6.6390876565295168E-4</v>
      </c>
      <c r="Q77" s="28">
        <v>1</v>
      </c>
      <c r="R77" s="28">
        <v>0</v>
      </c>
      <c r="S77" s="28">
        <v>0</v>
      </c>
      <c r="T77" s="28">
        <v>0</v>
      </c>
      <c r="U77" s="28">
        <v>0</v>
      </c>
      <c r="V77" s="28">
        <v>1</v>
      </c>
    </row>
    <row r="78" spans="1:22" ht="21" customHeight="1" x14ac:dyDescent="0.15">
      <c r="A78" s="2" t="str">
        <f ca="1">input_386010!A$2</f>
        <v>386010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IFERROR(VLOOKUP(B78,input_386010!L:R,7,FALSE),VLOOKUP(tables_386010!C78,input_386010!A:H,8,FALSE))</f>
        <v>75075</v>
      </c>
      <c r="P78" s="43">
        <f t="shared" ca="1" si="5"/>
        <v>3.1976744186046511E-3</v>
      </c>
      <c r="Q78" s="28">
        <v>1</v>
      </c>
      <c r="R78" s="28">
        <v>0</v>
      </c>
      <c r="S78" s="28">
        <v>0</v>
      </c>
      <c r="T78" s="28">
        <v>0</v>
      </c>
      <c r="U78" s="28">
        <v>0</v>
      </c>
      <c r="V78" s="28">
        <v>1</v>
      </c>
    </row>
    <row r="79" spans="1:22" ht="21" customHeight="1" x14ac:dyDescent="0.15">
      <c r="A79" s="2" t="str">
        <f ca="1">input_386010!A$2</f>
        <v>386010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IFERROR(VLOOKUP(B79,input_386010!L:R,7,FALSE),VLOOKUP(tables_386010!C79,input_386010!A:H,8,FALSE))</f>
        <v>59487.75</v>
      </c>
      <c r="P79" s="43">
        <f t="shared" ca="1" si="5"/>
        <v>2.5337656529516995E-3</v>
      </c>
      <c r="Q79" s="28">
        <v>1</v>
      </c>
      <c r="R79" s="28">
        <v>0</v>
      </c>
      <c r="S79" s="28">
        <v>0</v>
      </c>
      <c r="T79" s="28">
        <v>0</v>
      </c>
      <c r="U79" s="28">
        <v>0</v>
      </c>
      <c r="V79" s="28">
        <v>1</v>
      </c>
    </row>
    <row r="80" spans="1:22" ht="21" customHeight="1" x14ac:dyDescent="0.15">
      <c r="A80" s="2" t="str">
        <f ca="1">input_386010!A$2</f>
        <v>386010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IFERROR(VLOOKUP(B80,input_386010!L:R,7,FALSE),VLOOKUP(tables_386010!C80,input_386010!A:H,8,FALSE))</f>
        <v>15587.25</v>
      </c>
      <c r="P80" s="43">
        <f t="shared" ca="1" si="5"/>
        <v>6.6390876565295168E-4</v>
      </c>
      <c r="Q80" s="28">
        <v>1</v>
      </c>
      <c r="R80" s="28">
        <v>0</v>
      </c>
      <c r="S80" s="28">
        <v>0</v>
      </c>
      <c r="T80" s="28">
        <v>0</v>
      </c>
      <c r="U80" s="28">
        <v>0</v>
      </c>
      <c r="V80" s="28">
        <v>1</v>
      </c>
    </row>
    <row r="81" spans="1:22" ht="21" customHeight="1" x14ac:dyDescent="0.15">
      <c r="A81" s="2" t="str">
        <f ca="1">input_386010!A$2</f>
        <v>386010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IFERROR(VLOOKUP(B81,input_386010!L:R,7,FALSE),VLOOKUP(tables_386010!C81,input_386010!A:H,8,FALSE))</f>
        <v>75075</v>
      </c>
      <c r="P81" s="43">
        <f t="shared" ca="1" si="5"/>
        <v>3.1976744186046511E-3</v>
      </c>
      <c r="Q81" s="28">
        <v>1</v>
      </c>
      <c r="R81" s="28">
        <v>0</v>
      </c>
      <c r="S81" s="28">
        <v>0</v>
      </c>
      <c r="T81" s="28">
        <v>0</v>
      </c>
      <c r="U81" s="28">
        <v>0</v>
      </c>
      <c r="V81" s="28">
        <v>1</v>
      </c>
    </row>
    <row r="82" spans="1:22" ht="21" customHeight="1" x14ac:dyDescent="0.15">
      <c r="A82" s="2" t="str">
        <f ca="1">input_386010!A$2</f>
        <v>386010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IFERROR(VLOOKUP(B82,input_386010!L:R,7,FALSE),VLOOKUP(tables_386010!C82,input_386010!A:H,8,FALSE))</f>
        <v>59487.75</v>
      </c>
      <c r="P82" s="43">
        <f t="shared" ca="1" si="5"/>
        <v>2.5337656529516995E-3</v>
      </c>
      <c r="Q82" s="28">
        <v>1</v>
      </c>
      <c r="R82" s="28">
        <v>0</v>
      </c>
      <c r="S82" s="28">
        <v>0</v>
      </c>
      <c r="T82" s="28">
        <v>0</v>
      </c>
      <c r="U82" s="28">
        <v>0</v>
      </c>
      <c r="V82" s="28">
        <v>1</v>
      </c>
    </row>
    <row r="83" spans="1:22" ht="21" customHeight="1" x14ac:dyDescent="0.15">
      <c r="A83" s="2" t="str">
        <f ca="1">input_386010!A$2</f>
        <v>386010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IFERROR(VLOOKUP(B83,input_386010!L:R,7,FALSE),VLOOKUP(tables_386010!C83,input_386010!A:H,8,FALSE))</f>
        <v>15587.25</v>
      </c>
      <c r="P83" s="43">
        <f t="shared" ca="1" si="5"/>
        <v>6.6390876565295168E-4</v>
      </c>
      <c r="Q83" s="28">
        <v>1</v>
      </c>
      <c r="R83" s="28">
        <v>0</v>
      </c>
      <c r="S83" s="28">
        <v>0</v>
      </c>
      <c r="T83" s="28">
        <v>0</v>
      </c>
      <c r="U83" s="28">
        <v>0</v>
      </c>
      <c r="V83" s="28">
        <v>1</v>
      </c>
    </row>
    <row r="84" spans="1:22" ht="21" customHeight="1" x14ac:dyDescent="0.15">
      <c r="A84" s="2" t="str">
        <f ca="1">input_386010!A$2</f>
        <v>386010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IFERROR(VLOOKUP(B84,input_386010!L:R,7,FALSE),VLOOKUP(tables_386010!C84,input_386010!A:H,8,FALSE))</f>
        <v>75075</v>
      </c>
      <c r="P84" s="43">
        <f t="shared" ca="1" si="5"/>
        <v>3.1976744186046511E-3</v>
      </c>
      <c r="Q84" s="28">
        <v>1</v>
      </c>
      <c r="R84" s="28">
        <v>0</v>
      </c>
      <c r="S84" s="28">
        <v>0</v>
      </c>
      <c r="T84" s="28">
        <v>0</v>
      </c>
      <c r="U84" s="28">
        <v>0</v>
      </c>
      <c r="V84" s="28">
        <v>1</v>
      </c>
    </row>
    <row r="85" spans="1:22" ht="21" customHeight="1" x14ac:dyDescent="0.15">
      <c r="A85" s="2" t="str">
        <f ca="1">input_386010!A$2</f>
        <v>386010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IFERROR(VLOOKUP(B85,input_386010!L:R,7,FALSE),VLOOKUP(tables_386010!C85,input_386010!A:H,8,FALSE))</f>
        <v>59487.75</v>
      </c>
      <c r="P85" s="43">
        <f t="shared" ca="1" si="5"/>
        <v>2.5337656529516995E-3</v>
      </c>
      <c r="Q85" s="28">
        <v>1</v>
      </c>
      <c r="R85" s="28">
        <v>0</v>
      </c>
      <c r="S85" s="28">
        <v>0</v>
      </c>
      <c r="T85" s="28">
        <v>0</v>
      </c>
      <c r="U85" s="28">
        <v>0</v>
      </c>
      <c r="V85" s="28">
        <v>1</v>
      </c>
    </row>
    <row r="86" spans="1:22" ht="21" customHeight="1" x14ac:dyDescent="0.15">
      <c r="A86" s="2" t="str">
        <f ca="1">input_386010!A$2</f>
        <v>386010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IFERROR(VLOOKUP(B86,input_386010!L:R,7,FALSE),VLOOKUP(tables_386010!C86,input_386010!A:H,8,FALSE))</f>
        <v>15587.25</v>
      </c>
      <c r="P86" s="43">
        <f t="shared" ca="1" si="5"/>
        <v>6.6390876565295168E-4</v>
      </c>
      <c r="Q86" s="28">
        <v>1</v>
      </c>
      <c r="R86" s="28">
        <v>0</v>
      </c>
      <c r="S86" s="28">
        <v>0</v>
      </c>
      <c r="T86" s="28">
        <v>0</v>
      </c>
      <c r="U86" s="28">
        <v>0</v>
      </c>
      <c r="V86" s="28">
        <v>1</v>
      </c>
    </row>
    <row r="87" spans="1:22" ht="21" customHeight="1" x14ac:dyDescent="0.15">
      <c r="A87" s="2" t="str">
        <f ca="1">input_386010!A$2</f>
        <v>386010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IFERROR(VLOOKUP(B87,input_386010!L:R,7,FALSE),VLOOKUP(tables_386010!C87,input_386010!A:H,8,FALSE))</f>
        <v>75075</v>
      </c>
      <c r="P87" s="43">
        <f t="shared" ca="1" si="5"/>
        <v>3.1976744186046511E-3</v>
      </c>
      <c r="Q87" s="28">
        <v>1</v>
      </c>
      <c r="R87" s="28">
        <v>0</v>
      </c>
      <c r="S87" s="28">
        <v>0</v>
      </c>
      <c r="T87" s="28">
        <v>0</v>
      </c>
      <c r="U87" s="28">
        <v>0</v>
      </c>
      <c r="V87" s="28">
        <v>1</v>
      </c>
    </row>
    <row r="88" spans="1:22" ht="21" customHeight="1" x14ac:dyDescent="0.15">
      <c r="A88" s="2" t="str">
        <f ca="1">input_386010!A$2</f>
        <v>386010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IFERROR(VLOOKUP(B88,input_386010!L:R,7,FALSE),VLOOKUP(tables_386010!C88,input_386010!A:H,8,FALSE))</f>
        <v>59487.75</v>
      </c>
      <c r="P88" s="43">
        <f t="shared" ca="1" si="5"/>
        <v>2.5337656529516995E-3</v>
      </c>
      <c r="Q88" s="28">
        <v>1</v>
      </c>
      <c r="R88" s="28">
        <v>0</v>
      </c>
      <c r="S88" s="28">
        <v>0</v>
      </c>
      <c r="T88" s="28">
        <v>0</v>
      </c>
      <c r="U88" s="28">
        <v>0</v>
      </c>
      <c r="V88" s="28">
        <v>1</v>
      </c>
    </row>
    <row r="89" spans="1:22" ht="21" customHeight="1" x14ac:dyDescent="0.15">
      <c r="A89" s="2" t="str">
        <f ca="1">input_386010!A$2</f>
        <v>386010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IFERROR(VLOOKUP(B89,input_386010!L:R,7,FALSE),VLOOKUP(tables_386010!C89,input_386010!A:H,8,FALSE))</f>
        <v>15587.25</v>
      </c>
      <c r="P89" s="43">
        <f t="shared" ca="1" si="5"/>
        <v>6.6390876565295168E-4</v>
      </c>
      <c r="Q89" s="28">
        <v>1</v>
      </c>
      <c r="R89" s="28">
        <v>0</v>
      </c>
      <c r="S89" s="28">
        <v>0</v>
      </c>
      <c r="T89" s="28">
        <v>0</v>
      </c>
      <c r="U89" s="28">
        <v>0</v>
      </c>
      <c r="V89" s="28">
        <v>1</v>
      </c>
    </row>
    <row r="90" spans="1:22" ht="21" customHeight="1" x14ac:dyDescent="0.15">
      <c r="A90" s="2" t="str">
        <f ca="1">input_386010!A$2</f>
        <v>386010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IFERROR(VLOOKUP(B90,input_386010!L:R,7,FALSE),VLOOKUP(tables_386010!C90,input_386010!A:H,8,FALSE))</f>
        <v>75075</v>
      </c>
      <c r="P90" s="43">
        <f t="shared" ca="1" si="5"/>
        <v>3.1976744186046511E-3</v>
      </c>
      <c r="Q90" s="28">
        <v>1</v>
      </c>
      <c r="R90" s="28">
        <v>0</v>
      </c>
      <c r="S90" s="28">
        <v>0</v>
      </c>
      <c r="T90" s="28">
        <v>0</v>
      </c>
      <c r="U90" s="28">
        <v>0</v>
      </c>
      <c r="V90" s="28">
        <v>1</v>
      </c>
    </row>
    <row r="91" spans="1:22" ht="21" customHeight="1" x14ac:dyDescent="0.15">
      <c r="A91" s="2" t="str">
        <f ca="1">input_386010!A$2</f>
        <v>386010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IFERROR(VLOOKUP(B91,input_386010!L:R,7,FALSE),VLOOKUP(tables_386010!C91,input_386010!A:H,8,FALSE))</f>
        <v>59487.75</v>
      </c>
      <c r="P91" s="43">
        <f t="shared" ca="1" si="5"/>
        <v>2.5337656529516995E-3</v>
      </c>
      <c r="Q91" s="28">
        <v>1</v>
      </c>
      <c r="R91" s="28">
        <v>0</v>
      </c>
      <c r="S91" s="28">
        <v>0</v>
      </c>
      <c r="T91" s="28">
        <v>0</v>
      </c>
      <c r="U91" s="28">
        <v>0</v>
      </c>
      <c r="V91" s="28">
        <v>1</v>
      </c>
    </row>
    <row r="92" spans="1:22" ht="21" customHeight="1" x14ac:dyDescent="0.15">
      <c r="A92" s="2" t="str">
        <f ca="1">input_386010!A$2</f>
        <v>386010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IFERROR(VLOOKUP(B92,input_386010!L:R,7,FALSE),VLOOKUP(tables_386010!C92,input_386010!A:H,8,FALSE))</f>
        <v>15587.25</v>
      </c>
      <c r="P92" s="43">
        <f t="shared" ca="1" si="5"/>
        <v>6.6390876565295168E-4</v>
      </c>
      <c r="Q92" s="28">
        <v>1</v>
      </c>
      <c r="R92" s="28">
        <v>0</v>
      </c>
      <c r="S92" s="28">
        <v>0</v>
      </c>
      <c r="T92" s="28">
        <v>0</v>
      </c>
      <c r="U92" s="28">
        <v>0</v>
      </c>
      <c r="V92" s="28">
        <v>1</v>
      </c>
    </row>
    <row r="93" spans="1:22" ht="21" customHeight="1" x14ac:dyDescent="0.15">
      <c r="A93" s="2" t="str">
        <f ca="1">input_386010!A$2</f>
        <v>386010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IFERROR(VLOOKUP(B93,input_386010!L:R,7,FALSE),VLOOKUP(tables_386010!C93,input_386010!A:H,8,FALSE))</f>
        <v>75075</v>
      </c>
      <c r="P93" s="43">
        <f t="shared" ca="1" si="5"/>
        <v>3.1976744186046511E-3</v>
      </c>
      <c r="Q93" s="28">
        <v>1</v>
      </c>
      <c r="R93" s="28">
        <v>0</v>
      </c>
      <c r="S93" s="28">
        <v>0</v>
      </c>
      <c r="T93" s="28">
        <v>0</v>
      </c>
      <c r="U93" s="28">
        <v>0</v>
      </c>
      <c r="V93" s="28">
        <v>1</v>
      </c>
    </row>
    <row r="94" spans="1:22" ht="21" customHeight="1" x14ac:dyDescent="0.15">
      <c r="A94" s="2" t="str">
        <f ca="1">input_386010!A$2</f>
        <v>386010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IFERROR(VLOOKUP(B94,input_386010!L:R,7,FALSE),VLOOKUP(tables_386010!C94,input_386010!A:H,8,FALSE))</f>
        <v>59487.75</v>
      </c>
      <c r="P94" s="43">
        <f t="shared" ca="1" si="5"/>
        <v>2.5337656529516995E-3</v>
      </c>
      <c r="Q94" s="28">
        <v>1</v>
      </c>
      <c r="R94" s="28">
        <v>0</v>
      </c>
      <c r="S94" s="28">
        <v>0</v>
      </c>
      <c r="T94" s="28">
        <v>0</v>
      </c>
      <c r="U94" s="28">
        <v>0</v>
      </c>
      <c r="V94" s="28">
        <v>1</v>
      </c>
    </row>
    <row r="95" spans="1:22" ht="21" customHeight="1" x14ac:dyDescent="0.15">
      <c r="A95" s="2" t="str">
        <f ca="1">input_386010!A$2</f>
        <v>386010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IFERROR(VLOOKUP(B95,input_386010!L:R,7,FALSE),VLOOKUP(tables_386010!C95,input_386010!A:H,8,FALSE))</f>
        <v>15587.25</v>
      </c>
      <c r="P95" s="43">
        <f t="shared" ca="1" si="5"/>
        <v>6.6390876565295168E-4</v>
      </c>
      <c r="Q95" s="28">
        <v>1</v>
      </c>
      <c r="R95" s="28">
        <v>0</v>
      </c>
      <c r="S95" s="28">
        <v>0</v>
      </c>
      <c r="T95" s="28">
        <v>0</v>
      </c>
      <c r="U95" s="28">
        <v>0</v>
      </c>
      <c r="V95" s="28">
        <v>1</v>
      </c>
    </row>
    <row r="96" spans="1:22" ht="21" customHeight="1" x14ac:dyDescent="0.15">
      <c r="A96" s="2" t="str">
        <f ca="1">input_386010!A$2</f>
        <v>386010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IFERROR(VLOOKUP(B96,input_386010!L:R,7,FALSE),VLOOKUP(tables_386010!C96,input_386010!A:H,8,FALSE))</f>
        <v>75075</v>
      </c>
      <c r="P96" s="43">
        <f t="shared" ca="1" si="5"/>
        <v>3.1976744186046511E-3</v>
      </c>
      <c r="Q96" s="28">
        <v>1</v>
      </c>
      <c r="R96" s="28">
        <v>0</v>
      </c>
      <c r="S96" s="28">
        <v>0</v>
      </c>
      <c r="T96" s="28">
        <v>0</v>
      </c>
      <c r="U96" s="28">
        <v>0</v>
      </c>
      <c r="V96" s="28">
        <v>1</v>
      </c>
    </row>
    <row r="97" spans="1:22" ht="21" customHeight="1" x14ac:dyDescent="0.15">
      <c r="A97" s="2" t="str">
        <f ca="1">input_386010!A$2</f>
        <v>386010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IFERROR(VLOOKUP(B97,input_386010!L:R,7,FALSE),VLOOKUP(tables_386010!C97,input_386010!A:H,8,FALSE))</f>
        <v>59487.75</v>
      </c>
      <c r="P97" s="43">
        <f t="shared" ca="1" si="5"/>
        <v>2.5337656529516995E-3</v>
      </c>
      <c r="Q97" s="28">
        <v>1</v>
      </c>
      <c r="R97" s="28">
        <v>0</v>
      </c>
      <c r="S97" s="28">
        <v>0</v>
      </c>
      <c r="T97" s="28">
        <v>0</v>
      </c>
      <c r="U97" s="28">
        <v>0</v>
      </c>
      <c r="V97" s="28">
        <v>1</v>
      </c>
    </row>
    <row r="98" spans="1:22" ht="21" customHeight="1" x14ac:dyDescent="0.15">
      <c r="A98" s="2" t="str">
        <f ca="1">input_386010!A$2</f>
        <v>386010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IFERROR(VLOOKUP(B98,input_386010!L:R,7,FALSE),VLOOKUP(tables_386010!C98,input_386010!A:H,8,FALSE))</f>
        <v>15587.25</v>
      </c>
      <c r="P98" s="43">
        <f t="shared" ca="1" si="5"/>
        <v>6.6390876565295168E-4</v>
      </c>
      <c r="Q98" s="28">
        <v>1</v>
      </c>
      <c r="R98" s="28">
        <v>0</v>
      </c>
      <c r="S98" s="28">
        <v>0</v>
      </c>
      <c r="T98" s="28">
        <v>0</v>
      </c>
      <c r="U98" s="28">
        <v>0</v>
      </c>
      <c r="V98" s="28">
        <v>1</v>
      </c>
    </row>
    <row r="99" spans="1:22" ht="21" customHeight="1" x14ac:dyDescent="0.15">
      <c r="A99" s="2" t="str">
        <f ca="1">input_386010!A$2</f>
        <v>386010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IFERROR(VLOOKUP(B99,input_386010!L:R,7,FALSE),VLOOKUP(tables_386010!C99,input_386010!A:H,8,FALSE))</f>
        <v>75075</v>
      </c>
      <c r="P99" s="43">
        <f t="shared" ca="1" si="5"/>
        <v>3.1976744186046511E-3</v>
      </c>
      <c r="Q99" s="28">
        <v>1</v>
      </c>
      <c r="R99" s="28">
        <v>0</v>
      </c>
      <c r="S99" s="28">
        <v>0</v>
      </c>
      <c r="T99" s="28">
        <v>0</v>
      </c>
      <c r="U99" s="28">
        <v>0</v>
      </c>
      <c r="V99" s="28">
        <v>1</v>
      </c>
    </row>
    <row r="100" spans="1:22" ht="21" customHeight="1" x14ac:dyDescent="0.15">
      <c r="A100" s="2" t="str">
        <f ca="1">input_386010!A$2</f>
        <v>386010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IFERROR(VLOOKUP(B100,input_386010!L:R,7,FALSE),VLOOKUP(tables_386010!C100,input_386010!A:H,8,FALSE))</f>
        <v>59487.75</v>
      </c>
      <c r="P100" s="43">
        <f t="shared" ca="1" si="5"/>
        <v>2.5337656529516995E-3</v>
      </c>
      <c r="Q100" s="28">
        <v>1</v>
      </c>
      <c r="R100" s="28">
        <v>0</v>
      </c>
      <c r="S100" s="28">
        <v>0</v>
      </c>
      <c r="T100" s="28">
        <v>0</v>
      </c>
      <c r="U100" s="28">
        <v>0</v>
      </c>
      <c r="V100" s="28">
        <v>1</v>
      </c>
    </row>
    <row r="101" spans="1:22" ht="21" customHeight="1" x14ac:dyDescent="0.15">
      <c r="A101" s="2" t="str">
        <f ca="1">input_386010!A$2</f>
        <v>386010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IFERROR(VLOOKUP(B101,input_386010!L:R,7,FALSE),VLOOKUP(tables_386010!C101,input_386010!A:H,8,FALSE))</f>
        <v>15587.25</v>
      </c>
      <c r="P101" s="43">
        <f t="shared" ca="1" si="5"/>
        <v>6.6390876565295168E-4</v>
      </c>
      <c r="Q101" s="28">
        <v>1</v>
      </c>
      <c r="R101" s="28">
        <v>0</v>
      </c>
      <c r="S101" s="28">
        <v>0</v>
      </c>
      <c r="T101" s="28">
        <v>0</v>
      </c>
      <c r="U101" s="28">
        <v>0</v>
      </c>
      <c r="V101" s="28">
        <v>1</v>
      </c>
    </row>
    <row r="102" spans="1:22" ht="21" customHeight="1" x14ac:dyDescent="0.15">
      <c r="A102" s="2" t="str">
        <f ca="1">input_386010!A$2</f>
        <v>386010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IFERROR(VLOOKUP(B102,input_386010!L:R,7,FALSE),VLOOKUP(tables_386010!C102,input_386010!A:H,8,FALSE))</f>
        <v>75075</v>
      </c>
      <c r="P102" s="43">
        <f t="shared" ca="1" si="5"/>
        <v>3.1976744186046511E-3</v>
      </c>
      <c r="Q102" s="28">
        <v>1</v>
      </c>
      <c r="R102" s="28">
        <v>0</v>
      </c>
      <c r="S102" s="28">
        <v>0</v>
      </c>
      <c r="T102" s="28">
        <v>0</v>
      </c>
      <c r="U102" s="28">
        <v>0</v>
      </c>
      <c r="V102" s="28">
        <v>1</v>
      </c>
    </row>
    <row r="103" spans="1:22" ht="21" customHeight="1" x14ac:dyDescent="0.15">
      <c r="A103" s="2" t="str">
        <f ca="1">input_386010!A$2</f>
        <v>386010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IFERROR(VLOOKUP(B103,input_386010!L:R,7,FALSE),VLOOKUP(tables_386010!C103,input_386010!A:H,8,FALSE))</f>
        <v>59487.75</v>
      </c>
      <c r="P103" s="43">
        <f t="shared" ca="1" si="5"/>
        <v>2.5337656529516995E-3</v>
      </c>
      <c r="Q103" s="28">
        <v>1</v>
      </c>
      <c r="R103" s="28">
        <v>0</v>
      </c>
      <c r="S103" s="28">
        <v>0</v>
      </c>
      <c r="T103" s="28">
        <v>0</v>
      </c>
      <c r="U103" s="28">
        <v>0</v>
      </c>
      <c r="V103" s="28">
        <v>1</v>
      </c>
    </row>
    <row r="104" spans="1:22" ht="21" customHeight="1" x14ac:dyDescent="0.15">
      <c r="A104" s="2" t="str">
        <f ca="1">input_386010!A$2</f>
        <v>386010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IFERROR(VLOOKUP(B104,input_386010!L:R,7,FALSE),VLOOKUP(tables_386010!C104,input_386010!A:H,8,FALSE))</f>
        <v>15587.25</v>
      </c>
      <c r="P104" s="43">
        <f t="shared" ca="1" si="5"/>
        <v>6.6390876565295168E-4</v>
      </c>
      <c r="Q104" s="28">
        <v>1</v>
      </c>
      <c r="R104" s="28">
        <v>0</v>
      </c>
      <c r="S104" s="28">
        <v>0</v>
      </c>
      <c r="T104" s="28">
        <v>0</v>
      </c>
      <c r="U104" s="28">
        <v>0</v>
      </c>
      <c r="V104" s="28">
        <v>1</v>
      </c>
    </row>
    <row r="105" spans="1:22" ht="21" customHeight="1" x14ac:dyDescent="0.15">
      <c r="A105" s="2" t="str">
        <f ca="1">input_386010!A$2</f>
        <v>386010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IFERROR(VLOOKUP(B105,input_386010!L:R,7,FALSE),VLOOKUP(tables_386010!C105,input_386010!A:H,8,FALSE))</f>
        <v>75075</v>
      </c>
      <c r="P105" s="43">
        <f t="shared" ca="1" si="5"/>
        <v>3.1976744186046511E-3</v>
      </c>
      <c r="Q105" s="28">
        <v>1</v>
      </c>
      <c r="R105" s="28">
        <v>0</v>
      </c>
      <c r="S105" s="28">
        <v>0</v>
      </c>
      <c r="T105" s="28">
        <v>0</v>
      </c>
      <c r="U105" s="28">
        <v>0</v>
      </c>
      <c r="V105" s="28">
        <v>1</v>
      </c>
    </row>
    <row r="106" spans="1:22" ht="21" customHeight="1" x14ac:dyDescent="0.15">
      <c r="A106" s="2" t="str">
        <f ca="1">input_386010!A$2</f>
        <v>386010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IFERROR(VLOOKUP(B106,input_386010!L:R,7,FALSE),VLOOKUP(tables_386010!C106,input_386010!A:H,8,FALSE))</f>
        <v>59487.75</v>
      </c>
      <c r="P106" s="43">
        <f t="shared" ca="1" si="5"/>
        <v>2.5337656529516995E-3</v>
      </c>
      <c r="Q106" s="28">
        <v>1</v>
      </c>
      <c r="R106" s="28">
        <v>0</v>
      </c>
      <c r="S106" s="28">
        <v>0</v>
      </c>
      <c r="T106" s="28">
        <v>0</v>
      </c>
      <c r="U106" s="28">
        <v>0</v>
      </c>
      <c r="V106" s="28">
        <v>1</v>
      </c>
    </row>
    <row r="107" spans="1:22" ht="21" customHeight="1" x14ac:dyDescent="0.15">
      <c r="A107" s="2" t="str">
        <f ca="1">input_386010!A$2</f>
        <v>386010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IFERROR(VLOOKUP(B107,input_386010!L:R,7,FALSE),VLOOKUP(tables_386010!C107,input_386010!A:H,8,FALSE))</f>
        <v>15587.25</v>
      </c>
      <c r="P107" s="43">
        <f t="shared" ca="1" si="5"/>
        <v>6.6390876565295168E-4</v>
      </c>
      <c r="Q107" s="28">
        <v>1</v>
      </c>
      <c r="R107" s="28">
        <v>0</v>
      </c>
      <c r="S107" s="28">
        <v>0</v>
      </c>
      <c r="T107" s="28">
        <v>0</v>
      </c>
      <c r="U107" s="28">
        <v>0</v>
      </c>
      <c r="V107" s="28">
        <v>1</v>
      </c>
    </row>
    <row r="108" spans="1:22" ht="21" customHeight="1" x14ac:dyDescent="0.15">
      <c r="A108" s="2" t="str">
        <f ca="1">input_386010!A$2</f>
        <v>386010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IFERROR(VLOOKUP(B108,input_386010!L:R,7,FALSE),VLOOKUP(tables_386010!C108,input_386010!A:H,8,FALSE))</f>
        <v>75075</v>
      </c>
      <c r="P108" s="43">
        <f t="shared" ca="1" si="5"/>
        <v>3.1976744186046511E-3</v>
      </c>
      <c r="Q108" s="28">
        <v>1</v>
      </c>
      <c r="R108" s="28">
        <v>0</v>
      </c>
      <c r="S108" s="28">
        <v>0</v>
      </c>
      <c r="T108" s="28">
        <v>0</v>
      </c>
      <c r="U108" s="28">
        <v>0</v>
      </c>
      <c r="V108" s="28">
        <v>1</v>
      </c>
    </row>
    <row r="109" spans="1:22" ht="21" customHeight="1" x14ac:dyDescent="0.15">
      <c r="A109" s="2" t="str">
        <f ca="1">input_386010!A$2</f>
        <v>386010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IFERROR(VLOOKUP(B109,input_386010!L:R,7,FALSE),VLOOKUP(tables_386010!C109,input_386010!A:H,8,FALSE))</f>
        <v>59487.75</v>
      </c>
      <c r="P109" s="43">
        <f t="shared" ca="1" si="5"/>
        <v>2.5337656529516995E-3</v>
      </c>
      <c r="Q109" s="28">
        <v>1</v>
      </c>
      <c r="R109" s="28">
        <v>0</v>
      </c>
      <c r="S109" s="28">
        <v>0</v>
      </c>
      <c r="T109" s="28">
        <v>0</v>
      </c>
      <c r="U109" s="28">
        <v>0</v>
      </c>
      <c r="V109" s="28">
        <v>1</v>
      </c>
    </row>
    <row r="110" spans="1:22" ht="21" customHeight="1" x14ac:dyDescent="0.15">
      <c r="A110" s="2" t="str">
        <f ca="1">input_386010!A$2</f>
        <v>386010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IFERROR(VLOOKUP(B110,input_386010!L:R,7,FALSE),VLOOKUP(tables_386010!C110,input_386010!A:H,8,FALSE))</f>
        <v>15587.25</v>
      </c>
      <c r="P110" s="43">
        <f t="shared" ca="1" si="5"/>
        <v>6.6390876565295168E-4</v>
      </c>
      <c r="Q110" s="28">
        <v>1</v>
      </c>
      <c r="R110" s="28">
        <v>0</v>
      </c>
      <c r="S110" s="28">
        <v>0</v>
      </c>
      <c r="T110" s="28">
        <v>0</v>
      </c>
      <c r="U110" s="28">
        <v>0</v>
      </c>
      <c r="V110" s="28">
        <v>1</v>
      </c>
    </row>
    <row r="111" spans="1:22" ht="21" customHeight="1" x14ac:dyDescent="0.15">
      <c r="A111" s="2" t="str">
        <f ca="1">input_386010!A$2</f>
        <v>386010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IFERROR(VLOOKUP(B111,input_386010!L:R,7,FALSE),VLOOKUP(tables_386010!C111,input_386010!A:H,8,FALSE))</f>
        <v>75075</v>
      </c>
      <c r="P111" s="43">
        <f t="shared" ca="1" si="5"/>
        <v>3.1976744186046511E-3</v>
      </c>
      <c r="Q111" s="28">
        <v>1</v>
      </c>
      <c r="R111" s="28">
        <v>0</v>
      </c>
      <c r="S111" s="28">
        <v>0</v>
      </c>
      <c r="T111" s="28">
        <v>0</v>
      </c>
      <c r="U111" s="28">
        <v>0</v>
      </c>
      <c r="V111" s="28">
        <v>1</v>
      </c>
    </row>
    <row r="112" spans="1:22" ht="21" customHeight="1" x14ac:dyDescent="0.15">
      <c r="A112" s="2" t="str">
        <f ca="1">input_386010!A$2</f>
        <v>386010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IFERROR(VLOOKUP(B112,input_386010!L:R,7,FALSE),VLOOKUP(tables_386010!C112,input_386010!A:H,8,FALSE))</f>
        <v>67567.5</v>
      </c>
      <c r="P112" s="43">
        <f t="shared" ca="1" si="5"/>
        <v>2.8779069767441859E-3</v>
      </c>
      <c r="Q112" s="28">
        <v>1</v>
      </c>
      <c r="R112" s="28">
        <v>0</v>
      </c>
      <c r="S112" s="28">
        <v>0</v>
      </c>
      <c r="T112" s="28">
        <v>0</v>
      </c>
      <c r="U112" s="28">
        <v>0</v>
      </c>
      <c r="V112" s="28">
        <v>1</v>
      </c>
    </row>
    <row r="113" spans="1:22" ht="21" customHeight="1" x14ac:dyDescent="0.15">
      <c r="A113" s="2" t="str">
        <f ca="1">input_386010!A$2</f>
        <v>386010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IFERROR(VLOOKUP(B113,input_386010!L:R,7,FALSE),VLOOKUP(tables_386010!C113,input_386010!A:H,8,FALSE))</f>
        <v>7507.5</v>
      </c>
      <c r="P113" s="43">
        <f t="shared" ca="1" si="5"/>
        <v>3.1976744186046509E-4</v>
      </c>
      <c r="Q113" s="28">
        <v>1</v>
      </c>
      <c r="R113" s="28">
        <v>0</v>
      </c>
      <c r="S113" s="28">
        <v>0</v>
      </c>
      <c r="T113" s="28">
        <v>0</v>
      </c>
      <c r="U113" s="28">
        <v>0</v>
      </c>
      <c r="V113" s="28">
        <v>1</v>
      </c>
    </row>
    <row r="114" spans="1:22" ht="21" customHeight="1" x14ac:dyDescent="0.15">
      <c r="A114" s="2" t="str">
        <f ca="1">input_386010!A$2</f>
        <v>386010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IFERROR(VLOOKUP(B114,input_386010!L:R,7,FALSE),VLOOKUP(tables_386010!C114,input_386010!A:H,8,FALSE))</f>
        <v>75075</v>
      </c>
      <c r="P114" s="43">
        <f t="shared" ca="1" si="5"/>
        <v>3.1976744186046511E-3</v>
      </c>
      <c r="Q114" s="28">
        <v>1</v>
      </c>
      <c r="R114" s="28">
        <v>0</v>
      </c>
      <c r="S114" s="28">
        <v>0</v>
      </c>
      <c r="T114" s="28">
        <v>0</v>
      </c>
      <c r="U114" s="28">
        <v>0</v>
      </c>
      <c r="V114" s="28">
        <v>1</v>
      </c>
    </row>
    <row r="115" spans="1:22" ht="21" customHeight="1" x14ac:dyDescent="0.15">
      <c r="A115" s="2" t="str">
        <f ca="1">input_386010!A$2</f>
        <v>386010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IFERROR(VLOOKUP(B115,input_386010!L:R,7,FALSE),VLOOKUP(tables_386010!C115,input_386010!A:H,8,FALSE))</f>
        <v>59487.75</v>
      </c>
      <c r="P115" s="43">
        <f t="shared" ca="1" si="5"/>
        <v>2.5337656529516995E-3</v>
      </c>
      <c r="Q115" s="28">
        <v>1</v>
      </c>
      <c r="R115" s="28">
        <v>0</v>
      </c>
      <c r="S115" s="28">
        <v>0</v>
      </c>
      <c r="T115" s="28">
        <v>0</v>
      </c>
      <c r="U115" s="28">
        <v>0</v>
      </c>
      <c r="V115" s="28">
        <v>1</v>
      </c>
    </row>
    <row r="116" spans="1:22" ht="21" customHeight="1" x14ac:dyDescent="0.15">
      <c r="A116" s="2" t="str">
        <f ca="1">input_386010!A$2</f>
        <v>386010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IFERROR(VLOOKUP(B116,input_386010!L:R,7,FALSE),VLOOKUP(tables_386010!C116,input_386010!A:H,8,FALSE))</f>
        <v>15587.25</v>
      </c>
      <c r="P116" s="43">
        <f t="shared" ca="1" si="5"/>
        <v>6.6390876565295168E-4</v>
      </c>
      <c r="Q116" s="28">
        <v>1</v>
      </c>
      <c r="R116" s="28">
        <v>0</v>
      </c>
      <c r="S116" s="28">
        <v>0</v>
      </c>
      <c r="T116" s="28">
        <v>0</v>
      </c>
      <c r="U116" s="28">
        <v>0</v>
      </c>
      <c r="V116" s="28">
        <v>1</v>
      </c>
    </row>
    <row r="117" spans="1:22" ht="21" customHeight="1" x14ac:dyDescent="0.15">
      <c r="A117" s="2" t="str">
        <f ca="1">input_386010!A$2</f>
        <v>386010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IFERROR(VLOOKUP(B117,input_386010!L:R,7,FALSE),VLOOKUP(tables_386010!C117,input_386010!A:H,8,FALSE))</f>
        <v>75075</v>
      </c>
      <c r="P117" s="43">
        <f t="shared" ca="1" si="5"/>
        <v>3.1976744186046511E-3</v>
      </c>
      <c r="Q117" s="28">
        <v>1</v>
      </c>
      <c r="R117" s="28">
        <v>0</v>
      </c>
      <c r="S117" s="28">
        <v>0</v>
      </c>
      <c r="T117" s="28">
        <v>0</v>
      </c>
      <c r="U117" s="28">
        <v>0</v>
      </c>
      <c r="V117" s="28">
        <v>1</v>
      </c>
    </row>
    <row r="118" spans="1:22" ht="21" customHeight="1" x14ac:dyDescent="0.15">
      <c r="A118" s="2" t="str">
        <f ca="1">input_386010!A$2</f>
        <v>386010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IFERROR(VLOOKUP(B118,input_386010!L:R,7,FALSE),VLOOKUP(tables_386010!C118,input_386010!A:H,8,FALSE))</f>
        <v>59487.75</v>
      </c>
      <c r="P118" s="43">
        <f t="shared" ca="1" si="5"/>
        <v>2.5337656529516995E-3</v>
      </c>
      <c r="Q118" s="28">
        <v>1</v>
      </c>
      <c r="R118" s="28">
        <v>0</v>
      </c>
      <c r="S118" s="28">
        <v>0</v>
      </c>
      <c r="T118" s="28">
        <v>0</v>
      </c>
      <c r="U118" s="28">
        <v>0</v>
      </c>
      <c r="V118" s="28">
        <v>1</v>
      </c>
    </row>
    <row r="119" spans="1:22" ht="21" customHeight="1" x14ac:dyDescent="0.15">
      <c r="A119" s="2" t="str">
        <f ca="1">input_386010!A$2</f>
        <v>386010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IFERROR(VLOOKUP(B119,input_386010!L:R,7,FALSE),VLOOKUP(tables_386010!C119,input_386010!A:H,8,FALSE))</f>
        <v>15587.25</v>
      </c>
      <c r="P119" s="43">
        <f t="shared" ca="1" si="5"/>
        <v>6.6390876565295168E-4</v>
      </c>
      <c r="Q119" s="28">
        <v>1</v>
      </c>
      <c r="R119" s="28">
        <v>0</v>
      </c>
      <c r="S119" s="28">
        <v>0</v>
      </c>
      <c r="T119" s="28">
        <v>0</v>
      </c>
      <c r="U119" s="28">
        <v>0</v>
      </c>
      <c r="V119" s="28">
        <v>1</v>
      </c>
    </row>
    <row r="120" spans="1:22" ht="21" customHeight="1" x14ac:dyDescent="0.15">
      <c r="A120" s="2" t="str">
        <f ca="1">input_386010!A$2</f>
        <v>386010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IFERROR(VLOOKUP(B120,input_386010!L:R,7,FALSE),VLOOKUP(tables_386010!C120,input_386010!A:H,8,FALSE))</f>
        <v>75075</v>
      </c>
      <c r="P120" s="43">
        <f t="shared" ca="1" si="5"/>
        <v>3.1976744186046511E-3</v>
      </c>
      <c r="Q120" s="28">
        <v>1</v>
      </c>
      <c r="R120" s="28">
        <v>0</v>
      </c>
      <c r="S120" s="28">
        <v>0</v>
      </c>
      <c r="T120" s="28">
        <v>0</v>
      </c>
      <c r="U120" s="28">
        <v>0</v>
      </c>
      <c r="V120" s="28">
        <v>1</v>
      </c>
    </row>
    <row r="121" spans="1:22" ht="21" customHeight="1" x14ac:dyDescent="0.15">
      <c r="A121" s="2" t="str">
        <f ca="1">input_386010!A$2</f>
        <v>386010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IFERROR(VLOOKUP(B121,input_386010!L:R,7,FALSE),VLOOKUP(tables_386010!C121,input_386010!A:H,8,FALSE))</f>
        <v>59487.75</v>
      </c>
      <c r="P121" s="43">
        <f t="shared" ca="1" si="5"/>
        <v>2.5337656529516995E-3</v>
      </c>
      <c r="Q121" s="28">
        <v>1</v>
      </c>
      <c r="R121" s="28">
        <v>0</v>
      </c>
      <c r="S121" s="28">
        <v>0</v>
      </c>
      <c r="T121" s="28">
        <v>0</v>
      </c>
      <c r="U121" s="28">
        <v>0</v>
      </c>
      <c r="V121" s="28">
        <v>1</v>
      </c>
    </row>
    <row r="122" spans="1:22" ht="21" customHeight="1" x14ac:dyDescent="0.15">
      <c r="A122" s="2" t="str">
        <f ca="1">input_386010!A$2</f>
        <v>386010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IFERROR(VLOOKUP(B122,input_386010!L:R,7,FALSE),VLOOKUP(tables_386010!C122,input_386010!A:H,8,FALSE))</f>
        <v>15587.25</v>
      </c>
      <c r="P122" s="43">
        <f t="shared" ca="1" si="5"/>
        <v>6.6390876565295168E-4</v>
      </c>
      <c r="Q122" s="28">
        <v>1</v>
      </c>
      <c r="R122" s="28">
        <v>0</v>
      </c>
      <c r="S122" s="28">
        <v>0</v>
      </c>
      <c r="T122" s="28">
        <v>0</v>
      </c>
      <c r="U122" s="28">
        <v>0</v>
      </c>
      <c r="V122" s="28">
        <v>1</v>
      </c>
    </row>
    <row r="123" spans="1:22" ht="21" customHeight="1" x14ac:dyDescent="0.15">
      <c r="A123" s="2" t="str">
        <f ca="1">input_386010!A$2</f>
        <v>386010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IFERROR(VLOOKUP(B123,input_386010!L:R,7,FALSE),VLOOKUP(tables_386010!C123,input_386010!A:H,8,FALSE))</f>
        <v>75075</v>
      </c>
      <c r="P123" s="43">
        <f t="shared" ca="1" si="5"/>
        <v>3.1976744186046511E-3</v>
      </c>
      <c r="Q123" s="28">
        <v>1</v>
      </c>
      <c r="R123" s="28">
        <v>0</v>
      </c>
      <c r="S123" s="28">
        <v>0</v>
      </c>
      <c r="T123" s="28">
        <v>0</v>
      </c>
      <c r="U123" s="28">
        <v>0</v>
      </c>
      <c r="V123" s="28">
        <v>1</v>
      </c>
    </row>
    <row r="124" spans="1:22" ht="21" customHeight="1" x14ac:dyDescent="0.15">
      <c r="A124" s="2" t="str">
        <f ca="1">input_386010!A$2</f>
        <v>386010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IFERROR(VLOOKUP(B124,input_386010!L:R,7,FALSE),VLOOKUP(tables_386010!C124,input_386010!A:H,8,FALSE))</f>
        <v>59487.75</v>
      </c>
      <c r="P124" s="43">
        <f t="shared" ca="1" si="5"/>
        <v>2.5337656529516995E-3</v>
      </c>
      <c r="Q124" s="28">
        <v>1</v>
      </c>
      <c r="R124" s="28">
        <v>0</v>
      </c>
      <c r="S124" s="28">
        <v>0</v>
      </c>
      <c r="T124" s="28">
        <v>0</v>
      </c>
      <c r="U124" s="28">
        <v>0</v>
      </c>
      <c r="V124" s="28">
        <v>1</v>
      </c>
    </row>
    <row r="125" spans="1:22" ht="21" customHeight="1" x14ac:dyDescent="0.15">
      <c r="A125" s="2" t="str">
        <f ca="1">input_386010!A$2</f>
        <v>386010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IFERROR(VLOOKUP(B125,input_386010!L:R,7,FALSE),VLOOKUP(tables_386010!C125,input_386010!A:H,8,FALSE))</f>
        <v>15587.25</v>
      </c>
      <c r="P125" s="43">
        <f t="shared" ca="1" si="5"/>
        <v>6.6390876565295168E-4</v>
      </c>
      <c r="Q125" s="28">
        <v>1</v>
      </c>
      <c r="R125" s="28">
        <v>0</v>
      </c>
      <c r="S125" s="28">
        <v>0</v>
      </c>
      <c r="T125" s="28">
        <v>0</v>
      </c>
      <c r="U125" s="28">
        <v>0</v>
      </c>
      <c r="V125" s="28">
        <v>1</v>
      </c>
    </row>
    <row r="126" spans="1:22" ht="21" customHeight="1" x14ac:dyDescent="0.15">
      <c r="A126" s="2" t="str">
        <f ca="1">input_386010!A$2</f>
        <v>386010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IFERROR(VLOOKUP(B126,input_386010!L:R,7,FALSE),VLOOKUP(tables_386010!C126,input_386010!A:H,8,FALSE))</f>
        <v>75075</v>
      </c>
      <c r="P126" s="43">
        <f t="shared" ca="1" si="5"/>
        <v>3.1976744186046511E-3</v>
      </c>
      <c r="Q126" s="28">
        <v>1</v>
      </c>
      <c r="R126" s="28">
        <v>0</v>
      </c>
      <c r="S126" s="28">
        <v>0</v>
      </c>
      <c r="T126" s="28">
        <v>0</v>
      </c>
      <c r="U126" s="28">
        <v>0</v>
      </c>
      <c r="V126" s="28">
        <v>1</v>
      </c>
    </row>
    <row r="127" spans="1:22" ht="21" customHeight="1" x14ac:dyDescent="0.15">
      <c r="A127" s="2" t="str">
        <f ca="1">input_386010!A$2</f>
        <v>386010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IFERROR(VLOOKUP(B127,input_386010!L:R,7,FALSE),VLOOKUP(tables_386010!C127,input_386010!A:H,8,FALSE))</f>
        <v>59487.75</v>
      </c>
      <c r="P127" s="43">
        <f t="shared" ca="1" si="5"/>
        <v>2.5337656529516995E-3</v>
      </c>
      <c r="Q127" s="28">
        <v>1</v>
      </c>
      <c r="R127" s="28">
        <v>0</v>
      </c>
      <c r="S127" s="28">
        <v>0</v>
      </c>
      <c r="T127" s="28">
        <v>0</v>
      </c>
      <c r="U127" s="28">
        <v>0</v>
      </c>
      <c r="V127" s="28">
        <v>1</v>
      </c>
    </row>
    <row r="128" spans="1:22" ht="21" customHeight="1" x14ac:dyDescent="0.15">
      <c r="A128" s="2" t="str">
        <f ca="1">input_386010!A$2</f>
        <v>386010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IFERROR(VLOOKUP(B128,input_386010!L:R,7,FALSE),VLOOKUP(tables_386010!C128,input_386010!A:H,8,FALSE))</f>
        <v>15587.25</v>
      </c>
      <c r="P128" s="43">
        <f t="shared" ca="1" si="5"/>
        <v>6.6390876565295168E-4</v>
      </c>
      <c r="Q128" s="28">
        <v>1</v>
      </c>
      <c r="R128" s="28">
        <v>0</v>
      </c>
      <c r="S128" s="28">
        <v>0</v>
      </c>
      <c r="T128" s="28">
        <v>0</v>
      </c>
      <c r="U128" s="28">
        <v>0</v>
      </c>
      <c r="V128" s="28">
        <v>1</v>
      </c>
    </row>
    <row r="129" spans="1:22" ht="21" customHeight="1" x14ac:dyDescent="0.15">
      <c r="A129" s="2" t="str">
        <f ca="1">input_386010!A$2</f>
        <v>386010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IFERROR(VLOOKUP(B129,input_386010!L:R,7,FALSE),VLOOKUP(tables_386010!C129,input_386010!A:H,8,FALSE))</f>
        <v>75075</v>
      </c>
      <c r="P129" s="43">
        <f t="shared" ca="1" si="5"/>
        <v>3.1976744186046511E-3</v>
      </c>
      <c r="Q129" s="28">
        <v>1</v>
      </c>
      <c r="R129" s="28">
        <v>0</v>
      </c>
      <c r="S129" s="28">
        <v>0</v>
      </c>
      <c r="T129" s="28">
        <v>0</v>
      </c>
      <c r="U129" s="28">
        <v>0</v>
      </c>
      <c r="V129" s="28">
        <v>1</v>
      </c>
    </row>
    <row r="130" spans="1:22" ht="21" customHeight="1" x14ac:dyDescent="0.15">
      <c r="A130" s="2" t="str">
        <f ca="1">input_386010!A$2</f>
        <v>386010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IFERROR(VLOOKUP(B130,input_386010!L:R,7,FALSE),VLOOKUP(tables_386010!C130,input_386010!A:H,8,FALSE))</f>
        <v>59487.75</v>
      </c>
      <c r="P130" s="43">
        <f t="shared" ref="P130:P193" ca="1" si="8">O130/SUM(O:O)</f>
        <v>2.5337656529516995E-3</v>
      </c>
      <c r="Q130" s="28">
        <v>1</v>
      </c>
      <c r="R130" s="28">
        <v>0</v>
      </c>
      <c r="S130" s="28">
        <v>0</v>
      </c>
      <c r="T130" s="28">
        <v>0</v>
      </c>
      <c r="U130" s="28">
        <v>0</v>
      </c>
      <c r="V130" s="28">
        <v>1</v>
      </c>
    </row>
    <row r="131" spans="1:22" ht="21" customHeight="1" x14ac:dyDescent="0.15">
      <c r="A131" s="2" t="str">
        <f ca="1">input_386010!A$2</f>
        <v>386010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IFERROR(VLOOKUP(B131,input_386010!L:R,7,FALSE),VLOOKUP(tables_386010!C131,input_386010!A:H,8,FALSE))</f>
        <v>15587.25</v>
      </c>
      <c r="P131" s="43">
        <f t="shared" ca="1" si="8"/>
        <v>6.6390876565295168E-4</v>
      </c>
      <c r="Q131" s="28">
        <v>1</v>
      </c>
      <c r="R131" s="28">
        <v>0</v>
      </c>
      <c r="S131" s="28">
        <v>0</v>
      </c>
      <c r="T131" s="28">
        <v>0</v>
      </c>
      <c r="U131" s="28">
        <v>0</v>
      </c>
      <c r="V131" s="28">
        <v>1</v>
      </c>
    </row>
    <row r="132" spans="1:22" ht="21" customHeight="1" x14ac:dyDescent="0.15">
      <c r="A132" s="2" t="str">
        <f ca="1">input_386010!A$2</f>
        <v>386010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IFERROR(VLOOKUP(B132,input_386010!L:R,7,FALSE),VLOOKUP(tables_386010!C132,input_386010!A:H,8,FALSE))</f>
        <v>75075</v>
      </c>
      <c r="P132" s="43">
        <f t="shared" ca="1" si="8"/>
        <v>3.1976744186046511E-3</v>
      </c>
      <c r="Q132" s="28">
        <v>1</v>
      </c>
      <c r="R132" s="28">
        <v>0</v>
      </c>
      <c r="S132" s="28">
        <v>0</v>
      </c>
      <c r="T132" s="28">
        <v>0</v>
      </c>
      <c r="U132" s="28">
        <v>0</v>
      </c>
      <c r="V132" s="28">
        <v>1</v>
      </c>
    </row>
    <row r="133" spans="1:22" ht="21" customHeight="1" x14ac:dyDescent="0.15">
      <c r="A133" s="2" t="str">
        <f ca="1">input_386010!A$2</f>
        <v>386010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IFERROR(VLOOKUP(B133,input_386010!L:R,7,FALSE),VLOOKUP(tables_386010!C133,input_386010!A:H,8,FALSE))</f>
        <v>59487.75</v>
      </c>
      <c r="P133" s="43">
        <f t="shared" ca="1" si="8"/>
        <v>2.5337656529516995E-3</v>
      </c>
      <c r="Q133" s="28">
        <v>1</v>
      </c>
      <c r="R133" s="28">
        <v>0</v>
      </c>
      <c r="S133" s="28">
        <v>0</v>
      </c>
      <c r="T133" s="28">
        <v>0</v>
      </c>
      <c r="U133" s="28">
        <v>0</v>
      </c>
      <c r="V133" s="28">
        <v>1</v>
      </c>
    </row>
    <row r="134" spans="1:22" ht="21" customHeight="1" x14ac:dyDescent="0.15">
      <c r="A134" s="2" t="str">
        <f ca="1">input_386010!A$2</f>
        <v>386010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IFERROR(VLOOKUP(B134,input_386010!L:R,7,FALSE),VLOOKUP(tables_386010!C134,input_386010!A:H,8,FALSE))</f>
        <v>15587.25</v>
      </c>
      <c r="P134" s="43">
        <f t="shared" ca="1" si="8"/>
        <v>6.6390876565295168E-4</v>
      </c>
      <c r="Q134" s="28">
        <v>1</v>
      </c>
      <c r="R134" s="28">
        <v>0</v>
      </c>
      <c r="S134" s="28">
        <v>0</v>
      </c>
      <c r="T134" s="28">
        <v>0</v>
      </c>
      <c r="U134" s="28">
        <v>0</v>
      </c>
      <c r="V134" s="28">
        <v>1</v>
      </c>
    </row>
    <row r="135" spans="1:22" ht="21" customHeight="1" x14ac:dyDescent="0.15">
      <c r="A135" s="2" t="str">
        <f ca="1">input_386010!A$2</f>
        <v>386010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IFERROR(VLOOKUP(B135,input_386010!L:R,7,FALSE),VLOOKUP(tables_386010!C135,input_386010!A:H,8,FALSE))</f>
        <v>75075</v>
      </c>
      <c r="P135" s="43">
        <f t="shared" ca="1" si="8"/>
        <v>3.1976744186046511E-3</v>
      </c>
      <c r="Q135" s="28">
        <v>1</v>
      </c>
      <c r="R135" s="28">
        <v>0</v>
      </c>
      <c r="S135" s="28">
        <v>0</v>
      </c>
      <c r="T135" s="28">
        <v>0</v>
      </c>
      <c r="U135" s="28">
        <v>0</v>
      </c>
      <c r="V135" s="28">
        <v>1</v>
      </c>
    </row>
    <row r="136" spans="1:22" ht="21" customHeight="1" x14ac:dyDescent="0.15">
      <c r="A136" s="2" t="str">
        <f ca="1">input_386010!A$2</f>
        <v>386010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IFERROR(VLOOKUP(B136,input_386010!L:R,7,FALSE),VLOOKUP(tables_386010!C136,input_386010!A:H,8,FALSE))</f>
        <v>59487.75</v>
      </c>
      <c r="P136" s="43">
        <f t="shared" ca="1" si="8"/>
        <v>2.5337656529516995E-3</v>
      </c>
      <c r="Q136" s="28">
        <v>1</v>
      </c>
      <c r="R136" s="28">
        <v>0</v>
      </c>
      <c r="S136" s="28">
        <v>0</v>
      </c>
      <c r="T136" s="28">
        <v>0</v>
      </c>
      <c r="U136" s="28">
        <v>0</v>
      </c>
      <c r="V136" s="28">
        <v>1</v>
      </c>
    </row>
    <row r="137" spans="1:22" ht="21" customHeight="1" x14ac:dyDescent="0.15">
      <c r="A137" s="2" t="str">
        <f ca="1">input_386010!A$2</f>
        <v>386010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IFERROR(VLOOKUP(B137,input_386010!L:R,7,FALSE),VLOOKUP(tables_386010!C137,input_386010!A:H,8,FALSE))</f>
        <v>15587.25</v>
      </c>
      <c r="P137" s="43">
        <f t="shared" ca="1" si="8"/>
        <v>6.6390876565295168E-4</v>
      </c>
      <c r="Q137" s="28">
        <v>1</v>
      </c>
      <c r="R137" s="28">
        <v>0</v>
      </c>
      <c r="S137" s="28">
        <v>0</v>
      </c>
      <c r="T137" s="28">
        <v>0</v>
      </c>
      <c r="U137" s="28">
        <v>0</v>
      </c>
      <c r="V137" s="28">
        <v>1</v>
      </c>
    </row>
    <row r="138" spans="1:22" ht="21" customHeight="1" x14ac:dyDescent="0.15">
      <c r="A138" s="2" t="str">
        <f ca="1">input_386010!A$2</f>
        <v>386010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IFERROR(VLOOKUP(B138,input_386010!L:R,7,FALSE),VLOOKUP(tables_386010!C138,input_386010!A:H,8,FALSE))</f>
        <v>15931.5</v>
      </c>
      <c r="P138" s="43">
        <f t="shared" ca="1" si="8"/>
        <v>6.7857142857142855E-4</v>
      </c>
      <c r="Q138" s="28">
        <v>1</v>
      </c>
      <c r="R138" s="28">
        <v>0</v>
      </c>
      <c r="S138" s="28">
        <v>0</v>
      </c>
      <c r="T138" s="28">
        <v>0</v>
      </c>
      <c r="U138" s="28">
        <v>0</v>
      </c>
      <c r="V138" s="28">
        <v>1</v>
      </c>
    </row>
    <row r="139" spans="1:22" ht="21" customHeight="1" x14ac:dyDescent="0.15">
      <c r="A139" s="2" t="str">
        <f ca="1">input_386010!A$2</f>
        <v>386010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IFERROR(VLOOKUP(B139,input_386010!L:R,7,FALSE),VLOOKUP(tables_386010!C139,input_386010!A:H,8,FALSE))</f>
        <v>838.5</v>
      </c>
      <c r="P139" s="43">
        <f t="shared" ca="1" si="8"/>
        <v>3.5714285714285717E-5</v>
      </c>
      <c r="Q139" s="28">
        <v>1</v>
      </c>
      <c r="R139" s="28">
        <v>0</v>
      </c>
      <c r="S139" s="28">
        <v>0</v>
      </c>
      <c r="T139" s="28">
        <v>0</v>
      </c>
      <c r="U139" s="28">
        <v>0</v>
      </c>
      <c r="V139" s="28">
        <v>1</v>
      </c>
    </row>
    <row r="140" spans="1:22" ht="21" customHeight="1" x14ac:dyDescent="0.15">
      <c r="A140" s="2" t="str">
        <f ca="1">input_386010!A$2</f>
        <v>386010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IFERROR(VLOOKUP(B140,input_386010!L:R,7,FALSE),VLOOKUP(tables_386010!C140,input_386010!A:H,8,FALSE))</f>
        <v>15931.5</v>
      </c>
      <c r="P140" s="43">
        <f t="shared" ca="1" si="8"/>
        <v>6.7857142857142855E-4</v>
      </c>
      <c r="Q140" s="28">
        <v>1</v>
      </c>
      <c r="R140" s="28">
        <v>0</v>
      </c>
      <c r="S140" s="28">
        <v>0</v>
      </c>
      <c r="T140" s="28">
        <v>0</v>
      </c>
      <c r="U140" s="28">
        <v>0</v>
      </c>
      <c r="V140" s="28">
        <v>1</v>
      </c>
    </row>
    <row r="141" spans="1:22" ht="21" customHeight="1" x14ac:dyDescent="0.15">
      <c r="A141" s="2" t="str">
        <f ca="1">input_386010!A$2</f>
        <v>386010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IFERROR(VLOOKUP(B141,input_386010!L:R,7,FALSE),VLOOKUP(tables_386010!C141,input_386010!A:H,8,FALSE))</f>
        <v>838.5</v>
      </c>
      <c r="P141" s="43">
        <f t="shared" ca="1" si="8"/>
        <v>3.5714285714285717E-5</v>
      </c>
      <c r="Q141" s="28">
        <v>1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</row>
    <row r="142" spans="1:22" ht="21" customHeight="1" x14ac:dyDescent="0.15">
      <c r="A142" s="2" t="str">
        <f ca="1">input_386010!A$2</f>
        <v>386010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IFERROR(VLOOKUP(B142,input_386010!L:R,7,FALSE),VLOOKUP(tables_386010!C142,input_386010!A:H,8,FALSE))</f>
        <v>15931.5</v>
      </c>
      <c r="P142" s="43">
        <f t="shared" ca="1" si="8"/>
        <v>6.7857142857142855E-4</v>
      </c>
      <c r="Q142" s="28">
        <v>1</v>
      </c>
      <c r="R142" s="28">
        <v>0</v>
      </c>
      <c r="S142" s="28">
        <v>0</v>
      </c>
      <c r="T142" s="28">
        <v>0</v>
      </c>
      <c r="U142" s="28">
        <v>0</v>
      </c>
      <c r="V142" s="28">
        <v>1</v>
      </c>
    </row>
    <row r="143" spans="1:22" s="12" customFormat="1" ht="21" customHeight="1" thickBot="1" x14ac:dyDescent="0.2">
      <c r="A143" s="2" t="str">
        <f ca="1">input_386010!A$2</f>
        <v>386010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IFERROR(VLOOKUP(B143,input_386010!L:R,7,FALSE),VLOOKUP(tables_386010!C143,input_386010!A:H,8,FALSE))</f>
        <v>838.5</v>
      </c>
      <c r="P143" s="43">
        <f t="shared" ca="1" si="8"/>
        <v>3.5714285714285717E-5</v>
      </c>
      <c r="Q143" s="28">
        <v>1</v>
      </c>
      <c r="R143" s="28">
        <v>0</v>
      </c>
      <c r="S143" s="28">
        <v>0</v>
      </c>
      <c r="T143" s="28">
        <v>0</v>
      </c>
      <c r="U143" s="28">
        <v>0</v>
      </c>
      <c r="V143" s="28">
        <v>1</v>
      </c>
    </row>
    <row r="144" spans="1:22" ht="21" customHeight="1" x14ac:dyDescent="0.15">
      <c r="A144" s="2" t="str">
        <f ca="1">input_386010!A$2</f>
        <v>386010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IFERROR(VLOOKUP(B144,input_386010!L:R,7,FALSE),VLOOKUP(tables_386010!C144,input_386010!A:H,8,FALSE))</f>
        <v>15931.5</v>
      </c>
      <c r="P144" s="43">
        <f t="shared" ca="1" si="8"/>
        <v>6.7857142857142855E-4</v>
      </c>
      <c r="Q144" s="28">
        <v>1</v>
      </c>
      <c r="R144" s="28">
        <v>0</v>
      </c>
      <c r="S144" s="28">
        <v>0</v>
      </c>
      <c r="T144" s="28">
        <v>0</v>
      </c>
      <c r="U144" s="28">
        <v>0</v>
      </c>
      <c r="V144" s="28">
        <v>1</v>
      </c>
    </row>
    <row r="145" spans="1:22" ht="21" customHeight="1" x14ac:dyDescent="0.15">
      <c r="A145" s="2" t="str">
        <f ca="1">input_386010!A$2</f>
        <v>386010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IFERROR(VLOOKUP(B145,input_386010!L:R,7,FALSE),VLOOKUP(tables_386010!C145,input_386010!A:H,8,FALSE))</f>
        <v>838.5</v>
      </c>
      <c r="P145" s="43">
        <f t="shared" ca="1" si="8"/>
        <v>3.5714285714285717E-5</v>
      </c>
      <c r="Q145" s="28">
        <v>1</v>
      </c>
      <c r="R145" s="28">
        <v>0</v>
      </c>
      <c r="S145" s="28">
        <v>0</v>
      </c>
      <c r="T145" s="28">
        <v>0</v>
      </c>
      <c r="U145" s="28">
        <v>0</v>
      </c>
      <c r="V145" s="28">
        <v>1</v>
      </c>
    </row>
    <row r="146" spans="1:22" ht="21" customHeight="1" x14ac:dyDescent="0.15">
      <c r="A146" s="2" t="str">
        <f ca="1">input_386010!A$2</f>
        <v>386010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IFERROR(VLOOKUP(B146,input_386010!L:R,7,FALSE),VLOOKUP(tables_386010!C146,input_386010!A:H,8,FALSE))</f>
        <v>75075</v>
      </c>
      <c r="P146" s="43">
        <f t="shared" ca="1" si="8"/>
        <v>3.1976744186046511E-3</v>
      </c>
      <c r="Q146" s="28">
        <v>1</v>
      </c>
      <c r="R146" s="28">
        <v>0</v>
      </c>
      <c r="S146" s="28">
        <v>0</v>
      </c>
      <c r="T146" s="28">
        <v>0</v>
      </c>
      <c r="U146" s="28">
        <v>0</v>
      </c>
      <c r="V146" s="28">
        <v>1</v>
      </c>
    </row>
    <row r="147" spans="1:22" ht="21" customHeight="1" x14ac:dyDescent="0.15">
      <c r="A147" s="2" t="str">
        <f ca="1">input_386010!A$2</f>
        <v>386010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IFERROR(VLOOKUP(B147,input_386010!L:R,7,FALSE),VLOOKUP(tables_386010!C147,input_386010!A:H,8,FALSE))</f>
        <v>59487.75</v>
      </c>
      <c r="P147" s="43">
        <f t="shared" ca="1" si="8"/>
        <v>2.5337656529516995E-3</v>
      </c>
      <c r="Q147" s="28">
        <v>1</v>
      </c>
      <c r="R147" s="28">
        <v>0</v>
      </c>
      <c r="S147" s="28">
        <v>0</v>
      </c>
      <c r="T147" s="28">
        <v>0</v>
      </c>
      <c r="U147" s="28">
        <v>0</v>
      </c>
      <c r="V147" s="28">
        <v>1</v>
      </c>
    </row>
    <row r="148" spans="1:22" ht="21" customHeight="1" x14ac:dyDescent="0.15">
      <c r="A148" s="2" t="str">
        <f ca="1">input_386010!A$2</f>
        <v>386010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IFERROR(VLOOKUP(B148,input_386010!L:R,7,FALSE),VLOOKUP(tables_386010!C148,input_386010!A:H,8,FALSE))</f>
        <v>15587.25</v>
      </c>
      <c r="P148" s="43">
        <f t="shared" ca="1" si="8"/>
        <v>6.6390876565295168E-4</v>
      </c>
      <c r="Q148" s="28">
        <v>1</v>
      </c>
      <c r="R148" s="28">
        <v>0</v>
      </c>
      <c r="S148" s="28">
        <v>0</v>
      </c>
      <c r="T148" s="28">
        <v>0</v>
      </c>
      <c r="U148" s="28">
        <v>0</v>
      </c>
      <c r="V148" s="28">
        <v>1</v>
      </c>
    </row>
    <row r="149" spans="1:22" ht="21" customHeight="1" x14ac:dyDescent="0.15">
      <c r="A149" s="2" t="str">
        <f ca="1">input_386010!A$2</f>
        <v>386010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IFERROR(VLOOKUP(B149,input_386010!L:R,7,FALSE),VLOOKUP(tables_386010!C149,input_386010!A:H,8,FALSE))</f>
        <v>15931.5</v>
      </c>
      <c r="P149" s="43">
        <f t="shared" ca="1" si="8"/>
        <v>6.7857142857142855E-4</v>
      </c>
      <c r="Q149" s="28">
        <v>1</v>
      </c>
      <c r="R149" s="28">
        <v>0</v>
      </c>
      <c r="S149" s="28">
        <v>0</v>
      </c>
      <c r="T149" s="28">
        <v>0</v>
      </c>
      <c r="U149" s="28">
        <v>0</v>
      </c>
      <c r="V149" s="28">
        <v>1</v>
      </c>
    </row>
    <row r="150" spans="1:22" ht="21" customHeight="1" x14ac:dyDescent="0.15">
      <c r="A150" s="2" t="str">
        <f ca="1">input_386010!A$2</f>
        <v>386010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IFERROR(VLOOKUP(B150,input_386010!L:R,7,FALSE),VLOOKUP(tables_386010!C150,input_386010!A:H,8,FALSE))</f>
        <v>838.5</v>
      </c>
      <c r="P150" s="43">
        <f t="shared" ca="1" si="8"/>
        <v>3.5714285714285717E-5</v>
      </c>
      <c r="Q150" s="28">
        <v>1</v>
      </c>
      <c r="R150" s="28">
        <v>0</v>
      </c>
      <c r="S150" s="28">
        <v>0</v>
      </c>
      <c r="T150" s="28">
        <v>0</v>
      </c>
      <c r="U150" s="28">
        <v>0</v>
      </c>
      <c r="V150" s="28">
        <v>1</v>
      </c>
    </row>
    <row r="151" spans="1:22" ht="21" customHeight="1" x14ac:dyDescent="0.15">
      <c r="A151" s="2" t="str">
        <f ca="1">input_386010!A$2</f>
        <v>386010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IFERROR(VLOOKUP(B151,input_386010!L:R,7,FALSE),VLOOKUP(tables_386010!C151,input_386010!A:H,8,FALSE))</f>
        <v>15931.5</v>
      </c>
      <c r="P151" s="43">
        <f t="shared" ca="1" si="8"/>
        <v>6.7857142857142855E-4</v>
      </c>
      <c r="Q151" s="28">
        <v>1</v>
      </c>
      <c r="R151" s="28">
        <v>0</v>
      </c>
      <c r="S151" s="28">
        <v>0</v>
      </c>
      <c r="T151" s="28">
        <v>0</v>
      </c>
      <c r="U151" s="28">
        <v>0</v>
      </c>
      <c r="V151" s="28">
        <v>1</v>
      </c>
    </row>
    <row r="152" spans="1:22" ht="21" customHeight="1" x14ac:dyDescent="0.15">
      <c r="A152" s="2" t="str">
        <f ca="1">input_386010!A$2</f>
        <v>386010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IFERROR(VLOOKUP(B152,input_386010!L:R,7,FALSE),VLOOKUP(tables_386010!C152,input_386010!A:H,8,FALSE))</f>
        <v>838.5</v>
      </c>
      <c r="P152" s="43">
        <f t="shared" ca="1" si="8"/>
        <v>3.5714285714285717E-5</v>
      </c>
      <c r="Q152" s="28">
        <v>1</v>
      </c>
      <c r="R152" s="28">
        <v>0</v>
      </c>
      <c r="S152" s="28">
        <v>0</v>
      </c>
      <c r="T152" s="28">
        <v>0</v>
      </c>
      <c r="U152" s="28">
        <v>0</v>
      </c>
      <c r="V152" s="28">
        <v>1</v>
      </c>
    </row>
    <row r="153" spans="1:22" ht="21" customHeight="1" x14ac:dyDescent="0.15">
      <c r="A153" s="2" t="str">
        <f ca="1">input_386010!A$2</f>
        <v>386010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IFERROR(VLOOKUP(B153,input_386010!L:R,7,FALSE),VLOOKUP(tables_386010!C153,input_386010!A:H,8,FALSE))</f>
        <v>75075</v>
      </c>
      <c r="P153" s="43">
        <f t="shared" ca="1" si="8"/>
        <v>3.1976744186046511E-3</v>
      </c>
      <c r="Q153" s="28">
        <v>1</v>
      </c>
      <c r="R153" s="28">
        <v>0</v>
      </c>
      <c r="S153" s="28">
        <v>0</v>
      </c>
      <c r="T153" s="28">
        <v>0</v>
      </c>
      <c r="U153" s="28">
        <v>0</v>
      </c>
      <c r="V153" s="28">
        <v>1</v>
      </c>
    </row>
    <row r="154" spans="1:22" ht="21" customHeight="1" x14ac:dyDescent="0.15">
      <c r="A154" s="2" t="str">
        <f ca="1">input_386010!A$2</f>
        <v>386010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IFERROR(VLOOKUP(B154,input_386010!L:R,7,FALSE),VLOOKUP(tables_386010!C154,input_386010!A:H,8,FALSE))</f>
        <v>59487.75</v>
      </c>
      <c r="P154" s="43">
        <f t="shared" ca="1" si="8"/>
        <v>2.5337656529516995E-3</v>
      </c>
      <c r="Q154" s="28">
        <v>1</v>
      </c>
      <c r="R154" s="28">
        <v>0</v>
      </c>
      <c r="S154" s="28">
        <v>0</v>
      </c>
      <c r="T154" s="28">
        <v>0</v>
      </c>
      <c r="U154" s="28">
        <v>0</v>
      </c>
      <c r="V154" s="28">
        <v>1</v>
      </c>
    </row>
    <row r="155" spans="1:22" ht="21" customHeight="1" x14ac:dyDescent="0.15">
      <c r="A155" s="2" t="str">
        <f ca="1">input_386010!A$2</f>
        <v>386010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IFERROR(VLOOKUP(B155,input_386010!L:R,7,FALSE),VLOOKUP(tables_386010!C155,input_386010!A:H,8,FALSE))</f>
        <v>15587.25</v>
      </c>
      <c r="P155" s="43">
        <f t="shared" ca="1" si="8"/>
        <v>6.6390876565295168E-4</v>
      </c>
      <c r="Q155" s="28">
        <v>1</v>
      </c>
      <c r="R155" s="28">
        <v>0</v>
      </c>
      <c r="S155" s="28">
        <v>0</v>
      </c>
      <c r="T155" s="28">
        <v>0</v>
      </c>
      <c r="U155" s="28">
        <v>0</v>
      </c>
      <c r="V155" s="28">
        <v>1</v>
      </c>
    </row>
    <row r="156" spans="1:22" ht="21" customHeight="1" x14ac:dyDescent="0.15">
      <c r="A156" s="2" t="str">
        <f ca="1">input_386010!A$2</f>
        <v>386010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IFERROR(VLOOKUP(B156,input_386010!L:R,7,FALSE),VLOOKUP(tables_386010!C156,input_386010!A:H,8,FALSE))</f>
        <v>15931.5</v>
      </c>
      <c r="P156" s="43">
        <f t="shared" ca="1" si="8"/>
        <v>6.7857142857142855E-4</v>
      </c>
      <c r="Q156" s="28">
        <v>1</v>
      </c>
      <c r="R156" s="28">
        <v>0</v>
      </c>
      <c r="S156" s="28">
        <v>0</v>
      </c>
      <c r="T156" s="28">
        <v>0</v>
      </c>
      <c r="U156" s="28">
        <v>0</v>
      </c>
      <c r="V156" s="28">
        <v>1</v>
      </c>
    </row>
    <row r="157" spans="1:22" ht="21" customHeight="1" x14ac:dyDescent="0.15">
      <c r="A157" s="2" t="str">
        <f ca="1">input_386010!A$2</f>
        <v>386010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IFERROR(VLOOKUP(B157,input_386010!L:R,7,FALSE),VLOOKUP(tables_386010!C157,input_386010!A:H,8,FALSE))</f>
        <v>838.5</v>
      </c>
      <c r="P157" s="43">
        <f t="shared" ca="1" si="8"/>
        <v>3.5714285714285717E-5</v>
      </c>
      <c r="Q157" s="28">
        <v>1</v>
      </c>
      <c r="R157" s="28">
        <v>0</v>
      </c>
      <c r="S157" s="28">
        <v>0</v>
      </c>
      <c r="T157" s="28">
        <v>0</v>
      </c>
      <c r="U157" s="28">
        <v>0</v>
      </c>
      <c r="V157" s="28">
        <v>1</v>
      </c>
    </row>
    <row r="158" spans="1:22" ht="21" customHeight="1" x14ac:dyDescent="0.15">
      <c r="A158" s="2" t="str">
        <f ca="1">input_386010!A$2</f>
        <v>386010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IFERROR(VLOOKUP(B158,input_386010!L:R,7,FALSE),VLOOKUP(tables_386010!C158,input_386010!A:H,8,FALSE))</f>
        <v>75075</v>
      </c>
      <c r="P158" s="43">
        <f t="shared" ca="1" si="8"/>
        <v>3.1976744186046511E-3</v>
      </c>
      <c r="Q158" s="28">
        <v>1</v>
      </c>
      <c r="R158" s="28">
        <v>0</v>
      </c>
      <c r="S158" s="28">
        <v>0</v>
      </c>
      <c r="T158" s="28">
        <v>0</v>
      </c>
      <c r="U158" s="28">
        <v>0</v>
      </c>
      <c r="V158" s="28">
        <v>1</v>
      </c>
    </row>
    <row r="159" spans="1:22" ht="21" customHeight="1" x14ac:dyDescent="0.15">
      <c r="A159" s="2" t="str">
        <f ca="1">input_386010!A$2</f>
        <v>386010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IFERROR(VLOOKUP(B159,input_386010!L:R,7,FALSE),VLOOKUP(tables_386010!C159,input_386010!A:H,8,FALSE))</f>
        <v>59487.75</v>
      </c>
      <c r="P159" s="43">
        <f t="shared" ca="1" si="8"/>
        <v>2.5337656529516995E-3</v>
      </c>
      <c r="Q159" s="28">
        <v>1</v>
      </c>
      <c r="R159" s="28">
        <v>0</v>
      </c>
      <c r="S159" s="28">
        <v>0</v>
      </c>
      <c r="T159" s="28">
        <v>0</v>
      </c>
      <c r="U159" s="28">
        <v>0</v>
      </c>
      <c r="V159" s="28">
        <v>1</v>
      </c>
    </row>
    <row r="160" spans="1:22" ht="21" customHeight="1" x14ac:dyDescent="0.15">
      <c r="A160" s="2" t="str">
        <f ca="1">input_386010!A$2</f>
        <v>386010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IFERROR(VLOOKUP(B160,input_386010!L:R,7,FALSE),VLOOKUP(tables_386010!C160,input_386010!A:H,8,FALSE))</f>
        <v>15587.25</v>
      </c>
      <c r="P160" s="43">
        <f t="shared" ca="1" si="8"/>
        <v>6.6390876565295168E-4</v>
      </c>
      <c r="Q160" s="28">
        <v>1</v>
      </c>
      <c r="R160" s="28">
        <v>0</v>
      </c>
      <c r="S160" s="28">
        <v>0</v>
      </c>
      <c r="T160" s="28">
        <v>0</v>
      </c>
      <c r="U160" s="28">
        <v>0</v>
      </c>
      <c r="V160" s="28">
        <v>1</v>
      </c>
    </row>
    <row r="161" spans="1:22" ht="21" customHeight="1" x14ac:dyDescent="0.15">
      <c r="A161" s="2" t="str">
        <f ca="1">input_386010!A$2</f>
        <v>386010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IFERROR(VLOOKUP(B161,input_386010!L:R,7,FALSE),VLOOKUP(tables_386010!C161,input_386010!A:H,8,FALSE))</f>
        <v>75075</v>
      </c>
      <c r="P161" s="43">
        <f t="shared" ca="1" si="8"/>
        <v>3.1976744186046511E-3</v>
      </c>
      <c r="Q161" s="28">
        <v>1</v>
      </c>
      <c r="R161" s="28">
        <v>0</v>
      </c>
      <c r="S161" s="28">
        <v>0</v>
      </c>
      <c r="T161" s="28">
        <v>0</v>
      </c>
      <c r="U161" s="28">
        <v>0</v>
      </c>
      <c r="V161" s="28">
        <v>1</v>
      </c>
    </row>
    <row r="162" spans="1:22" ht="21" customHeight="1" x14ac:dyDescent="0.15">
      <c r="A162" s="2" t="str">
        <f ca="1">input_386010!A$2</f>
        <v>386010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IFERROR(VLOOKUP(B162,input_386010!L:R,7,FALSE),VLOOKUP(tables_386010!C162,input_386010!A:H,8,FALSE))</f>
        <v>59487.75</v>
      </c>
      <c r="P162" s="43">
        <f t="shared" ca="1" si="8"/>
        <v>2.5337656529516995E-3</v>
      </c>
      <c r="Q162" s="28">
        <v>1</v>
      </c>
      <c r="R162" s="28">
        <v>0</v>
      </c>
      <c r="S162" s="28">
        <v>0</v>
      </c>
      <c r="T162" s="28">
        <v>0</v>
      </c>
      <c r="U162" s="28">
        <v>0</v>
      </c>
      <c r="V162" s="28">
        <v>1</v>
      </c>
    </row>
    <row r="163" spans="1:22" ht="21" customHeight="1" x14ac:dyDescent="0.15">
      <c r="A163" s="2" t="str">
        <f ca="1">input_386010!A$2</f>
        <v>386010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IFERROR(VLOOKUP(B163,input_386010!L:R,7,FALSE),VLOOKUP(tables_386010!C163,input_386010!A:H,8,FALSE))</f>
        <v>15587.25</v>
      </c>
      <c r="P163" s="43">
        <f t="shared" ca="1" si="8"/>
        <v>6.6390876565295168E-4</v>
      </c>
      <c r="Q163" s="28">
        <v>1</v>
      </c>
      <c r="R163" s="28">
        <v>0</v>
      </c>
      <c r="S163" s="28">
        <v>0</v>
      </c>
      <c r="T163" s="28">
        <v>0</v>
      </c>
      <c r="U163" s="28">
        <v>0</v>
      </c>
      <c r="V163" s="28">
        <v>1</v>
      </c>
    </row>
    <row r="164" spans="1:22" ht="21" customHeight="1" x14ac:dyDescent="0.15">
      <c r="A164" s="2" t="str">
        <f ca="1">input_386010!A$2</f>
        <v>386010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IFERROR(VLOOKUP(B164,input_386010!L:R,7,FALSE),VLOOKUP(tables_386010!C164,input_386010!A:H,8,FALSE))</f>
        <v>15931.5</v>
      </c>
      <c r="P164" s="43">
        <f t="shared" ca="1" si="8"/>
        <v>6.7857142857142855E-4</v>
      </c>
      <c r="Q164" s="28">
        <v>1</v>
      </c>
      <c r="R164" s="28">
        <v>0</v>
      </c>
      <c r="S164" s="28">
        <v>0</v>
      </c>
      <c r="T164" s="28">
        <v>0</v>
      </c>
      <c r="U164" s="28">
        <v>0</v>
      </c>
      <c r="V164" s="28">
        <v>1</v>
      </c>
    </row>
    <row r="165" spans="1:22" ht="21" customHeight="1" x14ac:dyDescent="0.15">
      <c r="A165" s="2" t="str">
        <f ca="1">input_386010!A$2</f>
        <v>386010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IFERROR(VLOOKUP(B165,input_386010!L:R,7,FALSE),VLOOKUP(tables_386010!C165,input_386010!A:H,8,FALSE))</f>
        <v>838.5</v>
      </c>
      <c r="P165" s="43">
        <f t="shared" ca="1" si="8"/>
        <v>3.5714285714285717E-5</v>
      </c>
      <c r="Q165" s="28">
        <v>1</v>
      </c>
      <c r="R165" s="28">
        <v>0</v>
      </c>
      <c r="S165" s="28">
        <v>0</v>
      </c>
      <c r="T165" s="28">
        <v>0</v>
      </c>
      <c r="U165" s="28">
        <v>0</v>
      </c>
      <c r="V165" s="28">
        <v>1</v>
      </c>
    </row>
    <row r="166" spans="1:22" ht="21" customHeight="1" x14ac:dyDescent="0.15">
      <c r="A166" s="2" t="str">
        <f ca="1">input_386010!A$2</f>
        <v>386010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IFERROR(VLOOKUP(B166,input_386010!L:R,7,FALSE),VLOOKUP(tables_386010!C166,input_386010!A:H,8,FALSE))</f>
        <v>75075</v>
      </c>
      <c r="P166" s="43">
        <f t="shared" ca="1" si="8"/>
        <v>3.1976744186046511E-3</v>
      </c>
      <c r="Q166" s="28">
        <v>1</v>
      </c>
      <c r="R166" s="28">
        <v>0</v>
      </c>
      <c r="S166" s="28">
        <v>0</v>
      </c>
      <c r="T166" s="28">
        <v>0</v>
      </c>
      <c r="U166" s="28">
        <v>0</v>
      </c>
      <c r="V166" s="28">
        <v>1</v>
      </c>
    </row>
    <row r="167" spans="1:22" ht="21" customHeight="1" x14ac:dyDescent="0.15">
      <c r="A167" s="2" t="str">
        <f ca="1">input_386010!A$2</f>
        <v>386010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IFERROR(VLOOKUP(B167,input_386010!L:R,7,FALSE),VLOOKUP(tables_386010!C167,input_386010!A:H,8,FALSE))</f>
        <v>59487.75</v>
      </c>
      <c r="P167" s="43">
        <f t="shared" ca="1" si="8"/>
        <v>2.5337656529516995E-3</v>
      </c>
      <c r="Q167" s="28">
        <v>1</v>
      </c>
      <c r="R167" s="28">
        <v>0</v>
      </c>
      <c r="S167" s="28">
        <v>0</v>
      </c>
      <c r="T167" s="28">
        <v>0</v>
      </c>
      <c r="U167" s="28">
        <v>0</v>
      </c>
      <c r="V167" s="28">
        <v>1</v>
      </c>
    </row>
    <row r="168" spans="1:22" ht="21" customHeight="1" x14ac:dyDescent="0.15">
      <c r="A168" s="2" t="str">
        <f ca="1">input_386010!A$2</f>
        <v>386010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IFERROR(VLOOKUP(B168,input_386010!L:R,7,FALSE),VLOOKUP(tables_386010!C168,input_386010!A:H,8,FALSE))</f>
        <v>15587.25</v>
      </c>
      <c r="P168" s="43">
        <f t="shared" ca="1" si="8"/>
        <v>6.6390876565295168E-4</v>
      </c>
      <c r="Q168" s="28">
        <v>1</v>
      </c>
      <c r="R168" s="28">
        <v>0</v>
      </c>
      <c r="S168" s="28">
        <v>0</v>
      </c>
      <c r="T168" s="28">
        <v>0</v>
      </c>
      <c r="U168" s="28">
        <v>0</v>
      </c>
      <c r="V168" s="28">
        <v>1</v>
      </c>
    </row>
    <row r="169" spans="1:22" ht="21" customHeight="1" x14ac:dyDescent="0.15">
      <c r="A169" s="2" t="str">
        <f ca="1">input_386010!A$2</f>
        <v>386010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IFERROR(VLOOKUP(B169,input_386010!L:R,7,FALSE),VLOOKUP(tables_386010!C169,input_386010!A:H,8,FALSE))</f>
        <v>15931.5</v>
      </c>
      <c r="P169" s="43">
        <f t="shared" ca="1" si="8"/>
        <v>6.7857142857142855E-4</v>
      </c>
      <c r="Q169" s="28">
        <v>1</v>
      </c>
      <c r="R169" s="28">
        <v>0</v>
      </c>
      <c r="S169" s="28">
        <v>0</v>
      </c>
      <c r="T169" s="28">
        <v>0</v>
      </c>
      <c r="U169" s="28">
        <v>0</v>
      </c>
      <c r="V169" s="28">
        <v>1</v>
      </c>
    </row>
    <row r="170" spans="1:22" ht="21" customHeight="1" x14ac:dyDescent="0.15">
      <c r="A170" s="2" t="str">
        <f ca="1">input_386010!A$2</f>
        <v>386010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IFERROR(VLOOKUP(B170,input_386010!L:R,7,FALSE),VLOOKUP(tables_386010!C170,input_386010!A:H,8,FALSE))</f>
        <v>838.5</v>
      </c>
      <c r="P170" s="43">
        <f t="shared" ca="1" si="8"/>
        <v>3.5714285714285717E-5</v>
      </c>
      <c r="Q170" s="28">
        <v>1</v>
      </c>
      <c r="R170" s="28">
        <v>0</v>
      </c>
      <c r="S170" s="28">
        <v>0</v>
      </c>
      <c r="T170" s="28">
        <v>0</v>
      </c>
      <c r="U170" s="28">
        <v>0</v>
      </c>
      <c r="V170" s="28">
        <v>1</v>
      </c>
    </row>
    <row r="171" spans="1:22" ht="21" customHeight="1" x14ac:dyDescent="0.15">
      <c r="A171" s="2" t="str">
        <f ca="1">input_386010!A$2</f>
        <v>386010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IFERROR(VLOOKUP(B171,input_386010!L:R,7,FALSE),VLOOKUP(tables_386010!C171,input_386010!A:H,8,FALSE))</f>
        <v>75075</v>
      </c>
      <c r="P171" s="43">
        <f t="shared" ca="1" si="8"/>
        <v>3.1976744186046511E-3</v>
      </c>
      <c r="Q171" s="28">
        <v>1</v>
      </c>
      <c r="R171" s="28">
        <v>0</v>
      </c>
      <c r="S171" s="28">
        <v>0</v>
      </c>
      <c r="T171" s="28">
        <v>0</v>
      </c>
      <c r="U171" s="28">
        <v>0</v>
      </c>
      <c r="V171" s="28">
        <v>1</v>
      </c>
    </row>
    <row r="172" spans="1:22" ht="21" customHeight="1" x14ac:dyDescent="0.15">
      <c r="A172" s="2" t="str">
        <f ca="1">input_386010!A$2</f>
        <v>386010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IFERROR(VLOOKUP(B172,input_386010!L:R,7,FALSE),VLOOKUP(tables_386010!C172,input_386010!A:H,8,FALSE))</f>
        <v>59487.75</v>
      </c>
      <c r="P172" s="43">
        <f t="shared" ca="1" si="8"/>
        <v>2.5337656529516995E-3</v>
      </c>
      <c r="Q172" s="28">
        <v>1</v>
      </c>
      <c r="R172" s="28">
        <v>0</v>
      </c>
      <c r="S172" s="28">
        <v>0</v>
      </c>
      <c r="T172" s="28">
        <v>0</v>
      </c>
      <c r="U172" s="28">
        <v>0</v>
      </c>
      <c r="V172" s="28">
        <v>1</v>
      </c>
    </row>
    <row r="173" spans="1:22" ht="21" customHeight="1" x14ac:dyDescent="0.15">
      <c r="A173" s="2" t="str">
        <f ca="1">input_386010!A$2</f>
        <v>386010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IFERROR(VLOOKUP(B173,input_386010!L:R,7,FALSE),VLOOKUP(tables_386010!C173,input_386010!A:H,8,FALSE))</f>
        <v>15587.25</v>
      </c>
      <c r="P173" s="43">
        <f t="shared" ca="1" si="8"/>
        <v>6.6390876565295168E-4</v>
      </c>
      <c r="Q173" s="28">
        <v>1</v>
      </c>
      <c r="R173" s="28">
        <v>0</v>
      </c>
      <c r="S173" s="28">
        <v>0</v>
      </c>
      <c r="T173" s="28">
        <v>0</v>
      </c>
      <c r="U173" s="28">
        <v>0</v>
      </c>
      <c r="V173" s="28">
        <v>1</v>
      </c>
    </row>
    <row r="174" spans="1:22" ht="21" customHeight="1" x14ac:dyDescent="0.15">
      <c r="A174" s="2" t="str">
        <f ca="1">input_386010!A$2</f>
        <v>386010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IFERROR(VLOOKUP(B174,input_386010!L:R,7,FALSE),VLOOKUP(tables_386010!C174,input_386010!A:H,8,FALSE))</f>
        <v>15931.5</v>
      </c>
      <c r="P174" s="43">
        <f t="shared" ca="1" si="8"/>
        <v>6.7857142857142855E-4</v>
      </c>
      <c r="Q174" s="28">
        <v>1</v>
      </c>
      <c r="R174" s="28">
        <v>0</v>
      </c>
      <c r="S174" s="28">
        <v>0</v>
      </c>
      <c r="T174" s="28">
        <v>0</v>
      </c>
      <c r="U174" s="28">
        <v>0</v>
      </c>
      <c r="V174" s="28">
        <v>1</v>
      </c>
    </row>
    <row r="175" spans="1:22" ht="21" customHeight="1" x14ac:dyDescent="0.15">
      <c r="A175" s="2" t="str">
        <f ca="1">input_386010!A$2</f>
        <v>386010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IFERROR(VLOOKUP(B175,input_386010!L:R,7,FALSE),VLOOKUP(tables_386010!C175,input_386010!A:H,8,FALSE))</f>
        <v>838.5</v>
      </c>
      <c r="P175" s="43">
        <f t="shared" ca="1" si="8"/>
        <v>3.5714285714285717E-5</v>
      </c>
      <c r="Q175" s="28">
        <v>1</v>
      </c>
      <c r="R175" s="28">
        <v>0</v>
      </c>
      <c r="S175" s="28">
        <v>0</v>
      </c>
      <c r="T175" s="28">
        <v>0</v>
      </c>
      <c r="U175" s="28">
        <v>0</v>
      </c>
      <c r="V175" s="28">
        <v>1</v>
      </c>
    </row>
    <row r="176" spans="1:22" ht="21" customHeight="1" x14ac:dyDescent="0.15">
      <c r="A176" s="2" t="str">
        <f ca="1">input_386010!A$2</f>
        <v>386010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IFERROR(VLOOKUP(B176,input_386010!L:R,7,FALSE),VLOOKUP(tables_386010!C176,input_386010!A:H,8,FALSE))</f>
        <v>15931.5</v>
      </c>
      <c r="P176" s="43">
        <f t="shared" ca="1" si="8"/>
        <v>6.7857142857142855E-4</v>
      </c>
      <c r="Q176" s="28">
        <v>1</v>
      </c>
      <c r="R176" s="28">
        <v>0</v>
      </c>
      <c r="S176" s="28">
        <v>0</v>
      </c>
      <c r="T176" s="28">
        <v>0</v>
      </c>
      <c r="U176" s="28">
        <v>0</v>
      </c>
      <c r="V176" s="28">
        <v>1</v>
      </c>
    </row>
    <row r="177" spans="1:22" ht="21" customHeight="1" x14ac:dyDescent="0.15">
      <c r="A177" s="2" t="str">
        <f ca="1">input_386010!A$2</f>
        <v>386010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IFERROR(VLOOKUP(B177,input_386010!L:R,7,FALSE),VLOOKUP(tables_386010!C177,input_386010!A:H,8,FALSE))</f>
        <v>838.5</v>
      </c>
      <c r="P177" s="43">
        <f t="shared" ca="1" si="8"/>
        <v>3.5714285714285717E-5</v>
      </c>
      <c r="Q177" s="28">
        <v>1</v>
      </c>
      <c r="R177" s="28">
        <v>0</v>
      </c>
      <c r="S177" s="28">
        <v>0</v>
      </c>
      <c r="T177" s="28">
        <v>0</v>
      </c>
      <c r="U177" s="28">
        <v>0</v>
      </c>
      <c r="V177" s="28">
        <v>1</v>
      </c>
    </row>
    <row r="178" spans="1:22" ht="21" customHeight="1" x14ac:dyDescent="0.15">
      <c r="A178" s="2" t="str">
        <f ca="1">input_386010!A$2</f>
        <v>386010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IFERROR(VLOOKUP(B178,input_386010!L:R,7,FALSE),VLOOKUP(tables_386010!C178,input_386010!A:H,8,FALSE))</f>
        <v>75075</v>
      </c>
      <c r="P178" s="43">
        <f t="shared" ca="1" si="8"/>
        <v>3.1976744186046511E-3</v>
      </c>
      <c r="Q178" s="28">
        <v>1</v>
      </c>
      <c r="R178" s="28">
        <v>0</v>
      </c>
      <c r="S178" s="28">
        <v>0</v>
      </c>
      <c r="T178" s="28">
        <v>0</v>
      </c>
      <c r="U178" s="28">
        <v>0</v>
      </c>
      <c r="V178" s="28">
        <v>1</v>
      </c>
    </row>
    <row r="179" spans="1:22" ht="21" customHeight="1" x14ac:dyDescent="0.15">
      <c r="A179" s="2" t="str">
        <f ca="1">input_386010!A$2</f>
        <v>386010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IFERROR(VLOOKUP(B179,input_386010!L:R,7,FALSE),VLOOKUP(tables_386010!C179,input_386010!A:H,8,FALSE))</f>
        <v>59487.75</v>
      </c>
      <c r="P179" s="43">
        <f t="shared" ca="1" si="8"/>
        <v>2.5337656529516995E-3</v>
      </c>
      <c r="Q179" s="28">
        <v>1</v>
      </c>
      <c r="R179" s="28">
        <v>0</v>
      </c>
      <c r="S179" s="28">
        <v>0</v>
      </c>
      <c r="T179" s="28">
        <v>0</v>
      </c>
      <c r="U179" s="28">
        <v>0</v>
      </c>
      <c r="V179" s="28">
        <v>1</v>
      </c>
    </row>
    <row r="180" spans="1:22" ht="21" customHeight="1" x14ac:dyDescent="0.15">
      <c r="A180" s="2" t="str">
        <f ca="1">input_386010!A$2</f>
        <v>386010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IFERROR(VLOOKUP(B180,input_386010!L:R,7,FALSE),VLOOKUP(tables_386010!C180,input_386010!A:H,8,FALSE))</f>
        <v>15587.25</v>
      </c>
      <c r="P180" s="43">
        <f t="shared" ca="1" si="8"/>
        <v>6.6390876565295168E-4</v>
      </c>
      <c r="Q180" s="28">
        <v>1</v>
      </c>
      <c r="R180" s="28">
        <v>0</v>
      </c>
      <c r="S180" s="28">
        <v>0</v>
      </c>
      <c r="T180" s="28">
        <v>0</v>
      </c>
      <c r="U180" s="28">
        <v>0</v>
      </c>
      <c r="V180" s="28">
        <v>1</v>
      </c>
    </row>
    <row r="181" spans="1:22" ht="21" customHeight="1" x14ac:dyDescent="0.15">
      <c r="A181" s="2" t="str">
        <f ca="1">input_386010!A$2</f>
        <v>386010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IFERROR(VLOOKUP(B181,input_386010!L:R,7,FALSE),VLOOKUP(tables_386010!C181,input_386010!A:H,8,FALSE))</f>
        <v>75075</v>
      </c>
      <c r="P181" s="43">
        <f t="shared" ca="1" si="8"/>
        <v>3.1976744186046511E-3</v>
      </c>
      <c r="Q181" s="28">
        <v>1</v>
      </c>
      <c r="R181" s="28">
        <v>0</v>
      </c>
      <c r="S181" s="28">
        <v>0</v>
      </c>
      <c r="T181" s="28">
        <v>0</v>
      </c>
      <c r="U181" s="28">
        <v>0</v>
      </c>
      <c r="V181" s="28">
        <v>1</v>
      </c>
    </row>
    <row r="182" spans="1:22" ht="21" customHeight="1" x14ac:dyDescent="0.15">
      <c r="A182" s="2" t="str">
        <f ca="1">input_386010!A$2</f>
        <v>386010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IFERROR(VLOOKUP(B182,input_386010!L:R,7,FALSE),VLOOKUP(tables_386010!C182,input_386010!A:H,8,FALSE))</f>
        <v>59487.75</v>
      </c>
      <c r="P182" s="43">
        <f t="shared" ca="1" si="8"/>
        <v>2.5337656529516995E-3</v>
      </c>
      <c r="Q182" s="28">
        <v>1</v>
      </c>
      <c r="R182" s="28">
        <v>0</v>
      </c>
      <c r="S182" s="28">
        <v>0</v>
      </c>
      <c r="T182" s="28">
        <v>0</v>
      </c>
      <c r="U182" s="28">
        <v>0</v>
      </c>
      <c r="V182" s="28">
        <v>1</v>
      </c>
    </row>
    <row r="183" spans="1:22" ht="21" customHeight="1" x14ac:dyDescent="0.15">
      <c r="A183" s="2" t="str">
        <f ca="1">input_386010!A$2</f>
        <v>386010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IFERROR(VLOOKUP(B183,input_386010!L:R,7,FALSE),VLOOKUP(tables_386010!C183,input_386010!A:H,8,FALSE))</f>
        <v>15587.25</v>
      </c>
      <c r="P183" s="43">
        <f t="shared" ca="1" si="8"/>
        <v>6.6390876565295168E-4</v>
      </c>
      <c r="Q183" s="28">
        <v>1</v>
      </c>
      <c r="R183" s="28">
        <v>0</v>
      </c>
      <c r="S183" s="28">
        <v>0</v>
      </c>
      <c r="T183" s="28">
        <v>0</v>
      </c>
      <c r="U183" s="28">
        <v>0</v>
      </c>
      <c r="V183" s="28">
        <v>1</v>
      </c>
    </row>
    <row r="184" spans="1:22" ht="21" customHeight="1" x14ac:dyDescent="0.15">
      <c r="A184" s="2" t="str">
        <f ca="1">input_386010!A$2</f>
        <v>386010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IFERROR(VLOOKUP(B184,input_386010!L:R,7,FALSE),VLOOKUP(tables_386010!C184,input_386010!A:H,8,FALSE))</f>
        <v>15931.5</v>
      </c>
      <c r="P184" s="43">
        <f t="shared" ca="1" si="8"/>
        <v>6.7857142857142855E-4</v>
      </c>
      <c r="Q184" s="28">
        <v>1</v>
      </c>
      <c r="R184" s="28">
        <v>0</v>
      </c>
      <c r="S184" s="28">
        <v>0</v>
      </c>
      <c r="T184" s="28">
        <v>0</v>
      </c>
      <c r="U184" s="28">
        <v>0</v>
      </c>
      <c r="V184" s="28">
        <v>1</v>
      </c>
    </row>
    <row r="185" spans="1:22" ht="21" customHeight="1" x14ac:dyDescent="0.15">
      <c r="A185" s="2" t="str">
        <f ca="1">input_386010!A$2</f>
        <v>386010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IFERROR(VLOOKUP(B185,input_386010!L:R,7,FALSE),VLOOKUP(tables_386010!C185,input_386010!A:H,8,FALSE))</f>
        <v>838.5</v>
      </c>
      <c r="P185" s="43">
        <f t="shared" ca="1" si="8"/>
        <v>3.5714285714285717E-5</v>
      </c>
      <c r="Q185" s="28">
        <v>1</v>
      </c>
      <c r="R185" s="28">
        <v>0</v>
      </c>
      <c r="S185" s="28">
        <v>0</v>
      </c>
      <c r="T185" s="28">
        <v>0</v>
      </c>
      <c r="U185" s="28">
        <v>0</v>
      </c>
      <c r="V185" s="28">
        <v>1</v>
      </c>
    </row>
    <row r="186" spans="1:22" ht="21" customHeight="1" x14ac:dyDescent="0.15">
      <c r="A186" s="2" t="str">
        <f ca="1">input_386010!A$2</f>
        <v>386010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IFERROR(VLOOKUP(B186,input_386010!L:R,7,FALSE),VLOOKUP(tables_386010!C186,input_386010!A:H,8,FALSE))</f>
        <v>75075</v>
      </c>
      <c r="P186" s="43">
        <f t="shared" ca="1" si="8"/>
        <v>3.1976744186046511E-3</v>
      </c>
      <c r="Q186" s="28">
        <v>1</v>
      </c>
      <c r="R186" s="28">
        <v>0</v>
      </c>
      <c r="S186" s="28">
        <v>0</v>
      </c>
      <c r="T186" s="28">
        <v>0</v>
      </c>
      <c r="U186" s="28">
        <v>0</v>
      </c>
      <c r="V186" s="28">
        <v>1</v>
      </c>
    </row>
    <row r="187" spans="1:22" ht="21" customHeight="1" x14ac:dyDescent="0.15">
      <c r="A187" s="2" t="str">
        <f ca="1">input_386010!A$2</f>
        <v>386010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IFERROR(VLOOKUP(B187,input_386010!L:R,7,FALSE),VLOOKUP(tables_386010!C187,input_386010!A:H,8,FALSE))</f>
        <v>59487.75</v>
      </c>
      <c r="P187" s="43">
        <f t="shared" ca="1" si="8"/>
        <v>2.5337656529516995E-3</v>
      </c>
      <c r="Q187" s="28">
        <v>1</v>
      </c>
      <c r="R187" s="28">
        <v>0</v>
      </c>
      <c r="S187" s="28">
        <v>0</v>
      </c>
      <c r="T187" s="28">
        <v>0</v>
      </c>
      <c r="U187" s="28">
        <v>0</v>
      </c>
      <c r="V187" s="28">
        <v>1</v>
      </c>
    </row>
    <row r="188" spans="1:22" ht="21" customHeight="1" x14ac:dyDescent="0.15">
      <c r="A188" s="2" t="str">
        <f ca="1">input_386010!A$2</f>
        <v>386010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IFERROR(VLOOKUP(B188,input_386010!L:R,7,FALSE),VLOOKUP(tables_386010!C188,input_386010!A:H,8,FALSE))</f>
        <v>15587.25</v>
      </c>
      <c r="P188" s="43">
        <f t="shared" ca="1" si="8"/>
        <v>6.6390876565295168E-4</v>
      </c>
      <c r="Q188" s="28">
        <v>1</v>
      </c>
      <c r="R188" s="28">
        <v>0</v>
      </c>
      <c r="S188" s="28">
        <v>0</v>
      </c>
      <c r="T188" s="28">
        <v>0</v>
      </c>
      <c r="U188" s="28">
        <v>0</v>
      </c>
      <c r="V188" s="28">
        <v>1</v>
      </c>
    </row>
    <row r="189" spans="1:22" ht="21" customHeight="1" x14ac:dyDescent="0.15">
      <c r="A189" s="2" t="str">
        <f ca="1">input_386010!A$2</f>
        <v>386010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IFERROR(VLOOKUP(B189,input_386010!L:R,7,FALSE),VLOOKUP(tables_386010!C189,input_386010!A:H,8,FALSE))</f>
        <v>15931.5</v>
      </c>
      <c r="P189" s="43">
        <f t="shared" ca="1" si="8"/>
        <v>6.7857142857142855E-4</v>
      </c>
      <c r="Q189" s="28">
        <v>1</v>
      </c>
      <c r="R189" s="28">
        <v>0</v>
      </c>
      <c r="S189" s="28">
        <v>0</v>
      </c>
      <c r="T189" s="28">
        <v>0</v>
      </c>
      <c r="U189" s="28">
        <v>0</v>
      </c>
      <c r="V189" s="28">
        <v>1</v>
      </c>
    </row>
    <row r="190" spans="1:22" s="9" customFormat="1" ht="21" customHeight="1" thickBot="1" x14ac:dyDescent="0.2">
      <c r="A190" s="2" t="str">
        <f ca="1">input_386010!A$2</f>
        <v>386010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IFERROR(VLOOKUP(B190,input_386010!L:R,7,FALSE),VLOOKUP(tables_386010!C190,input_386010!A:H,8,FALSE))</f>
        <v>838.5</v>
      </c>
      <c r="P190" s="43">
        <f t="shared" ca="1" si="8"/>
        <v>3.5714285714285717E-5</v>
      </c>
      <c r="Q190" s="28">
        <v>1</v>
      </c>
      <c r="R190" s="28">
        <v>0</v>
      </c>
      <c r="S190" s="28">
        <v>0</v>
      </c>
      <c r="T190" s="28">
        <v>0</v>
      </c>
      <c r="U190" s="28">
        <v>0</v>
      </c>
      <c r="V190" s="28">
        <v>1</v>
      </c>
    </row>
    <row r="191" spans="1:22" ht="21" customHeight="1" x14ac:dyDescent="0.15">
      <c r="A191" s="2" t="str">
        <f ca="1">input_386010!A$2</f>
        <v>386010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IFERROR(VLOOKUP(B191,input_386010!L:R,7,FALSE),VLOOKUP(tables_386010!C191,input_386010!A:H,8,FALSE))</f>
        <v>15931.5</v>
      </c>
      <c r="P191" s="43">
        <f t="shared" ca="1" si="8"/>
        <v>6.7857142857142855E-4</v>
      </c>
      <c r="Q191" s="28">
        <v>1</v>
      </c>
      <c r="R191" s="28">
        <v>0</v>
      </c>
      <c r="S191" s="28">
        <v>0</v>
      </c>
      <c r="T191" s="28">
        <v>0</v>
      </c>
      <c r="U191" s="28">
        <v>0</v>
      </c>
      <c r="V191" s="28">
        <v>1</v>
      </c>
    </row>
    <row r="192" spans="1:22" ht="21" customHeight="1" x14ac:dyDescent="0.15">
      <c r="A192" s="2" t="str">
        <f ca="1">input_386010!A$2</f>
        <v>386010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IFERROR(VLOOKUP(B192,input_386010!L:R,7,FALSE),VLOOKUP(tables_386010!C192,input_386010!A:H,8,FALSE))</f>
        <v>838.5</v>
      </c>
      <c r="P192" s="43">
        <f t="shared" ca="1" si="8"/>
        <v>3.5714285714285717E-5</v>
      </c>
      <c r="Q192" s="28">
        <v>1</v>
      </c>
      <c r="R192" s="28">
        <v>0</v>
      </c>
      <c r="S192" s="28">
        <v>0</v>
      </c>
      <c r="T192" s="28">
        <v>0</v>
      </c>
      <c r="U192" s="28">
        <v>0</v>
      </c>
      <c r="V192" s="28">
        <v>1</v>
      </c>
    </row>
    <row r="193" spans="1:22" ht="21" customHeight="1" x14ac:dyDescent="0.15">
      <c r="A193" s="2" t="str">
        <f ca="1">input_386010!A$2</f>
        <v>386010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IFERROR(VLOOKUP(B193,input_386010!L:R,7,FALSE),VLOOKUP(tables_386010!C193,input_386010!A:H,8,FALSE))</f>
        <v>75075</v>
      </c>
      <c r="P193" s="43">
        <f t="shared" ca="1" si="8"/>
        <v>3.1976744186046511E-3</v>
      </c>
      <c r="Q193" s="28">
        <v>1</v>
      </c>
      <c r="R193" s="28">
        <v>0</v>
      </c>
      <c r="S193" s="28">
        <v>0</v>
      </c>
      <c r="T193" s="28">
        <v>0</v>
      </c>
      <c r="U193" s="28">
        <v>0</v>
      </c>
      <c r="V193" s="28">
        <v>1</v>
      </c>
    </row>
    <row r="194" spans="1:22" ht="21" customHeight="1" x14ac:dyDescent="0.15">
      <c r="A194" s="2" t="str">
        <f ca="1">input_386010!A$2</f>
        <v>386010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IFERROR(VLOOKUP(B194,input_386010!L:R,7,FALSE),VLOOKUP(tables_386010!C194,input_386010!A:H,8,FALSE))</f>
        <v>59487.75</v>
      </c>
      <c r="P194" s="43">
        <f t="shared" ref="P194:P257" ca="1" si="11">O194/SUM(O:O)</f>
        <v>2.5337656529516995E-3</v>
      </c>
      <c r="Q194" s="28">
        <v>1</v>
      </c>
      <c r="R194" s="28">
        <v>0</v>
      </c>
      <c r="S194" s="28">
        <v>0</v>
      </c>
      <c r="T194" s="28">
        <v>0</v>
      </c>
      <c r="U194" s="28">
        <v>0</v>
      </c>
      <c r="V194" s="28">
        <v>1</v>
      </c>
    </row>
    <row r="195" spans="1:22" ht="21" customHeight="1" x14ac:dyDescent="0.15">
      <c r="A195" s="2" t="str">
        <f ca="1">input_386010!A$2</f>
        <v>386010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IFERROR(VLOOKUP(B195,input_386010!L:R,7,FALSE),VLOOKUP(tables_386010!C195,input_386010!A:H,8,FALSE))</f>
        <v>15587.25</v>
      </c>
      <c r="P195" s="43">
        <f t="shared" ca="1" si="11"/>
        <v>6.6390876565295168E-4</v>
      </c>
      <c r="Q195" s="28">
        <v>1</v>
      </c>
      <c r="R195" s="28">
        <v>0</v>
      </c>
      <c r="S195" s="28">
        <v>0</v>
      </c>
      <c r="T195" s="28">
        <v>0</v>
      </c>
      <c r="U195" s="28">
        <v>0</v>
      </c>
      <c r="V195" s="28">
        <v>1</v>
      </c>
    </row>
    <row r="196" spans="1:22" ht="21" customHeight="1" x14ac:dyDescent="0.15">
      <c r="A196" s="2" t="str">
        <f ca="1">input_386010!A$2</f>
        <v>386010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IFERROR(VLOOKUP(B196,input_386010!L:R,7,FALSE),VLOOKUP(tables_386010!C196,input_386010!A:H,8,FALSE))</f>
        <v>15931.5</v>
      </c>
      <c r="P196" s="43">
        <f t="shared" ca="1" si="11"/>
        <v>6.7857142857142855E-4</v>
      </c>
      <c r="Q196" s="28">
        <v>1</v>
      </c>
      <c r="R196" s="28">
        <v>0</v>
      </c>
      <c r="S196" s="28">
        <v>0</v>
      </c>
      <c r="T196" s="28">
        <v>0</v>
      </c>
      <c r="U196" s="28">
        <v>0</v>
      </c>
      <c r="V196" s="28">
        <v>1</v>
      </c>
    </row>
    <row r="197" spans="1:22" ht="21" customHeight="1" x14ac:dyDescent="0.15">
      <c r="A197" s="2" t="str">
        <f ca="1">input_386010!A$2</f>
        <v>386010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IFERROR(VLOOKUP(B197,input_386010!L:R,7,FALSE),VLOOKUP(tables_386010!C197,input_386010!A:H,8,FALSE))</f>
        <v>838.5</v>
      </c>
      <c r="P197" s="43">
        <f t="shared" ca="1" si="11"/>
        <v>3.5714285714285717E-5</v>
      </c>
      <c r="Q197" s="28">
        <v>1</v>
      </c>
      <c r="R197" s="28">
        <v>0</v>
      </c>
      <c r="S197" s="28">
        <v>0</v>
      </c>
      <c r="T197" s="28">
        <v>0</v>
      </c>
      <c r="U197" s="28">
        <v>0</v>
      </c>
      <c r="V197" s="28">
        <v>1</v>
      </c>
    </row>
    <row r="198" spans="1:22" ht="21" customHeight="1" x14ac:dyDescent="0.15">
      <c r="A198" s="2" t="str">
        <f ca="1">input_386010!A$2</f>
        <v>386010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IFERROR(VLOOKUP(B198,input_386010!L:R,7,FALSE),VLOOKUP(tables_386010!C198,input_386010!A:H,8,FALSE))</f>
        <v>75075</v>
      </c>
      <c r="P198" s="43">
        <f t="shared" ca="1" si="11"/>
        <v>3.1976744186046511E-3</v>
      </c>
      <c r="Q198" s="28">
        <v>1</v>
      </c>
      <c r="R198" s="28">
        <v>0</v>
      </c>
      <c r="S198" s="28">
        <v>0</v>
      </c>
      <c r="T198" s="28">
        <v>0</v>
      </c>
      <c r="U198" s="28">
        <v>0</v>
      </c>
      <c r="V198" s="28">
        <v>1</v>
      </c>
    </row>
    <row r="199" spans="1:22" ht="21" customHeight="1" x14ac:dyDescent="0.15">
      <c r="A199" s="2" t="str">
        <f ca="1">input_386010!A$2</f>
        <v>386010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IFERROR(VLOOKUP(B199,input_386010!L:R,7,FALSE),VLOOKUP(tables_386010!C199,input_386010!A:H,8,FALSE))</f>
        <v>59487.75</v>
      </c>
      <c r="P199" s="43">
        <f t="shared" ca="1" si="11"/>
        <v>2.5337656529516995E-3</v>
      </c>
      <c r="Q199" s="28">
        <v>1</v>
      </c>
      <c r="R199" s="28">
        <v>0</v>
      </c>
      <c r="S199" s="28">
        <v>0</v>
      </c>
      <c r="T199" s="28">
        <v>0</v>
      </c>
      <c r="U199" s="28">
        <v>0</v>
      </c>
      <c r="V199" s="28">
        <v>1</v>
      </c>
    </row>
    <row r="200" spans="1:22" ht="21" customHeight="1" x14ac:dyDescent="0.15">
      <c r="A200" s="2" t="str">
        <f ca="1">input_386010!A$2</f>
        <v>386010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IFERROR(VLOOKUP(B200,input_386010!L:R,7,FALSE),VLOOKUP(tables_386010!C200,input_386010!A:H,8,FALSE))</f>
        <v>15587.25</v>
      </c>
      <c r="P200" s="43">
        <f t="shared" ca="1" si="11"/>
        <v>6.6390876565295168E-4</v>
      </c>
      <c r="Q200" s="28">
        <v>1</v>
      </c>
      <c r="R200" s="28">
        <v>0</v>
      </c>
      <c r="S200" s="28">
        <v>0</v>
      </c>
      <c r="T200" s="28">
        <v>0</v>
      </c>
      <c r="U200" s="28">
        <v>0</v>
      </c>
      <c r="V200" s="28">
        <v>1</v>
      </c>
    </row>
    <row r="201" spans="1:22" ht="21" customHeight="1" x14ac:dyDescent="0.15">
      <c r="A201" s="2" t="str">
        <f ca="1">input_386010!A$2</f>
        <v>386010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IFERROR(VLOOKUP(B201,input_386010!L:R,7,FALSE),VLOOKUP(tables_386010!C201,input_386010!A:H,8,FALSE))</f>
        <v>15931.5</v>
      </c>
      <c r="P201" s="43">
        <f t="shared" ca="1" si="11"/>
        <v>6.7857142857142855E-4</v>
      </c>
      <c r="Q201" s="28">
        <v>1</v>
      </c>
      <c r="R201" s="28">
        <v>0</v>
      </c>
      <c r="S201" s="28">
        <v>0</v>
      </c>
      <c r="T201" s="28">
        <v>0</v>
      </c>
      <c r="U201" s="28">
        <v>0</v>
      </c>
      <c r="V201" s="28">
        <v>1</v>
      </c>
    </row>
    <row r="202" spans="1:22" ht="21" customHeight="1" x14ac:dyDescent="0.15">
      <c r="A202" s="2" t="str">
        <f ca="1">input_386010!A$2</f>
        <v>386010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IFERROR(VLOOKUP(B202,input_386010!L:R,7,FALSE),VLOOKUP(tables_386010!C202,input_386010!A:H,8,FALSE))</f>
        <v>838.5</v>
      </c>
      <c r="P202" s="43">
        <f t="shared" ca="1" si="11"/>
        <v>3.5714285714285717E-5</v>
      </c>
      <c r="Q202" s="28">
        <v>1</v>
      </c>
      <c r="R202" s="28">
        <v>0</v>
      </c>
      <c r="S202" s="28">
        <v>0</v>
      </c>
      <c r="T202" s="28">
        <v>0</v>
      </c>
      <c r="U202" s="28">
        <v>0</v>
      </c>
      <c r="V202" s="28">
        <v>1</v>
      </c>
    </row>
    <row r="203" spans="1:22" ht="21" customHeight="1" x14ac:dyDescent="0.15">
      <c r="A203" s="2" t="str">
        <f ca="1">input_386010!A$2</f>
        <v>386010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IFERROR(VLOOKUP(B203,input_386010!L:R,7,FALSE),VLOOKUP(tables_386010!C203,input_386010!A:H,8,FALSE))</f>
        <v>75075</v>
      </c>
      <c r="P203" s="43">
        <f t="shared" ca="1" si="11"/>
        <v>3.1976744186046511E-3</v>
      </c>
      <c r="Q203" s="28">
        <v>1</v>
      </c>
      <c r="R203" s="28">
        <v>0</v>
      </c>
      <c r="S203" s="28">
        <v>0</v>
      </c>
      <c r="T203" s="28">
        <v>0</v>
      </c>
      <c r="U203" s="28">
        <v>0</v>
      </c>
      <c r="V203" s="28">
        <v>1</v>
      </c>
    </row>
    <row r="204" spans="1:22" ht="21" customHeight="1" x14ac:dyDescent="0.15">
      <c r="A204" s="2" t="str">
        <f ca="1">input_386010!A$2</f>
        <v>386010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IFERROR(VLOOKUP(B204,input_386010!L:R,7,FALSE),VLOOKUP(tables_386010!C204,input_386010!A:H,8,FALSE))</f>
        <v>59487.75</v>
      </c>
      <c r="P204" s="43">
        <f t="shared" ca="1" si="11"/>
        <v>2.5337656529516995E-3</v>
      </c>
      <c r="Q204" s="28">
        <v>1</v>
      </c>
      <c r="R204" s="28">
        <v>0</v>
      </c>
      <c r="S204" s="28">
        <v>0</v>
      </c>
      <c r="T204" s="28">
        <v>0</v>
      </c>
      <c r="U204" s="28">
        <v>0</v>
      </c>
      <c r="V204" s="28">
        <v>1</v>
      </c>
    </row>
    <row r="205" spans="1:22" ht="21" customHeight="1" x14ac:dyDescent="0.15">
      <c r="A205" s="2" t="str">
        <f ca="1">input_386010!A$2</f>
        <v>386010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IFERROR(VLOOKUP(B205,input_386010!L:R,7,FALSE),VLOOKUP(tables_386010!C205,input_386010!A:H,8,FALSE))</f>
        <v>15587.25</v>
      </c>
      <c r="P205" s="43">
        <f t="shared" ca="1" si="11"/>
        <v>6.6390876565295168E-4</v>
      </c>
      <c r="Q205" s="28">
        <v>1</v>
      </c>
      <c r="R205" s="28">
        <v>0</v>
      </c>
      <c r="S205" s="28">
        <v>0</v>
      </c>
      <c r="T205" s="28">
        <v>0</v>
      </c>
      <c r="U205" s="28">
        <v>0</v>
      </c>
      <c r="V205" s="28">
        <v>1</v>
      </c>
    </row>
    <row r="206" spans="1:22" ht="21" customHeight="1" x14ac:dyDescent="0.15">
      <c r="A206" s="2" t="str">
        <f ca="1">input_386010!A$2</f>
        <v>386010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IFERROR(VLOOKUP(B206,input_386010!L:R,7,FALSE),VLOOKUP(tables_386010!C206,input_386010!A:H,8,FALSE))</f>
        <v>15931.5</v>
      </c>
      <c r="P206" s="43">
        <f t="shared" ca="1" si="11"/>
        <v>6.7857142857142855E-4</v>
      </c>
      <c r="Q206" s="28">
        <v>1</v>
      </c>
      <c r="R206" s="28">
        <v>0</v>
      </c>
      <c r="S206" s="28">
        <v>0</v>
      </c>
      <c r="T206" s="28">
        <v>0</v>
      </c>
      <c r="U206" s="28">
        <v>0</v>
      </c>
      <c r="V206" s="28">
        <v>1</v>
      </c>
    </row>
    <row r="207" spans="1:22" ht="21" customHeight="1" x14ac:dyDescent="0.15">
      <c r="A207" s="2" t="str">
        <f ca="1">input_386010!A$2</f>
        <v>386010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IFERROR(VLOOKUP(B207,input_386010!L:R,7,FALSE),VLOOKUP(tables_386010!C207,input_386010!A:H,8,FALSE))</f>
        <v>838.5</v>
      </c>
      <c r="P207" s="43">
        <f t="shared" ca="1" si="11"/>
        <v>3.5714285714285717E-5</v>
      </c>
      <c r="Q207" s="28">
        <v>1</v>
      </c>
      <c r="R207" s="28">
        <v>0</v>
      </c>
      <c r="S207" s="28">
        <v>0</v>
      </c>
      <c r="T207" s="28">
        <v>0</v>
      </c>
      <c r="U207" s="28">
        <v>0</v>
      </c>
      <c r="V207" s="28">
        <v>1</v>
      </c>
    </row>
    <row r="208" spans="1:22" ht="21" customHeight="1" x14ac:dyDescent="0.15">
      <c r="A208" s="2" t="str">
        <f ca="1">input_386010!A$2</f>
        <v>386010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IFERROR(VLOOKUP(B208,input_386010!L:R,7,FALSE),VLOOKUP(tables_386010!C208,input_386010!A:H,8,FALSE))</f>
        <v>15931.5</v>
      </c>
      <c r="P208" s="43">
        <f t="shared" ca="1" si="11"/>
        <v>6.7857142857142855E-4</v>
      </c>
      <c r="Q208" s="28">
        <v>1</v>
      </c>
      <c r="R208" s="28">
        <v>0</v>
      </c>
      <c r="S208" s="28">
        <v>0</v>
      </c>
      <c r="T208" s="28">
        <v>0</v>
      </c>
      <c r="U208" s="28">
        <v>0</v>
      </c>
      <c r="V208" s="28">
        <v>1</v>
      </c>
    </row>
    <row r="209" spans="1:22" ht="21" customHeight="1" x14ac:dyDescent="0.15">
      <c r="A209" s="2" t="str">
        <f ca="1">input_386010!A$2</f>
        <v>386010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IFERROR(VLOOKUP(B209,input_386010!L:R,7,FALSE),VLOOKUP(tables_386010!C209,input_386010!A:H,8,FALSE))</f>
        <v>838.5</v>
      </c>
      <c r="P209" s="43">
        <f t="shared" ca="1" si="11"/>
        <v>3.5714285714285717E-5</v>
      </c>
      <c r="Q209" s="28">
        <v>1</v>
      </c>
      <c r="R209" s="28">
        <v>0</v>
      </c>
      <c r="S209" s="28">
        <v>0</v>
      </c>
      <c r="T209" s="28">
        <v>0</v>
      </c>
      <c r="U209" s="28">
        <v>0</v>
      </c>
      <c r="V209" s="28">
        <v>1</v>
      </c>
    </row>
    <row r="210" spans="1:22" ht="21" customHeight="1" x14ac:dyDescent="0.15">
      <c r="A210" s="2" t="str">
        <f ca="1">input_386010!A$2</f>
        <v>386010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IFERROR(VLOOKUP(B210,input_386010!L:R,7,FALSE),VLOOKUP(tables_386010!C210,input_386010!A:H,8,FALSE))</f>
        <v>75075</v>
      </c>
      <c r="P210" s="43">
        <f t="shared" ca="1" si="11"/>
        <v>3.1976744186046511E-3</v>
      </c>
      <c r="Q210" s="28">
        <v>1</v>
      </c>
      <c r="R210" s="28">
        <v>0</v>
      </c>
      <c r="S210" s="28">
        <v>0</v>
      </c>
      <c r="T210" s="28">
        <v>0</v>
      </c>
      <c r="U210" s="28">
        <v>0</v>
      </c>
      <c r="V210" s="28">
        <v>1</v>
      </c>
    </row>
    <row r="211" spans="1:22" ht="21" customHeight="1" x14ac:dyDescent="0.15">
      <c r="A211" s="2" t="str">
        <f ca="1">input_386010!A$2</f>
        <v>386010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IFERROR(VLOOKUP(B211,input_386010!L:R,7,FALSE),VLOOKUP(tables_386010!C211,input_386010!A:H,8,FALSE))</f>
        <v>59487.75</v>
      </c>
      <c r="P211" s="43">
        <f t="shared" ca="1" si="11"/>
        <v>2.5337656529516995E-3</v>
      </c>
      <c r="Q211" s="28">
        <v>1</v>
      </c>
      <c r="R211" s="28">
        <v>0</v>
      </c>
      <c r="S211" s="28">
        <v>0</v>
      </c>
      <c r="T211" s="28">
        <v>0</v>
      </c>
      <c r="U211" s="28">
        <v>0</v>
      </c>
      <c r="V211" s="28">
        <v>1</v>
      </c>
    </row>
    <row r="212" spans="1:22" ht="21" customHeight="1" x14ac:dyDescent="0.15">
      <c r="A212" s="2" t="str">
        <f ca="1">input_386010!A$2</f>
        <v>386010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IFERROR(VLOOKUP(B212,input_386010!L:R,7,FALSE),VLOOKUP(tables_386010!C212,input_386010!A:H,8,FALSE))</f>
        <v>15587.25</v>
      </c>
      <c r="P212" s="43">
        <f t="shared" ca="1" si="11"/>
        <v>6.6390876565295168E-4</v>
      </c>
      <c r="Q212" s="28">
        <v>1</v>
      </c>
      <c r="R212" s="28">
        <v>0</v>
      </c>
      <c r="S212" s="28">
        <v>0</v>
      </c>
      <c r="T212" s="28">
        <v>0</v>
      </c>
      <c r="U212" s="28">
        <v>0</v>
      </c>
      <c r="V212" s="28">
        <v>1</v>
      </c>
    </row>
    <row r="213" spans="1:22" ht="21" customHeight="1" x14ac:dyDescent="0.15">
      <c r="A213" s="2" t="str">
        <f ca="1">input_386010!A$2</f>
        <v>386010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IFERROR(VLOOKUP(B213,input_386010!L:R,7,FALSE),VLOOKUP(tables_386010!C213,input_386010!A:H,8,FALSE))</f>
        <v>15931.5</v>
      </c>
      <c r="P213" s="43">
        <f t="shared" ca="1" si="11"/>
        <v>6.7857142857142855E-4</v>
      </c>
      <c r="Q213" s="28">
        <v>1</v>
      </c>
      <c r="R213" s="28">
        <v>0</v>
      </c>
      <c r="S213" s="28">
        <v>0</v>
      </c>
      <c r="T213" s="28">
        <v>0</v>
      </c>
      <c r="U213" s="28">
        <v>0</v>
      </c>
      <c r="V213" s="28">
        <v>1</v>
      </c>
    </row>
    <row r="214" spans="1:22" ht="21" customHeight="1" x14ac:dyDescent="0.15">
      <c r="A214" s="2" t="str">
        <f ca="1">input_386010!A$2</f>
        <v>386010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IFERROR(VLOOKUP(B214,input_386010!L:R,7,FALSE),VLOOKUP(tables_386010!C214,input_386010!A:H,8,FALSE))</f>
        <v>838.5</v>
      </c>
      <c r="P214" s="43">
        <f t="shared" ca="1" si="11"/>
        <v>3.5714285714285717E-5</v>
      </c>
      <c r="Q214" s="28">
        <v>1</v>
      </c>
      <c r="R214" s="28">
        <v>0</v>
      </c>
      <c r="S214" s="28">
        <v>0</v>
      </c>
      <c r="T214" s="28">
        <v>0</v>
      </c>
      <c r="U214" s="28">
        <v>0</v>
      </c>
      <c r="V214" s="28">
        <v>1</v>
      </c>
    </row>
    <row r="215" spans="1:22" ht="21" customHeight="1" x14ac:dyDescent="0.15">
      <c r="A215" s="2" t="str">
        <f ca="1">input_386010!A$2</f>
        <v>386010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2">
        <f ca="1">IFERROR(VLOOKUP(B215,input_386010!L:R,7,FALSE),VLOOKUP(tables_386010!C215,input_386010!A:H,8,FALSE))</f>
        <v>15931.5</v>
      </c>
      <c r="P215" s="43">
        <f t="shared" ca="1" si="11"/>
        <v>6.7857142857142855E-4</v>
      </c>
      <c r="Q215" s="28">
        <v>1</v>
      </c>
      <c r="R215" s="28">
        <v>0</v>
      </c>
      <c r="S215" s="28">
        <v>0</v>
      </c>
      <c r="T215" s="28">
        <v>0</v>
      </c>
      <c r="U215" s="28">
        <v>0</v>
      </c>
      <c r="V215" s="28">
        <v>1</v>
      </c>
    </row>
    <row r="216" spans="1:22" ht="21" customHeight="1" x14ac:dyDescent="0.15">
      <c r="A216" s="2" t="str">
        <f ca="1">input_386010!A$2</f>
        <v>386010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2">
        <f ca="1">IFERROR(VLOOKUP(B216,input_386010!L:R,7,FALSE),VLOOKUP(tables_386010!C216,input_386010!A:H,8,FALSE))</f>
        <v>838.5</v>
      </c>
      <c r="P216" s="43">
        <f t="shared" ca="1" si="11"/>
        <v>3.5714285714285717E-5</v>
      </c>
      <c r="Q216" s="28">
        <v>1</v>
      </c>
      <c r="R216" s="28">
        <v>0</v>
      </c>
      <c r="S216" s="28">
        <v>0</v>
      </c>
      <c r="T216" s="28">
        <v>0</v>
      </c>
      <c r="U216" s="28">
        <v>0</v>
      </c>
      <c r="V216" s="28">
        <v>1</v>
      </c>
    </row>
    <row r="217" spans="1:22" ht="21" customHeight="1" x14ac:dyDescent="0.15">
      <c r="A217" s="2" t="str">
        <f ca="1">input_386010!A$2</f>
        <v>386010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2">
        <f ca="1">IFERROR(VLOOKUP(B217,input_386010!L:R,7,FALSE),VLOOKUP(tables_386010!C217,input_386010!A:H,8,FALSE))</f>
        <v>75075</v>
      </c>
      <c r="P217" s="43">
        <f t="shared" ca="1" si="11"/>
        <v>3.1976744186046511E-3</v>
      </c>
      <c r="Q217" s="28">
        <v>1</v>
      </c>
      <c r="R217" s="28">
        <v>0</v>
      </c>
      <c r="S217" s="28">
        <v>0</v>
      </c>
      <c r="T217" s="28">
        <v>0</v>
      </c>
      <c r="U217" s="28">
        <v>0</v>
      </c>
      <c r="V217" s="28">
        <v>1</v>
      </c>
    </row>
    <row r="218" spans="1:22" ht="21" customHeight="1" x14ac:dyDescent="0.15">
      <c r="A218" s="2" t="str">
        <f ca="1">input_386010!A$2</f>
        <v>386010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2">
        <f ca="1">IFERROR(VLOOKUP(B218,input_386010!L:R,7,FALSE),VLOOKUP(tables_386010!C218,input_386010!A:H,8,FALSE))</f>
        <v>59487.75</v>
      </c>
      <c r="P218" s="43">
        <f t="shared" ca="1" si="11"/>
        <v>2.5337656529516995E-3</v>
      </c>
      <c r="Q218" s="28">
        <v>1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</row>
    <row r="219" spans="1:22" ht="21" customHeight="1" x14ac:dyDescent="0.15">
      <c r="A219" s="2" t="str">
        <f ca="1">input_386010!A$2</f>
        <v>386010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2">
        <f ca="1">IFERROR(VLOOKUP(B219,input_386010!L:R,7,FALSE),VLOOKUP(tables_386010!C219,input_386010!A:H,8,FALSE))</f>
        <v>15587.25</v>
      </c>
      <c r="P219" s="43">
        <f t="shared" ca="1" si="11"/>
        <v>6.6390876565295168E-4</v>
      </c>
      <c r="Q219" s="28">
        <v>1</v>
      </c>
      <c r="R219" s="28">
        <v>0</v>
      </c>
      <c r="S219" s="28">
        <v>0</v>
      </c>
      <c r="T219" s="28">
        <v>0</v>
      </c>
      <c r="U219" s="28">
        <v>0</v>
      </c>
      <c r="V219" s="28">
        <v>1</v>
      </c>
    </row>
    <row r="220" spans="1:22" ht="21" customHeight="1" x14ac:dyDescent="0.15">
      <c r="A220" s="2" t="str">
        <f ca="1">input_386010!A$2</f>
        <v>386010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2">
        <f ca="1">IFERROR(VLOOKUP(B220,input_386010!L:R,7,FALSE),VLOOKUP(tables_386010!C220,input_386010!A:H,8,FALSE))</f>
        <v>75075</v>
      </c>
      <c r="P220" s="43">
        <f t="shared" ca="1" si="11"/>
        <v>3.1976744186046511E-3</v>
      </c>
      <c r="Q220" s="28">
        <v>1</v>
      </c>
      <c r="R220" s="28">
        <v>0</v>
      </c>
      <c r="S220" s="28">
        <v>0</v>
      </c>
      <c r="T220" s="28">
        <v>0</v>
      </c>
      <c r="U220" s="28">
        <v>0</v>
      </c>
      <c r="V220" s="28">
        <v>1</v>
      </c>
    </row>
    <row r="221" spans="1:22" ht="21" customHeight="1" x14ac:dyDescent="0.15">
      <c r="A221" s="2" t="str">
        <f ca="1">input_386010!A$2</f>
        <v>386010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2">
        <f ca="1">IFERROR(VLOOKUP(B221,input_386010!L:R,7,FALSE),VLOOKUP(tables_386010!C221,input_386010!A:H,8,FALSE))</f>
        <v>59487.75</v>
      </c>
      <c r="P221" s="43">
        <f t="shared" ca="1" si="11"/>
        <v>2.5337656529516995E-3</v>
      </c>
      <c r="Q221" s="28">
        <v>1</v>
      </c>
      <c r="R221" s="28">
        <v>0</v>
      </c>
      <c r="S221" s="28">
        <v>0</v>
      </c>
      <c r="T221" s="28">
        <v>0</v>
      </c>
      <c r="U221" s="28">
        <v>0</v>
      </c>
      <c r="V221" s="28">
        <v>1</v>
      </c>
    </row>
    <row r="222" spans="1:22" ht="21" customHeight="1" x14ac:dyDescent="0.15">
      <c r="A222" s="2" t="str">
        <f ca="1">input_386010!A$2</f>
        <v>386010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2">
        <f ca="1">IFERROR(VLOOKUP(B222,input_386010!L:R,7,FALSE),VLOOKUP(tables_386010!C222,input_386010!A:H,8,FALSE))</f>
        <v>15587.25</v>
      </c>
      <c r="P222" s="43">
        <f t="shared" ca="1" si="11"/>
        <v>6.6390876565295168E-4</v>
      </c>
      <c r="Q222" s="28">
        <v>1</v>
      </c>
      <c r="R222" s="28">
        <v>0</v>
      </c>
      <c r="S222" s="28">
        <v>0</v>
      </c>
      <c r="T222" s="28">
        <v>0</v>
      </c>
      <c r="U222" s="28">
        <v>0</v>
      </c>
      <c r="V222" s="28">
        <v>1</v>
      </c>
    </row>
    <row r="223" spans="1:22" ht="21" customHeight="1" x14ac:dyDescent="0.15">
      <c r="A223" s="2" t="str">
        <f ca="1">input_386010!A$2</f>
        <v>386010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2">
        <f ca="1">IFERROR(VLOOKUP(B223,input_386010!L:R,7,FALSE),VLOOKUP(tables_386010!C223,input_386010!A:H,8,FALSE))</f>
        <v>15931.5</v>
      </c>
      <c r="P223" s="43">
        <f t="shared" ca="1" si="11"/>
        <v>6.7857142857142855E-4</v>
      </c>
      <c r="Q223" s="28">
        <v>1</v>
      </c>
      <c r="R223" s="28">
        <v>0</v>
      </c>
      <c r="S223" s="28">
        <v>0</v>
      </c>
      <c r="T223" s="28">
        <v>0</v>
      </c>
      <c r="U223" s="28">
        <v>0</v>
      </c>
      <c r="V223" s="28">
        <v>1</v>
      </c>
    </row>
    <row r="224" spans="1:22" ht="21" customHeight="1" x14ac:dyDescent="0.15">
      <c r="A224" s="2" t="str">
        <f ca="1">input_386010!A$2</f>
        <v>386010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2">
        <f ca="1">IFERROR(VLOOKUP(B224,input_386010!L:R,7,FALSE),VLOOKUP(tables_386010!C224,input_386010!A:H,8,FALSE))</f>
        <v>838.5</v>
      </c>
      <c r="P224" s="43">
        <f t="shared" ca="1" si="11"/>
        <v>3.5714285714285717E-5</v>
      </c>
      <c r="Q224" s="28">
        <v>1</v>
      </c>
      <c r="R224" s="28">
        <v>0</v>
      </c>
      <c r="S224" s="28">
        <v>0</v>
      </c>
      <c r="T224" s="28">
        <v>0</v>
      </c>
      <c r="U224" s="28">
        <v>0</v>
      </c>
      <c r="V224" s="28">
        <v>1</v>
      </c>
    </row>
    <row r="225" spans="1:22" ht="21" customHeight="1" x14ac:dyDescent="0.15">
      <c r="A225" s="2" t="str">
        <f ca="1">input_386010!A$2</f>
        <v>386010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2">
        <f ca="1">IFERROR(VLOOKUP(B225,input_386010!L:R,7,FALSE),VLOOKUP(tables_386010!C225,input_386010!A:H,8,FALSE))</f>
        <v>75075</v>
      </c>
      <c r="P225" s="43">
        <f t="shared" ca="1" si="11"/>
        <v>3.1976744186046511E-3</v>
      </c>
      <c r="Q225" s="28">
        <v>1</v>
      </c>
      <c r="R225" s="28">
        <v>0</v>
      </c>
      <c r="S225" s="28">
        <v>0</v>
      </c>
      <c r="T225" s="28">
        <v>0</v>
      </c>
      <c r="U225" s="28">
        <v>0</v>
      </c>
      <c r="V225" s="28">
        <v>1</v>
      </c>
    </row>
    <row r="226" spans="1:22" ht="21" customHeight="1" x14ac:dyDescent="0.15">
      <c r="A226" s="2" t="str">
        <f ca="1">input_386010!A$2</f>
        <v>386010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2">
        <f ca="1">IFERROR(VLOOKUP(B226,input_386010!L:R,7,FALSE),VLOOKUP(tables_386010!C226,input_386010!A:H,8,FALSE))</f>
        <v>59487.75</v>
      </c>
      <c r="P226" s="43">
        <f t="shared" ca="1" si="11"/>
        <v>2.5337656529516995E-3</v>
      </c>
      <c r="Q226" s="28">
        <v>1</v>
      </c>
      <c r="R226" s="28">
        <v>0</v>
      </c>
      <c r="S226" s="28">
        <v>0</v>
      </c>
      <c r="T226" s="28">
        <v>0</v>
      </c>
      <c r="U226" s="28">
        <v>0</v>
      </c>
      <c r="V226" s="28">
        <v>1</v>
      </c>
    </row>
    <row r="227" spans="1:22" ht="21" customHeight="1" x14ac:dyDescent="0.15">
      <c r="A227" s="2" t="str">
        <f ca="1">input_386010!A$2</f>
        <v>386010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2">
        <f ca="1">IFERROR(VLOOKUP(B227,input_386010!L:R,7,FALSE),VLOOKUP(tables_386010!C227,input_386010!A:H,8,FALSE))</f>
        <v>15587.25</v>
      </c>
      <c r="P227" s="43">
        <f t="shared" ca="1" si="11"/>
        <v>6.6390876565295168E-4</v>
      </c>
      <c r="Q227" s="28">
        <v>1</v>
      </c>
      <c r="R227" s="28">
        <v>0</v>
      </c>
      <c r="S227" s="28">
        <v>0</v>
      </c>
      <c r="T227" s="28">
        <v>0</v>
      </c>
      <c r="U227" s="28">
        <v>0</v>
      </c>
      <c r="V227" s="28">
        <v>1</v>
      </c>
    </row>
    <row r="228" spans="1:22" ht="21" customHeight="1" x14ac:dyDescent="0.15">
      <c r="A228" s="2" t="str">
        <f ca="1">input_386010!A$2</f>
        <v>386010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IFERROR(VLOOKUP(B228,input_386010!L:R,7,FALSE),VLOOKUP(tables_386010!C228,input_386010!A:H,8,FALSE))</f>
        <v>75075</v>
      </c>
      <c r="P228" s="43">
        <f t="shared" ca="1" si="11"/>
        <v>3.1976744186046511E-3</v>
      </c>
      <c r="Q228" s="28">
        <v>1</v>
      </c>
      <c r="R228" s="28">
        <v>0</v>
      </c>
      <c r="S228" s="28">
        <v>0</v>
      </c>
      <c r="T228" s="28">
        <v>0</v>
      </c>
      <c r="U228" s="28">
        <v>0</v>
      </c>
      <c r="V228" s="28">
        <v>1</v>
      </c>
    </row>
    <row r="229" spans="1:22" ht="21" customHeight="1" x14ac:dyDescent="0.15">
      <c r="A229" s="2" t="str">
        <f ca="1">input_386010!A$2</f>
        <v>386010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IFERROR(VLOOKUP(B229,input_386010!L:R,7,FALSE),VLOOKUP(tables_386010!C229,input_386010!A:H,8,FALSE))</f>
        <v>59487.75</v>
      </c>
      <c r="P229" s="43">
        <f t="shared" ca="1" si="11"/>
        <v>2.5337656529516995E-3</v>
      </c>
      <c r="Q229" s="28">
        <v>1</v>
      </c>
      <c r="R229" s="28">
        <v>0</v>
      </c>
      <c r="S229" s="28">
        <v>0</v>
      </c>
      <c r="T229" s="28">
        <v>0</v>
      </c>
      <c r="U229" s="28">
        <v>0</v>
      </c>
      <c r="V229" s="28">
        <v>1</v>
      </c>
    </row>
    <row r="230" spans="1:22" ht="21" customHeight="1" x14ac:dyDescent="0.15">
      <c r="A230" s="2" t="str">
        <f ca="1">input_386010!A$2</f>
        <v>386010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IFERROR(VLOOKUP(B230,input_386010!L:R,7,FALSE),VLOOKUP(tables_386010!C230,input_386010!A:H,8,FALSE))</f>
        <v>15587.25</v>
      </c>
      <c r="P230" s="43">
        <f t="shared" ca="1" si="11"/>
        <v>6.6390876565295168E-4</v>
      </c>
      <c r="Q230" s="28">
        <v>1</v>
      </c>
      <c r="R230" s="28">
        <v>0</v>
      </c>
      <c r="S230" s="28">
        <v>0</v>
      </c>
      <c r="T230" s="28">
        <v>0</v>
      </c>
      <c r="U230" s="28">
        <v>0</v>
      </c>
      <c r="V230" s="28">
        <v>1</v>
      </c>
    </row>
    <row r="231" spans="1:22" ht="21" customHeight="1" x14ac:dyDescent="0.15">
      <c r="A231" s="2" t="str">
        <f ca="1">input_386010!A$2</f>
        <v>386010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2">
        <f ca="1">IFERROR(VLOOKUP(B231,input_386010!L:R,7,FALSE),VLOOKUP(tables_386010!C231,input_386010!A:H,8,FALSE))</f>
        <v>15931.5</v>
      </c>
      <c r="P231" s="43">
        <f t="shared" ca="1" si="11"/>
        <v>6.7857142857142855E-4</v>
      </c>
      <c r="Q231" s="28">
        <v>1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</row>
    <row r="232" spans="1:22" ht="21" customHeight="1" x14ac:dyDescent="0.15">
      <c r="A232" s="2" t="str">
        <f ca="1">input_386010!A$2</f>
        <v>386010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2">
        <f ca="1">IFERROR(VLOOKUP(B232,input_386010!L:R,7,FALSE),VLOOKUP(tables_386010!C232,input_386010!A:H,8,FALSE))</f>
        <v>838.5</v>
      </c>
      <c r="P232" s="43">
        <f t="shared" ca="1" si="11"/>
        <v>3.5714285714285717E-5</v>
      </c>
      <c r="Q232" s="28">
        <v>1</v>
      </c>
      <c r="R232" s="28">
        <v>0</v>
      </c>
      <c r="S232" s="28">
        <v>0</v>
      </c>
      <c r="T232" s="28">
        <v>0</v>
      </c>
      <c r="U232" s="28">
        <v>0</v>
      </c>
      <c r="V232" s="28">
        <v>1</v>
      </c>
    </row>
    <row r="233" spans="1:22" ht="21" customHeight="1" x14ac:dyDescent="0.15">
      <c r="A233" s="2" t="str">
        <f ca="1">input_386010!A$2</f>
        <v>386010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2">
        <f ca="1">IFERROR(VLOOKUP(B233,input_386010!L:R,7,FALSE),VLOOKUP(tables_386010!C233,input_386010!A:H,8,FALSE))</f>
        <v>75075</v>
      </c>
      <c r="P233" s="43">
        <f t="shared" ca="1" si="11"/>
        <v>3.1976744186046511E-3</v>
      </c>
      <c r="Q233" s="28">
        <v>1</v>
      </c>
      <c r="R233" s="28">
        <v>0</v>
      </c>
      <c r="S233" s="28">
        <v>0</v>
      </c>
      <c r="T233" s="28">
        <v>0</v>
      </c>
      <c r="U233" s="28">
        <v>0</v>
      </c>
      <c r="V233" s="28">
        <v>1</v>
      </c>
    </row>
    <row r="234" spans="1:22" ht="21" customHeight="1" x14ac:dyDescent="0.15">
      <c r="A234" s="2" t="str">
        <f ca="1">input_386010!A$2</f>
        <v>386010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2">
        <f ca="1">IFERROR(VLOOKUP(B234,input_386010!L:R,7,FALSE),VLOOKUP(tables_386010!C234,input_386010!A:H,8,FALSE))</f>
        <v>59487.75</v>
      </c>
      <c r="P234" s="43">
        <f t="shared" ca="1" si="11"/>
        <v>2.5337656529516995E-3</v>
      </c>
      <c r="Q234" s="28">
        <v>1</v>
      </c>
      <c r="R234" s="28">
        <v>0</v>
      </c>
      <c r="S234" s="28">
        <v>0</v>
      </c>
      <c r="T234" s="28">
        <v>0</v>
      </c>
      <c r="U234" s="28">
        <v>0</v>
      </c>
      <c r="V234" s="28">
        <v>1</v>
      </c>
    </row>
    <row r="235" spans="1:22" ht="21" customHeight="1" x14ac:dyDescent="0.15">
      <c r="A235" s="2" t="str">
        <f ca="1">input_386010!A$2</f>
        <v>386010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2">
        <f ca="1">IFERROR(VLOOKUP(B235,input_386010!L:R,7,FALSE),VLOOKUP(tables_386010!C235,input_386010!A:H,8,FALSE))</f>
        <v>15587.25</v>
      </c>
      <c r="P235" s="43">
        <f t="shared" ca="1" si="11"/>
        <v>6.6390876565295168E-4</v>
      </c>
      <c r="Q235" s="28">
        <v>1</v>
      </c>
      <c r="R235" s="28">
        <v>0</v>
      </c>
      <c r="S235" s="28">
        <v>0</v>
      </c>
      <c r="T235" s="28">
        <v>0</v>
      </c>
      <c r="U235" s="28">
        <v>0</v>
      </c>
      <c r="V235" s="28">
        <v>1</v>
      </c>
    </row>
    <row r="236" spans="1:22" ht="21" customHeight="1" x14ac:dyDescent="0.15">
      <c r="A236" s="2" t="str">
        <f ca="1">input_386010!A$2</f>
        <v>386010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2">
        <f ca="1">IFERROR(VLOOKUP(B236,input_386010!L:R,7,FALSE),VLOOKUP(tables_386010!C236,input_386010!A:H,8,FALSE))</f>
        <v>15931.5</v>
      </c>
      <c r="P236" s="43">
        <f t="shared" ca="1" si="11"/>
        <v>6.7857142857142855E-4</v>
      </c>
      <c r="Q236" s="28">
        <v>1</v>
      </c>
      <c r="R236" s="28">
        <v>0</v>
      </c>
      <c r="S236" s="28">
        <v>0</v>
      </c>
      <c r="T236" s="28">
        <v>0</v>
      </c>
      <c r="U236" s="28">
        <v>0</v>
      </c>
      <c r="V236" s="28">
        <v>1</v>
      </c>
    </row>
    <row r="237" spans="1:22" ht="21" customHeight="1" x14ac:dyDescent="0.15">
      <c r="A237" s="2" t="str">
        <f ca="1">input_386010!A$2</f>
        <v>386010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IFERROR(VLOOKUP(B237,input_386010!L:R,7,FALSE),VLOOKUP(tables_386010!C237,input_386010!A:H,8,FALSE))</f>
        <v>838.5</v>
      </c>
      <c r="P237" s="43">
        <f t="shared" ca="1" si="11"/>
        <v>3.5714285714285717E-5</v>
      </c>
      <c r="Q237" s="28">
        <v>1</v>
      </c>
      <c r="R237" s="28">
        <v>0</v>
      </c>
      <c r="S237" s="28">
        <v>0</v>
      </c>
      <c r="T237" s="28">
        <v>0</v>
      </c>
      <c r="U237" s="28">
        <v>0</v>
      </c>
      <c r="V237" s="28">
        <v>1</v>
      </c>
    </row>
    <row r="238" spans="1:22" ht="21" customHeight="1" x14ac:dyDescent="0.15">
      <c r="A238" s="2" t="str">
        <f ca="1">input_386010!A$2</f>
        <v>386010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2">
        <f ca="1">IFERROR(VLOOKUP(B238,input_386010!L:R,7,FALSE),VLOOKUP(tables_386010!C238,input_386010!A:H,8,FALSE))</f>
        <v>15931.5</v>
      </c>
      <c r="P238" s="43">
        <f t="shared" ca="1" si="11"/>
        <v>6.7857142857142855E-4</v>
      </c>
      <c r="Q238" s="28">
        <v>1</v>
      </c>
      <c r="R238" s="28">
        <v>0</v>
      </c>
      <c r="S238" s="28">
        <v>0</v>
      </c>
      <c r="T238" s="28">
        <v>0</v>
      </c>
      <c r="U238" s="28">
        <v>0</v>
      </c>
      <c r="V238" s="28">
        <v>1</v>
      </c>
    </row>
    <row r="239" spans="1:22" ht="21" customHeight="1" x14ac:dyDescent="0.15">
      <c r="A239" s="2" t="str">
        <f ca="1">input_386010!A$2</f>
        <v>386010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2">
        <f ca="1">IFERROR(VLOOKUP(B239,input_386010!L:R,7,FALSE),VLOOKUP(tables_386010!C239,input_386010!A:H,8,FALSE))</f>
        <v>838.5</v>
      </c>
      <c r="P239" s="43">
        <f t="shared" ca="1" si="11"/>
        <v>3.5714285714285717E-5</v>
      </c>
      <c r="Q239" s="28">
        <v>1</v>
      </c>
      <c r="R239" s="28">
        <v>0</v>
      </c>
      <c r="S239" s="28">
        <v>0</v>
      </c>
      <c r="T239" s="28">
        <v>0</v>
      </c>
      <c r="U239" s="28">
        <v>0</v>
      </c>
      <c r="V239" s="28">
        <v>1</v>
      </c>
    </row>
    <row r="240" spans="1:22" ht="21" customHeight="1" x14ac:dyDescent="0.15">
      <c r="A240" s="2" t="str">
        <f ca="1">input_386010!A$2</f>
        <v>386010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2">
        <f ca="1">IFERROR(VLOOKUP(B240,input_386010!L:R,7,FALSE),VLOOKUP(tables_386010!C240,input_386010!A:H,8,FALSE))</f>
        <v>75075</v>
      </c>
      <c r="P240" s="43">
        <f t="shared" ca="1" si="11"/>
        <v>3.1976744186046511E-3</v>
      </c>
      <c r="Q240" s="28">
        <v>1</v>
      </c>
      <c r="R240" s="28">
        <v>0</v>
      </c>
      <c r="S240" s="28">
        <v>0</v>
      </c>
      <c r="T240" s="28">
        <v>0</v>
      </c>
      <c r="U240" s="28">
        <v>0</v>
      </c>
      <c r="V240" s="28">
        <v>1</v>
      </c>
    </row>
    <row r="241" spans="1:22" ht="21" customHeight="1" x14ac:dyDescent="0.15">
      <c r="A241" s="2" t="str">
        <f ca="1">input_386010!A$2</f>
        <v>386010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2">
        <f ca="1">IFERROR(VLOOKUP(B241,input_386010!L:R,7,FALSE),VLOOKUP(tables_386010!C241,input_386010!A:H,8,FALSE))</f>
        <v>59487.75</v>
      </c>
      <c r="P241" s="43">
        <f t="shared" ca="1" si="11"/>
        <v>2.5337656529516995E-3</v>
      </c>
      <c r="Q241" s="28">
        <v>1</v>
      </c>
      <c r="R241" s="28">
        <v>0</v>
      </c>
      <c r="S241" s="28">
        <v>0</v>
      </c>
      <c r="T241" s="28">
        <v>0</v>
      </c>
      <c r="U241" s="28">
        <v>0</v>
      </c>
      <c r="V241" s="28">
        <v>1</v>
      </c>
    </row>
    <row r="242" spans="1:22" ht="21" customHeight="1" x14ac:dyDescent="0.15">
      <c r="A242" s="2" t="str">
        <f ca="1">input_386010!A$2</f>
        <v>386010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2">
        <f ca="1">IFERROR(VLOOKUP(B242,input_386010!L:R,7,FALSE),VLOOKUP(tables_386010!C242,input_386010!A:H,8,FALSE))</f>
        <v>15587.25</v>
      </c>
      <c r="P242" s="43">
        <f t="shared" ca="1" si="11"/>
        <v>6.6390876565295168E-4</v>
      </c>
      <c r="Q242" s="28">
        <v>1</v>
      </c>
      <c r="R242" s="28">
        <v>0</v>
      </c>
      <c r="S242" s="28">
        <v>0</v>
      </c>
      <c r="T242" s="28">
        <v>0</v>
      </c>
      <c r="U242" s="28">
        <v>0</v>
      </c>
      <c r="V242" s="28">
        <v>1</v>
      </c>
    </row>
    <row r="243" spans="1:22" ht="21" customHeight="1" x14ac:dyDescent="0.15">
      <c r="A243" s="2" t="str">
        <f ca="1">input_386010!A$2</f>
        <v>386010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2">
        <f ca="1">IFERROR(VLOOKUP(B243,input_386010!L:R,7,FALSE),VLOOKUP(tables_386010!C243,input_386010!A:H,8,FALSE))</f>
        <v>75075</v>
      </c>
      <c r="P243" s="43">
        <f t="shared" ca="1" si="11"/>
        <v>3.1976744186046511E-3</v>
      </c>
      <c r="Q243" s="28">
        <v>1</v>
      </c>
      <c r="R243" s="28">
        <v>0</v>
      </c>
      <c r="S243" s="28">
        <v>0</v>
      </c>
      <c r="T243" s="28">
        <v>0</v>
      </c>
      <c r="U243" s="28">
        <v>0</v>
      </c>
      <c r="V243" s="28">
        <v>1</v>
      </c>
    </row>
    <row r="244" spans="1:22" ht="21" customHeight="1" x14ac:dyDescent="0.15">
      <c r="A244" s="2" t="str">
        <f ca="1">input_386010!A$2</f>
        <v>386010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2">
        <f ca="1">IFERROR(VLOOKUP(B244,input_386010!L:R,7,FALSE),VLOOKUP(tables_386010!C244,input_386010!A:H,8,FALSE))</f>
        <v>59487.75</v>
      </c>
      <c r="P244" s="43">
        <f t="shared" ca="1" si="11"/>
        <v>2.5337656529516995E-3</v>
      </c>
      <c r="Q244" s="28">
        <v>1</v>
      </c>
      <c r="R244" s="28">
        <v>0</v>
      </c>
      <c r="S244" s="28">
        <v>0</v>
      </c>
      <c r="T244" s="28">
        <v>0</v>
      </c>
      <c r="U244" s="28">
        <v>0</v>
      </c>
      <c r="V244" s="28">
        <v>1</v>
      </c>
    </row>
    <row r="245" spans="1:22" ht="21" customHeight="1" x14ac:dyDescent="0.15">
      <c r="A245" s="2" t="str">
        <f ca="1">input_386010!A$2</f>
        <v>386010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2">
        <f ca="1">IFERROR(VLOOKUP(B245,input_386010!L:R,7,FALSE),VLOOKUP(tables_386010!C245,input_386010!A:H,8,FALSE))</f>
        <v>15587.25</v>
      </c>
      <c r="P245" s="43">
        <f t="shared" ca="1" si="11"/>
        <v>6.6390876565295168E-4</v>
      </c>
      <c r="Q245" s="28">
        <v>1</v>
      </c>
      <c r="R245" s="28">
        <v>0</v>
      </c>
      <c r="S245" s="28">
        <v>0</v>
      </c>
      <c r="T245" s="28">
        <v>0</v>
      </c>
      <c r="U245" s="28">
        <v>0</v>
      </c>
      <c r="V245" s="28">
        <v>1</v>
      </c>
    </row>
    <row r="246" spans="1:22" ht="21" customHeight="1" x14ac:dyDescent="0.15">
      <c r="A246" s="2" t="str">
        <f ca="1">input_386010!A$2</f>
        <v>386010</v>
      </c>
      <c r="B246" s="57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2">
        <f ca="1">IFERROR(VLOOKUP(B246,input_386010!L:R,7,FALSE),VLOOKUP(tables_386010!C246,input_386010!A:H,8,FALSE))</f>
        <v>75075</v>
      </c>
      <c r="P246" s="43">
        <f t="shared" ca="1" si="11"/>
        <v>3.1976744186046511E-3</v>
      </c>
      <c r="Q246" s="28">
        <v>1</v>
      </c>
      <c r="R246" s="28">
        <v>0</v>
      </c>
      <c r="S246" s="28">
        <v>0</v>
      </c>
      <c r="T246" s="28">
        <v>0</v>
      </c>
      <c r="U246" s="28">
        <v>0</v>
      </c>
      <c r="V246" s="28">
        <v>1</v>
      </c>
    </row>
    <row r="247" spans="1:22" ht="21" customHeight="1" x14ac:dyDescent="0.15">
      <c r="A247" s="2" t="str">
        <f ca="1">input_386010!A$2</f>
        <v>386010</v>
      </c>
      <c r="B247" s="57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2">
        <f ca="1">IFERROR(VLOOKUP(B247,input_386010!L:R,7,FALSE),VLOOKUP(tables_386010!C247,input_386010!A:H,8,FALSE))</f>
        <v>59487.75</v>
      </c>
      <c r="P247" s="43">
        <f t="shared" ca="1" si="11"/>
        <v>2.5337656529516995E-3</v>
      </c>
      <c r="Q247" s="28">
        <v>1</v>
      </c>
      <c r="R247" s="28">
        <v>0</v>
      </c>
      <c r="S247" s="28">
        <v>0</v>
      </c>
      <c r="T247" s="28">
        <v>0</v>
      </c>
      <c r="U247" s="28">
        <v>0</v>
      </c>
      <c r="V247" s="28">
        <v>1</v>
      </c>
    </row>
    <row r="248" spans="1:22" ht="21" customHeight="1" x14ac:dyDescent="0.15">
      <c r="A248" s="2" t="str">
        <f ca="1">input_386010!A$2</f>
        <v>386010</v>
      </c>
      <c r="B248" s="57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2">
        <f ca="1">IFERROR(VLOOKUP(B248,input_386010!L:R,7,FALSE),VLOOKUP(tables_386010!C248,input_386010!A:H,8,FALSE))</f>
        <v>15587.25</v>
      </c>
      <c r="P248" s="43">
        <f t="shared" ca="1" si="11"/>
        <v>6.6390876565295168E-4</v>
      </c>
      <c r="Q248" s="28">
        <v>1</v>
      </c>
      <c r="R248" s="28">
        <v>0</v>
      </c>
      <c r="S248" s="28">
        <v>0</v>
      </c>
      <c r="T248" s="28">
        <v>0</v>
      </c>
      <c r="U248" s="28">
        <v>0</v>
      </c>
      <c r="V248" s="28">
        <v>1</v>
      </c>
    </row>
    <row r="249" spans="1:22" ht="21" customHeight="1" x14ac:dyDescent="0.15">
      <c r="A249" s="2" t="str">
        <f ca="1">input_386010!A$2</f>
        <v>386010</v>
      </c>
      <c r="B249" s="57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2">
        <f ca="1">IFERROR(VLOOKUP(B249,input_386010!L:R,7,FALSE),VLOOKUP(tables_386010!C249,input_386010!A:H,8,FALSE))</f>
        <v>75075</v>
      </c>
      <c r="P249" s="43">
        <f t="shared" ca="1" si="11"/>
        <v>3.1976744186046511E-3</v>
      </c>
      <c r="Q249" s="28">
        <v>1</v>
      </c>
      <c r="R249" s="28">
        <v>0</v>
      </c>
      <c r="S249" s="28">
        <v>0</v>
      </c>
      <c r="T249" s="28">
        <v>0</v>
      </c>
      <c r="U249" s="28">
        <v>0</v>
      </c>
      <c r="V249" s="28">
        <v>1</v>
      </c>
    </row>
    <row r="250" spans="1:22" ht="21" customHeight="1" x14ac:dyDescent="0.15">
      <c r="A250" s="2" t="str">
        <f ca="1">input_386010!A$2</f>
        <v>386010</v>
      </c>
      <c r="B250" s="57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2">
        <f ca="1">IFERROR(VLOOKUP(B250,input_386010!L:R,7,FALSE),VLOOKUP(tables_386010!C250,input_386010!A:H,8,FALSE))</f>
        <v>59487.75</v>
      </c>
      <c r="P250" s="43">
        <f t="shared" ca="1" si="11"/>
        <v>2.5337656529516995E-3</v>
      </c>
      <c r="Q250" s="28">
        <v>1</v>
      </c>
      <c r="R250" s="28">
        <v>0</v>
      </c>
      <c r="S250" s="28">
        <v>0</v>
      </c>
      <c r="T250" s="28">
        <v>0</v>
      </c>
      <c r="U250" s="28">
        <v>0</v>
      </c>
      <c r="V250" s="28">
        <v>1</v>
      </c>
    </row>
    <row r="251" spans="1:22" ht="21" customHeight="1" x14ac:dyDescent="0.15">
      <c r="A251" s="2" t="str">
        <f ca="1">input_386010!A$2</f>
        <v>386010</v>
      </c>
      <c r="B251" s="57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2">
        <f ca="1">IFERROR(VLOOKUP(B251,input_386010!L:R,7,FALSE),VLOOKUP(tables_386010!C251,input_386010!A:H,8,FALSE))</f>
        <v>15587.25</v>
      </c>
      <c r="P251" s="43">
        <f t="shared" ca="1" si="11"/>
        <v>6.6390876565295168E-4</v>
      </c>
      <c r="Q251" s="28">
        <v>1</v>
      </c>
      <c r="R251" s="28">
        <v>0</v>
      </c>
      <c r="S251" s="28">
        <v>0</v>
      </c>
      <c r="T251" s="28">
        <v>0</v>
      </c>
      <c r="U251" s="28">
        <v>0</v>
      </c>
      <c r="V251" s="28">
        <v>1</v>
      </c>
    </row>
    <row r="252" spans="1:22" ht="21" customHeight="1" x14ac:dyDescent="0.15">
      <c r="A252" s="2" t="str">
        <f ca="1">input_386010!A$2</f>
        <v>386010</v>
      </c>
      <c r="B252" s="57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2">
        <f ca="1">IFERROR(VLOOKUP(B252,input_386010!L:R,7,FALSE),VLOOKUP(tables_386010!C252,input_386010!A:H,8,FALSE))</f>
        <v>15931.5</v>
      </c>
      <c r="P252" s="43">
        <f t="shared" ca="1" si="11"/>
        <v>6.7857142857142855E-4</v>
      </c>
      <c r="Q252" s="28">
        <v>1</v>
      </c>
      <c r="R252" s="28">
        <v>0</v>
      </c>
      <c r="S252" s="28">
        <v>0</v>
      </c>
      <c r="T252" s="28">
        <v>0</v>
      </c>
      <c r="U252" s="28">
        <v>0</v>
      </c>
      <c r="V252" s="28">
        <v>1</v>
      </c>
    </row>
    <row r="253" spans="1:22" ht="21" customHeight="1" x14ac:dyDescent="0.15">
      <c r="A253" s="2" t="str">
        <f ca="1">input_386010!A$2</f>
        <v>386010</v>
      </c>
      <c r="B253" s="57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2">
        <f ca="1">IFERROR(VLOOKUP(B253,input_386010!L:R,7,FALSE),VLOOKUP(tables_386010!C253,input_386010!A:H,8,FALSE))</f>
        <v>838.5</v>
      </c>
      <c r="P253" s="43">
        <f t="shared" ca="1" si="11"/>
        <v>3.5714285714285717E-5</v>
      </c>
      <c r="Q253" s="28">
        <v>1</v>
      </c>
      <c r="R253" s="28">
        <v>0</v>
      </c>
      <c r="S253" s="28">
        <v>0</v>
      </c>
      <c r="T253" s="28">
        <v>0</v>
      </c>
      <c r="U253" s="28">
        <v>0</v>
      </c>
      <c r="V253" s="28">
        <v>1</v>
      </c>
    </row>
    <row r="254" spans="1:22" ht="21" customHeight="1" x14ac:dyDescent="0.15">
      <c r="A254" s="2" t="str">
        <f ca="1">input_386010!A$2</f>
        <v>386010</v>
      </c>
      <c r="B254" s="57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2">
        <f ca="1">IFERROR(VLOOKUP(B254,input_386010!L:R,7,FALSE),VLOOKUP(tables_386010!C254,input_386010!A:H,8,FALSE))</f>
        <v>15931.5</v>
      </c>
      <c r="P254" s="43">
        <f t="shared" ca="1" si="11"/>
        <v>6.7857142857142855E-4</v>
      </c>
      <c r="Q254" s="28">
        <v>1</v>
      </c>
      <c r="R254" s="28">
        <v>0</v>
      </c>
      <c r="S254" s="28">
        <v>0</v>
      </c>
      <c r="T254" s="28">
        <v>0</v>
      </c>
      <c r="U254" s="28">
        <v>0</v>
      </c>
      <c r="V254" s="28">
        <v>1</v>
      </c>
    </row>
    <row r="255" spans="1:22" ht="21" customHeight="1" x14ac:dyDescent="0.15">
      <c r="A255" s="2" t="str">
        <f ca="1">input_386010!A$2</f>
        <v>386010</v>
      </c>
      <c r="B255" s="57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2">
        <f ca="1">IFERROR(VLOOKUP(B255,input_386010!L:R,7,FALSE),VLOOKUP(tables_386010!C255,input_386010!A:H,8,FALSE))</f>
        <v>838.5</v>
      </c>
      <c r="P255" s="43">
        <f t="shared" ca="1" si="11"/>
        <v>3.5714285714285717E-5</v>
      </c>
      <c r="Q255" s="28">
        <v>1</v>
      </c>
      <c r="R255" s="28">
        <v>0</v>
      </c>
      <c r="S255" s="28">
        <v>0</v>
      </c>
      <c r="T255" s="28">
        <v>0</v>
      </c>
      <c r="U255" s="28">
        <v>0</v>
      </c>
      <c r="V255" s="28">
        <v>1</v>
      </c>
    </row>
    <row r="256" spans="1:22" ht="21" customHeight="1" x14ac:dyDescent="0.15">
      <c r="A256" s="2" t="str">
        <f ca="1">input_386010!A$2</f>
        <v>386010</v>
      </c>
      <c r="B256" s="57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2">
        <f ca="1">IFERROR(VLOOKUP(B256,input_386010!L:R,7,FALSE),VLOOKUP(tables_386010!C256,input_386010!A:H,8,FALSE))</f>
        <v>142642.5</v>
      </c>
      <c r="P256" s="43">
        <f t="shared" ca="1" si="11"/>
        <v>6.075581395348837E-3</v>
      </c>
      <c r="Q256" s="28">
        <v>1</v>
      </c>
      <c r="R256" s="28">
        <v>0</v>
      </c>
      <c r="S256" s="28">
        <v>0</v>
      </c>
      <c r="T256" s="28">
        <v>0</v>
      </c>
      <c r="U256" s="28">
        <v>0</v>
      </c>
      <c r="V256" s="28">
        <v>1</v>
      </c>
    </row>
    <row r="257" spans="1:22" ht="21" customHeight="1" x14ac:dyDescent="0.15">
      <c r="A257" s="2" t="str">
        <f ca="1">input_386010!A$2</f>
        <v>386010</v>
      </c>
      <c r="B257" s="57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2">
        <f ca="1">IFERROR(VLOOKUP(B257,input_386010!L:R,7,FALSE),VLOOKUP(tables_386010!C257,input_386010!A:H,8,FALSE))</f>
        <v>7507.5</v>
      </c>
      <c r="P257" s="43">
        <f t="shared" ca="1" si="11"/>
        <v>3.1976744186046509E-4</v>
      </c>
      <c r="Q257" s="28">
        <v>1</v>
      </c>
      <c r="R257" s="28">
        <v>0</v>
      </c>
      <c r="S257" s="28">
        <v>0</v>
      </c>
      <c r="T257" s="28">
        <v>0</v>
      </c>
      <c r="U257" s="28">
        <v>0</v>
      </c>
      <c r="V257" s="28">
        <v>1</v>
      </c>
    </row>
    <row r="258" spans="1:22" ht="21" customHeight="1" x14ac:dyDescent="0.15">
      <c r="A258" s="2" t="str">
        <f ca="1">input_386010!A$2</f>
        <v>386010</v>
      </c>
      <c r="B258" s="57">
        <v>730</v>
      </c>
      <c r="C258" s="7" t="str">
        <f t="shared" ref="C258:C294" si="12">D258&amp;J258&amp;E258&amp;F258&amp;G258</f>
        <v>Premium4R3less</v>
      </c>
      <c r="D258" s="7" t="str">
        <f t="shared" ref="D258:D29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2">
        <f ca="1">IFERROR(VLOOKUP(B258,input_386010!L:R,7,FALSE),VLOOKUP(tables_386010!C258,input_386010!A:H,8,FALSE))</f>
        <v>142642.5</v>
      </c>
      <c r="P258" s="43">
        <f t="shared" ref="P258:P306" ca="1" si="14">O258/SUM(O:O)</f>
        <v>6.075581395348837E-3</v>
      </c>
      <c r="Q258" s="28">
        <v>1</v>
      </c>
      <c r="R258" s="28">
        <v>0</v>
      </c>
      <c r="S258" s="28">
        <v>0</v>
      </c>
      <c r="T258" s="28">
        <v>0</v>
      </c>
      <c r="U258" s="28">
        <v>0</v>
      </c>
      <c r="V258" s="28">
        <v>1</v>
      </c>
    </row>
    <row r="259" spans="1:22" ht="21" customHeight="1" x14ac:dyDescent="0.15">
      <c r="A259" s="2" t="str">
        <f ca="1">input_386010!A$2</f>
        <v>386010</v>
      </c>
      <c r="B259" s="57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2">
        <f ca="1">IFERROR(VLOOKUP(B259,input_386010!L:R,7,FALSE),VLOOKUP(tables_386010!C259,input_386010!A:H,8,FALSE))</f>
        <v>7507.5</v>
      </c>
      <c r="P259" s="43">
        <f t="shared" ca="1" si="14"/>
        <v>3.1976744186046509E-4</v>
      </c>
      <c r="Q259" s="28">
        <v>1</v>
      </c>
      <c r="R259" s="28">
        <v>0</v>
      </c>
      <c r="S259" s="28">
        <v>0</v>
      </c>
      <c r="T259" s="28">
        <v>0</v>
      </c>
      <c r="U259" s="28">
        <v>0</v>
      </c>
      <c r="V259" s="28">
        <v>1</v>
      </c>
    </row>
    <row r="260" spans="1:22" ht="21" customHeight="1" x14ac:dyDescent="0.15">
      <c r="A260" s="2" t="str">
        <f ca="1">input_386010!A$2</f>
        <v>386010</v>
      </c>
      <c r="B260" s="57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2">
        <f ca="1">IFERROR(VLOOKUP(B260,input_386010!L:R,7,FALSE),VLOOKUP(tables_386010!C260,input_386010!A:H,8,FALSE))</f>
        <v>16770</v>
      </c>
      <c r="P260" s="43">
        <f t="shared" ca="1" si="14"/>
        <v>7.1428571428571429E-4</v>
      </c>
      <c r="Q260" s="28">
        <v>1</v>
      </c>
      <c r="R260" s="28">
        <v>0</v>
      </c>
      <c r="S260" s="28">
        <v>0</v>
      </c>
      <c r="T260" s="28">
        <v>0</v>
      </c>
      <c r="U260" s="28">
        <v>0</v>
      </c>
      <c r="V260" s="28">
        <v>1</v>
      </c>
    </row>
    <row r="261" spans="1:22" ht="21" customHeight="1" x14ac:dyDescent="0.15">
      <c r="A261" s="2" t="str">
        <f ca="1">input_386010!A$2</f>
        <v>386010</v>
      </c>
      <c r="B261" s="57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2">
        <f ca="1">IFERROR(VLOOKUP(B261,input_386010!L:R,7,FALSE),VLOOKUP(tables_386010!C261,input_386010!A:H,8,FALSE))</f>
        <v>16770</v>
      </c>
      <c r="P261" s="43">
        <f t="shared" ca="1" si="14"/>
        <v>7.1428571428571429E-4</v>
      </c>
      <c r="Q261" s="28">
        <v>1</v>
      </c>
      <c r="R261" s="28">
        <v>0</v>
      </c>
      <c r="S261" s="28">
        <v>0</v>
      </c>
      <c r="T261" s="28">
        <v>0</v>
      </c>
      <c r="U261" s="28">
        <v>0</v>
      </c>
      <c r="V261" s="28">
        <v>1</v>
      </c>
    </row>
    <row r="262" spans="1:22" ht="21" customHeight="1" x14ac:dyDescent="0.15">
      <c r="A262" s="2" t="str">
        <f ca="1">input_386010!A$2</f>
        <v>386010</v>
      </c>
      <c r="B262" s="57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2">
        <f ca="1">IFERROR(VLOOKUP(B262,input_386010!L:R,7,FALSE),VLOOKUP(tables_386010!C262,input_386010!A:H,8,FALSE))</f>
        <v>15931.5</v>
      </c>
      <c r="P262" s="43">
        <f t="shared" ca="1" si="14"/>
        <v>6.7857142857142855E-4</v>
      </c>
      <c r="Q262" s="28">
        <v>1</v>
      </c>
      <c r="R262" s="28">
        <v>0</v>
      </c>
      <c r="S262" s="28">
        <v>0</v>
      </c>
      <c r="T262" s="28">
        <v>0</v>
      </c>
      <c r="U262" s="28">
        <v>0</v>
      </c>
      <c r="V262" s="28">
        <v>1</v>
      </c>
    </row>
    <row r="263" spans="1:22" ht="21" customHeight="1" x14ac:dyDescent="0.15">
      <c r="A263" s="2" t="str">
        <f ca="1">input_386010!A$2</f>
        <v>386010</v>
      </c>
      <c r="B263" s="57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2">
        <f ca="1">IFERROR(VLOOKUP(B263,input_386010!L:R,7,FALSE),VLOOKUP(tables_386010!C263,input_386010!A:H,8,FALSE))</f>
        <v>838.5</v>
      </c>
      <c r="P263" s="43">
        <f t="shared" ca="1" si="14"/>
        <v>3.5714285714285717E-5</v>
      </c>
      <c r="Q263" s="28">
        <v>1</v>
      </c>
      <c r="R263" s="28">
        <v>0</v>
      </c>
      <c r="S263" s="28">
        <v>0</v>
      </c>
      <c r="T263" s="28">
        <v>0</v>
      </c>
      <c r="U263" s="28">
        <v>0</v>
      </c>
      <c r="V263" s="28">
        <v>1</v>
      </c>
    </row>
    <row r="264" spans="1:22" ht="21" customHeight="1" x14ac:dyDescent="0.15">
      <c r="A264" s="2" t="str">
        <f ca="1">input_386010!A$2</f>
        <v>386010</v>
      </c>
      <c r="B264" s="57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2">
        <f ca="1">IFERROR(VLOOKUP(B264,input_386010!L:R,7,FALSE),VLOOKUP(tables_386010!C264,input_386010!A:H,8,FALSE))</f>
        <v>15931.5</v>
      </c>
      <c r="P264" s="43">
        <f t="shared" ca="1" si="14"/>
        <v>6.7857142857142855E-4</v>
      </c>
      <c r="Q264" s="28">
        <v>1</v>
      </c>
      <c r="R264" s="28">
        <v>0</v>
      </c>
      <c r="S264" s="28">
        <v>0</v>
      </c>
      <c r="T264" s="28">
        <v>0</v>
      </c>
      <c r="U264" s="28">
        <v>0</v>
      </c>
      <c r="V264" s="28">
        <v>1</v>
      </c>
    </row>
    <row r="265" spans="1:22" ht="21" customHeight="1" x14ac:dyDescent="0.15">
      <c r="A265" s="2" t="str">
        <f ca="1">input_386010!A$2</f>
        <v>386010</v>
      </c>
      <c r="B265" s="57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2">
        <f ca="1">IFERROR(VLOOKUP(B265,input_386010!L:R,7,FALSE),VLOOKUP(tables_386010!C265,input_386010!A:H,8,FALSE))</f>
        <v>838.5</v>
      </c>
      <c r="P265" s="43">
        <f t="shared" ca="1" si="14"/>
        <v>3.5714285714285717E-5</v>
      </c>
      <c r="Q265" s="28">
        <v>1</v>
      </c>
      <c r="R265" s="28">
        <v>0</v>
      </c>
      <c r="S265" s="28">
        <v>0</v>
      </c>
      <c r="T265" s="28">
        <v>0</v>
      </c>
      <c r="U265" s="28">
        <v>0</v>
      </c>
      <c r="V265" s="28">
        <v>1</v>
      </c>
    </row>
    <row r="266" spans="1:22" ht="21" customHeight="1" x14ac:dyDescent="0.15">
      <c r="A266" s="2" t="str">
        <f ca="1">input_386010!A$2</f>
        <v>386010</v>
      </c>
      <c r="B266" s="57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2">
        <f ca="1">IFERROR(VLOOKUP(B266,input_386010!L:R,7,FALSE),VLOOKUP(tables_386010!C266,input_386010!A:H,8,FALSE))</f>
        <v>75075</v>
      </c>
      <c r="P266" s="43">
        <f t="shared" ca="1" si="14"/>
        <v>3.1976744186046511E-3</v>
      </c>
      <c r="Q266" s="28">
        <v>1</v>
      </c>
      <c r="R266" s="28">
        <v>0</v>
      </c>
      <c r="S266" s="28">
        <v>0</v>
      </c>
      <c r="T266" s="28">
        <v>0</v>
      </c>
      <c r="U266" s="28">
        <v>0</v>
      </c>
      <c r="V266" s="28">
        <v>1</v>
      </c>
    </row>
    <row r="267" spans="1:22" ht="21" customHeight="1" x14ac:dyDescent="0.15">
      <c r="A267" s="2" t="str">
        <f ca="1">input_386010!A$2</f>
        <v>386010</v>
      </c>
      <c r="B267" s="57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2">
        <f ca="1">IFERROR(VLOOKUP(B267,input_386010!L:R,7,FALSE),VLOOKUP(tables_386010!C267,input_386010!A:H,8,FALSE))</f>
        <v>59487.75</v>
      </c>
      <c r="P267" s="43">
        <f t="shared" ca="1" si="14"/>
        <v>2.5337656529516995E-3</v>
      </c>
      <c r="Q267" s="28">
        <v>1</v>
      </c>
      <c r="R267" s="28">
        <v>0</v>
      </c>
      <c r="S267" s="28">
        <v>0</v>
      </c>
      <c r="T267" s="28">
        <v>0</v>
      </c>
      <c r="U267" s="28">
        <v>0</v>
      </c>
      <c r="V267" s="28">
        <v>1</v>
      </c>
    </row>
    <row r="268" spans="1:22" ht="21" customHeight="1" x14ac:dyDescent="0.15">
      <c r="A268" s="2" t="str">
        <f ca="1">input_386010!A$2</f>
        <v>386010</v>
      </c>
      <c r="B268" s="57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2">
        <f ca="1">IFERROR(VLOOKUP(B268,input_386010!L:R,7,FALSE),VLOOKUP(tables_386010!C268,input_386010!A:H,8,FALSE))</f>
        <v>15587.25</v>
      </c>
      <c r="P268" s="43">
        <f t="shared" ca="1" si="14"/>
        <v>6.6390876565295168E-4</v>
      </c>
      <c r="Q268" s="28">
        <v>1</v>
      </c>
      <c r="R268" s="28">
        <v>0</v>
      </c>
      <c r="S268" s="28">
        <v>0</v>
      </c>
      <c r="T268" s="28">
        <v>0</v>
      </c>
      <c r="U268" s="28">
        <v>0</v>
      </c>
      <c r="V268" s="28">
        <v>1</v>
      </c>
    </row>
    <row r="269" spans="1:22" ht="21" customHeight="1" x14ac:dyDescent="0.15">
      <c r="A269" s="2" t="str">
        <f ca="1">input_386010!A$2</f>
        <v>386010</v>
      </c>
      <c r="B269" s="57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2">
        <f ca="1">IFERROR(VLOOKUP(B269,input_386010!L:R,7,FALSE),VLOOKUP(tables_386010!C269,input_386010!A:H,8,FALSE))</f>
        <v>75075</v>
      </c>
      <c r="P269" s="43">
        <f t="shared" ca="1" si="14"/>
        <v>3.1976744186046511E-3</v>
      </c>
      <c r="Q269" s="28">
        <v>1</v>
      </c>
      <c r="R269" s="28">
        <v>0</v>
      </c>
      <c r="S269" s="28">
        <v>0</v>
      </c>
      <c r="T269" s="28">
        <v>0</v>
      </c>
      <c r="U269" s="28">
        <v>0</v>
      </c>
      <c r="V269" s="28">
        <v>1</v>
      </c>
    </row>
    <row r="270" spans="1:22" ht="21" customHeight="1" x14ac:dyDescent="0.15">
      <c r="A270" s="2" t="str">
        <f ca="1">input_386010!A$2</f>
        <v>386010</v>
      </c>
      <c r="B270" s="57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2">
        <f ca="1">IFERROR(VLOOKUP(B270,input_386010!L:R,7,FALSE),VLOOKUP(tables_386010!C270,input_386010!A:H,8,FALSE))</f>
        <v>59487.75</v>
      </c>
      <c r="P270" s="43">
        <f t="shared" ca="1" si="14"/>
        <v>2.5337656529516995E-3</v>
      </c>
      <c r="Q270" s="28">
        <v>1</v>
      </c>
      <c r="R270" s="28">
        <v>0</v>
      </c>
      <c r="S270" s="28">
        <v>0</v>
      </c>
      <c r="T270" s="28">
        <v>0</v>
      </c>
      <c r="U270" s="28">
        <v>0</v>
      </c>
      <c r="V270" s="28">
        <v>1</v>
      </c>
    </row>
    <row r="271" spans="1:22" ht="21" customHeight="1" x14ac:dyDescent="0.15">
      <c r="A271" s="2" t="str">
        <f ca="1">input_386010!A$2</f>
        <v>386010</v>
      </c>
      <c r="B271" s="57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2">
        <f ca="1">IFERROR(VLOOKUP(B271,input_386010!L:R,7,FALSE),VLOOKUP(tables_386010!C271,input_386010!A:H,8,FALSE))</f>
        <v>15587.25</v>
      </c>
      <c r="P271" s="43">
        <f t="shared" ca="1" si="14"/>
        <v>6.6390876565295168E-4</v>
      </c>
      <c r="Q271" s="28">
        <v>1</v>
      </c>
      <c r="R271" s="28">
        <v>0</v>
      </c>
      <c r="S271" s="28">
        <v>0</v>
      </c>
      <c r="T271" s="28">
        <v>0</v>
      </c>
      <c r="U271" s="28">
        <v>0</v>
      </c>
      <c r="V271" s="28">
        <v>1</v>
      </c>
    </row>
    <row r="272" spans="1:22" ht="21" customHeight="1" x14ac:dyDescent="0.15">
      <c r="A272" s="2" t="str">
        <f ca="1">input_386010!A$2</f>
        <v>386010</v>
      </c>
      <c r="B272" s="7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2">
        <f ca="1">IFERROR(VLOOKUP(B272,input_386010!L:R,7,FALSE),VLOOKUP(tables_386010!C272,input_386010!A:H,8,FALSE))</f>
        <v>16770</v>
      </c>
      <c r="P272" s="43">
        <f t="shared" ca="1" si="14"/>
        <v>7.1428571428571429E-4</v>
      </c>
      <c r="Q272" s="28">
        <v>1</v>
      </c>
      <c r="R272" s="28">
        <v>0</v>
      </c>
      <c r="S272" s="28">
        <v>0</v>
      </c>
      <c r="T272" s="28">
        <v>0</v>
      </c>
      <c r="U272" s="28">
        <v>0</v>
      </c>
      <c r="V272" s="28">
        <v>1</v>
      </c>
    </row>
    <row r="273" spans="1:22" ht="21" customHeight="1" x14ac:dyDescent="0.15">
      <c r="A273" s="2" t="str">
        <f ca="1">input_386010!A$2</f>
        <v>386010</v>
      </c>
      <c r="B273" s="7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2">
        <f ca="1">IFERROR(VLOOKUP(B273,input_386010!L:R,7,FALSE),VLOOKUP(tables_386010!C273,input_386010!A:H,8,FALSE))</f>
        <v>16770</v>
      </c>
      <c r="P273" s="43">
        <f t="shared" ca="1" si="14"/>
        <v>7.1428571428571429E-4</v>
      </c>
      <c r="Q273" s="28">
        <v>1</v>
      </c>
      <c r="R273" s="28">
        <v>0</v>
      </c>
      <c r="S273" s="28">
        <v>0</v>
      </c>
      <c r="T273" s="28">
        <v>0</v>
      </c>
      <c r="U273" s="28">
        <v>0</v>
      </c>
      <c r="V273" s="28">
        <v>1</v>
      </c>
    </row>
    <row r="274" spans="1:22" ht="21" customHeight="1" x14ac:dyDescent="0.15">
      <c r="A274" s="2" t="str">
        <f ca="1">input_386010!A$2</f>
        <v>386010</v>
      </c>
      <c r="B274" s="7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2">
        <f ca="1">IFERROR(VLOOKUP(B274,input_386010!L:R,7,FALSE),VLOOKUP(tables_386010!C274,input_386010!A:H,8,FALSE))</f>
        <v>142642.5</v>
      </c>
      <c r="P274" s="43">
        <f t="shared" ca="1" si="14"/>
        <v>6.075581395348837E-3</v>
      </c>
      <c r="Q274" s="28">
        <v>1</v>
      </c>
      <c r="R274" s="28">
        <v>0</v>
      </c>
      <c r="S274" s="28">
        <v>0</v>
      </c>
      <c r="T274" s="28">
        <v>0</v>
      </c>
      <c r="U274" s="28">
        <v>0</v>
      </c>
      <c r="V274" s="28">
        <v>1</v>
      </c>
    </row>
    <row r="275" spans="1:22" ht="21" customHeight="1" x14ac:dyDescent="0.15">
      <c r="A275" s="2" t="str">
        <f ca="1">input_386010!A$2</f>
        <v>386010</v>
      </c>
      <c r="B275" s="7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2">
        <f ca="1">IFERROR(VLOOKUP(B275,input_386010!L:R,7,FALSE),VLOOKUP(tables_386010!C275,input_386010!A:H,8,FALSE))</f>
        <v>7507.5</v>
      </c>
      <c r="P275" s="43">
        <f t="shared" ca="1" si="14"/>
        <v>3.1976744186046509E-4</v>
      </c>
      <c r="Q275" s="28">
        <v>1</v>
      </c>
      <c r="R275" s="28">
        <v>0</v>
      </c>
      <c r="S275" s="28">
        <v>0</v>
      </c>
      <c r="T275" s="28">
        <v>0</v>
      </c>
      <c r="U275" s="28">
        <v>0</v>
      </c>
      <c r="V275" s="28">
        <v>1</v>
      </c>
    </row>
    <row r="276" spans="1:22" ht="21" customHeight="1" x14ac:dyDescent="0.15">
      <c r="A276" s="2" t="str">
        <f ca="1">input_386010!A$2</f>
        <v>386010</v>
      </c>
      <c r="B276" s="7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2">
        <f ca="1">IFERROR(VLOOKUP(B276,input_386010!L:R,7,FALSE),VLOOKUP(tables_386010!C276,input_386010!A:H,8,FALSE))</f>
        <v>142642.5</v>
      </c>
      <c r="P276" s="43">
        <f t="shared" ca="1" si="14"/>
        <v>6.075581395348837E-3</v>
      </c>
      <c r="Q276" s="28">
        <v>1</v>
      </c>
      <c r="R276" s="28">
        <v>0</v>
      </c>
      <c r="S276" s="28">
        <v>0</v>
      </c>
      <c r="T276" s="28">
        <v>0</v>
      </c>
      <c r="U276" s="28">
        <v>0</v>
      </c>
      <c r="V276" s="28">
        <v>1</v>
      </c>
    </row>
    <row r="277" spans="1:22" ht="21" customHeight="1" x14ac:dyDescent="0.15">
      <c r="A277" s="2" t="str">
        <f ca="1">input_386010!A$2</f>
        <v>386010</v>
      </c>
      <c r="B277" s="7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2">
        <f ca="1">IFERROR(VLOOKUP(B277,input_386010!L:R,7,FALSE),VLOOKUP(tables_386010!C277,input_386010!A:H,8,FALSE))</f>
        <v>7507.5</v>
      </c>
      <c r="P277" s="43">
        <f t="shared" ca="1" si="14"/>
        <v>3.1976744186046509E-4</v>
      </c>
      <c r="Q277" s="28">
        <v>1</v>
      </c>
      <c r="R277" s="28">
        <v>0</v>
      </c>
      <c r="S277" s="28">
        <v>0</v>
      </c>
      <c r="T277" s="28">
        <v>0</v>
      </c>
      <c r="U277" s="28">
        <v>0</v>
      </c>
      <c r="V277" s="28">
        <v>1</v>
      </c>
    </row>
    <row r="278" spans="1:22" ht="21" customHeight="1" x14ac:dyDescent="0.15">
      <c r="A278" s="2" t="str">
        <f ca="1">input_386010!A$2</f>
        <v>386010</v>
      </c>
      <c r="B278" s="7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2">
        <f ca="1">IFERROR(VLOOKUP(B278,input_386010!L:R,7,FALSE),VLOOKUP(tables_386010!C278,input_386010!A:H,8,FALSE))</f>
        <v>142642.5</v>
      </c>
      <c r="P278" s="43">
        <f t="shared" ca="1" si="14"/>
        <v>6.075581395348837E-3</v>
      </c>
      <c r="Q278" s="28">
        <v>1</v>
      </c>
      <c r="R278" s="28">
        <v>0</v>
      </c>
      <c r="S278" s="28">
        <v>0</v>
      </c>
      <c r="T278" s="28">
        <v>0</v>
      </c>
      <c r="U278" s="28">
        <v>0</v>
      </c>
      <c r="V278" s="28">
        <v>1</v>
      </c>
    </row>
    <row r="279" spans="1:22" ht="21" customHeight="1" x14ac:dyDescent="0.15">
      <c r="A279" s="2" t="str">
        <f ca="1">input_386010!A$2</f>
        <v>386010</v>
      </c>
      <c r="B279" s="7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2">
        <f ca="1">IFERROR(VLOOKUP(B279,input_386010!L:R,7,FALSE),VLOOKUP(tables_386010!C279,input_386010!A:H,8,FALSE))</f>
        <v>7507.5</v>
      </c>
      <c r="P279" s="43">
        <f t="shared" ca="1" si="14"/>
        <v>3.1976744186046509E-4</v>
      </c>
      <c r="Q279" s="28">
        <v>1</v>
      </c>
      <c r="R279" s="28">
        <v>0</v>
      </c>
      <c r="S279" s="28">
        <v>0</v>
      </c>
      <c r="T279" s="28">
        <v>0</v>
      </c>
      <c r="U279" s="28">
        <v>0</v>
      </c>
      <c r="V279" s="28">
        <v>1</v>
      </c>
    </row>
    <row r="280" spans="1:22" ht="21" customHeight="1" x14ac:dyDescent="0.15">
      <c r="A280" s="2" t="str">
        <f ca="1">input_386010!A$2</f>
        <v>386010</v>
      </c>
      <c r="B280" s="7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2">
        <f ca="1">IFERROR(VLOOKUP(B280,input_386010!L:R,7,FALSE),VLOOKUP(tables_386010!C280,input_386010!A:H,8,FALSE))</f>
        <v>142642.5</v>
      </c>
      <c r="P280" s="43">
        <f t="shared" ca="1" si="14"/>
        <v>6.075581395348837E-3</v>
      </c>
      <c r="Q280" s="28">
        <v>1</v>
      </c>
      <c r="R280" s="28">
        <v>0</v>
      </c>
      <c r="S280" s="28">
        <v>0</v>
      </c>
      <c r="T280" s="28">
        <v>0</v>
      </c>
      <c r="U280" s="28">
        <v>0</v>
      </c>
      <c r="V280" s="28">
        <v>1</v>
      </c>
    </row>
    <row r="281" spans="1:22" ht="21" customHeight="1" x14ac:dyDescent="0.15">
      <c r="A281" s="2" t="str">
        <f ca="1">input_386010!A$2</f>
        <v>386010</v>
      </c>
      <c r="B281" s="7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2">
        <f ca="1">IFERROR(VLOOKUP(B281,input_386010!L:R,7,FALSE),VLOOKUP(tables_386010!C281,input_386010!A:H,8,FALSE))</f>
        <v>7507.5</v>
      </c>
      <c r="P281" s="43">
        <f t="shared" ca="1" si="14"/>
        <v>3.1976744186046509E-4</v>
      </c>
      <c r="Q281" s="28">
        <v>1</v>
      </c>
      <c r="R281" s="28">
        <v>0</v>
      </c>
      <c r="S281" s="28">
        <v>0</v>
      </c>
      <c r="T281" s="28">
        <v>0</v>
      </c>
      <c r="U281" s="28">
        <v>0</v>
      </c>
      <c r="V281" s="28">
        <v>1</v>
      </c>
    </row>
    <row r="282" spans="1:22" ht="21" customHeight="1" x14ac:dyDescent="0.15">
      <c r="A282" s="2" t="str">
        <f ca="1">input_386010!A$2</f>
        <v>386010</v>
      </c>
      <c r="B282" s="7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2">
        <f ca="1">IFERROR(VLOOKUP(B282,input_386010!L:R,7,FALSE),VLOOKUP(tables_386010!C282,input_386010!A:H,8,FALSE))</f>
        <v>16770</v>
      </c>
      <c r="P282" s="43">
        <f t="shared" ca="1" si="14"/>
        <v>7.1428571428571429E-4</v>
      </c>
      <c r="Q282" s="28">
        <v>1</v>
      </c>
      <c r="R282" s="28">
        <v>0</v>
      </c>
      <c r="S282" s="28">
        <v>0</v>
      </c>
      <c r="T282" s="28">
        <v>0</v>
      </c>
      <c r="U282" s="28">
        <v>0</v>
      </c>
      <c r="V282" s="28">
        <v>1</v>
      </c>
    </row>
    <row r="283" spans="1:22" ht="21" customHeight="1" x14ac:dyDescent="0.15">
      <c r="A283" s="2" t="str">
        <f ca="1">input_386010!A$2</f>
        <v>386010</v>
      </c>
      <c r="B283" s="7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2">
        <f ca="1">IFERROR(VLOOKUP(B283,input_386010!L:R,7,FALSE),VLOOKUP(tables_386010!C283,input_386010!A:H,8,FALSE))</f>
        <v>16770</v>
      </c>
      <c r="P283" s="43">
        <f t="shared" ca="1" si="14"/>
        <v>7.1428571428571429E-4</v>
      </c>
      <c r="Q283" s="28">
        <v>1</v>
      </c>
      <c r="R283" s="28">
        <v>0</v>
      </c>
      <c r="S283" s="28">
        <v>0</v>
      </c>
      <c r="T283" s="28">
        <v>0</v>
      </c>
      <c r="U283" s="28">
        <v>0</v>
      </c>
      <c r="V283" s="28">
        <v>1</v>
      </c>
    </row>
    <row r="284" spans="1:22" ht="21" customHeight="1" x14ac:dyDescent="0.15">
      <c r="A284" s="2" t="str">
        <f ca="1">input_386010!A$2</f>
        <v>386010</v>
      </c>
      <c r="B284" s="80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IFERROR(VLOOKUP(B284,input_386010!L:R,7,FALSE),VLOOKUP(tables_386010!C284,input_386010!A:H,8,FALSE))</f>
        <v>16770</v>
      </c>
      <c r="P284" s="43">
        <f t="shared" ca="1" si="14"/>
        <v>7.1428571428571429E-4</v>
      </c>
      <c r="Q284" s="28">
        <v>1</v>
      </c>
      <c r="R284" s="28">
        <v>0</v>
      </c>
      <c r="S284" s="28">
        <v>0</v>
      </c>
      <c r="T284" s="28">
        <v>0</v>
      </c>
      <c r="U284" s="28">
        <v>0</v>
      </c>
      <c r="V284" s="28">
        <v>1</v>
      </c>
    </row>
    <row r="285" spans="1:22" ht="21" customHeight="1" x14ac:dyDescent="0.15">
      <c r="A285" s="2" t="str">
        <f ca="1">input_386010!A$2</f>
        <v>386010</v>
      </c>
      <c r="B285" s="80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IFERROR(VLOOKUP(B285,input_386010!L:R,7,FALSE),VLOOKUP(tables_386010!C285,input_386010!A:H,8,FALSE))</f>
        <v>16770</v>
      </c>
      <c r="P285" s="43">
        <f t="shared" ca="1" si="14"/>
        <v>7.1428571428571429E-4</v>
      </c>
      <c r="Q285" s="28">
        <v>1</v>
      </c>
      <c r="R285" s="28">
        <v>0</v>
      </c>
      <c r="S285" s="28">
        <v>0</v>
      </c>
      <c r="T285" s="28">
        <v>0</v>
      </c>
      <c r="U285" s="28">
        <v>0</v>
      </c>
      <c r="V285" s="28">
        <v>1</v>
      </c>
    </row>
    <row r="286" spans="1:22" ht="21" customHeight="1" x14ac:dyDescent="0.15">
      <c r="A286" s="2" t="str">
        <f ca="1">input_386010!A$2</f>
        <v>386010</v>
      </c>
      <c r="B286" s="80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IFERROR(VLOOKUP(B286,input_386010!L:R,7,FALSE),VLOOKUP(tables_386010!C286,input_386010!A:H,8,FALSE))</f>
        <v>142642.5</v>
      </c>
      <c r="P286" s="43">
        <f t="shared" ca="1" si="14"/>
        <v>6.075581395348837E-3</v>
      </c>
      <c r="Q286" s="28">
        <v>1</v>
      </c>
      <c r="R286" s="28">
        <v>0</v>
      </c>
      <c r="S286" s="28">
        <v>0</v>
      </c>
      <c r="T286" s="28">
        <v>0</v>
      </c>
      <c r="U286" s="28">
        <v>0</v>
      </c>
      <c r="V286" s="28">
        <v>1</v>
      </c>
    </row>
    <row r="287" spans="1:22" ht="21" customHeight="1" x14ac:dyDescent="0.15">
      <c r="A287" s="2" t="str">
        <f ca="1">input_386010!A$2</f>
        <v>386010</v>
      </c>
      <c r="B287" s="80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IFERROR(VLOOKUP(B287,input_386010!L:R,7,FALSE),VLOOKUP(tables_386010!C287,input_386010!A:H,8,FALSE))</f>
        <v>7507.5</v>
      </c>
      <c r="P287" s="43">
        <f t="shared" ca="1" si="14"/>
        <v>3.1976744186046509E-4</v>
      </c>
      <c r="Q287" s="28">
        <v>1</v>
      </c>
      <c r="R287" s="28">
        <v>0</v>
      </c>
      <c r="S287" s="28">
        <v>0</v>
      </c>
      <c r="T287" s="28">
        <v>0</v>
      </c>
      <c r="U287" s="28">
        <v>0</v>
      </c>
      <c r="V287" s="28">
        <v>1</v>
      </c>
    </row>
    <row r="288" spans="1:22" ht="21" customHeight="1" x14ac:dyDescent="0.15">
      <c r="A288" s="2" t="str">
        <f ca="1">input_386010!A$2</f>
        <v>386010</v>
      </c>
      <c r="B288" s="80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IFERROR(VLOOKUP(B288,input_386010!L:R,7,FALSE),VLOOKUP(tables_386010!C288,input_386010!A:H,8,FALSE))</f>
        <v>142642.5</v>
      </c>
      <c r="P288" s="43">
        <f t="shared" ca="1" si="14"/>
        <v>6.075581395348837E-3</v>
      </c>
      <c r="Q288" s="28">
        <v>1</v>
      </c>
      <c r="R288" s="28">
        <v>0</v>
      </c>
      <c r="S288" s="28">
        <v>0</v>
      </c>
      <c r="T288" s="28">
        <v>0</v>
      </c>
      <c r="U288" s="28">
        <v>0</v>
      </c>
      <c r="V288" s="28">
        <v>1</v>
      </c>
    </row>
    <row r="289" spans="1:22" ht="21" customHeight="1" x14ac:dyDescent="0.15">
      <c r="A289" s="2" t="str">
        <f ca="1">input_386010!A$2</f>
        <v>386010</v>
      </c>
      <c r="B289" s="80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IFERROR(VLOOKUP(B289,input_386010!L:R,7,FALSE),VLOOKUP(tables_386010!C289,input_386010!A:H,8,FALSE))</f>
        <v>7507.5</v>
      </c>
      <c r="P289" s="43">
        <f t="shared" ca="1" si="14"/>
        <v>3.1976744186046509E-4</v>
      </c>
      <c r="Q289" s="28">
        <v>1</v>
      </c>
      <c r="R289" s="28">
        <v>0</v>
      </c>
      <c r="S289" s="28">
        <v>0</v>
      </c>
      <c r="T289" s="28">
        <v>0</v>
      </c>
      <c r="U289" s="28">
        <v>0</v>
      </c>
      <c r="V289" s="28">
        <v>1</v>
      </c>
    </row>
    <row r="290" spans="1:22" ht="21" customHeight="1" x14ac:dyDescent="0.15">
      <c r="A290" s="2" t="str">
        <f ca="1">input_386010!A$2</f>
        <v>386010</v>
      </c>
      <c r="B290" s="5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2">
        <f ca="1">IFERROR(VLOOKUP(B290,input_386010!L:R,7,FALSE),VLOOKUP(tables_386010!C290,input_386010!A:H,8,FALSE))</f>
        <v>16770</v>
      </c>
      <c r="P290" s="43">
        <f t="shared" ca="1" si="14"/>
        <v>7.1428571428571429E-4</v>
      </c>
      <c r="Q290" s="28">
        <v>1</v>
      </c>
      <c r="R290" s="28">
        <v>0</v>
      </c>
      <c r="S290" s="28">
        <v>0</v>
      </c>
      <c r="T290" s="28">
        <v>0</v>
      </c>
      <c r="U290" s="28">
        <v>0</v>
      </c>
      <c r="V290" s="28">
        <v>1</v>
      </c>
    </row>
    <row r="291" spans="1:22" ht="21" customHeight="1" x14ac:dyDescent="0.15">
      <c r="A291" s="2" t="str">
        <f ca="1">input_386010!A$2</f>
        <v>386010</v>
      </c>
      <c r="B291" s="5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2">
        <f ca="1">IFERROR(VLOOKUP(B291,input_386010!L:R,7,FALSE),VLOOKUP(tables_386010!C291,input_386010!A:H,8,FALSE))</f>
        <v>142642.5</v>
      </c>
      <c r="P291" s="43">
        <f t="shared" ca="1" si="14"/>
        <v>6.075581395348837E-3</v>
      </c>
      <c r="Q291" s="28">
        <v>1</v>
      </c>
      <c r="R291" s="28">
        <v>0</v>
      </c>
      <c r="S291" s="28">
        <v>0</v>
      </c>
      <c r="T291" s="28">
        <v>0</v>
      </c>
      <c r="U291" s="28">
        <v>0</v>
      </c>
      <c r="V291" s="28">
        <v>1</v>
      </c>
    </row>
    <row r="292" spans="1:22" ht="21" customHeight="1" x14ac:dyDescent="0.15">
      <c r="A292" s="2" t="str">
        <f ca="1">input_386010!A$2</f>
        <v>386010</v>
      </c>
      <c r="B292" s="5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2">
        <f ca="1">IFERROR(VLOOKUP(B292,input_386010!L:R,7,FALSE),VLOOKUP(tables_386010!C292,input_386010!A:H,8,FALSE))</f>
        <v>7507.5</v>
      </c>
      <c r="P292" s="43">
        <f t="shared" ca="1" si="14"/>
        <v>3.1976744186046509E-4</v>
      </c>
      <c r="Q292" s="28">
        <v>1</v>
      </c>
      <c r="R292" s="28">
        <v>0</v>
      </c>
      <c r="S292" s="28">
        <v>0</v>
      </c>
      <c r="T292" s="28">
        <v>0</v>
      </c>
      <c r="U292" s="28">
        <v>0</v>
      </c>
      <c r="V292" s="28">
        <v>1</v>
      </c>
    </row>
    <row r="293" spans="1:22" ht="21" customHeight="1" x14ac:dyDescent="0.15">
      <c r="A293" s="2" t="str">
        <f ca="1">input_386010!A$2</f>
        <v>386010</v>
      </c>
      <c r="B293" s="5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2">
        <f ca="1">IFERROR(VLOOKUP(B293,input_386010!L:R,7,FALSE),VLOOKUP(tables_386010!C293,input_386010!A:H,8,FALSE))</f>
        <v>16770</v>
      </c>
      <c r="P293" s="43">
        <f t="shared" ca="1" si="14"/>
        <v>7.1428571428571429E-4</v>
      </c>
      <c r="Q293" s="28">
        <v>1</v>
      </c>
      <c r="R293" s="28">
        <v>0</v>
      </c>
      <c r="S293" s="28">
        <v>0</v>
      </c>
      <c r="T293" s="28">
        <v>0</v>
      </c>
      <c r="U293" s="28">
        <v>0</v>
      </c>
      <c r="V293" s="28">
        <v>1</v>
      </c>
    </row>
    <row r="294" spans="1:22" ht="21" customHeight="1" x14ac:dyDescent="0.15">
      <c r="A294" s="2" t="str">
        <f ca="1">input_386010!A$2</f>
        <v>386010</v>
      </c>
      <c r="B294" s="5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IFERROR(VLOOKUP(B294,input_386010!L:R,7,FALSE),VLOOKUP(tables_386010!C294,input_386010!A:H,8,FALSE))</f>
        <v>16770</v>
      </c>
      <c r="P294" s="43">
        <f t="shared" ca="1" si="14"/>
        <v>7.1428571428571429E-4</v>
      </c>
      <c r="Q294" s="28">
        <v>1</v>
      </c>
      <c r="R294" s="28">
        <v>0</v>
      </c>
      <c r="S294" s="28">
        <v>0</v>
      </c>
      <c r="T294" s="28">
        <v>0</v>
      </c>
      <c r="U294" s="28">
        <v>0</v>
      </c>
      <c r="V294" s="28">
        <v>1</v>
      </c>
    </row>
    <row r="295" spans="1:22" ht="21" customHeight="1" x14ac:dyDescent="0.15">
      <c r="A295" s="2" t="str">
        <f ca="1">input_386010!A$2</f>
        <v>386010</v>
      </c>
      <c r="B295" s="5">
        <v>1012</v>
      </c>
      <c r="C295" s="7" t="str">
        <f t="shared" ref="C295:C300" si="15">D295&amp;J295&amp;E295&amp;F295&amp;G295</f>
        <v>PremiumSS5R5only</v>
      </c>
      <c r="D295" s="7" t="str">
        <f t="shared" ref="D295:D300" si="16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2">
        <f ca="1">IFERROR(VLOOKUP(B295,input_386010!L:R,7,FALSE),VLOOKUP(tables_386010!C295,input_386010!A:H,8,FALSE))</f>
        <v>16770</v>
      </c>
      <c r="P295" s="43">
        <f t="shared" ca="1" si="14"/>
        <v>7.1428571428571429E-4</v>
      </c>
      <c r="Q295" s="28">
        <v>1</v>
      </c>
      <c r="R295" s="28">
        <v>0</v>
      </c>
      <c r="S295" s="28">
        <v>0</v>
      </c>
      <c r="T295" s="28">
        <v>0</v>
      </c>
      <c r="U295" s="28">
        <v>0</v>
      </c>
      <c r="V295" s="28">
        <v>1</v>
      </c>
    </row>
    <row r="296" spans="1:22" ht="21" customHeight="1" x14ac:dyDescent="0.15">
      <c r="A296" s="2" t="str">
        <f ca="1">input_386010!A$2</f>
        <v>386010</v>
      </c>
      <c r="B296" s="5">
        <v>1014</v>
      </c>
      <c r="C296" s="7" t="str">
        <f t="shared" si="15"/>
        <v>PremiumSS5R5only</v>
      </c>
      <c r="D296" s="7" t="str">
        <f t="shared" si="16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2">
        <f ca="1">IFERROR(VLOOKUP(B296,input_386010!L:R,7,FALSE),VLOOKUP(tables_386010!C296,input_386010!A:H,8,FALSE))</f>
        <v>16770</v>
      </c>
      <c r="P296" s="43">
        <f t="shared" ca="1" si="14"/>
        <v>7.1428571428571429E-4</v>
      </c>
      <c r="Q296" s="28">
        <v>1</v>
      </c>
      <c r="R296" s="28">
        <v>0</v>
      </c>
      <c r="S296" s="28">
        <v>0</v>
      </c>
      <c r="T296" s="28">
        <v>0</v>
      </c>
      <c r="U296" s="28">
        <v>0</v>
      </c>
      <c r="V296" s="28">
        <v>1</v>
      </c>
    </row>
    <row r="297" spans="1:22" ht="21" customHeight="1" x14ac:dyDescent="0.15">
      <c r="A297" s="2" t="str">
        <f ca="1">input_386010!A$2</f>
        <v>386010</v>
      </c>
      <c r="B297" s="5">
        <v>1016</v>
      </c>
      <c r="C297" s="7" t="str">
        <f t="shared" si="15"/>
        <v>Premium4R3less</v>
      </c>
      <c r="D297" s="7" t="str">
        <f t="shared" si="16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2">
        <f ca="1">IFERROR(VLOOKUP(B297,input_386010!L:R,7,FALSE),VLOOKUP(tables_386010!C297,input_386010!A:H,8,FALSE))</f>
        <v>142642.5</v>
      </c>
      <c r="P297" s="43">
        <f t="shared" ca="1" si="14"/>
        <v>6.075581395348837E-3</v>
      </c>
      <c r="Q297" s="28">
        <v>1</v>
      </c>
      <c r="R297" s="28">
        <v>0</v>
      </c>
      <c r="S297" s="28">
        <v>0</v>
      </c>
      <c r="T297" s="28">
        <v>0</v>
      </c>
      <c r="U297" s="28">
        <v>0</v>
      </c>
      <c r="V297" s="28">
        <v>1</v>
      </c>
    </row>
    <row r="298" spans="1:22" ht="21" customHeight="1" x14ac:dyDescent="0.15">
      <c r="A298" s="2" t="str">
        <f ca="1">input_386010!A$2</f>
        <v>386010</v>
      </c>
      <c r="B298" s="5">
        <v>1017</v>
      </c>
      <c r="C298" s="7" t="str">
        <f t="shared" si="15"/>
        <v>Premium5R3less</v>
      </c>
      <c r="D298" s="7" t="str">
        <f t="shared" si="16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2">
        <f ca="1">IFERROR(VLOOKUP(B298,input_386010!L:R,7,FALSE),VLOOKUP(tables_386010!C298,input_386010!A:H,8,FALSE))</f>
        <v>7507.5</v>
      </c>
      <c r="P298" s="43">
        <f t="shared" ca="1" si="14"/>
        <v>3.1976744186046509E-4</v>
      </c>
      <c r="Q298" s="28">
        <v>1</v>
      </c>
      <c r="R298" s="28">
        <v>0</v>
      </c>
      <c r="S298" s="28">
        <v>0</v>
      </c>
      <c r="T298" s="28">
        <v>0</v>
      </c>
      <c r="U298" s="28">
        <v>0</v>
      </c>
      <c r="V298" s="28">
        <v>1</v>
      </c>
    </row>
    <row r="299" spans="1:22" ht="21" customHeight="1" x14ac:dyDescent="0.15">
      <c r="A299" s="2" t="str">
        <f ca="1">input_386010!A$2</f>
        <v>386010</v>
      </c>
      <c r="B299" s="5">
        <v>1018</v>
      </c>
      <c r="C299" s="7" t="str">
        <f t="shared" ref="C299" si="17">D299&amp;J299&amp;E299&amp;F299&amp;G299</f>
        <v>PremiumSS5R5only</v>
      </c>
      <c r="D299" s="7" t="str">
        <f t="shared" ref="D299" si="18">IF(I299="PremiumSS",I299,IF(I299="PremiumSSS",I299,IF(I299="PremiumW",I299,"Premium")))</f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2">
        <f ca="1">IFERROR(VLOOKUP(B299,input_386010!L:R,7,FALSE),VLOOKUP(tables_386010!C299,input_386010!A:H,8,FALSE))</f>
        <v>16770</v>
      </c>
      <c r="P299" s="43">
        <f t="shared" ca="1" si="14"/>
        <v>7.1428571428571429E-4</v>
      </c>
      <c r="Q299" s="28">
        <v>1</v>
      </c>
      <c r="R299" s="28">
        <v>0</v>
      </c>
      <c r="S299" s="28">
        <v>0</v>
      </c>
      <c r="T299" s="28">
        <v>0</v>
      </c>
      <c r="U299" s="28">
        <v>0</v>
      </c>
      <c r="V299" s="28">
        <v>1</v>
      </c>
    </row>
    <row r="300" spans="1:22" ht="21" customHeight="1" x14ac:dyDescent="0.15">
      <c r="A300" s="2" t="str">
        <f ca="1">input_386010!A$2</f>
        <v>386010</v>
      </c>
      <c r="B300" s="5">
        <v>996</v>
      </c>
      <c r="C300" s="7" t="str">
        <f t="shared" si="15"/>
        <v>PremiumSS5R5only</v>
      </c>
      <c r="D300" s="7" t="str">
        <f t="shared" si="16"/>
        <v>PremiumSS</v>
      </c>
      <c r="E300" s="7" t="str">
        <f>IF(COUNTIF('R6追加前'!A:A,B300)=0,IF(I300="PremiumSS","R5only","R3less"),"")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リヴァイ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blue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>IFERROR(VLOOKUP(B300,input_386010!L:R,7,FALSE),VLOOKUP(tables_386010!C300,input_386010!A:H,8,FALSE))</f>
        <v>234780</v>
      </c>
      <c r="P300" s="43">
        <f t="shared" ca="1" si="14"/>
        <v>0.01</v>
      </c>
      <c r="Q300" s="110">
        <v>80</v>
      </c>
      <c r="R300" s="28">
        <v>0</v>
      </c>
      <c r="S300" s="28">
        <v>0</v>
      </c>
      <c r="T300" s="28">
        <v>0</v>
      </c>
      <c r="U300" s="28">
        <v>0</v>
      </c>
      <c r="V300" s="110">
        <v>3</v>
      </c>
    </row>
    <row r="301" spans="1:22" ht="21" customHeight="1" x14ac:dyDescent="0.15">
      <c r="A301" s="2" t="str">
        <f ca="1">input_386010!A$2</f>
        <v>386010</v>
      </c>
      <c r="B301" s="5">
        <v>988</v>
      </c>
      <c r="C301" s="7" t="str">
        <f t="shared" ref="C301:C306" si="19">D301&amp;J301&amp;E301&amp;F301&amp;G301</f>
        <v>PremiumSS5R5only</v>
      </c>
      <c r="D301" s="7" t="str">
        <f t="shared" ref="D301:D306" si="20">IF(I301="PremiumSS",I301,IF(I301="PremiumSSS",I301,IF(I301="PremiumW",I301,"Premium")))</f>
        <v>PremiumSS</v>
      </c>
      <c r="E301" s="7" t="str">
        <f>IF(COUNTIF('R6追加前'!A:A,B301)=0,IF(I301="PremiumSS","R5only","R3less"),"")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ミカサ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2">
        <f>IFERROR(VLOOKUP(B301,input_386010!L:R,7,FALSE),VLOOKUP(tables_386010!C301,input_386010!A:H,8,FALSE))</f>
        <v>234780</v>
      </c>
      <c r="P301" s="43">
        <f t="shared" ca="1" si="14"/>
        <v>0.01</v>
      </c>
      <c r="Q301" s="110">
        <v>80</v>
      </c>
      <c r="R301" s="28">
        <v>0</v>
      </c>
      <c r="S301" s="28">
        <v>0</v>
      </c>
      <c r="T301" s="28">
        <v>0</v>
      </c>
      <c r="U301" s="28">
        <v>0</v>
      </c>
      <c r="V301" s="110">
        <v>3</v>
      </c>
    </row>
    <row r="302" spans="1:22" ht="21" customHeight="1" x14ac:dyDescent="0.15">
      <c r="A302" s="2" t="str">
        <f ca="1">input_386010!A$2</f>
        <v>386010</v>
      </c>
      <c r="B302" s="5">
        <v>994</v>
      </c>
      <c r="C302" s="7" t="str">
        <f t="shared" si="19"/>
        <v>Premium4R3less</v>
      </c>
      <c r="D302" s="7" t="str">
        <f t="shared" si="20"/>
        <v>Premium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/>
      <c r="H302" s="7" t="str">
        <f>VLOOKUP(B302,[1]characters!$A:$C,3,FALSE)</f>
        <v>アルミン</v>
      </c>
      <c r="I302" s="7" t="str">
        <f>VLOOKUP(B302,[1]characters!$A:$J,10,FALSE)</f>
        <v>PremiumS</v>
      </c>
      <c r="J302" s="7">
        <f>VLOOKUP(B302,[1]characters!$A:$I,9,FALSE)</f>
        <v>4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2">
        <f>IFERROR(VLOOKUP(B302,input_386010!L:R,7,FALSE),VLOOKUP(tables_386010!C302,input_386010!A:H,8,FALSE))</f>
        <v>2113020</v>
      </c>
      <c r="P302" s="43">
        <f t="shared" ca="1" si="14"/>
        <v>0.09</v>
      </c>
      <c r="Q302" s="110">
        <v>60</v>
      </c>
      <c r="R302" s="28">
        <v>0</v>
      </c>
      <c r="S302" s="28">
        <v>0</v>
      </c>
      <c r="T302" s="28">
        <v>0</v>
      </c>
      <c r="U302" s="28">
        <v>0</v>
      </c>
      <c r="V302" s="110">
        <v>3</v>
      </c>
    </row>
    <row r="303" spans="1:22" ht="21" customHeight="1" x14ac:dyDescent="0.15">
      <c r="A303" s="2" t="str">
        <f ca="1">input_386010!A$2</f>
        <v>386010</v>
      </c>
      <c r="B303" s="5">
        <v>995</v>
      </c>
      <c r="C303" s="7" t="str">
        <f t="shared" si="19"/>
        <v>Premium5R3less</v>
      </c>
      <c r="D303" s="7" t="str">
        <f t="shared" si="20"/>
        <v>Premium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疾駆する閃略 アルミン</v>
      </c>
      <c r="I303" s="7" t="str">
        <f>VLOOKUP(B303,[1]characters!$A:$J,10,FALSE)</f>
        <v>PremiumS</v>
      </c>
      <c r="J303" s="7">
        <f>VLOOKUP(B303,[1]characters!$A:$I,9,FALSE)</f>
        <v>5</v>
      </c>
      <c r="K303" s="7" t="str">
        <f>VLOOKUP(B303,[1]characters!$A:$H,8,FALSE)</f>
        <v>green</v>
      </c>
      <c r="L303" s="7" t="str">
        <f>VLOOKUP(B303,[1]characters!$A:$K,11,FALSE)</f>
        <v>balance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2">
        <f>IFERROR(VLOOKUP(B303,input_386010!L:R,7,FALSE),VLOOKUP(tables_386010!C303,input_386010!A:H,8,FALSE))</f>
        <v>234780</v>
      </c>
      <c r="P303" s="43">
        <f t="shared" ca="1" si="14"/>
        <v>0.01</v>
      </c>
      <c r="Q303" s="110">
        <v>80</v>
      </c>
      <c r="R303" s="28">
        <v>0</v>
      </c>
      <c r="S303" s="28">
        <v>0</v>
      </c>
      <c r="T303" s="28">
        <v>0</v>
      </c>
      <c r="U303" s="28">
        <v>0</v>
      </c>
      <c r="V303" s="110">
        <v>3</v>
      </c>
    </row>
    <row r="304" spans="1:22" ht="21" customHeight="1" x14ac:dyDescent="0.15">
      <c r="A304" s="2" t="str">
        <f ca="1">input_386010!A$2</f>
        <v>386010</v>
      </c>
      <c r="B304" s="5">
        <v>1000</v>
      </c>
      <c r="C304" s="7" t="str">
        <f t="shared" si="19"/>
        <v>Premium4R3less</v>
      </c>
      <c r="D304" s="7" t="str">
        <f t="shared" si="20"/>
        <v>Premium</v>
      </c>
      <c r="E304" s="7" t="str">
        <f>IF(COUNTIF('R6追加前'!A:A,B304)=0,IF(I304="PremiumSS","R5only","R3less"),"")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クリスタ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2">
        <f>IFERROR(VLOOKUP(B304,input_386010!L:R,7,FALSE),VLOOKUP(tables_386010!C304,input_386010!A:H,8,FALSE))</f>
        <v>3169530</v>
      </c>
      <c r="P304" s="43">
        <f t="shared" ca="1" si="14"/>
        <v>0.13500000000000001</v>
      </c>
      <c r="Q304" s="110">
        <v>60</v>
      </c>
      <c r="R304" s="28">
        <v>0</v>
      </c>
      <c r="S304" s="28">
        <v>0</v>
      </c>
      <c r="T304" s="28">
        <v>0</v>
      </c>
      <c r="U304" s="28">
        <v>0</v>
      </c>
      <c r="V304" s="110">
        <v>3</v>
      </c>
    </row>
    <row r="305" spans="1:22" ht="21" customHeight="1" x14ac:dyDescent="0.15">
      <c r="A305" s="2" t="str">
        <f ca="1">input_386010!A$2</f>
        <v>386010</v>
      </c>
      <c r="B305" s="5">
        <v>1001</v>
      </c>
      <c r="C305" s="7" t="str">
        <f t="shared" si="19"/>
        <v>Premium5R3less</v>
      </c>
      <c r="D305" s="7" t="str">
        <f t="shared" si="20"/>
        <v>Premium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細愛の女神 クリスタ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heal</v>
      </c>
      <c r="M305" s="7" t="str">
        <f>VLOOKUP(B305,[1]characters!$A:$M,13,FALSE)</f>
        <v>human</v>
      </c>
      <c r="N305" s="7" t="str">
        <f>VLOOKUP(B305,[1]characters!$A:$G,7,FALSE)</f>
        <v>男性</v>
      </c>
      <c r="O305" s="42">
        <f>IFERROR(VLOOKUP(B305,input_386010!L:R,7,FALSE),VLOOKUP(tables_386010!C305,input_386010!A:H,8,FALSE))</f>
        <v>352170</v>
      </c>
      <c r="P305" s="43">
        <f t="shared" ca="1" si="14"/>
        <v>1.4999999999999999E-2</v>
      </c>
      <c r="Q305" s="110">
        <v>80</v>
      </c>
      <c r="R305" s="28">
        <v>0</v>
      </c>
      <c r="S305" s="28">
        <v>0</v>
      </c>
      <c r="T305" s="28">
        <v>0</v>
      </c>
      <c r="U305" s="28">
        <v>0</v>
      </c>
      <c r="V305" s="110">
        <v>3</v>
      </c>
    </row>
    <row r="306" spans="1:22" ht="21" customHeight="1" x14ac:dyDescent="0.15">
      <c r="A306" s="2" t="str">
        <f ca="1">input_386010!A$2</f>
        <v>386010</v>
      </c>
      <c r="B306" s="5">
        <v>990</v>
      </c>
      <c r="C306" s="7" t="str">
        <f t="shared" si="19"/>
        <v>Premium4R3less</v>
      </c>
      <c r="D306" s="7" t="str">
        <f t="shared" si="20"/>
        <v>Premium</v>
      </c>
      <c r="E306" s="7" t="str">
        <f>IF(COUNTIF('R6追加前'!A:A,B306)=0,IF(I306="PremiumSS","R5only","R3less"),"")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エルヴィン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>IFERROR(VLOOKUP(B306,input_386010!L:R,7,FALSE),VLOOKUP(tables_386010!C306,input_386010!A:H,8,FALSE))</f>
        <v>3169530</v>
      </c>
      <c r="P306" s="43">
        <f t="shared" ca="1" si="14"/>
        <v>0.13500000000000001</v>
      </c>
      <c r="Q306" s="110">
        <v>60</v>
      </c>
      <c r="R306" s="28">
        <v>0</v>
      </c>
      <c r="S306" s="28">
        <v>0</v>
      </c>
      <c r="T306" s="28">
        <v>0</v>
      </c>
      <c r="U306" s="28">
        <v>0</v>
      </c>
      <c r="V306" s="110">
        <v>3</v>
      </c>
    </row>
    <row r="307" spans="1:22" ht="21" customHeight="1" x14ac:dyDescent="0.15">
      <c r="A307" s="2" t="str">
        <f ca="1">input_386010!A$2</f>
        <v>386010</v>
      </c>
      <c r="B307" s="5">
        <v>991</v>
      </c>
      <c r="C307" s="7" t="str">
        <f t="shared" ref="C307" si="21">D307&amp;J307&amp;E307&amp;F307&amp;G307</f>
        <v>Premium5R3less</v>
      </c>
      <c r="D307" s="7" t="str">
        <f t="shared" ref="D307" si="22">IF(I307="PremiumSS",I307,IF(I307="PremiumSSS",I307,IF(I307="PremiumW",I307,"Premium")))</f>
        <v>Premium</v>
      </c>
      <c r="E307" s="7" t="str">
        <f>IF(COUNTIF('R6追加前'!A:A,B307)=0,IF(I307="PremiumSS","R5only","R3less"),"")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反撃の核心 エルヴィン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balance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2">
        <f>IFERROR(VLOOKUP(B307,input_386010!L:R,7,FALSE),VLOOKUP(tables_386010!C307,input_386010!A:H,8,FALSE))</f>
        <v>352170</v>
      </c>
      <c r="P307" s="43">
        <f t="shared" ref="P307" ca="1" si="23">O307/SUM(O:O)</f>
        <v>1.4999999999999999E-2</v>
      </c>
      <c r="Q307" s="110">
        <v>80</v>
      </c>
      <c r="R307" s="28">
        <v>0</v>
      </c>
      <c r="S307" s="28">
        <v>0</v>
      </c>
      <c r="T307" s="28">
        <v>0</v>
      </c>
      <c r="U307" s="28">
        <v>0</v>
      </c>
      <c r="V307" s="110">
        <v>3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H7" sqref="H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5" t="s">
        <v>80</v>
      </c>
      <c r="B1" s="45"/>
      <c r="L1" s="35" t="s">
        <v>59</v>
      </c>
      <c r="M1" s="35"/>
      <c r="U1" t="s">
        <v>59</v>
      </c>
    </row>
    <row r="2" spans="1:22" x14ac:dyDescent="0.15">
      <c r="A2" t="str">
        <f ca="1">RIGHT(RIGHT(CELL("filename",A2),LEN(CELL("filename",A2))-FIND("]",CELL("filename",A2))),6)</f>
        <v>386100</v>
      </c>
      <c r="L2" s="30" t="s">
        <v>1</v>
      </c>
      <c r="M2" s="34" t="s">
        <v>63</v>
      </c>
      <c r="N2" s="30" t="s">
        <v>61</v>
      </c>
      <c r="O2" s="34" t="s">
        <v>64</v>
      </c>
      <c r="P2" s="34" t="s">
        <v>65</v>
      </c>
      <c r="Q2" s="34" t="s">
        <v>62</v>
      </c>
      <c r="R2" s="41" t="s">
        <v>71</v>
      </c>
      <c r="U2" s="30" t="s">
        <v>164</v>
      </c>
      <c r="V2" s="51">
        <f t="shared" ref="V2:V16" si="0">SUMIF(Q:Q,U2,N:N)</f>
        <v>0</v>
      </c>
    </row>
    <row r="3" spans="1:22" x14ac:dyDescent="0.15">
      <c r="H3" s="66" t="s">
        <v>185</v>
      </c>
      <c r="L3" s="5">
        <v>996</v>
      </c>
      <c r="M3" s="34" t="str">
        <f>VLOOKUP(L3,[1]characters!$A:$C,3,FALSE)</f>
        <v>リヴァイ</v>
      </c>
      <c r="N3" s="60">
        <v>0.01</v>
      </c>
      <c r="O3" s="34">
        <f>VLOOKUP(L3,[1]characters!$A:$I,9,FALSE)</f>
        <v>5</v>
      </c>
      <c r="P3" s="34" t="str">
        <f>VLOOKUP(L3,[1]characters!$A:$J,10,FALSE)</f>
        <v>PremiumSS</v>
      </c>
      <c r="Q3" s="34" t="str">
        <f>VLOOKUP(L3,tables_386100!B:C,2,FALSE)</f>
        <v>PremiumSS5R5only</v>
      </c>
      <c r="R3" s="59">
        <f t="shared" ref="R3:R20" si="1">N3*A$36</f>
        <v>18060</v>
      </c>
      <c r="S3">
        <v>190</v>
      </c>
      <c r="U3" s="30" t="s">
        <v>165</v>
      </c>
      <c r="V3" s="51">
        <f t="shared" si="0"/>
        <v>0</v>
      </c>
    </row>
    <row r="4" spans="1:22" x14ac:dyDescent="0.15">
      <c r="A4" s="31" t="s">
        <v>51</v>
      </c>
      <c r="B4" s="31"/>
      <c r="D4" t="s">
        <v>174</v>
      </c>
      <c r="F4" t="s">
        <v>177</v>
      </c>
      <c r="H4" t="s">
        <v>183</v>
      </c>
      <c r="I4" t="s">
        <v>184</v>
      </c>
      <c r="L4" s="5">
        <v>988</v>
      </c>
      <c r="M4" s="34" t="str">
        <f>VLOOKUP(L4,[1]characters!$A:$C,3,FALSE)</f>
        <v>ミカサ</v>
      </c>
      <c r="N4" s="60">
        <v>0.01</v>
      </c>
      <c r="O4" s="34">
        <f>VLOOKUP(L4,[1]characters!$A:$I,9,FALSE)</f>
        <v>5</v>
      </c>
      <c r="P4" s="34" t="str">
        <f>VLOOKUP(L4,[1]characters!$A:$J,10,FALSE)</f>
        <v>PremiumSS</v>
      </c>
      <c r="Q4" s="34" t="str">
        <f>VLOOKUP(L4,tables_386100!B:C,2,FALSE)</f>
        <v>PremiumSS5R5only</v>
      </c>
      <c r="R4" s="59">
        <f t="shared" si="1"/>
        <v>18060</v>
      </c>
      <c r="S4">
        <v>191</v>
      </c>
      <c r="U4" s="30" t="s">
        <v>95</v>
      </c>
      <c r="V4" s="51">
        <f t="shared" si="0"/>
        <v>0</v>
      </c>
    </row>
    <row r="5" spans="1:22" x14ac:dyDescent="0.15">
      <c r="A5" s="30" t="s">
        <v>66</v>
      </c>
      <c r="B5" s="65">
        <v>0</v>
      </c>
      <c r="D5" t="s">
        <v>175</v>
      </c>
      <c r="E5" s="40">
        <f>(B11-H5)/(F5-I5)</f>
        <v>7.1428571428571439E-4</v>
      </c>
      <c r="F5">
        <f>(COUNTIF(tables_386100!C:C,input_386100!A28)+COUNTIF(tables_386100!C:C,input_386100!A29))</f>
        <v>44</v>
      </c>
      <c r="H5" s="77">
        <v>0.02</v>
      </c>
      <c r="I5" s="29">
        <v>2</v>
      </c>
      <c r="L5" s="5">
        <v>994</v>
      </c>
      <c r="M5" s="34" t="str">
        <f>VLOOKUP(L5,[1]characters!$A:$C,3,FALSE)</f>
        <v>アルミン</v>
      </c>
      <c r="N5" s="60">
        <v>0.09</v>
      </c>
      <c r="O5" s="34">
        <f>VLOOKUP(L5,[1]characters!$A:$I,9,FALSE)</f>
        <v>4</v>
      </c>
      <c r="P5" s="34" t="str">
        <f>VLOOKUP(L5,[1]characters!$A:$J,10,FALSE)</f>
        <v>PremiumS</v>
      </c>
      <c r="Q5" s="34" t="str">
        <f>VLOOKUP(L5,tables_386100!B:C,2,FALSE)</f>
        <v>Premium4R3less</v>
      </c>
      <c r="R5" s="59">
        <f t="shared" si="1"/>
        <v>162540</v>
      </c>
      <c r="S5">
        <v>192</v>
      </c>
      <c r="U5" s="30" t="s">
        <v>96</v>
      </c>
      <c r="V5" s="51">
        <f t="shared" si="0"/>
        <v>0</v>
      </c>
    </row>
    <row r="6" spans="1:22" x14ac:dyDescent="0.15">
      <c r="A6" s="30" t="s">
        <v>67</v>
      </c>
      <c r="B6" s="65">
        <v>0.95</v>
      </c>
      <c r="D6" t="s">
        <v>176</v>
      </c>
      <c r="E6" s="69">
        <f>(B10-H6)/(F6-I6)</f>
        <v>6.3953488372093014E-3</v>
      </c>
      <c r="F6">
        <f>(COUNTIF(tables_386100!C:C,input_386100!A25)+COUNTIF(tables_386100!C:C,input_386100!A18)+COUNTIF(tables_386100!C:C,input_386100!A20)+COUNTIF(tables_386100!C:C,input_386100!A22))</f>
        <v>89</v>
      </c>
      <c r="H6" s="79">
        <v>0.4</v>
      </c>
      <c r="I6" s="29">
        <v>3</v>
      </c>
      <c r="L6" s="5">
        <v>995</v>
      </c>
      <c r="M6" s="34" t="str">
        <f>VLOOKUP(L6,[1]characters!$A:$C,3,FALSE)</f>
        <v>疾駆する閃略 アルミン</v>
      </c>
      <c r="N6" s="60">
        <v>0.01</v>
      </c>
      <c r="O6" s="34">
        <f>VLOOKUP(L6,[1]characters!$A:$I,9,FALSE)</f>
        <v>5</v>
      </c>
      <c r="P6" s="34" t="str">
        <f>VLOOKUP(L6,[1]characters!$A:$J,10,FALSE)</f>
        <v>PremiumS</v>
      </c>
      <c r="Q6" s="34" t="str">
        <f>VLOOKUP(L6,tables_386100!B:C,2,FALSE)</f>
        <v>Premium5R3less</v>
      </c>
      <c r="R6" s="59">
        <f t="shared" si="1"/>
        <v>18060</v>
      </c>
      <c r="S6">
        <v>596</v>
      </c>
      <c r="U6" s="30" t="s">
        <v>97</v>
      </c>
      <c r="V6" s="51">
        <f t="shared" si="0"/>
        <v>0</v>
      </c>
    </row>
    <row r="7" spans="1:22" x14ac:dyDescent="0.15">
      <c r="A7" s="30" t="s">
        <v>68</v>
      </c>
      <c r="B7" s="65">
        <v>0.05</v>
      </c>
      <c r="L7" s="5">
        <v>1000</v>
      </c>
      <c r="M7" s="34" t="str">
        <f>VLOOKUP(L7,[1]characters!$A:$C,3,FALSE)</f>
        <v>クリスタ</v>
      </c>
      <c r="N7" s="60">
        <v>0.13500000000000001</v>
      </c>
      <c r="O7" s="34">
        <f>VLOOKUP(L7,[1]characters!$A:$I,9,FALSE)</f>
        <v>4</v>
      </c>
      <c r="P7" s="34" t="str">
        <f>VLOOKUP(L7,[1]characters!$A:$J,10,FALSE)</f>
        <v>PremiumS</v>
      </c>
      <c r="Q7" s="34" t="str">
        <f>VLOOKUP(L7,tables_386100!B:C,2,FALSE)</f>
        <v>Premium4R3less</v>
      </c>
      <c r="R7" s="59">
        <f t="shared" si="1"/>
        <v>243810.00000000003</v>
      </c>
      <c r="S7">
        <v>597</v>
      </c>
      <c r="U7" s="30" t="s">
        <v>170</v>
      </c>
      <c r="V7" s="51">
        <f t="shared" si="0"/>
        <v>0.36</v>
      </c>
    </row>
    <row r="8" spans="1:22" x14ac:dyDescent="0.15">
      <c r="A8" s="54"/>
      <c r="B8" s="64"/>
      <c r="E8" s="69"/>
      <c r="L8" s="5">
        <v>1001</v>
      </c>
      <c r="M8" s="34" t="str">
        <f>VLOOKUP(L8,[1]characters!$A:$C,3,FALSE)</f>
        <v>細愛の女神 クリスタ</v>
      </c>
      <c r="N8" s="60">
        <v>1.4999999999999999E-2</v>
      </c>
      <c r="O8" s="34">
        <f>VLOOKUP(L8,[1]characters!$A:$I,9,FALSE)</f>
        <v>5</v>
      </c>
      <c r="P8" s="34" t="str">
        <f>VLOOKUP(L8,[1]characters!$A:$J,10,FALSE)</f>
        <v>PremiumS</v>
      </c>
      <c r="Q8" s="34" t="str">
        <f>VLOOKUP(L8,tables_386100!B:C,2,FALSE)</f>
        <v>Premium5R3less</v>
      </c>
      <c r="R8" s="59">
        <f t="shared" si="1"/>
        <v>27090</v>
      </c>
      <c r="S8">
        <v>598</v>
      </c>
      <c r="U8" s="30" t="s">
        <v>171</v>
      </c>
      <c r="V8" s="51">
        <f t="shared" si="0"/>
        <v>0.04</v>
      </c>
    </row>
    <row r="9" spans="1:22" x14ac:dyDescent="0.15">
      <c r="A9" s="32" t="s">
        <v>52</v>
      </c>
      <c r="B9" s="32"/>
      <c r="L9" s="5">
        <v>990</v>
      </c>
      <c r="M9" s="34" t="str">
        <f>VLOOKUP(L9,[1]characters!$A:$C,3,FALSE)</f>
        <v>エルヴィン</v>
      </c>
      <c r="N9" s="60">
        <v>0.13500000000000001</v>
      </c>
      <c r="O9" s="34">
        <f>VLOOKUP(L9,[1]characters!$A:$I,9,FALSE)</f>
        <v>4</v>
      </c>
      <c r="P9" s="34" t="str">
        <f>VLOOKUP(L9,[1]characters!$A:$J,10,FALSE)</f>
        <v>PremiumS</v>
      </c>
      <c r="Q9" s="34" t="str">
        <f>VLOOKUP(L9,tables_386100!B:C,2,FALSE)</f>
        <v>Premium4R3less</v>
      </c>
      <c r="R9" s="59">
        <f t="shared" si="1"/>
        <v>243810.00000000003</v>
      </c>
      <c r="S9">
        <v>390</v>
      </c>
      <c r="U9" s="30" t="s">
        <v>167</v>
      </c>
      <c r="V9" s="51">
        <f t="shared" si="0"/>
        <v>0</v>
      </c>
    </row>
    <row r="10" spans="1:22" x14ac:dyDescent="0.15">
      <c r="A10" s="30" t="s">
        <v>94</v>
      </c>
      <c r="B10" s="65">
        <f>1-B11-B12</f>
        <v>0.95</v>
      </c>
      <c r="C10" t="s">
        <v>182</v>
      </c>
      <c r="L10" s="5">
        <v>991</v>
      </c>
      <c r="M10" s="34" t="str">
        <f>VLOOKUP(L10,[1]characters!$A:$C,3,FALSE)</f>
        <v>反撃の核心 エルヴィン</v>
      </c>
      <c r="N10" s="60">
        <v>1.4999999999999999E-2</v>
      </c>
      <c r="O10" s="34">
        <f>VLOOKUP(L10,[1]characters!$A:$I,9,FALSE)</f>
        <v>5</v>
      </c>
      <c r="P10" s="34" t="str">
        <f>VLOOKUP(L10,[1]characters!$A:$J,10,FALSE)</f>
        <v>PremiumS</v>
      </c>
      <c r="Q10" s="34" t="str">
        <f>VLOOKUP(L10,tables_386100!B:C,2,FALSE)</f>
        <v>Premium5R3less</v>
      </c>
      <c r="R10" s="59">
        <f t="shared" si="1"/>
        <v>27090</v>
      </c>
      <c r="S10">
        <v>391</v>
      </c>
      <c r="U10" s="30" t="s">
        <v>168</v>
      </c>
      <c r="V10" s="51">
        <f t="shared" si="0"/>
        <v>0</v>
      </c>
    </row>
    <row r="11" spans="1:22" x14ac:dyDescent="0.15">
      <c r="A11" s="30" t="s">
        <v>54</v>
      </c>
      <c r="B11" s="70">
        <v>0.05</v>
      </c>
      <c r="C11" t="s">
        <v>208</v>
      </c>
      <c r="M11" s="34" t="e">
        <f>VLOOKUP(L11,[1]characters!$A:$C,3,FALSE)</f>
        <v>#N/A</v>
      </c>
      <c r="N11" s="60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VLOOKUP(L11,tables_386100!B:C,2,FALSE)</f>
        <v>#N/A</v>
      </c>
      <c r="R11" s="59">
        <f t="shared" si="1"/>
        <v>0</v>
      </c>
      <c r="S11">
        <v>811</v>
      </c>
      <c r="U11" s="30" t="s">
        <v>169</v>
      </c>
      <c r="V11" s="51">
        <f t="shared" si="0"/>
        <v>0</v>
      </c>
    </row>
    <row r="12" spans="1:22" x14ac:dyDescent="0.15">
      <c r="A12" s="30" t="s">
        <v>53</v>
      </c>
      <c r="B12" s="65">
        <v>0</v>
      </c>
      <c r="M12" s="34" t="e">
        <f>VLOOKUP(L12,[1]characters!$A:$C,3,FALSE)</f>
        <v>#N/A</v>
      </c>
      <c r="N12" s="60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VLOOKUP(L12,tables_386100!B:C,2,FALSE)</f>
        <v>#N/A</v>
      </c>
      <c r="R12" s="59">
        <f t="shared" si="1"/>
        <v>0</v>
      </c>
      <c r="S12">
        <v>496</v>
      </c>
      <c r="U12" s="30" t="s">
        <v>104</v>
      </c>
      <c r="V12" s="51">
        <f t="shared" si="0"/>
        <v>0</v>
      </c>
    </row>
    <row r="13" spans="1:22" x14ac:dyDescent="0.15">
      <c r="M13" s="34" t="e">
        <f>VLOOKUP(L13,[1]characters!$A:$C,3,FALSE)</f>
        <v>#N/A</v>
      </c>
      <c r="N13" s="60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VLOOKUP(L13,tables_386100!B:C,2,FALSE)</f>
        <v>#N/A</v>
      </c>
      <c r="R13" s="59">
        <f t="shared" si="1"/>
        <v>0</v>
      </c>
      <c r="S13">
        <v>497</v>
      </c>
      <c r="U13" s="30" t="s">
        <v>105</v>
      </c>
      <c r="V13" s="51">
        <f t="shared" si="0"/>
        <v>0</v>
      </c>
    </row>
    <row r="14" spans="1:22" x14ac:dyDescent="0.15">
      <c r="M14" s="34" t="e">
        <f>VLOOKUP(L14,[1]characters!$A:$C,3,FALSE)</f>
        <v>#N/A</v>
      </c>
      <c r="N14" s="60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VLOOKUP(L14,tables_386100!B:C,2,FALSE)</f>
        <v>#N/A</v>
      </c>
      <c r="R14" s="59">
        <f t="shared" si="1"/>
        <v>0</v>
      </c>
      <c r="S14">
        <v>498</v>
      </c>
      <c r="U14" s="30" t="s">
        <v>173</v>
      </c>
      <c r="V14" s="51">
        <f t="shared" si="0"/>
        <v>0.02</v>
      </c>
    </row>
    <row r="15" spans="1:22" x14ac:dyDescent="0.15">
      <c r="A15" s="33" t="s">
        <v>55</v>
      </c>
      <c r="B15" s="33"/>
      <c r="C15" t="s">
        <v>81</v>
      </c>
      <c r="M15" s="34" t="e">
        <f>VLOOKUP(L15,[1]characters!$A:$C,3,FALSE)</f>
        <v>#N/A</v>
      </c>
      <c r="N15" s="60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VLOOKUP(L15,tables_386100!B:C,2,FALSE)</f>
        <v>#N/A</v>
      </c>
      <c r="R15" s="59">
        <f t="shared" si="1"/>
        <v>0</v>
      </c>
      <c r="S15">
        <v>395</v>
      </c>
      <c r="U15" s="30" t="s">
        <v>172</v>
      </c>
      <c r="V15" s="51">
        <f t="shared" si="0"/>
        <v>0</v>
      </c>
    </row>
    <row r="16" spans="1:22" x14ac:dyDescent="0.15">
      <c r="A16" s="30" t="s">
        <v>58</v>
      </c>
      <c r="B16" s="30" t="s">
        <v>166</v>
      </c>
      <c r="C16" s="34" t="s">
        <v>59</v>
      </c>
      <c r="D16" s="34" t="s">
        <v>60</v>
      </c>
      <c r="E16" t="s">
        <v>70</v>
      </c>
      <c r="F16" t="s">
        <v>69</v>
      </c>
      <c r="G16" t="s">
        <v>72</v>
      </c>
      <c r="H16" t="s">
        <v>186</v>
      </c>
      <c r="I16" t="s">
        <v>73</v>
      </c>
      <c r="J16" t="s">
        <v>75</v>
      </c>
      <c r="M16" s="34" t="e">
        <f>VLOOKUP(L16,[1]characters!$A:$C,3,FALSE)</f>
        <v>#N/A</v>
      </c>
      <c r="N16" s="60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VLOOKUP(L16,tables_386100!B:C,2,FALSE)</f>
        <v>#N/A</v>
      </c>
      <c r="R16" s="59">
        <f t="shared" si="1"/>
        <v>0</v>
      </c>
      <c r="S16">
        <v>396</v>
      </c>
      <c r="U16" s="30" t="s">
        <v>106</v>
      </c>
      <c r="V16" s="51">
        <f t="shared" si="0"/>
        <v>0</v>
      </c>
    </row>
    <row r="17" spans="1:19" x14ac:dyDescent="0.15">
      <c r="A17" s="30" t="s">
        <v>164</v>
      </c>
      <c r="B17" s="75">
        <f>B$5-B19-B24</f>
        <v>0</v>
      </c>
      <c r="C17" s="78">
        <f t="shared" ref="C17:C31" si="2">SUMIF(Q:Q,A17,N:N)</f>
        <v>0</v>
      </c>
      <c r="D17" s="67">
        <f t="shared" ref="D17:D32" si="3">B17-C17</f>
        <v>0</v>
      </c>
      <c r="E17">
        <f>COUNTIF(tables_386100!C:C,input_386100!A17)-COUNTIF(Q:Q,A17)</f>
        <v>20</v>
      </c>
      <c r="F17" s="40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4" t="e">
        <f>VLOOKUP(L17,[1]characters!$A:$C,3,FALSE)</f>
        <v>#N/A</v>
      </c>
      <c r="N17" s="60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VLOOKUP(L17,tables_386100!B:C,2,FALSE)</f>
        <v>#N/A</v>
      </c>
      <c r="R17" s="59">
        <f t="shared" si="1"/>
        <v>0</v>
      </c>
      <c r="S17">
        <v>397</v>
      </c>
    </row>
    <row r="18" spans="1:19" x14ac:dyDescent="0.15">
      <c r="A18" s="30" t="s">
        <v>165</v>
      </c>
      <c r="B18" s="53">
        <f>E$6*E18-B17</f>
        <v>0.12790697674418602</v>
      </c>
      <c r="C18" s="78">
        <f t="shared" si="2"/>
        <v>0</v>
      </c>
      <c r="D18" s="67">
        <f t="shared" si="3"/>
        <v>0.12790697674418602</v>
      </c>
      <c r="E18">
        <f>COUNTIF(tables_386100!C:C,input_386100!A18)-COUNTIF(Q:Q,A18)</f>
        <v>20</v>
      </c>
      <c r="F18" s="40">
        <f>IFERROR(B18/E18,0)</f>
        <v>6.3953488372093014E-3</v>
      </c>
      <c r="G18">
        <f t="shared" si="4"/>
        <v>230999.99999999997</v>
      </c>
      <c r="H18">
        <f t="shared" si="5"/>
        <v>11550</v>
      </c>
      <c r="I18">
        <f t="shared" si="6"/>
        <v>0</v>
      </c>
      <c r="J18">
        <f t="shared" si="7"/>
        <v>1</v>
      </c>
      <c r="M18" s="34" t="e">
        <f>VLOOKUP(L18,[1]characters!$A:$C,3,FALSE)</f>
        <v>#N/A</v>
      </c>
      <c r="N18" s="60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VLOOKUP(L18,tables_386100!B:C,2,FALSE)</f>
        <v>#N/A</v>
      </c>
      <c r="R18" s="59">
        <f t="shared" si="1"/>
        <v>0</v>
      </c>
      <c r="S18">
        <v>324</v>
      </c>
    </row>
    <row r="19" spans="1:19" x14ac:dyDescent="0.15">
      <c r="A19" s="30" t="s">
        <v>95</v>
      </c>
      <c r="B19" s="53">
        <f>E$6*E19*B$5</f>
        <v>0</v>
      </c>
      <c r="C19" s="78">
        <f t="shared" si="2"/>
        <v>0</v>
      </c>
      <c r="D19" s="67">
        <f t="shared" si="3"/>
        <v>0</v>
      </c>
      <c r="E19">
        <f>COUNTIF(tables_386100!C:C,input_386100!A19)-COUNTIF(Q:Q,A19)</f>
        <v>52</v>
      </c>
      <c r="F19" s="40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4" t="e">
        <f>VLOOKUP(L19,[1]characters!$A:$C,3,FALSE)</f>
        <v>#N/A</v>
      </c>
      <c r="N19" s="60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VLOOKUP(L19,tables_386100!B:C,2,FALSE)</f>
        <v>#N/A</v>
      </c>
      <c r="R19" s="59">
        <f t="shared" si="1"/>
        <v>0</v>
      </c>
      <c r="S19">
        <v>325</v>
      </c>
    </row>
    <row r="20" spans="1:19" x14ac:dyDescent="0.15">
      <c r="A20" s="30" t="s">
        <v>96</v>
      </c>
      <c r="B20" s="75">
        <f>E20*E6-B21</f>
        <v>0.29803488372093018</v>
      </c>
      <c r="C20" s="78">
        <f t="shared" si="2"/>
        <v>0</v>
      </c>
      <c r="D20" s="67">
        <f t="shared" si="3"/>
        <v>0.29803488372093018</v>
      </c>
      <c r="E20">
        <f>COUNTIF(tables_386100!C:C,input_386100!A20)-COUNTIF(Q:Q,A20)</f>
        <v>52</v>
      </c>
      <c r="F20" s="40">
        <f t="shared" si="8"/>
        <v>5.7314400715563494E-3</v>
      </c>
      <c r="G20">
        <f t="shared" si="4"/>
        <v>538250.99999999988</v>
      </c>
      <c r="H20">
        <f t="shared" si="5"/>
        <v>10350.98077</v>
      </c>
      <c r="I20">
        <f t="shared" si="6"/>
        <v>0.98077000000012049</v>
      </c>
      <c r="J20">
        <f t="shared" si="7"/>
        <v>1.0196070434453308</v>
      </c>
      <c r="M20" s="34" t="e">
        <f>VLOOKUP(L20,[1]characters!$A:$C,3,FALSE)</f>
        <v>#N/A</v>
      </c>
      <c r="N20" s="60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VLOOKUP(L20,tables_386100!B:C,2,FALSE)</f>
        <v>#N/A</v>
      </c>
      <c r="R20" s="59">
        <f t="shared" si="1"/>
        <v>0</v>
      </c>
      <c r="S20">
        <v>809</v>
      </c>
    </row>
    <row r="21" spans="1:19" x14ac:dyDescent="0.15">
      <c r="A21" s="30" t="s">
        <v>97</v>
      </c>
      <c r="B21" s="53">
        <f>B7-B23-B26-B28-B29</f>
        <v>3.4523255813953491E-2</v>
      </c>
      <c r="C21" s="78">
        <f t="shared" si="2"/>
        <v>0</v>
      </c>
      <c r="D21" s="67">
        <f t="shared" si="3"/>
        <v>3.4523255813953491E-2</v>
      </c>
      <c r="E21">
        <f>COUNTIF(tables_386100!C:C,input_386100!A21)-COUNTIF(Q:Q,A21)</f>
        <v>52</v>
      </c>
      <c r="F21" s="40">
        <f t="shared" si="8"/>
        <v>6.6390876565295179E-4</v>
      </c>
      <c r="G21">
        <f t="shared" si="4"/>
        <v>62349.000000000007</v>
      </c>
      <c r="H21">
        <f t="shared" si="5"/>
        <v>1199.0192300000001</v>
      </c>
      <c r="I21">
        <f t="shared" si="6"/>
        <v>1.9230000000106884E-2</v>
      </c>
      <c r="J21">
        <f t="shared" si="7"/>
        <v>52.00208008291429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0" t="s">
        <v>170</v>
      </c>
      <c r="B22" s="68">
        <f>E$6*E22*B6</f>
        <v>6.0755813953488357E-2</v>
      </c>
      <c r="C22" s="78">
        <f t="shared" si="2"/>
        <v>0.36</v>
      </c>
      <c r="D22" s="67">
        <f t="shared" si="3"/>
        <v>-0.29924418604651165</v>
      </c>
      <c r="E22">
        <f>COUNTIF(tables_386100!C:C,input_386100!A22)-COUNTIF(Q:Q,A22)</f>
        <v>10</v>
      </c>
      <c r="F22" s="40">
        <f t="shared" si="8"/>
        <v>6.0755813953488353E-3</v>
      </c>
      <c r="G22">
        <f t="shared" si="4"/>
        <v>109724.99999999997</v>
      </c>
      <c r="H22">
        <f t="shared" si="5"/>
        <v>10972.5</v>
      </c>
      <c r="I22">
        <f t="shared" si="6"/>
        <v>0.5</v>
      </c>
      <c r="J22">
        <f t="shared" si="7"/>
        <v>2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0" t="s">
        <v>171</v>
      </c>
      <c r="B23" s="63">
        <f>E23*E6*B7</f>
        <v>3.1976744186046507E-3</v>
      </c>
      <c r="C23" s="78">
        <f t="shared" si="2"/>
        <v>0.04</v>
      </c>
      <c r="D23" s="67">
        <f t="shared" si="3"/>
        <v>-3.6802325581395352E-2</v>
      </c>
      <c r="E23">
        <f>COUNTIF(tables_386100!C:C,input_386100!A23)-COUNTIF(Q:Q,A23)</f>
        <v>10</v>
      </c>
      <c r="F23" s="40">
        <f t="shared" si="8"/>
        <v>3.1976744186046509E-4</v>
      </c>
      <c r="G23">
        <f t="shared" si="4"/>
        <v>5774.9999999999991</v>
      </c>
      <c r="H23">
        <f t="shared" si="5"/>
        <v>577.5</v>
      </c>
      <c r="I23">
        <f t="shared" si="6"/>
        <v>0.5</v>
      </c>
      <c r="J23">
        <f t="shared" si="7"/>
        <v>2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0" t="s">
        <v>167</v>
      </c>
      <c r="B24" s="53">
        <f>E$6*E24*B$5</f>
        <v>0</v>
      </c>
      <c r="C24" s="78">
        <f t="shared" si="2"/>
        <v>0</v>
      </c>
      <c r="D24" s="67">
        <f t="shared" si="3"/>
        <v>0</v>
      </c>
      <c r="E24">
        <f>COUNTIF(tables_386100!C:C,input_386100!A24)-COUNTIF(Q:Q,A24)</f>
        <v>4</v>
      </c>
      <c r="F24" s="40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0" t="s">
        <v>168</v>
      </c>
      <c r="B25" s="53">
        <f>E$6*B$6*E25</f>
        <v>2.4302325581395345E-2</v>
      </c>
      <c r="C25" s="78">
        <f t="shared" si="2"/>
        <v>0</v>
      </c>
      <c r="D25" s="67">
        <f t="shared" si="3"/>
        <v>2.4302325581395345E-2</v>
      </c>
      <c r="E25">
        <f>COUNTIF(tables_386100!C:C,input_386100!A25)-COUNTIF(Q:Q,A25)</f>
        <v>4</v>
      </c>
      <c r="F25" s="40">
        <f t="shared" si="8"/>
        <v>6.0755813953488362E-3</v>
      </c>
      <c r="G25">
        <f t="shared" si="4"/>
        <v>43889.999999999993</v>
      </c>
      <c r="H25">
        <f t="shared" si="5"/>
        <v>10972.5</v>
      </c>
      <c r="I25">
        <f t="shared" si="6"/>
        <v>0.5</v>
      </c>
      <c r="J25">
        <f t="shared" si="7"/>
        <v>2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0" t="s">
        <v>169</v>
      </c>
      <c r="B26" s="53">
        <f>E$6*B$7*E26</f>
        <v>1.2790697674418604E-3</v>
      </c>
      <c r="C26" s="78">
        <f t="shared" si="2"/>
        <v>0</v>
      </c>
      <c r="D26" s="67">
        <f t="shared" si="3"/>
        <v>1.2790697674418604E-3</v>
      </c>
      <c r="E26">
        <f>COUNTIF(tables_386100!C:C,input_386100!A26)-COUNTIF(Q:Q,A26)</f>
        <v>4</v>
      </c>
      <c r="F26" s="40">
        <f t="shared" si="8"/>
        <v>3.1976744186046509E-4</v>
      </c>
      <c r="G26">
        <f t="shared" si="4"/>
        <v>2310</v>
      </c>
      <c r="H26">
        <f t="shared" si="5"/>
        <v>577.5</v>
      </c>
      <c r="I26">
        <f t="shared" si="6"/>
        <v>0.5</v>
      </c>
      <c r="J26">
        <f t="shared" si="7"/>
        <v>2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0" t="s">
        <v>104</v>
      </c>
      <c r="B27" s="53">
        <f>E$5*E27*(B$5+B$6)</f>
        <v>1.9000000000000003E-2</v>
      </c>
      <c r="C27" s="78">
        <f t="shared" si="2"/>
        <v>0</v>
      </c>
      <c r="D27" s="67">
        <f t="shared" si="3"/>
        <v>1.9000000000000003E-2</v>
      </c>
      <c r="E27">
        <f>COUNTIF(tables_386100!C:C,input_386100!A27)-COUNTIF(Q:Q,A27)</f>
        <v>28</v>
      </c>
      <c r="F27" s="40">
        <f>IFERROR(B27/E27,0)</f>
        <v>6.7857142857142866E-4</v>
      </c>
      <c r="G27">
        <f t="shared" si="4"/>
        <v>34314.000000000007</v>
      </c>
      <c r="H27">
        <f t="shared" si="5"/>
        <v>1225.5</v>
      </c>
      <c r="I27">
        <f t="shared" si="6"/>
        <v>0.5</v>
      </c>
      <c r="J27">
        <f t="shared" si="7"/>
        <v>2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0" t="s">
        <v>105</v>
      </c>
      <c r="B28" s="53">
        <f>E$5*E28*B$7</f>
        <v>1.0000000000000002E-3</v>
      </c>
      <c r="C28" s="78">
        <f t="shared" si="2"/>
        <v>0</v>
      </c>
      <c r="D28" s="67">
        <f t="shared" si="3"/>
        <v>1.0000000000000002E-3</v>
      </c>
      <c r="E28">
        <f>COUNTIF(tables_386100!C:C,input_386100!A28)-COUNTIF(Q:Q,A28)</f>
        <v>28</v>
      </c>
      <c r="F28" s="40">
        <f t="shared" si="8"/>
        <v>3.5714285714285724E-5</v>
      </c>
      <c r="G28">
        <f t="shared" si="4"/>
        <v>1806.0000000000005</v>
      </c>
      <c r="H28">
        <f t="shared" si="5"/>
        <v>64.5</v>
      </c>
      <c r="I28">
        <f t="shared" si="6"/>
        <v>0.5</v>
      </c>
      <c r="J28">
        <f t="shared" si="7"/>
        <v>2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0" t="s">
        <v>173</v>
      </c>
      <c r="B29" s="53">
        <f>E$5*E29</f>
        <v>1.0000000000000002E-2</v>
      </c>
      <c r="C29" s="78">
        <f t="shared" si="2"/>
        <v>0.02</v>
      </c>
      <c r="D29" s="67">
        <f t="shared" si="3"/>
        <v>-9.9999999999999985E-3</v>
      </c>
      <c r="E29">
        <f>COUNTIF(tables_386100!C:C,input_386100!A29)-COUNTIF(Q:Q,A29)</f>
        <v>14</v>
      </c>
      <c r="F29" s="40">
        <f t="shared" si="8"/>
        <v>7.1428571428571439E-4</v>
      </c>
      <c r="G29">
        <f t="shared" si="4"/>
        <v>18060.000000000004</v>
      </c>
      <c r="H29">
        <f t="shared" si="5"/>
        <v>1290</v>
      </c>
      <c r="I29">
        <f t="shared" si="6"/>
        <v>0</v>
      </c>
      <c r="J29">
        <f t="shared" si="7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0" t="s">
        <v>206</v>
      </c>
      <c r="B30" s="53">
        <v>0</v>
      </c>
      <c r="C30" s="78">
        <f t="shared" si="2"/>
        <v>0</v>
      </c>
      <c r="D30" s="67">
        <f t="shared" si="3"/>
        <v>0</v>
      </c>
      <c r="E30">
        <f>COUNTIF(tables_386100!C:C,input_386100!A30)-COUNTIF(Q:Q,A30)</f>
        <v>0</v>
      </c>
      <c r="F30" s="40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0" t="s">
        <v>207</v>
      </c>
      <c r="B31" s="53">
        <v>0</v>
      </c>
      <c r="C31" s="78">
        <f t="shared" si="2"/>
        <v>0</v>
      </c>
      <c r="D31" s="67">
        <f t="shared" si="3"/>
        <v>0</v>
      </c>
      <c r="E31">
        <f>COUNTIF(tables_386100!C:C,input_386100!A31)-COUNTIF(Q:Q,A31)</f>
        <v>0</v>
      </c>
      <c r="F31" s="40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6" t="s">
        <v>57</v>
      </c>
      <c r="B32" s="37">
        <f>SUM(B17:B31)</f>
        <v>0.57999999999999985</v>
      </c>
      <c r="C32" s="38">
        <f>SUM(C19:C31)</f>
        <v>0.42</v>
      </c>
      <c r="D32" s="39">
        <f t="shared" si="3"/>
        <v>0.15999999999999986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71</v>
      </c>
    </row>
    <row r="36" spans="1:7" x14ac:dyDescent="0.15">
      <c r="A36" s="29">
        <f>LCM(F5-I5,F6-I6)*1000</f>
        <v>1806000</v>
      </c>
    </row>
    <row r="38" spans="1:7" x14ac:dyDescent="0.15">
      <c r="A38" s="44" t="s">
        <v>74</v>
      </c>
    </row>
    <row r="39" spans="1:7" x14ac:dyDescent="0.15">
      <c r="A39" s="30" t="s">
        <v>58</v>
      </c>
      <c r="B39" t="s">
        <v>72</v>
      </c>
      <c r="C39" t="s">
        <v>98</v>
      </c>
      <c r="E39" t="s">
        <v>99</v>
      </c>
      <c r="F39" t="s">
        <v>2</v>
      </c>
      <c r="G39" t="s">
        <v>61</v>
      </c>
    </row>
    <row r="40" spans="1:7" x14ac:dyDescent="0.15">
      <c r="A40" s="30" t="s">
        <v>101</v>
      </c>
      <c r="B40">
        <f ca="1">SUMIF(tables_386100!C:C,input_386100!A40,tables_386100!O:O)</f>
        <v>0</v>
      </c>
      <c r="C40" s="51">
        <f t="shared" ref="C40:C46" ca="1" si="9">B40/B$47</f>
        <v>0</v>
      </c>
      <c r="E40">
        <v>3</v>
      </c>
      <c r="F40">
        <f ca="1">SUMIF(tables_386100!J:J,input_386100!E40,tables_386100!O:O)</f>
        <v>0</v>
      </c>
      <c r="G40">
        <f ca="1">F40/A36</f>
        <v>0</v>
      </c>
    </row>
    <row r="41" spans="1:7" x14ac:dyDescent="0.15">
      <c r="A41" s="30" t="s">
        <v>102</v>
      </c>
      <c r="B41">
        <f ca="1">SUMIF(tables_386100!C:C,input_386100!A41,tables_386100!O:O)</f>
        <v>538251.00004000054</v>
      </c>
      <c r="C41" s="51">
        <f t="shared" ca="1" si="9"/>
        <v>0.84534960428445804</v>
      </c>
      <c r="E41">
        <v>4</v>
      </c>
      <c r="F41">
        <f ca="1">SUMIF(tables_386100!J:J,input_386100!E41,tables_386100!O:O)</f>
        <v>1607340.0000400012</v>
      </c>
      <c r="G41" s="103">
        <f ca="1">F41/A36</f>
        <v>0.89000000002214907</v>
      </c>
    </row>
    <row r="42" spans="1:7" x14ac:dyDescent="0.15">
      <c r="A42" s="30" t="s">
        <v>104</v>
      </c>
      <c r="B42">
        <f ca="1">SUMIF(tables_386100!C:C,input_386100!A42,tables_386100!O:O)</f>
        <v>34314</v>
      </c>
      <c r="C42" s="51">
        <f t="shared" ca="1" si="9"/>
        <v>5.3891820580474897E-2</v>
      </c>
      <c r="E42">
        <v>5</v>
      </c>
      <c r="F42">
        <f ca="1">SUMIF(tables_386100!J:J,input_386100!E42,tables_386100!O:O)</f>
        <v>198659.99995999999</v>
      </c>
      <c r="G42" s="103">
        <f ca="1">F42/A36</f>
        <v>0.10999999997785159</v>
      </c>
    </row>
    <row r="43" spans="1:7" x14ac:dyDescent="0.15">
      <c r="A43" s="30" t="s">
        <v>107</v>
      </c>
      <c r="B43">
        <f>SUMIF(tables_386100!C:C,input_386100!A43,tables_386100!O:O)</f>
        <v>0</v>
      </c>
      <c r="C43" s="51">
        <f t="shared" ca="1" si="9"/>
        <v>0</v>
      </c>
      <c r="F43" s="52"/>
    </row>
    <row r="44" spans="1:7" x14ac:dyDescent="0.15">
      <c r="A44" s="30" t="s">
        <v>103</v>
      </c>
      <c r="B44">
        <f ca="1">SUMIF(tables_386100!C:C,input_386100!A44,tables_386100!O:O)</f>
        <v>62348.999959999979</v>
      </c>
      <c r="C44" s="51">
        <f t="shared" ca="1" si="9"/>
        <v>9.7922163525568429E-2</v>
      </c>
      <c r="E44" t="s">
        <v>52</v>
      </c>
      <c r="F44" s="52"/>
    </row>
    <row r="45" spans="1:7" x14ac:dyDescent="0.15">
      <c r="A45" s="30" t="s">
        <v>105</v>
      </c>
      <c r="B45">
        <f ca="1">SUMIF(tables_386100!C:C,input_386100!A45,tables_386100!O:O)</f>
        <v>1806</v>
      </c>
      <c r="C45" s="51">
        <f t="shared" ca="1" si="9"/>
        <v>2.8364116094986786E-3</v>
      </c>
      <c r="E45" t="s">
        <v>178</v>
      </c>
      <c r="F45" s="52">
        <f ca="1">SUMIF(tables_386100!I:I,input_386100!E45,tables_386100!P:P)</f>
        <v>0.127906976744186</v>
      </c>
    </row>
    <row r="46" spans="1:7" x14ac:dyDescent="0.15">
      <c r="A46" s="30" t="s">
        <v>106</v>
      </c>
      <c r="B46">
        <f>SUMIF(tables_386100!C:C,input_386100!A46,tables_386100!O:O)</f>
        <v>0</v>
      </c>
      <c r="C46" s="51">
        <f t="shared" ca="1" si="9"/>
        <v>0</v>
      </c>
      <c r="E46" t="s">
        <v>179</v>
      </c>
      <c r="F46" s="52">
        <f ca="1">SUMIF(tables_386100!I:I,input_386100!E46,tables_386100!P:P)</f>
        <v>0.12790697674418608</v>
      </c>
    </row>
    <row r="47" spans="1:7" x14ac:dyDescent="0.15">
      <c r="A47" s="36" t="s">
        <v>57</v>
      </c>
      <c r="B47">
        <f ca="1">SUM(B40:B46)</f>
        <v>636720.00000000047</v>
      </c>
      <c r="C47" s="52">
        <f ca="1">SUM(C40:C46)</f>
        <v>1.0000000000000002</v>
      </c>
      <c r="E47" t="s">
        <v>180</v>
      </c>
      <c r="F47" s="52">
        <f ca="1">SUMIF(tables_386100!I:I,input_386100!E47,tables_386100!P:P)</f>
        <v>0.69418604651162807</v>
      </c>
    </row>
    <row r="48" spans="1:7" x14ac:dyDescent="0.15">
      <c r="E48" t="s">
        <v>181</v>
      </c>
      <c r="F48" s="52">
        <f ca="1">SUMIF(tables_386100!I:I,input_386100!E48,tables_386100!P:P)</f>
        <v>5.0000000000000031E-2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7"/>
  <sheetViews>
    <sheetView showGridLines="0" tabSelected="1" topLeftCell="F1" zoomScale="75" zoomScaleNormal="75" zoomScalePageLayoutView="75" workbookViewId="0">
      <pane ySplit="1" topLeftCell="A290" activePane="bottomLeft" state="frozen"/>
      <selection activeCell="B27" sqref="B27:B29"/>
      <selection pane="bottomLeft" activeCell="J311" sqref="J31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82</v>
      </c>
      <c r="B1" s="15" t="s">
        <v>1</v>
      </c>
      <c r="C1" s="3" t="s">
        <v>30</v>
      </c>
      <c r="D1" s="3" t="s">
        <v>93</v>
      </c>
      <c r="E1" s="3" t="s">
        <v>162</v>
      </c>
      <c r="F1" s="3" t="s">
        <v>163</v>
      </c>
      <c r="G1" s="3" t="s">
        <v>100</v>
      </c>
      <c r="H1" s="3" t="s">
        <v>32</v>
      </c>
      <c r="I1" s="3" t="s">
        <v>33</v>
      </c>
      <c r="J1" s="3" t="s">
        <v>34</v>
      </c>
      <c r="K1" s="3" t="s">
        <v>50</v>
      </c>
      <c r="L1" s="3" t="s">
        <v>35</v>
      </c>
      <c r="M1" s="3" t="s">
        <v>36</v>
      </c>
      <c r="N1" s="3" t="s">
        <v>56</v>
      </c>
      <c r="O1" s="15" t="s">
        <v>2</v>
      </c>
      <c r="P1" s="3" t="s">
        <v>61</v>
      </c>
      <c r="Q1" s="15" t="s">
        <v>37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 t="str">
        <f ca="1">input_386100!A$2</f>
        <v>386100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IFERROR(VLOOKUP(B2,input_386100!L:R,7,FALSE),VLOOKUP(tables_386100!C2,input_386100!A:H,8,FALSE))</f>
        <v>0</v>
      </c>
      <c r="P2" s="43">
        <f ca="1">O2/SUM(O:O)</f>
        <v>0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 t="str">
        <f ca="1">input_386100!A$2</f>
        <v>386100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IFERROR(VLOOKUP(B3,input_386100!L:R,7,FALSE),VLOOKUP(tables_386100!C3,input_386100!A:H,8,FALSE))</f>
        <v>11550</v>
      </c>
      <c r="P3" s="43">
        <f t="shared" ref="P3:P66" ca="1" si="2">O3/SUM(O:O)</f>
        <v>6.3953488372093022E-3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 t="str">
        <f ca="1">input_386100!A$2</f>
        <v>386100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IFERROR(VLOOKUP(B4,input_386100!L:R,7,FALSE),VLOOKUP(tables_386100!C4,input_386100!A:H,8,FALSE))</f>
        <v>0</v>
      </c>
      <c r="P4" s="43">
        <f t="shared" ca="1" si="2"/>
        <v>0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 t="str">
        <f ca="1">input_386100!A$2</f>
        <v>386100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IFERROR(VLOOKUP(B5,input_386100!L:R,7,FALSE),VLOOKUP(tables_386100!C5,input_386100!A:H,8,FALSE))</f>
        <v>11550</v>
      </c>
      <c r="P5" s="43">
        <f t="shared" ca="1" si="2"/>
        <v>6.3953488372093022E-3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 t="str">
        <f ca="1">input_386100!A$2</f>
        <v>386100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IFERROR(VLOOKUP(B6,input_386100!L:R,7,FALSE),VLOOKUP(tables_386100!C6,input_386100!A:H,8,FALSE))</f>
        <v>0</v>
      </c>
      <c r="P6" s="43">
        <f t="shared" ca="1" si="2"/>
        <v>0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 t="str">
        <f ca="1">input_386100!A$2</f>
        <v>386100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IFERROR(VLOOKUP(B7,input_386100!L:R,7,FALSE),VLOOKUP(tables_386100!C7,input_386100!A:H,8,FALSE))</f>
        <v>11550</v>
      </c>
      <c r="P7" s="43">
        <f t="shared" ca="1" si="2"/>
        <v>6.3953488372093022E-3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 t="str">
        <f ca="1">input_386100!A$2</f>
        <v>386100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IFERROR(VLOOKUP(B8,input_386100!L:R,7,FALSE),VLOOKUP(tables_386100!C8,input_386100!A:H,8,FALSE))</f>
        <v>0</v>
      </c>
      <c r="P8" s="43">
        <f t="shared" ca="1" si="2"/>
        <v>0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 t="str">
        <f ca="1">input_386100!A$2</f>
        <v>386100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IFERROR(VLOOKUP(B9,input_386100!L:R,7,FALSE),VLOOKUP(tables_386100!C9,input_386100!A:H,8,FALSE))</f>
        <v>11550</v>
      </c>
      <c r="P9" s="43">
        <f t="shared" ca="1" si="2"/>
        <v>6.3953488372093022E-3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 t="str">
        <f ca="1">input_386100!A$2</f>
        <v>386100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IFERROR(VLOOKUP(B10,input_386100!L:R,7,FALSE),VLOOKUP(tables_386100!C10,input_386100!A:H,8,FALSE))</f>
        <v>0</v>
      </c>
      <c r="P10" s="43">
        <f t="shared" ca="1" si="2"/>
        <v>0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 t="str">
        <f ca="1">input_386100!A$2</f>
        <v>386100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IFERROR(VLOOKUP(B11,input_386100!L:R,7,FALSE),VLOOKUP(tables_386100!C11,input_386100!A:H,8,FALSE))</f>
        <v>11550</v>
      </c>
      <c r="P11" s="43">
        <f t="shared" ca="1" si="2"/>
        <v>6.3953488372093022E-3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 t="str">
        <f ca="1">input_386100!A$2</f>
        <v>386100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IFERROR(VLOOKUP(B12,input_386100!L:R,7,FALSE),VLOOKUP(tables_386100!C12,input_386100!A:H,8,FALSE))</f>
        <v>0</v>
      </c>
      <c r="P12" s="43">
        <f t="shared" ca="1" si="2"/>
        <v>0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 t="str">
        <f ca="1">input_386100!A$2</f>
        <v>386100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IFERROR(VLOOKUP(B13,input_386100!L:R,7,FALSE),VLOOKUP(tables_386100!C13,input_386100!A:H,8,FALSE))</f>
        <v>11550</v>
      </c>
      <c r="P13" s="43">
        <f t="shared" ca="1" si="2"/>
        <v>6.3953488372093022E-3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 t="str">
        <f ca="1">input_386100!A$2</f>
        <v>386100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IFERROR(VLOOKUP(B14,input_386100!L:R,7,FALSE),VLOOKUP(tables_386100!C14,input_386100!A:H,8,FALSE))</f>
        <v>0</v>
      </c>
      <c r="P14" s="43">
        <f t="shared" ca="1" si="2"/>
        <v>0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 t="str">
        <f ca="1">input_386100!A$2</f>
        <v>386100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IFERROR(VLOOKUP(B15,input_386100!L:R,7,FALSE),VLOOKUP(tables_386100!C15,input_386100!A:H,8,FALSE))</f>
        <v>11550</v>
      </c>
      <c r="P15" s="43">
        <f t="shared" ca="1" si="2"/>
        <v>6.3953488372093022E-3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 t="str">
        <f ca="1">input_386100!A$2</f>
        <v>386100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IFERROR(VLOOKUP(B16,input_386100!L:R,7,FALSE),VLOOKUP(tables_386100!C16,input_386100!A:H,8,FALSE))</f>
        <v>0</v>
      </c>
      <c r="P16" s="43">
        <f t="shared" ca="1" si="2"/>
        <v>0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 t="str">
        <f ca="1">input_386100!A$2</f>
        <v>386100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IFERROR(VLOOKUP(B17,input_386100!L:R,7,FALSE),VLOOKUP(tables_386100!C17,input_386100!A:H,8,FALSE))</f>
        <v>11550</v>
      </c>
      <c r="P17" s="43">
        <f t="shared" ca="1" si="2"/>
        <v>6.3953488372093022E-3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 t="str">
        <f ca="1">input_386100!A$2</f>
        <v>386100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IFERROR(VLOOKUP(B18,input_386100!L:R,7,FALSE),VLOOKUP(tables_386100!C18,input_386100!A:H,8,FALSE))</f>
        <v>0</v>
      </c>
      <c r="P18" s="43">
        <f t="shared" ca="1" si="2"/>
        <v>0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s="12" customFormat="1" ht="21" customHeight="1" thickBot="1" x14ac:dyDescent="0.2">
      <c r="A19" s="2" t="str">
        <f ca="1">input_386100!A$2</f>
        <v>386100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IFERROR(VLOOKUP(B19,input_386100!L:R,7,FALSE),VLOOKUP(tables_386100!C19,input_386100!A:H,8,FALSE))</f>
        <v>11550</v>
      </c>
      <c r="P19" s="43">
        <f t="shared" ca="1" si="2"/>
        <v>6.3953488372093022E-3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 t="str">
        <f ca="1">input_386100!A$2</f>
        <v>386100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IFERROR(VLOOKUP(B20,input_386100!L:R,7,FALSE),VLOOKUP(tables_386100!C20,input_386100!A:H,8,FALSE))</f>
        <v>0</v>
      </c>
      <c r="P20" s="43">
        <f t="shared" ca="1" si="2"/>
        <v>0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 t="str">
        <f ca="1">input_386100!A$2</f>
        <v>386100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IFERROR(VLOOKUP(B21,input_386100!L:R,7,FALSE),VLOOKUP(tables_386100!C21,input_386100!A:H,8,FALSE))</f>
        <v>11550</v>
      </c>
      <c r="P21" s="43">
        <f t="shared" ca="1" si="2"/>
        <v>6.3953488372093022E-3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 t="str">
        <f ca="1">input_386100!A$2</f>
        <v>386100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IFERROR(VLOOKUP(B22,input_386100!L:R,7,FALSE),VLOOKUP(tables_386100!C22,input_386100!A:H,8,FALSE))</f>
        <v>0</v>
      </c>
      <c r="P22" s="43">
        <f t="shared" ca="1" si="2"/>
        <v>0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 t="str">
        <f ca="1">input_386100!A$2</f>
        <v>386100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IFERROR(VLOOKUP(B23,input_386100!L:R,7,FALSE),VLOOKUP(tables_386100!C23,input_386100!A:H,8,FALSE))</f>
        <v>11550</v>
      </c>
      <c r="P23" s="43">
        <f t="shared" ca="1" si="2"/>
        <v>6.3953488372093022E-3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 t="str">
        <f ca="1">input_386100!A$2</f>
        <v>386100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IFERROR(VLOOKUP(B24,input_386100!L:R,7,FALSE),VLOOKUP(tables_386100!C24,input_386100!A:H,8,FALSE))</f>
        <v>0</v>
      </c>
      <c r="P24" s="43">
        <f t="shared" ca="1" si="2"/>
        <v>0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 t="str">
        <f ca="1">input_386100!A$2</f>
        <v>386100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IFERROR(VLOOKUP(B25,input_386100!L:R,7,FALSE),VLOOKUP(tables_386100!C25,input_386100!A:H,8,FALSE))</f>
        <v>11550</v>
      </c>
      <c r="P25" s="43">
        <f t="shared" ca="1" si="2"/>
        <v>6.3953488372093022E-3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 t="str">
        <f ca="1">input_386100!A$2</f>
        <v>386100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IFERROR(VLOOKUP(B26,input_386100!L:R,7,FALSE),VLOOKUP(tables_386100!C26,input_386100!A:H,8,FALSE))</f>
        <v>0</v>
      </c>
      <c r="P26" s="43">
        <f t="shared" ca="1" si="2"/>
        <v>0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 t="str">
        <f ca="1">input_386100!A$2</f>
        <v>386100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IFERROR(VLOOKUP(B27,input_386100!L:R,7,FALSE),VLOOKUP(tables_386100!C27,input_386100!A:H,8,FALSE))</f>
        <v>11550</v>
      </c>
      <c r="P27" s="43">
        <f t="shared" ca="1" si="2"/>
        <v>6.3953488372093022E-3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 t="str">
        <f ca="1">input_386100!A$2</f>
        <v>386100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IFERROR(VLOOKUP(B28,input_386100!L:R,7,FALSE),VLOOKUP(tables_386100!C28,input_386100!A:H,8,FALSE))</f>
        <v>0</v>
      </c>
      <c r="P28" s="43">
        <f t="shared" ca="1" si="2"/>
        <v>0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 t="str">
        <f ca="1">input_386100!A$2</f>
        <v>386100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IFERROR(VLOOKUP(B29,input_386100!L:R,7,FALSE),VLOOKUP(tables_386100!C29,input_386100!A:H,8,FALSE))</f>
        <v>11550</v>
      </c>
      <c r="P29" s="43">
        <f t="shared" ca="1" si="2"/>
        <v>6.3953488372093022E-3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 t="str">
        <f ca="1">input_386100!A$2</f>
        <v>386100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IFERROR(VLOOKUP(B30,input_386100!L:R,7,FALSE),VLOOKUP(tables_386100!C30,input_386100!A:H,8,FALSE))</f>
        <v>0</v>
      </c>
      <c r="P30" s="43">
        <f t="shared" ca="1" si="2"/>
        <v>0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 t="str">
        <f ca="1">input_386100!A$2</f>
        <v>386100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IFERROR(VLOOKUP(B31,input_386100!L:R,7,FALSE),VLOOKUP(tables_386100!C31,input_386100!A:H,8,FALSE))</f>
        <v>11550</v>
      </c>
      <c r="P31" s="43">
        <f t="shared" ca="1" si="2"/>
        <v>6.3953488372093022E-3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 t="str">
        <f ca="1">input_386100!A$2</f>
        <v>386100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IFERROR(VLOOKUP(B32,input_386100!L:R,7,FALSE),VLOOKUP(tables_386100!C32,input_386100!A:H,8,FALSE))</f>
        <v>0</v>
      </c>
      <c r="P32" s="43">
        <f t="shared" ca="1" si="2"/>
        <v>0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 t="str">
        <f ca="1">input_386100!A$2</f>
        <v>386100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IFERROR(VLOOKUP(B33,input_386100!L:R,7,FALSE),VLOOKUP(tables_386100!C33,input_386100!A:H,8,FALSE))</f>
        <v>11550</v>
      </c>
      <c r="P33" s="43">
        <f t="shared" ca="1" si="2"/>
        <v>6.3953488372093022E-3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 t="str">
        <f ca="1">input_386100!A$2</f>
        <v>386100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IFERROR(VLOOKUP(B34,input_386100!L:R,7,FALSE),VLOOKUP(tables_386100!C34,input_386100!A:H,8,FALSE))</f>
        <v>0</v>
      </c>
      <c r="P34" s="43">
        <f t="shared" ca="1" si="2"/>
        <v>0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 t="str">
        <f ca="1">input_386100!A$2</f>
        <v>386100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IFERROR(VLOOKUP(B35,input_386100!L:R,7,FALSE),VLOOKUP(tables_386100!C35,input_386100!A:H,8,FALSE))</f>
        <v>11550</v>
      </c>
      <c r="P35" s="43">
        <f t="shared" ca="1" si="2"/>
        <v>6.3953488372093022E-3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 t="str">
        <f ca="1">input_386100!A$2</f>
        <v>386100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IFERROR(VLOOKUP(B36,input_386100!L:R,7,FALSE),VLOOKUP(tables_386100!C36,input_386100!A:H,8,FALSE))</f>
        <v>0</v>
      </c>
      <c r="P36" s="43">
        <f t="shared" ca="1" si="2"/>
        <v>0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 t="str">
        <f ca="1">input_386100!A$2</f>
        <v>386100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IFERROR(VLOOKUP(B37,input_386100!L:R,7,FALSE),VLOOKUP(tables_386100!C37,input_386100!A:H,8,FALSE))</f>
        <v>11550</v>
      </c>
      <c r="P37" s="43">
        <f t="shared" ca="1" si="2"/>
        <v>6.3953488372093022E-3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 t="str">
        <f ca="1">input_386100!A$2</f>
        <v>386100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IFERROR(VLOOKUP(B38,input_386100!L:R,7,FALSE),VLOOKUP(tables_386100!C38,input_386100!A:H,8,FALSE))</f>
        <v>0</v>
      </c>
      <c r="P38" s="43">
        <f t="shared" ca="1" si="2"/>
        <v>0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 t="str">
        <f ca="1">input_386100!A$2</f>
        <v>386100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IFERROR(VLOOKUP(B39,input_386100!L:R,7,FALSE),VLOOKUP(tables_386100!C39,input_386100!A:H,8,FALSE))</f>
        <v>11550</v>
      </c>
      <c r="P39" s="43">
        <f t="shared" ca="1" si="2"/>
        <v>6.3953488372093022E-3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 t="str">
        <f ca="1">input_386100!A$2</f>
        <v>386100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IFERROR(VLOOKUP(B40,input_386100!L:R,7,FALSE),VLOOKUP(tables_386100!C40,input_386100!A:H,8,FALSE))</f>
        <v>0</v>
      </c>
      <c r="P40" s="43">
        <f t="shared" ca="1" si="2"/>
        <v>0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 t="str">
        <f ca="1">input_386100!A$2</f>
        <v>386100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IFERROR(VLOOKUP(B41,input_386100!L:R,7,FALSE),VLOOKUP(tables_386100!C41,input_386100!A:H,8,FALSE))</f>
        <v>11550</v>
      </c>
      <c r="P41" s="43">
        <f t="shared" ca="1" si="2"/>
        <v>6.3953488372093022E-3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 t="str">
        <f ca="1">input_386100!A$2</f>
        <v>386100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IFERROR(VLOOKUP(B42,input_386100!L:R,7,FALSE),VLOOKUP(tables_386100!C42,input_386100!A:H,8,FALSE))</f>
        <v>0</v>
      </c>
      <c r="P42" s="43">
        <f t="shared" ca="1" si="2"/>
        <v>0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 t="str">
        <f ca="1">input_386100!A$2</f>
        <v>386100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IFERROR(VLOOKUP(B43,input_386100!L:R,7,FALSE),VLOOKUP(tables_386100!C43,input_386100!A:H,8,FALSE))</f>
        <v>10972.5</v>
      </c>
      <c r="P43" s="43">
        <f t="shared" ca="1" si="2"/>
        <v>6.075581395348837E-3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 t="str">
        <f ca="1">input_386100!A$2</f>
        <v>386100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IFERROR(VLOOKUP(B44,input_386100!L:R,7,FALSE),VLOOKUP(tables_386100!C44,input_386100!A:H,8,FALSE))</f>
        <v>577.5</v>
      </c>
      <c r="P44" s="43">
        <f t="shared" ca="1" si="2"/>
        <v>3.1976744186046509E-4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 t="str">
        <f ca="1">input_386100!A$2</f>
        <v>386100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IFERROR(VLOOKUP(B45,input_386100!L:R,7,FALSE),VLOOKUP(tables_386100!C45,input_386100!A:H,8,FALSE))</f>
        <v>0</v>
      </c>
      <c r="P45" s="43">
        <f t="shared" ca="1" si="2"/>
        <v>0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 t="str">
        <f ca="1">input_386100!A$2</f>
        <v>386100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IFERROR(VLOOKUP(B46,input_386100!L:R,7,FALSE),VLOOKUP(tables_386100!C46,input_386100!A:H,8,FALSE))</f>
        <v>10972.5</v>
      </c>
      <c r="P46" s="43">
        <f t="shared" ca="1" si="2"/>
        <v>6.075581395348837E-3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 t="str">
        <f ca="1">input_386100!A$2</f>
        <v>386100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IFERROR(VLOOKUP(B47,input_386100!L:R,7,FALSE),VLOOKUP(tables_386100!C47,input_386100!A:H,8,FALSE))</f>
        <v>577.5</v>
      </c>
      <c r="P47" s="43">
        <f t="shared" ca="1" si="2"/>
        <v>3.1976744186046509E-4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 t="str">
        <f ca="1">input_386100!A$2</f>
        <v>386100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IFERROR(VLOOKUP(B48,input_386100!L:R,7,FALSE),VLOOKUP(tables_386100!C48,input_386100!A:H,8,FALSE))</f>
        <v>0</v>
      </c>
      <c r="P48" s="43">
        <f t="shared" ca="1" si="2"/>
        <v>0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 t="str">
        <f ca="1">input_386100!A$2</f>
        <v>386100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IFERROR(VLOOKUP(B49,input_386100!L:R,7,FALSE),VLOOKUP(tables_386100!C49,input_386100!A:H,8,FALSE))</f>
        <v>10972.5</v>
      </c>
      <c r="P49" s="43">
        <f t="shared" ca="1" si="2"/>
        <v>6.075581395348837E-3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 t="str">
        <f ca="1">input_386100!A$2</f>
        <v>386100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IFERROR(VLOOKUP(B50,input_386100!L:R,7,FALSE),VLOOKUP(tables_386100!C50,input_386100!A:H,8,FALSE))</f>
        <v>577.5</v>
      </c>
      <c r="P50" s="43">
        <f t="shared" ca="1" si="2"/>
        <v>3.1976744186046509E-4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 t="str">
        <f ca="1">input_386100!A$2</f>
        <v>386100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IFERROR(VLOOKUP(B51,input_386100!L:R,7,FALSE),VLOOKUP(tables_386100!C51,input_386100!A:H,8,FALSE))</f>
        <v>0</v>
      </c>
      <c r="P51" s="43">
        <f t="shared" ca="1" si="2"/>
        <v>0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 t="str">
        <f ca="1">input_386100!A$2</f>
        <v>386100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IFERROR(VLOOKUP(B52,input_386100!L:R,7,FALSE),VLOOKUP(tables_386100!C52,input_386100!A:H,8,FALSE))</f>
        <v>10350.98077</v>
      </c>
      <c r="P52" s="43">
        <f t="shared" ca="1" si="2"/>
        <v>5.7314400719822812E-3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 t="str">
        <f ca="1">input_386100!A$2</f>
        <v>386100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IFERROR(VLOOKUP(B53,input_386100!L:R,7,FALSE),VLOOKUP(tables_386100!C53,input_386100!A:H,8,FALSE))</f>
        <v>1199.0192300000001</v>
      </c>
      <c r="P53" s="43">
        <f t="shared" ca="1" si="2"/>
        <v>6.6390876522702113E-4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 t="str">
        <f ca="1">input_386100!A$2</f>
        <v>386100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IFERROR(VLOOKUP(B54,input_386100!L:R,7,FALSE),VLOOKUP(tables_386100!C54,input_386100!A:H,8,FALSE))</f>
        <v>0</v>
      </c>
      <c r="P54" s="43">
        <f t="shared" ca="1" si="2"/>
        <v>0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 t="str">
        <f ca="1">input_386100!A$2</f>
        <v>386100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IFERROR(VLOOKUP(B55,input_386100!L:R,7,FALSE),VLOOKUP(tables_386100!C55,input_386100!A:H,8,FALSE))</f>
        <v>10350.98077</v>
      </c>
      <c r="P55" s="43">
        <f t="shared" ca="1" si="2"/>
        <v>5.7314400719822812E-3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 t="str">
        <f ca="1">input_386100!A$2</f>
        <v>386100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IFERROR(VLOOKUP(B56,input_386100!L:R,7,FALSE),VLOOKUP(tables_386100!C56,input_386100!A:H,8,FALSE))</f>
        <v>1199.0192300000001</v>
      </c>
      <c r="P56" s="43">
        <f t="shared" ca="1" si="2"/>
        <v>6.6390876522702113E-4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 t="str">
        <f ca="1">input_386100!A$2</f>
        <v>386100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IFERROR(VLOOKUP(B57,input_386100!L:R,7,FALSE),VLOOKUP(tables_386100!C57,input_386100!A:H,8,FALSE))</f>
        <v>0</v>
      </c>
      <c r="P57" s="43">
        <f t="shared" ca="1" si="2"/>
        <v>0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 t="str">
        <f ca="1">input_386100!A$2</f>
        <v>386100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IFERROR(VLOOKUP(B58,input_386100!L:R,7,FALSE),VLOOKUP(tables_386100!C58,input_386100!A:H,8,FALSE))</f>
        <v>10350.98077</v>
      </c>
      <c r="P58" s="43">
        <f t="shared" ca="1" si="2"/>
        <v>5.7314400719822812E-3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 t="str">
        <f ca="1">input_386100!A$2</f>
        <v>386100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IFERROR(VLOOKUP(B59,input_386100!L:R,7,FALSE),VLOOKUP(tables_386100!C59,input_386100!A:H,8,FALSE))</f>
        <v>1199.0192300000001</v>
      </c>
      <c r="P59" s="43">
        <f t="shared" ca="1" si="2"/>
        <v>6.6390876522702113E-4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 t="str">
        <f ca="1">input_386100!A$2</f>
        <v>386100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IFERROR(VLOOKUP(B60,input_386100!L:R,7,FALSE),VLOOKUP(tables_386100!C60,input_386100!A:H,8,FALSE))</f>
        <v>0</v>
      </c>
      <c r="P60" s="43">
        <f t="shared" ca="1" si="2"/>
        <v>0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 t="str">
        <f ca="1">input_386100!A$2</f>
        <v>386100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IFERROR(VLOOKUP(B61,input_386100!L:R,7,FALSE),VLOOKUP(tables_386100!C61,input_386100!A:H,8,FALSE))</f>
        <v>10350.98077</v>
      </c>
      <c r="P61" s="43">
        <f t="shared" ca="1" si="2"/>
        <v>5.7314400719822812E-3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 t="str">
        <f ca="1">input_386100!A$2</f>
        <v>386100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IFERROR(VLOOKUP(B62,input_386100!L:R,7,FALSE),VLOOKUP(tables_386100!C62,input_386100!A:H,8,FALSE))</f>
        <v>1199.0192300000001</v>
      </c>
      <c r="P62" s="43">
        <f t="shared" ca="1" si="2"/>
        <v>6.6390876522702113E-4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 t="str">
        <f ca="1">input_386100!A$2</f>
        <v>386100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IFERROR(VLOOKUP(B63,input_386100!L:R,7,FALSE),VLOOKUP(tables_386100!C63,input_386100!A:H,8,FALSE))</f>
        <v>0</v>
      </c>
      <c r="P63" s="43">
        <f t="shared" ca="1" si="2"/>
        <v>0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  <row r="64" spans="1:22" ht="21" customHeight="1" x14ac:dyDescent="0.15">
      <c r="A64" s="2" t="str">
        <f ca="1">input_386100!A$2</f>
        <v>386100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IFERROR(VLOOKUP(B64,input_386100!L:R,7,FALSE),VLOOKUP(tables_386100!C64,input_386100!A:H,8,FALSE))</f>
        <v>10350.98077</v>
      </c>
      <c r="P64" s="43">
        <f t="shared" ca="1" si="2"/>
        <v>5.7314400719822812E-3</v>
      </c>
      <c r="Q64" s="28">
        <v>1</v>
      </c>
      <c r="R64" s="28">
        <v>0</v>
      </c>
      <c r="S64" s="28">
        <v>0</v>
      </c>
      <c r="T64" s="28">
        <v>0</v>
      </c>
      <c r="U64" s="28">
        <v>0</v>
      </c>
      <c r="V64" s="28">
        <v>1</v>
      </c>
    </row>
    <row r="65" spans="1:22" ht="21" customHeight="1" x14ac:dyDescent="0.15">
      <c r="A65" s="2" t="str">
        <f ca="1">input_386100!A$2</f>
        <v>386100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IFERROR(VLOOKUP(B65,input_386100!L:R,7,FALSE),VLOOKUP(tables_386100!C65,input_386100!A:H,8,FALSE))</f>
        <v>1199.0192300000001</v>
      </c>
      <c r="P65" s="43">
        <f t="shared" ca="1" si="2"/>
        <v>6.6390876522702113E-4</v>
      </c>
      <c r="Q65" s="28">
        <v>1</v>
      </c>
      <c r="R65" s="28">
        <v>0</v>
      </c>
      <c r="S65" s="28">
        <v>0</v>
      </c>
      <c r="T65" s="28">
        <v>0</v>
      </c>
      <c r="U65" s="28">
        <v>0</v>
      </c>
      <c r="V65" s="28">
        <v>1</v>
      </c>
    </row>
    <row r="66" spans="1:22" s="9" customFormat="1" ht="21" customHeight="1" thickBot="1" x14ac:dyDescent="0.2">
      <c r="A66" s="2" t="str">
        <f ca="1">input_386100!A$2</f>
        <v>386100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IFERROR(VLOOKUP(B66,input_386100!L:R,7,FALSE),VLOOKUP(tables_386100!C66,input_386100!A:H,8,FALSE))</f>
        <v>0</v>
      </c>
      <c r="P66" s="43">
        <f t="shared" ca="1" si="2"/>
        <v>0</v>
      </c>
      <c r="Q66" s="28">
        <v>1</v>
      </c>
      <c r="R66" s="28">
        <v>0</v>
      </c>
      <c r="S66" s="28">
        <v>0</v>
      </c>
      <c r="T66" s="28">
        <v>0</v>
      </c>
      <c r="U66" s="28">
        <v>0</v>
      </c>
      <c r="V66" s="28">
        <v>1</v>
      </c>
    </row>
    <row r="67" spans="1:22" ht="21" customHeight="1" x14ac:dyDescent="0.15">
      <c r="A67" s="2" t="str">
        <f ca="1">input_386100!A$2</f>
        <v>386100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IFERROR(VLOOKUP(B67,input_386100!L:R,7,FALSE),VLOOKUP(tables_386100!C67,input_386100!A:H,8,FALSE))</f>
        <v>10350.98077</v>
      </c>
      <c r="P67" s="43">
        <f t="shared" ref="P67:P130" ca="1" si="5">O67/SUM(O:O)</f>
        <v>5.7314400719822812E-3</v>
      </c>
      <c r="Q67" s="28">
        <v>1</v>
      </c>
      <c r="R67" s="28">
        <v>0</v>
      </c>
      <c r="S67" s="28">
        <v>0</v>
      </c>
      <c r="T67" s="28">
        <v>0</v>
      </c>
      <c r="U67" s="28">
        <v>0</v>
      </c>
      <c r="V67" s="28">
        <v>1</v>
      </c>
    </row>
    <row r="68" spans="1:22" ht="21" customHeight="1" x14ac:dyDescent="0.15">
      <c r="A68" s="2" t="str">
        <f ca="1">input_386100!A$2</f>
        <v>386100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IFERROR(VLOOKUP(B68,input_386100!L:R,7,FALSE),VLOOKUP(tables_386100!C68,input_386100!A:H,8,FALSE))</f>
        <v>1199.0192300000001</v>
      </c>
      <c r="P68" s="43">
        <f t="shared" ca="1" si="5"/>
        <v>6.6390876522702113E-4</v>
      </c>
      <c r="Q68" s="28">
        <v>1</v>
      </c>
      <c r="R68" s="28">
        <v>0</v>
      </c>
      <c r="S68" s="28">
        <v>0</v>
      </c>
      <c r="T68" s="28">
        <v>0</v>
      </c>
      <c r="U68" s="28">
        <v>0</v>
      </c>
      <c r="V68" s="28">
        <v>1</v>
      </c>
    </row>
    <row r="69" spans="1:22" ht="21" customHeight="1" x14ac:dyDescent="0.15">
      <c r="A69" s="2" t="str">
        <f ca="1">input_386100!A$2</f>
        <v>386100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IFERROR(VLOOKUP(B69,input_386100!L:R,7,FALSE),VLOOKUP(tables_386100!C69,input_386100!A:H,8,FALSE))</f>
        <v>0</v>
      </c>
      <c r="P69" s="43">
        <f t="shared" ca="1" si="5"/>
        <v>0</v>
      </c>
      <c r="Q69" s="28">
        <v>1</v>
      </c>
      <c r="R69" s="28">
        <v>0</v>
      </c>
      <c r="S69" s="28">
        <v>0</v>
      </c>
      <c r="T69" s="28">
        <v>0</v>
      </c>
      <c r="U69" s="28">
        <v>0</v>
      </c>
      <c r="V69" s="28">
        <v>1</v>
      </c>
    </row>
    <row r="70" spans="1:22" ht="21" customHeight="1" x14ac:dyDescent="0.15">
      <c r="A70" s="2" t="str">
        <f ca="1">input_386100!A$2</f>
        <v>386100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IFERROR(VLOOKUP(B70,input_386100!L:R,7,FALSE),VLOOKUP(tables_386100!C70,input_386100!A:H,8,FALSE))</f>
        <v>10350.98077</v>
      </c>
      <c r="P70" s="43">
        <f t="shared" ca="1" si="5"/>
        <v>5.7314400719822812E-3</v>
      </c>
      <c r="Q70" s="28">
        <v>1</v>
      </c>
      <c r="R70" s="28">
        <v>0</v>
      </c>
      <c r="S70" s="28">
        <v>0</v>
      </c>
      <c r="T70" s="28">
        <v>0</v>
      </c>
      <c r="U70" s="28">
        <v>0</v>
      </c>
      <c r="V70" s="28">
        <v>1</v>
      </c>
    </row>
    <row r="71" spans="1:22" ht="21" customHeight="1" x14ac:dyDescent="0.15">
      <c r="A71" s="2" t="str">
        <f ca="1">input_386100!A$2</f>
        <v>386100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IFERROR(VLOOKUP(B71,input_386100!L:R,7,FALSE),VLOOKUP(tables_386100!C71,input_386100!A:H,8,FALSE))</f>
        <v>1199.0192300000001</v>
      </c>
      <c r="P71" s="43">
        <f t="shared" ca="1" si="5"/>
        <v>6.6390876522702113E-4</v>
      </c>
      <c r="Q71" s="28">
        <v>1</v>
      </c>
      <c r="R71" s="28">
        <v>0</v>
      </c>
      <c r="S71" s="28">
        <v>0</v>
      </c>
      <c r="T71" s="28">
        <v>0</v>
      </c>
      <c r="U71" s="28">
        <v>0</v>
      </c>
      <c r="V71" s="28">
        <v>1</v>
      </c>
    </row>
    <row r="72" spans="1:22" ht="21" customHeight="1" x14ac:dyDescent="0.15">
      <c r="A72" s="2" t="str">
        <f ca="1">input_386100!A$2</f>
        <v>386100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IFERROR(VLOOKUP(B72,input_386100!L:R,7,FALSE),VLOOKUP(tables_386100!C72,input_386100!A:H,8,FALSE))</f>
        <v>0</v>
      </c>
      <c r="P72" s="43">
        <f t="shared" ca="1" si="5"/>
        <v>0</v>
      </c>
      <c r="Q72" s="28">
        <v>1</v>
      </c>
      <c r="R72" s="28">
        <v>0</v>
      </c>
      <c r="S72" s="28">
        <v>0</v>
      </c>
      <c r="T72" s="28">
        <v>0</v>
      </c>
      <c r="U72" s="28">
        <v>0</v>
      </c>
      <c r="V72" s="28">
        <v>1</v>
      </c>
    </row>
    <row r="73" spans="1:22" ht="21" customHeight="1" x14ac:dyDescent="0.15">
      <c r="A73" s="2" t="str">
        <f ca="1">input_386100!A$2</f>
        <v>386100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IFERROR(VLOOKUP(B73,input_386100!L:R,7,FALSE),VLOOKUP(tables_386100!C73,input_386100!A:H,8,FALSE))</f>
        <v>10350.98077</v>
      </c>
      <c r="P73" s="43">
        <f t="shared" ca="1" si="5"/>
        <v>5.7314400719822812E-3</v>
      </c>
      <c r="Q73" s="28">
        <v>1</v>
      </c>
      <c r="R73" s="28">
        <v>0</v>
      </c>
      <c r="S73" s="28">
        <v>0</v>
      </c>
      <c r="T73" s="28">
        <v>0</v>
      </c>
      <c r="U73" s="28">
        <v>0</v>
      </c>
      <c r="V73" s="28">
        <v>1</v>
      </c>
    </row>
    <row r="74" spans="1:22" ht="21" customHeight="1" x14ac:dyDescent="0.15">
      <c r="A74" s="2" t="str">
        <f ca="1">input_386100!A$2</f>
        <v>386100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IFERROR(VLOOKUP(B74,input_386100!L:R,7,FALSE),VLOOKUP(tables_386100!C74,input_386100!A:H,8,FALSE))</f>
        <v>1199.0192300000001</v>
      </c>
      <c r="P74" s="43">
        <f t="shared" ca="1" si="5"/>
        <v>6.6390876522702113E-4</v>
      </c>
      <c r="Q74" s="28">
        <v>1</v>
      </c>
      <c r="R74" s="28">
        <v>0</v>
      </c>
      <c r="S74" s="28">
        <v>0</v>
      </c>
      <c r="T74" s="28">
        <v>0</v>
      </c>
      <c r="U74" s="28">
        <v>0</v>
      </c>
      <c r="V74" s="28">
        <v>1</v>
      </c>
    </row>
    <row r="75" spans="1:22" ht="21" customHeight="1" x14ac:dyDescent="0.15">
      <c r="A75" s="2" t="str">
        <f ca="1">input_386100!A$2</f>
        <v>386100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IFERROR(VLOOKUP(B75,input_386100!L:R,7,FALSE),VLOOKUP(tables_386100!C75,input_386100!A:H,8,FALSE))</f>
        <v>0</v>
      </c>
      <c r="P75" s="43">
        <f t="shared" ca="1" si="5"/>
        <v>0</v>
      </c>
      <c r="Q75" s="28">
        <v>1</v>
      </c>
      <c r="R75" s="28">
        <v>0</v>
      </c>
      <c r="S75" s="28">
        <v>0</v>
      </c>
      <c r="T75" s="28">
        <v>0</v>
      </c>
      <c r="U75" s="28">
        <v>0</v>
      </c>
      <c r="V75" s="28">
        <v>1</v>
      </c>
    </row>
    <row r="76" spans="1:22" ht="21" customHeight="1" x14ac:dyDescent="0.15">
      <c r="A76" s="2" t="str">
        <f ca="1">input_386100!A$2</f>
        <v>386100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IFERROR(VLOOKUP(B76,input_386100!L:R,7,FALSE),VLOOKUP(tables_386100!C76,input_386100!A:H,8,FALSE))</f>
        <v>10350.98077</v>
      </c>
      <c r="P76" s="43">
        <f t="shared" ca="1" si="5"/>
        <v>5.7314400719822812E-3</v>
      </c>
      <c r="Q76" s="28">
        <v>1</v>
      </c>
      <c r="R76" s="28">
        <v>0</v>
      </c>
      <c r="S76" s="28">
        <v>0</v>
      </c>
      <c r="T76" s="28">
        <v>0</v>
      </c>
      <c r="U76" s="28">
        <v>0</v>
      </c>
      <c r="V76" s="28">
        <v>1</v>
      </c>
    </row>
    <row r="77" spans="1:22" ht="21" customHeight="1" x14ac:dyDescent="0.15">
      <c r="A77" s="2" t="str">
        <f ca="1">input_386100!A$2</f>
        <v>386100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IFERROR(VLOOKUP(B77,input_386100!L:R,7,FALSE),VLOOKUP(tables_386100!C77,input_386100!A:H,8,FALSE))</f>
        <v>1199.0192300000001</v>
      </c>
      <c r="P77" s="43">
        <f t="shared" ca="1" si="5"/>
        <v>6.6390876522702113E-4</v>
      </c>
      <c r="Q77" s="28">
        <v>1</v>
      </c>
      <c r="R77" s="28">
        <v>0</v>
      </c>
      <c r="S77" s="28">
        <v>0</v>
      </c>
      <c r="T77" s="28">
        <v>0</v>
      </c>
      <c r="U77" s="28">
        <v>0</v>
      </c>
      <c r="V77" s="28">
        <v>1</v>
      </c>
    </row>
    <row r="78" spans="1:22" ht="21" customHeight="1" x14ac:dyDescent="0.15">
      <c r="A78" s="2" t="str">
        <f ca="1">input_386100!A$2</f>
        <v>386100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IFERROR(VLOOKUP(B78,input_386100!L:R,7,FALSE),VLOOKUP(tables_386100!C78,input_386100!A:H,8,FALSE))</f>
        <v>0</v>
      </c>
      <c r="P78" s="43">
        <f t="shared" ca="1" si="5"/>
        <v>0</v>
      </c>
      <c r="Q78" s="28">
        <v>1</v>
      </c>
      <c r="R78" s="28">
        <v>0</v>
      </c>
      <c r="S78" s="28">
        <v>0</v>
      </c>
      <c r="T78" s="28">
        <v>0</v>
      </c>
      <c r="U78" s="28">
        <v>0</v>
      </c>
      <c r="V78" s="28">
        <v>1</v>
      </c>
    </row>
    <row r="79" spans="1:22" ht="21" customHeight="1" x14ac:dyDescent="0.15">
      <c r="A79" s="2" t="str">
        <f ca="1">input_386100!A$2</f>
        <v>386100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IFERROR(VLOOKUP(B79,input_386100!L:R,7,FALSE),VLOOKUP(tables_386100!C79,input_386100!A:H,8,FALSE))</f>
        <v>10350.98077</v>
      </c>
      <c r="P79" s="43">
        <f t="shared" ca="1" si="5"/>
        <v>5.7314400719822812E-3</v>
      </c>
      <c r="Q79" s="28">
        <v>1</v>
      </c>
      <c r="R79" s="28">
        <v>0</v>
      </c>
      <c r="S79" s="28">
        <v>0</v>
      </c>
      <c r="T79" s="28">
        <v>0</v>
      </c>
      <c r="U79" s="28">
        <v>0</v>
      </c>
      <c r="V79" s="28">
        <v>1</v>
      </c>
    </row>
    <row r="80" spans="1:22" ht="21" customHeight="1" x14ac:dyDescent="0.15">
      <c r="A80" s="2" t="str">
        <f ca="1">input_386100!A$2</f>
        <v>386100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IFERROR(VLOOKUP(B80,input_386100!L:R,7,FALSE),VLOOKUP(tables_386100!C80,input_386100!A:H,8,FALSE))</f>
        <v>1199.0192300000001</v>
      </c>
      <c r="P80" s="43">
        <f t="shared" ca="1" si="5"/>
        <v>6.6390876522702113E-4</v>
      </c>
      <c r="Q80" s="28">
        <v>1</v>
      </c>
      <c r="R80" s="28">
        <v>0</v>
      </c>
      <c r="S80" s="28">
        <v>0</v>
      </c>
      <c r="T80" s="28">
        <v>0</v>
      </c>
      <c r="U80" s="28">
        <v>0</v>
      </c>
      <c r="V80" s="28">
        <v>1</v>
      </c>
    </row>
    <row r="81" spans="1:22" ht="21" customHeight="1" x14ac:dyDescent="0.15">
      <c r="A81" s="2" t="str">
        <f ca="1">input_386100!A$2</f>
        <v>386100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IFERROR(VLOOKUP(B81,input_386100!L:R,7,FALSE),VLOOKUP(tables_386100!C81,input_386100!A:H,8,FALSE))</f>
        <v>0</v>
      </c>
      <c r="P81" s="43">
        <f t="shared" ca="1" si="5"/>
        <v>0</v>
      </c>
      <c r="Q81" s="28">
        <v>1</v>
      </c>
      <c r="R81" s="28">
        <v>0</v>
      </c>
      <c r="S81" s="28">
        <v>0</v>
      </c>
      <c r="T81" s="28">
        <v>0</v>
      </c>
      <c r="U81" s="28">
        <v>0</v>
      </c>
      <c r="V81" s="28">
        <v>1</v>
      </c>
    </row>
    <row r="82" spans="1:22" ht="21" customHeight="1" x14ac:dyDescent="0.15">
      <c r="A82" s="2" t="str">
        <f ca="1">input_386100!A$2</f>
        <v>386100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IFERROR(VLOOKUP(B82,input_386100!L:R,7,FALSE),VLOOKUP(tables_386100!C82,input_386100!A:H,8,FALSE))</f>
        <v>10350.98077</v>
      </c>
      <c r="P82" s="43">
        <f t="shared" ca="1" si="5"/>
        <v>5.7314400719822812E-3</v>
      </c>
      <c r="Q82" s="28">
        <v>1</v>
      </c>
      <c r="R82" s="28">
        <v>0</v>
      </c>
      <c r="S82" s="28">
        <v>0</v>
      </c>
      <c r="T82" s="28">
        <v>0</v>
      </c>
      <c r="U82" s="28">
        <v>0</v>
      </c>
      <c r="V82" s="28">
        <v>1</v>
      </c>
    </row>
    <row r="83" spans="1:22" ht="21" customHeight="1" x14ac:dyDescent="0.15">
      <c r="A83" s="2" t="str">
        <f ca="1">input_386100!A$2</f>
        <v>386100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IFERROR(VLOOKUP(B83,input_386100!L:R,7,FALSE),VLOOKUP(tables_386100!C83,input_386100!A:H,8,FALSE))</f>
        <v>1199.0192300000001</v>
      </c>
      <c r="P83" s="43">
        <f t="shared" ca="1" si="5"/>
        <v>6.6390876522702113E-4</v>
      </c>
      <c r="Q83" s="28">
        <v>1</v>
      </c>
      <c r="R83" s="28">
        <v>0</v>
      </c>
      <c r="S83" s="28">
        <v>0</v>
      </c>
      <c r="T83" s="28">
        <v>0</v>
      </c>
      <c r="U83" s="28">
        <v>0</v>
      </c>
      <c r="V83" s="28">
        <v>1</v>
      </c>
    </row>
    <row r="84" spans="1:22" ht="21" customHeight="1" x14ac:dyDescent="0.15">
      <c r="A84" s="2" t="str">
        <f ca="1">input_386100!A$2</f>
        <v>386100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IFERROR(VLOOKUP(B84,input_386100!L:R,7,FALSE),VLOOKUP(tables_386100!C84,input_386100!A:H,8,FALSE))</f>
        <v>0</v>
      </c>
      <c r="P84" s="43">
        <f t="shared" ca="1" si="5"/>
        <v>0</v>
      </c>
      <c r="Q84" s="28">
        <v>1</v>
      </c>
      <c r="R84" s="28">
        <v>0</v>
      </c>
      <c r="S84" s="28">
        <v>0</v>
      </c>
      <c r="T84" s="28">
        <v>0</v>
      </c>
      <c r="U84" s="28">
        <v>0</v>
      </c>
      <c r="V84" s="28">
        <v>1</v>
      </c>
    </row>
    <row r="85" spans="1:22" ht="21" customHeight="1" x14ac:dyDescent="0.15">
      <c r="A85" s="2" t="str">
        <f ca="1">input_386100!A$2</f>
        <v>386100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IFERROR(VLOOKUP(B85,input_386100!L:R,7,FALSE),VLOOKUP(tables_386100!C85,input_386100!A:H,8,FALSE))</f>
        <v>10350.98077</v>
      </c>
      <c r="P85" s="43">
        <f t="shared" ca="1" si="5"/>
        <v>5.7314400719822812E-3</v>
      </c>
      <c r="Q85" s="28">
        <v>1</v>
      </c>
      <c r="R85" s="28">
        <v>0</v>
      </c>
      <c r="S85" s="28">
        <v>0</v>
      </c>
      <c r="T85" s="28">
        <v>0</v>
      </c>
      <c r="U85" s="28">
        <v>0</v>
      </c>
      <c r="V85" s="28">
        <v>1</v>
      </c>
    </row>
    <row r="86" spans="1:22" ht="21" customHeight="1" x14ac:dyDescent="0.15">
      <c r="A86" s="2" t="str">
        <f ca="1">input_386100!A$2</f>
        <v>386100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IFERROR(VLOOKUP(B86,input_386100!L:R,7,FALSE),VLOOKUP(tables_386100!C86,input_386100!A:H,8,FALSE))</f>
        <v>1199.0192300000001</v>
      </c>
      <c r="P86" s="43">
        <f t="shared" ca="1" si="5"/>
        <v>6.6390876522702113E-4</v>
      </c>
      <c r="Q86" s="28">
        <v>1</v>
      </c>
      <c r="R86" s="28">
        <v>0</v>
      </c>
      <c r="S86" s="28">
        <v>0</v>
      </c>
      <c r="T86" s="28">
        <v>0</v>
      </c>
      <c r="U86" s="28">
        <v>0</v>
      </c>
      <c r="V86" s="28">
        <v>1</v>
      </c>
    </row>
    <row r="87" spans="1:22" ht="21" customHeight="1" x14ac:dyDescent="0.15">
      <c r="A87" s="2" t="str">
        <f ca="1">input_386100!A$2</f>
        <v>386100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IFERROR(VLOOKUP(B87,input_386100!L:R,7,FALSE),VLOOKUP(tables_386100!C87,input_386100!A:H,8,FALSE))</f>
        <v>0</v>
      </c>
      <c r="P87" s="43">
        <f t="shared" ca="1" si="5"/>
        <v>0</v>
      </c>
      <c r="Q87" s="28">
        <v>1</v>
      </c>
      <c r="R87" s="28">
        <v>0</v>
      </c>
      <c r="S87" s="28">
        <v>0</v>
      </c>
      <c r="T87" s="28">
        <v>0</v>
      </c>
      <c r="U87" s="28">
        <v>0</v>
      </c>
      <c r="V87" s="28">
        <v>1</v>
      </c>
    </row>
    <row r="88" spans="1:22" ht="21" customHeight="1" x14ac:dyDescent="0.15">
      <c r="A88" s="2" t="str">
        <f ca="1">input_386100!A$2</f>
        <v>386100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IFERROR(VLOOKUP(B88,input_386100!L:R,7,FALSE),VLOOKUP(tables_386100!C88,input_386100!A:H,8,FALSE))</f>
        <v>10350.98077</v>
      </c>
      <c r="P88" s="43">
        <f t="shared" ca="1" si="5"/>
        <v>5.7314400719822812E-3</v>
      </c>
      <c r="Q88" s="28">
        <v>1</v>
      </c>
      <c r="R88" s="28">
        <v>0</v>
      </c>
      <c r="S88" s="28">
        <v>0</v>
      </c>
      <c r="T88" s="28">
        <v>0</v>
      </c>
      <c r="U88" s="28">
        <v>0</v>
      </c>
      <c r="V88" s="28">
        <v>1</v>
      </c>
    </row>
    <row r="89" spans="1:22" ht="21" customHeight="1" x14ac:dyDescent="0.15">
      <c r="A89" s="2" t="str">
        <f ca="1">input_386100!A$2</f>
        <v>386100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IFERROR(VLOOKUP(B89,input_386100!L:R,7,FALSE),VLOOKUP(tables_386100!C89,input_386100!A:H,8,FALSE))</f>
        <v>1199.0192300000001</v>
      </c>
      <c r="P89" s="43">
        <f t="shared" ca="1" si="5"/>
        <v>6.6390876522702113E-4</v>
      </c>
      <c r="Q89" s="28">
        <v>1</v>
      </c>
      <c r="R89" s="28">
        <v>0</v>
      </c>
      <c r="S89" s="28">
        <v>0</v>
      </c>
      <c r="T89" s="28">
        <v>0</v>
      </c>
      <c r="U89" s="28">
        <v>0</v>
      </c>
      <c r="V89" s="28">
        <v>1</v>
      </c>
    </row>
    <row r="90" spans="1:22" ht="21" customHeight="1" x14ac:dyDescent="0.15">
      <c r="A90" s="2" t="str">
        <f ca="1">input_386100!A$2</f>
        <v>386100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IFERROR(VLOOKUP(B90,input_386100!L:R,7,FALSE),VLOOKUP(tables_386100!C90,input_386100!A:H,8,FALSE))</f>
        <v>0</v>
      </c>
      <c r="P90" s="43">
        <f t="shared" ca="1" si="5"/>
        <v>0</v>
      </c>
      <c r="Q90" s="28">
        <v>1</v>
      </c>
      <c r="R90" s="28">
        <v>0</v>
      </c>
      <c r="S90" s="28">
        <v>0</v>
      </c>
      <c r="T90" s="28">
        <v>0</v>
      </c>
      <c r="U90" s="28">
        <v>0</v>
      </c>
      <c r="V90" s="28">
        <v>1</v>
      </c>
    </row>
    <row r="91" spans="1:22" ht="21" customHeight="1" x14ac:dyDescent="0.15">
      <c r="A91" s="2" t="str">
        <f ca="1">input_386100!A$2</f>
        <v>386100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IFERROR(VLOOKUP(B91,input_386100!L:R,7,FALSE),VLOOKUP(tables_386100!C91,input_386100!A:H,8,FALSE))</f>
        <v>10350.98077</v>
      </c>
      <c r="P91" s="43">
        <f t="shared" ca="1" si="5"/>
        <v>5.7314400719822812E-3</v>
      </c>
      <c r="Q91" s="28">
        <v>1</v>
      </c>
      <c r="R91" s="28">
        <v>0</v>
      </c>
      <c r="S91" s="28">
        <v>0</v>
      </c>
      <c r="T91" s="28">
        <v>0</v>
      </c>
      <c r="U91" s="28">
        <v>0</v>
      </c>
      <c r="V91" s="28">
        <v>1</v>
      </c>
    </row>
    <row r="92" spans="1:22" ht="21" customHeight="1" x14ac:dyDescent="0.15">
      <c r="A92" s="2" t="str">
        <f ca="1">input_386100!A$2</f>
        <v>386100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IFERROR(VLOOKUP(B92,input_386100!L:R,7,FALSE),VLOOKUP(tables_386100!C92,input_386100!A:H,8,FALSE))</f>
        <v>1199.0192300000001</v>
      </c>
      <c r="P92" s="43">
        <f t="shared" ca="1" si="5"/>
        <v>6.6390876522702113E-4</v>
      </c>
      <c r="Q92" s="28">
        <v>1</v>
      </c>
      <c r="R92" s="28">
        <v>0</v>
      </c>
      <c r="S92" s="28">
        <v>0</v>
      </c>
      <c r="T92" s="28">
        <v>0</v>
      </c>
      <c r="U92" s="28">
        <v>0</v>
      </c>
      <c r="V92" s="28">
        <v>1</v>
      </c>
    </row>
    <row r="93" spans="1:22" ht="21" customHeight="1" x14ac:dyDescent="0.15">
      <c r="A93" s="2" t="str">
        <f ca="1">input_386100!A$2</f>
        <v>386100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IFERROR(VLOOKUP(B93,input_386100!L:R,7,FALSE),VLOOKUP(tables_386100!C93,input_386100!A:H,8,FALSE))</f>
        <v>0</v>
      </c>
      <c r="P93" s="43">
        <f t="shared" ca="1" si="5"/>
        <v>0</v>
      </c>
      <c r="Q93" s="28">
        <v>1</v>
      </c>
      <c r="R93" s="28">
        <v>0</v>
      </c>
      <c r="S93" s="28">
        <v>0</v>
      </c>
      <c r="T93" s="28">
        <v>0</v>
      </c>
      <c r="U93" s="28">
        <v>0</v>
      </c>
      <c r="V93" s="28">
        <v>1</v>
      </c>
    </row>
    <row r="94" spans="1:22" ht="21" customHeight="1" x14ac:dyDescent="0.15">
      <c r="A94" s="2" t="str">
        <f ca="1">input_386100!A$2</f>
        <v>386100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IFERROR(VLOOKUP(B94,input_386100!L:R,7,FALSE),VLOOKUP(tables_386100!C94,input_386100!A:H,8,FALSE))</f>
        <v>10350.98077</v>
      </c>
      <c r="P94" s="43">
        <f t="shared" ca="1" si="5"/>
        <v>5.7314400719822812E-3</v>
      </c>
      <c r="Q94" s="28">
        <v>1</v>
      </c>
      <c r="R94" s="28">
        <v>0</v>
      </c>
      <c r="S94" s="28">
        <v>0</v>
      </c>
      <c r="T94" s="28">
        <v>0</v>
      </c>
      <c r="U94" s="28">
        <v>0</v>
      </c>
      <c r="V94" s="28">
        <v>1</v>
      </c>
    </row>
    <row r="95" spans="1:22" ht="21" customHeight="1" x14ac:dyDescent="0.15">
      <c r="A95" s="2" t="str">
        <f ca="1">input_386100!A$2</f>
        <v>386100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IFERROR(VLOOKUP(B95,input_386100!L:R,7,FALSE),VLOOKUP(tables_386100!C95,input_386100!A:H,8,FALSE))</f>
        <v>1199.0192300000001</v>
      </c>
      <c r="P95" s="43">
        <f t="shared" ca="1" si="5"/>
        <v>6.6390876522702113E-4</v>
      </c>
      <c r="Q95" s="28">
        <v>1</v>
      </c>
      <c r="R95" s="28">
        <v>0</v>
      </c>
      <c r="S95" s="28">
        <v>0</v>
      </c>
      <c r="T95" s="28">
        <v>0</v>
      </c>
      <c r="U95" s="28">
        <v>0</v>
      </c>
      <c r="V95" s="28">
        <v>1</v>
      </c>
    </row>
    <row r="96" spans="1:22" ht="21" customHeight="1" x14ac:dyDescent="0.15">
      <c r="A96" s="2" t="str">
        <f ca="1">input_386100!A$2</f>
        <v>386100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IFERROR(VLOOKUP(B96,input_386100!L:R,7,FALSE),VLOOKUP(tables_386100!C96,input_386100!A:H,8,FALSE))</f>
        <v>0</v>
      </c>
      <c r="P96" s="43">
        <f t="shared" ca="1" si="5"/>
        <v>0</v>
      </c>
      <c r="Q96" s="28">
        <v>1</v>
      </c>
      <c r="R96" s="28">
        <v>0</v>
      </c>
      <c r="S96" s="28">
        <v>0</v>
      </c>
      <c r="T96" s="28">
        <v>0</v>
      </c>
      <c r="U96" s="28">
        <v>0</v>
      </c>
      <c r="V96" s="28">
        <v>1</v>
      </c>
    </row>
    <row r="97" spans="1:22" ht="21" customHeight="1" x14ac:dyDescent="0.15">
      <c r="A97" s="2" t="str">
        <f ca="1">input_386100!A$2</f>
        <v>386100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IFERROR(VLOOKUP(B97,input_386100!L:R,7,FALSE),VLOOKUP(tables_386100!C97,input_386100!A:H,8,FALSE))</f>
        <v>10350.98077</v>
      </c>
      <c r="P97" s="43">
        <f t="shared" ca="1" si="5"/>
        <v>5.7314400719822812E-3</v>
      </c>
      <c r="Q97" s="28">
        <v>1</v>
      </c>
      <c r="R97" s="28">
        <v>0</v>
      </c>
      <c r="S97" s="28">
        <v>0</v>
      </c>
      <c r="T97" s="28">
        <v>0</v>
      </c>
      <c r="U97" s="28">
        <v>0</v>
      </c>
      <c r="V97" s="28">
        <v>1</v>
      </c>
    </row>
    <row r="98" spans="1:22" ht="21" customHeight="1" x14ac:dyDescent="0.15">
      <c r="A98" s="2" t="str">
        <f ca="1">input_386100!A$2</f>
        <v>386100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IFERROR(VLOOKUP(B98,input_386100!L:R,7,FALSE),VLOOKUP(tables_386100!C98,input_386100!A:H,8,FALSE))</f>
        <v>1199.0192300000001</v>
      </c>
      <c r="P98" s="43">
        <f t="shared" ca="1" si="5"/>
        <v>6.6390876522702113E-4</v>
      </c>
      <c r="Q98" s="28">
        <v>1</v>
      </c>
      <c r="R98" s="28">
        <v>0</v>
      </c>
      <c r="S98" s="28">
        <v>0</v>
      </c>
      <c r="T98" s="28">
        <v>0</v>
      </c>
      <c r="U98" s="28">
        <v>0</v>
      </c>
      <c r="V98" s="28">
        <v>1</v>
      </c>
    </row>
    <row r="99" spans="1:22" ht="21" customHeight="1" x14ac:dyDescent="0.15">
      <c r="A99" s="2" t="str">
        <f ca="1">input_386100!A$2</f>
        <v>386100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IFERROR(VLOOKUP(B99,input_386100!L:R,7,FALSE),VLOOKUP(tables_386100!C99,input_386100!A:H,8,FALSE))</f>
        <v>0</v>
      </c>
      <c r="P99" s="43">
        <f t="shared" ca="1" si="5"/>
        <v>0</v>
      </c>
      <c r="Q99" s="28">
        <v>1</v>
      </c>
      <c r="R99" s="28">
        <v>0</v>
      </c>
      <c r="S99" s="28">
        <v>0</v>
      </c>
      <c r="T99" s="28">
        <v>0</v>
      </c>
      <c r="U99" s="28">
        <v>0</v>
      </c>
      <c r="V99" s="28">
        <v>1</v>
      </c>
    </row>
    <row r="100" spans="1:22" ht="21" customHeight="1" x14ac:dyDescent="0.15">
      <c r="A100" s="2" t="str">
        <f ca="1">input_386100!A$2</f>
        <v>386100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IFERROR(VLOOKUP(B100,input_386100!L:R,7,FALSE),VLOOKUP(tables_386100!C100,input_386100!A:H,8,FALSE))</f>
        <v>10350.98077</v>
      </c>
      <c r="P100" s="43">
        <f t="shared" ca="1" si="5"/>
        <v>5.7314400719822812E-3</v>
      </c>
      <c r="Q100" s="28">
        <v>1</v>
      </c>
      <c r="R100" s="28">
        <v>0</v>
      </c>
      <c r="S100" s="28">
        <v>0</v>
      </c>
      <c r="T100" s="28">
        <v>0</v>
      </c>
      <c r="U100" s="28">
        <v>0</v>
      </c>
      <c r="V100" s="28">
        <v>1</v>
      </c>
    </row>
    <row r="101" spans="1:22" ht="21" customHeight="1" x14ac:dyDescent="0.15">
      <c r="A101" s="2" t="str">
        <f ca="1">input_386100!A$2</f>
        <v>386100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IFERROR(VLOOKUP(B101,input_386100!L:R,7,FALSE),VLOOKUP(tables_386100!C101,input_386100!A:H,8,FALSE))</f>
        <v>1199.0192300000001</v>
      </c>
      <c r="P101" s="43">
        <f t="shared" ca="1" si="5"/>
        <v>6.6390876522702113E-4</v>
      </c>
      <c r="Q101" s="28">
        <v>1</v>
      </c>
      <c r="R101" s="28">
        <v>0</v>
      </c>
      <c r="S101" s="28">
        <v>0</v>
      </c>
      <c r="T101" s="28">
        <v>0</v>
      </c>
      <c r="U101" s="28">
        <v>0</v>
      </c>
      <c r="V101" s="28">
        <v>1</v>
      </c>
    </row>
    <row r="102" spans="1:22" ht="21" customHeight="1" x14ac:dyDescent="0.15">
      <c r="A102" s="2" t="str">
        <f ca="1">input_386100!A$2</f>
        <v>386100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IFERROR(VLOOKUP(B102,input_386100!L:R,7,FALSE),VLOOKUP(tables_386100!C102,input_386100!A:H,8,FALSE))</f>
        <v>0</v>
      </c>
      <c r="P102" s="43">
        <f t="shared" ca="1" si="5"/>
        <v>0</v>
      </c>
      <c r="Q102" s="28">
        <v>1</v>
      </c>
      <c r="R102" s="28">
        <v>0</v>
      </c>
      <c r="S102" s="28">
        <v>0</v>
      </c>
      <c r="T102" s="28">
        <v>0</v>
      </c>
      <c r="U102" s="28">
        <v>0</v>
      </c>
      <c r="V102" s="28">
        <v>1</v>
      </c>
    </row>
    <row r="103" spans="1:22" ht="21" customHeight="1" x14ac:dyDescent="0.15">
      <c r="A103" s="2" t="str">
        <f ca="1">input_386100!A$2</f>
        <v>386100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IFERROR(VLOOKUP(B103,input_386100!L:R,7,FALSE),VLOOKUP(tables_386100!C103,input_386100!A:H,8,FALSE))</f>
        <v>10350.98077</v>
      </c>
      <c r="P103" s="43">
        <f t="shared" ca="1" si="5"/>
        <v>5.7314400719822812E-3</v>
      </c>
      <c r="Q103" s="28">
        <v>1</v>
      </c>
      <c r="R103" s="28">
        <v>0</v>
      </c>
      <c r="S103" s="28">
        <v>0</v>
      </c>
      <c r="T103" s="28">
        <v>0</v>
      </c>
      <c r="U103" s="28">
        <v>0</v>
      </c>
      <c r="V103" s="28">
        <v>1</v>
      </c>
    </row>
    <row r="104" spans="1:22" ht="21" customHeight="1" x14ac:dyDescent="0.15">
      <c r="A104" s="2" t="str">
        <f ca="1">input_386100!A$2</f>
        <v>386100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IFERROR(VLOOKUP(B104,input_386100!L:R,7,FALSE),VLOOKUP(tables_386100!C104,input_386100!A:H,8,FALSE))</f>
        <v>1199.0192300000001</v>
      </c>
      <c r="P104" s="43">
        <f t="shared" ca="1" si="5"/>
        <v>6.6390876522702113E-4</v>
      </c>
      <c r="Q104" s="28">
        <v>1</v>
      </c>
      <c r="R104" s="28">
        <v>0</v>
      </c>
      <c r="S104" s="28">
        <v>0</v>
      </c>
      <c r="T104" s="28">
        <v>0</v>
      </c>
      <c r="U104" s="28">
        <v>0</v>
      </c>
      <c r="V104" s="28">
        <v>1</v>
      </c>
    </row>
    <row r="105" spans="1:22" ht="21" customHeight="1" x14ac:dyDescent="0.15">
      <c r="A105" s="2" t="str">
        <f ca="1">input_386100!A$2</f>
        <v>386100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IFERROR(VLOOKUP(B105,input_386100!L:R,7,FALSE),VLOOKUP(tables_386100!C105,input_386100!A:H,8,FALSE))</f>
        <v>0</v>
      </c>
      <c r="P105" s="43">
        <f t="shared" ca="1" si="5"/>
        <v>0</v>
      </c>
      <c r="Q105" s="28">
        <v>1</v>
      </c>
      <c r="R105" s="28">
        <v>0</v>
      </c>
      <c r="S105" s="28">
        <v>0</v>
      </c>
      <c r="T105" s="28">
        <v>0</v>
      </c>
      <c r="U105" s="28">
        <v>0</v>
      </c>
      <c r="V105" s="28">
        <v>1</v>
      </c>
    </row>
    <row r="106" spans="1:22" ht="21" customHeight="1" x14ac:dyDescent="0.15">
      <c r="A106" s="2" t="str">
        <f ca="1">input_386100!A$2</f>
        <v>386100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IFERROR(VLOOKUP(B106,input_386100!L:R,7,FALSE),VLOOKUP(tables_386100!C106,input_386100!A:H,8,FALSE))</f>
        <v>10350.98077</v>
      </c>
      <c r="P106" s="43">
        <f t="shared" ca="1" si="5"/>
        <v>5.7314400719822812E-3</v>
      </c>
      <c r="Q106" s="28">
        <v>1</v>
      </c>
      <c r="R106" s="28">
        <v>0</v>
      </c>
      <c r="S106" s="28">
        <v>0</v>
      </c>
      <c r="T106" s="28">
        <v>0</v>
      </c>
      <c r="U106" s="28">
        <v>0</v>
      </c>
      <c r="V106" s="28">
        <v>1</v>
      </c>
    </row>
    <row r="107" spans="1:22" ht="21" customHeight="1" x14ac:dyDescent="0.15">
      <c r="A107" s="2" t="str">
        <f ca="1">input_386100!A$2</f>
        <v>386100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IFERROR(VLOOKUP(B107,input_386100!L:R,7,FALSE),VLOOKUP(tables_386100!C107,input_386100!A:H,8,FALSE))</f>
        <v>1199.0192300000001</v>
      </c>
      <c r="P107" s="43">
        <f t="shared" ca="1" si="5"/>
        <v>6.6390876522702113E-4</v>
      </c>
      <c r="Q107" s="28">
        <v>1</v>
      </c>
      <c r="R107" s="28">
        <v>0</v>
      </c>
      <c r="S107" s="28">
        <v>0</v>
      </c>
      <c r="T107" s="28">
        <v>0</v>
      </c>
      <c r="U107" s="28">
        <v>0</v>
      </c>
      <c r="V107" s="28">
        <v>1</v>
      </c>
    </row>
    <row r="108" spans="1:22" ht="21" customHeight="1" x14ac:dyDescent="0.15">
      <c r="A108" s="2" t="str">
        <f ca="1">input_386100!A$2</f>
        <v>386100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IFERROR(VLOOKUP(B108,input_386100!L:R,7,FALSE),VLOOKUP(tables_386100!C108,input_386100!A:H,8,FALSE))</f>
        <v>0</v>
      </c>
      <c r="P108" s="43">
        <f t="shared" ca="1" si="5"/>
        <v>0</v>
      </c>
      <c r="Q108" s="28">
        <v>1</v>
      </c>
      <c r="R108" s="28">
        <v>0</v>
      </c>
      <c r="S108" s="28">
        <v>0</v>
      </c>
      <c r="T108" s="28">
        <v>0</v>
      </c>
      <c r="U108" s="28">
        <v>0</v>
      </c>
      <c r="V108" s="28">
        <v>1</v>
      </c>
    </row>
    <row r="109" spans="1:22" ht="21" customHeight="1" x14ac:dyDescent="0.15">
      <c r="A109" s="2" t="str">
        <f ca="1">input_386100!A$2</f>
        <v>386100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IFERROR(VLOOKUP(B109,input_386100!L:R,7,FALSE),VLOOKUP(tables_386100!C109,input_386100!A:H,8,FALSE))</f>
        <v>10350.98077</v>
      </c>
      <c r="P109" s="43">
        <f t="shared" ca="1" si="5"/>
        <v>5.7314400719822812E-3</v>
      </c>
      <c r="Q109" s="28">
        <v>1</v>
      </c>
      <c r="R109" s="28">
        <v>0</v>
      </c>
      <c r="S109" s="28">
        <v>0</v>
      </c>
      <c r="T109" s="28">
        <v>0</v>
      </c>
      <c r="U109" s="28">
        <v>0</v>
      </c>
      <c r="V109" s="28">
        <v>1</v>
      </c>
    </row>
    <row r="110" spans="1:22" ht="21" customHeight="1" x14ac:dyDescent="0.15">
      <c r="A110" s="2" t="str">
        <f ca="1">input_386100!A$2</f>
        <v>386100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IFERROR(VLOOKUP(B110,input_386100!L:R,7,FALSE),VLOOKUP(tables_386100!C110,input_386100!A:H,8,FALSE))</f>
        <v>1199.0192300000001</v>
      </c>
      <c r="P110" s="43">
        <f t="shared" ca="1" si="5"/>
        <v>6.6390876522702113E-4</v>
      </c>
      <c r="Q110" s="28">
        <v>1</v>
      </c>
      <c r="R110" s="28">
        <v>0</v>
      </c>
      <c r="S110" s="28">
        <v>0</v>
      </c>
      <c r="T110" s="28">
        <v>0</v>
      </c>
      <c r="U110" s="28">
        <v>0</v>
      </c>
      <c r="V110" s="28">
        <v>1</v>
      </c>
    </row>
    <row r="111" spans="1:22" ht="21" customHeight="1" x14ac:dyDescent="0.15">
      <c r="A111" s="2" t="str">
        <f ca="1">input_386100!A$2</f>
        <v>386100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IFERROR(VLOOKUP(B111,input_386100!L:R,7,FALSE),VLOOKUP(tables_386100!C111,input_386100!A:H,8,FALSE))</f>
        <v>0</v>
      </c>
      <c r="P111" s="43">
        <f t="shared" ca="1" si="5"/>
        <v>0</v>
      </c>
      <c r="Q111" s="28">
        <v>1</v>
      </c>
      <c r="R111" s="28">
        <v>0</v>
      </c>
      <c r="S111" s="28">
        <v>0</v>
      </c>
      <c r="T111" s="28">
        <v>0</v>
      </c>
      <c r="U111" s="28">
        <v>0</v>
      </c>
      <c r="V111" s="28">
        <v>1</v>
      </c>
    </row>
    <row r="112" spans="1:22" ht="21" customHeight="1" x14ac:dyDescent="0.15">
      <c r="A112" s="2" t="str">
        <f ca="1">input_386100!A$2</f>
        <v>386100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IFERROR(VLOOKUP(B112,input_386100!L:R,7,FALSE),VLOOKUP(tables_386100!C112,input_386100!A:H,8,FALSE))</f>
        <v>10972.5</v>
      </c>
      <c r="P112" s="43">
        <f t="shared" ca="1" si="5"/>
        <v>6.075581395348837E-3</v>
      </c>
      <c r="Q112" s="28">
        <v>1</v>
      </c>
      <c r="R112" s="28">
        <v>0</v>
      </c>
      <c r="S112" s="28">
        <v>0</v>
      </c>
      <c r="T112" s="28">
        <v>0</v>
      </c>
      <c r="U112" s="28">
        <v>0</v>
      </c>
      <c r="V112" s="28">
        <v>1</v>
      </c>
    </row>
    <row r="113" spans="1:22" ht="21" customHeight="1" x14ac:dyDescent="0.15">
      <c r="A113" s="2" t="str">
        <f ca="1">input_386100!A$2</f>
        <v>386100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IFERROR(VLOOKUP(B113,input_386100!L:R,7,FALSE),VLOOKUP(tables_386100!C113,input_386100!A:H,8,FALSE))</f>
        <v>577.5</v>
      </c>
      <c r="P113" s="43">
        <f t="shared" ca="1" si="5"/>
        <v>3.1976744186046509E-4</v>
      </c>
      <c r="Q113" s="28">
        <v>1</v>
      </c>
      <c r="R113" s="28">
        <v>0</v>
      </c>
      <c r="S113" s="28">
        <v>0</v>
      </c>
      <c r="T113" s="28">
        <v>0</v>
      </c>
      <c r="U113" s="28">
        <v>0</v>
      </c>
      <c r="V113" s="28">
        <v>1</v>
      </c>
    </row>
    <row r="114" spans="1:22" ht="21" customHeight="1" x14ac:dyDescent="0.15">
      <c r="A114" s="2" t="str">
        <f ca="1">input_386100!A$2</f>
        <v>386100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IFERROR(VLOOKUP(B114,input_386100!L:R,7,FALSE),VLOOKUP(tables_386100!C114,input_386100!A:H,8,FALSE))</f>
        <v>0</v>
      </c>
      <c r="P114" s="43">
        <f t="shared" ca="1" si="5"/>
        <v>0</v>
      </c>
      <c r="Q114" s="28">
        <v>1</v>
      </c>
      <c r="R114" s="28">
        <v>0</v>
      </c>
      <c r="S114" s="28">
        <v>0</v>
      </c>
      <c r="T114" s="28">
        <v>0</v>
      </c>
      <c r="U114" s="28">
        <v>0</v>
      </c>
      <c r="V114" s="28">
        <v>1</v>
      </c>
    </row>
    <row r="115" spans="1:22" ht="21" customHeight="1" x14ac:dyDescent="0.15">
      <c r="A115" s="2" t="str">
        <f ca="1">input_386100!A$2</f>
        <v>386100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IFERROR(VLOOKUP(B115,input_386100!L:R,7,FALSE),VLOOKUP(tables_386100!C115,input_386100!A:H,8,FALSE))</f>
        <v>10350.98077</v>
      </c>
      <c r="P115" s="43">
        <f t="shared" ca="1" si="5"/>
        <v>5.7314400719822812E-3</v>
      </c>
      <c r="Q115" s="28">
        <v>1</v>
      </c>
      <c r="R115" s="28">
        <v>0</v>
      </c>
      <c r="S115" s="28">
        <v>0</v>
      </c>
      <c r="T115" s="28">
        <v>0</v>
      </c>
      <c r="U115" s="28">
        <v>0</v>
      </c>
      <c r="V115" s="28">
        <v>1</v>
      </c>
    </row>
    <row r="116" spans="1:22" ht="21" customHeight="1" x14ac:dyDescent="0.15">
      <c r="A116" s="2" t="str">
        <f ca="1">input_386100!A$2</f>
        <v>386100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IFERROR(VLOOKUP(B116,input_386100!L:R,7,FALSE),VLOOKUP(tables_386100!C116,input_386100!A:H,8,FALSE))</f>
        <v>1199.0192300000001</v>
      </c>
      <c r="P116" s="43">
        <f t="shared" ca="1" si="5"/>
        <v>6.6390876522702113E-4</v>
      </c>
      <c r="Q116" s="28">
        <v>1</v>
      </c>
      <c r="R116" s="28">
        <v>0</v>
      </c>
      <c r="S116" s="28">
        <v>0</v>
      </c>
      <c r="T116" s="28">
        <v>0</v>
      </c>
      <c r="U116" s="28">
        <v>0</v>
      </c>
      <c r="V116" s="28">
        <v>1</v>
      </c>
    </row>
    <row r="117" spans="1:22" ht="21" customHeight="1" x14ac:dyDescent="0.15">
      <c r="A117" s="2" t="str">
        <f ca="1">input_386100!A$2</f>
        <v>386100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IFERROR(VLOOKUP(B117,input_386100!L:R,7,FALSE),VLOOKUP(tables_386100!C117,input_386100!A:H,8,FALSE))</f>
        <v>0</v>
      </c>
      <c r="P117" s="43">
        <f t="shared" ca="1" si="5"/>
        <v>0</v>
      </c>
      <c r="Q117" s="28">
        <v>1</v>
      </c>
      <c r="R117" s="28">
        <v>0</v>
      </c>
      <c r="S117" s="28">
        <v>0</v>
      </c>
      <c r="T117" s="28">
        <v>0</v>
      </c>
      <c r="U117" s="28">
        <v>0</v>
      </c>
      <c r="V117" s="28">
        <v>1</v>
      </c>
    </row>
    <row r="118" spans="1:22" ht="21" customHeight="1" x14ac:dyDescent="0.15">
      <c r="A118" s="2" t="str">
        <f ca="1">input_386100!A$2</f>
        <v>386100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IFERROR(VLOOKUP(B118,input_386100!L:R,7,FALSE),VLOOKUP(tables_386100!C118,input_386100!A:H,8,FALSE))</f>
        <v>10350.98077</v>
      </c>
      <c r="P118" s="43">
        <f t="shared" ca="1" si="5"/>
        <v>5.7314400719822812E-3</v>
      </c>
      <c r="Q118" s="28">
        <v>1</v>
      </c>
      <c r="R118" s="28">
        <v>0</v>
      </c>
      <c r="S118" s="28">
        <v>0</v>
      </c>
      <c r="T118" s="28">
        <v>0</v>
      </c>
      <c r="U118" s="28">
        <v>0</v>
      </c>
      <c r="V118" s="28">
        <v>1</v>
      </c>
    </row>
    <row r="119" spans="1:22" ht="21" customHeight="1" x14ac:dyDescent="0.15">
      <c r="A119" s="2" t="str">
        <f ca="1">input_386100!A$2</f>
        <v>386100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IFERROR(VLOOKUP(B119,input_386100!L:R,7,FALSE),VLOOKUP(tables_386100!C119,input_386100!A:H,8,FALSE))</f>
        <v>1199.0192300000001</v>
      </c>
      <c r="P119" s="43">
        <f t="shared" ca="1" si="5"/>
        <v>6.6390876522702113E-4</v>
      </c>
      <c r="Q119" s="28">
        <v>1</v>
      </c>
      <c r="R119" s="28">
        <v>0</v>
      </c>
      <c r="S119" s="28">
        <v>0</v>
      </c>
      <c r="T119" s="28">
        <v>0</v>
      </c>
      <c r="U119" s="28">
        <v>0</v>
      </c>
      <c r="V119" s="28">
        <v>1</v>
      </c>
    </row>
    <row r="120" spans="1:22" ht="21" customHeight="1" x14ac:dyDescent="0.15">
      <c r="A120" s="2" t="str">
        <f ca="1">input_386100!A$2</f>
        <v>386100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IFERROR(VLOOKUP(B120,input_386100!L:R,7,FALSE),VLOOKUP(tables_386100!C120,input_386100!A:H,8,FALSE))</f>
        <v>0</v>
      </c>
      <c r="P120" s="43">
        <f t="shared" ca="1" si="5"/>
        <v>0</v>
      </c>
      <c r="Q120" s="28">
        <v>1</v>
      </c>
      <c r="R120" s="28">
        <v>0</v>
      </c>
      <c r="S120" s="28">
        <v>0</v>
      </c>
      <c r="T120" s="28">
        <v>0</v>
      </c>
      <c r="U120" s="28">
        <v>0</v>
      </c>
      <c r="V120" s="28">
        <v>1</v>
      </c>
    </row>
    <row r="121" spans="1:22" ht="21" customHeight="1" x14ac:dyDescent="0.15">
      <c r="A121" s="2" t="str">
        <f ca="1">input_386100!A$2</f>
        <v>386100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IFERROR(VLOOKUP(B121,input_386100!L:R,7,FALSE),VLOOKUP(tables_386100!C121,input_386100!A:H,8,FALSE))</f>
        <v>10350.98077</v>
      </c>
      <c r="P121" s="43">
        <f t="shared" ca="1" si="5"/>
        <v>5.7314400719822812E-3</v>
      </c>
      <c r="Q121" s="28">
        <v>1</v>
      </c>
      <c r="R121" s="28">
        <v>0</v>
      </c>
      <c r="S121" s="28">
        <v>0</v>
      </c>
      <c r="T121" s="28">
        <v>0</v>
      </c>
      <c r="U121" s="28">
        <v>0</v>
      </c>
      <c r="V121" s="28">
        <v>1</v>
      </c>
    </row>
    <row r="122" spans="1:22" ht="21" customHeight="1" x14ac:dyDescent="0.15">
      <c r="A122" s="2" t="str">
        <f ca="1">input_386100!A$2</f>
        <v>386100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IFERROR(VLOOKUP(B122,input_386100!L:R,7,FALSE),VLOOKUP(tables_386100!C122,input_386100!A:H,8,FALSE))</f>
        <v>1199.0192300000001</v>
      </c>
      <c r="P122" s="43">
        <f t="shared" ca="1" si="5"/>
        <v>6.6390876522702113E-4</v>
      </c>
      <c r="Q122" s="28">
        <v>1</v>
      </c>
      <c r="R122" s="28">
        <v>0</v>
      </c>
      <c r="S122" s="28">
        <v>0</v>
      </c>
      <c r="T122" s="28">
        <v>0</v>
      </c>
      <c r="U122" s="28">
        <v>0</v>
      </c>
      <c r="V122" s="28">
        <v>1</v>
      </c>
    </row>
    <row r="123" spans="1:22" ht="21" customHeight="1" x14ac:dyDescent="0.15">
      <c r="A123" s="2" t="str">
        <f ca="1">input_386100!A$2</f>
        <v>386100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IFERROR(VLOOKUP(B123,input_386100!L:R,7,FALSE),VLOOKUP(tables_386100!C123,input_386100!A:H,8,FALSE))</f>
        <v>0</v>
      </c>
      <c r="P123" s="43">
        <f t="shared" ca="1" si="5"/>
        <v>0</v>
      </c>
      <c r="Q123" s="28">
        <v>1</v>
      </c>
      <c r="R123" s="28">
        <v>0</v>
      </c>
      <c r="S123" s="28">
        <v>0</v>
      </c>
      <c r="T123" s="28">
        <v>0</v>
      </c>
      <c r="U123" s="28">
        <v>0</v>
      </c>
      <c r="V123" s="28">
        <v>1</v>
      </c>
    </row>
    <row r="124" spans="1:22" ht="21" customHeight="1" x14ac:dyDescent="0.15">
      <c r="A124" s="2" t="str">
        <f ca="1">input_386100!A$2</f>
        <v>386100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IFERROR(VLOOKUP(B124,input_386100!L:R,7,FALSE),VLOOKUP(tables_386100!C124,input_386100!A:H,8,FALSE))</f>
        <v>10350.98077</v>
      </c>
      <c r="P124" s="43">
        <f t="shared" ca="1" si="5"/>
        <v>5.7314400719822812E-3</v>
      </c>
      <c r="Q124" s="28">
        <v>1</v>
      </c>
      <c r="R124" s="28">
        <v>0</v>
      </c>
      <c r="S124" s="28">
        <v>0</v>
      </c>
      <c r="T124" s="28">
        <v>0</v>
      </c>
      <c r="U124" s="28">
        <v>0</v>
      </c>
      <c r="V124" s="28">
        <v>1</v>
      </c>
    </row>
    <row r="125" spans="1:22" ht="21" customHeight="1" x14ac:dyDescent="0.15">
      <c r="A125" s="2" t="str">
        <f ca="1">input_386100!A$2</f>
        <v>386100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IFERROR(VLOOKUP(B125,input_386100!L:R,7,FALSE),VLOOKUP(tables_386100!C125,input_386100!A:H,8,FALSE))</f>
        <v>1199.0192300000001</v>
      </c>
      <c r="P125" s="43">
        <f t="shared" ca="1" si="5"/>
        <v>6.6390876522702113E-4</v>
      </c>
      <c r="Q125" s="28">
        <v>1</v>
      </c>
      <c r="R125" s="28">
        <v>0</v>
      </c>
      <c r="S125" s="28">
        <v>0</v>
      </c>
      <c r="T125" s="28">
        <v>0</v>
      </c>
      <c r="U125" s="28">
        <v>0</v>
      </c>
      <c r="V125" s="28">
        <v>1</v>
      </c>
    </row>
    <row r="126" spans="1:22" ht="21" customHeight="1" x14ac:dyDescent="0.15">
      <c r="A126" s="2" t="str">
        <f ca="1">input_386100!A$2</f>
        <v>386100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IFERROR(VLOOKUP(B126,input_386100!L:R,7,FALSE),VLOOKUP(tables_386100!C126,input_386100!A:H,8,FALSE))</f>
        <v>0</v>
      </c>
      <c r="P126" s="43">
        <f t="shared" ca="1" si="5"/>
        <v>0</v>
      </c>
      <c r="Q126" s="28">
        <v>1</v>
      </c>
      <c r="R126" s="28">
        <v>0</v>
      </c>
      <c r="S126" s="28">
        <v>0</v>
      </c>
      <c r="T126" s="28">
        <v>0</v>
      </c>
      <c r="U126" s="28">
        <v>0</v>
      </c>
      <c r="V126" s="28">
        <v>1</v>
      </c>
    </row>
    <row r="127" spans="1:22" ht="21" customHeight="1" x14ac:dyDescent="0.15">
      <c r="A127" s="2" t="str">
        <f ca="1">input_386100!A$2</f>
        <v>386100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IFERROR(VLOOKUP(B127,input_386100!L:R,7,FALSE),VLOOKUP(tables_386100!C127,input_386100!A:H,8,FALSE))</f>
        <v>10350.98077</v>
      </c>
      <c r="P127" s="43">
        <f t="shared" ca="1" si="5"/>
        <v>5.7314400719822812E-3</v>
      </c>
      <c r="Q127" s="28">
        <v>1</v>
      </c>
      <c r="R127" s="28">
        <v>0</v>
      </c>
      <c r="S127" s="28">
        <v>0</v>
      </c>
      <c r="T127" s="28">
        <v>0</v>
      </c>
      <c r="U127" s="28">
        <v>0</v>
      </c>
      <c r="V127" s="28">
        <v>1</v>
      </c>
    </row>
    <row r="128" spans="1:22" ht="21" customHeight="1" x14ac:dyDescent="0.15">
      <c r="A128" s="2" t="str">
        <f ca="1">input_386100!A$2</f>
        <v>386100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IFERROR(VLOOKUP(B128,input_386100!L:R,7,FALSE),VLOOKUP(tables_386100!C128,input_386100!A:H,8,FALSE))</f>
        <v>1199.0192300000001</v>
      </c>
      <c r="P128" s="43">
        <f t="shared" ca="1" si="5"/>
        <v>6.6390876522702113E-4</v>
      </c>
      <c r="Q128" s="28">
        <v>1</v>
      </c>
      <c r="R128" s="28">
        <v>0</v>
      </c>
      <c r="S128" s="28">
        <v>0</v>
      </c>
      <c r="T128" s="28">
        <v>0</v>
      </c>
      <c r="U128" s="28">
        <v>0</v>
      </c>
      <c r="V128" s="28">
        <v>1</v>
      </c>
    </row>
    <row r="129" spans="1:22" ht="21" customHeight="1" x14ac:dyDescent="0.15">
      <c r="A129" s="2" t="str">
        <f ca="1">input_386100!A$2</f>
        <v>386100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IFERROR(VLOOKUP(B129,input_386100!L:R,7,FALSE),VLOOKUP(tables_386100!C129,input_386100!A:H,8,FALSE))</f>
        <v>0</v>
      </c>
      <c r="P129" s="43">
        <f t="shared" ca="1" si="5"/>
        <v>0</v>
      </c>
      <c r="Q129" s="28">
        <v>1</v>
      </c>
      <c r="R129" s="28">
        <v>0</v>
      </c>
      <c r="S129" s="28">
        <v>0</v>
      </c>
      <c r="T129" s="28">
        <v>0</v>
      </c>
      <c r="U129" s="28">
        <v>0</v>
      </c>
      <c r="V129" s="28">
        <v>1</v>
      </c>
    </row>
    <row r="130" spans="1:22" ht="21" customHeight="1" x14ac:dyDescent="0.15">
      <c r="A130" s="2" t="str">
        <f ca="1">input_386100!A$2</f>
        <v>386100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IFERROR(VLOOKUP(B130,input_386100!L:R,7,FALSE),VLOOKUP(tables_386100!C130,input_386100!A:H,8,FALSE))</f>
        <v>10350.98077</v>
      </c>
      <c r="P130" s="43">
        <f t="shared" ca="1" si="5"/>
        <v>5.7314400719822812E-3</v>
      </c>
      <c r="Q130" s="28">
        <v>1</v>
      </c>
      <c r="R130" s="28">
        <v>0</v>
      </c>
      <c r="S130" s="28">
        <v>0</v>
      </c>
      <c r="T130" s="28">
        <v>0</v>
      </c>
      <c r="U130" s="28">
        <v>0</v>
      </c>
      <c r="V130" s="28">
        <v>1</v>
      </c>
    </row>
    <row r="131" spans="1:22" ht="21" customHeight="1" x14ac:dyDescent="0.15">
      <c r="A131" s="2" t="str">
        <f ca="1">input_386100!A$2</f>
        <v>386100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IFERROR(VLOOKUP(B131,input_386100!L:R,7,FALSE),VLOOKUP(tables_386100!C131,input_386100!A:H,8,FALSE))</f>
        <v>1199.0192300000001</v>
      </c>
      <c r="P131" s="43">
        <f t="shared" ref="P131:P194" ca="1" si="8">O131/SUM(O:O)</f>
        <v>6.6390876522702113E-4</v>
      </c>
      <c r="Q131" s="28">
        <v>1</v>
      </c>
      <c r="R131" s="28">
        <v>0</v>
      </c>
      <c r="S131" s="28">
        <v>0</v>
      </c>
      <c r="T131" s="28">
        <v>0</v>
      </c>
      <c r="U131" s="28">
        <v>0</v>
      </c>
      <c r="V131" s="28">
        <v>1</v>
      </c>
    </row>
    <row r="132" spans="1:22" ht="21" customHeight="1" x14ac:dyDescent="0.15">
      <c r="A132" s="2" t="str">
        <f ca="1">input_386100!A$2</f>
        <v>386100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IFERROR(VLOOKUP(B132,input_386100!L:R,7,FALSE),VLOOKUP(tables_386100!C132,input_386100!A:H,8,FALSE))</f>
        <v>0</v>
      </c>
      <c r="P132" s="43">
        <f t="shared" ca="1" si="8"/>
        <v>0</v>
      </c>
      <c r="Q132" s="28">
        <v>1</v>
      </c>
      <c r="R132" s="28">
        <v>0</v>
      </c>
      <c r="S132" s="28">
        <v>0</v>
      </c>
      <c r="T132" s="28">
        <v>0</v>
      </c>
      <c r="U132" s="28">
        <v>0</v>
      </c>
      <c r="V132" s="28">
        <v>1</v>
      </c>
    </row>
    <row r="133" spans="1:22" ht="21" customHeight="1" x14ac:dyDescent="0.15">
      <c r="A133" s="2" t="str">
        <f ca="1">input_386100!A$2</f>
        <v>386100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IFERROR(VLOOKUP(B133,input_386100!L:R,7,FALSE),VLOOKUP(tables_386100!C133,input_386100!A:H,8,FALSE))</f>
        <v>10350.98077</v>
      </c>
      <c r="P133" s="43">
        <f t="shared" ca="1" si="8"/>
        <v>5.7314400719822812E-3</v>
      </c>
      <c r="Q133" s="28">
        <v>1</v>
      </c>
      <c r="R133" s="28">
        <v>0</v>
      </c>
      <c r="S133" s="28">
        <v>0</v>
      </c>
      <c r="T133" s="28">
        <v>0</v>
      </c>
      <c r="U133" s="28">
        <v>0</v>
      </c>
      <c r="V133" s="28">
        <v>1</v>
      </c>
    </row>
    <row r="134" spans="1:22" ht="21" customHeight="1" x14ac:dyDescent="0.15">
      <c r="A134" s="2" t="str">
        <f ca="1">input_386100!A$2</f>
        <v>386100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IFERROR(VLOOKUP(B134,input_386100!L:R,7,FALSE),VLOOKUP(tables_386100!C134,input_386100!A:H,8,FALSE))</f>
        <v>1199.0192300000001</v>
      </c>
      <c r="P134" s="43">
        <f t="shared" ca="1" si="8"/>
        <v>6.6390876522702113E-4</v>
      </c>
      <c r="Q134" s="28">
        <v>1</v>
      </c>
      <c r="R134" s="28">
        <v>0</v>
      </c>
      <c r="S134" s="28">
        <v>0</v>
      </c>
      <c r="T134" s="28">
        <v>0</v>
      </c>
      <c r="U134" s="28">
        <v>0</v>
      </c>
      <c r="V134" s="28">
        <v>1</v>
      </c>
    </row>
    <row r="135" spans="1:22" ht="21" customHeight="1" x14ac:dyDescent="0.15">
      <c r="A135" s="2" t="str">
        <f ca="1">input_386100!A$2</f>
        <v>386100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IFERROR(VLOOKUP(B135,input_386100!L:R,7,FALSE),VLOOKUP(tables_386100!C135,input_386100!A:H,8,FALSE))</f>
        <v>0</v>
      </c>
      <c r="P135" s="43">
        <f t="shared" ca="1" si="8"/>
        <v>0</v>
      </c>
      <c r="Q135" s="28">
        <v>1</v>
      </c>
      <c r="R135" s="28">
        <v>0</v>
      </c>
      <c r="S135" s="28">
        <v>0</v>
      </c>
      <c r="T135" s="28">
        <v>0</v>
      </c>
      <c r="U135" s="28">
        <v>0</v>
      </c>
      <c r="V135" s="28">
        <v>1</v>
      </c>
    </row>
    <row r="136" spans="1:22" ht="21" customHeight="1" x14ac:dyDescent="0.15">
      <c r="A136" s="2" t="str">
        <f ca="1">input_386100!A$2</f>
        <v>386100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IFERROR(VLOOKUP(B136,input_386100!L:R,7,FALSE),VLOOKUP(tables_386100!C136,input_386100!A:H,8,FALSE))</f>
        <v>10350.98077</v>
      </c>
      <c r="P136" s="43">
        <f t="shared" ca="1" si="8"/>
        <v>5.7314400719822812E-3</v>
      </c>
      <c r="Q136" s="28">
        <v>1</v>
      </c>
      <c r="R136" s="28">
        <v>0</v>
      </c>
      <c r="S136" s="28">
        <v>0</v>
      </c>
      <c r="T136" s="28">
        <v>0</v>
      </c>
      <c r="U136" s="28">
        <v>0</v>
      </c>
      <c r="V136" s="28">
        <v>1</v>
      </c>
    </row>
    <row r="137" spans="1:22" ht="21" customHeight="1" x14ac:dyDescent="0.15">
      <c r="A137" s="2" t="str">
        <f ca="1">input_386100!A$2</f>
        <v>386100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IFERROR(VLOOKUP(B137,input_386100!L:R,7,FALSE),VLOOKUP(tables_386100!C137,input_386100!A:H,8,FALSE))</f>
        <v>1199.0192300000001</v>
      </c>
      <c r="P137" s="43">
        <f t="shared" ca="1" si="8"/>
        <v>6.6390876522702113E-4</v>
      </c>
      <c r="Q137" s="28">
        <v>1</v>
      </c>
      <c r="R137" s="28">
        <v>0</v>
      </c>
      <c r="S137" s="28">
        <v>0</v>
      </c>
      <c r="T137" s="28">
        <v>0</v>
      </c>
      <c r="U137" s="28">
        <v>0</v>
      </c>
      <c r="V137" s="28">
        <v>1</v>
      </c>
    </row>
    <row r="138" spans="1:22" ht="21" customHeight="1" x14ac:dyDescent="0.15">
      <c r="A138" s="2" t="str">
        <f ca="1">input_386100!A$2</f>
        <v>386100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IFERROR(VLOOKUP(B138,input_386100!L:R,7,FALSE),VLOOKUP(tables_386100!C138,input_386100!A:H,8,FALSE))</f>
        <v>1225.5</v>
      </c>
      <c r="P138" s="43">
        <f t="shared" ca="1" si="8"/>
        <v>6.7857142857142855E-4</v>
      </c>
      <c r="Q138" s="28">
        <v>1</v>
      </c>
      <c r="R138" s="28">
        <v>0</v>
      </c>
      <c r="S138" s="28">
        <v>0</v>
      </c>
      <c r="T138" s="28">
        <v>0</v>
      </c>
      <c r="U138" s="28">
        <v>0</v>
      </c>
      <c r="V138" s="28">
        <v>1</v>
      </c>
    </row>
    <row r="139" spans="1:22" ht="21" customHeight="1" x14ac:dyDescent="0.15">
      <c r="A139" s="2" t="str">
        <f ca="1">input_386100!A$2</f>
        <v>386100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IFERROR(VLOOKUP(B139,input_386100!L:R,7,FALSE),VLOOKUP(tables_386100!C139,input_386100!A:H,8,FALSE))</f>
        <v>64.5</v>
      </c>
      <c r="P139" s="43">
        <f t="shared" ca="1" si="8"/>
        <v>3.5714285714285717E-5</v>
      </c>
      <c r="Q139" s="28">
        <v>1</v>
      </c>
      <c r="R139" s="28">
        <v>0</v>
      </c>
      <c r="S139" s="28">
        <v>0</v>
      </c>
      <c r="T139" s="28">
        <v>0</v>
      </c>
      <c r="U139" s="28">
        <v>0</v>
      </c>
      <c r="V139" s="28">
        <v>1</v>
      </c>
    </row>
    <row r="140" spans="1:22" ht="21" customHeight="1" x14ac:dyDescent="0.15">
      <c r="A140" s="2" t="str">
        <f ca="1">input_386100!A$2</f>
        <v>386100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IFERROR(VLOOKUP(B140,input_386100!L:R,7,FALSE),VLOOKUP(tables_386100!C140,input_386100!A:H,8,FALSE))</f>
        <v>1225.5</v>
      </c>
      <c r="P140" s="43">
        <f t="shared" ca="1" si="8"/>
        <v>6.7857142857142855E-4</v>
      </c>
      <c r="Q140" s="28">
        <v>1</v>
      </c>
      <c r="R140" s="28">
        <v>0</v>
      </c>
      <c r="S140" s="28">
        <v>0</v>
      </c>
      <c r="T140" s="28">
        <v>0</v>
      </c>
      <c r="U140" s="28">
        <v>0</v>
      </c>
      <c r="V140" s="28">
        <v>1</v>
      </c>
    </row>
    <row r="141" spans="1:22" ht="21" customHeight="1" x14ac:dyDescent="0.15">
      <c r="A141" s="2" t="str">
        <f ca="1">input_386100!A$2</f>
        <v>386100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IFERROR(VLOOKUP(B141,input_386100!L:R,7,FALSE),VLOOKUP(tables_386100!C141,input_386100!A:H,8,FALSE))</f>
        <v>64.5</v>
      </c>
      <c r="P141" s="43">
        <f t="shared" ca="1" si="8"/>
        <v>3.5714285714285717E-5</v>
      </c>
      <c r="Q141" s="28">
        <v>1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</row>
    <row r="142" spans="1:22" ht="21" customHeight="1" x14ac:dyDescent="0.15">
      <c r="A142" s="2" t="str">
        <f ca="1">input_386100!A$2</f>
        <v>386100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IFERROR(VLOOKUP(B142,input_386100!L:R,7,FALSE),VLOOKUP(tables_386100!C142,input_386100!A:H,8,FALSE))</f>
        <v>1225.5</v>
      </c>
      <c r="P142" s="43">
        <f t="shared" ca="1" si="8"/>
        <v>6.7857142857142855E-4</v>
      </c>
      <c r="Q142" s="28">
        <v>1</v>
      </c>
      <c r="R142" s="28">
        <v>0</v>
      </c>
      <c r="S142" s="28">
        <v>0</v>
      </c>
      <c r="T142" s="28">
        <v>0</v>
      </c>
      <c r="U142" s="28">
        <v>0</v>
      </c>
      <c r="V142" s="28">
        <v>1</v>
      </c>
    </row>
    <row r="143" spans="1:22" s="12" customFormat="1" ht="21" customHeight="1" thickBot="1" x14ac:dyDescent="0.2">
      <c r="A143" s="2" t="str">
        <f ca="1">input_386100!A$2</f>
        <v>386100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IFERROR(VLOOKUP(B143,input_386100!L:R,7,FALSE),VLOOKUP(tables_386100!C143,input_386100!A:H,8,FALSE))</f>
        <v>64.5</v>
      </c>
      <c r="P143" s="43">
        <f t="shared" ca="1" si="8"/>
        <v>3.5714285714285717E-5</v>
      </c>
      <c r="Q143" s="28">
        <v>1</v>
      </c>
      <c r="R143" s="28">
        <v>0</v>
      </c>
      <c r="S143" s="28">
        <v>0</v>
      </c>
      <c r="T143" s="28">
        <v>0</v>
      </c>
      <c r="U143" s="28">
        <v>0</v>
      </c>
      <c r="V143" s="28">
        <v>1</v>
      </c>
    </row>
    <row r="144" spans="1:22" ht="21" customHeight="1" x14ac:dyDescent="0.15">
      <c r="A144" s="2" t="str">
        <f ca="1">input_386100!A$2</f>
        <v>386100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IFERROR(VLOOKUP(B144,input_386100!L:R,7,FALSE),VLOOKUP(tables_386100!C144,input_386100!A:H,8,FALSE))</f>
        <v>1225.5</v>
      </c>
      <c r="P144" s="43">
        <f t="shared" ca="1" si="8"/>
        <v>6.7857142857142855E-4</v>
      </c>
      <c r="Q144" s="28">
        <v>1</v>
      </c>
      <c r="R144" s="28">
        <v>0</v>
      </c>
      <c r="S144" s="28">
        <v>0</v>
      </c>
      <c r="T144" s="28">
        <v>0</v>
      </c>
      <c r="U144" s="28">
        <v>0</v>
      </c>
      <c r="V144" s="28">
        <v>1</v>
      </c>
    </row>
    <row r="145" spans="1:22" ht="21" customHeight="1" x14ac:dyDescent="0.15">
      <c r="A145" s="2" t="str">
        <f ca="1">input_386100!A$2</f>
        <v>386100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IFERROR(VLOOKUP(B145,input_386100!L:R,7,FALSE),VLOOKUP(tables_386100!C145,input_386100!A:H,8,FALSE))</f>
        <v>64.5</v>
      </c>
      <c r="P145" s="43">
        <f t="shared" ca="1" si="8"/>
        <v>3.5714285714285717E-5</v>
      </c>
      <c r="Q145" s="28">
        <v>1</v>
      </c>
      <c r="R145" s="28">
        <v>0</v>
      </c>
      <c r="S145" s="28">
        <v>0</v>
      </c>
      <c r="T145" s="28">
        <v>0</v>
      </c>
      <c r="U145" s="28">
        <v>0</v>
      </c>
      <c r="V145" s="28">
        <v>1</v>
      </c>
    </row>
    <row r="146" spans="1:22" ht="21" customHeight="1" x14ac:dyDescent="0.15">
      <c r="A146" s="2" t="str">
        <f ca="1">input_386100!A$2</f>
        <v>386100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IFERROR(VLOOKUP(B146,input_386100!L:R,7,FALSE),VLOOKUP(tables_386100!C146,input_386100!A:H,8,FALSE))</f>
        <v>0</v>
      </c>
      <c r="P146" s="43">
        <f t="shared" ca="1" si="8"/>
        <v>0</v>
      </c>
      <c r="Q146" s="28">
        <v>1</v>
      </c>
      <c r="R146" s="28">
        <v>0</v>
      </c>
      <c r="S146" s="28">
        <v>0</v>
      </c>
      <c r="T146" s="28">
        <v>0</v>
      </c>
      <c r="U146" s="28">
        <v>0</v>
      </c>
      <c r="V146" s="28">
        <v>1</v>
      </c>
    </row>
    <row r="147" spans="1:22" ht="21" customHeight="1" x14ac:dyDescent="0.15">
      <c r="A147" s="2" t="str">
        <f ca="1">input_386100!A$2</f>
        <v>386100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IFERROR(VLOOKUP(B147,input_386100!L:R,7,FALSE),VLOOKUP(tables_386100!C147,input_386100!A:H,8,FALSE))</f>
        <v>10350.98077</v>
      </c>
      <c r="P147" s="43">
        <f t="shared" ca="1" si="8"/>
        <v>5.7314400719822812E-3</v>
      </c>
      <c r="Q147" s="28">
        <v>1</v>
      </c>
      <c r="R147" s="28">
        <v>0</v>
      </c>
      <c r="S147" s="28">
        <v>0</v>
      </c>
      <c r="T147" s="28">
        <v>0</v>
      </c>
      <c r="U147" s="28">
        <v>0</v>
      </c>
      <c r="V147" s="28">
        <v>1</v>
      </c>
    </row>
    <row r="148" spans="1:22" ht="21" customHeight="1" x14ac:dyDescent="0.15">
      <c r="A148" s="2" t="str">
        <f ca="1">input_386100!A$2</f>
        <v>386100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IFERROR(VLOOKUP(B148,input_386100!L:R,7,FALSE),VLOOKUP(tables_386100!C148,input_386100!A:H,8,FALSE))</f>
        <v>1199.0192300000001</v>
      </c>
      <c r="P148" s="43">
        <f t="shared" ca="1" si="8"/>
        <v>6.6390876522702113E-4</v>
      </c>
      <c r="Q148" s="28">
        <v>1</v>
      </c>
      <c r="R148" s="28">
        <v>0</v>
      </c>
      <c r="S148" s="28">
        <v>0</v>
      </c>
      <c r="T148" s="28">
        <v>0</v>
      </c>
      <c r="U148" s="28">
        <v>0</v>
      </c>
      <c r="V148" s="28">
        <v>1</v>
      </c>
    </row>
    <row r="149" spans="1:22" ht="21" customHeight="1" x14ac:dyDescent="0.15">
      <c r="A149" s="2" t="str">
        <f ca="1">input_386100!A$2</f>
        <v>386100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IFERROR(VLOOKUP(B149,input_386100!L:R,7,FALSE),VLOOKUP(tables_386100!C149,input_386100!A:H,8,FALSE))</f>
        <v>1225.5</v>
      </c>
      <c r="P149" s="43">
        <f t="shared" ca="1" si="8"/>
        <v>6.7857142857142855E-4</v>
      </c>
      <c r="Q149" s="28">
        <v>1</v>
      </c>
      <c r="R149" s="28">
        <v>0</v>
      </c>
      <c r="S149" s="28">
        <v>0</v>
      </c>
      <c r="T149" s="28">
        <v>0</v>
      </c>
      <c r="U149" s="28">
        <v>0</v>
      </c>
      <c r="V149" s="28">
        <v>1</v>
      </c>
    </row>
    <row r="150" spans="1:22" ht="21" customHeight="1" x14ac:dyDescent="0.15">
      <c r="A150" s="2" t="str">
        <f ca="1">input_386100!A$2</f>
        <v>386100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IFERROR(VLOOKUP(B150,input_386100!L:R,7,FALSE),VLOOKUP(tables_386100!C150,input_386100!A:H,8,FALSE))</f>
        <v>64.5</v>
      </c>
      <c r="P150" s="43">
        <f t="shared" ca="1" si="8"/>
        <v>3.5714285714285717E-5</v>
      </c>
      <c r="Q150" s="28">
        <v>1</v>
      </c>
      <c r="R150" s="28">
        <v>0</v>
      </c>
      <c r="S150" s="28">
        <v>0</v>
      </c>
      <c r="T150" s="28">
        <v>0</v>
      </c>
      <c r="U150" s="28">
        <v>0</v>
      </c>
      <c r="V150" s="28">
        <v>1</v>
      </c>
    </row>
    <row r="151" spans="1:22" ht="21" customHeight="1" x14ac:dyDescent="0.15">
      <c r="A151" s="2" t="str">
        <f ca="1">input_386100!A$2</f>
        <v>386100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IFERROR(VLOOKUP(B151,input_386100!L:R,7,FALSE),VLOOKUP(tables_386100!C151,input_386100!A:H,8,FALSE))</f>
        <v>1225.5</v>
      </c>
      <c r="P151" s="43">
        <f t="shared" ca="1" si="8"/>
        <v>6.7857142857142855E-4</v>
      </c>
      <c r="Q151" s="28">
        <v>1</v>
      </c>
      <c r="R151" s="28">
        <v>0</v>
      </c>
      <c r="S151" s="28">
        <v>0</v>
      </c>
      <c r="T151" s="28">
        <v>0</v>
      </c>
      <c r="U151" s="28">
        <v>0</v>
      </c>
      <c r="V151" s="28">
        <v>1</v>
      </c>
    </row>
    <row r="152" spans="1:22" ht="21" customHeight="1" x14ac:dyDescent="0.15">
      <c r="A152" s="2" t="str">
        <f ca="1">input_386100!A$2</f>
        <v>386100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IFERROR(VLOOKUP(B152,input_386100!L:R,7,FALSE),VLOOKUP(tables_386100!C152,input_386100!A:H,8,FALSE))</f>
        <v>64.5</v>
      </c>
      <c r="P152" s="43">
        <f t="shared" ca="1" si="8"/>
        <v>3.5714285714285717E-5</v>
      </c>
      <c r="Q152" s="28">
        <v>1</v>
      </c>
      <c r="R152" s="28">
        <v>0</v>
      </c>
      <c r="S152" s="28">
        <v>0</v>
      </c>
      <c r="T152" s="28">
        <v>0</v>
      </c>
      <c r="U152" s="28">
        <v>0</v>
      </c>
      <c r="V152" s="28">
        <v>1</v>
      </c>
    </row>
    <row r="153" spans="1:22" ht="21" customHeight="1" x14ac:dyDescent="0.15">
      <c r="A153" s="2" t="str">
        <f ca="1">input_386100!A$2</f>
        <v>386100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IFERROR(VLOOKUP(B153,input_386100!L:R,7,FALSE),VLOOKUP(tables_386100!C153,input_386100!A:H,8,FALSE))</f>
        <v>0</v>
      </c>
      <c r="P153" s="43">
        <f t="shared" ca="1" si="8"/>
        <v>0</v>
      </c>
      <c r="Q153" s="28">
        <v>1</v>
      </c>
      <c r="R153" s="28">
        <v>0</v>
      </c>
      <c r="S153" s="28">
        <v>0</v>
      </c>
      <c r="T153" s="28">
        <v>0</v>
      </c>
      <c r="U153" s="28">
        <v>0</v>
      </c>
      <c r="V153" s="28">
        <v>1</v>
      </c>
    </row>
    <row r="154" spans="1:22" ht="21" customHeight="1" x14ac:dyDescent="0.15">
      <c r="A154" s="2" t="str">
        <f ca="1">input_386100!A$2</f>
        <v>386100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IFERROR(VLOOKUP(B154,input_386100!L:R,7,FALSE),VLOOKUP(tables_386100!C154,input_386100!A:H,8,FALSE))</f>
        <v>10350.98077</v>
      </c>
      <c r="P154" s="43">
        <f t="shared" ca="1" si="8"/>
        <v>5.7314400719822812E-3</v>
      </c>
      <c r="Q154" s="28">
        <v>1</v>
      </c>
      <c r="R154" s="28">
        <v>0</v>
      </c>
      <c r="S154" s="28">
        <v>0</v>
      </c>
      <c r="T154" s="28">
        <v>0</v>
      </c>
      <c r="U154" s="28">
        <v>0</v>
      </c>
      <c r="V154" s="28">
        <v>1</v>
      </c>
    </row>
    <row r="155" spans="1:22" ht="21" customHeight="1" x14ac:dyDescent="0.15">
      <c r="A155" s="2" t="str">
        <f ca="1">input_386100!A$2</f>
        <v>386100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IFERROR(VLOOKUP(B155,input_386100!L:R,7,FALSE),VLOOKUP(tables_386100!C155,input_386100!A:H,8,FALSE))</f>
        <v>1199.0192300000001</v>
      </c>
      <c r="P155" s="43">
        <f t="shared" ca="1" si="8"/>
        <v>6.6390876522702113E-4</v>
      </c>
      <c r="Q155" s="28">
        <v>1</v>
      </c>
      <c r="R155" s="28">
        <v>0</v>
      </c>
      <c r="S155" s="28">
        <v>0</v>
      </c>
      <c r="T155" s="28">
        <v>0</v>
      </c>
      <c r="U155" s="28">
        <v>0</v>
      </c>
      <c r="V155" s="28">
        <v>1</v>
      </c>
    </row>
    <row r="156" spans="1:22" ht="21" customHeight="1" x14ac:dyDescent="0.15">
      <c r="A156" s="2" t="str">
        <f ca="1">input_386100!A$2</f>
        <v>386100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IFERROR(VLOOKUP(B156,input_386100!L:R,7,FALSE),VLOOKUP(tables_386100!C156,input_386100!A:H,8,FALSE))</f>
        <v>1225.5</v>
      </c>
      <c r="P156" s="43">
        <f t="shared" ca="1" si="8"/>
        <v>6.7857142857142855E-4</v>
      </c>
      <c r="Q156" s="28">
        <v>1</v>
      </c>
      <c r="R156" s="28">
        <v>0</v>
      </c>
      <c r="S156" s="28">
        <v>0</v>
      </c>
      <c r="T156" s="28">
        <v>0</v>
      </c>
      <c r="U156" s="28">
        <v>0</v>
      </c>
      <c r="V156" s="28">
        <v>1</v>
      </c>
    </row>
    <row r="157" spans="1:22" ht="21" customHeight="1" x14ac:dyDescent="0.15">
      <c r="A157" s="2" t="str">
        <f ca="1">input_386100!A$2</f>
        <v>386100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IFERROR(VLOOKUP(B157,input_386100!L:R,7,FALSE),VLOOKUP(tables_386100!C157,input_386100!A:H,8,FALSE))</f>
        <v>64.5</v>
      </c>
      <c r="P157" s="43">
        <f t="shared" ca="1" si="8"/>
        <v>3.5714285714285717E-5</v>
      </c>
      <c r="Q157" s="28">
        <v>1</v>
      </c>
      <c r="R157" s="28">
        <v>0</v>
      </c>
      <c r="S157" s="28">
        <v>0</v>
      </c>
      <c r="T157" s="28">
        <v>0</v>
      </c>
      <c r="U157" s="28">
        <v>0</v>
      </c>
      <c r="V157" s="28">
        <v>1</v>
      </c>
    </row>
    <row r="158" spans="1:22" ht="21" customHeight="1" x14ac:dyDescent="0.15">
      <c r="A158" s="2" t="str">
        <f ca="1">input_386100!A$2</f>
        <v>386100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IFERROR(VLOOKUP(B158,input_386100!L:R,7,FALSE),VLOOKUP(tables_386100!C158,input_386100!A:H,8,FALSE))</f>
        <v>0</v>
      </c>
      <c r="P158" s="43">
        <f t="shared" ca="1" si="8"/>
        <v>0</v>
      </c>
      <c r="Q158" s="28">
        <v>1</v>
      </c>
      <c r="R158" s="28">
        <v>0</v>
      </c>
      <c r="S158" s="28">
        <v>0</v>
      </c>
      <c r="T158" s="28">
        <v>0</v>
      </c>
      <c r="U158" s="28">
        <v>0</v>
      </c>
      <c r="V158" s="28">
        <v>1</v>
      </c>
    </row>
    <row r="159" spans="1:22" ht="21" customHeight="1" x14ac:dyDescent="0.15">
      <c r="A159" s="2" t="str">
        <f ca="1">input_386100!A$2</f>
        <v>386100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IFERROR(VLOOKUP(B159,input_386100!L:R,7,FALSE),VLOOKUP(tables_386100!C159,input_386100!A:H,8,FALSE))</f>
        <v>10350.98077</v>
      </c>
      <c r="P159" s="43">
        <f t="shared" ca="1" si="8"/>
        <v>5.7314400719822812E-3</v>
      </c>
      <c r="Q159" s="28">
        <v>1</v>
      </c>
      <c r="R159" s="28">
        <v>0</v>
      </c>
      <c r="S159" s="28">
        <v>0</v>
      </c>
      <c r="T159" s="28">
        <v>0</v>
      </c>
      <c r="U159" s="28">
        <v>0</v>
      </c>
      <c r="V159" s="28">
        <v>1</v>
      </c>
    </row>
    <row r="160" spans="1:22" ht="21" customHeight="1" x14ac:dyDescent="0.15">
      <c r="A160" s="2" t="str">
        <f ca="1">input_386100!A$2</f>
        <v>386100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IFERROR(VLOOKUP(B160,input_386100!L:R,7,FALSE),VLOOKUP(tables_386100!C160,input_386100!A:H,8,FALSE))</f>
        <v>1199.0192300000001</v>
      </c>
      <c r="P160" s="43">
        <f t="shared" ca="1" si="8"/>
        <v>6.6390876522702113E-4</v>
      </c>
      <c r="Q160" s="28">
        <v>1</v>
      </c>
      <c r="R160" s="28">
        <v>0</v>
      </c>
      <c r="S160" s="28">
        <v>0</v>
      </c>
      <c r="T160" s="28">
        <v>0</v>
      </c>
      <c r="U160" s="28">
        <v>0</v>
      </c>
      <c r="V160" s="28">
        <v>1</v>
      </c>
    </row>
    <row r="161" spans="1:22" ht="21" customHeight="1" x14ac:dyDescent="0.15">
      <c r="A161" s="2" t="str">
        <f ca="1">input_386100!A$2</f>
        <v>386100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IFERROR(VLOOKUP(B161,input_386100!L:R,7,FALSE),VLOOKUP(tables_386100!C161,input_386100!A:H,8,FALSE))</f>
        <v>0</v>
      </c>
      <c r="P161" s="43">
        <f t="shared" ca="1" si="8"/>
        <v>0</v>
      </c>
      <c r="Q161" s="28">
        <v>1</v>
      </c>
      <c r="R161" s="28">
        <v>0</v>
      </c>
      <c r="S161" s="28">
        <v>0</v>
      </c>
      <c r="T161" s="28">
        <v>0</v>
      </c>
      <c r="U161" s="28">
        <v>0</v>
      </c>
      <c r="V161" s="28">
        <v>1</v>
      </c>
    </row>
    <row r="162" spans="1:22" ht="21" customHeight="1" x14ac:dyDescent="0.15">
      <c r="A162" s="2" t="str">
        <f ca="1">input_386100!A$2</f>
        <v>386100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IFERROR(VLOOKUP(B162,input_386100!L:R,7,FALSE),VLOOKUP(tables_386100!C162,input_386100!A:H,8,FALSE))</f>
        <v>10350.98077</v>
      </c>
      <c r="P162" s="43">
        <f t="shared" ca="1" si="8"/>
        <v>5.7314400719822812E-3</v>
      </c>
      <c r="Q162" s="28">
        <v>1</v>
      </c>
      <c r="R162" s="28">
        <v>0</v>
      </c>
      <c r="S162" s="28">
        <v>0</v>
      </c>
      <c r="T162" s="28">
        <v>0</v>
      </c>
      <c r="U162" s="28">
        <v>0</v>
      </c>
      <c r="V162" s="28">
        <v>1</v>
      </c>
    </row>
    <row r="163" spans="1:22" ht="21" customHeight="1" x14ac:dyDescent="0.15">
      <c r="A163" s="2" t="str">
        <f ca="1">input_386100!A$2</f>
        <v>386100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IFERROR(VLOOKUP(B163,input_386100!L:R,7,FALSE),VLOOKUP(tables_386100!C163,input_386100!A:H,8,FALSE))</f>
        <v>1199.0192300000001</v>
      </c>
      <c r="P163" s="43">
        <f t="shared" ca="1" si="8"/>
        <v>6.6390876522702113E-4</v>
      </c>
      <c r="Q163" s="28">
        <v>1</v>
      </c>
      <c r="R163" s="28">
        <v>0</v>
      </c>
      <c r="S163" s="28">
        <v>0</v>
      </c>
      <c r="T163" s="28">
        <v>0</v>
      </c>
      <c r="U163" s="28">
        <v>0</v>
      </c>
      <c r="V163" s="28">
        <v>1</v>
      </c>
    </row>
    <row r="164" spans="1:22" ht="21" customHeight="1" x14ac:dyDescent="0.15">
      <c r="A164" s="2" t="str">
        <f ca="1">input_386100!A$2</f>
        <v>386100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IFERROR(VLOOKUP(B164,input_386100!L:R,7,FALSE),VLOOKUP(tables_386100!C164,input_386100!A:H,8,FALSE))</f>
        <v>1225.5</v>
      </c>
      <c r="P164" s="43">
        <f t="shared" ca="1" si="8"/>
        <v>6.7857142857142855E-4</v>
      </c>
      <c r="Q164" s="28">
        <v>1</v>
      </c>
      <c r="R164" s="28">
        <v>0</v>
      </c>
      <c r="S164" s="28">
        <v>0</v>
      </c>
      <c r="T164" s="28">
        <v>0</v>
      </c>
      <c r="U164" s="28">
        <v>0</v>
      </c>
      <c r="V164" s="28">
        <v>1</v>
      </c>
    </row>
    <row r="165" spans="1:22" ht="21" customHeight="1" x14ac:dyDescent="0.15">
      <c r="A165" s="2" t="str">
        <f ca="1">input_386100!A$2</f>
        <v>386100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IFERROR(VLOOKUP(B165,input_386100!L:R,7,FALSE),VLOOKUP(tables_386100!C165,input_386100!A:H,8,FALSE))</f>
        <v>64.5</v>
      </c>
      <c r="P165" s="43">
        <f t="shared" ca="1" si="8"/>
        <v>3.5714285714285717E-5</v>
      </c>
      <c r="Q165" s="28">
        <v>1</v>
      </c>
      <c r="R165" s="28">
        <v>0</v>
      </c>
      <c r="S165" s="28">
        <v>0</v>
      </c>
      <c r="T165" s="28">
        <v>0</v>
      </c>
      <c r="U165" s="28">
        <v>0</v>
      </c>
      <c r="V165" s="28">
        <v>1</v>
      </c>
    </row>
    <row r="166" spans="1:22" ht="21" customHeight="1" x14ac:dyDescent="0.15">
      <c r="A166" s="2" t="str">
        <f ca="1">input_386100!A$2</f>
        <v>386100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IFERROR(VLOOKUP(B166,input_386100!L:R,7,FALSE),VLOOKUP(tables_386100!C166,input_386100!A:H,8,FALSE))</f>
        <v>0</v>
      </c>
      <c r="P166" s="43">
        <f t="shared" ca="1" si="8"/>
        <v>0</v>
      </c>
      <c r="Q166" s="28">
        <v>1</v>
      </c>
      <c r="R166" s="28">
        <v>0</v>
      </c>
      <c r="S166" s="28">
        <v>0</v>
      </c>
      <c r="T166" s="28">
        <v>0</v>
      </c>
      <c r="U166" s="28">
        <v>0</v>
      </c>
      <c r="V166" s="28">
        <v>1</v>
      </c>
    </row>
    <row r="167" spans="1:22" ht="21" customHeight="1" x14ac:dyDescent="0.15">
      <c r="A167" s="2" t="str">
        <f ca="1">input_386100!A$2</f>
        <v>386100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IFERROR(VLOOKUP(B167,input_386100!L:R,7,FALSE),VLOOKUP(tables_386100!C167,input_386100!A:H,8,FALSE))</f>
        <v>10350.98077</v>
      </c>
      <c r="P167" s="43">
        <f t="shared" ca="1" si="8"/>
        <v>5.7314400719822812E-3</v>
      </c>
      <c r="Q167" s="28">
        <v>1</v>
      </c>
      <c r="R167" s="28">
        <v>0</v>
      </c>
      <c r="S167" s="28">
        <v>0</v>
      </c>
      <c r="T167" s="28">
        <v>0</v>
      </c>
      <c r="U167" s="28">
        <v>0</v>
      </c>
      <c r="V167" s="28">
        <v>1</v>
      </c>
    </row>
    <row r="168" spans="1:22" ht="21" customHeight="1" x14ac:dyDescent="0.15">
      <c r="A168" s="2" t="str">
        <f ca="1">input_386100!A$2</f>
        <v>386100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IFERROR(VLOOKUP(B168,input_386100!L:R,7,FALSE),VLOOKUP(tables_386100!C168,input_386100!A:H,8,FALSE))</f>
        <v>1199.0192300000001</v>
      </c>
      <c r="P168" s="43">
        <f t="shared" ca="1" si="8"/>
        <v>6.6390876522702113E-4</v>
      </c>
      <c r="Q168" s="28">
        <v>1</v>
      </c>
      <c r="R168" s="28">
        <v>0</v>
      </c>
      <c r="S168" s="28">
        <v>0</v>
      </c>
      <c r="T168" s="28">
        <v>0</v>
      </c>
      <c r="U168" s="28">
        <v>0</v>
      </c>
      <c r="V168" s="28">
        <v>1</v>
      </c>
    </row>
    <row r="169" spans="1:22" ht="21" customHeight="1" x14ac:dyDescent="0.15">
      <c r="A169" s="2" t="str">
        <f ca="1">input_386100!A$2</f>
        <v>386100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IFERROR(VLOOKUP(B169,input_386100!L:R,7,FALSE),VLOOKUP(tables_386100!C169,input_386100!A:H,8,FALSE))</f>
        <v>1225.5</v>
      </c>
      <c r="P169" s="43">
        <f t="shared" ca="1" si="8"/>
        <v>6.7857142857142855E-4</v>
      </c>
      <c r="Q169" s="28">
        <v>1</v>
      </c>
      <c r="R169" s="28">
        <v>0</v>
      </c>
      <c r="S169" s="28">
        <v>0</v>
      </c>
      <c r="T169" s="28">
        <v>0</v>
      </c>
      <c r="U169" s="28">
        <v>0</v>
      </c>
      <c r="V169" s="28">
        <v>1</v>
      </c>
    </row>
    <row r="170" spans="1:22" ht="21" customHeight="1" x14ac:dyDescent="0.15">
      <c r="A170" s="2" t="str">
        <f ca="1">input_386100!A$2</f>
        <v>386100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IFERROR(VLOOKUP(B170,input_386100!L:R,7,FALSE),VLOOKUP(tables_386100!C170,input_386100!A:H,8,FALSE))</f>
        <v>64.5</v>
      </c>
      <c r="P170" s="43">
        <f t="shared" ca="1" si="8"/>
        <v>3.5714285714285717E-5</v>
      </c>
      <c r="Q170" s="28">
        <v>1</v>
      </c>
      <c r="R170" s="28">
        <v>0</v>
      </c>
      <c r="S170" s="28">
        <v>0</v>
      </c>
      <c r="T170" s="28">
        <v>0</v>
      </c>
      <c r="U170" s="28">
        <v>0</v>
      </c>
      <c r="V170" s="28">
        <v>1</v>
      </c>
    </row>
    <row r="171" spans="1:22" ht="21" customHeight="1" x14ac:dyDescent="0.15">
      <c r="A171" s="2" t="str">
        <f ca="1">input_386100!A$2</f>
        <v>386100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IFERROR(VLOOKUP(B171,input_386100!L:R,7,FALSE),VLOOKUP(tables_386100!C171,input_386100!A:H,8,FALSE))</f>
        <v>0</v>
      </c>
      <c r="P171" s="43">
        <f t="shared" ca="1" si="8"/>
        <v>0</v>
      </c>
      <c r="Q171" s="28">
        <v>1</v>
      </c>
      <c r="R171" s="28">
        <v>0</v>
      </c>
      <c r="S171" s="28">
        <v>0</v>
      </c>
      <c r="T171" s="28">
        <v>0</v>
      </c>
      <c r="U171" s="28">
        <v>0</v>
      </c>
      <c r="V171" s="28">
        <v>1</v>
      </c>
    </row>
    <row r="172" spans="1:22" ht="21" customHeight="1" x14ac:dyDescent="0.15">
      <c r="A172" s="2" t="str">
        <f ca="1">input_386100!A$2</f>
        <v>386100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IFERROR(VLOOKUP(B172,input_386100!L:R,7,FALSE),VLOOKUP(tables_386100!C172,input_386100!A:H,8,FALSE))</f>
        <v>10350.98077</v>
      </c>
      <c r="P172" s="43">
        <f t="shared" ca="1" si="8"/>
        <v>5.7314400719822812E-3</v>
      </c>
      <c r="Q172" s="28">
        <v>1</v>
      </c>
      <c r="R172" s="28">
        <v>0</v>
      </c>
      <c r="S172" s="28">
        <v>0</v>
      </c>
      <c r="T172" s="28">
        <v>0</v>
      </c>
      <c r="U172" s="28">
        <v>0</v>
      </c>
      <c r="V172" s="28">
        <v>1</v>
      </c>
    </row>
    <row r="173" spans="1:22" ht="21" customHeight="1" x14ac:dyDescent="0.15">
      <c r="A173" s="2" t="str">
        <f ca="1">input_386100!A$2</f>
        <v>386100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IFERROR(VLOOKUP(B173,input_386100!L:R,7,FALSE),VLOOKUP(tables_386100!C173,input_386100!A:H,8,FALSE))</f>
        <v>1199.0192300000001</v>
      </c>
      <c r="P173" s="43">
        <f t="shared" ca="1" si="8"/>
        <v>6.6390876522702113E-4</v>
      </c>
      <c r="Q173" s="28">
        <v>1</v>
      </c>
      <c r="R173" s="28">
        <v>0</v>
      </c>
      <c r="S173" s="28">
        <v>0</v>
      </c>
      <c r="T173" s="28">
        <v>0</v>
      </c>
      <c r="U173" s="28">
        <v>0</v>
      </c>
      <c r="V173" s="28">
        <v>1</v>
      </c>
    </row>
    <row r="174" spans="1:22" ht="21" customHeight="1" x14ac:dyDescent="0.15">
      <c r="A174" s="2" t="str">
        <f ca="1">input_386100!A$2</f>
        <v>386100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IFERROR(VLOOKUP(B174,input_386100!L:R,7,FALSE),VLOOKUP(tables_386100!C174,input_386100!A:H,8,FALSE))</f>
        <v>1225.5</v>
      </c>
      <c r="P174" s="43">
        <f t="shared" ca="1" si="8"/>
        <v>6.7857142857142855E-4</v>
      </c>
      <c r="Q174" s="28">
        <v>1</v>
      </c>
      <c r="R174" s="28">
        <v>0</v>
      </c>
      <c r="S174" s="28">
        <v>0</v>
      </c>
      <c r="T174" s="28">
        <v>0</v>
      </c>
      <c r="U174" s="28">
        <v>0</v>
      </c>
      <c r="V174" s="28">
        <v>1</v>
      </c>
    </row>
    <row r="175" spans="1:22" ht="21" customHeight="1" x14ac:dyDescent="0.15">
      <c r="A175" s="2" t="str">
        <f ca="1">input_386100!A$2</f>
        <v>386100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IFERROR(VLOOKUP(B175,input_386100!L:R,7,FALSE),VLOOKUP(tables_386100!C175,input_386100!A:H,8,FALSE))</f>
        <v>64.5</v>
      </c>
      <c r="P175" s="43">
        <f t="shared" ca="1" si="8"/>
        <v>3.5714285714285717E-5</v>
      </c>
      <c r="Q175" s="28">
        <v>1</v>
      </c>
      <c r="R175" s="28">
        <v>0</v>
      </c>
      <c r="S175" s="28">
        <v>0</v>
      </c>
      <c r="T175" s="28">
        <v>0</v>
      </c>
      <c r="U175" s="28">
        <v>0</v>
      </c>
      <c r="V175" s="28">
        <v>1</v>
      </c>
    </row>
    <row r="176" spans="1:22" ht="21" customHeight="1" x14ac:dyDescent="0.15">
      <c r="A176" s="2" t="str">
        <f ca="1">input_386100!A$2</f>
        <v>386100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IFERROR(VLOOKUP(B176,input_386100!L:R,7,FALSE),VLOOKUP(tables_386100!C176,input_386100!A:H,8,FALSE))</f>
        <v>1225.5</v>
      </c>
      <c r="P176" s="43">
        <f t="shared" ca="1" si="8"/>
        <v>6.7857142857142855E-4</v>
      </c>
      <c r="Q176" s="28">
        <v>1</v>
      </c>
      <c r="R176" s="28">
        <v>0</v>
      </c>
      <c r="S176" s="28">
        <v>0</v>
      </c>
      <c r="T176" s="28">
        <v>0</v>
      </c>
      <c r="U176" s="28">
        <v>0</v>
      </c>
      <c r="V176" s="28">
        <v>1</v>
      </c>
    </row>
    <row r="177" spans="1:22" ht="21" customHeight="1" x14ac:dyDescent="0.15">
      <c r="A177" s="2" t="str">
        <f ca="1">input_386100!A$2</f>
        <v>386100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IFERROR(VLOOKUP(B177,input_386100!L:R,7,FALSE),VLOOKUP(tables_386100!C177,input_386100!A:H,8,FALSE))</f>
        <v>64.5</v>
      </c>
      <c r="P177" s="43">
        <f t="shared" ca="1" si="8"/>
        <v>3.5714285714285717E-5</v>
      </c>
      <c r="Q177" s="28">
        <v>1</v>
      </c>
      <c r="R177" s="28">
        <v>0</v>
      </c>
      <c r="S177" s="28">
        <v>0</v>
      </c>
      <c r="T177" s="28">
        <v>0</v>
      </c>
      <c r="U177" s="28">
        <v>0</v>
      </c>
      <c r="V177" s="28">
        <v>1</v>
      </c>
    </row>
    <row r="178" spans="1:22" ht="21" customHeight="1" x14ac:dyDescent="0.15">
      <c r="A178" s="2" t="str">
        <f ca="1">input_386100!A$2</f>
        <v>386100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IFERROR(VLOOKUP(B178,input_386100!L:R,7,FALSE),VLOOKUP(tables_386100!C178,input_386100!A:H,8,FALSE))</f>
        <v>0</v>
      </c>
      <c r="P178" s="43">
        <f t="shared" ca="1" si="8"/>
        <v>0</v>
      </c>
      <c r="Q178" s="28">
        <v>1</v>
      </c>
      <c r="R178" s="28">
        <v>0</v>
      </c>
      <c r="S178" s="28">
        <v>0</v>
      </c>
      <c r="T178" s="28">
        <v>0</v>
      </c>
      <c r="U178" s="28">
        <v>0</v>
      </c>
      <c r="V178" s="28">
        <v>1</v>
      </c>
    </row>
    <row r="179" spans="1:22" ht="21" customHeight="1" x14ac:dyDescent="0.15">
      <c r="A179" s="2" t="str">
        <f ca="1">input_386100!A$2</f>
        <v>386100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IFERROR(VLOOKUP(B179,input_386100!L:R,7,FALSE),VLOOKUP(tables_386100!C179,input_386100!A:H,8,FALSE))</f>
        <v>10350.98077</v>
      </c>
      <c r="P179" s="43">
        <f t="shared" ca="1" si="8"/>
        <v>5.7314400719822812E-3</v>
      </c>
      <c r="Q179" s="28">
        <v>1</v>
      </c>
      <c r="R179" s="28">
        <v>0</v>
      </c>
      <c r="S179" s="28">
        <v>0</v>
      </c>
      <c r="T179" s="28">
        <v>0</v>
      </c>
      <c r="U179" s="28">
        <v>0</v>
      </c>
      <c r="V179" s="28">
        <v>1</v>
      </c>
    </row>
    <row r="180" spans="1:22" ht="21" customHeight="1" x14ac:dyDescent="0.15">
      <c r="A180" s="2" t="str">
        <f ca="1">input_386100!A$2</f>
        <v>386100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IFERROR(VLOOKUP(B180,input_386100!L:R,7,FALSE),VLOOKUP(tables_386100!C180,input_386100!A:H,8,FALSE))</f>
        <v>1199.0192300000001</v>
      </c>
      <c r="P180" s="43">
        <f t="shared" ca="1" si="8"/>
        <v>6.6390876522702113E-4</v>
      </c>
      <c r="Q180" s="28">
        <v>1</v>
      </c>
      <c r="R180" s="28">
        <v>0</v>
      </c>
      <c r="S180" s="28">
        <v>0</v>
      </c>
      <c r="T180" s="28">
        <v>0</v>
      </c>
      <c r="U180" s="28">
        <v>0</v>
      </c>
      <c r="V180" s="28">
        <v>1</v>
      </c>
    </row>
    <row r="181" spans="1:22" ht="21" customHeight="1" x14ac:dyDescent="0.15">
      <c r="A181" s="2" t="str">
        <f ca="1">input_386100!A$2</f>
        <v>386100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IFERROR(VLOOKUP(B181,input_386100!L:R,7,FALSE),VLOOKUP(tables_386100!C181,input_386100!A:H,8,FALSE))</f>
        <v>0</v>
      </c>
      <c r="P181" s="43">
        <f t="shared" ca="1" si="8"/>
        <v>0</v>
      </c>
      <c r="Q181" s="28">
        <v>1</v>
      </c>
      <c r="R181" s="28">
        <v>0</v>
      </c>
      <c r="S181" s="28">
        <v>0</v>
      </c>
      <c r="T181" s="28">
        <v>0</v>
      </c>
      <c r="U181" s="28">
        <v>0</v>
      </c>
      <c r="V181" s="28">
        <v>1</v>
      </c>
    </row>
    <row r="182" spans="1:22" ht="21" customHeight="1" x14ac:dyDescent="0.15">
      <c r="A182" s="2" t="str">
        <f ca="1">input_386100!A$2</f>
        <v>386100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IFERROR(VLOOKUP(B182,input_386100!L:R,7,FALSE),VLOOKUP(tables_386100!C182,input_386100!A:H,8,FALSE))</f>
        <v>10350.98077</v>
      </c>
      <c r="P182" s="43">
        <f t="shared" ca="1" si="8"/>
        <v>5.7314400719822812E-3</v>
      </c>
      <c r="Q182" s="28">
        <v>1</v>
      </c>
      <c r="R182" s="28">
        <v>0</v>
      </c>
      <c r="S182" s="28">
        <v>0</v>
      </c>
      <c r="T182" s="28">
        <v>0</v>
      </c>
      <c r="U182" s="28">
        <v>0</v>
      </c>
      <c r="V182" s="28">
        <v>1</v>
      </c>
    </row>
    <row r="183" spans="1:22" ht="21" customHeight="1" x14ac:dyDescent="0.15">
      <c r="A183" s="2" t="str">
        <f ca="1">input_386100!A$2</f>
        <v>386100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IFERROR(VLOOKUP(B183,input_386100!L:R,7,FALSE),VLOOKUP(tables_386100!C183,input_386100!A:H,8,FALSE))</f>
        <v>1199.0192300000001</v>
      </c>
      <c r="P183" s="43">
        <f t="shared" ca="1" si="8"/>
        <v>6.6390876522702113E-4</v>
      </c>
      <c r="Q183" s="28">
        <v>1</v>
      </c>
      <c r="R183" s="28">
        <v>0</v>
      </c>
      <c r="S183" s="28">
        <v>0</v>
      </c>
      <c r="T183" s="28">
        <v>0</v>
      </c>
      <c r="U183" s="28">
        <v>0</v>
      </c>
      <c r="V183" s="28">
        <v>1</v>
      </c>
    </row>
    <row r="184" spans="1:22" ht="21" customHeight="1" x14ac:dyDescent="0.15">
      <c r="A184" s="2" t="str">
        <f ca="1">input_386100!A$2</f>
        <v>386100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IFERROR(VLOOKUP(B184,input_386100!L:R,7,FALSE),VLOOKUP(tables_386100!C184,input_386100!A:H,8,FALSE))</f>
        <v>1225.5</v>
      </c>
      <c r="P184" s="43">
        <f t="shared" ca="1" si="8"/>
        <v>6.7857142857142855E-4</v>
      </c>
      <c r="Q184" s="28">
        <v>1</v>
      </c>
      <c r="R184" s="28">
        <v>0</v>
      </c>
      <c r="S184" s="28">
        <v>0</v>
      </c>
      <c r="T184" s="28">
        <v>0</v>
      </c>
      <c r="U184" s="28">
        <v>0</v>
      </c>
      <c r="V184" s="28">
        <v>1</v>
      </c>
    </row>
    <row r="185" spans="1:22" ht="21" customHeight="1" x14ac:dyDescent="0.15">
      <c r="A185" s="2" t="str">
        <f ca="1">input_386100!A$2</f>
        <v>386100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IFERROR(VLOOKUP(B185,input_386100!L:R,7,FALSE),VLOOKUP(tables_386100!C185,input_386100!A:H,8,FALSE))</f>
        <v>64.5</v>
      </c>
      <c r="P185" s="43">
        <f t="shared" ca="1" si="8"/>
        <v>3.5714285714285717E-5</v>
      </c>
      <c r="Q185" s="28">
        <v>1</v>
      </c>
      <c r="R185" s="28">
        <v>0</v>
      </c>
      <c r="S185" s="28">
        <v>0</v>
      </c>
      <c r="T185" s="28">
        <v>0</v>
      </c>
      <c r="U185" s="28">
        <v>0</v>
      </c>
      <c r="V185" s="28">
        <v>1</v>
      </c>
    </row>
    <row r="186" spans="1:22" ht="21" customHeight="1" x14ac:dyDescent="0.15">
      <c r="A186" s="2" t="str">
        <f ca="1">input_386100!A$2</f>
        <v>386100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IFERROR(VLOOKUP(B186,input_386100!L:R,7,FALSE),VLOOKUP(tables_386100!C186,input_386100!A:H,8,FALSE))</f>
        <v>0</v>
      </c>
      <c r="P186" s="43">
        <f t="shared" ca="1" si="8"/>
        <v>0</v>
      </c>
      <c r="Q186" s="28">
        <v>1</v>
      </c>
      <c r="R186" s="28">
        <v>0</v>
      </c>
      <c r="S186" s="28">
        <v>0</v>
      </c>
      <c r="T186" s="28">
        <v>0</v>
      </c>
      <c r="U186" s="28">
        <v>0</v>
      </c>
      <c r="V186" s="28">
        <v>1</v>
      </c>
    </row>
    <row r="187" spans="1:22" ht="21" customHeight="1" x14ac:dyDescent="0.15">
      <c r="A187" s="2" t="str">
        <f ca="1">input_386100!A$2</f>
        <v>386100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IFERROR(VLOOKUP(B187,input_386100!L:R,7,FALSE),VLOOKUP(tables_386100!C187,input_386100!A:H,8,FALSE))</f>
        <v>10350.98077</v>
      </c>
      <c r="P187" s="43">
        <f t="shared" ca="1" si="8"/>
        <v>5.7314400719822812E-3</v>
      </c>
      <c r="Q187" s="28">
        <v>1</v>
      </c>
      <c r="R187" s="28">
        <v>0</v>
      </c>
      <c r="S187" s="28">
        <v>0</v>
      </c>
      <c r="T187" s="28">
        <v>0</v>
      </c>
      <c r="U187" s="28">
        <v>0</v>
      </c>
      <c r="V187" s="28">
        <v>1</v>
      </c>
    </row>
    <row r="188" spans="1:22" ht="21" customHeight="1" x14ac:dyDescent="0.15">
      <c r="A188" s="2" t="str">
        <f ca="1">input_386100!A$2</f>
        <v>386100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IFERROR(VLOOKUP(B188,input_386100!L:R,7,FALSE),VLOOKUP(tables_386100!C188,input_386100!A:H,8,FALSE))</f>
        <v>1199.0192300000001</v>
      </c>
      <c r="P188" s="43">
        <f t="shared" ca="1" si="8"/>
        <v>6.6390876522702113E-4</v>
      </c>
      <c r="Q188" s="28">
        <v>1</v>
      </c>
      <c r="R188" s="28">
        <v>0</v>
      </c>
      <c r="S188" s="28">
        <v>0</v>
      </c>
      <c r="T188" s="28">
        <v>0</v>
      </c>
      <c r="U188" s="28">
        <v>0</v>
      </c>
      <c r="V188" s="28">
        <v>1</v>
      </c>
    </row>
    <row r="189" spans="1:22" ht="21" customHeight="1" x14ac:dyDescent="0.15">
      <c r="A189" s="2" t="str">
        <f ca="1">input_386100!A$2</f>
        <v>386100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IFERROR(VLOOKUP(B189,input_386100!L:R,7,FALSE),VLOOKUP(tables_386100!C189,input_386100!A:H,8,FALSE))</f>
        <v>1225.5</v>
      </c>
      <c r="P189" s="43">
        <f t="shared" ca="1" si="8"/>
        <v>6.7857142857142855E-4</v>
      </c>
      <c r="Q189" s="28">
        <v>1</v>
      </c>
      <c r="R189" s="28">
        <v>0</v>
      </c>
      <c r="S189" s="28">
        <v>0</v>
      </c>
      <c r="T189" s="28">
        <v>0</v>
      </c>
      <c r="U189" s="28">
        <v>0</v>
      </c>
      <c r="V189" s="28">
        <v>1</v>
      </c>
    </row>
    <row r="190" spans="1:22" s="9" customFormat="1" ht="21" customHeight="1" thickBot="1" x14ac:dyDescent="0.2">
      <c r="A190" s="2" t="str">
        <f ca="1">input_386100!A$2</f>
        <v>386100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IFERROR(VLOOKUP(B190,input_386100!L:R,7,FALSE),VLOOKUP(tables_386100!C190,input_386100!A:H,8,FALSE))</f>
        <v>64.5</v>
      </c>
      <c r="P190" s="43">
        <f t="shared" ca="1" si="8"/>
        <v>3.5714285714285717E-5</v>
      </c>
      <c r="Q190" s="28">
        <v>1</v>
      </c>
      <c r="R190" s="28">
        <v>0</v>
      </c>
      <c r="S190" s="28">
        <v>0</v>
      </c>
      <c r="T190" s="28">
        <v>0</v>
      </c>
      <c r="U190" s="28">
        <v>0</v>
      </c>
      <c r="V190" s="28">
        <v>1</v>
      </c>
    </row>
    <row r="191" spans="1:22" ht="21" customHeight="1" x14ac:dyDescent="0.15">
      <c r="A191" s="2" t="str">
        <f ca="1">input_386100!A$2</f>
        <v>386100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IFERROR(VLOOKUP(B191,input_386100!L:R,7,FALSE),VLOOKUP(tables_386100!C191,input_386100!A:H,8,FALSE))</f>
        <v>1225.5</v>
      </c>
      <c r="P191" s="43">
        <f t="shared" ca="1" si="8"/>
        <v>6.7857142857142855E-4</v>
      </c>
      <c r="Q191" s="28">
        <v>1</v>
      </c>
      <c r="R191" s="28">
        <v>0</v>
      </c>
      <c r="S191" s="28">
        <v>0</v>
      </c>
      <c r="T191" s="28">
        <v>0</v>
      </c>
      <c r="U191" s="28">
        <v>0</v>
      </c>
      <c r="V191" s="28">
        <v>1</v>
      </c>
    </row>
    <row r="192" spans="1:22" ht="21" customHeight="1" x14ac:dyDescent="0.15">
      <c r="A192" s="2" t="str">
        <f ca="1">input_386100!A$2</f>
        <v>386100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IFERROR(VLOOKUP(B192,input_386100!L:R,7,FALSE),VLOOKUP(tables_386100!C192,input_386100!A:H,8,FALSE))</f>
        <v>64.5</v>
      </c>
      <c r="P192" s="43">
        <f t="shared" ca="1" si="8"/>
        <v>3.5714285714285717E-5</v>
      </c>
      <c r="Q192" s="28">
        <v>1</v>
      </c>
      <c r="R192" s="28">
        <v>0</v>
      </c>
      <c r="S192" s="28">
        <v>0</v>
      </c>
      <c r="T192" s="28">
        <v>0</v>
      </c>
      <c r="U192" s="28">
        <v>0</v>
      </c>
      <c r="V192" s="28">
        <v>1</v>
      </c>
    </row>
    <row r="193" spans="1:22" ht="21" customHeight="1" x14ac:dyDescent="0.15">
      <c r="A193" s="2" t="str">
        <f ca="1">input_386100!A$2</f>
        <v>386100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IFERROR(VLOOKUP(B193,input_386100!L:R,7,FALSE),VLOOKUP(tables_386100!C193,input_386100!A:H,8,FALSE))</f>
        <v>0</v>
      </c>
      <c r="P193" s="43">
        <f t="shared" ca="1" si="8"/>
        <v>0</v>
      </c>
      <c r="Q193" s="28">
        <v>1</v>
      </c>
      <c r="R193" s="28">
        <v>0</v>
      </c>
      <c r="S193" s="28">
        <v>0</v>
      </c>
      <c r="T193" s="28">
        <v>0</v>
      </c>
      <c r="U193" s="28">
        <v>0</v>
      </c>
      <c r="V193" s="28">
        <v>1</v>
      </c>
    </row>
    <row r="194" spans="1:22" ht="21" customHeight="1" x14ac:dyDescent="0.15">
      <c r="A194" s="2" t="str">
        <f ca="1">input_386100!A$2</f>
        <v>386100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IFERROR(VLOOKUP(B194,input_386100!L:R,7,FALSE),VLOOKUP(tables_386100!C194,input_386100!A:H,8,FALSE))</f>
        <v>10350.98077</v>
      </c>
      <c r="P194" s="43">
        <f t="shared" ca="1" si="8"/>
        <v>5.7314400719822812E-3</v>
      </c>
      <c r="Q194" s="28">
        <v>1</v>
      </c>
      <c r="R194" s="28">
        <v>0</v>
      </c>
      <c r="S194" s="28">
        <v>0</v>
      </c>
      <c r="T194" s="28">
        <v>0</v>
      </c>
      <c r="U194" s="28">
        <v>0</v>
      </c>
      <c r="V194" s="28">
        <v>1</v>
      </c>
    </row>
    <row r="195" spans="1:22" ht="21" customHeight="1" x14ac:dyDescent="0.15">
      <c r="A195" s="2" t="str">
        <f ca="1">input_386100!A$2</f>
        <v>386100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IFERROR(VLOOKUP(B195,input_386100!L:R,7,FALSE),VLOOKUP(tables_386100!C195,input_386100!A:H,8,FALSE))</f>
        <v>1199.0192300000001</v>
      </c>
      <c r="P195" s="43">
        <f t="shared" ref="P195:P258" ca="1" si="11">O195/SUM(O:O)</f>
        <v>6.6390876522702113E-4</v>
      </c>
      <c r="Q195" s="28">
        <v>1</v>
      </c>
      <c r="R195" s="28">
        <v>0</v>
      </c>
      <c r="S195" s="28">
        <v>0</v>
      </c>
      <c r="T195" s="28">
        <v>0</v>
      </c>
      <c r="U195" s="28">
        <v>0</v>
      </c>
      <c r="V195" s="28">
        <v>1</v>
      </c>
    </row>
    <row r="196" spans="1:22" ht="21" customHeight="1" x14ac:dyDescent="0.15">
      <c r="A196" s="2" t="str">
        <f ca="1">input_386100!A$2</f>
        <v>386100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IFERROR(VLOOKUP(B196,input_386100!L:R,7,FALSE),VLOOKUP(tables_386100!C196,input_386100!A:H,8,FALSE))</f>
        <v>1225.5</v>
      </c>
      <c r="P196" s="43">
        <f t="shared" ca="1" si="11"/>
        <v>6.7857142857142855E-4</v>
      </c>
      <c r="Q196" s="28">
        <v>1</v>
      </c>
      <c r="R196" s="28">
        <v>0</v>
      </c>
      <c r="S196" s="28">
        <v>0</v>
      </c>
      <c r="T196" s="28">
        <v>0</v>
      </c>
      <c r="U196" s="28">
        <v>0</v>
      </c>
      <c r="V196" s="28">
        <v>1</v>
      </c>
    </row>
    <row r="197" spans="1:22" ht="21" customHeight="1" x14ac:dyDescent="0.15">
      <c r="A197" s="2" t="str">
        <f ca="1">input_386100!A$2</f>
        <v>386100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IFERROR(VLOOKUP(B197,input_386100!L:R,7,FALSE),VLOOKUP(tables_386100!C197,input_386100!A:H,8,FALSE))</f>
        <v>64.5</v>
      </c>
      <c r="P197" s="43">
        <f t="shared" ca="1" si="11"/>
        <v>3.5714285714285717E-5</v>
      </c>
      <c r="Q197" s="28">
        <v>1</v>
      </c>
      <c r="R197" s="28">
        <v>0</v>
      </c>
      <c r="S197" s="28">
        <v>0</v>
      </c>
      <c r="T197" s="28">
        <v>0</v>
      </c>
      <c r="U197" s="28">
        <v>0</v>
      </c>
      <c r="V197" s="28">
        <v>1</v>
      </c>
    </row>
    <row r="198" spans="1:22" ht="21" customHeight="1" x14ac:dyDescent="0.15">
      <c r="A198" s="2" t="str">
        <f ca="1">input_386100!A$2</f>
        <v>386100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IFERROR(VLOOKUP(B198,input_386100!L:R,7,FALSE),VLOOKUP(tables_386100!C198,input_386100!A:H,8,FALSE))</f>
        <v>0</v>
      </c>
      <c r="P198" s="43">
        <f t="shared" ca="1" si="11"/>
        <v>0</v>
      </c>
      <c r="Q198" s="28">
        <v>1</v>
      </c>
      <c r="R198" s="28">
        <v>0</v>
      </c>
      <c r="S198" s="28">
        <v>0</v>
      </c>
      <c r="T198" s="28">
        <v>0</v>
      </c>
      <c r="U198" s="28">
        <v>0</v>
      </c>
      <c r="V198" s="28">
        <v>1</v>
      </c>
    </row>
    <row r="199" spans="1:22" ht="21" customHeight="1" x14ac:dyDescent="0.15">
      <c r="A199" s="2" t="str">
        <f ca="1">input_386100!A$2</f>
        <v>386100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IFERROR(VLOOKUP(B199,input_386100!L:R,7,FALSE),VLOOKUP(tables_386100!C199,input_386100!A:H,8,FALSE))</f>
        <v>10350.98077</v>
      </c>
      <c r="P199" s="43">
        <f t="shared" ca="1" si="11"/>
        <v>5.7314400719822812E-3</v>
      </c>
      <c r="Q199" s="28">
        <v>1</v>
      </c>
      <c r="R199" s="28">
        <v>0</v>
      </c>
      <c r="S199" s="28">
        <v>0</v>
      </c>
      <c r="T199" s="28">
        <v>0</v>
      </c>
      <c r="U199" s="28">
        <v>0</v>
      </c>
      <c r="V199" s="28">
        <v>1</v>
      </c>
    </row>
    <row r="200" spans="1:22" ht="21" customHeight="1" x14ac:dyDescent="0.15">
      <c r="A200" s="2" t="str">
        <f ca="1">input_386100!A$2</f>
        <v>386100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IFERROR(VLOOKUP(B200,input_386100!L:R,7,FALSE),VLOOKUP(tables_386100!C200,input_386100!A:H,8,FALSE))</f>
        <v>1199.0192300000001</v>
      </c>
      <c r="P200" s="43">
        <f t="shared" ca="1" si="11"/>
        <v>6.6390876522702113E-4</v>
      </c>
      <c r="Q200" s="28">
        <v>1</v>
      </c>
      <c r="R200" s="28">
        <v>0</v>
      </c>
      <c r="S200" s="28">
        <v>0</v>
      </c>
      <c r="T200" s="28">
        <v>0</v>
      </c>
      <c r="U200" s="28">
        <v>0</v>
      </c>
      <c r="V200" s="28">
        <v>1</v>
      </c>
    </row>
    <row r="201" spans="1:22" ht="21" customHeight="1" x14ac:dyDescent="0.15">
      <c r="A201" s="2" t="str">
        <f ca="1">input_386100!A$2</f>
        <v>386100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IFERROR(VLOOKUP(B201,input_386100!L:R,7,FALSE),VLOOKUP(tables_386100!C201,input_386100!A:H,8,FALSE))</f>
        <v>1225.5</v>
      </c>
      <c r="P201" s="43">
        <f t="shared" ca="1" si="11"/>
        <v>6.7857142857142855E-4</v>
      </c>
      <c r="Q201" s="28">
        <v>1</v>
      </c>
      <c r="R201" s="28">
        <v>0</v>
      </c>
      <c r="S201" s="28">
        <v>0</v>
      </c>
      <c r="T201" s="28">
        <v>0</v>
      </c>
      <c r="U201" s="28">
        <v>0</v>
      </c>
      <c r="V201" s="28">
        <v>1</v>
      </c>
    </row>
    <row r="202" spans="1:22" ht="21" customHeight="1" x14ac:dyDescent="0.15">
      <c r="A202" s="2" t="str">
        <f ca="1">input_386100!A$2</f>
        <v>386100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IFERROR(VLOOKUP(B202,input_386100!L:R,7,FALSE),VLOOKUP(tables_386100!C202,input_386100!A:H,8,FALSE))</f>
        <v>64.5</v>
      </c>
      <c r="P202" s="43">
        <f t="shared" ca="1" si="11"/>
        <v>3.5714285714285717E-5</v>
      </c>
      <c r="Q202" s="28">
        <v>1</v>
      </c>
      <c r="R202" s="28">
        <v>0</v>
      </c>
      <c r="S202" s="28">
        <v>0</v>
      </c>
      <c r="T202" s="28">
        <v>0</v>
      </c>
      <c r="U202" s="28">
        <v>0</v>
      </c>
      <c r="V202" s="28">
        <v>1</v>
      </c>
    </row>
    <row r="203" spans="1:22" ht="21" customHeight="1" x14ac:dyDescent="0.15">
      <c r="A203" s="2" t="str">
        <f ca="1">input_386100!A$2</f>
        <v>386100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IFERROR(VLOOKUP(B203,input_386100!L:R,7,FALSE),VLOOKUP(tables_386100!C203,input_386100!A:H,8,FALSE))</f>
        <v>0</v>
      </c>
      <c r="P203" s="43">
        <f t="shared" ca="1" si="11"/>
        <v>0</v>
      </c>
      <c r="Q203" s="28">
        <v>1</v>
      </c>
      <c r="R203" s="28">
        <v>0</v>
      </c>
      <c r="S203" s="28">
        <v>0</v>
      </c>
      <c r="T203" s="28">
        <v>0</v>
      </c>
      <c r="U203" s="28">
        <v>0</v>
      </c>
      <c r="V203" s="28">
        <v>1</v>
      </c>
    </row>
    <row r="204" spans="1:22" ht="21" customHeight="1" x14ac:dyDescent="0.15">
      <c r="A204" s="2" t="str">
        <f ca="1">input_386100!A$2</f>
        <v>386100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IFERROR(VLOOKUP(B204,input_386100!L:R,7,FALSE),VLOOKUP(tables_386100!C204,input_386100!A:H,8,FALSE))</f>
        <v>10350.98077</v>
      </c>
      <c r="P204" s="43">
        <f t="shared" ca="1" si="11"/>
        <v>5.7314400719822812E-3</v>
      </c>
      <c r="Q204" s="28">
        <v>1</v>
      </c>
      <c r="R204" s="28">
        <v>0</v>
      </c>
      <c r="S204" s="28">
        <v>0</v>
      </c>
      <c r="T204" s="28">
        <v>0</v>
      </c>
      <c r="U204" s="28">
        <v>0</v>
      </c>
      <c r="V204" s="28">
        <v>1</v>
      </c>
    </row>
    <row r="205" spans="1:22" ht="21" customHeight="1" x14ac:dyDescent="0.15">
      <c r="A205" s="2" t="str">
        <f ca="1">input_386100!A$2</f>
        <v>386100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IFERROR(VLOOKUP(B205,input_386100!L:R,7,FALSE),VLOOKUP(tables_386100!C205,input_386100!A:H,8,FALSE))</f>
        <v>1199.0192300000001</v>
      </c>
      <c r="P205" s="43">
        <f t="shared" ca="1" si="11"/>
        <v>6.6390876522702113E-4</v>
      </c>
      <c r="Q205" s="28">
        <v>1</v>
      </c>
      <c r="R205" s="28">
        <v>0</v>
      </c>
      <c r="S205" s="28">
        <v>0</v>
      </c>
      <c r="T205" s="28">
        <v>0</v>
      </c>
      <c r="U205" s="28">
        <v>0</v>
      </c>
      <c r="V205" s="28">
        <v>1</v>
      </c>
    </row>
    <row r="206" spans="1:22" ht="21" customHeight="1" x14ac:dyDescent="0.15">
      <c r="A206" s="2" t="str">
        <f ca="1">input_386100!A$2</f>
        <v>386100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IFERROR(VLOOKUP(B206,input_386100!L:R,7,FALSE),VLOOKUP(tables_386100!C206,input_386100!A:H,8,FALSE))</f>
        <v>1225.5</v>
      </c>
      <c r="P206" s="43">
        <f t="shared" ca="1" si="11"/>
        <v>6.7857142857142855E-4</v>
      </c>
      <c r="Q206" s="28">
        <v>1</v>
      </c>
      <c r="R206" s="28">
        <v>0</v>
      </c>
      <c r="S206" s="28">
        <v>0</v>
      </c>
      <c r="T206" s="28">
        <v>0</v>
      </c>
      <c r="U206" s="28">
        <v>0</v>
      </c>
      <c r="V206" s="28">
        <v>1</v>
      </c>
    </row>
    <row r="207" spans="1:22" ht="21" customHeight="1" x14ac:dyDescent="0.15">
      <c r="A207" s="2" t="str">
        <f ca="1">input_386100!A$2</f>
        <v>386100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IFERROR(VLOOKUP(B207,input_386100!L:R,7,FALSE),VLOOKUP(tables_386100!C207,input_386100!A:H,8,FALSE))</f>
        <v>64.5</v>
      </c>
      <c r="P207" s="43">
        <f t="shared" ca="1" si="11"/>
        <v>3.5714285714285717E-5</v>
      </c>
      <c r="Q207" s="28">
        <v>1</v>
      </c>
      <c r="R207" s="28">
        <v>0</v>
      </c>
      <c r="S207" s="28">
        <v>0</v>
      </c>
      <c r="T207" s="28">
        <v>0</v>
      </c>
      <c r="U207" s="28">
        <v>0</v>
      </c>
      <c r="V207" s="28">
        <v>1</v>
      </c>
    </row>
    <row r="208" spans="1:22" ht="21" customHeight="1" x14ac:dyDescent="0.15">
      <c r="A208" s="2" t="str">
        <f ca="1">input_386100!A$2</f>
        <v>386100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IFERROR(VLOOKUP(B208,input_386100!L:R,7,FALSE),VLOOKUP(tables_386100!C208,input_386100!A:H,8,FALSE))</f>
        <v>1225.5</v>
      </c>
      <c r="P208" s="43">
        <f t="shared" ca="1" si="11"/>
        <v>6.7857142857142855E-4</v>
      </c>
      <c r="Q208" s="28">
        <v>1</v>
      </c>
      <c r="R208" s="28">
        <v>0</v>
      </c>
      <c r="S208" s="28">
        <v>0</v>
      </c>
      <c r="T208" s="28">
        <v>0</v>
      </c>
      <c r="U208" s="28">
        <v>0</v>
      </c>
      <c r="V208" s="28">
        <v>1</v>
      </c>
    </row>
    <row r="209" spans="1:22" ht="21" customHeight="1" x14ac:dyDescent="0.15">
      <c r="A209" s="2" t="str">
        <f ca="1">input_386100!A$2</f>
        <v>386100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IFERROR(VLOOKUP(B209,input_386100!L:R,7,FALSE),VLOOKUP(tables_386100!C209,input_386100!A:H,8,FALSE))</f>
        <v>64.5</v>
      </c>
      <c r="P209" s="43">
        <f t="shared" ca="1" si="11"/>
        <v>3.5714285714285717E-5</v>
      </c>
      <c r="Q209" s="28">
        <v>1</v>
      </c>
      <c r="R209" s="28">
        <v>0</v>
      </c>
      <c r="S209" s="28">
        <v>0</v>
      </c>
      <c r="T209" s="28">
        <v>0</v>
      </c>
      <c r="U209" s="28">
        <v>0</v>
      </c>
      <c r="V209" s="28">
        <v>1</v>
      </c>
    </row>
    <row r="210" spans="1:22" ht="21" customHeight="1" x14ac:dyDescent="0.15">
      <c r="A210" s="2" t="str">
        <f ca="1">input_386100!A$2</f>
        <v>386100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IFERROR(VLOOKUP(B210,input_386100!L:R,7,FALSE),VLOOKUP(tables_386100!C210,input_386100!A:H,8,FALSE))</f>
        <v>0</v>
      </c>
      <c r="P210" s="43">
        <f t="shared" ca="1" si="11"/>
        <v>0</v>
      </c>
      <c r="Q210" s="28">
        <v>1</v>
      </c>
      <c r="R210" s="28">
        <v>0</v>
      </c>
      <c r="S210" s="28">
        <v>0</v>
      </c>
      <c r="T210" s="28">
        <v>0</v>
      </c>
      <c r="U210" s="28">
        <v>0</v>
      </c>
      <c r="V210" s="28">
        <v>1</v>
      </c>
    </row>
    <row r="211" spans="1:22" ht="21" customHeight="1" x14ac:dyDescent="0.15">
      <c r="A211" s="2" t="str">
        <f ca="1">input_386100!A$2</f>
        <v>386100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IFERROR(VLOOKUP(B211,input_386100!L:R,7,FALSE),VLOOKUP(tables_386100!C211,input_386100!A:H,8,FALSE))</f>
        <v>10350.98077</v>
      </c>
      <c r="P211" s="43">
        <f t="shared" ca="1" si="11"/>
        <v>5.7314400719822812E-3</v>
      </c>
      <c r="Q211" s="28">
        <v>1</v>
      </c>
      <c r="R211" s="28">
        <v>0</v>
      </c>
      <c r="S211" s="28">
        <v>0</v>
      </c>
      <c r="T211" s="28">
        <v>0</v>
      </c>
      <c r="U211" s="28">
        <v>0</v>
      </c>
      <c r="V211" s="28">
        <v>1</v>
      </c>
    </row>
    <row r="212" spans="1:22" ht="21" customHeight="1" x14ac:dyDescent="0.15">
      <c r="A212" s="2" t="str">
        <f ca="1">input_386100!A$2</f>
        <v>386100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IFERROR(VLOOKUP(B212,input_386100!L:R,7,FALSE),VLOOKUP(tables_386100!C212,input_386100!A:H,8,FALSE))</f>
        <v>1199.0192300000001</v>
      </c>
      <c r="P212" s="43">
        <f t="shared" ca="1" si="11"/>
        <v>6.6390876522702113E-4</v>
      </c>
      <c r="Q212" s="28">
        <v>1</v>
      </c>
      <c r="R212" s="28">
        <v>0</v>
      </c>
      <c r="S212" s="28">
        <v>0</v>
      </c>
      <c r="T212" s="28">
        <v>0</v>
      </c>
      <c r="U212" s="28">
        <v>0</v>
      </c>
      <c r="V212" s="28">
        <v>1</v>
      </c>
    </row>
    <row r="213" spans="1:22" ht="21" customHeight="1" x14ac:dyDescent="0.15">
      <c r="A213" s="2" t="str">
        <f ca="1">input_386100!A$2</f>
        <v>386100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IFERROR(VLOOKUP(B213,input_386100!L:R,7,FALSE),VLOOKUP(tables_386100!C213,input_386100!A:H,8,FALSE))</f>
        <v>1225.5</v>
      </c>
      <c r="P213" s="43">
        <f t="shared" ca="1" si="11"/>
        <v>6.7857142857142855E-4</v>
      </c>
      <c r="Q213" s="28">
        <v>1</v>
      </c>
      <c r="R213" s="28">
        <v>0</v>
      </c>
      <c r="S213" s="28">
        <v>0</v>
      </c>
      <c r="T213" s="28">
        <v>0</v>
      </c>
      <c r="U213" s="28">
        <v>0</v>
      </c>
      <c r="V213" s="28">
        <v>1</v>
      </c>
    </row>
    <row r="214" spans="1:22" ht="21" customHeight="1" x14ac:dyDescent="0.15">
      <c r="A214" s="2" t="str">
        <f ca="1">input_386100!A$2</f>
        <v>386100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IFERROR(VLOOKUP(B214,input_386100!L:R,7,FALSE),VLOOKUP(tables_386100!C214,input_386100!A:H,8,FALSE))</f>
        <v>64.5</v>
      </c>
      <c r="P214" s="43">
        <f t="shared" ca="1" si="11"/>
        <v>3.5714285714285717E-5</v>
      </c>
      <c r="Q214" s="28">
        <v>1</v>
      </c>
      <c r="R214" s="28">
        <v>0</v>
      </c>
      <c r="S214" s="28">
        <v>0</v>
      </c>
      <c r="T214" s="28">
        <v>0</v>
      </c>
      <c r="U214" s="28">
        <v>0</v>
      </c>
      <c r="V214" s="28">
        <v>1</v>
      </c>
    </row>
    <row r="215" spans="1:22" ht="21" customHeight="1" x14ac:dyDescent="0.15">
      <c r="A215" s="2" t="str">
        <f ca="1">input_386100!A$2</f>
        <v>386100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2">
        <f ca="1">IFERROR(VLOOKUP(B215,input_386100!L:R,7,FALSE),VLOOKUP(tables_386100!C215,input_386100!A:H,8,FALSE))</f>
        <v>1225.5</v>
      </c>
      <c r="P215" s="43">
        <f t="shared" ca="1" si="11"/>
        <v>6.7857142857142855E-4</v>
      </c>
      <c r="Q215" s="28">
        <v>1</v>
      </c>
      <c r="R215" s="28">
        <v>0</v>
      </c>
      <c r="S215" s="28">
        <v>0</v>
      </c>
      <c r="T215" s="28">
        <v>0</v>
      </c>
      <c r="U215" s="28">
        <v>0</v>
      </c>
      <c r="V215" s="28">
        <v>1</v>
      </c>
    </row>
    <row r="216" spans="1:22" ht="21" customHeight="1" x14ac:dyDescent="0.15">
      <c r="A216" s="2" t="str">
        <f ca="1">input_386100!A$2</f>
        <v>386100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2">
        <f ca="1">IFERROR(VLOOKUP(B216,input_386100!L:R,7,FALSE),VLOOKUP(tables_386100!C216,input_386100!A:H,8,FALSE))</f>
        <v>64.5</v>
      </c>
      <c r="P216" s="43">
        <f t="shared" ca="1" si="11"/>
        <v>3.5714285714285717E-5</v>
      </c>
      <c r="Q216" s="28">
        <v>1</v>
      </c>
      <c r="R216" s="28">
        <v>0</v>
      </c>
      <c r="S216" s="28">
        <v>0</v>
      </c>
      <c r="T216" s="28">
        <v>0</v>
      </c>
      <c r="U216" s="28">
        <v>0</v>
      </c>
      <c r="V216" s="28">
        <v>1</v>
      </c>
    </row>
    <row r="217" spans="1:22" ht="21" customHeight="1" x14ac:dyDescent="0.15">
      <c r="A217" s="2" t="str">
        <f ca="1">input_386100!A$2</f>
        <v>386100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2">
        <f ca="1">IFERROR(VLOOKUP(B217,input_386100!L:R,7,FALSE),VLOOKUP(tables_386100!C217,input_386100!A:H,8,FALSE))</f>
        <v>0</v>
      </c>
      <c r="P217" s="43">
        <f t="shared" ca="1" si="11"/>
        <v>0</v>
      </c>
      <c r="Q217" s="28">
        <v>1</v>
      </c>
      <c r="R217" s="28">
        <v>0</v>
      </c>
      <c r="S217" s="28">
        <v>0</v>
      </c>
      <c r="T217" s="28">
        <v>0</v>
      </c>
      <c r="U217" s="28">
        <v>0</v>
      </c>
      <c r="V217" s="28">
        <v>1</v>
      </c>
    </row>
    <row r="218" spans="1:22" ht="21" customHeight="1" x14ac:dyDescent="0.15">
      <c r="A218" s="2" t="str">
        <f ca="1">input_386100!A$2</f>
        <v>386100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2">
        <f ca="1">IFERROR(VLOOKUP(B218,input_386100!L:R,7,FALSE),VLOOKUP(tables_386100!C218,input_386100!A:H,8,FALSE))</f>
        <v>10350.98077</v>
      </c>
      <c r="P218" s="43">
        <f t="shared" ca="1" si="11"/>
        <v>5.7314400719822812E-3</v>
      </c>
      <c r="Q218" s="28">
        <v>1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</row>
    <row r="219" spans="1:22" ht="21" customHeight="1" x14ac:dyDescent="0.15">
      <c r="A219" s="2" t="str">
        <f ca="1">input_386100!A$2</f>
        <v>386100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2">
        <f ca="1">IFERROR(VLOOKUP(B219,input_386100!L:R,7,FALSE),VLOOKUP(tables_386100!C219,input_386100!A:H,8,FALSE))</f>
        <v>1199.0192300000001</v>
      </c>
      <c r="P219" s="43">
        <f t="shared" ca="1" si="11"/>
        <v>6.6390876522702113E-4</v>
      </c>
      <c r="Q219" s="28">
        <v>1</v>
      </c>
      <c r="R219" s="28">
        <v>0</v>
      </c>
      <c r="S219" s="28">
        <v>0</v>
      </c>
      <c r="T219" s="28">
        <v>0</v>
      </c>
      <c r="U219" s="28">
        <v>0</v>
      </c>
      <c r="V219" s="28">
        <v>1</v>
      </c>
    </row>
    <row r="220" spans="1:22" ht="21" customHeight="1" x14ac:dyDescent="0.15">
      <c r="A220" s="2" t="str">
        <f ca="1">input_386100!A$2</f>
        <v>386100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2">
        <f ca="1">IFERROR(VLOOKUP(B220,input_386100!L:R,7,FALSE),VLOOKUP(tables_386100!C220,input_386100!A:H,8,FALSE))</f>
        <v>0</v>
      </c>
      <c r="P220" s="43">
        <f t="shared" ca="1" si="11"/>
        <v>0</v>
      </c>
      <c r="Q220" s="28">
        <v>1</v>
      </c>
      <c r="R220" s="28">
        <v>0</v>
      </c>
      <c r="S220" s="28">
        <v>0</v>
      </c>
      <c r="T220" s="28">
        <v>0</v>
      </c>
      <c r="U220" s="28">
        <v>0</v>
      </c>
      <c r="V220" s="28">
        <v>1</v>
      </c>
    </row>
    <row r="221" spans="1:22" ht="21" customHeight="1" x14ac:dyDescent="0.15">
      <c r="A221" s="2" t="str">
        <f ca="1">input_386100!A$2</f>
        <v>386100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2">
        <f ca="1">IFERROR(VLOOKUP(B221,input_386100!L:R,7,FALSE),VLOOKUP(tables_386100!C221,input_386100!A:H,8,FALSE))</f>
        <v>10350.98077</v>
      </c>
      <c r="P221" s="43">
        <f t="shared" ca="1" si="11"/>
        <v>5.7314400719822812E-3</v>
      </c>
      <c r="Q221" s="28">
        <v>1</v>
      </c>
      <c r="R221" s="28">
        <v>0</v>
      </c>
      <c r="S221" s="28">
        <v>0</v>
      </c>
      <c r="T221" s="28">
        <v>0</v>
      </c>
      <c r="U221" s="28">
        <v>0</v>
      </c>
      <c r="V221" s="28">
        <v>1</v>
      </c>
    </row>
    <row r="222" spans="1:22" ht="21" customHeight="1" x14ac:dyDescent="0.15">
      <c r="A222" s="2" t="str">
        <f ca="1">input_386100!A$2</f>
        <v>386100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2">
        <f ca="1">IFERROR(VLOOKUP(B222,input_386100!L:R,7,FALSE),VLOOKUP(tables_386100!C222,input_386100!A:H,8,FALSE))</f>
        <v>1199.0192300000001</v>
      </c>
      <c r="P222" s="43">
        <f t="shared" ca="1" si="11"/>
        <v>6.6390876522702113E-4</v>
      </c>
      <c r="Q222" s="28">
        <v>1</v>
      </c>
      <c r="R222" s="28">
        <v>0</v>
      </c>
      <c r="S222" s="28">
        <v>0</v>
      </c>
      <c r="T222" s="28">
        <v>0</v>
      </c>
      <c r="U222" s="28">
        <v>0</v>
      </c>
      <c r="V222" s="28">
        <v>1</v>
      </c>
    </row>
    <row r="223" spans="1:22" ht="21" customHeight="1" x14ac:dyDescent="0.15">
      <c r="A223" s="2" t="str">
        <f ca="1">input_386100!A$2</f>
        <v>386100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2">
        <f ca="1">IFERROR(VLOOKUP(B223,input_386100!L:R,7,FALSE),VLOOKUP(tables_386100!C223,input_386100!A:H,8,FALSE))</f>
        <v>1225.5</v>
      </c>
      <c r="P223" s="43">
        <f t="shared" ca="1" si="11"/>
        <v>6.7857142857142855E-4</v>
      </c>
      <c r="Q223" s="28">
        <v>1</v>
      </c>
      <c r="R223" s="28">
        <v>0</v>
      </c>
      <c r="S223" s="28">
        <v>0</v>
      </c>
      <c r="T223" s="28">
        <v>0</v>
      </c>
      <c r="U223" s="28">
        <v>0</v>
      </c>
      <c r="V223" s="28">
        <v>1</v>
      </c>
    </row>
    <row r="224" spans="1:22" ht="21" customHeight="1" x14ac:dyDescent="0.15">
      <c r="A224" s="2" t="str">
        <f ca="1">input_386100!A$2</f>
        <v>386100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2">
        <f ca="1">IFERROR(VLOOKUP(B224,input_386100!L:R,7,FALSE),VLOOKUP(tables_386100!C224,input_386100!A:H,8,FALSE))</f>
        <v>64.5</v>
      </c>
      <c r="P224" s="43">
        <f t="shared" ca="1" si="11"/>
        <v>3.5714285714285717E-5</v>
      </c>
      <c r="Q224" s="28">
        <v>1</v>
      </c>
      <c r="R224" s="28">
        <v>0</v>
      </c>
      <c r="S224" s="28">
        <v>0</v>
      </c>
      <c r="T224" s="28">
        <v>0</v>
      </c>
      <c r="U224" s="28">
        <v>0</v>
      </c>
      <c r="V224" s="28">
        <v>1</v>
      </c>
    </row>
    <row r="225" spans="1:22" ht="21" customHeight="1" x14ac:dyDescent="0.15">
      <c r="A225" s="2" t="str">
        <f ca="1">input_386100!A$2</f>
        <v>386100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2">
        <f ca="1">IFERROR(VLOOKUP(B225,input_386100!L:R,7,FALSE),VLOOKUP(tables_386100!C225,input_386100!A:H,8,FALSE))</f>
        <v>0</v>
      </c>
      <c r="P225" s="43">
        <f t="shared" ca="1" si="11"/>
        <v>0</v>
      </c>
      <c r="Q225" s="28">
        <v>1</v>
      </c>
      <c r="R225" s="28">
        <v>0</v>
      </c>
      <c r="S225" s="28">
        <v>0</v>
      </c>
      <c r="T225" s="28">
        <v>0</v>
      </c>
      <c r="U225" s="28">
        <v>0</v>
      </c>
      <c r="V225" s="28">
        <v>1</v>
      </c>
    </row>
    <row r="226" spans="1:22" ht="21" customHeight="1" x14ac:dyDescent="0.15">
      <c r="A226" s="2" t="str">
        <f ca="1">input_386100!A$2</f>
        <v>386100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2">
        <f ca="1">IFERROR(VLOOKUP(B226,input_386100!L:R,7,FALSE),VLOOKUP(tables_386100!C226,input_386100!A:H,8,FALSE))</f>
        <v>10350.98077</v>
      </c>
      <c r="P226" s="43">
        <f t="shared" ca="1" si="11"/>
        <v>5.7314400719822812E-3</v>
      </c>
      <c r="Q226" s="28">
        <v>1</v>
      </c>
      <c r="R226" s="28">
        <v>0</v>
      </c>
      <c r="S226" s="28">
        <v>0</v>
      </c>
      <c r="T226" s="28">
        <v>0</v>
      </c>
      <c r="U226" s="28">
        <v>0</v>
      </c>
      <c r="V226" s="28">
        <v>1</v>
      </c>
    </row>
    <row r="227" spans="1:22" ht="21" customHeight="1" x14ac:dyDescent="0.15">
      <c r="A227" s="2" t="str">
        <f ca="1">input_386100!A$2</f>
        <v>386100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2">
        <f ca="1">IFERROR(VLOOKUP(B227,input_386100!L:R,7,FALSE),VLOOKUP(tables_386100!C227,input_386100!A:H,8,FALSE))</f>
        <v>1199.0192300000001</v>
      </c>
      <c r="P227" s="43">
        <f t="shared" ca="1" si="11"/>
        <v>6.6390876522702113E-4</v>
      </c>
      <c r="Q227" s="28">
        <v>1</v>
      </c>
      <c r="R227" s="28">
        <v>0</v>
      </c>
      <c r="S227" s="28">
        <v>0</v>
      </c>
      <c r="T227" s="28">
        <v>0</v>
      </c>
      <c r="U227" s="28">
        <v>0</v>
      </c>
      <c r="V227" s="28">
        <v>1</v>
      </c>
    </row>
    <row r="228" spans="1:22" ht="21" customHeight="1" x14ac:dyDescent="0.15">
      <c r="A228" s="2" t="str">
        <f ca="1">input_386100!A$2</f>
        <v>386100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IFERROR(VLOOKUP(B228,input_386100!L:R,7,FALSE),VLOOKUP(tables_386100!C228,input_386100!A:H,8,FALSE))</f>
        <v>0</v>
      </c>
      <c r="P228" s="43">
        <f t="shared" ca="1" si="11"/>
        <v>0</v>
      </c>
      <c r="Q228" s="28">
        <v>1</v>
      </c>
      <c r="R228" s="28">
        <v>0</v>
      </c>
      <c r="S228" s="28">
        <v>0</v>
      </c>
      <c r="T228" s="28">
        <v>0</v>
      </c>
      <c r="U228" s="28">
        <v>0</v>
      </c>
      <c r="V228" s="28">
        <v>1</v>
      </c>
    </row>
    <row r="229" spans="1:22" ht="21" customHeight="1" x14ac:dyDescent="0.15">
      <c r="A229" s="2" t="str">
        <f ca="1">input_386100!A$2</f>
        <v>386100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IFERROR(VLOOKUP(B229,input_386100!L:R,7,FALSE),VLOOKUP(tables_386100!C229,input_386100!A:H,8,FALSE))</f>
        <v>10350.98077</v>
      </c>
      <c r="P229" s="43">
        <f t="shared" ca="1" si="11"/>
        <v>5.7314400719822812E-3</v>
      </c>
      <c r="Q229" s="28">
        <v>1</v>
      </c>
      <c r="R229" s="28">
        <v>0</v>
      </c>
      <c r="S229" s="28">
        <v>0</v>
      </c>
      <c r="T229" s="28">
        <v>0</v>
      </c>
      <c r="U229" s="28">
        <v>0</v>
      </c>
      <c r="V229" s="28">
        <v>1</v>
      </c>
    </row>
    <row r="230" spans="1:22" ht="21" customHeight="1" x14ac:dyDescent="0.15">
      <c r="A230" s="2" t="str">
        <f ca="1">input_386100!A$2</f>
        <v>386100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IFERROR(VLOOKUP(B230,input_386100!L:R,7,FALSE),VLOOKUP(tables_386100!C230,input_386100!A:H,8,FALSE))</f>
        <v>1199.0192300000001</v>
      </c>
      <c r="P230" s="43">
        <f t="shared" ca="1" si="11"/>
        <v>6.6390876522702113E-4</v>
      </c>
      <c r="Q230" s="28">
        <v>1</v>
      </c>
      <c r="R230" s="28">
        <v>0</v>
      </c>
      <c r="S230" s="28">
        <v>0</v>
      </c>
      <c r="T230" s="28">
        <v>0</v>
      </c>
      <c r="U230" s="28">
        <v>0</v>
      </c>
      <c r="V230" s="28">
        <v>1</v>
      </c>
    </row>
    <row r="231" spans="1:22" ht="21" customHeight="1" x14ac:dyDescent="0.15">
      <c r="A231" s="2" t="str">
        <f ca="1">input_386100!A$2</f>
        <v>386100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2">
        <f ca="1">IFERROR(VLOOKUP(B231,input_386100!L:R,7,FALSE),VLOOKUP(tables_386100!C231,input_386100!A:H,8,FALSE))</f>
        <v>1225.5</v>
      </c>
      <c r="P231" s="43">
        <f t="shared" ca="1" si="11"/>
        <v>6.7857142857142855E-4</v>
      </c>
      <c r="Q231" s="28">
        <v>1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</row>
    <row r="232" spans="1:22" ht="21" customHeight="1" x14ac:dyDescent="0.15">
      <c r="A232" s="2" t="str">
        <f ca="1">input_386100!A$2</f>
        <v>386100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2">
        <f ca="1">IFERROR(VLOOKUP(B232,input_386100!L:R,7,FALSE),VLOOKUP(tables_386100!C232,input_386100!A:H,8,FALSE))</f>
        <v>64.5</v>
      </c>
      <c r="P232" s="43">
        <f t="shared" ca="1" si="11"/>
        <v>3.5714285714285717E-5</v>
      </c>
      <c r="Q232" s="28">
        <v>1</v>
      </c>
      <c r="R232" s="28">
        <v>0</v>
      </c>
      <c r="S232" s="28">
        <v>0</v>
      </c>
      <c r="T232" s="28">
        <v>0</v>
      </c>
      <c r="U232" s="28">
        <v>0</v>
      </c>
      <c r="V232" s="28">
        <v>1</v>
      </c>
    </row>
    <row r="233" spans="1:22" ht="21" customHeight="1" x14ac:dyDescent="0.15">
      <c r="A233" s="2" t="str">
        <f ca="1">input_386100!A$2</f>
        <v>386100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2">
        <f ca="1">IFERROR(VLOOKUP(B233,input_386100!L:R,7,FALSE),VLOOKUP(tables_386100!C233,input_386100!A:H,8,FALSE))</f>
        <v>0</v>
      </c>
      <c r="P233" s="43">
        <f t="shared" ca="1" si="11"/>
        <v>0</v>
      </c>
      <c r="Q233" s="28">
        <v>1</v>
      </c>
      <c r="R233" s="28">
        <v>0</v>
      </c>
      <c r="S233" s="28">
        <v>0</v>
      </c>
      <c r="T233" s="28">
        <v>0</v>
      </c>
      <c r="U233" s="28">
        <v>0</v>
      </c>
      <c r="V233" s="28">
        <v>1</v>
      </c>
    </row>
    <row r="234" spans="1:22" ht="21" customHeight="1" x14ac:dyDescent="0.15">
      <c r="A234" s="2" t="str">
        <f ca="1">input_386100!A$2</f>
        <v>386100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2">
        <f ca="1">IFERROR(VLOOKUP(B234,input_386100!L:R,7,FALSE),VLOOKUP(tables_386100!C234,input_386100!A:H,8,FALSE))</f>
        <v>10350.98077</v>
      </c>
      <c r="P234" s="43">
        <f t="shared" ca="1" si="11"/>
        <v>5.7314400719822812E-3</v>
      </c>
      <c r="Q234" s="28">
        <v>1</v>
      </c>
      <c r="R234" s="28">
        <v>0</v>
      </c>
      <c r="S234" s="28">
        <v>0</v>
      </c>
      <c r="T234" s="28">
        <v>0</v>
      </c>
      <c r="U234" s="28">
        <v>0</v>
      </c>
      <c r="V234" s="28">
        <v>1</v>
      </c>
    </row>
    <row r="235" spans="1:22" ht="21" customHeight="1" x14ac:dyDescent="0.15">
      <c r="A235" s="2" t="str">
        <f ca="1">input_386100!A$2</f>
        <v>386100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2">
        <f ca="1">IFERROR(VLOOKUP(B235,input_386100!L:R,7,FALSE),VLOOKUP(tables_386100!C235,input_386100!A:H,8,FALSE))</f>
        <v>1199.0192300000001</v>
      </c>
      <c r="P235" s="43">
        <f t="shared" ca="1" si="11"/>
        <v>6.6390876522702113E-4</v>
      </c>
      <c r="Q235" s="28">
        <v>1</v>
      </c>
      <c r="R235" s="28">
        <v>0</v>
      </c>
      <c r="S235" s="28">
        <v>0</v>
      </c>
      <c r="T235" s="28">
        <v>0</v>
      </c>
      <c r="U235" s="28">
        <v>0</v>
      </c>
      <c r="V235" s="28">
        <v>1</v>
      </c>
    </row>
    <row r="236" spans="1:22" ht="21" customHeight="1" x14ac:dyDescent="0.15">
      <c r="A236" s="2" t="str">
        <f ca="1">input_386100!A$2</f>
        <v>386100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2">
        <f ca="1">IFERROR(VLOOKUP(B236,input_386100!L:R,7,FALSE),VLOOKUP(tables_386100!C236,input_386100!A:H,8,FALSE))</f>
        <v>1225.5</v>
      </c>
      <c r="P236" s="43">
        <f t="shared" ca="1" si="11"/>
        <v>6.7857142857142855E-4</v>
      </c>
      <c r="Q236" s="28">
        <v>1</v>
      </c>
      <c r="R236" s="28">
        <v>0</v>
      </c>
      <c r="S236" s="28">
        <v>0</v>
      </c>
      <c r="T236" s="28">
        <v>0</v>
      </c>
      <c r="U236" s="28">
        <v>0</v>
      </c>
      <c r="V236" s="28">
        <v>1</v>
      </c>
    </row>
    <row r="237" spans="1:22" ht="21" customHeight="1" x14ac:dyDescent="0.15">
      <c r="A237" s="2" t="str">
        <f ca="1">input_386100!A$2</f>
        <v>386100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IFERROR(VLOOKUP(B237,input_386100!L:R,7,FALSE),VLOOKUP(tables_386100!C237,input_386100!A:H,8,FALSE))</f>
        <v>64.5</v>
      </c>
      <c r="P237" s="43">
        <f t="shared" ca="1" si="11"/>
        <v>3.5714285714285717E-5</v>
      </c>
      <c r="Q237" s="28">
        <v>1</v>
      </c>
      <c r="R237" s="28">
        <v>0</v>
      </c>
      <c r="S237" s="28">
        <v>0</v>
      </c>
      <c r="T237" s="28">
        <v>0</v>
      </c>
      <c r="U237" s="28">
        <v>0</v>
      </c>
      <c r="V237" s="28">
        <v>1</v>
      </c>
    </row>
    <row r="238" spans="1:22" ht="21" customHeight="1" x14ac:dyDescent="0.15">
      <c r="A238" s="2" t="str">
        <f ca="1">input_386100!A$2</f>
        <v>386100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2">
        <f ca="1">IFERROR(VLOOKUP(B238,input_386100!L:R,7,FALSE),VLOOKUP(tables_386100!C238,input_386100!A:H,8,FALSE))</f>
        <v>1225.5</v>
      </c>
      <c r="P238" s="43">
        <f t="shared" ca="1" si="11"/>
        <v>6.7857142857142855E-4</v>
      </c>
      <c r="Q238" s="28">
        <v>1</v>
      </c>
      <c r="R238" s="28">
        <v>0</v>
      </c>
      <c r="S238" s="28">
        <v>0</v>
      </c>
      <c r="T238" s="28">
        <v>0</v>
      </c>
      <c r="U238" s="28">
        <v>0</v>
      </c>
      <c r="V238" s="28">
        <v>1</v>
      </c>
    </row>
    <row r="239" spans="1:22" ht="21" customHeight="1" x14ac:dyDescent="0.15">
      <c r="A239" s="2" t="str">
        <f ca="1">input_386100!A$2</f>
        <v>386100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2">
        <f ca="1">IFERROR(VLOOKUP(B239,input_386100!L:R,7,FALSE),VLOOKUP(tables_386100!C239,input_386100!A:H,8,FALSE))</f>
        <v>64.5</v>
      </c>
      <c r="P239" s="43">
        <f t="shared" ca="1" si="11"/>
        <v>3.5714285714285717E-5</v>
      </c>
      <c r="Q239" s="28">
        <v>1</v>
      </c>
      <c r="R239" s="28">
        <v>0</v>
      </c>
      <c r="S239" s="28">
        <v>0</v>
      </c>
      <c r="T239" s="28">
        <v>0</v>
      </c>
      <c r="U239" s="28">
        <v>0</v>
      </c>
      <c r="V239" s="28">
        <v>1</v>
      </c>
    </row>
    <row r="240" spans="1:22" ht="21" customHeight="1" x14ac:dyDescent="0.15">
      <c r="A240" s="2" t="str">
        <f ca="1">input_386100!A$2</f>
        <v>386100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2">
        <f ca="1">IFERROR(VLOOKUP(B240,input_386100!L:R,7,FALSE),VLOOKUP(tables_386100!C240,input_386100!A:H,8,FALSE))</f>
        <v>0</v>
      </c>
      <c r="P240" s="43">
        <f t="shared" ca="1" si="11"/>
        <v>0</v>
      </c>
      <c r="Q240" s="28">
        <v>1</v>
      </c>
      <c r="R240" s="28">
        <v>0</v>
      </c>
      <c r="S240" s="28">
        <v>0</v>
      </c>
      <c r="T240" s="28">
        <v>0</v>
      </c>
      <c r="U240" s="28">
        <v>0</v>
      </c>
      <c r="V240" s="28">
        <v>1</v>
      </c>
    </row>
    <row r="241" spans="1:22" ht="21" customHeight="1" x14ac:dyDescent="0.15">
      <c r="A241" s="2" t="str">
        <f ca="1">input_386100!A$2</f>
        <v>386100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2">
        <f ca="1">IFERROR(VLOOKUP(B241,input_386100!L:R,7,FALSE),VLOOKUP(tables_386100!C241,input_386100!A:H,8,FALSE))</f>
        <v>10350.98077</v>
      </c>
      <c r="P241" s="43">
        <f t="shared" ca="1" si="11"/>
        <v>5.7314400719822812E-3</v>
      </c>
      <c r="Q241" s="28">
        <v>1</v>
      </c>
      <c r="R241" s="28">
        <v>0</v>
      </c>
      <c r="S241" s="28">
        <v>0</v>
      </c>
      <c r="T241" s="28">
        <v>0</v>
      </c>
      <c r="U241" s="28">
        <v>0</v>
      </c>
      <c r="V241" s="28">
        <v>1</v>
      </c>
    </row>
    <row r="242" spans="1:22" ht="21" customHeight="1" x14ac:dyDescent="0.15">
      <c r="A242" s="2" t="str">
        <f ca="1">input_386100!A$2</f>
        <v>386100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2">
        <f ca="1">IFERROR(VLOOKUP(B242,input_386100!L:R,7,FALSE),VLOOKUP(tables_386100!C242,input_386100!A:H,8,FALSE))</f>
        <v>1199.0192300000001</v>
      </c>
      <c r="P242" s="43">
        <f t="shared" ca="1" si="11"/>
        <v>6.6390876522702113E-4</v>
      </c>
      <c r="Q242" s="28">
        <v>1</v>
      </c>
      <c r="R242" s="28">
        <v>0</v>
      </c>
      <c r="S242" s="28">
        <v>0</v>
      </c>
      <c r="T242" s="28">
        <v>0</v>
      </c>
      <c r="U242" s="28">
        <v>0</v>
      </c>
      <c r="V242" s="28">
        <v>1</v>
      </c>
    </row>
    <row r="243" spans="1:22" ht="21" customHeight="1" x14ac:dyDescent="0.15">
      <c r="A243" s="2" t="str">
        <f ca="1">input_386100!A$2</f>
        <v>386100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2">
        <f ca="1">IFERROR(VLOOKUP(B243,input_386100!L:R,7,FALSE),VLOOKUP(tables_386100!C243,input_386100!A:H,8,FALSE))</f>
        <v>0</v>
      </c>
      <c r="P243" s="43">
        <f t="shared" ca="1" si="11"/>
        <v>0</v>
      </c>
      <c r="Q243" s="28">
        <v>1</v>
      </c>
      <c r="R243" s="28">
        <v>0</v>
      </c>
      <c r="S243" s="28">
        <v>0</v>
      </c>
      <c r="T243" s="28">
        <v>0</v>
      </c>
      <c r="U243" s="28">
        <v>0</v>
      </c>
      <c r="V243" s="28">
        <v>1</v>
      </c>
    </row>
    <row r="244" spans="1:22" ht="21" customHeight="1" x14ac:dyDescent="0.15">
      <c r="A244" s="2" t="str">
        <f ca="1">input_386100!A$2</f>
        <v>386100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2">
        <f ca="1">IFERROR(VLOOKUP(B244,input_386100!L:R,7,FALSE),VLOOKUP(tables_386100!C244,input_386100!A:H,8,FALSE))</f>
        <v>10350.98077</v>
      </c>
      <c r="P244" s="43">
        <f t="shared" ca="1" si="11"/>
        <v>5.7314400719822812E-3</v>
      </c>
      <c r="Q244" s="28">
        <v>1</v>
      </c>
      <c r="R244" s="28">
        <v>0</v>
      </c>
      <c r="S244" s="28">
        <v>0</v>
      </c>
      <c r="T244" s="28">
        <v>0</v>
      </c>
      <c r="U244" s="28">
        <v>0</v>
      </c>
      <c r="V244" s="28">
        <v>1</v>
      </c>
    </row>
    <row r="245" spans="1:22" ht="21" customHeight="1" x14ac:dyDescent="0.15">
      <c r="A245" s="2" t="str">
        <f ca="1">input_386100!A$2</f>
        <v>386100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2">
        <f ca="1">IFERROR(VLOOKUP(B245,input_386100!L:R,7,FALSE),VLOOKUP(tables_386100!C245,input_386100!A:H,8,FALSE))</f>
        <v>1199.0192300000001</v>
      </c>
      <c r="P245" s="43">
        <f t="shared" ca="1" si="11"/>
        <v>6.6390876522702113E-4</v>
      </c>
      <c r="Q245" s="28">
        <v>1</v>
      </c>
      <c r="R245" s="28">
        <v>0</v>
      </c>
      <c r="S245" s="28">
        <v>0</v>
      </c>
      <c r="T245" s="28">
        <v>0</v>
      </c>
      <c r="U245" s="28">
        <v>0</v>
      </c>
      <c r="V245" s="28">
        <v>1</v>
      </c>
    </row>
    <row r="246" spans="1:22" ht="21" customHeight="1" x14ac:dyDescent="0.15">
      <c r="A246" s="2" t="str">
        <f ca="1">input_386100!A$2</f>
        <v>386100</v>
      </c>
      <c r="B246" s="57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2">
        <f ca="1">IFERROR(VLOOKUP(B246,input_386100!L:R,7,FALSE),VLOOKUP(tables_386100!C246,input_386100!A:H,8,FALSE))</f>
        <v>0</v>
      </c>
      <c r="P246" s="43">
        <f t="shared" ca="1" si="11"/>
        <v>0</v>
      </c>
      <c r="Q246" s="28">
        <v>1</v>
      </c>
      <c r="R246" s="28">
        <v>0</v>
      </c>
      <c r="S246" s="28">
        <v>0</v>
      </c>
      <c r="T246" s="28">
        <v>0</v>
      </c>
      <c r="U246" s="28">
        <v>0</v>
      </c>
      <c r="V246" s="28">
        <v>1</v>
      </c>
    </row>
    <row r="247" spans="1:22" ht="21" customHeight="1" x14ac:dyDescent="0.15">
      <c r="A247" s="2" t="str">
        <f ca="1">input_386100!A$2</f>
        <v>386100</v>
      </c>
      <c r="B247" s="57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2">
        <f ca="1">IFERROR(VLOOKUP(B247,input_386100!L:R,7,FALSE),VLOOKUP(tables_386100!C247,input_386100!A:H,8,FALSE))</f>
        <v>10350.98077</v>
      </c>
      <c r="P247" s="43">
        <f t="shared" ca="1" si="11"/>
        <v>5.7314400719822812E-3</v>
      </c>
      <c r="Q247" s="28">
        <v>1</v>
      </c>
      <c r="R247" s="28">
        <v>0</v>
      </c>
      <c r="S247" s="28">
        <v>0</v>
      </c>
      <c r="T247" s="28">
        <v>0</v>
      </c>
      <c r="U247" s="28">
        <v>0</v>
      </c>
      <c r="V247" s="28">
        <v>1</v>
      </c>
    </row>
    <row r="248" spans="1:22" ht="21" customHeight="1" x14ac:dyDescent="0.15">
      <c r="A248" s="2" t="str">
        <f ca="1">input_386100!A$2</f>
        <v>386100</v>
      </c>
      <c r="B248" s="57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2">
        <f ca="1">IFERROR(VLOOKUP(B248,input_386100!L:R,7,FALSE),VLOOKUP(tables_386100!C248,input_386100!A:H,8,FALSE))</f>
        <v>1199.0192300000001</v>
      </c>
      <c r="P248" s="43">
        <f t="shared" ca="1" si="11"/>
        <v>6.6390876522702113E-4</v>
      </c>
      <c r="Q248" s="28">
        <v>1</v>
      </c>
      <c r="R248" s="28">
        <v>0</v>
      </c>
      <c r="S248" s="28">
        <v>0</v>
      </c>
      <c r="T248" s="28">
        <v>0</v>
      </c>
      <c r="U248" s="28">
        <v>0</v>
      </c>
      <c r="V248" s="28">
        <v>1</v>
      </c>
    </row>
    <row r="249" spans="1:22" ht="21" customHeight="1" x14ac:dyDescent="0.15">
      <c r="A249" s="2" t="str">
        <f ca="1">input_386100!A$2</f>
        <v>386100</v>
      </c>
      <c r="B249" s="57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2">
        <f ca="1">IFERROR(VLOOKUP(B249,input_386100!L:R,7,FALSE),VLOOKUP(tables_386100!C249,input_386100!A:H,8,FALSE))</f>
        <v>0</v>
      </c>
      <c r="P249" s="43">
        <f t="shared" ca="1" si="11"/>
        <v>0</v>
      </c>
      <c r="Q249" s="28">
        <v>1</v>
      </c>
      <c r="R249" s="28">
        <v>0</v>
      </c>
      <c r="S249" s="28">
        <v>0</v>
      </c>
      <c r="T249" s="28">
        <v>0</v>
      </c>
      <c r="U249" s="28">
        <v>0</v>
      </c>
      <c r="V249" s="28">
        <v>1</v>
      </c>
    </row>
    <row r="250" spans="1:22" ht="21" customHeight="1" x14ac:dyDescent="0.15">
      <c r="A250" s="2" t="str">
        <f ca="1">input_386100!A$2</f>
        <v>386100</v>
      </c>
      <c r="B250" s="57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2">
        <f ca="1">IFERROR(VLOOKUP(B250,input_386100!L:R,7,FALSE),VLOOKUP(tables_386100!C250,input_386100!A:H,8,FALSE))</f>
        <v>10350.98077</v>
      </c>
      <c r="P250" s="43">
        <f t="shared" ca="1" si="11"/>
        <v>5.7314400719822812E-3</v>
      </c>
      <c r="Q250" s="28">
        <v>1</v>
      </c>
      <c r="R250" s="28">
        <v>0</v>
      </c>
      <c r="S250" s="28">
        <v>0</v>
      </c>
      <c r="T250" s="28">
        <v>0</v>
      </c>
      <c r="U250" s="28">
        <v>0</v>
      </c>
      <c r="V250" s="28">
        <v>1</v>
      </c>
    </row>
    <row r="251" spans="1:22" ht="21" customHeight="1" x14ac:dyDescent="0.15">
      <c r="A251" s="2" t="str">
        <f ca="1">input_386100!A$2</f>
        <v>386100</v>
      </c>
      <c r="B251" s="57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2">
        <f ca="1">IFERROR(VLOOKUP(B251,input_386100!L:R,7,FALSE),VLOOKUP(tables_386100!C251,input_386100!A:H,8,FALSE))</f>
        <v>1199.0192300000001</v>
      </c>
      <c r="P251" s="43">
        <f t="shared" ca="1" si="11"/>
        <v>6.6390876522702113E-4</v>
      </c>
      <c r="Q251" s="28">
        <v>1</v>
      </c>
      <c r="R251" s="28">
        <v>0</v>
      </c>
      <c r="S251" s="28">
        <v>0</v>
      </c>
      <c r="T251" s="28">
        <v>0</v>
      </c>
      <c r="U251" s="28">
        <v>0</v>
      </c>
      <c r="V251" s="28">
        <v>1</v>
      </c>
    </row>
    <row r="252" spans="1:22" ht="21" customHeight="1" x14ac:dyDescent="0.15">
      <c r="A252" s="2" t="str">
        <f ca="1">input_386100!A$2</f>
        <v>386100</v>
      </c>
      <c r="B252" s="57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2">
        <f ca="1">IFERROR(VLOOKUP(B252,input_386100!L:R,7,FALSE),VLOOKUP(tables_386100!C252,input_386100!A:H,8,FALSE))</f>
        <v>1225.5</v>
      </c>
      <c r="P252" s="43">
        <f t="shared" ca="1" si="11"/>
        <v>6.7857142857142855E-4</v>
      </c>
      <c r="Q252" s="28">
        <v>1</v>
      </c>
      <c r="R252" s="28">
        <v>0</v>
      </c>
      <c r="S252" s="28">
        <v>0</v>
      </c>
      <c r="T252" s="28">
        <v>0</v>
      </c>
      <c r="U252" s="28">
        <v>0</v>
      </c>
      <c r="V252" s="28">
        <v>1</v>
      </c>
    </row>
    <row r="253" spans="1:22" ht="21" customHeight="1" x14ac:dyDescent="0.15">
      <c r="A253" s="2" t="str">
        <f ca="1">input_386100!A$2</f>
        <v>386100</v>
      </c>
      <c r="B253" s="57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2">
        <f ca="1">IFERROR(VLOOKUP(B253,input_386100!L:R,7,FALSE),VLOOKUP(tables_386100!C253,input_386100!A:H,8,FALSE))</f>
        <v>64.5</v>
      </c>
      <c r="P253" s="43">
        <f t="shared" ca="1" si="11"/>
        <v>3.5714285714285717E-5</v>
      </c>
      <c r="Q253" s="28">
        <v>1</v>
      </c>
      <c r="R253" s="28">
        <v>0</v>
      </c>
      <c r="S253" s="28">
        <v>0</v>
      </c>
      <c r="T253" s="28">
        <v>0</v>
      </c>
      <c r="U253" s="28">
        <v>0</v>
      </c>
      <c r="V253" s="28">
        <v>1</v>
      </c>
    </row>
    <row r="254" spans="1:22" ht="21" customHeight="1" x14ac:dyDescent="0.15">
      <c r="A254" s="2" t="str">
        <f ca="1">input_386100!A$2</f>
        <v>386100</v>
      </c>
      <c r="B254" s="57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2">
        <f ca="1">IFERROR(VLOOKUP(B254,input_386100!L:R,7,FALSE),VLOOKUP(tables_386100!C254,input_386100!A:H,8,FALSE))</f>
        <v>1225.5</v>
      </c>
      <c r="P254" s="43">
        <f t="shared" ca="1" si="11"/>
        <v>6.7857142857142855E-4</v>
      </c>
      <c r="Q254" s="28">
        <v>1</v>
      </c>
      <c r="R254" s="28">
        <v>0</v>
      </c>
      <c r="S254" s="28">
        <v>0</v>
      </c>
      <c r="T254" s="28">
        <v>0</v>
      </c>
      <c r="U254" s="28">
        <v>0</v>
      </c>
      <c r="V254" s="28">
        <v>1</v>
      </c>
    </row>
    <row r="255" spans="1:22" ht="21" customHeight="1" x14ac:dyDescent="0.15">
      <c r="A255" s="2" t="str">
        <f ca="1">input_386100!A$2</f>
        <v>386100</v>
      </c>
      <c r="B255" s="57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2">
        <f ca="1">IFERROR(VLOOKUP(B255,input_386100!L:R,7,FALSE),VLOOKUP(tables_386100!C255,input_386100!A:H,8,FALSE))</f>
        <v>64.5</v>
      </c>
      <c r="P255" s="43">
        <f t="shared" ca="1" si="11"/>
        <v>3.5714285714285717E-5</v>
      </c>
      <c r="Q255" s="28">
        <v>1</v>
      </c>
      <c r="R255" s="28">
        <v>0</v>
      </c>
      <c r="S255" s="28">
        <v>0</v>
      </c>
      <c r="T255" s="28">
        <v>0</v>
      </c>
      <c r="U255" s="28">
        <v>0</v>
      </c>
      <c r="V255" s="28">
        <v>1</v>
      </c>
    </row>
    <row r="256" spans="1:22" ht="21" customHeight="1" x14ac:dyDescent="0.15">
      <c r="A256" s="2" t="str">
        <f ca="1">input_386100!A$2</f>
        <v>386100</v>
      </c>
      <c r="B256" s="57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2">
        <f ca="1">IFERROR(VLOOKUP(B256,input_386100!L:R,7,FALSE),VLOOKUP(tables_386100!C256,input_386100!A:H,8,FALSE))</f>
        <v>10972.5</v>
      </c>
      <c r="P256" s="43">
        <f t="shared" ca="1" si="11"/>
        <v>6.075581395348837E-3</v>
      </c>
      <c r="Q256" s="28">
        <v>1</v>
      </c>
      <c r="R256" s="28">
        <v>0</v>
      </c>
      <c r="S256" s="28">
        <v>0</v>
      </c>
      <c r="T256" s="28">
        <v>0</v>
      </c>
      <c r="U256" s="28">
        <v>0</v>
      </c>
      <c r="V256" s="28">
        <v>1</v>
      </c>
    </row>
    <row r="257" spans="1:22" ht="21" customHeight="1" x14ac:dyDescent="0.15">
      <c r="A257" s="2" t="str">
        <f ca="1">input_386100!A$2</f>
        <v>386100</v>
      </c>
      <c r="B257" s="57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2">
        <f ca="1">IFERROR(VLOOKUP(B257,input_386100!L:R,7,FALSE),VLOOKUP(tables_386100!C257,input_386100!A:H,8,FALSE))</f>
        <v>577.5</v>
      </c>
      <c r="P257" s="43">
        <f t="shared" ca="1" si="11"/>
        <v>3.1976744186046509E-4</v>
      </c>
      <c r="Q257" s="28">
        <v>1</v>
      </c>
      <c r="R257" s="28">
        <v>0</v>
      </c>
      <c r="S257" s="28">
        <v>0</v>
      </c>
      <c r="T257" s="28">
        <v>0</v>
      </c>
      <c r="U257" s="28">
        <v>0</v>
      </c>
      <c r="V257" s="28">
        <v>1</v>
      </c>
    </row>
    <row r="258" spans="1:22" ht="21" customHeight="1" x14ac:dyDescent="0.15">
      <c r="A258" s="2" t="str">
        <f ca="1">input_386100!A$2</f>
        <v>386100</v>
      </c>
      <c r="B258" s="57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2">
        <f ca="1">IFERROR(VLOOKUP(B258,input_386100!L:R,7,FALSE),VLOOKUP(tables_386100!C258,input_386100!A:H,8,FALSE))</f>
        <v>10972.5</v>
      </c>
      <c r="P258" s="43">
        <f t="shared" ca="1" si="11"/>
        <v>6.075581395348837E-3</v>
      </c>
      <c r="Q258" s="28">
        <v>1</v>
      </c>
      <c r="R258" s="28">
        <v>0</v>
      </c>
      <c r="S258" s="28">
        <v>0</v>
      </c>
      <c r="T258" s="28">
        <v>0</v>
      </c>
      <c r="U258" s="28">
        <v>0</v>
      </c>
      <c r="V258" s="28">
        <v>1</v>
      </c>
    </row>
    <row r="259" spans="1:22" ht="21" customHeight="1" x14ac:dyDescent="0.15">
      <c r="A259" s="2" t="str">
        <f ca="1">input_386100!A$2</f>
        <v>386100</v>
      </c>
      <c r="B259" s="57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2">
        <f ca="1">IFERROR(VLOOKUP(B259,input_386100!L:R,7,FALSE),VLOOKUP(tables_386100!C259,input_386100!A:H,8,FALSE))</f>
        <v>577.5</v>
      </c>
      <c r="P259" s="43">
        <f t="shared" ref="P259:P307" ca="1" si="14">O259/SUM(O:O)</f>
        <v>3.1976744186046509E-4</v>
      </c>
      <c r="Q259" s="28">
        <v>1</v>
      </c>
      <c r="R259" s="28">
        <v>0</v>
      </c>
      <c r="S259" s="28">
        <v>0</v>
      </c>
      <c r="T259" s="28">
        <v>0</v>
      </c>
      <c r="U259" s="28">
        <v>0</v>
      </c>
      <c r="V259" s="28">
        <v>1</v>
      </c>
    </row>
    <row r="260" spans="1:22" ht="21" customHeight="1" x14ac:dyDescent="0.15">
      <c r="A260" s="2" t="str">
        <f ca="1">input_386100!A$2</f>
        <v>386100</v>
      </c>
      <c r="B260" s="57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2">
        <f ca="1">IFERROR(VLOOKUP(B260,input_386100!L:R,7,FALSE),VLOOKUP(tables_386100!C260,input_386100!A:H,8,FALSE))</f>
        <v>1290</v>
      </c>
      <c r="P260" s="43">
        <f t="shared" ca="1" si="14"/>
        <v>7.1428571428571429E-4</v>
      </c>
      <c r="Q260" s="28">
        <v>1</v>
      </c>
      <c r="R260" s="28">
        <v>0</v>
      </c>
      <c r="S260" s="28">
        <v>0</v>
      </c>
      <c r="T260" s="28">
        <v>0</v>
      </c>
      <c r="U260" s="28">
        <v>0</v>
      </c>
      <c r="V260" s="28">
        <v>1</v>
      </c>
    </row>
    <row r="261" spans="1:22" ht="21" customHeight="1" x14ac:dyDescent="0.15">
      <c r="A261" s="2" t="str">
        <f ca="1">input_386100!A$2</f>
        <v>386100</v>
      </c>
      <c r="B261" s="57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2">
        <f ca="1">IFERROR(VLOOKUP(B261,input_386100!L:R,7,FALSE),VLOOKUP(tables_386100!C261,input_386100!A:H,8,FALSE))</f>
        <v>1290</v>
      </c>
      <c r="P261" s="43">
        <f t="shared" ca="1" si="14"/>
        <v>7.1428571428571429E-4</v>
      </c>
      <c r="Q261" s="28">
        <v>1</v>
      </c>
      <c r="R261" s="28">
        <v>0</v>
      </c>
      <c r="S261" s="28">
        <v>0</v>
      </c>
      <c r="T261" s="28">
        <v>0</v>
      </c>
      <c r="U261" s="28">
        <v>0</v>
      </c>
      <c r="V261" s="28">
        <v>1</v>
      </c>
    </row>
    <row r="262" spans="1:22" ht="21" customHeight="1" x14ac:dyDescent="0.15">
      <c r="A262" s="2" t="str">
        <f ca="1">input_386100!A$2</f>
        <v>386100</v>
      </c>
      <c r="B262" s="57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2">
        <f ca="1">IFERROR(VLOOKUP(B262,input_386100!L:R,7,FALSE),VLOOKUP(tables_386100!C262,input_386100!A:H,8,FALSE))</f>
        <v>1225.5</v>
      </c>
      <c r="P262" s="43">
        <f t="shared" ca="1" si="14"/>
        <v>6.7857142857142855E-4</v>
      </c>
      <c r="Q262" s="28">
        <v>1</v>
      </c>
      <c r="R262" s="28">
        <v>0</v>
      </c>
      <c r="S262" s="28">
        <v>0</v>
      </c>
      <c r="T262" s="28">
        <v>0</v>
      </c>
      <c r="U262" s="28">
        <v>0</v>
      </c>
      <c r="V262" s="28">
        <v>1</v>
      </c>
    </row>
    <row r="263" spans="1:22" ht="21" customHeight="1" x14ac:dyDescent="0.15">
      <c r="A263" s="2" t="str">
        <f ca="1">input_386100!A$2</f>
        <v>386100</v>
      </c>
      <c r="B263" s="57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2">
        <f ca="1">IFERROR(VLOOKUP(B263,input_386100!L:R,7,FALSE),VLOOKUP(tables_386100!C263,input_386100!A:H,8,FALSE))</f>
        <v>64.5</v>
      </c>
      <c r="P263" s="43">
        <f t="shared" ca="1" si="14"/>
        <v>3.5714285714285717E-5</v>
      </c>
      <c r="Q263" s="28">
        <v>1</v>
      </c>
      <c r="R263" s="28">
        <v>0</v>
      </c>
      <c r="S263" s="28">
        <v>0</v>
      </c>
      <c r="T263" s="28">
        <v>0</v>
      </c>
      <c r="U263" s="28">
        <v>0</v>
      </c>
      <c r="V263" s="28">
        <v>1</v>
      </c>
    </row>
    <row r="264" spans="1:22" ht="21" customHeight="1" x14ac:dyDescent="0.15">
      <c r="A264" s="2" t="str">
        <f ca="1">input_386100!A$2</f>
        <v>386100</v>
      </c>
      <c r="B264" s="57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2">
        <f ca="1">IFERROR(VLOOKUP(B264,input_386100!L:R,7,FALSE),VLOOKUP(tables_386100!C264,input_386100!A:H,8,FALSE))</f>
        <v>1225.5</v>
      </c>
      <c r="P264" s="43">
        <f t="shared" ca="1" si="14"/>
        <v>6.7857142857142855E-4</v>
      </c>
      <c r="Q264" s="28">
        <v>1</v>
      </c>
      <c r="R264" s="28">
        <v>0</v>
      </c>
      <c r="S264" s="28">
        <v>0</v>
      </c>
      <c r="T264" s="28">
        <v>0</v>
      </c>
      <c r="U264" s="28">
        <v>0</v>
      </c>
      <c r="V264" s="28">
        <v>1</v>
      </c>
    </row>
    <row r="265" spans="1:22" ht="21" customHeight="1" x14ac:dyDescent="0.15">
      <c r="A265" s="2" t="str">
        <f ca="1">input_386100!A$2</f>
        <v>386100</v>
      </c>
      <c r="B265" s="57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2">
        <f ca="1">IFERROR(VLOOKUP(B265,input_386100!L:R,7,FALSE),VLOOKUP(tables_386100!C265,input_386100!A:H,8,FALSE))</f>
        <v>64.5</v>
      </c>
      <c r="P265" s="43">
        <f t="shared" ca="1" si="14"/>
        <v>3.5714285714285717E-5</v>
      </c>
      <c r="Q265" s="28">
        <v>1</v>
      </c>
      <c r="R265" s="28">
        <v>0</v>
      </c>
      <c r="S265" s="28">
        <v>0</v>
      </c>
      <c r="T265" s="28">
        <v>0</v>
      </c>
      <c r="U265" s="28">
        <v>0</v>
      </c>
      <c r="V265" s="28">
        <v>1</v>
      </c>
    </row>
    <row r="266" spans="1:22" ht="21" customHeight="1" x14ac:dyDescent="0.15">
      <c r="A266" s="2" t="str">
        <f ca="1">input_386100!A$2</f>
        <v>386100</v>
      </c>
      <c r="B266" s="57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2">
        <f ca="1">IFERROR(VLOOKUP(B266,input_386100!L:R,7,FALSE),VLOOKUP(tables_386100!C266,input_386100!A:H,8,FALSE))</f>
        <v>0</v>
      </c>
      <c r="P266" s="43">
        <f t="shared" ca="1" si="14"/>
        <v>0</v>
      </c>
      <c r="Q266" s="28">
        <v>1</v>
      </c>
      <c r="R266" s="28">
        <v>0</v>
      </c>
      <c r="S266" s="28">
        <v>0</v>
      </c>
      <c r="T266" s="28">
        <v>0</v>
      </c>
      <c r="U266" s="28">
        <v>0</v>
      </c>
      <c r="V266" s="28">
        <v>1</v>
      </c>
    </row>
    <row r="267" spans="1:22" ht="21" customHeight="1" x14ac:dyDescent="0.15">
      <c r="A267" s="2" t="str">
        <f ca="1">input_386100!A$2</f>
        <v>386100</v>
      </c>
      <c r="B267" s="57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2">
        <f ca="1">IFERROR(VLOOKUP(B267,input_386100!L:R,7,FALSE),VLOOKUP(tables_386100!C267,input_386100!A:H,8,FALSE))</f>
        <v>10350.98077</v>
      </c>
      <c r="P267" s="43">
        <f t="shared" ca="1" si="14"/>
        <v>5.7314400719822812E-3</v>
      </c>
      <c r="Q267" s="28">
        <v>1</v>
      </c>
      <c r="R267" s="28">
        <v>0</v>
      </c>
      <c r="S267" s="28">
        <v>0</v>
      </c>
      <c r="T267" s="28">
        <v>0</v>
      </c>
      <c r="U267" s="28">
        <v>0</v>
      </c>
      <c r="V267" s="28">
        <v>1</v>
      </c>
    </row>
    <row r="268" spans="1:22" ht="21" customHeight="1" x14ac:dyDescent="0.15">
      <c r="A268" s="2" t="str">
        <f ca="1">input_386100!A$2</f>
        <v>386100</v>
      </c>
      <c r="B268" s="57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2">
        <f ca="1">IFERROR(VLOOKUP(B268,input_386100!L:R,7,FALSE),VLOOKUP(tables_386100!C268,input_386100!A:H,8,FALSE))</f>
        <v>1199.0192300000001</v>
      </c>
      <c r="P268" s="43">
        <f t="shared" ca="1" si="14"/>
        <v>6.6390876522702113E-4</v>
      </c>
      <c r="Q268" s="28">
        <v>1</v>
      </c>
      <c r="R268" s="28">
        <v>0</v>
      </c>
      <c r="S268" s="28">
        <v>0</v>
      </c>
      <c r="T268" s="28">
        <v>0</v>
      </c>
      <c r="U268" s="28">
        <v>0</v>
      </c>
      <c r="V268" s="28">
        <v>1</v>
      </c>
    </row>
    <row r="269" spans="1:22" ht="21" customHeight="1" x14ac:dyDescent="0.15">
      <c r="A269" s="2" t="str">
        <f ca="1">input_386100!A$2</f>
        <v>386100</v>
      </c>
      <c r="B269" s="57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2">
        <f ca="1">IFERROR(VLOOKUP(B269,input_386100!L:R,7,FALSE),VLOOKUP(tables_386100!C269,input_386100!A:H,8,FALSE))</f>
        <v>0</v>
      </c>
      <c r="P269" s="43">
        <f t="shared" ca="1" si="14"/>
        <v>0</v>
      </c>
      <c r="Q269" s="28">
        <v>1</v>
      </c>
      <c r="R269" s="28">
        <v>0</v>
      </c>
      <c r="S269" s="28">
        <v>0</v>
      </c>
      <c r="T269" s="28">
        <v>0</v>
      </c>
      <c r="U269" s="28">
        <v>0</v>
      </c>
      <c r="V269" s="28">
        <v>1</v>
      </c>
    </row>
    <row r="270" spans="1:22" ht="21" customHeight="1" x14ac:dyDescent="0.15">
      <c r="A270" s="2" t="str">
        <f ca="1">input_386100!A$2</f>
        <v>386100</v>
      </c>
      <c r="B270" s="57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2">
        <f ca="1">IFERROR(VLOOKUP(B270,input_386100!L:R,7,FALSE),VLOOKUP(tables_386100!C270,input_386100!A:H,8,FALSE))</f>
        <v>10350.98077</v>
      </c>
      <c r="P270" s="43">
        <f t="shared" ca="1" si="14"/>
        <v>5.7314400719822812E-3</v>
      </c>
      <c r="Q270" s="28">
        <v>1</v>
      </c>
      <c r="R270" s="28">
        <v>0</v>
      </c>
      <c r="S270" s="28">
        <v>0</v>
      </c>
      <c r="T270" s="28">
        <v>0</v>
      </c>
      <c r="U270" s="28">
        <v>0</v>
      </c>
      <c r="V270" s="28">
        <v>1</v>
      </c>
    </row>
    <row r="271" spans="1:22" ht="21" customHeight="1" x14ac:dyDescent="0.15">
      <c r="A271" s="2" t="str">
        <f ca="1">input_386100!A$2</f>
        <v>386100</v>
      </c>
      <c r="B271" s="57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2">
        <f ca="1">IFERROR(VLOOKUP(B271,input_386100!L:R,7,FALSE),VLOOKUP(tables_386100!C271,input_386100!A:H,8,FALSE))</f>
        <v>1199.0192300000001</v>
      </c>
      <c r="P271" s="43">
        <f t="shared" ca="1" si="14"/>
        <v>6.6390876522702113E-4</v>
      </c>
      <c r="Q271" s="28">
        <v>1</v>
      </c>
      <c r="R271" s="28">
        <v>0</v>
      </c>
      <c r="S271" s="28">
        <v>0</v>
      </c>
      <c r="T271" s="28">
        <v>0</v>
      </c>
      <c r="U271" s="28">
        <v>0</v>
      </c>
      <c r="V271" s="28">
        <v>1</v>
      </c>
    </row>
    <row r="272" spans="1:22" ht="21" customHeight="1" x14ac:dyDescent="0.15">
      <c r="A272" s="2" t="str">
        <f ca="1">input_386100!A$2</f>
        <v>386100</v>
      </c>
      <c r="B272" s="7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2">
        <f ca="1">IFERROR(VLOOKUP(B272,input_386100!L:R,7,FALSE),VLOOKUP(tables_386100!C272,input_386100!A:H,8,FALSE))</f>
        <v>1290</v>
      </c>
      <c r="P272" s="43">
        <f t="shared" ca="1" si="14"/>
        <v>7.1428571428571429E-4</v>
      </c>
      <c r="Q272" s="28">
        <v>1</v>
      </c>
      <c r="R272" s="28">
        <v>0</v>
      </c>
      <c r="S272" s="28">
        <v>0</v>
      </c>
      <c r="T272" s="28">
        <v>0</v>
      </c>
      <c r="U272" s="28">
        <v>0</v>
      </c>
      <c r="V272" s="28">
        <v>1</v>
      </c>
    </row>
    <row r="273" spans="1:22" ht="21" customHeight="1" x14ac:dyDescent="0.15">
      <c r="A273" s="2" t="str">
        <f ca="1">input_386100!A$2</f>
        <v>386100</v>
      </c>
      <c r="B273" s="7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2">
        <f ca="1">IFERROR(VLOOKUP(B273,input_386100!L:R,7,FALSE),VLOOKUP(tables_386100!C273,input_386100!A:H,8,FALSE))</f>
        <v>1290</v>
      </c>
      <c r="P273" s="43">
        <f t="shared" ca="1" si="14"/>
        <v>7.1428571428571429E-4</v>
      </c>
      <c r="Q273" s="28">
        <v>1</v>
      </c>
      <c r="R273" s="28">
        <v>0</v>
      </c>
      <c r="S273" s="28">
        <v>0</v>
      </c>
      <c r="T273" s="28">
        <v>0</v>
      </c>
      <c r="U273" s="28">
        <v>0</v>
      </c>
      <c r="V273" s="28">
        <v>1</v>
      </c>
    </row>
    <row r="274" spans="1:22" ht="21" customHeight="1" x14ac:dyDescent="0.15">
      <c r="A274" s="2" t="str">
        <f ca="1">input_386100!A$2</f>
        <v>386100</v>
      </c>
      <c r="B274" s="7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2">
        <f ca="1">IFERROR(VLOOKUP(B274,input_386100!L:R,7,FALSE),VLOOKUP(tables_386100!C274,input_386100!A:H,8,FALSE))</f>
        <v>10972.5</v>
      </c>
      <c r="P274" s="43">
        <f t="shared" ca="1" si="14"/>
        <v>6.075581395348837E-3</v>
      </c>
      <c r="Q274" s="28">
        <v>1</v>
      </c>
      <c r="R274" s="28">
        <v>0</v>
      </c>
      <c r="S274" s="28">
        <v>0</v>
      </c>
      <c r="T274" s="28">
        <v>0</v>
      </c>
      <c r="U274" s="28">
        <v>0</v>
      </c>
      <c r="V274" s="28">
        <v>1</v>
      </c>
    </row>
    <row r="275" spans="1:22" ht="21" customHeight="1" x14ac:dyDescent="0.15">
      <c r="A275" s="2" t="str">
        <f ca="1">input_386100!A$2</f>
        <v>386100</v>
      </c>
      <c r="B275" s="7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2">
        <f ca="1">IFERROR(VLOOKUP(B275,input_386100!L:R,7,FALSE),VLOOKUP(tables_386100!C275,input_386100!A:H,8,FALSE))</f>
        <v>577.5</v>
      </c>
      <c r="P275" s="43">
        <f t="shared" ca="1" si="14"/>
        <v>3.1976744186046509E-4</v>
      </c>
      <c r="Q275" s="28">
        <v>1</v>
      </c>
      <c r="R275" s="28">
        <v>0</v>
      </c>
      <c r="S275" s="28">
        <v>0</v>
      </c>
      <c r="T275" s="28">
        <v>0</v>
      </c>
      <c r="U275" s="28">
        <v>0</v>
      </c>
      <c r="V275" s="28">
        <v>1</v>
      </c>
    </row>
    <row r="276" spans="1:22" ht="21" customHeight="1" x14ac:dyDescent="0.15">
      <c r="A276" s="2" t="str">
        <f ca="1">input_386100!A$2</f>
        <v>386100</v>
      </c>
      <c r="B276" s="7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2">
        <f ca="1">IFERROR(VLOOKUP(B276,input_386100!L:R,7,FALSE),VLOOKUP(tables_386100!C276,input_386100!A:H,8,FALSE))</f>
        <v>10972.5</v>
      </c>
      <c r="P276" s="43">
        <f t="shared" ca="1" si="14"/>
        <v>6.075581395348837E-3</v>
      </c>
      <c r="Q276" s="28">
        <v>1</v>
      </c>
      <c r="R276" s="28">
        <v>0</v>
      </c>
      <c r="S276" s="28">
        <v>0</v>
      </c>
      <c r="T276" s="28">
        <v>0</v>
      </c>
      <c r="U276" s="28">
        <v>0</v>
      </c>
      <c r="V276" s="28">
        <v>1</v>
      </c>
    </row>
    <row r="277" spans="1:22" ht="21" customHeight="1" x14ac:dyDescent="0.15">
      <c r="A277" s="2" t="str">
        <f ca="1">input_386100!A$2</f>
        <v>386100</v>
      </c>
      <c r="B277" s="7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2">
        <f ca="1">IFERROR(VLOOKUP(B277,input_386100!L:R,7,FALSE),VLOOKUP(tables_386100!C277,input_386100!A:H,8,FALSE))</f>
        <v>577.5</v>
      </c>
      <c r="P277" s="43">
        <f t="shared" ca="1" si="14"/>
        <v>3.1976744186046509E-4</v>
      </c>
      <c r="Q277" s="28">
        <v>1</v>
      </c>
      <c r="R277" s="28">
        <v>0</v>
      </c>
      <c r="S277" s="28">
        <v>0</v>
      </c>
      <c r="T277" s="28">
        <v>0</v>
      </c>
      <c r="U277" s="28">
        <v>0</v>
      </c>
      <c r="V277" s="28">
        <v>1</v>
      </c>
    </row>
    <row r="278" spans="1:22" ht="21" customHeight="1" x14ac:dyDescent="0.15">
      <c r="A278" s="2" t="str">
        <f ca="1">input_386100!A$2</f>
        <v>386100</v>
      </c>
      <c r="B278" s="7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2">
        <f ca="1">IFERROR(VLOOKUP(B278,input_386100!L:R,7,FALSE),VLOOKUP(tables_386100!C278,input_386100!A:H,8,FALSE))</f>
        <v>10972.5</v>
      </c>
      <c r="P278" s="43">
        <f t="shared" ca="1" si="14"/>
        <v>6.075581395348837E-3</v>
      </c>
      <c r="Q278" s="28">
        <v>1</v>
      </c>
      <c r="R278" s="28">
        <v>0</v>
      </c>
      <c r="S278" s="28">
        <v>0</v>
      </c>
      <c r="T278" s="28">
        <v>0</v>
      </c>
      <c r="U278" s="28">
        <v>0</v>
      </c>
      <c r="V278" s="28">
        <v>1</v>
      </c>
    </row>
    <row r="279" spans="1:22" ht="21" customHeight="1" x14ac:dyDescent="0.15">
      <c r="A279" s="2" t="str">
        <f ca="1">input_386100!A$2</f>
        <v>386100</v>
      </c>
      <c r="B279" s="7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2">
        <f ca="1">IFERROR(VLOOKUP(B279,input_386100!L:R,7,FALSE),VLOOKUP(tables_386100!C279,input_386100!A:H,8,FALSE))</f>
        <v>577.5</v>
      </c>
      <c r="P279" s="43">
        <f t="shared" ca="1" si="14"/>
        <v>3.1976744186046509E-4</v>
      </c>
      <c r="Q279" s="28">
        <v>1</v>
      </c>
      <c r="R279" s="28">
        <v>0</v>
      </c>
      <c r="S279" s="28">
        <v>0</v>
      </c>
      <c r="T279" s="28">
        <v>0</v>
      </c>
      <c r="U279" s="28">
        <v>0</v>
      </c>
      <c r="V279" s="28">
        <v>1</v>
      </c>
    </row>
    <row r="280" spans="1:22" ht="21" customHeight="1" x14ac:dyDescent="0.15">
      <c r="A280" s="2" t="str">
        <f ca="1">input_386100!A$2</f>
        <v>386100</v>
      </c>
      <c r="B280" s="7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2">
        <f ca="1">IFERROR(VLOOKUP(B280,input_386100!L:R,7,FALSE),VLOOKUP(tables_386100!C280,input_386100!A:H,8,FALSE))</f>
        <v>10972.5</v>
      </c>
      <c r="P280" s="43">
        <f t="shared" ca="1" si="14"/>
        <v>6.075581395348837E-3</v>
      </c>
      <c r="Q280" s="28">
        <v>1</v>
      </c>
      <c r="R280" s="28">
        <v>0</v>
      </c>
      <c r="S280" s="28">
        <v>0</v>
      </c>
      <c r="T280" s="28">
        <v>0</v>
      </c>
      <c r="U280" s="28">
        <v>0</v>
      </c>
      <c r="V280" s="28">
        <v>1</v>
      </c>
    </row>
    <row r="281" spans="1:22" ht="21" customHeight="1" x14ac:dyDescent="0.15">
      <c r="A281" s="2" t="str">
        <f ca="1">input_386100!A$2</f>
        <v>386100</v>
      </c>
      <c r="B281" s="7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2">
        <f ca="1">IFERROR(VLOOKUP(B281,input_386100!L:R,7,FALSE),VLOOKUP(tables_386100!C281,input_386100!A:H,8,FALSE))</f>
        <v>577.5</v>
      </c>
      <c r="P281" s="43">
        <f t="shared" ca="1" si="14"/>
        <v>3.1976744186046509E-4</v>
      </c>
      <c r="Q281" s="28">
        <v>1</v>
      </c>
      <c r="R281" s="28">
        <v>0</v>
      </c>
      <c r="S281" s="28">
        <v>0</v>
      </c>
      <c r="T281" s="28">
        <v>0</v>
      </c>
      <c r="U281" s="28">
        <v>0</v>
      </c>
      <c r="V281" s="28">
        <v>1</v>
      </c>
    </row>
    <row r="282" spans="1:22" ht="21" customHeight="1" x14ac:dyDescent="0.15">
      <c r="A282" s="2" t="str">
        <f ca="1">input_386100!A$2</f>
        <v>386100</v>
      </c>
      <c r="B282" s="7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2">
        <f ca="1">IFERROR(VLOOKUP(B282,input_386100!L:R,7,FALSE),VLOOKUP(tables_386100!C282,input_386100!A:H,8,FALSE))</f>
        <v>1290</v>
      </c>
      <c r="P282" s="43">
        <f t="shared" ca="1" si="14"/>
        <v>7.1428571428571429E-4</v>
      </c>
      <c r="Q282" s="28">
        <v>1</v>
      </c>
      <c r="R282" s="28">
        <v>0</v>
      </c>
      <c r="S282" s="28">
        <v>0</v>
      </c>
      <c r="T282" s="28">
        <v>0</v>
      </c>
      <c r="U282" s="28">
        <v>0</v>
      </c>
      <c r="V282" s="28">
        <v>1</v>
      </c>
    </row>
    <row r="283" spans="1:22" ht="21" customHeight="1" x14ac:dyDescent="0.15">
      <c r="A283" s="2" t="str">
        <f ca="1">input_386100!A$2</f>
        <v>386100</v>
      </c>
      <c r="B283" s="7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2">
        <f ca="1">IFERROR(VLOOKUP(B283,input_386100!L:R,7,FALSE),VLOOKUP(tables_386100!C283,input_386100!A:H,8,FALSE))</f>
        <v>1290</v>
      </c>
      <c r="P283" s="43">
        <f t="shared" ca="1" si="14"/>
        <v>7.1428571428571429E-4</v>
      </c>
      <c r="Q283" s="28">
        <v>1</v>
      </c>
      <c r="R283" s="28">
        <v>0</v>
      </c>
      <c r="S283" s="28">
        <v>0</v>
      </c>
      <c r="T283" s="28">
        <v>0</v>
      </c>
      <c r="U283" s="28">
        <v>0</v>
      </c>
      <c r="V283" s="28">
        <v>1</v>
      </c>
    </row>
    <row r="284" spans="1:22" ht="21" customHeight="1" x14ac:dyDescent="0.15">
      <c r="A284" s="2" t="str">
        <f ca="1">input_386100!A$2</f>
        <v>386100</v>
      </c>
      <c r="B284" s="80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IFERROR(VLOOKUP(B284,input_386100!L:R,7,FALSE),VLOOKUP(tables_386100!C284,input_386100!A:H,8,FALSE))</f>
        <v>1290</v>
      </c>
      <c r="P284" s="43">
        <f t="shared" ca="1" si="14"/>
        <v>7.1428571428571429E-4</v>
      </c>
      <c r="Q284" s="28">
        <v>1</v>
      </c>
      <c r="R284" s="28">
        <v>0</v>
      </c>
      <c r="S284" s="28">
        <v>0</v>
      </c>
      <c r="T284" s="28">
        <v>0</v>
      </c>
      <c r="U284" s="28">
        <v>0</v>
      </c>
      <c r="V284" s="28">
        <v>1</v>
      </c>
    </row>
    <row r="285" spans="1:22" ht="21" customHeight="1" x14ac:dyDescent="0.15">
      <c r="A285" s="2" t="str">
        <f ca="1">input_386100!A$2</f>
        <v>386100</v>
      </c>
      <c r="B285" s="80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IFERROR(VLOOKUP(B285,input_386100!L:R,7,FALSE),VLOOKUP(tables_386100!C285,input_386100!A:H,8,FALSE))</f>
        <v>1290</v>
      </c>
      <c r="P285" s="43">
        <f t="shared" ca="1" si="14"/>
        <v>7.1428571428571429E-4</v>
      </c>
      <c r="Q285" s="28">
        <v>1</v>
      </c>
      <c r="R285" s="28">
        <v>0</v>
      </c>
      <c r="S285" s="28">
        <v>0</v>
      </c>
      <c r="T285" s="28">
        <v>0</v>
      </c>
      <c r="U285" s="28">
        <v>0</v>
      </c>
      <c r="V285" s="28">
        <v>1</v>
      </c>
    </row>
    <row r="286" spans="1:22" ht="21" customHeight="1" x14ac:dyDescent="0.15">
      <c r="A286" s="2" t="str">
        <f ca="1">input_386100!A$2</f>
        <v>386100</v>
      </c>
      <c r="B286" s="80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IFERROR(VLOOKUP(B286,input_386100!L:R,7,FALSE),VLOOKUP(tables_386100!C286,input_386100!A:H,8,FALSE))</f>
        <v>10972.5</v>
      </c>
      <c r="P286" s="43">
        <f t="shared" ca="1" si="14"/>
        <v>6.075581395348837E-3</v>
      </c>
      <c r="Q286" s="28">
        <v>1</v>
      </c>
      <c r="R286" s="28">
        <v>0</v>
      </c>
      <c r="S286" s="28">
        <v>0</v>
      </c>
      <c r="T286" s="28">
        <v>0</v>
      </c>
      <c r="U286" s="28">
        <v>0</v>
      </c>
      <c r="V286" s="28">
        <v>1</v>
      </c>
    </row>
    <row r="287" spans="1:22" ht="21" customHeight="1" x14ac:dyDescent="0.15">
      <c r="A287" s="2" t="str">
        <f ca="1">input_386100!A$2</f>
        <v>386100</v>
      </c>
      <c r="B287" s="80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IFERROR(VLOOKUP(B287,input_386100!L:R,7,FALSE),VLOOKUP(tables_386100!C287,input_386100!A:H,8,FALSE))</f>
        <v>577.5</v>
      </c>
      <c r="P287" s="43">
        <f t="shared" ca="1" si="14"/>
        <v>3.1976744186046509E-4</v>
      </c>
      <c r="Q287" s="28">
        <v>1</v>
      </c>
      <c r="R287" s="28">
        <v>0</v>
      </c>
      <c r="S287" s="28">
        <v>0</v>
      </c>
      <c r="T287" s="28">
        <v>0</v>
      </c>
      <c r="U287" s="28">
        <v>0</v>
      </c>
      <c r="V287" s="28">
        <v>1</v>
      </c>
    </row>
    <row r="288" spans="1:22" ht="21" customHeight="1" x14ac:dyDescent="0.15">
      <c r="A288" s="2" t="str">
        <f ca="1">input_386100!A$2</f>
        <v>386100</v>
      </c>
      <c r="B288" s="80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IFERROR(VLOOKUP(B288,input_386100!L:R,7,FALSE),VLOOKUP(tables_386100!C288,input_386100!A:H,8,FALSE))</f>
        <v>10972.5</v>
      </c>
      <c r="P288" s="43">
        <f t="shared" ca="1" si="14"/>
        <v>6.075581395348837E-3</v>
      </c>
      <c r="Q288" s="28">
        <v>1</v>
      </c>
      <c r="R288" s="28">
        <v>0</v>
      </c>
      <c r="S288" s="28">
        <v>0</v>
      </c>
      <c r="T288" s="28">
        <v>0</v>
      </c>
      <c r="U288" s="28">
        <v>0</v>
      </c>
      <c r="V288" s="28">
        <v>1</v>
      </c>
    </row>
    <row r="289" spans="1:22" ht="21" customHeight="1" x14ac:dyDescent="0.15">
      <c r="A289" s="2" t="str">
        <f ca="1">input_386100!A$2</f>
        <v>386100</v>
      </c>
      <c r="B289" s="80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IFERROR(VLOOKUP(B289,input_386100!L:R,7,FALSE),VLOOKUP(tables_386100!C289,input_386100!A:H,8,FALSE))</f>
        <v>577.5</v>
      </c>
      <c r="P289" s="43">
        <f t="shared" ca="1" si="14"/>
        <v>3.1976744186046509E-4</v>
      </c>
      <c r="Q289" s="28">
        <v>1</v>
      </c>
      <c r="R289" s="28">
        <v>0</v>
      </c>
      <c r="S289" s="28">
        <v>0</v>
      </c>
      <c r="T289" s="28">
        <v>0</v>
      </c>
      <c r="U289" s="28">
        <v>0</v>
      </c>
      <c r="V289" s="28">
        <v>1</v>
      </c>
    </row>
    <row r="290" spans="1:22" ht="21" customHeight="1" x14ac:dyDescent="0.15">
      <c r="A290" s="2" t="str">
        <f ca="1">input_386100!A$2</f>
        <v>386100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2">
        <f ca="1">IFERROR(VLOOKUP(B290,input_386100!L:R,7,FALSE),VLOOKUP(tables_386100!C290,input_386100!A:H,8,FALSE))</f>
        <v>1290</v>
      </c>
      <c r="P290" s="43">
        <f t="shared" ca="1" si="14"/>
        <v>7.1428571428571429E-4</v>
      </c>
      <c r="Q290" s="28">
        <v>1</v>
      </c>
      <c r="R290" s="28">
        <v>0</v>
      </c>
      <c r="S290" s="28">
        <v>0</v>
      </c>
      <c r="T290" s="28">
        <v>0</v>
      </c>
      <c r="U290" s="28">
        <v>0</v>
      </c>
      <c r="V290" s="28">
        <v>1</v>
      </c>
    </row>
    <row r="291" spans="1:22" ht="21" customHeight="1" x14ac:dyDescent="0.15">
      <c r="A291" s="2" t="str">
        <f ca="1">input_386100!A$2</f>
        <v>386100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2">
        <f ca="1">IFERROR(VLOOKUP(B291,input_386100!L:R,7,FALSE),VLOOKUP(tables_386100!C291,input_386100!A:H,8,FALSE))</f>
        <v>10972.5</v>
      </c>
      <c r="P291" s="43">
        <f t="shared" ca="1" si="14"/>
        <v>6.075581395348837E-3</v>
      </c>
      <c r="Q291" s="28">
        <v>1</v>
      </c>
      <c r="R291" s="28">
        <v>0</v>
      </c>
      <c r="S291" s="28">
        <v>0</v>
      </c>
      <c r="T291" s="28">
        <v>0</v>
      </c>
      <c r="U291" s="28">
        <v>0</v>
      </c>
      <c r="V291" s="28">
        <v>1</v>
      </c>
    </row>
    <row r="292" spans="1:22" ht="21" customHeight="1" x14ac:dyDescent="0.15">
      <c r="A292" s="2" t="str">
        <f ca="1">input_386100!A$2</f>
        <v>386100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2">
        <f ca="1">IFERROR(VLOOKUP(B292,input_386100!L:R,7,FALSE),VLOOKUP(tables_386100!C292,input_386100!A:H,8,FALSE))</f>
        <v>577.5</v>
      </c>
      <c r="P292" s="43">
        <f t="shared" ca="1" si="14"/>
        <v>3.1976744186046509E-4</v>
      </c>
      <c r="Q292" s="28">
        <v>1</v>
      </c>
      <c r="R292" s="28">
        <v>0</v>
      </c>
      <c r="S292" s="28">
        <v>0</v>
      </c>
      <c r="T292" s="28">
        <v>0</v>
      </c>
      <c r="U292" s="28">
        <v>0</v>
      </c>
      <c r="V292" s="28">
        <v>1</v>
      </c>
    </row>
    <row r="293" spans="1:22" ht="21" customHeight="1" x14ac:dyDescent="0.15">
      <c r="A293" s="2" t="str">
        <f ca="1">input_386100!A$2</f>
        <v>386100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2">
        <f ca="1">IFERROR(VLOOKUP(B293,input_386100!L:R,7,FALSE),VLOOKUP(tables_386100!C293,input_386100!A:H,8,FALSE))</f>
        <v>1290</v>
      </c>
      <c r="P293" s="43">
        <f t="shared" ca="1" si="14"/>
        <v>7.1428571428571429E-4</v>
      </c>
      <c r="Q293" s="28">
        <v>1</v>
      </c>
      <c r="R293" s="28">
        <v>0</v>
      </c>
      <c r="S293" s="28">
        <v>0</v>
      </c>
      <c r="T293" s="28">
        <v>0</v>
      </c>
      <c r="U293" s="28">
        <v>0</v>
      </c>
      <c r="V293" s="28">
        <v>1</v>
      </c>
    </row>
    <row r="294" spans="1:22" ht="21" customHeight="1" x14ac:dyDescent="0.15">
      <c r="A294" s="2" t="str">
        <f ca="1">input_386100!A$2</f>
        <v>386100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IFERROR(VLOOKUP(B294,input_386100!L:R,7,FALSE),VLOOKUP(tables_386100!C294,input_386100!A:H,8,FALSE))</f>
        <v>1290</v>
      </c>
      <c r="P294" s="43">
        <f t="shared" ca="1" si="14"/>
        <v>7.1428571428571429E-4</v>
      </c>
      <c r="Q294" s="28">
        <v>1</v>
      </c>
      <c r="R294" s="28">
        <v>0</v>
      </c>
      <c r="S294" s="28">
        <v>0</v>
      </c>
      <c r="T294" s="28">
        <v>0</v>
      </c>
      <c r="U294" s="28">
        <v>0</v>
      </c>
      <c r="V294" s="28">
        <v>1</v>
      </c>
    </row>
    <row r="295" spans="1:22" ht="21" customHeight="1" x14ac:dyDescent="0.15">
      <c r="A295" s="2" t="str">
        <f ca="1">input_386100!A$2</f>
        <v>386100</v>
      </c>
      <c r="B295" s="5">
        <v>1012</v>
      </c>
      <c r="C295" s="7" t="str">
        <f t="shared" ref="C295:C307" si="23">D295&amp;J295&amp;E295&amp;F295&amp;G295</f>
        <v>PremiumSS5R5only</v>
      </c>
      <c r="D295" s="7" t="str">
        <f t="shared" ref="D295:D307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2">
        <f ca="1">IFERROR(VLOOKUP(B295,input_386100!L:R,7,FALSE),VLOOKUP(tables_386100!C295,input_386100!A:H,8,FALSE))</f>
        <v>1290</v>
      </c>
      <c r="P295" s="43">
        <f t="shared" ca="1" si="14"/>
        <v>7.1428571428571429E-4</v>
      </c>
      <c r="Q295" s="28">
        <v>1</v>
      </c>
      <c r="R295" s="28">
        <v>0</v>
      </c>
      <c r="S295" s="28">
        <v>0</v>
      </c>
      <c r="T295" s="28">
        <v>0</v>
      </c>
      <c r="U295" s="28">
        <v>0</v>
      </c>
      <c r="V295" s="28">
        <v>1</v>
      </c>
    </row>
    <row r="296" spans="1:22" ht="21" customHeight="1" x14ac:dyDescent="0.15">
      <c r="A296" s="2" t="str">
        <f ca="1">input_386100!A$2</f>
        <v>386100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2">
        <f ca="1">IFERROR(VLOOKUP(B296,input_386100!L:R,7,FALSE),VLOOKUP(tables_386100!C296,input_386100!A:H,8,FALSE))</f>
        <v>1290</v>
      </c>
      <c r="P296" s="43">
        <f t="shared" ca="1" si="14"/>
        <v>7.1428571428571429E-4</v>
      </c>
      <c r="Q296" s="28">
        <v>1</v>
      </c>
      <c r="R296" s="28">
        <v>0</v>
      </c>
      <c r="S296" s="28">
        <v>0</v>
      </c>
      <c r="T296" s="28">
        <v>0</v>
      </c>
      <c r="U296" s="28">
        <v>0</v>
      </c>
      <c r="V296" s="28">
        <v>1</v>
      </c>
    </row>
    <row r="297" spans="1:22" ht="21" customHeight="1" x14ac:dyDescent="0.15">
      <c r="A297" s="2" t="str">
        <f ca="1">input_386100!A$2</f>
        <v>386100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2">
        <f ca="1">IFERROR(VLOOKUP(B297,input_386100!L:R,7,FALSE),VLOOKUP(tables_386100!C297,input_386100!A:H,8,FALSE))</f>
        <v>10972.5</v>
      </c>
      <c r="P297" s="43">
        <f t="shared" ca="1" si="14"/>
        <v>6.075581395348837E-3</v>
      </c>
      <c r="Q297" s="28">
        <v>1</v>
      </c>
      <c r="R297" s="28">
        <v>0</v>
      </c>
      <c r="S297" s="28">
        <v>0</v>
      </c>
      <c r="T297" s="28">
        <v>0</v>
      </c>
      <c r="U297" s="28">
        <v>0</v>
      </c>
      <c r="V297" s="28">
        <v>1</v>
      </c>
    </row>
    <row r="298" spans="1:22" ht="21" customHeight="1" x14ac:dyDescent="0.15">
      <c r="A298" s="2" t="str">
        <f ca="1">input_386100!A$2</f>
        <v>386100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2">
        <f ca="1">IFERROR(VLOOKUP(B298,input_386100!L:R,7,FALSE),VLOOKUP(tables_386100!C298,input_386100!A:H,8,FALSE))</f>
        <v>577.5</v>
      </c>
      <c r="P298" s="43">
        <f t="shared" ca="1" si="14"/>
        <v>3.1976744186046509E-4</v>
      </c>
      <c r="Q298" s="28">
        <v>1</v>
      </c>
      <c r="R298" s="28">
        <v>0</v>
      </c>
      <c r="S298" s="28">
        <v>0</v>
      </c>
      <c r="T298" s="28">
        <v>0</v>
      </c>
      <c r="U298" s="28">
        <v>0</v>
      </c>
      <c r="V298" s="28">
        <v>1</v>
      </c>
    </row>
    <row r="299" spans="1:22" ht="21" customHeight="1" x14ac:dyDescent="0.15">
      <c r="A299" s="2" t="str">
        <f ca="1">input_386100!A$2</f>
        <v>386100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2">
        <f ca="1">IFERROR(VLOOKUP(B299,input_386100!L:R,7,FALSE),VLOOKUP(tables_386100!C299,input_386100!A:H,8,FALSE))</f>
        <v>1290</v>
      </c>
      <c r="P299" s="43">
        <f t="shared" ca="1" si="14"/>
        <v>7.1428571428571429E-4</v>
      </c>
      <c r="Q299" s="28">
        <v>1</v>
      </c>
      <c r="R299" s="28">
        <v>0</v>
      </c>
      <c r="S299" s="28">
        <v>0</v>
      </c>
      <c r="T299" s="28">
        <v>0</v>
      </c>
      <c r="U299" s="28">
        <v>0</v>
      </c>
      <c r="V299" s="28">
        <v>1</v>
      </c>
    </row>
    <row r="300" spans="1:22" ht="21" customHeight="1" x14ac:dyDescent="0.15">
      <c r="A300" s="2" t="str">
        <f ca="1">input_386100!A$2</f>
        <v>386100</v>
      </c>
      <c r="B300" s="5">
        <v>996</v>
      </c>
      <c r="C300" s="7" t="str">
        <f t="shared" si="23"/>
        <v>PremiumSS5R5only</v>
      </c>
      <c r="D300" s="7" t="str">
        <f t="shared" si="24"/>
        <v>PremiumSS</v>
      </c>
      <c r="E300" s="7" t="str">
        <f>IF(COUNTIF('R6追加前'!A:A,B300)=0,IF(I300="PremiumSS","R5only","R3less"),"")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リヴァイ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blue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>IFERROR(VLOOKUP(B300,input_386100!L:R,7,FALSE),VLOOKUP(tables_386100!C300,input_386100!A:H,8,FALSE))</f>
        <v>18060</v>
      </c>
      <c r="P300" s="43">
        <f t="shared" ca="1" si="14"/>
        <v>0.01</v>
      </c>
      <c r="Q300" s="110">
        <v>80</v>
      </c>
      <c r="R300" s="28">
        <v>0</v>
      </c>
      <c r="S300" s="28">
        <v>0</v>
      </c>
      <c r="T300" s="28">
        <v>0</v>
      </c>
      <c r="U300" s="28">
        <v>0</v>
      </c>
      <c r="V300" s="110">
        <v>3</v>
      </c>
    </row>
    <row r="301" spans="1:22" ht="21" customHeight="1" x14ac:dyDescent="0.15">
      <c r="A301" s="2" t="str">
        <f ca="1">input_386100!A$2</f>
        <v>386100</v>
      </c>
      <c r="B301" s="5">
        <v>988</v>
      </c>
      <c r="C301" s="7" t="str">
        <f t="shared" si="23"/>
        <v>PremiumSS5R5only</v>
      </c>
      <c r="D301" s="7" t="str">
        <f t="shared" si="24"/>
        <v>PremiumSS</v>
      </c>
      <c r="E301" s="7" t="str">
        <f>IF(COUNTIF('R6追加前'!A:A,B301)=0,IF(I301="PremiumSS","R5only","R3less"),"")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ミカサ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2">
        <f>IFERROR(VLOOKUP(B301,input_386100!L:R,7,FALSE),VLOOKUP(tables_386100!C301,input_386100!A:H,8,FALSE))</f>
        <v>18060</v>
      </c>
      <c r="P301" s="43">
        <f t="shared" ca="1" si="14"/>
        <v>0.01</v>
      </c>
      <c r="Q301" s="110">
        <v>80</v>
      </c>
      <c r="R301" s="28">
        <v>0</v>
      </c>
      <c r="S301" s="28">
        <v>0</v>
      </c>
      <c r="T301" s="28">
        <v>0</v>
      </c>
      <c r="U301" s="28">
        <v>0</v>
      </c>
      <c r="V301" s="110">
        <v>3</v>
      </c>
    </row>
    <row r="302" spans="1:22" ht="21" customHeight="1" x14ac:dyDescent="0.15">
      <c r="A302" s="2" t="str">
        <f ca="1">input_386100!A$2</f>
        <v>386100</v>
      </c>
      <c r="B302" s="5">
        <v>994</v>
      </c>
      <c r="C302" s="7" t="str">
        <f t="shared" si="23"/>
        <v>Premium4R3less</v>
      </c>
      <c r="D302" s="7" t="str">
        <f t="shared" si="24"/>
        <v>Premium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/>
      <c r="H302" s="7" t="str">
        <f>VLOOKUP(B302,[1]characters!$A:$C,3,FALSE)</f>
        <v>アルミン</v>
      </c>
      <c r="I302" s="7" t="str">
        <f>VLOOKUP(B302,[1]characters!$A:$J,10,FALSE)</f>
        <v>PremiumS</v>
      </c>
      <c r="J302" s="7">
        <f>VLOOKUP(B302,[1]characters!$A:$I,9,FALSE)</f>
        <v>4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2">
        <f>IFERROR(VLOOKUP(B302,input_386100!L:R,7,FALSE),VLOOKUP(tables_386100!C302,input_386100!A:H,8,FALSE))</f>
        <v>162540</v>
      </c>
      <c r="P302" s="43">
        <f t="shared" ca="1" si="14"/>
        <v>0.09</v>
      </c>
      <c r="Q302" s="110">
        <v>60</v>
      </c>
      <c r="R302" s="28">
        <v>0</v>
      </c>
      <c r="S302" s="28">
        <v>0</v>
      </c>
      <c r="T302" s="28">
        <v>0</v>
      </c>
      <c r="U302" s="28">
        <v>0</v>
      </c>
      <c r="V302" s="110">
        <v>3</v>
      </c>
    </row>
    <row r="303" spans="1:22" ht="21" customHeight="1" x14ac:dyDescent="0.15">
      <c r="A303" s="2" t="str">
        <f ca="1">input_386100!A$2</f>
        <v>386100</v>
      </c>
      <c r="B303" s="5">
        <v>995</v>
      </c>
      <c r="C303" s="7" t="str">
        <f t="shared" si="23"/>
        <v>Premium5R3less</v>
      </c>
      <c r="D303" s="7" t="str">
        <f t="shared" si="24"/>
        <v>Premium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疾駆する閃略 アルミン</v>
      </c>
      <c r="I303" s="7" t="str">
        <f>VLOOKUP(B303,[1]characters!$A:$J,10,FALSE)</f>
        <v>PremiumS</v>
      </c>
      <c r="J303" s="7">
        <f>VLOOKUP(B303,[1]characters!$A:$I,9,FALSE)</f>
        <v>5</v>
      </c>
      <c r="K303" s="7" t="str">
        <f>VLOOKUP(B303,[1]characters!$A:$H,8,FALSE)</f>
        <v>green</v>
      </c>
      <c r="L303" s="7" t="str">
        <f>VLOOKUP(B303,[1]characters!$A:$K,11,FALSE)</f>
        <v>balance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2">
        <f>IFERROR(VLOOKUP(B303,input_386100!L:R,7,FALSE),VLOOKUP(tables_386100!C303,input_386100!A:H,8,FALSE))</f>
        <v>18060</v>
      </c>
      <c r="P303" s="43">
        <f t="shared" ca="1" si="14"/>
        <v>0.01</v>
      </c>
      <c r="Q303" s="110">
        <v>80</v>
      </c>
      <c r="R303" s="28">
        <v>0</v>
      </c>
      <c r="S303" s="28">
        <v>0</v>
      </c>
      <c r="T303" s="28">
        <v>0</v>
      </c>
      <c r="U303" s="28">
        <v>0</v>
      </c>
      <c r="V303" s="110">
        <v>3</v>
      </c>
    </row>
    <row r="304" spans="1:22" ht="21" customHeight="1" x14ac:dyDescent="0.15">
      <c r="A304" s="2" t="str">
        <f ca="1">input_386100!A$2</f>
        <v>386100</v>
      </c>
      <c r="B304" s="5">
        <v>1000</v>
      </c>
      <c r="C304" s="7" t="str">
        <f t="shared" si="23"/>
        <v>Premium4R3less</v>
      </c>
      <c r="D304" s="7" t="str">
        <f t="shared" si="24"/>
        <v>Premium</v>
      </c>
      <c r="E304" s="7" t="str">
        <f>IF(COUNTIF('R6追加前'!A:A,B304)=0,IF(I304="PremiumSS","R5only","R3less"),"")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クリスタ</v>
      </c>
      <c r="I304" s="7" t="str">
        <f>VLOOKUP(B304,[1]characters!$A:$J,10,FALSE)</f>
        <v>PremiumS</v>
      </c>
      <c r="J304" s="7">
        <f>VLOOKUP(B304,[1]characters!$A:$I,9,FALSE)</f>
        <v>4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2">
        <f>IFERROR(VLOOKUP(B304,input_386100!L:R,7,FALSE),VLOOKUP(tables_386100!C304,input_386100!A:H,8,FALSE))</f>
        <v>243810.00000000003</v>
      </c>
      <c r="P304" s="43">
        <f t="shared" ca="1" si="14"/>
        <v>0.13500000000000001</v>
      </c>
      <c r="Q304" s="110">
        <v>60</v>
      </c>
      <c r="R304" s="28">
        <v>0</v>
      </c>
      <c r="S304" s="28">
        <v>0</v>
      </c>
      <c r="T304" s="28">
        <v>0</v>
      </c>
      <c r="U304" s="28">
        <v>0</v>
      </c>
      <c r="V304" s="110">
        <v>3</v>
      </c>
    </row>
    <row r="305" spans="1:22" ht="21" customHeight="1" x14ac:dyDescent="0.15">
      <c r="A305" s="2" t="str">
        <f ca="1">input_386100!A$2</f>
        <v>386100</v>
      </c>
      <c r="B305" s="5">
        <v>1001</v>
      </c>
      <c r="C305" s="7" t="str">
        <f t="shared" si="23"/>
        <v>Premium5R3less</v>
      </c>
      <c r="D305" s="7" t="str">
        <f t="shared" si="24"/>
        <v>Premium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細愛の女神 クリスタ</v>
      </c>
      <c r="I305" s="7" t="str">
        <f>VLOOKUP(B305,[1]characters!$A:$J,10,FALSE)</f>
        <v>PremiumS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heal</v>
      </c>
      <c r="M305" s="7" t="str">
        <f>VLOOKUP(B305,[1]characters!$A:$M,13,FALSE)</f>
        <v>human</v>
      </c>
      <c r="N305" s="7" t="str">
        <f>VLOOKUP(B305,[1]characters!$A:$G,7,FALSE)</f>
        <v>男性</v>
      </c>
      <c r="O305" s="42">
        <f>IFERROR(VLOOKUP(B305,input_386100!L:R,7,FALSE),VLOOKUP(tables_386100!C305,input_386100!A:H,8,FALSE))</f>
        <v>27090</v>
      </c>
      <c r="P305" s="43">
        <f t="shared" ca="1" si="14"/>
        <v>1.4999999999999999E-2</v>
      </c>
      <c r="Q305" s="110">
        <v>80</v>
      </c>
      <c r="R305" s="28">
        <v>0</v>
      </c>
      <c r="S305" s="28">
        <v>0</v>
      </c>
      <c r="T305" s="28">
        <v>0</v>
      </c>
      <c r="U305" s="28">
        <v>0</v>
      </c>
      <c r="V305" s="110">
        <v>3</v>
      </c>
    </row>
    <row r="306" spans="1:22" ht="21" customHeight="1" x14ac:dyDescent="0.15">
      <c r="A306" s="2" t="str">
        <f ca="1">input_386100!A$2</f>
        <v>386100</v>
      </c>
      <c r="B306" s="5">
        <v>990</v>
      </c>
      <c r="C306" s="7" t="str">
        <f t="shared" si="23"/>
        <v>Premium4R3less</v>
      </c>
      <c r="D306" s="7" t="str">
        <f t="shared" si="24"/>
        <v>Premium</v>
      </c>
      <c r="E306" s="7" t="str">
        <f>IF(COUNTIF('R6追加前'!A:A,B306)=0,IF(I306="PremiumSS","R5only","R3less"),"")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エルヴィン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>IFERROR(VLOOKUP(B306,input_386100!L:R,7,FALSE),VLOOKUP(tables_386100!C306,input_386100!A:H,8,FALSE))</f>
        <v>243810.00000000003</v>
      </c>
      <c r="P306" s="43">
        <f t="shared" ca="1" si="14"/>
        <v>0.13500000000000001</v>
      </c>
      <c r="Q306" s="110">
        <v>60</v>
      </c>
      <c r="R306" s="28">
        <v>0</v>
      </c>
      <c r="S306" s="28">
        <v>0</v>
      </c>
      <c r="T306" s="28">
        <v>0</v>
      </c>
      <c r="U306" s="28">
        <v>0</v>
      </c>
      <c r="V306" s="110">
        <v>3</v>
      </c>
    </row>
    <row r="307" spans="1:22" ht="21" customHeight="1" x14ac:dyDescent="0.15">
      <c r="A307" s="2" t="str">
        <f ca="1">input_386100!A$2</f>
        <v>386100</v>
      </c>
      <c r="B307" s="5">
        <v>991</v>
      </c>
      <c r="C307" s="7" t="str">
        <f t="shared" si="23"/>
        <v>Premium5R3less</v>
      </c>
      <c r="D307" s="7" t="str">
        <f t="shared" si="24"/>
        <v>Premium</v>
      </c>
      <c r="E307" s="7" t="str">
        <f>IF(COUNTIF('R6追加前'!A:A,B307)=0,IF(I307="PremiumSS","R5only","R3less"),"")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反撃の核心 エルヴィン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balance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2">
        <f>IFERROR(VLOOKUP(B307,input_386100!L:R,7,FALSE),VLOOKUP(tables_386100!C307,input_386100!A:H,8,FALSE))</f>
        <v>27090</v>
      </c>
      <c r="P307" s="43">
        <f t="shared" ca="1" si="14"/>
        <v>1.4999999999999999E-2</v>
      </c>
      <c r="Q307" s="110">
        <v>80</v>
      </c>
      <c r="R307" s="28">
        <v>0</v>
      </c>
      <c r="S307" s="28">
        <v>0</v>
      </c>
      <c r="T307" s="28">
        <v>0</v>
      </c>
      <c r="U307" s="28">
        <v>0</v>
      </c>
      <c r="V307" s="110">
        <v>3</v>
      </c>
    </row>
  </sheetData>
  <autoFilter ref="A1:V29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A2" sqref="A2:Q8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2" t="s">
        <v>12</v>
      </c>
      <c r="C1" s="14" t="s">
        <v>14</v>
      </c>
      <c r="D1" s="14" t="s">
        <v>15</v>
      </c>
      <c r="E1" s="14" t="s">
        <v>16</v>
      </c>
      <c r="F1" s="13" t="s">
        <v>2</v>
      </c>
      <c r="G1" s="49" t="s">
        <v>86</v>
      </c>
      <c r="H1" s="49" t="s">
        <v>87</v>
      </c>
      <c r="I1" s="50" t="s">
        <v>88</v>
      </c>
      <c r="J1" s="50" t="s">
        <v>89</v>
      </c>
      <c r="K1" s="50" t="s">
        <v>90</v>
      </c>
      <c r="L1" s="50" t="s">
        <v>91</v>
      </c>
      <c r="M1" s="50" t="s">
        <v>92</v>
      </c>
      <c r="N1" s="13" t="s">
        <v>17</v>
      </c>
      <c r="O1" s="13" t="s">
        <v>18</v>
      </c>
      <c r="P1" s="13" t="s">
        <v>19</v>
      </c>
      <c r="Q1" s="13" t="s">
        <v>20</v>
      </c>
    </row>
    <row r="2" spans="1:17" ht="21" customHeight="1" x14ac:dyDescent="0.15">
      <c r="A2" s="71"/>
      <c r="B2" s="71"/>
      <c r="C2" s="2"/>
      <c r="D2" s="2"/>
      <c r="E2" s="2"/>
      <c r="F2" s="2"/>
      <c r="G2" s="104"/>
      <c r="H2" s="104"/>
      <c r="I2" s="104"/>
      <c r="J2" s="104"/>
      <c r="K2" s="104"/>
      <c r="L2" s="104"/>
      <c r="M2" s="104"/>
      <c r="N2" s="72"/>
      <c r="O2" s="72"/>
      <c r="P2" s="72"/>
      <c r="Q2" s="73"/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31</v>
      </c>
      <c r="B1" s="3" t="s">
        <v>32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7">
        <v>668</v>
      </c>
      <c r="B246" s="7" t="str">
        <f>VLOOKUP(A246,[1]characters!$A:$C,3,FALSE)</f>
        <v>アグニ</v>
      </c>
    </row>
    <row r="247" spans="1:2" x14ac:dyDescent="0.15">
      <c r="A247" s="57">
        <v>669</v>
      </c>
      <c r="B247" s="7" t="str">
        <f>VLOOKUP(A247,[1]characters!$A:$C,3,FALSE)</f>
        <v>天地の仲界 アグニ</v>
      </c>
    </row>
    <row r="248" spans="1:2" x14ac:dyDescent="0.15">
      <c r="A248" s="57">
        <v>670</v>
      </c>
      <c r="B248" s="7" t="str">
        <f>VLOOKUP(A248,[1]characters!$A:$C,3,FALSE)</f>
        <v>陽天の噴煙 アグニ</v>
      </c>
    </row>
    <row r="249" spans="1:2" x14ac:dyDescent="0.15">
      <c r="A249" s="57">
        <v>671</v>
      </c>
      <c r="B249" s="7" t="str">
        <f>VLOOKUP(A249,[1]characters!$A:$C,3,FALSE)</f>
        <v>ハヌマーン</v>
      </c>
    </row>
    <row r="250" spans="1:2" x14ac:dyDescent="0.15">
      <c r="A250" s="57">
        <v>672</v>
      </c>
      <c r="B250" s="7" t="str">
        <f>VLOOKUP(A250,[1]characters!$A:$C,3,FALSE)</f>
        <v>西遊韋駄天 ハヌマーン</v>
      </c>
    </row>
    <row r="251" spans="1:2" x14ac:dyDescent="0.15">
      <c r="A251" s="57">
        <v>673</v>
      </c>
      <c r="B251" s="7" t="str">
        <f>VLOOKUP(A251,[1]characters!$A:$C,3,FALSE)</f>
        <v>変幻自在の猿王 ハヌマーン</v>
      </c>
    </row>
    <row r="252" spans="1:2" x14ac:dyDescent="0.15">
      <c r="A252" s="57">
        <v>674</v>
      </c>
      <c r="B252" s="7" t="str">
        <f>VLOOKUP(A252,[1]characters!$A:$C,3,FALSE)</f>
        <v>サラスヴァティ</v>
      </c>
    </row>
    <row r="253" spans="1:2" x14ac:dyDescent="0.15">
      <c r="A253" s="57">
        <v>675</v>
      </c>
      <c r="B253" s="7" t="str">
        <f>VLOOKUP(A253,[1]characters!$A:$C,3,FALSE)</f>
        <v>芸楽の奔流 サラスヴァティ</v>
      </c>
    </row>
    <row r="254" spans="1:2" x14ac:dyDescent="0.15">
      <c r="A254" s="57">
        <v>676</v>
      </c>
      <c r="B254" s="7" t="str">
        <f>VLOOKUP(A254,[1]characters!$A:$C,3,FALSE)</f>
        <v>ヴィシュヌ</v>
      </c>
    </row>
    <row r="255" spans="1:2" x14ac:dyDescent="0.15">
      <c r="A255" s="57">
        <v>677</v>
      </c>
      <c r="B255" s="7" t="str">
        <f>VLOOKUP(A255,[1]characters!$A:$C,3,FALSE)</f>
        <v>武遊闊歩 ヴィシュヌ</v>
      </c>
    </row>
    <row r="256" spans="1:2" x14ac:dyDescent="0.15">
      <c r="A256" s="57">
        <v>770</v>
      </c>
      <c r="B256" s="7" t="str">
        <f>VLOOKUP(A256,[1]characters!$A:$C,3,FALSE)</f>
        <v>ハヅル</v>
      </c>
    </row>
    <row r="257" spans="1:2" x14ac:dyDescent="0.15">
      <c r="A257" s="57">
        <v>771</v>
      </c>
      <c r="B257" s="7" t="str">
        <f>VLOOKUP(A257,[1]characters!$A:$C,3,FALSE)</f>
        <v>天織羽鶴 ハヅル</v>
      </c>
    </row>
    <row r="258" spans="1:2" x14ac:dyDescent="0.15">
      <c r="A258" s="57">
        <v>772</v>
      </c>
      <c r="B258" s="7" t="str">
        <f>VLOOKUP(A258,[1]characters!$A:$C,3,FALSE)</f>
        <v>イナバ</v>
      </c>
    </row>
    <row r="259" spans="1:2" x14ac:dyDescent="0.15">
      <c r="A259" s="57">
        <v>773</v>
      </c>
      <c r="B259" s="7" t="str">
        <f>VLOOKUP(A259,[1]characters!$A:$C,3,FALSE)</f>
        <v>浮跳天兎 イナバ</v>
      </c>
    </row>
    <row r="260" spans="1:2" x14ac:dyDescent="0.15">
      <c r="A260" s="57">
        <v>774</v>
      </c>
      <c r="B260" s="7" t="str">
        <f>VLOOKUP(A260,[1]characters!$A:$C,3,FALSE)</f>
        <v>ミズチ</v>
      </c>
    </row>
    <row r="261" spans="1:2" x14ac:dyDescent="0.15">
      <c r="A261" s="57">
        <v>775</v>
      </c>
      <c r="B261" s="7" t="str">
        <f>VLOOKUP(A261,[1]characters!$A:$C,3,FALSE)</f>
        <v>水底霊竜 ミズチ</v>
      </c>
    </row>
    <row r="262" spans="1:2" x14ac:dyDescent="0.15">
      <c r="A262" s="57">
        <v>776</v>
      </c>
      <c r="B262" s="7" t="str">
        <f>VLOOKUP(A262,[1]characters!$A:$C,3,FALSE)</f>
        <v>水竜底主 ミズチ</v>
      </c>
    </row>
    <row r="263" spans="1:2" x14ac:dyDescent="0.15">
      <c r="A263" s="57">
        <v>777</v>
      </c>
      <c r="B263" s="7" t="str">
        <f>VLOOKUP(A263,[1]characters!$A:$C,3,FALSE)</f>
        <v>ガメック</v>
      </c>
    </row>
    <row r="264" spans="1:2" x14ac:dyDescent="0.15">
      <c r="A264" s="57">
        <v>778</v>
      </c>
      <c r="B264" s="7" t="str">
        <f>VLOOKUP(A264,[1]characters!$A:$C,3,FALSE)</f>
        <v>一亀懸明 ガメック</v>
      </c>
    </row>
    <row r="265" spans="1:2" x14ac:dyDescent="0.15">
      <c r="A265" s="57">
        <v>779</v>
      </c>
      <c r="B265" s="7" t="str">
        <f>VLOOKUP(A265,[1]characters!$A:$C,3,FALSE)</f>
        <v>頑堅咬亀 ガメック</v>
      </c>
    </row>
    <row r="266" spans="1:2" x14ac:dyDescent="0.15">
      <c r="A266" s="57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F28" sqref="F28"/>
    </sheetView>
  </sheetViews>
  <sheetFormatPr baseColWidth="12" defaultRowHeight="14" x14ac:dyDescent="0.15"/>
  <sheetData>
    <row r="1" spans="1:2" x14ac:dyDescent="0.15">
      <c r="A1" s="35" t="s">
        <v>59</v>
      </c>
      <c r="B1" s="35"/>
    </row>
    <row r="2" spans="1:2" x14ac:dyDescent="0.15">
      <c r="A2" s="30" t="s">
        <v>1</v>
      </c>
      <c r="B2" s="34" t="s">
        <v>63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30">
        <v>169</v>
      </c>
      <c r="B6" s="34" t="str">
        <f>VLOOKUP(A6,[1]characters!$A:$C,3,FALSE)</f>
        <v>オセ</v>
      </c>
    </row>
    <row r="7" spans="1:2" x14ac:dyDescent="0.15">
      <c r="A7" s="30">
        <v>170</v>
      </c>
      <c r="B7" s="34" t="str">
        <f>VLOOKUP(A7,[1]characters!$A:$C,3,FALSE)</f>
        <v>識徒 オセ</v>
      </c>
    </row>
    <row r="8" spans="1:2" x14ac:dyDescent="0.15">
      <c r="A8" s="30">
        <v>171</v>
      </c>
      <c r="B8" s="34" t="str">
        <f>VLOOKUP(A8,[1]characters!$A:$C,3,FALSE)</f>
        <v>精解の預知者 オセ</v>
      </c>
    </row>
    <row r="9" spans="1:2" x14ac:dyDescent="0.15">
      <c r="A9" s="30">
        <v>172</v>
      </c>
      <c r="B9" s="34" t="str">
        <f>VLOOKUP(A9,[1]characters!$A:$C,3,FALSE)</f>
        <v>フォルネウス</v>
      </c>
    </row>
    <row r="10" spans="1:2" x14ac:dyDescent="0.15">
      <c r="A10" s="30">
        <v>173</v>
      </c>
      <c r="B10" s="34" t="str">
        <f>VLOOKUP(A10,[1]characters!$A:$C,3,FALSE)</f>
        <v>公爵 フォルネウス</v>
      </c>
    </row>
    <row r="11" spans="1:2" x14ac:dyDescent="0.15">
      <c r="A11" s="30">
        <v>174</v>
      </c>
      <c r="B11" s="34" t="str">
        <f>VLOOKUP(A11,[1]characters!$A:$C,3,FALSE)</f>
        <v>偽愛の大公爵 フォルネウス</v>
      </c>
    </row>
    <row r="12" spans="1:2" x14ac:dyDescent="0.15">
      <c r="A12" s="30">
        <v>235</v>
      </c>
      <c r="B12" s="34" t="str">
        <f>VLOOKUP(A12,[1]characters!$A:$C,3,FALSE)</f>
        <v>イザナミ</v>
      </c>
    </row>
    <row r="13" spans="1:2" x14ac:dyDescent="0.15">
      <c r="A13" s="30">
        <v>236</v>
      </c>
      <c r="B13" s="34" t="str">
        <f>VLOOKUP(A13,[1]characters!$A:$C,3,FALSE)</f>
        <v>神産 イザナミ</v>
      </c>
    </row>
    <row r="14" spans="1:2" x14ac:dyDescent="0.15">
      <c r="A14" s="30">
        <v>237</v>
      </c>
      <c r="B14" s="34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input_386010</vt:lpstr>
      <vt:lpstr>tables_386010</vt:lpstr>
      <vt:lpstr>input_386100</vt:lpstr>
      <vt:lpstr>tables_386100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2016-08-11T08:42:43Z</dcterms:modified>
</cp:coreProperties>
</file>