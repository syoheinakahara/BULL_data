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620" windowWidth="27700" windowHeight="1610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5" i="57" l="1"/>
  <c r="E15" i="57"/>
  <c r="B15" i="57"/>
  <c r="F14" i="57"/>
  <c r="E14" i="57"/>
  <c r="B14" i="57"/>
  <c r="F11" i="57"/>
  <c r="E11" i="57"/>
  <c r="B11" i="57"/>
  <c r="E3" i="57"/>
  <c r="F3" i="57"/>
  <c r="E4" i="57"/>
  <c r="F4" i="57"/>
  <c r="E5" i="57"/>
  <c r="F5" i="57"/>
  <c r="E6" i="57"/>
  <c r="F6" i="57"/>
  <c r="E7" i="57"/>
  <c r="F7" i="57"/>
  <c r="E8" i="57"/>
  <c r="F8" i="57"/>
  <c r="E9" i="57"/>
  <c r="F9" i="57"/>
  <c r="E10" i="57"/>
  <c r="F10" i="57"/>
  <c r="E12" i="57"/>
  <c r="F12" i="57"/>
  <c r="E13" i="57"/>
  <c r="F13" i="57"/>
  <c r="B7" i="57"/>
  <c r="B5" i="57"/>
  <c r="I4" i="56"/>
  <c r="I2" i="56"/>
  <c r="B13" i="57"/>
  <c r="B9" i="57"/>
  <c r="I3" i="56"/>
  <c r="B12" i="57"/>
  <c r="B10" i="57"/>
  <c r="B8" i="57"/>
  <c r="E51" i="54"/>
  <c r="D51" i="54"/>
  <c r="B51" i="54"/>
  <c r="E50" i="54"/>
  <c r="D50" i="54"/>
  <c r="B50" i="54"/>
  <c r="E49" i="54"/>
  <c r="D49" i="54"/>
  <c r="B49" i="54"/>
  <c r="E48" i="54"/>
  <c r="D48" i="54"/>
  <c r="B48" i="54"/>
  <c r="E47" i="54"/>
  <c r="D47" i="54"/>
  <c r="B47" i="54"/>
  <c r="E46" i="54"/>
  <c r="D46" i="54"/>
  <c r="B46" i="54"/>
  <c r="E45" i="54"/>
  <c r="D45" i="54"/>
  <c r="B45" i="54"/>
  <c r="E44" i="54"/>
  <c r="D44" i="54"/>
  <c r="B44" i="54"/>
  <c r="E43" i="54"/>
  <c r="D43" i="54"/>
  <c r="B43" i="54"/>
  <c r="E42" i="54"/>
  <c r="D42" i="54"/>
  <c r="B42" i="54"/>
  <c r="E41" i="54"/>
  <c r="D41" i="54"/>
  <c r="B41" i="54"/>
  <c r="E40" i="54"/>
  <c r="D40" i="54"/>
  <c r="B40" i="54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E29" i="54"/>
  <c r="D29" i="54"/>
  <c r="B29" i="54"/>
  <c r="H12" i="53"/>
  <c r="G12" i="53"/>
  <c r="E12" i="53"/>
  <c r="H11" i="53"/>
  <c r="G11" i="53"/>
  <c r="E11" i="53"/>
  <c r="H10" i="53"/>
  <c r="G10" i="53"/>
  <c r="E10" i="53"/>
  <c r="H9" i="53"/>
  <c r="G9" i="53"/>
  <c r="E9" i="53"/>
  <c r="H8" i="53"/>
  <c r="G8" i="53"/>
  <c r="E8" i="53"/>
  <c r="K12" i="52"/>
  <c r="J12" i="52"/>
  <c r="H12" i="52"/>
  <c r="E12" i="52"/>
  <c r="K11" i="52"/>
  <c r="J11" i="52"/>
  <c r="H11" i="52"/>
  <c r="E11" i="52"/>
  <c r="K10" i="52"/>
  <c r="J10" i="52"/>
  <c r="H10" i="52"/>
  <c r="E10" i="52"/>
  <c r="K9" i="52"/>
  <c r="J9" i="52"/>
  <c r="H9" i="52"/>
  <c r="E9" i="52"/>
  <c r="K8" i="52"/>
  <c r="J8" i="52"/>
  <c r="H8" i="52"/>
  <c r="E8" i="52"/>
  <c r="H12" i="23"/>
  <c r="BR12" i="23"/>
  <c r="G12" i="23"/>
  <c r="BC12" i="23"/>
  <c r="BD12" i="23"/>
  <c r="Q12" i="23"/>
  <c r="V12" i="23"/>
  <c r="W12" i="23"/>
  <c r="AD12" i="23"/>
  <c r="I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J12" i="23"/>
  <c r="BK12" i="23"/>
  <c r="H6" i="23"/>
  <c r="G6" i="23"/>
  <c r="BC6" i="23"/>
  <c r="BE12" i="23"/>
  <c r="BJ12" i="23"/>
  <c r="BI12" i="23"/>
  <c r="BH12" i="23"/>
  <c r="BG12" i="23"/>
  <c r="I6" i="23"/>
  <c r="J6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B12" i="23"/>
  <c r="H11" i="23"/>
  <c r="BR11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BE11" i="23"/>
  <c r="BJ11" i="23"/>
  <c r="BI11" i="23"/>
  <c r="BH11" i="23"/>
  <c r="BG11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N11" i="23"/>
  <c r="F11" i="23"/>
  <c r="E11" i="23"/>
  <c r="D11" i="23"/>
  <c r="C11" i="23"/>
  <c r="B11" i="23"/>
  <c r="H10" i="23"/>
  <c r="BR10" i="23"/>
  <c r="G10" i="23"/>
  <c r="BC10" i="23"/>
  <c r="BD10" i="23"/>
  <c r="Q10" i="23"/>
  <c r="V10" i="23"/>
  <c r="W10" i="23"/>
  <c r="AD10" i="23"/>
  <c r="I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J10" i="23"/>
  <c r="BK10" i="23"/>
  <c r="H4" i="23"/>
  <c r="G4" i="23"/>
  <c r="BC4" i="23"/>
  <c r="BE10" i="23"/>
  <c r="BJ10" i="23"/>
  <c r="BI10" i="23"/>
  <c r="BH10" i="23"/>
  <c r="BG10" i="23"/>
  <c r="I4" i="23"/>
  <c r="J4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G10" i="13"/>
  <c r="N10" i="23"/>
  <c r="F10" i="23"/>
  <c r="E10" i="23"/>
  <c r="D10" i="23"/>
  <c r="C10" i="23"/>
  <c r="B10" i="23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H2" i="23"/>
  <c r="G2" i="23"/>
  <c r="BC2" i="23"/>
  <c r="BE8" i="23"/>
  <c r="BJ8" i="23"/>
  <c r="BI8" i="23"/>
  <c r="BH8" i="23"/>
  <c r="BG8" i="23"/>
  <c r="I2" i="23"/>
  <c r="J2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H7" i="53"/>
  <c r="G7" i="53"/>
  <c r="E7" i="53"/>
  <c r="H6" i="53"/>
  <c r="G6" i="53"/>
  <c r="E6" i="53"/>
  <c r="K7" i="52"/>
  <c r="J7" i="52"/>
  <c r="H7" i="52"/>
  <c r="E7" i="52"/>
  <c r="K6" i="52"/>
  <c r="J6" i="52"/>
  <c r="H6" i="52"/>
  <c r="E6" i="52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J9" i="3"/>
  <c r="H9" i="3"/>
  <c r="C9" i="3"/>
  <c r="F9" i="3"/>
  <c r="E9" i="3"/>
  <c r="D9" i="3"/>
  <c r="A9" i="3"/>
  <c r="B6" i="57"/>
  <c r="B4" i="57"/>
  <c r="B3" i="57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<sst xmlns="http://schemas.openxmlformats.org/spreadsheetml/2006/main" count="1195" uniqueCount="466">
  <si>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</si>
  <si>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</si>
  <si>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</si>
  <si>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</si>
  <si>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</si>
  <si>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</si>
  <si>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</si>
  <si>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</si>
  <si>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</si>
  <si>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</si>
  <si>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</si>
  <si>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</si>
  <si>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</si>
  <si>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</si>
  <si>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</si>
  <si>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</si>
  <si>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</si>
  <si>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</si>
  <si>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</si>
  <si>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</si>
  <si>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</si>
  <si>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</si>
  <si>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</si>
  <si>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</si>
  <si>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</si>
  <si>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</si>
  <si>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</si>
  <si>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</si>
  <si>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</si>
  <si>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</si>
  <si>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</si>
  <si>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</si>
  <si>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</si>
  <si>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</si>
  <si>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</si>
  <si>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</si>
  <si>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</si>
  <si>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</si>
  <si>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</si>
  <si>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</si>
  <si>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</si>
  <si>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</si>
  <si>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</si>
  <si>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</si>
  <si>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</si>
  <si>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</si>
  <si>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</si>
  <si>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</si>
  <si>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</si>
  <si>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</si>
  <si>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</si>
  <si>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</si>
  <si>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</si>
  <si>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</si>
  <si>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</si>
  <si>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</si>
  <si>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</si>
  <si>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</si>
  <si>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</si>
  <si>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</si>
  <si>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</si>
  <si>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</si>
  <si>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</si>
  <si>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</si>
  <si>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</si>
  <si>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</si>
  <si>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</si>
  <si>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</si>
  <si>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</si>
  <si>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</si>
  <si>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</si>
  <si>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</si>
  <si>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</si>
  <si>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</si>
  <si>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</si>
  <si>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</si>
  <si>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</si>
  <si>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</si>
  <si>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</si>
  <si>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</si>
  <si>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</si>
  <si>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</si>
  <si>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</si>
  <si>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</si>
  <si>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</si>
  <si>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</si>
  <si>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</si>
  <si>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</si>
  <si>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</si>
  <si>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</si>
  <si>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</si>
  <si>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</si>
  <si>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</si>
  <si>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</si>
  <si>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</si>
  <si>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</si>
  <si>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</si>
  <si>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</si>
  <si>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</si>
  <si>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</si>
  <si>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</si>
  <si>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</si>
  <si>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</si>
  <si>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</si>
  <si>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</si>
  <si>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</si>
  <si>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</si>
  <si>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</si>
  <si>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</si>
  <si>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</si>
  <si>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</si>
  <si>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</si>
  <si>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</si>
  <si>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</si>
  <si>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</si>
  <si>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</si>
  <si>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</si>
  <si>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</si>
  <si>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</si>
  <si>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</si>
  <si>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</si>
  <si>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</si>
  <si>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</si>
  <si>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</si>
  <si>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</si>
  <si>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</si>
  <si>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</si>
  <si>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</si>
  <si>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</si>
  <si>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</si>
  <si>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</si>
  <si>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</si>
  <si>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</si>
  <si>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</si>
  <si>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</si>
  <si>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</si>
  <si>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</si>
  <si>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</si>
  <si>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</si>
  <si>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</si>
  <si>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</si>
  <si>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</si>
  <si>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</si>
  <si>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</si>
  <si>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</si>
  <si>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</si>
  <si>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</si>
  <si>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</si>
  <si>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</si>
  <si>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</si>
  <si>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</si>
  <si>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</si>
  <si>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</si>
  <si>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</si>
  <si>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</si>
  <si>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</si>
  <si>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</si>
  <si>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</si>
  <si>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</si>
  <si>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</si>
  <si>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</si>
  <si>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</si>
  <si>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</si>
  <si>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</si>
  <si>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</si>
  <si>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</si>
  <si>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</si>
  <si>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</si>
  <si>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</si>
  <si>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</si>
  <si>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</si>
  <si>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</si>
  <si>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</si>
  <si>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</si>
  <si>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</si>
  <si>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</si>
  <si>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</si>
  <si>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</si>
  <si>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</si>
  <si>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</si>
  <si>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</si>
  <si>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</si>
  <si>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</si>
  <si>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</si>
  <si>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</si>
  <si>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</si>
  <si>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</si>
  <si>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</si>
  <si>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</si>
  <si>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</si>
  <si>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</si>
  <si>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</si>
  <si>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</si>
  <si>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</si>
  <si>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</si>
  <si>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</si>
  <si>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</si>
  <si>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</si>
  <si>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</si>
  <si>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</si>
  <si>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</si>
  <si>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</si>
  <si>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</si>
  <si>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</si>
  <si>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</si>
  <si>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</si>
  <si>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</si>
  <si>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</si>
  <si>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</si>
  <si>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</si>
  <si>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</si>
  <si>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</si>
  <si>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</si>
  <si>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</si>
  <si>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</si>
  <si>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</si>
  <si>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</si>
  <si>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</si>
  <si>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</si>
  <si>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</si>
  <si>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</si>
  <si>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</si>
  <si>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</si>
  <si>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</si>
  <si>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</si>
  <si>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</si>
  <si>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</si>
  <si>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</si>
  <si>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</si>
  <si>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</si>
  <si>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</si>
  <si>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</si>
  <si>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</si>
  <si>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</si>
  <si>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</si>
  <si>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</si>
  <si>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</si>
  <si>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</si>
  <si>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</si>
  <si>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</si>
  <si>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</si>
  <si>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</si>
  <si>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</si>
  <si>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</si>
  <si>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</si>
  <si>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</si>
  <si>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</si>
  <si>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</si>
  <si>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</si>
  <si>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</si>
  <si>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</si>
  <si>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</si>
  <si>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</si>
  <si>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</si>
  <si>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</si>
  <si>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</si>
  <si>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</si>
  <si>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</si>
  <si>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</si>
  <si>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</si>
  <si>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</si>
  <si>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</si>
  <si>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</si>
  <si>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</si>
  <si>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</si>
  <si>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</si>
  <si>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</si>
  <si>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</si>
  <si>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</si>
  <si>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</si>
  <si>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</si>
  <si>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</si>
  <si>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</si>
  <si>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</si>
  <si>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</si>
  <si>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</si>
  <si>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</si>
  <si>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</si>
  <si>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</si>
  <si>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</si>
  <si>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</si>
  <si>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</si>
  <si>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</si>
  <si>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</si>
  <si>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</si>
  <si>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</si>
  <si>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</si>
  <si>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</si>
  <si>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</si>
  <si>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</si>
  <si>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</si>
  <si>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</si>
  <si>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</si>
  <si>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</si>
  <si>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</si>
  <si>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</si>
  <si>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</si>
  <si>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</si>
  <si>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</si>
  <si>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</si>
  <si>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</si>
  <si>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</si>
  <si>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</si>
  <si>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</si>
  <si>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</si>
  <si>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</si>
  <si>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</si>
  <si>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</si>
  <si>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</si>
  <si>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</si>
  <si>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</si>
  <si>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</si>
  <si>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</si>
  <si>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</si>
  <si>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</si>
  <si>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</si>
  <si>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</si>
  <si>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</si>
  <si>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</si>
  <si>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</si>
  <si>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</si>
  <si>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</si>
  <si>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</si>
  <si>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</si>
  <si>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</si>
  <si>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</si>
  <si>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</si>
  <si>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</si>
  <si>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  <phoneticPr fontId="22"/>
  </si>
  <si>
    <t>Ohanami2017</t>
  </si>
  <si>
    <t>Ohanami2017</t>
    <phoneticPr fontId="22"/>
  </si>
  <si>
    <t>old</t>
    <phoneticPr fontId="22"/>
  </si>
  <si>
    <t>1</t>
    <phoneticPr fontId="22"/>
  </si>
  <si>
    <t>[effect:damage_hp, target:enemy_one, color:yellow, val:1.125, animation:damage_one_yellow04]</t>
    <phoneticPr fontId="22"/>
  </si>
  <si>
    <t>[effect:damage_hp, target:enemy_one, color:yellow, val:1.25, animation:damage_one_yellow04]</t>
    <phoneticPr fontId="22"/>
  </si>
  <si>
    <t>自身のHPの最大値に比例して
1体に特大ダメージ</t>
    <phoneticPr fontId="22"/>
  </si>
  <si>
    <t>自身のHPの最大値に比例して
1体に超大ダメージ</t>
    <phoneticPr fontId="22"/>
  </si>
  <si>
    <t>1体に特大ダメージ</t>
    <phoneticPr fontId="22"/>
  </si>
  <si>
    <t>[effect:damage, target:enemy_one, color:yellow, val:2.25, animation:damage_one_yellow04]</t>
    <phoneticPr fontId="22"/>
  </si>
  <si>
    <t>単体に2回大ダメージ+
フィーバーゲージ上昇</t>
    <phoneticPr fontId="22"/>
  </si>
  <si>
    <t>[effect:damage, target:enemy_one, color:blue, val:1.2, animation:damage_one_blue03],[effect:damage, target:enemy_one, color:blue, val:1.2, animation:damage_one_blue03],[effect:enhance_fever, val:20, animation:fevergauge_up03]</t>
    <phoneticPr fontId="22"/>
  </si>
  <si>
    <t>1.7.0</t>
    <phoneticPr fontId="22"/>
  </si>
  <si>
    <t>0</t>
    <phoneticPr fontId="22"/>
  </si>
  <si>
    <t>クエスト特攻</t>
    <phoneticPr fontId="22"/>
  </si>
  <si>
    <t>ability_id</t>
    <phoneticPr fontId="22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</si>
  <si>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</si>
  <si>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</si>
  <si>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</si>
  <si>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</si>
  <si>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</si>
  <si>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category</t>
    <phoneticPr fontId="22"/>
  </si>
  <si>
    <t>valid_flg</t>
    <phoneticPr fontId="22"/>
  </si>
  <si>
    <t>お花見クエスト ダメージUP</t>
    <phoneticPr fontId="22"/>
  </si>
  <si>
    <t>お花見クエスト内で自身の全ての攻撃の威力をUP</t>
    <phoneticPr fontId="22"/>
  </si>
  <si>
    <t>マグネット(ハート→黄→緑)1個、赤をハート、青を黄パネルに変換+3ターン全ユニットCP生成短縮(特大)</t>
    <phoneticPr fontId="22"/>
  </si>
  <si>
    <t>蕾弾・ブロッサムシャワー</t>
    <phoneticPr fontId="22"/>
  </si>
  <si>
    <t>華弾・ブロッサムレイン</t>
    <phoneticPr fontId="22"/>
  </si>
  <si>
    <t>乱舞・花見酒</t>
    <phoneticPr fontId="22"/>
  </si>
  <si>
    <t>櫻花乱舞・舞踏撃</t>
    <phoneticPr fontId="22"/>
  </si>
  <si>
    <t>花狐の宴</t>
    <phoneticPr fontId="22"/>
  </si>
  <si>
    <t>花狐の宴・満開</t>
    <phoneticPr fontId="22"/>
  </si>
  <si>
    <t>春雲の演舞</t>
    <phoneticPr fontId="22"/>
  </si>
  <si>
    <t>秘技・華光撃破剣</t>
    <phoneticPr fontId="22"/>
  </si>
  <si>
    <t>アクティビティ・ピクチャー</t>
    <phoneticPr fontId="22"/>
  </si>
  <si>
    <t>スプリングローンチ</t>
    <phoneticPr fontId="22"/>
  </si>
  <si>
    <t>大蛇宴の毒華</t>
    <phoneticPr fontId="22"/>
  </si>
  <si>
    <t>秘華・命鳴燕啼刃</t>
    <phoneticPr fontId="22"/>
  </si>
  <si>
    <t>パステルプリエ・バレリーナ</t>
    <phoneticPr fontId="22"/>
  </si>
  <si>
    <t>桜乱狂華の宴</t>
    <phoneticPr fontId="22"/>
  </si>
  <si>
    <t>とにかくお祭りだ〜！！</t>
    <phoneticPr fontId="22"/>
  </si>
  <si>
    <t>蛇煌の雪洞</t>
    <phoneticPr fontId="22"/>
  </si>
  <si>
    <t>微睡みの春霞</t>
    <phoneticPr fontId="22"/>
  </si>
  <si>
    <t>夢寐誘う春靄</t>
    <phoneticPr fontId="22"/>
  </si>
  <si>
    <t>開華＊速報</t>
    <phoneticPr fontId="22"/>
  </si>
  <si>
    <t>爛漫＊速報</t>
    <phoneticPr fontId="22"/>
  </si>
  <si>
    <t>仙狐式妖術</t>
    <phoneticPr fontId="22"/>
  </si>
  <si>
    <t>千年仙狐式妖香術</t>
    <phoneticPr fontId="22"/>
  </si>
  <si>
    <t>giza</t>
  </si>
  <si>
    <t>この胸の華は散らない！</t>
  </si>
  <si>
    <t>kumo</t>
  </si>
  <si>
    <t>命短し戦え乙女…か！</t>
  </si>
  <si>
    <t>舞い踊れ、桜吹雪！</t>
  </si>
  <si>
    <t>一時休戦…かな？？</t>
  </si>
  <si>
    <t>桜…に、似合うかな</t>
  </si>
  <si>
    <t>大宴会…始まります…</t>
  </si>
  <si>
    <t>儚いものは…美しいです</t>
  </si>
  <si>
    <t>桜の花言葉…知りたい？</t>
  </si>
  <si>
    <t>こらっ…それわたしの</t>
  </si>
  <si>
    <t>賑やかなのもたまには…</t>
  </si>
  <si>
    <t>生命の息吹は素晴らしいね</t>
  </si>
  <si>
    <t>僕と一緒に舞おうか</t>
  </si>
  <si>
    <t>桜は神聖な花なんだ</t>
  </si>
  <si>
    <t>幻想的で綺麗だね…</t>
  </si>
  <si>
    <t>さぁ手を取って…</t>
  </si>
  <si>
    <t>でっかい花火打ち上げるよ！</t>
  </si>
  <si>
    <t>花より団子ってね♪</t>
  </si>
  <si>
    <t>今日は燃やし過ぎないよ</t>
  </si>
  <si>
    <t>みんなでお祭り楽しいね！</t>
  </si>
  <si>
    <t>綺麗な花には毒があるってね</t>
  </si>
  <si>
    <t>蛇もカワイイでしょ♪</t>
  </si>
  <si>
    <t>心を撃ち抜いちゃうわよ</t>
  </si>
  <si>
    <t>どう？大和撫子っぽい？</t>
  </si>
  <si>
    <t>ほーら、呑めや呑めや〜！</t>
  </si>
  <si>
    <t>咲かせましょーか大輪を〜♪</t>
  </si>
  <si>
    <t>うちの酒はどうや〜？</t>
  </si>
  <si>
    <t>桜の舞をご覧あれ〜♪</t>
  </si>
  <si>
    <t>花の香りで惑わすで〜</t>
  </si>
  <si>
    <t>みんな見てってな〜！</t>
  </si>
  <si>
    <t>満開にしますよ〜</t>
  </si>
  <si>
    <t>一片ごとに想いを込めて！</t>
  </si>
  <si>
    <t>皆さまを笑顔に〜！</t>
  </si>
  <si>
    <t>桜の翼に乗せて！</t>
  </si>
  <si>
    <t>春の音がしますね〜</t>
  </si>
  <si>
    <t>散らさないでください〜！</t>
  </si>
  <si>
    <t>[effect:damage_up, target:myself, val:2.3, turn:1, type01:all, option:killer]</t>
    <phoneticPr fontId="22"/>
  </si>
  <si>
    <t>[effect:damage_up, target:myself, val:1.5, turn:1, type01:all, option:killer]</t>
    <phoneticPr fontId="22"/>
  </si>
  <si>
    <t>[condition:enclose,[condition:quest_id,quest:47012],[condition:unit_attack_target],logic:and]</t>
    <phoneticPr fontId="22"/>
  </si>
  <si>
    <t>[condition:enclose,[condition:quest_id,quest:47012],[condition:unit_attack_target],logic:and]</t>
    <phoneticPr fontId="22"/>
  </si>
  <si>
    <t>[condition:enclose,[condition:quest_id,quest:47012],[condition:unit_attack_target],logic:and]</t>
    <phoneticPr fontId="22"/>
  </si>
  <si>
    <t>お花見クエスト内で自身の全ての攻撃の威力を大UP</t>
    <phoneticPr fontId="22"/>
  </si>
  <si>
    <t>お花見クエスト ダメージUP</t>
    <phoneticPr fontId="22"/>
  </si>
  <si>
    <t>ability_id</t>
    <phoneticPr fontId="22"/>
  </si>
  <si>
    <t>お花見クエスト内で自身の全ての攻撃の威力を大UP</t>
    <phoneticPr fontId="22"/>
  </si>
  <si>
    <t>[effect:damage_up, target:myself, val:2.0, turn:1, type01:all, option:killer]</t>
    <phoneticPr fontId="22"/>
  </si>
  <si>
    <t>[effect:force_change_magnet, target:block_all, ignore01:block_positive, color:heal, count:1, red:0, green:1, blue:0, yellow:1, heart:1, reverse:1, generate:0, turn:3, animation:change_block],[effect:force_change_block, new_block:block_heart, target:block_red, count:0, val:0, animation:change_block],[effect:force_change_block, new_block:block_yellow, target:block_blue, count:0, val:0, animation:change_block],[effect:crash_condition, target:unit_all, turn:3, val:-4, animation:crash_panel_reduce04]</t>
    <phoneticPr fontId="22"/>
  </si>
  <si>
    <t>[effect:force_change_magnet, target:block_all, ignore01:block_positive, color:yellow, count:1, red:1, green:0, blue:0, yellow:1, heart:1, reverse:1, generate:0, turn:3, animation:change_block],[effect:force_change_block, new_block:crash, target:block_green, count:0, val:6, animation:change_block],[effect:enhance_unit, target:unit_all, turn:1, status:action, val:1, calc:add, animation:enhance_unit_one_action01],[effect:change_panel_ratio, turn:1, block_type:green, val:0.05, animation:block_incidence04]</t>
    <phoneticPr fontId="22"/>
  </si>
  <si>
    <t>[effect:force_change_magnet, target:block_all, ignore01:block_positive, color:yellow, count:1, red:1, green:0, blue:0, yellow:1, heart:1, reverse:1, generate:0, turn:3, animation:change_block],[effect:force_change_block, new_block:crash, target:block_green, count:0, val:6, animation:change_block],[effect:enhance_unit, target:unit_all, turn:2, status:action, val:1, calc:add, animation:enhance_unit_one_action01],[effect:change_panel_ratio, turn:2, block_type:green, val:0.05, animation:block_incidence04]</t>
    <phoneticPr fontId="22"/>
  </si>
  <si>
    <t>[effect:cure, bad_status:virus, animation:cure01],[effect:force_change_block, new_block:block_green, target:block_blue, count:0, val:0, animation:change_block],[effect:change_panel_ratio, turn:2, block_type:green, val:0.6, animation:block_incidence04],[effect:enhance_unit, target:unit_green, turn:1, status:attack, val:1500, calc:add, animation:enhance_unit_all_attack01]</t>
    <phoneticPr fontId="22"/>
  </si>
  <si>
    <t>マグネット(黄→赤→ハート)に1個、緑パネルをCPに変換+1ターン全ユニットのタップ数を1増やし、緑パネルの出現率大DOWN</t>
    <phoneticPr fontId="22"/>
  </si>
  <si>
    <t>マグネット(黄→赤→ハート)に1個、緑パネルをCPに変換+2ターン全ユニットのタップ数を1増やし、緑パネルの出現率大DOWN</t>
    <phoneticPr fontId="22"/>
  </si>
  <si>
    <t>ウィルス解除+青パネルを緑パネルに変換+2ターン緑パネルの出現率を大UP+1ターン緑属性ユニットの攻撃力を1500UP</t>
    <phoneticPr fontId="22"/>
  </si>
  <si>
    <t>[effect:damage_heal, target:enemy_one, color:yellow, val:2.25, animation:damage_one_yellow04],[effect:enhance_fever, val:20, animation:fevergauge_up03]</t>
    <phoneticPr fontId="22"/>
  </si>
  <si>
    <t>[effect:damage_heal, target:enemy_one, color:yellow, val:2.5, animation:damage_one_yellow04],[effect:enhance_fever, val:20, animation:fevergauge_up03]</t>
    <phoneticPr fontId="22"/>
  </si>
  <si>
    <t>[effect:damage_hp, target:enemy_one, color:green, val:1.25, animation:damage_one_green04],[effect:enhance_fever, val:20, animation:fevergauge_up03]</t>
    <phoneticPr fontId="22"/>
  </si>
  <si>
    <t>自身のHPの最大値に比例して1体に超大ダメージ+フィーバーゲージ上昇</t>
    <phoneticPr fontId="22"/>
  </si>
  <si>
    <t>自身の回復力に比例して1体に特大ダメージ+フィーバーゲージ上昇</t>
    <phoneticPr fontId="22"/>
  </si>
  <si>
    <t>自身の回復力に比例して1体に超大ダメージ+フィーバーゲージ上昇</t>
    <phoneticPr fontId="22"/>
  </si>
  <si>
    <t>狐につままれた気分かしら？</t>
    <phoneticPr fontId="22"/>
  </si>
  <si>
    <t>一肌脱ごっかなぁ～</t>
    <phoneticPr fontId="22"/>
  </si>
  <si>
    <t>ごちそうさま…ねっ♪</t>
    <phoneticPr fontId="22"/>
  </si>
  <si>
    <t>ふふっ、味見しちゃお♪</t>
    <phoneticPr fontId="22"/>
  </si>
  <si>
    <t>いい匂いがするぅ〜♪</t>
    <phoneticPr fontId="22"/>
  </si>
  <si>
    <t>化かされた気分はどうかしら♪</t>
    <phoneticPr fontId="22"/>
  </si>
  <si>
    <t>赤・黄属性で単体に2回大ダメージ+
1ターン赤・黄属性ユニットの攻撃力小UP</t>
    <phoneticPr fontId="22"/>
  </si>
  <si>
    <t>[effect:damage, target:enemy_one, color:red, val:1.2, animation:damage_one_red03],[effect:damage, target:enemy_one, color:yellow, val:1.2, animation:damage_one_yellow03],[effect:enhance_unit, target:unit_red/unit_yellow, turn:1, status:attack, val:0.018, calc:mul, animation:enhance_unit_all_attack01_unit01]</t>
    <phoneticPr fontId="22"/>
  </si>
  <si>
    <t>[effect:damage_anti_tribe, target:enemy_one, tribe:dragon, val1:2, val2:1.2, animation:damage_one_yellow04],[effect:damage_anti_tribe, target:enemy_one, tribe:fantasy, val1:2, val2:1.2, animation:damage_one_yellow04]</t>
    <phoneticPr fontId="22"/>
  </si>
  <si>
    <t>青パネルを最大6個CPに変換+1ターン全ユニットの回復力1250UPし、種族ドラゴン･ファンタジーの敵からのダメージ35%軽減</t>
    <phoneticPr fontId="22"/>
  </si>
  <si>
    <t>種族ドラゴンに効果特大の単体大ダメージ+種族ファンタジーに効果特大の単体大ダメージ</t>
    <phoneticPr fontId="22"/>
  </si>
  <si>
    <t>[effect:force_change_block, new_block:block_heart, target:block_green, count:0, val:0, animation:change_block],[effect:sp_boost, target:unit_right/unit_attack/and, val:1, animation:sp_boost_one02],[effect:enhance_unit, target:unit_attack/unit_heal/or, turn:2, status:attack, val:1500, calc:add, animation:enhance_unit_all_attack01]</t>
    <phoneticPr fontId="22"/>
  </si>
  <si>
    <t>[effect:force_change_block, new_block:block_heart, target:block_green, count:0, val:0, animation:change_block],[effect:sp_boost, target:unit_right/unit_attack/and, val:1, animation:sp_boost_one02],[effect:enhance_unit, target:unit_attack/unit_heal/or, turn:2, status:attack, val:1500, calc:add, animation:enhance_unit_all_attack01],[effect:change_panel_ratio, turn:4, block_type:red, val:0.1, animation:block_incidence04]</t>
    <phoneticPr fontId="22"/>
  </si>
  <si>
    <t>50</t>
    <phoneticPr fontId="22"/>
  </si>
  <si>
    <t>1体に大ダメージ+
HP回復</t>
    <phoneticPr fontId="22"/>
  </si>
  <si>
    <t>1体に大ダメージ+
HP大回復</t>
    <phoneticPr fontId="22"/>
  </si>
  <si>
    <t>[effect:force_change_block, new_block:crash, target:block_blue, count:6, val:6, animation:change_block],[effect:enhance_unit, target:unit_all, turn:1, status:heal, val:1250, calc:add, animation:enhance_unit_all_heal01],[effect:reduction, target:unit_all, reduction_target:enemy_dragon/enemy_fantasy/or, turn:1, val:0.35, animation:reduction_one03]</t>
    <phoneticPr fontId="22"/>
  </si>
  <si>
    <t>[effect:damage, target:enemy_one, color:blue, val:1.2, animation:damage_one_blue03],[effect:heal_ratio, val:0.18, animation:heal02_unit01]</t>
    <phoneticPr fontId="22"/>
  </si>
  <si>
    <t>[effect:damage, target:enemy_one, color:blue, val:1.2, animation:damage_one_blue03],[effect:heal_ratio, val:0.3, animation:heal03_unit01]</t>
    <phoneticPr fontId="22"/>
  </si>
  <si>
    <t>ランダムで最大1個SCP変換+1体にダメージ(ハート･ダメージパネル吸収し効果大UP)+2ターン緑･青属性からのダメージ20%軽減</t>
    <phoneticPr fontId="22"/>
  </si>
  <si>
    <t>[effect:force_change_block, new_block:crash, target:block_all, ignore01:block_positive, count:1, val:12, animation:change_block],[effect:break_attack, target:enemy_one, val:0.32, lowest_val:5555, count:-1, color:red, block01:block_heart, block02:damage, animation:damage_one_red03],[effect:reduction, target:unit_all, reduction_target:enemy_green/enemy_blue/or, turn:2, val:0.2, animation:reduction_one02]</t>
    <phoneticPr fontId="22"/>
  </si>
  <si>
    <t>[effect:force_change_magnet, target:block_all, ignore01:block_positive, color:heal, count:1, red:0, green:1, blue:0, yellow:1, heart:1, reverse:1, generate:0, turn:3, animation:change_block],[effect:force_change_block, new_block:block_heart, target:block_red, count:0, val:0, animation:change_block],[effect:force_change_block, new_block:block_yellow, target:block_blue, count:0, val:0, animation:change_block],[effect:crash_condition, target:unit_all, turn:3, val:-4, animation:crash_panel_reduce04],[effect:reduction, target:unit_all, turn:3, color:all, val:0.18, animation:reduction_one01],[effect:enhance_unit, target:myself, turn:3, status:action, val:1, calc:add, animation:enhance_unit_one_action01]</t>
    <phoneticPr fontId="22"/>
  </si>
  <si>
    <t>マグネット(ハート→黄→緑)1個、赤をハート、青を黄に変換+3ターンCP生成短縮(特大)、ダメージ18％軽減、自身タップ1増加</t>
    <phoneticPr fontId="22"/>
  </si>
  <si>
    <t>[effect:break_enchance_unit, target:unit_blue, val:0.014, lowest_val:0.2, count :-1, status:attack, turn:2, block01:block_red, block02:block_green, calc:mul, animation:enhance_unit_all_attack03],[effect:enhance_unit, target:unit_all, turn:1, status:heal, val:0.45, calc:mul, animation:enhance_unit_all_heal04],[effect:reduction, target:unit_all, reduction_target:enemy_red/enemy_blue/or, turn:1, val:0.45, animation:reduction_one04]</t>
    <phoneticPr fontId="22"/>
  </si>
  <si>
    <t>[effect:break_enchance_unit, target:unit_all, val:0.005, lowest_val:0.2, count :-1, status:attack, turn:2, block01:block_red, block02:damage, calc:mul, animation:enhance_unit_all_attack01],[effect:crash_condition, target:unit_all, turn:1, val:-6, animation:crash_panel_reduce04]</t>
    <phoneticPr fontId="22"/>
  </si>
  <si>
    <t>2ターン全ユニットの攻撃力をUP(赤・ダメージパネルを吸収し効果UP)+1ターン全ユニットのCパネル生成短縮(効果超大)</t>
    <phoneticPr fontId="22"/>
  </si>
  <si>
    <t>2ターン青属性攻撃力UP(赤･緑を吸収し効果特大UP)+1ターン全ユニット回復力特大UP、赤･青属性からのダメージを45%軽減</t>
    <phoneticPr fontId="22"/>
  </si>
  <si>
    <t>緑をハート変換+右隣の攻撃タイプのスキルターン1短縮+2ターン攻撃･回復タイプ攻撃力1500UP</t>
    <phoneticPr fontId="22"/>
  </si>
  <si>
    <t>緑をハート変換+右隣の攻撃タイプのスキルターン1短縮+2ターン攻撃･回復タイプ攻撃力1500UP+4ターン赤パネル出現率DOWN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</si>
</sst>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49" fontId="12" fillId="0" borderId="4" xfId="0" applyNumberFormat="1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 wrapText="1"/>
    </xf>
    <xf numFmtId="0" fontId="12" fillId="22" borderId="4" xfId="0" applyNumberFormat="1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  <xf numFmtId="0" fontId="29" fillId="29" borderId="4" xfId="0" applyFont="1" applyFill="1" applyBorder="1" applyAlignment="1">
      <alignment vertical="center"/>
    </xf>
    <xf numFmtId="0" fontId="14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horizontal="left" vertical="center" wrapText="1"/>
    </xf>
    <xf numFmtId="0" fontId="13" fillId="29" borderId="0" xfId="0" applyFont="1" applyFill="1" applyAlignment="1">
      <alignment vertical="center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5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900</v>
          </cell>
          <cell r="B146" t="str">
            <v>ja</v>
          </cell>
          <cell r="C146" t="str">
            <v>チェイン12 攻撃力UP</v>
          </cell>
          <cell r="D146" t="str">
            <v>自身が先頭の時、1タップで12個以上パネルを繋げた場合に攻撃力UP</v>
          </cell>
        </row>
        <row r="147">
          <cell r="A147">
            <v>901</v>
          </cell>
          <cell r="B147" t="str">
            <v>ja</v>
          </cell>
          <cell r="C147" t="str">
            <v>チェイン12 回復力UP</v>
          </cell>
          <cell r="D147" t="str">
            <v>自身が先頭の時、1タップで12個以上パネルを繋げた場合に回復力UP</v>
          </cell>
        </row>
        <row r="148">
          <cell r="A148">
            <v>902</v>
          </cell>
          <cell r="B148" t="str">
            <v>ja</v>
          </cell>
          <cell r="C148" t="str">
            <v>チェイン12 タップ回数UP</v>
          </cell>
          <cell r="D148" t="str">
            <v>自身が先頭の時、1タップで12個以上パネルを繋げた場合にタップ回数を1回増やす</v>
          </cell>
        </row>
        <row r="149">
          <cell r="A149">
            <v>903</v>
          </cell>
          <cell r="B149" t="str">
            <v>ja</v>
          </cell>
          <cell r="C149" t="str">
            <v>チェイン18 スキルゲージUP</v>
          </cell>
          <cell r="D149" t="str">
            <v>自身が先頭の時、1タップで18個以上パネルを繋げた場合に自身のスキルゲージを1増やす(1ターンに1度だけ発動)</v>
          </cell>
        </row>
        <row r="150">
          <cell r="A150">
            <v>904</v>
          </cell>
          <cell r="B150" t="str">
            <v>ja</v>
          </cell>
          <cell r="C150" t="str">
            <v>チェイン17 回復力UP</v>
          </cell>
          <cell r="D150" t="str">
            <v>自身が先頭の時、1タップで17個以上パネルを繋げた場合に自身の回復力を2017UP</v>
          </cell>
        </row>
        <row r="151">
          <cell r="A151">
            <v>905</v>
          </cell>
          <cell r="B151" t="str">
            <v>ja</v>
          </cell>
          <cell r="C151" t="str">
            <v>チェイン12 攻撃力小UP</v>
          </cell>
          <cell r="D151" t="str">
            <v>自身が先頭の時、1タップで12個以上パネルを繋げた場合に攻撃力小UP</v>
          </cell>
        </row>
        <row r="152">
          <cell r="A152">
            <v>906</v>
          </cell>
          <cell r="B152" t="str">
            <v>ja</v>
          </cell>
          <cell r="C152" t="str">
            <v>チェイン14 回復力小UP</v>
          </cell>
          <cell r="D152" t="str">
            <v>自身が先頭の時、1タップで14個以上パネルを繋げた場合に回復力小UP</v>
          </cell>
        </row>
        <row r="153">
          <cell r="A153">
            <v>907</v>
          </cell>
          <cell r="B153" t="str">
            <v>ja</v>
          </cell>
          <cell r="C153" t="str">
            <v>チェイン14 攻撃力UP</v>
          </cell>
          <cell r="D153" t="str">
            <v>自身が先頭の時、1タップで14個以上パネルを繋げた場合に攻撃力UP</v>
          </cell>
        </row>
        <row r="154">
          <cell r="A154">
            <v>908</v>
          </cell>
          <cell r="B154" t="str">
            <v>ja</v>
          </cell>
          <cell r="C154" t="str">
            <v>チェイン16 黄属性防御力UP</v>
          </cell>
          <cell r="D154" t="str">
            <v>自身が先頭の時、1タップで16個以上パネルを繋げた場合に黄属性ユニットの防御力UP</v>
          </cell>
        </row>
        <row r="155">
          <cell r="A155">
            <v>909</v>
          </cell>
          <cell r="B155" t="str">
            <v>ja</v>
          </cell>
          <cell r="C155" t="str">
            <v>チェイン30 Cパネル生成短縮(激烈)</v>
          </cell>
          <cell r="D155" t="str">
            <v>自身が先頭の時、1タップで30個以上パネルを繋げた場合にCパネル生成短縮(効果激烈)</v>
          </cell>
        </row>
        <row r="156">
          <cell r="A156">
            <v>910</v>
          </cell>
          <cell r="B156" t="str">
            <v>ja</v>
          </cell>
          <cell r="C156" t="str">
            <v>チェイン18 HP回復</v>
          </cell>
          <cell r="D156" t="str">
            <v>自身が先頭の時、1タップで18個以上パネルを繋げた場合にHPを2500回復(1ターンに1度だけ発動)</v>
          </cell>
        </row>
        <row r="157">
          <cell r="A157">
            <v>1100</v>
          </cell>
          <cell r="B157" t="str">
            <v>ja</v>
          </cell>
          <cell r="C157" t="str">
            <v>Cパネル生成短縮</v>
          </cell>
          <cell r="D157" t="str">
            <v>自身が先頭の時、Cパネル生成に必要なチェイン数を1短縮する</v>
          </cell>
        </row>
        <row r="158">
          <cell r="A158">
            <v>1101</v>
          </cell>
          <cell r="B158" t="str">
            <v>ja</v>
          </cell>
          <cell r="C158" t="str">
            <v>Cパネル生成短縮(大)</v>
          </cell>
          <cell r="D158" t="str">
            <v>自身が先頭の時、Cパネル生成に必要なチェイン数を2短縮する</v>
          </cell>
        </row>
        <row r="159">
          <cell r="A159">
            <v>1200</v>
          </cell>
          <cell r="B159" t="str">
            <v>ja</v>
          </cell>
          <cell r="C159" t="str">
            <v>フィーバー攻撃UP</v>
          </cell>
          <cell r="D159" t="str">
            <v>自身が先頭の時、フィーバー発動時に緑属性の攻撃力と回復力UP</v>
          </cell>
        </row>
        <row r="160">
          <cell r="A160">
            <v>1300</v>
          </cell>
          <cell r="B160" t="str">
            <v>ja</v>
          </cell>
          <cell r="C160" t="str">
            <v>チェイン12 HP回復</v>
          </cell>
          <cell r="D160" t="str">
            <v>自身が先頭の時、1タップで12個以上パネルを繋げた場合にHPを2000回復(1ターンに1度だけ発動)</v>
          </cell>
        </row>
        <row r="161">
          <cell r="A161">
            <v>1400</v>
          </cell>
          <cell r="B161" t="str">
            <v>ja</v>
          </cell>
          <cell r="C161" t="str">
            <v>カウンター威力UP</v>
          </cell>
          <cell r="D161" t="str">
            <v>4ターン毎に自身のカウンタースキルの威力が1ターンの間UP</v>
          </cell>
        </row>
        <row r="162">
          <cell r="A162">
            <v>1500</v>
          </cell>
          <cell r="B162" t="str">
            <v>ja</v>
          </cell>
          <cell r="C162" t="str">
            <v>バリア15000</v>
          </cell>
          <cell r="D162" t="str">
            <v>戦闘開始時に、自身への直接ダメージを15000まで防ぐバリアを一度だけ展開(バリアは破壊されると復活しない)</v>
          </cell>
        </row>
        <row r="163">
          <cell r="A163">
            <v>1501</v>
          </cell>
          <cell r="B163" t="str">
            <v>ja</v>
          </cell>
          <cell r="C163" t="str">
            <v>バリア</v>
          </cell>
          <cell r="D163" t="str">
            <v>戦闘開始時に、ダメージを25000まで防ぐバリアを一度だけ展開</v>
          </cell>
        </row>
        <row r="164">
          <cell r="A164">
            <v>1502</v>
          </cell>
          <cell r="B164" t="str">
            <v>ja</v>
          </cell>
          <cell r="C164" t="str">
            <v>バリア</v>
          </cell>
          <cell r="D164" t="str">
            <v>戦闘開始時に、ダメージを50000まで防ぐバリアを一度だけ展開</v>
          </cell>
        </row>
        <row r="165">
          <cell r="A165">
            <v>1503</v>
          </cell>
          <cell r="B165" t="str">
            <v>ja</v>
          </cell>
          <cell r="C165" t="str">
            <v>バリア8000</v>
          </cell>
          <cell r="D165" t="str">
            <v>戦闘開始時に、自身への直接ダメージを8000まで防ぐバリアを一度だけ展開(バリアは破壊されると復活しない)</v>
          </cell>
        </row>
        <row r="166">
          <cell r="A166">
            <v>1504</v>
          </cell>
          <cell r="B166" t="str">
            <v>ja</v>
          </cell>
          <cell r="C166" t="str">
            <v>バリア10000</v>
          </cell>
          <cell r="D166" t="str">
            <v>戦闘開始時に、自身への直接ダメージを10000まで防ぐバリアを一度だけ展開(バリアは破壊されると復活しない)</v>
          </cell>
        </row>
        <row r="167">
          <cell r="A167">
            <v>1505</v>
          </cell>
          <cell r="B167" t="str">
            <v>ja</v>
          </cell>
          <cell r="C167" t="str">
            <v>バリア3939</v>
          </cell>
          <cell r="D167" t="str">
            <v>戦闘開始時に、自身への直接ダメージを3939まで防ぐバリアを一度だけ展開(バリアは破壊されると復活しない)</v>
          </cell>
        </row>
        <row r="168">
          <cell r="A168">
            <v>1600</v>
          </cell>
          <cell r="B168" t="str">
            <v>ja</v>
          </cell>
          <cell r="C168" t="str">
            <v>攻撃力・回復力UP</v>
          </cell>
          <cell r="D168" t="str">
            <v>自身の攻撃力と回復力をUP</v>
          </cell>
        </row>
        <row r="169">
          <cell r="A169">
            <v>1700</v>
          </cell>
          <cell r="B169" t="str">
            <v>ja</v>
          </cell>
          <cell r="C169" t="str">
            <v>パネルブレイク30 ターンHP小回復</v>
          </cell>
          <cell r="D169" t="str">
            <v>自身が先頭の時、1ターンの間に合計30個以上パネルを破壊した場合に1ターン HP小回復</v>
          </cell>
        </row>
        <row r="170">
          <cell r="A170">
            <v>1800</v>
          </cell>
          <cell r="B170" t="str">
            <v>ja</v>
          </cell>
          <cell r="C170" t="str">
            <v>フィーバー強化</v>
          </cell>
          <cell r="D170" t="str">
            <v>フィーバー時自身の攻撃力、回復力を特大UP</v>
          </cell>
        </row>
        <row r="171">
          <cell r="A171">
            <v>1900</v>
          </cell>
          <cell r="B171" t="str">
            <v>ja</v>
          </cell>
          <cell r="C171" t="str">
            <v>ハート出現率UP</v>
          </cell>
          <cell r="D171" t="str">
            <v>自身が先頭の時、ハートパネルの出現率UP</v>
          </cell>
        </row>
        <row r="172">
          <cell r="A172">
            <v>2000</v>
          </cell>
          <cell r="B172" t="str">
            <v>ja</v>
          </cell>
          <cell r="C172" t="str">
            <v>赤パネル出現率UP</v>
          </cell>
          <cell r="D172" t="str">
            <v>自身が先頭の時、赤パネルの出現率UP</v>
          </cell>
        </row>
        <row r="173">
          <cell r="A173">
            <v>2100</v>
          </cell>
          <cell r="B173" t="str">
            <v>ja</v>
          </cell>
          <cell r="C173" t="str">
            <v>緑パネル出現率UP</v>
          </cell>
          <cell r="D173" t="str">
            <v>自身が先頭の時、緑パネルの出現率UP</v>
          </cell>
        </row>
        <row r="174">
          <cell r="A174">
            <v>2200</v>
          </cell>
          <cell r="B174" t="str">
            <v>ja</v>
          </cell>
          <cell r="C174" t="str">
            <v>青パネル出現率UP</v>
          </cell>
          <cell r="D174" t="str">
            <v>自身が先頭の時、青パネルの出現率UP</v>
          </cell>
        </row>
        <row r="175">
          <cell r="A175">
            <v>2201</v>
          </cell>
          <cell r="B175" t="str">
            <v>ja</v>
          </cell>
          <cell r="C175" t="str">
            <v>青パネル出現率UP</v>
          </cell>
          <cell r="D175" t="str">
            <v>自身が先頭の時、青パネルの出現率UP</v>
          </cell>
        </row>
        <row r="176">
          <cell r="A176">
            <v>2300</v>
          </cell>
          <cell r="B176" t="str">
            <v>ja</v>
          </cell>
          <cell r="C176" t="str">
            <v>黄パネル出現率UP</v>
          </cell>
          <cell r="D176" t="str">
            <v>自身が先頭の時、黄パネルの出現率UP</v>
          </cell>
        </row>
        <row r="177">
          <cell r="A177">
            <v>2400</v>
          </cell>
          <cell r="B177" t="str">
            <v>ja</v>
          </cell>
          <cell r="C177" t="str">
            <v>ハートボムパネルドロップ</v>
          </cell>
          <cell r="D177" t="str">
            <v>自身が先頭の時、ハートパネルを確率でハートボムパネルに変換しドロップ</v>
          </cell>
        </row>
        <row r="178">
          <cell r="A178">
            <v>2401</v>
          </cell>
          <cell r="B178" t="str">
            <v>ja</v>
          </cell>
          <cell r="C178" t="str">
            <v>赤ボムパネルドロップ</v>
          </cell>
          <cell r="D178" t="str">
            <v>自身が先頭の時、赤パネルを低確率で赤ボムパネルに変換しドロップ</v>
          </cell>
        </row>
        <row r="179">
          <cell r="A179">
            <v>2402</v>
          </cell>
          <cell r="B179" t="str">
            <v>ja</v>
          </cell>
          <cell r="C179" t="str">
            <v>緑ボムパネルドロップ</v>
          </cell>
          <cell r="D179" t="str">
            <v>自身が先頭の時、緑パネルを低確率で緑ボムパネルに変換しドロップ</v>
          </cell>
        </row>
        <row r="180">
          <cell r="A180">
            <v>2403</v>
          </cell>
          <cell r="B180" t="str">
            <v>ja</v>
          </cell>
          <cell r="C180" t="str">
            <v>青ボムパネルドロップ</v>
          </cell>
          <cell r="D180" t="str">
            <v>自身が先頭の時、青パネルを確率で青ボムパネルに変換しドロップ</v>
          </cell>
        </row>
        <row r="181">
          <cell r="A181">
            <v>2500</v>
          </cell>
          <cell r="B181" t="str">
            <v>ja</v>
          </cell>
          <cell r="C181" t="str">
            <v>青パネルドロップ</v>
          </cell>
          <cell r="D181" t="str">
            <v>自身が先頭の時、緑パネルを確率で青パネルに変換しドロップ</v>
          </cell>
        </row>
        <row r="182">
          <cell r="A182">
            <v>2501</v>
          </cell>
          <cell r="B182" t="str">
            <v>ja</v>
          </cell>
          <cell r="C182" t="str">
            <v>黄パネルドロップ</v>
          </cell>
          <cell r="D182" t="str">
            <v>自身が先頭の時、青パネルを確率で黄パネルに変換しドロップ</v>
          </cell>
        </row>
        <row r="183">
          <cell r="A183">
            <v>2502</v>
          </cell>
          <cell r="B183" t="str">
            <v>ja</v>
          </cell>
          <cell r="C183" t="str">
            <v>赤パネルドロップ</v>
          </cell>
          <cell r="D183" t="str">
            <v>自身が先頭の時、黄パネルを確率で赤パネルに変換しドロップ</v>
          </cell>
        </row>
        <row r="184">
          <cell r="A184">
            <v>2503</v>
          </cell>
          <cell r="B184" t="str">
            <v>ja</v>
          </cell>
          <cell r="C184" t="str">
            <v>黄パネルドロップ</v>
          </cell>
          <cell r="D184" t="str">
            <v>自身が先頭の時、赤パネルを確率で黄パネルに変換しドロップ</v>
          </cell>
        </row>
        <row r="185">
          <cell r="A185">
            <v>2504</v>
          </cell>
          <cell r="B185" t="str">
            <v>ja</v>
          </cell>
          <cell r="C185" t="str">
            <v>SCパネルドロップ</v>
          </cell>
          <cell r="D185" t="str">
            <v>自身が先頭の時、緑パネルを確率でSCパネルに変換しドロップ</v>
          </cell>
        </row>
        <row r="186">
          <cell r="A186">
            <v>2505</v>
          </cell>
          <cell r="B186" t="str">
            <v>ja</v>
          </cell>
          <cell r="C186" t="str">
            <v>緑ボムパネル(大)ドロップ</v>
          </cell>
          <cell r="D186" t="str">
            <v>自身が先頭の時、低確率で緑ボムパネル(大)をドロップ</v>
          </cell>
        </row>
        <row r="187">
          <cell r="A187">
            <v>2506</v>
          </cell>
          <cell r="B187" t="str">
            <v>ja</v>
          </cell>
          <cell r="C187" t="str">
            <v>ハートボムパネル(大)ドロップ</v>
          </cell>
          <cell r="D187" t="str">
            <v>自身が先頭の時、低確率でハートボムパネル(大)をドロップ</v>
          </cell>
        </row>
        <row r="188">
          <cell r="A188">
            <v>2507</v>
          </cell>
          <cell r="B188" t="str">
            <v>ja</v>
          </cell>
          <cell r="C188" t="str">
            <v>Cパネルドロップ</v>
          </cell>
          <cell r="D188" t="str">
            <v>自身が先頭の時、低確率でCパネルをドロップ</v>
          </cell>
        </row>
        <row r="189">
          <cell r="A189">
            <v>2508</v>
          </cell>
          <cell r="B189" t="str">
            <v>ja</v>
          </cell>
          <cell r="C189" t="str">
            <v>黄パネルドロップ</v>
          </cell>
          <cell r="D189" t="str">
            <v>自身が先頭の時、緑パネルを確率で黄パネルに変換しドロップ</v>
          </cell>
        </row>
        <row r="190">
          <cell r="A190">
            <v>2600</v>
          </cell>
          <cell r="B190" t="str">
            <v>ja</v>
          </cell>
          <cell r="C190" t="str">
            <v>回復力400UP</v>
          </cell>
          <cell r="D190" t="str">
            <v>自身の回復力を400UP</v>
          </cell>
        </row>
        <row r="191">
          <cell r="A191">
            <v>2601</v>
          </cell>
          <cell r="B191" t="str">
            <v>ja</v>
          </cell>
          <cell r="C191" t="str">
            <v>回復力300UP</v>
          </cell>
          <cell r="D191" t="str">
            <v>自身の回復力を300UP</v>
          </cell>
        </row>
        <row r="192">
          <cell r="A192">
            <v>2700</v>
          </cell>
          <cell r="B192" t="str">
            <v>ja</v>
          </cell>
          <cell r="C192" t="str">
            <v>攻撃力UP</v>
          </cell>
          <cell r="D192" t="str">
            <v>自身の攻撃力を300UP</v>
          </cell>
        </row>
        <row r="193">
          <cell r="A193">
            <v>2701</v>
          </cell>
          <cell r="B193" t="str">
            <v>ja</v>
          </cell>
          <cell r="C193" t="str">
            <v>攻撃力UP</v>
          </cell>
          <cell r="D193" t="str">
            <v>自身の攻撃力を500UP</v>
          </cell>
        </row>
        <row r="194">
          <cell r="A194">
            <v>2800</v>
          </cell>
          <cell r="B194" t="str">
            <v>ja</v>
          </cell>
          <cell r="C194" t="str">
            <v>防御力UP</v>
          </cell>
          <cell r="D194" t="str">
            <v>自身の防御力を250UP</v>
          </cell>
        </row>
        <row r="195">
          <cell r="A195">
            <v>2801</v>
          </cell>
          <cell r="B195" t="str">
            <v>ja</v>
          </cell>
          <cell r="C195" t="str">
            <v>防御力UP</v>
          </cell>
          <cell r="D195" t="str">
            <v>自身の防御力を350UP</v>
          </cell>
        </row>
        <row r="196">
          <cell r="A196">
            <v>2802</v>
          </cell>
          <cell r="B196" t="str">
            <v>ja</v>
          </cell>
          <cell r="C196" t="str">
            <v>防御力UP</v>
          </cell>
          <cell r="D196" t="str">
            <v>自身の防御力を300UP</v>
          </cell>
        </row>
        <row r="197">
          <cell r="A197">
            <v>2803</v>
          </cell>
          <cell r="B197" t="str">
            <v>ja</v>
          </cell>
          <cell r="C197" t="str">
            <v>防御力UP</v>
          </cell>
          <cell r="D197" t="str">
            <v>自身の防御力を400UP</v>
          </cell>
        </row>
        <row r="198">
          <cell r="A198">
            <v>2900</v>
          </cell>
          <cell r="B198" t="str">
            <v>ja</v>
          </cell>
          <cell r="C198" t="str">
            <v>フィーバー50 攻撃力小UP</v>
          </cell>
          <cell r="D198" t="str">
            <v>フィーバーゲージが50％以上の時、自身の攻撃力小UP</v>
          </cell>
        </row>
        <row r="199">
          <cell r="A199">
            <v>2901</v>
          </cell>
          <cell r="B199" t="str">
            <v>ja</v>
          </cell>
          <cell r="C199" t="str">
            <v>フィーバー40 攻撃力UP</v>
          </cell>
          <cell r="D199" t="str">
            <v>フィーバーゲージが40％以上の時、自身の攻撃力UP</v>
          </cell>
        </row>
        <row r="200">
          <cell r="A200">
            <v>3000</v>
          </cell>
          <cell r="B200" t="str">
            <v>ja</v>
          </cell>
          <cell r="C200" t="str">
            <v>攻撃参加</v>
          </cell>
          <cell r="D200" t="str">
            <v>最初の1ターン目と、その後7ターン毎に自身が先頭以外でも通常攻撃に参加する</v>
          </cell>
        </row>
        <row r="201">
          <cell r="A201">
            <v>9000</v>
          </cell>
          <cell r="B201" t="str">
            <v>ja</v>
          </cell>
          <cell r="C201" t="str">
            <v>ハップルチャレンジ ダメージUP</v>
          </cell>
          <cell r="D201" t="str">
            <v>ハップルチャレンジ内で自身の全ての攻撃の威力をUP</v>
          </cell>
        </row>
        <row r="202">
          <cell r="A202">
            <v>119402</v>
          </cell>
          <cell r="B202" t="str">
            <v>ja</v>
          </cell>
          <cell r="C202" t="str">
            <v>ハロウィンナイトパニック！ 威力UP</v>
          </cell>
          <cell r="D202" t="str">
            <v>ハロウィンナイトパニック！内で自身の全ての攻撃の威力を究極UP</v>
          </cell>
        </row>
        <row r="203">
          <cell r="A203">
            <v>808082</v>
          </cell>
          <cell r="B203" t="str">
            <v>ja</v>
          </cell>
          <cell r="C203" t="str">
            <v>Cパネルドロップ</v>
          </cell>
          <cell r="D203" t="str">
            <v>自身が先頭の時、低確率でCパネルをドロップ</v>
          </cell>
        </row>
        <row r="204">
          <cell r="A204">
            <v>2504</v>
          </cell>
          <cell r="B204" t="str">
            <v>ja</v>
          </cell>
          <cell r="C204" t="str">
            <v>SCパネルドロップ</v>
          </cell>
          <cell r="D204" t="str">
            <v>自身が先頭の時、緑パネルを確率でSCパネルに変換しドロップ</v>
          </cell>
        </row>
        <row r="205">
          <cell r="A205">
            <v>2505</v>
          </cell>
          <cell r="B205" t="str">
            <v>ja</v>
          </cell>
          <cell r="C205" t="str">
            <v>緑ボムパネル(大)ドロップ</v>
          </cell>
          <cell r="D205" t="str">
            <v>自身が先頭の時、低確率で緑ボムパネル(大)をドロップ</v>
          </cell>
        </row>
        <row r="206">
          <cell r="A206">
            <v>2506</v>
          </cell>
          <cell r="B206" t="str">
            <v>ja</v>
          </cell>
          <cell r="C206" t="str">
            <v>ハートボムパネル(大)ドロップ</v>
          </cell>
          <cell r="D206" t="str">
            <v>自身が先頭の時、低確率でハートボムパネル(大)をドロップ</v>
          </cell>
        </row>
        <row r="207">
          <cell r="A207">
            <v>2507</v>
          </cell>
          <cell r="B207" t="str">
            <v>ja</v>
          </cell>
          <cell r="C207" t="str">
            <v>Cパネルドロップ</v>
          </cell>
          <cell r="D207" t="str">
            <v>自身が先頭の時、低確率でCパネルをドロップ</v>
          </cell>
        </row>
        <row r="208">
          <cell r="A208">
            <v>2508</v>
          </cell>
          <cell r="B208" t="str">
            <v>ja</v>
          </cell>
          <cell r="C208" t="str">
            <v>黄パネルドロップ</v>
          </cell>
          <cell r="D208" t="str">
            <v>自身が先頭の時、緑パネルを確率で黄パネルに変換しドロップ</v>
          </cell>
        </row>
        <row r="209">
          <cell r="A209">
            <v>2509</v>
          </cell>
          <cell r="B209" t="str">
            <v>ja</v>
          </cell>
          <cell r="C209" t="str">
            <v>赤ボムパネル(大)ドロップ</v>
          </cell>
          <cell r="D209" t="str">
            <v>自身が先頭の時、低確率で赤ボムパネル(大)をドロップ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F24" sqref="F2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331</v>
      </c>
      <c r="B2" s="105" t="s">
        <v>129</v>
      </c>
      <c r="C2" s="162" t="s">
        <v>330</v>
      </c>
      <c r="D2" s="105" t="s">
        <v>128</v>
      </c>
      <c r="E2" s="104" t="str">
        <f>B2&amp;C2&amp;D2</f>
        <v>units_Ohanami2017.tmp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306</v>
      </c>
      <c r="S2" s="105"/>
      <c r="T2" s="105"/>
      <c r="U2" s="105"/>
      <c r="V2" s="105"/>
      <c r="W2" s="105"/>
    </row>
    <row r="3" spans="1:29" x14ac:dyDescent="0.15">
      <c r="A3" s="105" t="s">
        <v>331</v>
      </c>
      <c r="B3" s="105" t="s">
        <v>293</v>
      </c>
      <c r="C3" s="162" t="s">
        <v>330</v>
      </c>
      <c r="D3" s="105" t="s">
        <v>128</v>
      </c>
      <c r="E3" s="104" t="str">
        <f>B3&amp;C3&amp;D3</f>
        <v>fork_awake_units_Ohanami2017.tmp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331</v>
      </c>
      <c r="B4" s="105" t="s">
        <v>130</v>
      </c>
      <c r="C4" s="162" t="s">
        <v>329</v>
      </c>
      <c r="D4" s="105" t="s">
        <v>128</v>
      </c>
      <c r="E4" s="104" t="str">
        <f>B4&amp;C4&amp;D4</f>
        <v>awake_materials_Ohanami2017.tmp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331</v>
      </c>
      <c r="B5" s="105" t="s">
        <v>292</v>
      </c>
      <c r="C5" s="162" t="s">
        <v>329</v>
      </c>
      <c r="D5" s="105" t="s">
        <v>128</v>
      </c>
      <c r="E5" s="104" t="str">
        <f>B5&amp;C5&amp;D5</f>
        <v>fork_awake_materials_Ohanami2017.tmp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331</v>
      </c>
      <c r="B6" s="105" t="s">
        <v>131</v>
      </c>
      <c r="C6" s="162" t="s">
        <v>329</v>
      </c>
      <c r="D6" s="105" t="s">
        <v>132</v>
      </c>
      <c r="E6" s="104" t="str">
        <f t="shared" ref="E6" si="0">B6&amp;C6&amp;D6</f>
        <v>unit_levels_calc_Ohanami2017.tmp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331</v>
      </c>
      <c r="B7" s="105" t="s">
        <v>143</v>
      </c>
      <c r="C7" s="162" t="s">
        <v>329</v>
      </c>
      <c r="D7" s="105" t="s">
        <v>144</v>
      </c>
      <c r="E7" s="104" t="str">
        <f>B7&amp;C7&amp;D7</f>
        <v>unit_skills_data_Ohanami2017.tmp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331</v>
      </c>
      <c r="B8" s="105" t="s">
        <v>149</v>
      </c>
      <c r="C8" s="162" t="s">
        <v>329</v>
      </c>
      <c r="D8" s="105" t="s">
        <v>128</v>
      </c>
      <c r="E8" s="104" t="str">
        <f>B8&amp;C8&amp;D8</f>
        <v>unit_skills_i18n_Ohanami2017.tmp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331</v>
      </c>
      <c r="B9" s="105" t="s">
        <v>153</v>
      </c>
      <c r="C9" s="162" t="s">
        <v>329</v>
      </c>
      <c r="D9" s="105" t="s">
        <v>154</v>
      </c>
      <c r="E9" s="104" t="str">
        <f>B9&amp;C9&amp;D9</f>
        <v>crash_skills_data_Ohanami2017.tmp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331</v>
      </c>
      <c r="B10" s="105" t="s">
        <v>157</v>
      </c>
      <c r="C10" s="162" t="s">
        <v>329</v>
      </c>
      <c r="D10" s="105" t="s">
        <v>158</v>
      </c>
      <c r="E10" s="104" t="str">
        <f t="shared" ref="E10" si="1">B10&amp;C10&amp;D10</f>
        <v>crash_skills_i18n_Ohanami2017.tmp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331</v>
      </c>
      <c r="B11" s="108" t="s">
        <v>135</v>
      </c>
      <c r="C11" s="162" t="s">
        <v>329</v>
      </c>
      <c r="D11" s="105" t="s">
        <v>158</v>
      </c>
      <c r="E11" s="104" t="str">
        <f t="shared" ref="E11:E12" si="2">B11&amp;C11&amp;D11</f>
        <v>unit_serifs_data_Ohanami2017.tmp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331</v>
      </c>
      <c r="B12" s="108" t="s">
        <v>136</v>
      </c>
      <c r="C12" s="162" t="s">
        <v>329</v>
      </c>
      <c r="D12" s="105" t="s">
        <v>158</v>
      </c>
      <c r="E12" s="104" t="str">
        <f t="shared" si="2"/>
        <v>unit_serifs_i18n_Ohanami2017.tmp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331</v>
      </c>
      <c r="B13" s="105" t="s">
        <v>305</v>
      </c>
      <c r="C13" s="162" t="s">
        <v>329</v>
      </c>
      <c r="D13" s="105" t="s">
        <v>253</v>
      </c>
      <c r="E13" s="104" t="str">
        <f>B13&amp;C13&amp;D13</f>
        <v>abilities_tmp_Ohanami2017.tmp</v>
      </c>
      <c r="F13" s="105" t="s">
        <v>254</v>
      </c>
      <c r="G13" s="163" t="s">
        <v>421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331</v>
      </c>
      <c r="B14" s="105" t="s">
        <v>258</v>
      </c>
      <c r="C14" s="162" t="s">
        <v>329</v>
      </c>
      <c r="D14" s="105" t="s">
        <v>128</v>
      </c>
      <c r="E14" s="104" t="str">
        <f>B14&amp;C14&amp;D14</f>
        <v>abilities_i18n_Ohanami2017.tmp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202" t="s">
        <v>350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331</v>
      </c>
      <c r="B15" s="105" t="s">
        <v>261</v>
      </c>
      <c r="C15" s="162" t="s">
        <v>329</v>
      </c>
      <c r="D15" s="105" t="s">
        <v>128</v>
      </c>
      <c r="E15" s="104" t="str">
        <f>B15&amp;C15&amp;D15</f>
        <v>unit_abilities_Ohanami2017.tmp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2"/>
  <sheetViews>
    <sheetView showGridLines="0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BB9" sqref="BB9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307</v>
      </c>
    </row>
    <row r="2" spans="1:70" ht="26" customHeight="1" x14ac:dyDescent="0.15">
      <c r="A2" s="186">
        <v>1497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ヨシノ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0">
        <f ca="1">VLOOKUP(Q2,[1]character_type_i18n!$A:$H,4,FALSE)</f>
        <v>0.8</v>
      </c>
      <c r="T2" s="10">
        <f ca="1">VLOOKUP(Q2,[1]character_type_i18n!$A:$H,5,FALSE)</f>
        <v>0.78</v>
      </c>
      <c r="U2" s="10">
        <f ca="1">VLOOKUP(Q2,[1]character_type_i18n!$A:$H,6,FALSE)</f>
        <v>1</v>
      </c>
      <c r="V2" s="10">
        <f ca="1">VLOOKUP(Q2,[1]character_type_i18n!$A:$H,7,FALSE)</f>
        <v>1.42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fantasy</v>
      </c>
      <c r="X2" s="5" t="str">
        <f ca="1">VLOOKUP(W2,[1]character_tribe_i18n!$A:$H,3,FALSE)</f>
        <v>ファンタジー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1498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咲誇る夢見草 ヨシノ</v>
      </c>
      <c r="AG2" s="187">
        <v>1497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ヨシノ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1497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蕾弾・ブロッサムシャワー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緑をハート変換+右隣の攻撃タイプのスキルターン1短縮+2ターン攻撃･回復タイプ攻撃力1500UP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1497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開華＊速報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1体に大ダメージ+_x000D_HP回復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1.2502</v>
      </c>
      <c r="AZ2" s="64">
        <v>1.0920000000000001</v>
      </c>
      <c r="BA2" s="64">
        <v>0</v>
      </c>
      <c r="BB2" s="64">
        <v>0.92269999999999996</v>
      </c>
      <c r="BC2" s="10">
        <f ca="1">INDEX('RC6SV'!$A$1:$G$21,MATCH(H2,'RC6SV'!$A$1:$A$21,FALSE),MATCH(G2,'RC6SV'!$A$1:$G$1,FALSE))</f>
        <v>9000</v>
      </c>
      <c r="BD2" s="44">
        <f t="shared" ref="BD2" ca="1" si="2">ROUND(BC2*IF(AJ2=1,0.95,IF(AJ2=2,1,IF(AJ2,1.05,0))),0)</f>
        <v>9000</v>
      </c>
      <c r="BE2" s="10">
        <f t="shared" ref="BE2:BE12" ca="1" si="3">ROUND(IFERROR(INDIRECT(ADDRESS(MATCH($A2,$AE:$AE,0),MATCH($BC$1,$1:$1,0))),0),0)</f>
        <v>0</v>
      </c>
      <c r="BF2" s="10">
        <f t="shared" ref="BF2:BF12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2251</v>
      </c>
      <c r="BH2" s="15">
        <f ca="1">IF($BE2&lt;=0,ROUND(BL2*0.5,0), ROUND($BE2*T2*AB2*K2*AZ2*0.8*[1]ステータス!$C$2,0))</f>
        <v>1127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1504</v>
      </c>
      <c r="BK2" s="10">
        <f ca="1">ROUND(BD2*S2*AA2*J2*AY2*[1]ステータス!$B$2,0)</f>
        <v>4501</v>
      </c>
      <c r="BL2" s="10">
        <f ca="1">ROUND(BD2*T2*AB2*K2*AZ2*[1]ステータス!$C$2,0)</f>
        <v>2254</v>
      </c>
      <c r="BM2" s="10">
        <f ca="1">ROUND(BD2*U2*AC2*L2*BA2*[1]ステータス!$D$2,0)</f>
        <v>0</v>
      </c>
      <c r="BN2" s="10">
        <f ca="1">ROUND(BD2*V2*AD2*M2*BB2*[1]ステータス!$E$2,0)</f>
        <v>3007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1498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咲誇る夢見草 ヨシノ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heal</v>
      </c>
      <c r="R3" s="5" t="str">
        <f ca="1">VLOOKUP(Q3,[1]character_type_i18n!$A:$H,3,FALSE)</f>
        <v>回復タイプ</v>
      </c>
      <c r="S3" s="10">
        <f ca="1">VLOOKUP(Q3,[1]character_type_i18n!$A:$H,4,FALSE)</f>
        <v>0.8</v>
      </c>
      <c r="T3" s="10">
        <f ca="1">VLOOKUP(Q3,[1]character_type_i18n!$A:$H,5,FALSE)</f>
        <v>0.78</v>
      </c>
      <c r="U3" s="10">
        <f ca="1">VLOOKUP(Q3,[1]character_type_i18n!$A:$H,6,FALSE)</f>
        <v>1</v>
      </c>
      <c r="V3" s="10">
        <f ca="1">VLOOKUP(Q3,[1]character_type_i18n!$A:$H,7,FALSE)</f>
        <v>1.42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fantasy</v>
      </c>
      <c r="X3" s="5" t="str">
        <f ca="1">VLOOKUP(W3,[1]character_tribe_i18n!$A:$H,3,FALSE)</f>
        <v>ファンタジー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1497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ヨシノ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1498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華弾・ブロッサムレイン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緑をハート変換+右隣の攻撃タイプのスキルターン1短縮+2ターン攻撃･回復タイプ攻撃力1500UP+4ターン赤パネル出現率DOWN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1498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爛漫＊速報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1体に大ダメージ+_x000D_HP大回復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1.2502</v>
      </c>
      <c r="AZ3" s="64">
        <v>1.0920000000000001</v>
      </c>
      <c r="BA3" s="64">
        <v>0</v>
      </c>
      <c r="BB3" s="64">
        <v>0.92269999999999996</v>
      </c>
      <c r="BC3" s="10">
        <f ca="1">INDEX('RC6SV'!$A$1:$G$21,MATCH(H3,'RC6SV'!$A$1:$A$21,FALSE),MATCH(G3,'RC6SV'!$A$1:$G$1,FALSE))</f>
        <v>12000</v>
      </c>
      <c r="BD3" s="44">
        <f t="shared" ref="BD3:BD4" ca="1" si="6">ROUND(BC3*IF(AJ3=1,0.95,IF(AJ3=2,1,IF(AJ3,1.05,0))),0)</f>
        <v>12000</v>
      </c>
      <c r="BE3" s="10">
        <f t="shared" ca="1" si="3"/>
        <v>9000</v>
      </c>
      <c r="BF3" s="10">
        <f t="shared" ca="1" si="4"/>
        <v>1</v>
      </c>
      <c r="BG3" s="15">
        <f ca="1">IF($BE3&lt;=0,ROUND(BK3*0.5,0), ROUND($BE3*S3*AA3*J3*AY3*0.8*[1]ステータス!$B$2,0))</f>
        <v>3601</v>
      </c>
      <c r="BH3" s="15">
        <f ca="1">IF($BE3&lt;=0,ROUND(BL3*0.5,0), ROUND($BE3*T3*AB3*K3*AZ3*0.8*[1]ステータス!$C$2,0))</f>
        <v>1803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2406</v>
      </c>
      <c r="BK3" s="10">
        <f ca="1">ROUND(BD3*S3*AA3*J3*AY3*[1]ステータス!$B$2,0)</f>
        <v>6001</v>
      </c>
      <c r="BL3" s="10">
        <f ca="1">ROUND(BD3*T3*AB3*K3*AZ3*[1]ステータス!$C$2,0)</f>
        <v>3005</v>
      </c>
      <c r="BM3" s="10">
        <f ca="1">ROUND(BD3*U3*AC3*L3*BA3*[1]ステータス!$D$2,0)</f>
        <v>0</v>
      </c>
      <c r="BN3" s="10">
        <f ca="1">ROUND(BD3*V3*AD3*M3*BB3*[1]ステータス!$E$2,0)</f>
        <v>4009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1</v>
      </c>
    </row>
    <row r="4" spans="1:70" ht="26" customHeight="1" x14ac:dyDescent="0.15">
      <c r="A4" s="186">
        <v>1499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コノハナサクヤ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35</v>
      </c>
      <c r="O4" s="10">
        <f ca="1">INDEX(レベル!$A$1:$I$22,MATCH(H4,レベル!$A$1:$A$22,FALSE),MATCH(G4,レベル!$A$1:$I$1,FALSE))</f>
        <v>80</v>
      </c>
      <c r="P4" s="44">
        <f t="shared" ref="P4:P5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0">
        <f ca="1">VLOOKUP(Q4,[1]character_type_i18n!$A:$H,4,FALSE)</f>
        <v>0.9</v>
      </c>
      <c r="T4" s="10">
        <f ca="1">VLOOKUP(Q4,[1]character_type_i18n!$A:$H,5,FALSE)</f>
        <v>0.9</v>
      </c>
      <c r="U4" s="10">
        <f ca="1">VLOOKUP(Q4,[1]character_type_i18n!$A:$H,6,FALSE)</f>
        <v>1</v>
      </c>
      <c r="V4" s="10">
        <f ca="1">VLOOKUP(Q4,[1]character_type_i18n!$A:$H,7,FALSE)</f>
        <v>0.9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samurai</v>
      </c>
      <c r="Z4" s="5" t="str">
        <f ca="1">VLOOKUP(Y4,[1]character_tribe_i18n!$A:$H,3,FALSE)</f>
        <v>サムライ</v>
      </c>
      <c r="AA4" s="10">
        <f ca="1">VLOOKUP(W4,[1]character_tribe_i18n!$A:$H,4,FALSE)</f>
        <v>0.96</v>
      </c>
      <c r="AB4" s="10">
        <f ca="1">VLOOKUP(W4,[1]character_tribe_i18n!$A:$H,5,FALSE)</f>
        <v>1.02</v>
      </c>
      <c r="AC4" s="10">
        <f ca="1">VLOOKUP(W4,[1]character_tribe_i18n!$A:$H,6,FALSE)</f>
        <v>1</v>
      </c>
      <c r="AD4" s="10">
        <f ca="1">VLOOKUP(W4,[1]character_tribe_i18n!$A:$H,7,FALSE)</f>
        <v>1.02</v>
      </c>
      <c r="AE4" s="187">
        <v>1500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櫻歌する開華 コノハナサクヤ</v>
      </c>
      <c r="AG4" s="187">
        <v>1499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コノハナサクヤ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1499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乱舞・花見酒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マグネット(ハート→黄→緑)1個、赤をハート、青を黄パネルに変換+3ターン全ユニットCP生成短縮(特大)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1499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微睡みの春霞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自身の回復力に比例して1体に特大ダメージ+フィーバーゲージ上昇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1.0557000000000001</v>
      </c>
      <c r="AZ4" s="64">
        <v>0.98170000000000002</v>
      </c>
      <c r="BA4" s="64">
        <v>0</v>
      </c>
      <c r="BB4" s="64">
        <v>1.7222999999999999</v>
      </c>
      <c r="BC4" s="10">
        <f ca="1">INDEX('RC6SV'!$A$1:$G$21,MATCH(H4,'RC6SV'!$A$1:$A$21,FALSE),MATCH(G4,'RC6SV'!$A$1:$G$1,FALSE))</f>
        <v>9500</v>
      </c>
      <c r="BD4" s="44">
        <f t="shared" ca="1" si="6"/>
        <v>9500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2123</v>
      </c>
      <c r="BH4" s="15">
        <f ca="1">IF($BE4&lt;=0,ROUND(BL4*0.5,0), ROUND($BE4*T4*AB4*K4*AZ4*0.8*[1]ステータス!$C$2,0))</f>
        <v>1297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1897</v>
      </c>
      <c r="BK4" s="10">
        <f ca="1">ROUND(BD4*S4*AA4*J4*AY4*[1]ステータス!$B$2,0)</f>
        <v>4246</v>
      </c>
      <c r="BL4" s="10">
        <f ca="1">ROUND(BD4*T4*AB4*K4*AZ4*[1]ステータス!$C$2,0)</f>
        <v>2594</v>
      </c>
      <c r="BM4" s="10">
        <f ca="1">ROUND(BD4*U4*AC4*L4*BA4*[1]ステータス!$D$2,0)</f>
        <v>0</v>
      </c>
      <c r="BN4" s="10">
        <f ca="1">ROUND(BD4*V4*AD4*M4*BB4*[1]ステータス!$E$2,0)</f>
        <v>3793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5500</v>
      </c>
    </row>
    <row r="5" spans="1:70" ht="26" customHeight="1" x14ac:dyDescent="0.15">
      <c r="A5" s="186">
        <v>1500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櫻歌する開華 コノハナサクヤ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0">
        <f ca="1">VLOOKUP(Q5,[1]character_type_i18n!$A:$H,4,FALSE)</f>
        <v>0.9</v>
      </c>
      <c r="T5" s="10">
        <f ca="1">VLOOKUP(Q5,[1]character_type_i18n!$A:$H,5,FALSE)</f>
        <v>0.9</v>
      </c>
      <c r="U5" s="10">
        <f ca="1">VLOOKUP(Q5,[1]character_type_i18n!$A:$H,6,FALSE)</f>
        <v>1</v>
      </c>
      <c r="V5" s="10">
        <f ca="1">VLOOKUP(Q5,[1]character_type_i18n!$A:$H,7,FALSE)</f>
        <v>0.9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samurai</v>
      </c>
      <c r="Z5" s="5" t="str">
        <f ca="1">VLOOKUP(Y5,[1]character_tribe_i18n!$A:$H,3,FALSE)</f>
        <v>サムライ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1499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コノハナサクヤ</v>
      </c>
      <c r="AI5" s="10" t="str">
        <f>IF(AE5="NULL","NULL",VLOOKUP(G5,ビット!$A$2:$B$7,2))</f>
        <v>NULL</v>
      </c>
      <c r="AJ5" s="6">
        <v>2</v>
      </c>
      <c r="AK5" s="7" t="str">
        <f t="shared" ref="AK5:AK6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1500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櫻花乱舞・舞踏撃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マグネット(ハート→黄→緑)1個、赤をハート、青を黄に変換+3ターンCP生成短縮(特大)、ダメージ18％軽減、自身タップ1増加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1500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夢寐誘う春靄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自身の回復力に比例して1体に超大ダメージ+フィーバーゲージ上昇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1.0557000000000001</v>
      </c>
      <c r="AZ5" s="64">
        <v>1.0093000000000001</v>
      </c>
      <c r="BA5" s="64">
        <v>0</v>
      </c>
      <c r="BB5" s="64">
        <v>1.7222999999999999</v>
      </c>
      <c r="BC5" s="10">
        <f ca="1">INDEX('RC6SV'!$A$1:$G$21,MATCH(H5,'RC6SV'!$A$1:$A$21,FALSE),MATCH(G5,'RC6SV'!$A$1:$G$1,FALSE))</f>
        <v>13000</v>
      </c>
      <c r="BD5" s="44">
        <f t="shared" ref="BD5:BD6" ca="1" si="9">ROUND(BC5*IF(AJ5=1,0.95,IF(AJ5=2,1,IF(AJ5,1.05,0))),0)</f>
        <v>13000</v>
      </c>
      <c r="BE5" s="10">
        <f t="shared" ca="1" si="3"/>
        <v>9500</v>
      </c>
      <c r="BF5" s="10">
        <f t="shared" ca="1" si="4"/>
        <v>1</v>
      </c>
      <c r="BG5" s="15">
        <f ca="1">IF($BE5&lt;=0,ROUND(BK5*0.5,0), ROUND($BE5*S5*AA5*J5*AY5*0.8*[1]ステータス!$B$2,0))</f>
        <v>3397</v>
      </c>
      <c r="BH5" s="15">
        <f ca="1">IF($BE5&lt;=0,ROUND(BL5*0.5,0), ROUND($BE5*T5*AB5*K5*AZ5*0.8*[1]ステータス!$C$2,0))</f>
        <v>2134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3034</v>
      </c>
      <c r="BK5" s="10">
        <f ca="1">ROUND(BD5*S5*AA5*J5*AY5*[1]ステータス!$B$2,0)</f>
        <v>5810</v>
      </c>
      <c r="BL5" s="10">
        <f ca="1">ROUND(BD5*T5*AB5*K5*AZ5*[1]ステータス!$C$2,0)</f>
        <v>3650</v>
      </c>
      <c r="BM5" s="10">
        <f ca="1">ROUND(BD5*U5*AC5*L5*BA5*[1]ステータス!$D$2,0)</f>
        <v>0</v>
      </c>
      <c r="BN5" s="10">
        <f ca="1">ROUND(BD5*V5*AD5*M5*BB5*[1]ステータス!$E$2,0)</f>
        <v>5190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5500</v>
      </c>
    </row>
    <row r="6" spans="1:70" ht="26" customHeight="1" x14ac:dyDescent="0.15">
      <c r="A6" s="186">
        <v>1431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センコ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0">
        <f ca="1">VLOOKUP(I6,[1]属性!$A:$E,2,FALSE)</f>
        <v>0.98</v>
      </c>
      <c r="K6" s="10">
        <f ca="1">VLOOKUP(I6,[1]属性!$A:$E,3,FALSE)</f>
        <v>1.01</v>
      </c>
      <c r="L6" s="10">
        <f ca="1">VLOOKUP(I6,[1]属性!$A:$E,4,FALSE)</f>
        <v>1</v>
      </c>
      <c r="M6" s="10">
        <f ca="1">VLOOKUP(I6,[1]属性!$A:$E,5,FALSE)</f>
        <v>1.01</v>
      </c>
      <c r="N6" s="10">
        <f ca="1">INDEX(コスト!$A$1:$I$21,MATCH(H6,コスト!$A$1:$A$21,FALSE),MATCH(G6,コスト!$A$1:$I$1,FALSE))</f>
        <v>35</v>
      </c>
      <c r="O6" s="10">
        <f ca="1">INDEX(レベル!$A$1:$I$22,MATCH(H6,レベル!$A$1:$A$22,FALSE),MATCH(G6,レベル!$A$1:$I$1,FALSE))</f>
        <v>80</v>
      </c>
      <c r="P6" s="44">
        <f t="shared" ref="P6:P10" ca="1" si="10">IF(G6 &gt;= 6, 99,G6*15)</f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0">
        <f ca="1">VLOOKUP(Q6,[1]character_type_i18n!$A:$H,4,FALSE)</f>
        <v>1.45</v>
      </c>
      <c r="T6" s="10">
        <f ca="1">VLOOKUP(Q6,[1]character_type_i18n!$A:$H,5,FALSE)</f>
        <v>0.85</v>
      </c>
      <c r="U6" s="10">
        <f ca="1">VLOOKUP(Q6,[1]character_type_i18n!$A:$H,6,FALSE)</f>
        <v>1</v>
      </c>
      <c r="V6" s="10">
        <f ca="1">VLOOKUP(Q6,[1]character_type_i18n!$A:$H,7,FALSE)</f>
        <v>0.7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god</v>
      </c>
      <c r="X6" s="5" t="str">
        <f ca="1">VLOOKUP(W6,[1]character_tribe_i18n!$A:$H,3,FALSE)</f>
        <v>ゴッド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animal</v>
      </c>
      <c r="Z6" s="5" t="str">
        <f ca="1">VLOOKUP(Y6,[1]character_tribe_i18n!$A:$H,3,FALSE)</f>
        <v>アニマル</v>
      </c>
      <c r="AA6" s="10">
        <f ca="1">VLOOKUP(W6,[1]character_tribe_i18n!$A:$H,4,FALSE)</f>
        <v>0.96</v>
      </c>
      <c r="AB6" s="10">
        <f ca="1">VLOOKUP(W6,[1]character_tribe_i18n!$A:$H,5,FALSE)</f>
        <v>1.02</v>
      </c>
      <c r="AC6" s="10">
        <f ca="1">VLOOKUP(W6,[1]character_tribe_i18n!$A:$H,6,FALSE)</f>
        <v>1</v>
      </c>
      <c r="AD6" s="10">
        <f ca="1">VLOOKUP(W6,[1]character_tribe_i18n!$A:$H,7,FALSE)</f>
        <v>1.02</v>
      </c>
      <c r="AE6" s="187">
        <v>1432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華宴の千年狐 センコ</v>
      </c>
      <c r="AG6" s="187">
        <v>1431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センコ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1431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花狐の宴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マグネット(黄→赤→ハート)に1個、緑パネルをCPに変換+1ターン全ユニットのタップ数を1増やし、緑パネルの出現率大DOWN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1431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仙狐式妖術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1.0545</v>
      </c>
      <c r="AZ6" s="64">
        <v>1.2641</v>
      </c>
      <c r="BA6" s="64">
        <v>0</v>
      </c>
      <c r="BB6" s="64">
        <v>0.66120000000000001</v>
      </c>
      <c r="BC6" s="10">
        <f ca="1">INDEX('RC6SV'!$A$1:$G$21,MATCH(H6,'RC6SV'!$A$1:$A$21,FALSE),MATCH(G6,'RC6SV'!$A$1:$G$1,FALSE))</f>
        <v>9500</v>
      </c>
      <c r="BD6" s="44">
        <f t="shared" ca="1" si="9"/>
        <v>9500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3417</v>
      </c>
      <c r="BH6" s="15">
        <f ca="1">IF($BE6&lt;=0,ROUND(BL6*0.5,0), ROUND($BE6*T6*AB6*K6*AZ6*0.8*[1]ステータス!$C$2,0))</f>
        <v>1578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566</v>
      </c>
      <c r="BK6" s="10">
        <f ca="1">ROUND(BD6*S6*AA6*J6*AY6*[1]ステータス!$B$2,0)</f>
        <v>6833</v>
      </c>
      <c r="BL6" s="10">
        <f ca="1">ROUND(BD6*T6*AB6*K6*AZ6*[1]ステータス!$C$2,0)</f>
        <v>3155</v>
      </c>
      <c r="BM6" s="10">
        <f ca="1">ROUND(BD6*U6*AC6*L6*BA6*[1]ステータス!$D$2,0)</f>
        <v>0</v>
      </c>
      <c r="BN6" s="10">
        <f ca="1">ROUND(BD6*V6*AD6*M6*BB6*[1]ステータス!$E$2,0)</f>
        <v>1132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5500</v>
      </c>
    </row>
    <row r="7" spans="1:70" ht="26" customHeight="1" x14ac:dyDescent="0.15">
      <c r="A7" s="186">
        <v>1432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華宴の千年狐 センコ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0">
        <f ca="1">VLOOKUP(I7,[1]属性!$A:$E,2,FALSE)</f>
        <v>0.98</v>
      </c>
      <c r="K7" s="10">
        <f ca="1">VLOOKUP(I7,[1]属性!$A:$E,3,FALSE)</f>
        <v>1.01</v>
      </c>
      <c r="L7" s="10">
        <f ca="1">VLOOKUP(I7,[1]属性!$A:$E,4,FALSE)</f>
        <v>1</v>
      </c>
      <c r="M7" s="10">
        <f ca="1">VLOOKUP(I7,[1]属性!$A:$E,5,FALSE)</f>
        <v>1.01</v>
      </c>
      <c r="N7" s="10">
        <f ca="1">INDEX(コスト!$A$1:$I$21,MATCH(H7,コスト!$A$1:$A$21,FALSE),MATCH(G7,コスト!$A$1:$I$1,FALSE))</f>
        <v>50</v>
      </c>
      <c r="O7" s="10">
        <f ca="1">INDEX(レベル!$A$1:$I$22,MATCH(H7,レベル!$A$1:$A$22,FALSE),MATCH(G7,レベル!$A$1:$I$1,FALSE))</f>
        <v>99</v>
      </c>
      <c r="P7" s="44">
        <f t="shared" ca="1" si="10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0.96</v>
      </c>
      <c r="AB7" s="10">
        <f ca="1">VLOOKUP(W7,[1]character_tribe_i18n!$A:$H,5,FALSE)</f>
        <v>1.02</v>
      </c>
      <c r="AC7" s="10">
        <f ca="1">VLOOKUP(W7,[1]character_tribe_i18n!$A:$H,6,FALSE)</f>
        <v>1</v>
      </c>
      <c r="AD7" s="10">
        <f ca="1">VLOOKUP(W7,[1]character_tribe_i18n!$A:$H,7,FALSE)</f>
        <v>1.02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1431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センコ</v>
      </c>
      <c r="AI7" s="10" t="str">
        <f>IF(AE7="NULL","NULL",VLOOKUP(G7,ビット!$A$2:$B$7,2))</f>
        <v>NULL</v>
      </c>
      <c r="AJ7" s="6">
        <v>2</v>
      </c>
      <c r="AK7" s="7" t="str">
        <f t="shared" ref="AK7:AK11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1432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花狐の宴・満開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マグネット(黄→赤→ハート)に1個、緑パネルをCPに変換+2ターン全ユニットのタップ数を1増やし、緑パネルの出現率大DOWN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1432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千年仙狐式妖香術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自身のHPの最大値に比例して_x000D_1体に超大ダメージ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1.0545</v>
      </c>
      <c r="AZ7" s="64">
        <v>1.2641</v>
      </c>
      <c r="BA7" s="64">
        <v>0</v>
      </c>
      <c r="BB7" s="64">
        <v>0.66120000000000001</v>
      </c>
      <c r="BC7" s="10">
        <f ca="1">INDEX('RC6SV'!$A$1:$G$21,MATCH(H7,'RC6SV'!$A$1:$A$21,FALSE),MATCH(G7,'RC6SV'!$A$1:$G$1,FALSE))</f>
        <v>13000</v>
      </c>
      <c r="BD7" s="44">
        <f t="shared" ref="BD7:BD11" ca="1" si="12">ROUND(BC7*IF(AJ7=1,0.95,IF(AJ7=2,1,IF(AJ7,1.05,0))),0)</f>
        <v>13000</v>
      </c>
      <c r="BE7" s="10">
        <f t="shared" ca="1" si="3"/>
        <v>9500</v>
      </c>
      <c r="BF7" s="10">
        <f t="shared" ca="1" si="4"/>
        <v>1</v>
      </c>
      <c r="BG7" s="15">
        <f ca="1">IF($BE7&lt;=0,ROUND(BK7*0.5,0), ROUND($BE7*S7*AA7*J7*AY7*0.8*[1]ステータス!$B$2,0))</f>
        <v>5466</v>
      </c>
      <c r="BH7" s="15">
        <f ca="1">IF($BE7&lt;=0,ROUND(BL7*0.5,0), ROUND($BE7*T7*AB7*K7*AZ7*0.8*[1]ステータス!$C$2,0))</f>
        <v>2524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906</v>
      </c>
      <c r="BK7" s="10">
        <f ca="1">ROUND(BD7*S7*AA7*J7*AY7*[1]ステータス!$B$2,0)</f>
        <v>9350</v>
      </c>
      <c r="BL7" s="10">
        <f ca="1">ROUND(BD7*T7*AB7*K7*AZ7*[1]ステータス!$C$2,0)</f>
        <v>4317</v>
      </c>
      <c r="BM7" s="10">
        <f ca="1">ROUND(BD7*U7*AC7*L7*BA7*[1]ステータス!$D$2,0)</f>
        <v>0</v>
      </c>
      <c r="BN7" s="10">
        <f ca="1">ROUND(BD7*V7*AD7*M7*BB7*[1]ステータス!$E$2,0)</f>
        <v>1550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5500</v>
      </c>
    </row>
    <row r="8" spans="1:70" ht="26" customHeight="1" x14ac:dyDescent="0.15">
      <c r="A8" s="186">
        <v>1495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桜乱の武奏術 牛若丸</v>
      </c>
      <c r="C8" s="53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3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3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3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0">
        <f ca="1">VLOOKUP(I8,[1]属性!$A:$E,2,FALSE)</f>
        <v>0.98</v>
      </c>
      <c r="K8" s="10">
        <f ca="1">VLOOKUP(I8,[1]属性!$A:$E,3,FALSE)</f>
        <v>1.01</v>
      </c>
      <c r="L8" s="10">
        <f ca="1">VLOOKUP(I8,[1]属性!$A:$E,4,FALSE)</f>
        <v>1</v>
      </c>
      <c r="M8" s="10">
        <f ca="1">VLOOKUP(I8,[1]属性!$A:$E,5,FALSE)</f>
        <v>1.01</v>
      </c>
      <c r="N8" s="10">
        <f ca="1">INDEX(コスト!$A$1:$I$21,MATCH(H8,コスト!$A$1:$A$21,FALSE),MATCH(G8,コスト!$A$1:$I$1,FALSE))</f>
        <v>50</v>
      </c>
      <c r="O8" s="10">
        <f ca="1">INDEX(レベル!$A$1:$I$22,MATCH(H8,レベル!$A$1:$A$22,FALSE),MATCH(G8,レベル!$A$1:$I$1,FALSE))</f>
        <v>99</v>
      </c>
      <c r="P8" s="44">
        <f t="shared" ca="1" si="10"/>
        <v>99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0">
        <f ca="1">VLOOKUP(Q8,[1]character_type_i18n!$A:$H,4,FALSE)</f>
        <v>1</v>
      </c>
      <c r="T8" s="10">
        <f ca="1">VLOOKUP(Q8,[1]character_type_i18n!$A:$H,5,FALSE)</f>
        <v>1</v>
      </c>
      <c r="U8" s="10">
        <f ca="1">VLOOKUP(Q8,[1]character_type_i18n!$A:$H,6,FALSE)</f>
        <v>1</v>
      </c>
      <c r="V8" s="10">
        <f ca="1">VLOOKUP(Q8,[1]character_type_i18n!$A:$H,7,FALSE)</f>
        <v>1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samurai</v>
      </c>
      <c r="X8" s="5" t="str">
        <f ca="1">VLOOKUP(W8,[1]character_tribe_i18n!$A:$H,3,FALSE)</f>
        <v>サムライ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hero</v>
      </c>
      <c r="Z8" s="5" t="str">
        <f ca="1">VLOOKUP(Y8,[1]character_tribe_i18n!$A:$H,3,FALSE)</f>
        <v>ヒーロー</v>
      </c>
      <c r="AA8" s="10">
        <f ca="1">VLOOKUP(W8,[1]character_tribe_i18n!$A:$H,4,FALSE)</f>
        <v>1</v>
      </c>
      <c r="AB8" s="10">
        <f ca="1">VLOOKUP(W8,[1]character_tribe_i18n!$A:$H,5,FALSE)</f>
        <v>1</v>
      </c>
      <c r="AC8" s="10">
        <f ca="1">VLOOKUP(W8,[1]character_tribe_i18n!$A:$H,6,FALSE)</f>
        <v>1</v>
      </c>
      <c r="AD8" s="10">
        <f ca="1">VLOOKUP(W8,[1]character_tribe_i18n!$A:$H,7,FALSE)</f>
        <v>1</v>
      </c>
      <c r="AE8" s="187" t="s">
        <v>183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187">
        <v>1495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桜乱の武奏術 牛若丸</v>
      </c>
      <c r="AI8" s="10" t="str">
        <f>IF(AE8="NULL","NULL",VLOOKUP(G8,ビット!$A$2:$B$7,2))</f>
        <v>NULL</v>
      </c>
      <c r="AJ8" s="6">
        <v>2</v>
      </c>
      <c r="AK8" s="7" t="str">
        <f t="shared" si="11"/>
        <v>普通</v>
      </c>
      <c r="AL8" s="10" t="str">
        <f ca="1">INDEX(経験値!$A$1:$I$21,MATCH(H8,経験値!$A$1:$A$21,FALSE),MATCH(G8,経験値!$A$1:$I$1,FALSE))</f>
        <v>required_exp_250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63">
        <v>1495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春雲の演舞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2ターン全ユニットの攻撃力をUP(赤・ダメージパネルを吸収し効果UP)+1ターン全ユニットのCパネル生成短縮(効果超大)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63">
        <v>1495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桜乱狂華の宴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1</v>
      </c>
      <c r="AZ8" s="64">
        <v>1.0513999999999999</v>
      </c>
      <c r="BA8" s="64">
        <v>0</v>
      </c>
      <c r="BB8" s="64">
        <v>1.1178999999999999</v>
      </c>
      <c r="BC8" s="10">
        <f ca="1">INDEX('RC6SV'!$A$1:$G$21,MATCH(H8,'RC6SV'!$A$1:$A$21,FALSE),MATCH(G8,'RC6SV'!$A$1:$G$1,FALSE))</f>
        <v>13000</v>
      </c>
      <c r="BD8" s="44">
        <f t="shared" ca="1" si="12"/>
        <v>13000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3185</v>
      </c>
      <c r="BH8" s="15">
        <f ca="1">IF($BE8&lt;=0,ROUND(BL8*0.5,0), ROUND($BE8*T8*AB8*K8*AZ8*0.8*[1]ステータス!$C$2,0))</f>
        <v>2071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1835</v>
      </c>
      <c r="BK8" s="10">
        <f ca="1">ROUND(BD8*S8*AA8*J8*AY8*[1]ステータス!$B$2,0)</f>
        <v>6370</v>
      </c>
      <c r="BL8" s="10">
        <f ca="1">ROUND(BD8*T8*AB8*K8*AZ8*[1]ステータス!$C$2,0)</f>
        <v>4141</v>
      </c>
      <c r="BM8" s="10">
        <f ca="1">ROUND(BD8*U8*AC8*L8*BA8*[1]ステータス!$D$2,0)</f>
        <v>0</v>
      </c>
      <c r="BN8" s="10">
        <f ca="1">ROUND(BD8*V8*AD8*M8*BB8*[1]ステータス!$E$2,0)</f>
        <v>3670</v>
      </c>
      <c r="BO8" s="9">
        <v>0</v>
      </c>
      <c r="BP8" s="9">
        <v>1</v>
      </c>
      <c r="BQ8" s="9" t="s">
        <v>47</v>
      </c>
      <c r="BR8" s="9">
        <f ca="1">VLOOKUP(H8,[2]ghosts_label!$A$2:$B$19,2,FALSE)</f>
        <v>5500</v>
      </c>
    </row>
    <row r="9" spans="1:70" ht="26" customHeight="1" x14ac:dyDescent="0.15">
      <c r="A9" s="186">
        <v>1496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晴眼桜花一文字 沖田総司</v>
      </c>
      <c r="C9" s="53" t="str">
        <f ca="1">VLOOKUP($A9,OFFSET([1]characters!$A$1,0,0,COUNTA([1]characters!$A:$A),MATCH(C$1,[1]characters!$1:$1,0)-MATCH($A$1,[1]characters!$1:$1,0)+1),MATCH(C$1,[1]characters!$1:$1,0)-MATCH($A$1,[1]characters!$1:$1,0)+1,FALSE)</f>
        <v>未定</v>
      </c>
      <c r="D9" s="53" t="str">
        <f ca="1">VLOOKUP($A9,OFFSET([1]characters!$A$1,0,0,COUNTA([1]characters!$A:$A),MATCH(D$1,[1]characters!$1:$1,0)-MATCH($A$1,[1]characters!$1:$1,0)+1),MATCH(D$1,[1]characters!$1:$1,0)-MATCH($A$1,[1]characters!$1:$1,0)+1,FALSE)</f>
        <v>アリス</v>
      </c>
      <c r="E9" s="53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3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green</v>
      </c>
      <c r="J9" s="10">
        <f ca="1">VLOOKUP(I9,[1]属性!$A:$E,2,FALSE)</f>
        <v>1.02</v>
      </c>
      <c r="K9" s="10">
        <f ca="1">VLOOKUP(I9,[1]属性!$A:$E,3,FALSE)</f>
        <v>0.98</v>
      </c>
      <c r="L9" s="10">
        <f ca="1">VLOOKUP(I9,[1]属性!$A:$E,4,FALSE)</f>
        <v>1</v>
      </c>
      <c r="M9" s="10">
        <f ca="1">VLOOKUP(I9,[1]属性!$A:$E,5,FALSE)</f>
        <v>1</v>
      </c>
      <c r="N9" s="10">
        <f ca="1">INDEX(コスト!$A$1:$I$21,MATCH(H9,コスト!$A$1:$A$21,FALSE),MATCH(G9,コスト!$A$1:$I$1,FALSE))</f>
        <v>50</v>
      </c>
      <c r="O9" s="10">
        <f ca="1">INDEX(レベル!$A$1:$I$22,MATCH(H9,レベル!$A$1:$A$22,FALSE),MATCH(G9,レベル!$A$1:$I$1,FALSE))</f>
        <v>99</v>
      </c>
      <c r="P9" s="44">
        <f t="shared" ca="1" si="10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0">
        <f ca="1">VLOOKUP(Q9,[1]character_type_i18n!$A:$H,4,FALSE)</f>
        <v>1.45</v>
      </c>
      <c r="T9" s="10">
        <f ca="1">VLOOKUP(Q9,[1]character_type_i18n!$A:$H,5,FALSE)</f>
        <v>0.85</v>
      </c>
      <c r="U9" s="10">
        <f ca="1">VLOOKUP(Q9,[1]character_type_i18n!$A:$H,6,FALSE)</f>
        <v>1</v>
      </c>
      <c r="V9" s="10">
        <f ca="1">VLOOKUP(Q9,[1]character_type_i18n!$A:$H,7,FALSE)</f>
        <v>0.7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samurai</v>
      </c>
      <c r="X9" s="5" t="str">
        <f ca="1">VLOOKUP(W9,[1]character_tribe_i18n!$A:$H,3,FALSE)</f>
        <v>サムライ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hero</v>
      </c>
      <c r="Z9" s="5" t="str">
        <f ca="1">VLOOKUP(Y9,[1]character_tribe_i18n!$A:$H,3,FALSE)</f>
        <v>ヒーロー</v>
      </c>
      <c r="AA9" s="10">
        <f ca="1">VLOOKUP(W9,[1]character_tribe_i18n!$A:$H,4,FALSE)</f>
        <v>1</v>
      </c>
      <c r="AB9" s="10">
        <f ca="1">VLOOKUP(W9,[1]character_tribe_i18n!$A:$H,5,FALSE)</f>
        <v>1</v>
      </c>
      <c r="AC9" s="10">
        <f ca="1">VLOOKUP(W9,[1]character_tribe_i18n!$A:$H,6,FALSE)</f>
        <v>1</v>
      </c>
      <c r="AD9" s="10">
        <f ca="1">VLOOKUP(W9,[1]character_tribe_i18n!$A:$H,7,FALSE)</f>
        <v>1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7">
        <v>1496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晴眼桜花一文字 沖田総司</v>
      </c>
      <c r="AI9" s="10" t="str">
        <f>IF(AE9="NULL","NULL",VLOOKUP(G9,ビット!$A$2:$B$7,2))</f>
        <v>NULL</v>
      </c>
      <c r="AJ9" s="6">
        <v>2</v>
      </c>
      <c r="AK9" s="7" t="str">
        <f t="shared" si="11"/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63">
        <v>1496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秘技・華光撃破剣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ウィルス解除+青パネルを緑パネルに変換+2ターン緑パネルの出現率を大UP+1ターン緑属性ユニットの攻撃力を1500UP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3">
        <v>1496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秘華・命鳴燕啼刃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自身のHPの最大値に比例して1体に超大ダメージ+フィーバーゲージ上昇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0.92379999999999995</v>
      </c>
      <c r="AZ9" s="64">
        <v>1.1914</v>
      </c>
      <c r="BA9" s="64">
        <v>0</v>
      </c>
      <c r="BB9" s="64">
        <v>0.76549999999999996</v>
      </c>
      <c r="BC9" s="10">
        <f ca="1">INDEX('RC6SV'!$A$1:$G$21,MATCH(H9,'RC6SV'!$A$1:$A$21,FALSE),MATCH(G9,'RC6SV'!$A$1:$G$1,FALSE))</f>
        <v>13000</v>
      </c>
      <c r="BD9" s="44">
        <f t="shared" ca="1" si="12"/>
        <v>13000</v>
      </c>
      <c r="BE9" s="10">
        <f t="shared" ca="1" si="3"/>
        <v>0</v>
      </c>
      <c r="BF9" s="10">
        <f t="shared" ca="1" si="4"/>
        <v>1</v>
      </c>
      <c r="BG9" s="15">
        <f ca="1">IF($BE9&lt;=0,ROUND(BK9*0.5,0), ROUND($BE9*S9*AA9*J9*AY9*0.8*[1]ステータス!$B$2,0))</f>
        <v>4441</v>
      </c>
      <c r="BH9" s="15">
        <f ca="1">IF($BE9&lt;=0,ROUND(BL9*0.5,0), ROUND($BE9*T9*AB9*K9*AZ9*0.8*[1]ステータス!$C$2,0))</f>
        <v>1936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871</v>
      </c>
      <c r="BK9" s="10">
        <f ca="1">ROUND(BD9*S9*AA9*J9*AY9*[1]ステータス!$B$2,0)</f>
        <v>8881</v>
      </c>
      <c r="BL9" s="10">
        <f ca="1">ROUND(BD9*T9*AB9*K9*AZ9*[1]ステータス!$C$2,0)</f>
        <v>3871</v>
      </c>
      <c r="BM9" s="10">
        <f ca="1">ROUND(BD9*U9*AC9*L9*BA9*[1]ステータス!$D$2,0)</f>
        <v>0</v>
      </c>
      <c r="BN9" s="10">
        <f ca="1">ROUND(BD9*V9*AD9*M9*BB9*[1]ステータス!$E$2,0)</f>
        <v>1742</v>
      </c>
      <c r="BO9" s="9">
        <v>0</v>
      </c>
      <c r="BP9" s="9">
        <v>1</v>
      </c>
      <c r="BQ9" s="36" t="s">
        <v>47</v>
      </c>
      <c r="BR9" s="9">
        <f ca="1">VLOOKUP(H9,[2]ghosts_label!$A$2:$B$19,2,FALSE)</f>
        <v>5500</v>
      </c>
    </row>
    <row r="10" spans="1:70" ht="26" customHeight="1" x14ac:dyDescent="0.15">
      <c r="A10" s="186">
        <v>1501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晴舞台の桜舞 ドガ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10">
        <f ca="1">VLOOKUP(I10,[1]属性!$A:$E,2,FALSE)</f>
        <v>1</v>
      </c>
      <c r="K10" s="10">
        <f ca="1">VLOOKUP(I10,[1]属性!$A:$E,3,FALSE)</f>
        <v>0.98</v>
      </c>
      <c r="L10" s="10">
        <f ca="1">VLOOKUP(I10,[1]属性!$A:$E,4,FALSE)</f>
        <v>1</v>
      </c>
      <c r="M10" s="10">
        <f ca="1">VLOOKUP(I10,[1]属性!$A:$E,5,FALSE)</f>
        <v>1.02</v>
      </c>
      <c r="N10" s="10">
        <f ca="1">INDEX(コスト!$A$1:$I$21,MATCH(H10,コスト!$A$1:$A$21,FALSE),MATCH(G10,コスト!$A$1:$I$1,FALSE))</f>
        <v>50</v>
      </c>
      <c r="O10" s="10">
        <f ca="1">INDEX(レベル!$A$1:$I$22,MATCH(H10,レベル!$A$1:$A$22,FALSE),MATCH(G10,レベル!$A$1:$I$1,FALSE))</f>
        <v>99</v>
      </c>
      <c r="P10" s="44">
        <f t="shared" ca="1" si="10"/>
        <v>99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0">
        <f ca="1">VLOOKUP(Q10,[1]character_type_i18n!$A:$H,4,FALSE)</f>
        <v>1</v>
      </c>
      <c r="T10" s="10">
        <f ca="1">VLOOKUP(Q10,[1]character_type_i18n!$A:$H,5,FALSE)</f>
        <v>1</v>
      </c>
      <c r="U10" s="10">
        <f ca="1">VLOOKUP(Q10,[1]character_type_i18n!$A:$H,6,FALSE)</f>
        <v>1</v>
      </c>
      <c r="V10" s="10">
        <f ca="1">VLOOKUP(Q10,[1]character_type_i18n!$A:$H,7,FALSE)</f>
        <v>1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animal</v>
      </c>
      <c r="X10" s="5" t="str">
        <f ca="1">VLOOKUP(W10,[1]character_tribe_i18n!$A:$H,3,FALSE)</f>
        <v>アニマル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0">
        <f ca="1">VLOOKUP(W10,[1]character_tribe_i18n!$A:$H,4,FALSE)</f>
        <v>1</v>
      </c>
      <c r="AB10" s="10">
        <f ca="1">VLOOKUP(W10,[1]character_tribe_i18n!$A:$H,5,FALSE)</f>
        <v>1.1000000000000001</v>
      </c>
      <c r="AC10" s="10">
        <f ca="1">VLOOKUP(W10,[1]character_tribe_i18n!$A:$H,6,FALSE)</f>
        <v>1</v>
      </c>
      <c r="AD10" s="10">
        <f ca="1">VLOOKUP(W10,[1]character_tribe_i18n!$A:$H,7,FALSE)</f>
        <v>0.9</v>
      </c>
      <c r="AE10" s="187" t="s">
        <v>183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187">
        <v>1501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晴舞台の桜舞 ドガ</v>
      </c>
      <c r="AI10" s="10" t="str">
        <f>IF(AE10="NULL","NULL",VLOOKUP(G10,ビット!$A$2:$B$7,2))</f>
        <v>NULL</v>
      </c>
      <c r="AJ10" s="6">
        <v>2</v>
      </c>
      <c r="AK10" s="7" t="str">
        <f t="shared" si="11"/>
        <v>普通</v>
      </c>
      <c r="AL10" s="10" t="str">
        <f ca="1">INDEX(経験値!$A$1:$I$21,MATCH(H10,経験値!$A$1:$A$21,FALSE),MATCH(G10,経験値!$A$1:$I$1,FALSE))</f>
        <v>required_exp_250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63">
        <v>1501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アクティビティ・ピクチャー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2ターン青属性攻撃力UP(赤･緑を吸収し効果特大UP)+1ターン全ユニット回復力特大UP、赤･青属性からのダメージを45%軽減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3">
        <v>1501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パステルプリエ・バレリーナ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単体に2回大ダメージ+_x000D_フィーバーゲージ上昇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1.0497000000000001</v>
      </c>
      <c r="AZ10" s="64">
        <v>1.1176999999999999</v>
      </c>
      <c r="BA10" s="64">
        <v>0</v>
      </c>
      <c r="BB10" s="64">
        <v>1.0629999999999999</v>
      </c>
      <c r="BC10" s="10">
        <f ca="1">INDEX('RC6SV'!$A$1:$G$21,MATCH(H10,'RC6SV'!$A$1:$A$21,FALSE),MATCH(G10,'RC6SV'!$A$1:$G$1,FALSE))</f>
        <v>13000</v>
      </c>
      <c r="BD10" s="44">
        <f t="shared" ca="1" si="12"/>
        <v>13000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3412</v>
      </c>
      <c r="BH10" s="15">
        <f ca="1">IF($BE10&lt;=0,ROUND(BL10*0.5,0), ROUND($BE10*T10*AB10*K10*AZ10*0.8*[1]ステータス!$C$2,0))</f>
        <v>2350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1586</v>
      </c>
      <c r="BK10" s="10">
        <f ca="1">ROUND(BD10*S10*AA10*J10*AY10*[1]ステータス!$B$2,0)</f>
        <v>6823</v>
      </c>
      <c r="BL10" s="10">
        <f ca="1">ROUND(BD10*T10*AB10*K10*AZ10*[1]ステータス!$C$2,0)</f>
        <v>4699</v>
      </c>
      <c r="BM10" s="10">
        <f ca="1">ROUND(BD10*U10*AC10*L10*BA10*[1]ステータス!$D$2,0)</f>
        <v>0</v>
      </c>
      <c r="BN10" s="10">
        <f ca="1">ROUND(BD10*V10*AD10*M10*BB10*[1]ステータス!$E$2,0)</f>
        <v>3171</v>
      </c>
      <c r="BO10" s="9">
        <v>0</v>
      </c>
      <c r="BP10" s="9">
        <v>1</v>
      </c>
      <c r="BQ10" s="9" t="s">
        <v>47</v>
      </c>
      <c r="BR10" s="9">
        <f ca="1">VLOOKUP(H10,[2]ghosts_label!$A$2:$B$19,2,FALSE)</f>
        <v>5500</v>
      </c>
    </row>
    <row r="11" spans="1:70" ht="26" customHeight="1" x14ac:dyDescent="0.15">
      <c r="A11" s="186">
        <v>1502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打咲かす桜花灯 トリスタン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0">
        <f ca="1">VLOOKUP(I11,[1]属性!$A:$E,2,FALSE)</f>
        <v>1</v>
      </c>
      <c r="K11" s="10">
        <f ca="1">VLOOKUP(I11,[1]属性!$A:$E,3,FALSE)</f>
        <v>1.02</v>
      </c>
      <c r="L11" s="10">
        <f ca="1">VLOOKUP(I11,[1]属性!$A:$E,4,FALSE)</f>
        <v>1</v>
      </c>
      <c r="M11" s="10">
        <f ca="1">VLOOKUP(I11,[1]属性!$A:$E,5,FALSE)</f>
        <v>0.98</v>
      </c>
      <c r="N11" s="10">
        <f ca="1">INDEX(コスト!$A$1:$I$21,MATCH(H11,コスト!$A$1:$A$21,FALSE),MATCH(G11,コスト!$A$1:$I$1,FALSE))</f>
        <v>30</v>
      </c>
      <c r="O11" s="10">
        <f ca="1">INDEX(レベル!$A$1:$I$22,MATCH(H11,レベル!$A$1:$A$22,FALSE),MATCH(G11,レベル!$A$1:$I$1,FALSE))</f>
        <v>80</v>
      </c>
      <c r="P11" s="44">
        <f t="shared" ref="P11:P12" ca="1" si="13">IF(G11 &gt;= 6, 99,G11*15)</f>
        <v>75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0">
        <f ca="1">VLOOKUP(Q11,[1]character_type_i18n!$A:$H,4,FALSE)</f>
        <v>1</v>
      </c>
      <c r="T11" s="10">
        <f ca="1">VLOOKUP(Q11,[1]character_type_i18n!$A:$H,5,FALSE)</f>
        <v>1.33</v>
      </c>
      <c r="U11" s="10">
        <f ca="1">VLOOKUP(Q11,[1]character_type_i18n!$A:$H,6,FALSE)</f>
        <v>1</v>
      </c>
      <c r="V11" s="10">
        <f ca="1">VLOOKUP(Q11,[1]character_type_i18n!$A:$H,7,FALSE)</f>
        <v>0.67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hero</v>
      </c>
      <c r="Z11" s="5" t="str">
        <f ca="1">VLOOKUP(Y11,[1]character_tribe_i18n!$A:$H,3,FALSE)</f>
        <v>ヒーロー</v>
      </c>
      <c r="AA11" s="10">
        <f ca="1">VLOOKUP(W11,[1]character_tribe_i18n!$A:$H,4,FALSE)</f>
        <v>0.94</v>
      </c>
      <c r="AB11" s="10">
        <f ca="1">VLOOKUP(W11,[1]character_tribe_i18n!$A:$H,5,FALSE)</f>
        <v>0.99</v>
      </c>
      <c r="AC11" s="10">
        <f ca="1">VLOOKUP(W11,[1]character_tribe_i18n!$A:$H,6,FALSE)</f>
        <v>1</v>
      </c>
      <c r="AD11" s="10">
        <f ca="1">VLOOKUP(W11,[1]character_tribe_i18n!$A:$H,7,FALSE)</f>
        <v>1.07</v>
      </c>
      <c r="AE11" s="187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7">
        <v>1502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打咲かす桜花灯 トリスタン</v>
      </c>
      <c r="AI11" s="10" t="str">
        <f>IF(AE11="NULL","NULL",VLOOKUP(G11,ビット!$A$2:$B$7,2))</f>
        <v>NULL</v>
      </c>
      <c r="AJ11" s="6">
        <v>2</v>
      </c>
      <c r="AK11" s="7" t="str">
        <f t="shared" si="11"/>
        <v>普通</v>
      </c>
      <c r="AL11" s="10" t="str">
        <f ca="1">INDEX(経験値!$A$1:$I$21,MATCH(H11,経験値!$A$1:$A$21,FALSE),MATCH(G11,経験値!$A$1:$I$1,FALSE))</f>
        <v>required_exp_200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63">
        <v>1502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スプリングローンチ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ランダムで最大1個SCP変換+1体にダメージ(ハート･ダメージパネル吸収し効果大UP)+2ターン緑･青属性からのダメージ20%軽減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63">
        <v>1502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とにかくお祭りだ〜！！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赤・黄属性で単体に2回大ダメージ+_x000D_1ターン赤・黄属性ユニットの攻撃力小UP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4">
        <v>1.1919999999999999</v>
      </c>
      <c r="AZ11" s="64">
        <v>1.2435</v>
      </c>
      <c r="BA11" s="64">
        <v>0</v>
      </c>
      <c r="BB11" s="64">
        <v>0.54700000000000004</v>
      </c>
      <c r="BC11" s="10">
        <f ca="1">INDEX('RC6SV'!$A$1:$G$21,MATCH(H11,'RC6SV'!$A$1:$A$21,FALSE),MATCH(G11,'RC6SV'!$A$1:$G$1,FALSE))</f>
        <v>9000</v>
      </c>
      <c r="BD11" s="44">
        <f t="shared" ca="1" si="12"/>
        <v>9000</v>
      </c>
      <c r="BE11" s="10">
        <f t="shared" ca="1" si="3"/>
        <v>0</v>
      </c>
      <c r="BF11" s="10">
        <f t="shared" ca="1" si="4"/>
        <v>1</v>
      </c>
      <c r="BG11" s="15">
        <f ca="1">IF($BE11&lt;=0,ROUND(BK11*0.5,0), ROUND($BE11*S11*AA11*J11*AY11*0.8*[1]ステータス!$B$2,0))</f>
        <v>2521</v>
      </c>
      <c r="BH11" s="15">
        <f ca="1">IF($BE11&lt;=0,ROUND(BL11*0.5,0), ROUND($BE11*T11*AB11*K11*AZ11*0.8*[1]ステータス!$C$2,0))</f>
        <v>2255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433</v>
      </c>
      <c r="BK11" s="10">
        <f ca="1">ROUND(BD11*S11*AA11*J11*AY11*[1]ステータス!$B$2,0)</f>
        <v>5042</v>
      </c>
      <c r="BL11" s="10">
        <f ca="1">ROUND(BD11*T11*AB11*K11*AZ11*[1]ステータス!$C$2,0)</f>
        <v>4509</v>
      </c>
      <c r="BM11" s="10">
        <f ca="1">ROUND(BD11*U11*AC11*L11*BA11*[1]ステータス!$D$2,0)</f>
        <v>0</v>
      </c>
      <c r="BN11" s="10">
        <f ca="1">ROUND(BD11*V11*AD11*M11*BB11*[1]ステータス!$E$2,0)</f>
        <v>865</v>
      </c>
      <c r="BO11" s="9">
        <v>0</v>
      </c>
      <c r="BP11" s="9">
        <v>1</v>
      </c>
      <c r="BQ11" s="36" t="s">
        <v>47</v>
      </c>
      <c r="BR11" s="9">
        <f ca="1">VLOOKUP(H11,[2]ghosts_label!$A$2:$B$19,2,FALSE)</f>
        <v>700</v>
      </c>
    </row>
    <row r="12" spans="1:70" ht="26" customHeight="1" x14ac:dyDescent="0.15">
      <c r="A12" s="186">
        <v>1503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春纏う蛇撫子 ヨルムンガンド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0">
        <f ca="1">VLOOKUP(I12,[1]属性!$A:$E,2,FALSE)</f>
        <v>0.98</v>
      </c>
      <c r="K12" s="10">
        <f ca="1">VLOOKUP(I12,[1]属性!$A:$E,3,FALSE)</f>
        <v>1.01</v>
      </c>
      <c r="L12" s="10">
        <f ca="1">VLOOKUP(I12,[1]属性!$A:$E,4,FALSE)</f>
        <v>1</v>
      </c>
      <c r="M12" s="10">
        <f ca="1">VLOOKUP(I12,[1]属性!$A:$E,5,FALSE)</f>
        <v>1.01</v>
      </c>
      <c r="N12" s="10">
        <f ca="1">INDEX(コスト!$A$1:$I$21,MATCH(H12,コスト!$A$1:$A$21,FALSE),MATCH(G12,コスト!$A$1:$I$1,FALSE))</f>
        <v>30</v>
      </c>
      <c r="O12" s="10">
        <f ca="1">INDEX(レベル!$A$1:$I$22,MATCH(H12,レベル!$A$1:$A$22,FALSE),MATCH(G12,レベル!$A$1:$I$1,FALSE))</f>
        <v>80</v>
      </c>
      <c r="P12" s="44">
        <f t="shared" ca="1" si="13"/>
        <v>75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technical</v>
      </c>
      <c r="R12" s="5" t="str">
        <f ca="1">VLOOKUP(Q12,[1]character_type_i18n!$A:$H,3,FALSE)</f>
        <v>テクニカルタイプ</v>
      </c>
      <c r="S12" s="10">
        <f ca="1">VLOOKUP(Q12,[1]character_type_i18n!$A:$H,4,FALSE)</f>
        <v>0.9</v>
      </c>
      <c r="T12" s="10">
        <f ca="1">VLOOKUP(Q12,[1]character_type_i18n!$A:$H,5,FALSE)</f>
        <v>0.9</v>
      </c>
      <c r="U12" s="10">
        <f ca="1">VLOOKUP(Q12,[1]character_type_i18n!$A:$H,6,FALSE)</f>
        <v>1</v>
      </c>
      <c r="V12" s="10">
        <f ca="1">VLOOKUP(Q12,[1]character_type_i18n!$A:$H,7,FALSE)</f>
        <v>0.9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dragon</v>
      </c>
      <c r="X12" s="5" t="str">
        <f ca="1">VLOOKUP(W12,[1]character_tribe_i18n!$A:$H,3,FALSE)</f>
        <v>ドラゴン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fantasy</v>
      </c>
      <c r="Z12" s="5" t="str">
        <f ca="1">VLOOKUP(Y12,[1]character_tribe_i18n!$A:$H,3,FALSE)</f>
        <v>ファンタジー</v>
      </c>
      <c r="AA12" s="10">
        <f ca="1">VLOOKUP(W12,[1]character_tribe_i18n!$A:$H,4,FALSE)</f>
        <v>1.1499999999999999</v>
      </c>
      <c r="AB12" s="10">
        <f ca="1">VLOOKUP(W12,[1]character_tribe_i18n!$A:$H,5,FALSE)</f>
        <v>1.1000000000000001</v>
      </c>
      <c r="AC12" s="10">
        <f ca="1">VLOOKUP(W12,[1]character_tribe_i18n!$A:$H,6,FALSE)</f>
        <v>1</v>
      </c>
      <c r="AD12" s="10">
        <f ca="1">VLOOKUP(W12,[1]character_tribe_i18n!$A:$H,7,FALSE)</f>
        <v>0.75</v>
      </c>
      <c r="AE12" s="187" t="s">
        <v>183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187">
        <v>1503</v>
      </c>
      <c r="AH12" s="58" t="str">
        <f ca="1">VLOOKUP($AG12,OFFSET([1]characters!$A$1,0,0,COUNTA([1]characters!$A:$A),MATCH(AH$1,[1]characters!$1:$1,0)-MATCH($A$1,[1]characters!$1:$1,0)+1),MATCH(AH$1,[1]characters!$1:$1,0)-MATCH($A$1,[1]characters!$1:$1,0)+1,FALSE)</f>
        <v>春纏う蛇撫子 ヨルムンガンド</v>
      </c>
      <c r="AI12" s="10" t="str">
        <f>IF(AE12="NULL","NULL",VLOOKUP(G12,ビット!$A$2:$B$7,2))</f>
        <v>NULL</v>
      </c>
      <c r="AJ12" s="6">
        <v>2</v>
      </c>
      <c r="AK12" s="7" t="str">
        <f t="shared" ref="AK12" si="14">IF(AJ12=1,"早熟",IF(AJ12=2,"普通",IF(AJ12=3,"晩成","")))</f>
        <v>普通</v>
      </c>
      <c r="AL12" s="10" t="str">
        <f ca="1">INDEX(経験値!$A$1:$I$21,MATCH(H12,経験値!$A$1:$A$21,FALSE),MATCH(G12,経験値!$A$1:$I$1,FALSE))</f>
        <v>required_exp_200</v>
      </c>
      <c r="AM12" s="8">
        <f ca="1">VLOOKUP(G12,経験値!$A$28:$B$32,2)</f>
        <v>6400</v>
      </c>
      <c r="AN12" s="16">
        <f ca="1">VLOOKUP(G12,ビット!$G$2:$H$7,2)</f>
        <v>900</v>
      </c>
      <c r="AO12" s="41"/>
      <c r="AP12" s="63">
        <v>1503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大蛇宴の毒華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青パネルを最大6個CPに変換+1ターン全ユニットの回復力1250UPし、種族ドラゴン･ファンタジーの敵からのダメージ35%軽減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63">
        <v>1503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蛇煌の雪洞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種族ドラゴンに効果特大の単体大ダメージ+種族ファンタジーに効果特大の単体大ダメージ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4">
        <v>1.0168999999999999</v>
      </c>
      <c r="AZ12" s="64">
        <v>1.4448000000000001</v>
      </c>
      <c r="BA12" s="64">
        <v>0</v>
      </c>
      <c r="BB12" s="64">
        <v>1.5057</v>
      </c>
      <c r="BC12" s="10">
        <f ca="1">INDEX('RC6SV'!$A$1:$G$21,MATCH(H12,'RC6SV'!$A$1:$A$21,FALSE),MATCH(G12,'RC6SV'!$A$1:$G$1,FALSE))</f>
        <v>9000</v>
      </c>
      <c r="BD12" s="44">
        <f t="shared" ref="BD12" ca="1" si="15">ROUND(BC12*IF(AJ12=1,0.95,IF(AJ12=2,1,IF(AJ12,1.05,0))),0)</f>
        <v>9000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2321</v>
      </c>
      <c r="BH12" s="15">
        <f ca="1">IF($BE12&lt;=0,ROUND(BL12*0.5,0), ROUND($BE12*T12*AB12*K12*AZ12*0.8*[1]ステータス!$C$2,0))</f>
        <v>1951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1155</v>
      </c>
      <c r="BK12" s="10">
        <f ca="1">ROUND(BD12*S12*AA12*J12*AY12*[1]ステータス!$B$2,0)</f>
        <v>4641</v>
      </c>
      <c r="BL12" s="10">
        <f ca="1">ROUND(BD12*T12*AB12*K12*AZ12*[1]ステータス!$C$2,0)</f>
        <v>3901</v>
      </c>
      <c r="BM12" s="10">
        <f ca="1">ROUND(BD12*U12*AC12*L12*BA12*[1]ステータス!$D$2,0)</f>
        <v>0</v>
      </c>
      <c r="BN12" s="10">
        <f ca="1">ROUND(BD12*V12*AD12*M12*BB12*[1]ステータス!$E$2,0)</f>
        <v>2310</v>
      </c>
      <c r="BO12" s="9">
        <v>0</v>
      </c>
      <c r="BP12" s="9">
        <v>1</v>
      </c>
      <c r="BQ12" s="9" t="s">
        <v>47</v>
      </c>
      <c r="BR12" s="9">
        <f ca="1">VLOOKUP(H12,[2]ghosts_label!$A$2:$B$19,2,FALSE)</f>
        <v>700</v>
      </c>
    </row>
  </sheetData>
  <autoFilter ref="A1:BQ1"/>
  <phoneticPr fontId="10"/>
  <conditionalFormatting sqref="BO1">
    <cfRule type="cellIs" dxfId="51" priority="120" stopIfTrue="1" operator="equal">
      <formula>1</formula>
    </cfRule>
  </conditionalFormatting>
  <conditionalFormatting sqref="BQ1">
    <cfRule type="cellIs" dxfId="5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2"/>
  <sheetViews>
    <sheetView showGridLines="0" zoomScale="115" workbookViewId="0">
      <pane xSplit="4" ySplit="1" topLeftCell="F2" activePane="bottomRight" state="frozen"/>
      <selection pane="topRight" activeCell="D1" sqref="D1"/>
      <selection pane="bottomLeft" activeCell="A2" sqref="A2"/>
      <selection pane="bottomRight" activeCell="D20" sqref="D20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1497</v>
      </c>
      <c r="B2" s="129" t="s">
        <v>185</v>
      </c>
      <c r="C2" s="188" t="s">
        <v>355</v>
      </c>
      <c r="D2" s="188" t="s">
        <v>464</v>
      </c>
      <c r="E2" s="131">
        <f t="shared" ref="E2" si="0">LEN(D2)</f>
        <v>48</v>
      </c>
      <c r="F2" s="63">
        <v>15</v>
      </c>
      <c r="G2" s="113">
        <v>7</v>
      </c>
      <c r="H2" s="132">
        <f>2001</f>
        <v>2001</v>
      </c>
      <c r="I2" s="189" t="s">
        <v>448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ヨシノ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1498</v>
      </c>
      <c r="B3" s="129" t="s">
        <v>185</v>
      </c>
      <c r="C3" s="188" t="s">
        <v>356</v>
      </c>
      <c r="D3" s="188" t="s">
        <v>465</v>
      </c>
      <c r="E3" s="131">
        <f t="shared" ref="E3:E4" si="1">LEN(D3)</f>
        <v>64</v>
      </c>
      <c r="F3" s="63">
        <v>14</v>
      </c>
      <c r="G3" s="113">
        <v>7</v>
      </c>
      <c r="H3" s="132">
        <f>2001</f>
        <v>2001</v>
      </c>
      <c r="I3" s="189" t="s">
        <v>449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咲誇る夢見草 ヨシノ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1499</v>
      </c>
      <c r="B4" s="129" t="s">
        <v>185</v>
      </c>
      <c r="C4" s="188" t="s">
        <v>357</v>
      </c>
      <c r="D4" s="188" t="s">
        <v>354</v>
      </c>
      <c r="E4" s="131">
        <f t="shared" si="1"/>
        <v>52</v>
      </c>
      <c r="F4" s="63">
        <v>13</v>
      </c>
      <c r="G4" s="113">
        <v>5</v>
      </c>
      <c r="H4" s="132">
        <f>2001</f>
        <v>2001</v>
      </c>
      <c r="I4" s="189" t="s">
        <v>424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コノハナサクヤ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1500</v>
      </c>
      <c r="B5" s="129" t="s">
        <v>185</v>
      </c>
      <c r="C5" s="188" t="s">
        <v>358</v>
      </c>
      <c r="D5" s="188" t="s">
        <v>459</v>
      </c>
      <c r="E5" s="131">
        <f t="shared" ref="E5:E6" si="2">LEN(D5)</f>
        <v>63</v>
      </c>
      <c r="F5" s="63">
        <v>12</v>
      </c>
      <c r="G5" s="113">
        <v>5</v>
      </c>
      <c r="H5" s="132">
        <f>2001</f>
        <v>2001</v>
      </c>
      <c r="I5" s="189" t="s">
        <v>458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櫻歌する開華 コノハナサクヤ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1431</v>
      </c>
      <c r="B6" s="129" t="s">
        <v>185</v>
      </c>
      <c r="C6" s="188" t="s">
        <v>359</v>
      </c>
      <c r="D6" s="188" t="s">
        <v>428</v>
      </c>
      <c r="E6" s="131">
        <f t="shared" si="2"/>
        <v>62</v>
      </c>
      <c r="F6" s="63">
        <v>13</v>
      </c>
      <c r="G6" s="113">
        <v>5</v>
      </c>
      <c r="H6" s="132">
        <f>2001</f>
        <v>2001</v>
      </c>
      <c r="I6" s="189" t="s">
        <v>425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センコ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1432</v>
      </c>
      <c r="B7" s="129" t="s">
        <v>185</v>
      </c>
      <c r="C7" s="188" t="s">
        <v>360</v>
      </c>
      <c r="D7" s="188" t="s">
        <v>429</v>
      </c>
      <c r="E7" s="131">
        <f t="shared" ref="E7:E11" si="3">LEN(D7)</f>
        <v>62</v>
      </c>
      <c r="F7" s="63">
        <v>12</v>
      </c>
      <c r="G7" s="113">
        <v>5</v>
      </c>
      <c r="H7" s="132">
        <f>2001</f>
        <v>2001</v>
      </c>
      <c r="I7" s="189" t="s">
        <v>426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華宴の千年狐 センコ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1495</v>
      </c>
      <c r="B8" s="129" t="s">
        <v>185</v>
      </c>
      <c r="C8" s="188" t="s">
        <v>361</v>
      </c>
      <c r="D8" s="188" t="s">
        <v>462</v>
      </c>
      <c r="E8" s="131">
        <f t="shared" si="3"/>
        <v>60</v>
      </c>
      <c r="F8" s="63">
        <v>10</v>
      </c>
      <c r="G8" s="113">
        <v>5</v>
      </c>
      <c r="H8" s="132">
        <f>2001</f>
        <v>2001</v>
      </c>
      <c r="I8" s="189" t="s">
        <v>461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桜乱の武奏術 牛若丸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1496</v>
      </c>
      <c r="B9" s="129" t="s">
        <v>185</v>
      </c>
      <c r="C9" s="188" t="s">
        <v>362</v>
      </c>
      <c r="D9" s="188" t="s">
        <v>430</v>
      </c>
      <c r="E9" s="131">
        <f t="shared" si="3"/>
        <v>59</v>
      </c>
      <c r="F9" s="63">
        <v>11</v>
      </c>
      <c r="G9" s="113">
        <v>5</v>
      </c>
      <c r="H9" s="132">
        <f>2001</f>
        <v>2001</v>
      </c>
      <c r="I9" s="189" t="s">
        <v>427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晴眼桜花一文字 沖田総司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1501</v>
      </c>
      <c r="B10" s="129" t="s">
        <v>185</v>
      </c>
      <c r="C10" s="188" t="s">
        <v>363</v>
      </c>
      <c r="D10" s="204" t="s">
        <v>463</v>
      </c>
      <c r="E10" s="131">
        <f t="shared" si="3"/>
        <v>63</v>
      </c>
      <c r="F10" s="63">
        <v>10</v>
      </c>
      <c r="G10" s="113">
        <v>5</v>
      </c>
      <c r="H10" s="132">
        <f>2001</f>
        <v>2001</v>
      </c>
      <c r="I10" s="189" t="s">
        <v>460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晴舞台の桜舞 ドガ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1502</v>
      </c>
      <c r="B11" s="129" t="s">
        <v>185</v>
      </c>
      <c r="C11" s="188" t="s">
        <v>364</v>
      </c>
      <c r="D11" s="204" t="s">
        <v>456</v>
      </c>
      <c r="E11" s="131">
        <f t="shared" si="3"/>
        <v>65</v>
      </c>
      <c r="F11" s="63">
        <v>11</v>
      </c>
      <c r="G11" s="113">
        <v>5</v>
      </c>
      <c r="H11" s="132">
        <f>2001</f>
        <v>2001</v>
      </c>
      <c r="I11" s="189" t="s">
        <v>457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打咲かす桜花灯 トリスタン</v>
      </c>
      <c r="K11" s="133">
        <f>IFERROR(VLOOKUP(A11,[1]characters!$A:$R,18),0)</f>
        <v>3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1503</v>
      </c>
      <c r="B12" s="129" t="s">
        <v>185</v>
      </c>
      <c r="C12" s="188" t="s">
        <v>365</v>
      </c>
      <c r="D12" s="188" t="s">
        <v>446</v>
      </c>
      <c r="E12" s="131">
        <f t="shared" ref="E12" si="4">LEN(D12)</f>
        <v>63</v>
      </c>
      <c r="F12" s="63">
        <v>11</v>
      </c>
      <c r="G12" s="113">
        <v>5</v>
      </c>
      <c r="H12" s="132">
        <f>2001</f>
        <v>2001</v>
      </c>
      <c r="I12" s="205" t="s">
        <v>453</v>
      </c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春纏う蛇撫子 ヨルムンガンド</v>
      </c>
      <c r="K12" s="133">
        <f>IFERROR(VLOOKUP(A12,[1]characters!$A:$R,18),0)</f>
        <v>3</v>
      </c>
      <c r="L12" s="134"/>
      <c r="M12" s="135"/>
      <c r="N12" s="135"/>
      <c r="O12" s="135"/>
      <c r="P12" s="135"/>
      <c r="Q12" s="135"/>
      <c r="R12" s="130"/>
      <c r="S12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3:E1048576">
    <cfRule type="cellIs" dxfId="49" priority="33" operator="greaterThan">
      <formula>41</formula>
    </cfRule>
  </conditionalFormatting>
  <conditionalFormatting sqref="E2">
    <cfRule type="cellIs" dxfId="48" priority="27" operator="greaterThan">
      <formula>57</formula>
    </cfRule>
  </conditionalFormatting>
  <conditionalFormatting sqref="E3">
    <cfRule type="cellIs" dxfId="47" priority="26" operator="greaterThan">
      <formula>57</formula>
    </cfRule>
  </conditionalFormatting>
  <conditionalFormatting sqref="E4">
    <cfRule type="cellIs" dxfId="46" priority="9" operator="greaterThan">
      <formula>57</formula>
    </cfRule>
  </conditionalFormatting>
  <conditionalFormatting sqref="E5">
    <cfRule type="cellIs" dxfId="45" priority="8" operator="greaterThan">
      <formula>57</formula>
    </cfRule>
  </conditionalFormatting>
  <conditionalFormatting sqref="E6">
    <cfRule type="cellIs" dxfId="44" priority="7" operator="greaterThan">
      <formula>57</formula>
    </cfRule>
  </conditionalFormatting>
  <conditionalFormatting sqref="E7">
    <cfRule type="cellIs" dxfId="43" priority="6" operator="greaterThan">
      <formula>57</formula>
    </cfRule>
  </conditionalFormatting>
  <conditionalFormatting sqref="E8">
    <cfRule type="cellIs" dxfId="42" priority="5" operator="greaterThan">
      <formula>57</formula>
    </cfRule>
  </conditionalFormatting>
  <conditionalFormatting sqref="E9">
    <cfRule type="cellIs" dxfId="41" priority="4" operator="greaterThan">
      <formula>57</formula>
    </cfRule>
  </conditionalFormatting>
  <conditionalFormatting sqref="E10">
    <cfRule type="cellIs" dxfId="40" priority="3" operator="greaterThan">
      <formula>57</formula>
    </cfRule>
  </conditionalFormatting>
  <conditionalFormatting sqref="E11">
    <cfRule type="cellIs" dxfId="39" priority="2" operator="greaterThan">
      <formula>57</formula>
    </cfRule>
  </conditionalFormatting>
  <conditionalFormatting sqref="E12">
    <cfRule type="cellIs" dxfId="38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9" sqref="F9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1497</v>
      </c>
      <c r="B2" s="129" t="s">
        <v>186</v>
      </c>
      <c r="C2" s="188" t="s">
        <v>373</v>
      </c>
      <c r="D2" s="188" t="s">
        <v>451</v>
      </c>
      <c r="E2" s="131">
        <f t="shared" ref="E2" si="0">LEN(D2)</f>
        <v>14</v>
      </c>
      <c r="F2" s="206" t="s">
        <v>454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ヨシノ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1498</v>
      </c>
      <c r="B3" s="129" t="s">
        <v>186</v>
      </c>
      <c r="C3" s="188" t="s">
        <v>374</v>
      </c>
      <c r="D3" s="188" t="s">
        <v>452</v>
      </c>
      <c r="E3" s="131">
        <f t="shared" ref="E3:E4" si="1">LEN(D3)</f>
        <v>15</v>
      </c>
      <c r="F3" s="206" t="s">
        <v>455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咲誇る夢見草 ヨシノ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1499</v>
      </c>
      <c r="B4" s="129" t="s">
        <v>186</v>
      </c>
      <c r="C4" s="188" t="s">
        <v>371</v>
      </c>
      <c r="D4" s="204" t="s">
        <v>435</v>
      </c>
      <c r="E4" s="131">
        <f t="shared" si="1"/>
        <v>31</v>
      </c>
      <c r="F4" s="190" t="s">
        <v>431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コノハナサクヤ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1500</v>
      </c>
      <c r="B5" s="129" t="s">
        <v>186</v>
      </c>
      <c r="C5" s="188" t="s">
        <v>372</v>
      </c>
      <c r="D5" s="204" t="s">
        <v>436</v>
      </c>
      <c r="E5" s="131">
        <f t="shared" ref="E5:E6" si="2">LEN(D5)</f>
        <v>31</v>
      </c>
      <c r="F5" s="190" t="s">
        <v>432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櫻歌する開華 コノハナサクヤ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1431</v>
      </c>
      <c r="B6" s="129" t="s">
        <v>186</v>
      </c>
      <c r="C6" s="188" t="s">
        <v>375</v>
      </c>
      <c r="D6" s="188" t="s">
        <v>335</v>
      </c>
      <c r="E6" s="131">
        <f t="shared" si="2"/>
        <v>24</v>
      </c>
      <c r="F6" s="190" t="s">
        <v>333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センコ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1432</v>
      </c>
      <c r="B7" s="129" t="s">
        <v>186</v>
      </c>
      <c r="C7" s="188" t="s">
        <v>376</v>
      </c>
      <c r="D7" s="188" t="s">
        <v>336</v>
      </c>
      <c r="E7" s="131">
        <f t="shared" ref="E7:E11" si="3">LEN(D7)</f>
        <v>24</v>
      </c>
      <c r="F7" s="190" t="s">
        <v>334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華宴の千年狐 センコ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1495</v>
      </c>
      <c r="B8" s="129" t="s">
        <v>185</v>
      </c>
      <c r="C8" s="188" t="s">
        <v>368</v>
      </c>
      <c r="D8" s="188" t="s">
        <v>337</v>
      </c>
      <c r="E8" s="131">
        <f t="shared" si="3"/>
        <v>9</v>
      </c>
      <c r="F8" s="190" t="s">
        <v>338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桜乱の武奏術 牛若丸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1496</v>
      </c>
      <c r="B9" s="129" t="s">
        <v>185</v>
      </c>
      <c r="C9" s="188" t="s">
        <v>366</v>
      </c>
      <c r="D9" s="188" t="s">
        <v>434</v>
      </c>
      <c r="E9" s="131">
        <f t="shared" si="3"/>
        <v>34</v>
      </c>
      <c r="F9" s="190" t="s">
        <v>433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晴眼桜花一文字 沖田総司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1501</v>
      </c>
      <c r="B10" s="129" t="s">
        <v>185</v>
      </c>
      <c r="C10" s="188" t="s">
        <v>367</v>
      </c>
      <c r="D10" s="188" t="s">
        <v>339</v>
      </c>
      <c r="E10" s="131">
        <f t="shared" si="3"/>
        <v>22</v>
      </c>
      <c r="F10" s="190" t="s">
        <v>340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晴舞台の桜舞 ドガ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1502</v>
      </c>
      <c r="B11" s="129" t="s">
        <v>185</v>
      </c>
      <c r="C11" s="188" t="s">
        <v>369</v>
      </c>
      <c r="D11" s="188" t="s">
        <v>443</v>
      </c>
      <c r="E11" s="131">
        <f t="shared" si="3"/>
        <v>38</v>
      </c>
      <c r="F11" s="190" t="s">
        <v>444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打咲かす桜花灯 トリスタン</v>
      </c>
      <c r="H11" s="132">
        <f>IFERROR(VLOOKUP(A11,[1]characters!$A:$R,18),0)</f>
        <v>3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1503</v>
      </c>
      <c r="B12" s="129" t="s">
        <v>185</v>
      </c>
      <c r="C12" s="188" t="s">
        <v>370</v>
      </c>
      <c r="D12" s="188" t="s">
        <v>447</v>
      </c>
      <c r="E12" s="131">
        <f t="shared" ref="E12" si="4">LEN(D12)</f>
        <v>41</v>
      </c>
      <c r="F12" s="190" t="s">
        <v>445</v>
      </c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春纏う蛇撫子 ヨルムンガンド</v>
      </c>
      <c r="H12" s="132">
        <f>IFERROR(VLOOKUP(A12,[1]characters!$A:$R,18),0)</f>
        <v>3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</sheetData>
  <sheetProtection selectLockedCells="1" selectUnlockedCells="1"/>
  <autoFilter ref="A1:J1"/>
  <phoneticPr fontId="22"/>
  <conditionalFormatting sqref="E2">
    <cfRule type="cellIs" dxfId="37" priority="27" operator="greaterThan">
      <formula>57</formula>
    </cfRule>
  </conditionalFormatting>
  <conditionalFormatting sqref="E3">
    <cfRule type="cellIs" dxfId="36" priority="26" operator="greaterThan">
      <formula>57</formula>
    </cfRule>
  </conditionalFormatting>
  <conditionalFormatting sqref="E4">
    <cfRule type="cellIs" dxfId="35" priority="9" operator="greaterThan">
      <formula>57</formula>
    </cfRule>
  </conditionalFormatting>
  <conditionalFormatting sqref="E5">
    <cfRule type="cellIs" dxfId="34" priority="8" operator="greaterThan">
      <formula>57</formula>
    </cfRule>
  </conditionalFormatting>
  <conditionalFormatting sqref="E6">
    <cfRule type="cellIs" dxfId="33" priority="7" operator="greaterThan">
      <formula>57</formula>
    </cfRule>
  </conditionalFormatting>
  <conditionalFormatting sqref="E7">
    <cfRule type="cellIs" dxfId="32" priority="6" operator="greaterThan">
      <formula>57</formula>
    </cfRule>
  </conditionalFormatting>
  <conditionalFormatting sqref="E8">
    <cfRule type="cellIs" dxfId="31" priority="5" operator="greaterThan">
      <formula>57</formula>
    </cfRule>
  </conditionalFormatting>
  <conditionalFormatting sqref="E9">
    <cfRule type="cellIs" dxfId="30" priority="4" operator="greaterThan">
      <formula>57</formula>
    </cfRule>
  </conditionalFormatting>
  <conditionalFormatting sqref="E10">
    <cfRule type="cellIs" dxfId="29" priority="3" operator="greaterThan">
      <formula>57</formula>
    </cfRule>
  </conditionalFormatting>
  <conditionalFormatting sqref="E11">
    <cfRule type="cellIs" dxfId="28" priority="2" operator="greaterThan">
      <formula>57</formula>
    </cfRule>
  </conditionalFormatting>
  <conditionalFormatting sqref="E12">
    <cfRule type="cellIs" dxfId="27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1"/>
  <sheetViews>
    <sheetView topLeftCell="A8" zoomScale="110" workbookViewId="0">
      <selection activeCell="I26" sqref="I26"/>
    </sheetView>
  </sheetViews>
  <sheetFormatPr baseColWidth="12" defaultRowHeight="15" outlineLevelCol="1" x14ac:dyDescent="0.15"/>
  <cols>
    <col min="2" max="2" width="20" style="139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1497</v>
      </c>
      <c r="B2" s="138" t="str">
        <f>VLOOKUP(A2,[1]characters!$A:$C,3,FALSE)</f>
        <v>ヨシノ</v>
      </c>
      <c r="C2" s="105" t="s">
        <v>195</v>
      </c>
      <c r="D2" s="138" t="str">
        <f t="shared" ref="D2" si="0">A2&amp;C2</f>
        <v>1497skill</v>
      </c>
      <c r="E2" s="138" t="str">
        <f>A2&amp;+(COUNTIF(A2:A$100,A2)-1)</f>
        <v>14973</v>
      </c>
      <c r="F2" s="105" t="s">
        <v>197</v>
      </c>
      <c r="G2" s="162" t="s">
        <v>379</v>
      </c>
      <c r="H2" s="162" t="s">
        <v>408</v>
      </c>
    </row>
    <row r="3" spans="1:8" x14ac:dyDescent="0.15">
      <c r="A3" s="105">
        <v>1497</v>
      </c>
      <c r="B3" s="138" t="str">
        <f>VLOOKUP(A3,[1]characters!$A:$C,3,FALSE)</f>
        <v>ヨシノ</v>
      </c>
      <c r="C3" s="105" t="s">
        <v>198</v>
      </c>
      <c r="D3" s="138" t="str">
        <f>A3&amp;C3</f>
        <v>1497cskill</v>
      </c>
      <c r="E3" s="138" t="str">
        <f>A3&amp;+(COUNTIF(A3:A$100,A3)-1)</f>
        <v>14972</v>
      </c>
      <c r="F3" s="105" t="s">
        <v>186</v>
      </c>
      <c r="G3" s="162" t="s">
        <v>379</v>
      </c>
      <c r="H3" s="162" t="s">
        <v>410</v>
      </c>
    </row>
    <row r="4" spans="1:8" x14ac:dyDescent="0.15">
      <c r="A4" s="105">
        <v>1497</v>
      </c>
      <c r="B4" s="138" t="str">
        <f>VLOOKUP(A4,[1]characters!$A:$C,3,FALSE)</f>
        <v>ヨシノ</v>
      </c>
      <c r="C4" s="105" t="s">
        <v>198</v>
      </c>
      <c r="D4" s="138" t="str">
        <f>A4&amp;C4</f>
        <v>1497cskill</v>
      </c>
      <c r="E4" s="138" t="str">
        <f>A4&amp;+(COUNTIF(A4:A$100,A4)-1)</f>
        <v>14971</v>
      </c>
      <c r="F4" s="105" t="s">
        <v>186</v>
      </c>
      <c r="G4" s="162" t="s">
        <v>379</v>
      </c>
      <c r="H4" s="162" t="s">
        <v>411</v>
      </c>
    </row>
    <row r="5" spans="1:8" x14ac:dyDescent="0.15">
      <c r="A5" s="105">
        <v>1497</v>
      </c>
      <c r="B5" s="138" t="str">
        <f>VLOOKUP(A5,[1]characters!$A:$C,3,FALSE)</f>
        <v>ヨシノ</v>
      </c>
      <c r="C5" s="105" t="s">
        <v>198</v>
      </c>
      <c r="D5" s="138" t="str">
        <f>A5&amp;C5</f>
        <v>1497cskill</v>
      </c>
      <c r="E5" s="138" t="str">
        <f>A5&amp;+(COUNTIF(A5:A$100,A5)-1)</f>
        <v>14970</v>
      </c>
      <c r="F5" s="105" t="s">
        <v>197</v>
      </c>
      <c r="G5" s="162" t="s">
        <v>196</v>
      </c>
      <c r="H5" s="162" t="s">
        <v>412</v>
      </c>
    </row>
    <row r="6" spans="1:8" x14ac:dyDescent="0.15">
      <c r="A6" s="105">
        <v>1498</v>
      </c>
      <c r="B6" s="138" t="str">
        <f>VLOOKUP(A6,[1]characters!$A:$C,3,FALSE)</f>
        <v>咲誇る夢見草 ヨシノ</v>
      </c>
      <c r="C6" s="105" t="s">
        <v>195</v>
      </c>
      <c r="D6" s="138" t="str">
        <f t="shared" ref="D6" si="1">A6&amp;C6</f>
        <v>1498skill</v>
      </c>
      <c r="E6" s="138" t="str">
        <f>A6&amp;+(COUNTIF(A6:A$100,A6)-1)</f>
        <v>14984</v>
      </c>
      <c r="F6" s="105" t="s">
        <v>186</v>
      </c>
      <c r="G6" s="162" t="s">
        <v>196</v>
      </c>
      <c r="H6" s="162" t="s">
        <v>409</v>
      </c>
    </row>
    <row r="7" spans="1:8" x14ac:dyDescent="0.15">
      <c r="A7" s="105">
        <v>1498</v>
      </c>
      <c r="B7" s="138" t="str">
        <f>VLOOKUP(A7,[1]characters!$A:$C,3,FALSE)</f>
        <v>咲誇る夢見草 ヨシノ</v>
      </c>
      <c r="C7" s="105" t="s">
        <v>198</v>
      </c>
      <c r="D7" s="138" t="str">
        <f>A7&amp;C7</f>
        <v>1498cskill</v>
      </c>
      <c r="E7" s="138" t="str">
        <f>A7&amp;+(COUNTIF(A7:A$100,A7)-1)</f>
        <v>14983</v>
      </c>
      <c r="F7" s="105" t="s">
        <v>186</v>
      </c>
      <c r="G7" s="162" t="s">
        <v>379</v>
      </c>
      <c r="H7" s="162" t="s">
        <v>410</v>
      </c>
    </row>
    <row r="8" spans="1:8" x14ac:dyDescent="0.15">
      <c r="A8" s="105">
        <v>1498</v>
      </c>
      <c r="B8" s="138" t="str">
        <f>VLOOKUP(A8,[1]characters!$A:$C,3,FALSE)</f>
        <v>咲誇る夢見草 ヨシノ</v>
      </c>
      <c r="C8" s="105" t="s">
        <v>198</v>
      </c>
      <c r="D8" s="138" t="str">
        <f>A8&amp;C8</f>
        <v>1498cskill</v>
      </c>
      <c r="E8" s="138" t="str">
        <f>A8&amp;+(COUNTIF(A8:A$100,A8)-1)</f>
        <v>14982</v>
      </c>
      <c r="F8" s="105" t="s">
        <v>186</v>
      </c>
      <c r="G8" s="162" t="s">
        <v>379</v>
      </c>
      <c r="H8" s="162" t="s">
        <v>411</v>
      </c>
    </row>
    <row r="9" spans="1:8" x14ac:dyDescent="0.15">
      <c r="A9" s="105">
        <v>1498</v>
      </c>
      <c r="B9" s="138" t="str">
        <f>VLOOKUP(A9,[1]characters!$A:$C,3,FALSE)</f>
        <v>咲誇る夢見草 ヨシノ</v>
      </c>
      <c r="C9" s="105" t="s">
        <v>198</v>
      </c>
      <c r="D9" s="138" t="str">
        <f>A9&amp;C9</f>
        <v>1498cskill</v>
      </c>
      <c r="E9" s="138" t="str">
        <f>A9&amp;+(COUNTIF(A9:A$100,A9)-1)</f>
        <v>14981</v>
      </c>
      <c r="F9" s="105" t="s">
        <v>186</v>
      </c>
      <c r="G9" s="162" t="s">
        <v>196</v>
      </c>
      <c r="H9" s="162" t="s">
        <v>412</v>
      </c>
    </row>
    <row r="10" spans="1:8" x14ac:dyDescent="0.15">
      <c r="A10" s="105">
        <v>1498</v>
      </c>
      <c r="B10" s="138" t="str">
        <f>VLOOKUP(A10,[1]characters!$A:$C,3,FALSE)</f>
        <v>咲誇る夢見草 ヨシノ</v>
      </c>
      <c r="C10" s="105" t="s">
        <v>198</v>
      </c>
      <c r="D10" s="138" t="str">
        <f>A10&amp;C10</f>
        <v>1498cskill</v>
      </c>
      <c r="E10" s="138" t="str">
        <f>A10&amp;+(COUNTIF(A10:A$100,A10)-1)</f>
        <v>14980</v>
      </c>
      <c r="F10" s="105" t="s">
        <v>186</v>
      </c>
      <c r="G10" s="162" t="s">
        <v>377</v>
      </c>
      <c r="H10" s="162" t="s">
        <v>413</v>
      </c>
    </row>
    <row r="11" spans="1:8" x14ac:dyDescent="0.15">
      <c r="A11" s="105">
        <v>1499</v>
      </c>
      <c r="B11" s="138" t="str">
        <f>VLOOKUP(A11,[1]characters!$A:$C,3,FALSE)</f>
        <v>コノハナサクヤ</v>
      </c>
      <c r="C11" s="105" t="s">
        <v>195</v>
      </c>
      <c r="D11" s="138" t="str">
        <f t="shared" ref="D11" si="2">A11&amp;C11</f>
        <v>1499skill</v>
      </c>
      <c r="E11" s="138" t="str">
        <f>A11&amp;+(COUNTIF(A11:A$100,A11)-1)</f>
        <v>14993</v>
      </c>
      <c r="F11" s="105" t="s">
        <v>186</v>
      </c>
      <c r="G11" s="162" t="s">
        <v>379</v>
      </c>
      <c r="H11" s="162" t="s">
        <v>402</v>
      </c>
    </row>
    <row r="12" spans="1:8" x14ac:dyDescent="0.15">
      <c r="A12" s="105">
        <v>1499</v>
      </c>
      <c r="B12" s="138" t="str">
        <f>VLOOKUP(A12,[1]characters!$A:$C,3,FALSE)</f>
        <v>コノハナサクヤ</v>
      </c>
      <c r="C12" s="105" t="s">
        <v>198</v>
      </c>
      <c r="D12" s="138" t="str">
        <f>A12&amp;C12</f>
        <v>1499cskill</v>
      </c>
      <c r="E12" s="138" t="str">
        <f>A12&amp;+(COUNTIF(A12:A$100,A12)-1)</f>
        <v>14992</v>
      </c>
      <c r="F12" s="105" t="s">
        <v>186</v>
      </c>
      <c r="G12" s="162" t="s">
        <v>379</v>
      </c>
      <c r="H12" s="162" t="s">
        <v>404</v>
      </c>
    </row>
    <row r="13" spans="1:8" x14ac:dyDescent="0.15">
      <c r="A13" s="105">
        <v>1499</v>
      </c>
      <c r="B13" s="138" t="str">
        <f>VLOOKUP(A13,[1]characters!$A:$C,3,FALSE)</f>
        <v>コノハナサクヤ</v>
      </c>
      <c r="C13" s="105" t="s">
        <v>198</v>
      </c>
      <c r="D13" s="138" t="str">
        <f>A13&amp;C13</f>
        <v>1499cskill</v>
      </c>
      <c r="E13" s="138" t="str">
        <f>A13&amp;+(COUNTIF(A13:A$100,A13)-1)</f>
        <v>14991</v>
      </c>
      <c r="F13" s="105" t="s">
        <v>186</v>
      </c>
      <c r="G13" s="162" t="s">
        <v>379</v>
      </c>
      <c r="H13" s="162" t="s">
        <v>405</v>
      </c>
    </row>
    <row r="14" spans="1:8" x14ac:dyDescent="0.15">
      <c r="A14" s="105">
        <v>1499</v>
      </c>
      <c r="B14" s="138" t="str">
        <f>VLOOKUP(A14,[1]characters!$A:$C,3,FALSE)</f>
        <v>コノハナサクヤ</v>
      </c>
      <c r="C14" s="105" t="s">
        <v>198</v>
      </c>
      <c r="D14" s="138" t="str">
        <f>A14&amp;C14</f>
        <v>1499cskill</v>
      </c>
      <c r="E14" s="138" t="str">
        <f>A14&amp;+(COUNTIF(A14:A$100,A14)-1)</f>
        <v>14990</v>
      </c>
      <c r="F14" s="105" t="s">
        <v>186</v>
      </c>
      <c r="G14" s="162" t="s">
        <v>196</v>
      </c>
      <c r="H14" s="162" t="s">
        <v>406</v>
      </c>
    </row>
    <row r="15" spans="1:8" x14ac:dyDescent="0.15">
      <c r="A15" s="105">
        <v>1500</v>
      </c>
      <c r="B15" s="138" t="str">
        <f>VLOOKUP(A15,[1]characters!$A:$C,3,FALSE)</f>
        <v>櫻歌する開華 コノハナサクヤ</v>
      </c>
      <c r="C15" s="105" t="s">
        <v>195</v>
      </c>
      <c r="D15" s="138" t="str">
        <f t="shared" ref="D15" si="3">A15&amp;C15</f>
        <v>1500skill</v>
      </c>
      <c r="E15" s="138" t="str">
        <f>A15&amp;+(COUNTIF(A15:A$100,A15)-1)</f>
        <v>15004</v>
      </c>
      <c r="F15" s="105" t="s">
        <v>186</v>
      </c>
      <c r="G15" s="162" t="s">
        <v>379</v>
      </c>
      <c r="H15" s="162" t="s">
        <v>403</v>
      </c>
    </row>
    <row r="16" spans="1:8" x14ac:dyDescent="0.15">
      <c r="A16" s="105">
        <v>1500</v>
      </c>
      <c r="B16" s="138" t="str">
        <f>VLOOKUP(A16,[1]characters!$A:$C,3,FALSE)</f>
        <v>櫻歌する開華 コノハナサクヤ</v>
      </c>
      <c r="C16" s="105" t="s">
        <v>198</v>
      </c>
      <c r="D16" s="138" t="str">
        <f>A16&amp;C16</f>
        <v>1500cskill</v>
      </c>
      <c r="E16" s="138" t="str">
        <f>A16&amp;+(COUNTIF(A16:A$100,A16)-1)</f>
        <v>15003</v>
      </c>
      <c r="F16" s="105" t="s">
        <v>186</v>
      </c>
      <c r="G16" s="162" t="s">
        <v>379</v>
      </c>
      <c r="H16" s="162" t="s">
        <v>404</v>
      </c>
    </row>
    <row r="17" spans="1:8" x14ac:dyDescent="0.15">
      <c r="A17" s="105">
        <v>1500</v>
      </c>
      <c r="B17" s="138" t="str">
        <f>VLOOKUP(A17,[1]characters!$A:$C,3,FALSE)</f>
        <v>櫻歌する開華 コノハナサクヤ</v>
      </c>
      <c r="C17" s="105" t="s">
        <v>198</v>
      </c>
      <c r="D17" s="138" t="str">
        <f>A17&amp;C17</f>
        <v>1500cskill</v>
      </c>
      <c r="E17" s="138" t="str">
        <f>A17&amp;+(COUNTIF(A17:A$100,A17)-1)</f>
        <v>15002</v>
      </c>
      <c r="F17" s="105" t="s">
        <v>186</v>
      </c>
      <c r="G17" s="162" t="s">
        <v>379</v>
      </c>
      <c r="H17" s="162" t="s">
        <v>405</v>
      </c>
    </row>
    <row r="18" spans="1:8" x14ac:dyDescent="0.15">
      <c r="A18" s="105">
        <v>1500</v>
      </c>
      <c r="B18" s="138" t="str">
        <f>VLOOKUP(A18,[1]characters!$A:$C,3,FALSE)</f>
        <v>櫻歌する開華 コノハナサクヤ</v>
      </c>
      <c r="C18" s="105" t="s">
        <v>198</v>
      </c>
      <c r="D18" s="138" t="str">
        <f>A18&amp;C18</f>
        <v>1500cskill</v>
      </c>
      <c r="E18" s="138" t="str">
        <f>A18&amp;+(COUNTIF(A18:A$100,A18)-1)</f>
        <v>15001</v>
      </c>
      <c r="F18" s="105" t="s">
        <v>186</v>
      </c>
      <c r="G18" s="162" t="s">
        <v>196</v>
      </c>
      <c r="H18" s="162" t="s">
        <v>406</v>
      </c>
    </row>
    <row r="19" spans="1:8" x14ac:dyDescent="0.15">
      <c r="A19" s="105">
        <v>1500</v>
      </c>
      <c r="B19" s="138" t="str">
        <f>VLOOKUP(A19,[1]characters!$A:$C,3,FALSE)</f>
        <v>櫻歌する開華 コノハナサクヤ</v>
      </c>
      <c r="C19" s="105" t="s">
        <v>198</v>
      </c>
      <c r="D19" s="138" t="str">
        <f>A19&amp;C19</f>
        <v>1500cskill</v>
      </c>
      <c r="E19" s="138" t="str">
        <f>A19&amp;+(COUNTIF(A19:A$100,A19)-1)</f>
        <v>15000</v>
      </c>
      <c r="F19" s="105" t="s">
        <v>186</v>
      </c>
      <c r="G19" s="162" t="s">
        <v>196</v>
      </c>
      <c r="H19" s="162" t="s">
        <v>407</v>
      </c>
    </row>
    <row r="20" spans="1:8" x14ac:dyDescent="0.15">
      <c r="A20" s="105">
        <v>1431</v>
      </c>
      <c r="B20" s="138" t="str">
        <f>VLOOKUP(A20,[1]characters!$A:$C,3,FALSE)</f>
        <v>センコ</v>
      </c>
      <c r="C20" s="105" t="s">
        <v>195</v>
      </c>
      <c r="D20" s="138" t="str">
        <f t="shared" ref="D20" si="4">A20&amp;C20</f>
        <v>1431skill</v>
      </c>
      <c r="E20" s="138" t="str">
        <f>A20&amp;+(COUNTIF(A20:A$100,A20)-1)</f>
        <v>14313</v>
      </c>
      <c r="F20" s="105" t="s">
        <v>186</v>
      </c>
      <c r="G20" s="162" t="s">
        <v>379</v>
      </c>
      <c r="H20" s="162" t="s">
        <v>437</v>
      </c>
    </row>
    <row r="21" spans="1:8" x14ac:dyDescent="0.15">
      <c r="A21" s="105">
        <v>1431</v>
      </c>
      <c r="B21" s="138" t="str">
        <f>VLOOKUP(A21,[1]characters!$A:$C,3,FALSE)</f>
        <v>センコ</v>
      </c>
      <c r="C21" s="105" t="s">
        <v>198</v>
      </c>
      <c r="D21" s="138" t="str">
        <f>A21&amp;C21</f>
        <v>1431cskill</v>
      </c>
      <c r="E21" s="138" t="str">
        <f>A21&amp;+(COUNTIF(A21:A$100,A21)-1)</f>
        <v>14312</v>
      </c>
      <c r="F21" s="105" t="s">
        <v>186</v>
      </c>
      <c r="G21" s="162" t="s">
        <v>379</v>
      </c>
      <c r="H21" s="162" t="s">
        <v>440</v>
      </c>
    </row>
    <row r="22" spans="1:8" x14ac:dyDescent="0.15">
      <c r="A22" s="105">
        <v>1431</v>
      </c>
      <c r="B22" s="138" t="str">
        <f>VLOOKUP(A22,[1]characters!$A:$C,3,FALSE)</f>
        <v>センコ</v>
      </c>
      <c r="C22" s="105" t="s">
        <v>198</v>
      </c>
      <c r="D22" s="138" t="str">
        <f>A22&amp;C22</f>
        <v>1431cskill</v>
      </c>
      <c r="E22" s="138" t="str">
        <f>A22&amp;+(COUNTIF(A22:A$100,A22)-1)</f>
        <v>14311</v>
      </c>
      <c r="F22" s="105" t="s">
        <v>186</v>
      </c>
      <c r="G22" s="162" t="s">
        <v>379</v>
      </c>
      <c r="H22" s="162" t="s">
        <v>441</v>
      </c>
    </row>
    <row r="23" spans="1:8" x14ac:dyDescent="0.15">
      <c r="A23" s="105">
        <v>1431</v>
      </c>
      <c r="B23" s="138" t="str">
        <f>VLOOKUP(A23,[1]characters!$A:$C,3,FALSE)</f>
        <v>センコ</v>
      </c>
      <c r="C23" s="105" t="s">
        <v>198</v>
      </c>
      <c r="D23" s="138" t="str">
        <f>A23&amp;C23</f>
        <v>1431cskill</v>
      </c>
      <c r="E23" s="138" t="str">
        <f>A23&amp;+(COUNTIF(A23:A$100,A23)-1)</f>
        <v>14310</v>
      </c>
      <c r="F23" s="105" t="s">
        <v>186</v>
      </c>
      <c r="G23" s="162" t="s">
        <v>196</v>
      </c>
      <c r="H23" s="162" t="s">
        <v>438</v>
      </c>
    </row>
    <row r="24" spans="1:8" x14ac:dyDescent="0.15">
      <c r="A24" s="105">
        <v>1432</v>
      </c>
      <c r="B24" s="138" t="str">
        <f>VLOOKUP(A24,[1]characters!$A:$C,3,FALSE)</f>
        <v>華宴の千年狐 センコ</v>
      </c>
      <c r="C24" s="105" t="s">
        <v>195</v>
      </c>
      <c r="D24" s="138" t="str">
        <f t="shared" ref="D24" si="5">A24&amp;C24</f>
        <v>1432skill</v>
      </c>
      <c r="E24" s="138" t="str">
        <f>A24&amp;+(COUNTIF(A24:A$100,A24)-1)</f>
        <v>14324</v>
      </c>
      <c r="F24" s="105" t="s">
        <v>186</v>
      </c>
      <c r="G24" s="162" t="s">
        <v>379</v>
      </c>
      <c r="H24" s="162" t="s">
        <v>442</v>
      </c>
    </row>
    <row r="25" spans="1:8" x14ac:dyDescent="0.15">
      <c r="A25" s="105">
        <v>1432</v>
      </c>
      <c r="B25" s="138" t="str">
        <f>VLOOKUP(A25,[1]characters!$A:$C,3,FALSE)</f>
        <v>華宴の千年狐 センコ</v>
      </c>
      <c r="C25" s="105" t="s">
        <v>198</v>
      </c>
      <c r="D25" s="138" t="str">
        <f>A25&amp;C25</f>
        <v>1432cskill</v>
      </c>
      <c r="E25" s="138" t="str">
        <f>A25&amp;+(COUNTIF(A25:A$100,A25)-1)</f>
        <v>14323</v>
      </c>
      <c r="F25" s="105" t="s">
        <v>186</v>
      </c>
      <c r="G25" s="162" t="s">
        <v>379</v>
      </c>
      <c r="H25" s="162" t="s">
        <v>440</v>
      </c>
    </row>
    <row r="26" spans="1:8" x14ac:dyDescent="0.15">
      <c r="A26" s="105">
        <v>1432</v>
      </c>
      <c r="B26" s="138" t="str">
        <f>VLOOKUP(A26,[1]characters!$A:$C,3,FALSE)</f>
        <v>華宴の千年狐 センコ</v>
      </c>
      <c r="C26" s="105" t="s">
        <v>198</v>
      </c>
      <c r="D26" s="138" t="str">
        <f>A26&amp;C26</f>
        <v>1432cskill</v>
      </c>
      <c r="E26" s="138" t="str">
        <f>A26&amp;+(COUNTIF(A26:A$100,A26)-1)</f>
        <v>14322</v>
      </c>
      <c r="F26" s="105" t="s">
        <v>186</v>
      </c>
      <c r="G26" s="162" t="s">
        <v>379</v>
      </c>
      <c r="H26" s="162" t="s">
        <v>441</v>
      </c>
    </row>
    <row r="27" spans="1:8" x14ac:dyDescent="0.15">
      <c r="A27" s="105">
        <v>1432</v>
      </c>
      <c r="B27" s="138" t="str">
        <f>VLOOKUP(A27,[1]characters!$A:$C,3,FALSE)</f>
        <v>華宴の千年狐 センコ</v>
      </c>
      <c r="C27" s="105" t="s">
        <v>198</v>
      </c>
      <c r="D27" s="138" t="str">
        <f>A27&amp;C27</f>
        <v>1432cskill</v>
      </c>
      <c r="E27" s="138" t="str">
        <f>A27&amp;+(COUNTIF(A27:A$100,A27)-1)</f>
        <v>14321</v>
      </c>
      <c r="F27" s="105" t="s">
        <v>186</v>
      </c>
      <c r="G27" s="162" t="s">
        <v>196</v>
      </c>
      <c r="H27" s="162" t="s">
        <v>438</v>
      </c>
    </row>
    <row r="28" spans="1:8" x14ac:dyDescent="0.15">
      <c r="A28" s="105">
        <v>1432</v>
      </c>
      <c r="B28" s="138" t="str">
        <f>VLOOKUP(A28,[1]characters!$A:$C,3,FALSE)</f>
        <v>華宴の千年狐 センコ</v>
      </c>
      <c r="C28" s="105" t="s">
        <v>198</v>
      </c>
      <c r="D28" s="138" t="str">
        <f>A28&amp;C28</f>
        <v>1432cskill</v>
      </c>
      <c r="E28" s="138" t="str">
        <f>A28&amp;+(COUNTIF(A28:A$100,A28)-1)</f>
        <v>14320</v>
      </c>
      <c r="F28" s="105" t="s">
        <v>186</v>
      </c>
      <c r="G28" s="162" t="s">
        <v>379</v>
      </c>
      <c r="H28" s="162" t="s">
        <v>439</v>
      </c>
    </row>
    <row r="29" spans="1:8" x14ac:dyDescent="0.15">
      <c r="A29" s="105">
        <v>1502</v>
      </c>
      <c r="B29" s="138" t="str">
        <f>VLOOKUP(A29,[1]characters!$A:$C,3,FALSE)</f>
        <v>打咲かす桜花灯 トリスタン</v>
      </c>
      <c r="C29" s="105" t="s">
        <v>195</v>
      </c>
      <c r="D29" s="138" t="str">
        <f t="shared" ref="D29" si="6">A29&amp;C29</f>
        <v>1502skill</v>
      </c>
      <c r="E29" s="138" t="str">
        <f>A29&amp;+(COUNTIF(A29:A$100,A29)-1)</f>
        <v>15023</v>
      </c>
      <c r="F29" s="105" t="s">
        <v>185</v>
      </c>
      <c r="G29" s="162" t="s">
        <v>379</v>
      </c>
      <c r="H29" s="162" t="s">
        <v>394</v>
      </c>
    </row>
    <row r="30" spans="1:8" x14ac:dyDescent="0.15">
      <c r="A30" s="105">
        <v>1502</v>
      </c>
      <c r="B30" s="138" t="str">
        <f>VLOOKUP(A30,[1]characters!$A:$C,3,FALSE)</f>
        <v>打咲かす桜花灯 トリスタン</v>
      </c>
      <c r="C30" s="105" t="s">
        <v>198</v>
      </c>
      <c r="D30" s="138" t="str">
        <f>A30&amp;C30</f>
        <v>1502cskill</v>
      </c>
      <c r="E30" s="138" t="str">
        <f>A30&amp;+(COUNTIF(A30:A$100,A30)-1)</f>
        <v>15022</v>
      </c>
      <c r="F30" s="105" t="s">
        <v>185</v>
      </c>
      <c r="G30" s="162" t="s">
        <v>379</v>
      </c>
      <c r="H30" s="162" t="s">
        <v>395</v>
      </c>
    </row>
    <row r="31" spans="1:8" x14ac:dyDescent="0.15">
      <c r="A31" s="105">
        <v>1502</v>
      </c>
      <c r="B31" s="138" t="str">
        <f>VLOOKUP(A31,[1]characters!$A:$C,3,FALSE)</f>
        <v>打咲かす桜花灯 トリスタン</v>
      </c>
      <c r="C31" s="105" t="s">
        <v>198</v>
      </c>
      <c r="D31" s="138" t="str">
        <f>A31&amp;C31</f>
        <v>1502cskill</v>
      </c>
      <c r="E31" s="138" t="str">
        <f>A31&amp;+(COUNTIF(A31:A$100,A31)-1)</f>
        <v>15021</v>
      </c>
      <c r="F31" s="105" t="s">
        <v>185</v>
      </c>
      <c r="G31" s="162" t="s">
        <v>196</v>
      </c>
      <c r="H31" s="162" t="s">
        <v>396</v>
      </c>
    </row>
    <row r="32" spans="1:8" x14ac:dyDescent="0.15">
      <c r="A32" s="105">
        <v>1502</v>
      </c>
      <c r="B32" s="138" t="str">
        <f>VLOOKUP(A32,[1]characters!$A:$C,3,FALSE)</f>
        <v>打咲かす桜花灯 トリスタン</v>
      </c>
      <c r="C32" s="105" t="s">
        <v>198</v>
      </c>
      <c r="D32" s="138" t="str">
        <f>A32&amp;C32</f>
        <v>1502cskill</v>
      </c>
      <c r="E32" s="138" t="str">
        <f>A32&amp;+(COUNTIF(A32:A$100,A32)-1)</f>
        <v>15020</v>
      </c>
      <c r="F32" s="105" t="s">
        <v>185</v>
      </c>
      <c r="G32" s="162" t="s">
        <v>377</v>
      </c>
      <c r="H32" s="162" t="s">
        <v>397</v>
      </c>
    </row>
    <row r="33" spans="1:8" x14ac:dyDescent="0.15">
      <c r="A33" s="105">
        <v>1503</v>
      </c>
      <c r="B33" s="138" t="str">
        <f>VLOOKUP(A33,[1]characters!$A:$C,3,FALSE)</f>
        <v>春纏う蛇撫子 ヨルムンガンド</v>
      </c>
      <c r="C33" s="105" t="s">
        <v>195</v>
      </c>
      <c r="D33" s="138" t="str">
        <f t="shared" ref="D33" si="7">A33&amp;C33</f>
        <v>1503skill</v>
      </c>
      <c r="E33" s="138" t="str">
        <f>A33&amp;+(COUNTIF(A33:A$100,A33)-1)</f>
        <v>15033</v>
      </c>
      <c r="F33" s="105" t="s">
        <v>185</v>
      </c>
      <c r="G33" s="162" t="s">
        <v>379</v>
      </c>
      <c r="H33" s="162" t="s">
        <v>398</v>
      </c>
    </row>
    <row r="34" spans="1:8" x14ac:dyDescent="0.15">
      <c r="A34" s="105">
        <v>1503</v>
      </c>
      <c r="B34" s="138" t="str">
        <f>VLOOKUP(A34,[1]characters!$A:$C,3,FALSE)</f>
        <v>春纏う蛇撫子 ヨルムンガンド</v>
      </c>
      <c r="C34" s="105" t="s">
        <v>198</v>
      </c>
      <c r="D34" s="138" t="str">
        <f>A34&amp;C34</f>
        <v>1503cskill</v>
      </c>
      <c r="E34" s="138" t="str">
        <f>A34&amp;+(COUNTIF(A34:A$100,A34)-1)</f>
        <v>15032</v>
      </c>
      <c r="F34" s="105" t="s">
        <v>185</v>
      </c>
      <c r="G34" s="162" t="s">
        <v>379</v>
      </c>
      <c r="H34" s="162" t="s">
        <v>399</v>
      </c>
    </row>
    <row r="35" spans="1:8" x14ac:dyDescent="0.15">
      <c r="A35" s="105">
        <v>1503</v>
      </c>
      <c r="B35" s="138" t="str">
        <f>VLOOKUP(A35,[1]characters!$A:$C,3,FALSE)</f>
        <v>春纏う蛇撫子 ヨルムンガンド</v>
      </c>
      <c r="C35" s="105" t="s">
        <v>198</v>
      </c>
      <c r="D35" s="138" t="str">
        <f>A35&amp;C35</f>
        <v>1503cskill</v>
      </c>
      <c r="E35" s="138" t="str">
        <f>A35&amp;+(COUNTIF(A35:A$100,A35)-1)</f>
        <v>15031</v>
      </c>
      <c r="F35" s="105" t="s">
        <v>185</v>
      </c>
      <c r="G35" s="162" t="s">
        <v>196</v>
      </c>
      <c r="H35" s="162" t="s">
        <v>400</v>
      </c>
    </row>
    <row r="36" spans="1:8" x14ac:dyDescent="0.15">
      <c r="A36" s="105">
        <v>1503</v>
      </c>
      <c r="B36" s="138" t="str">
        <f>VLOOKUP(A36,[1]characters!$A:$C,3,FALSE)</f>
        <v>春纏う蛇撫子 ヨルムンガンド</v>
      </c>
      <c r="C36" s="105" t="s">
        <v>198</v>
      </c>
      <c r="D36" s="138" t="str">
        <f>A36&amp;C36</f>
        <v>1503cskill</v>
      </c>
      <c r="E36" s="138" t="str">
        <f>A36&amp;+(COUNTIF(A36:A$100,A36)-1)</f>
        <v>15030</v>
      </c>
      <c r="F36" s="105" t="s">
        <v>185</v>
      </c>
      <c r="G36" s="162" t="s">
        <v>379</v>
      </c>
      <c r="H36" s="162" t="s">
        <v>401</v>
      </c>
    </row>
    <row r="37" spans="1:8" x14ac:dyDescent="0.15">
      <c r="A37" s="105">
        <v>1495</v>
      </c>
      <c r="B37" s="138" t="str">
        <f>VLOOKUP(A37,[1]characters!$A:$C,3,FALSE)</f>
        <v>桜乱の武奏術 牛若丸</v>
      </c>
      <c r="C37" s="105" t="s">
        <v>195</v>
      </c>
      <c r="D37" s="138" t="str">
        <f t="shared" ref="D37" si="8">A37&amp;C37</f>
        <v>1495skill</v>
      </c>
      <c r="E37" s="138" t="str">
        <f>A37&amp;+(COUNTIF(A37:A$100,A37)-1)</f>
        <v>14954</v>
      </c>
      <c r="F37" s="105" t="s">
        <v>185</v>
      </c>
      <c r="G37" s="162" t="s">
        <v>196</v>
      </c>
      <c r="H37" s="162" t="s">
        <v>389</v>
      </c>
    </row>
    <row r="38" spans="1:8" x14ac:dyDescent="0.15">
      <c r="A38" s="105">
        <v>1495</v>
      </c>
      <c r="B38" s="138" t="str">
        <f>VLOOKUP(A38,[1]characters!$A:$C,3,FALSE)</f>
        <v>桜乱の武奏術 牛若丸</v>
      </c>
      <c r="C38" s="105" t="s">
        <v>198</v>
      </c>
      <c r="D38" s="138" t="str">
        <f>A38&amp;C38</f>
        <v>1495cskill</v>
      </c>
      <c r="E38" s="138" t="str">
        <f>A38&amp;+(COUNTIF(A38:A$100,A38)-1)</f>
        <v>14953</v>
      </c>
      <c r="F38" s="105" t="s">
        <v>185</v>
      </c>
      <c r="G38" s="162" t="s">
        <v>196</v>
      </c>
      <c r="H38" s="162" t="s">
        <v>390</v>
      </c>
    </row>
    <row r="39" spans="1:8" x14ac:dyDescent="0.15">
      <c r="A39" s="105">
        <v>1495</v>
      </c>
      <c r="B39" s="138" t="str">
        <f>VLOOKUP(A39,[1]characters!$A:$C,3,FALSE)</f>
        <v>桜乱の武奏術 牛若丸</v>
      </c>
      <c r="C39" s="105" t="s">
        <v>198</v>
      </c>
      <c r="D39" s="138" t="str">
        <f>A39&amp;C39</f>
        <v>1495cskill</v>
      </c>
      <c r="E39" s="138" t="str">
        <f>A39&amp;+(COUNTIF(A39:A$100,A39)-1)</f>
        <v>14952</v>
      </c>
      <c r="F39" s="105" t="s">
        <v>185</v>
      </c>
      <c r="G39" s="162" t="s">
        <v>196</v>
      </c>
      <c r="H39" s="162" t="s">
        <v>391</v>
      </c>
    </row>
    <row r="40" spans="1:8" x14ac:dyDescent="0.15">
      <c r="A40" s="105">
        <v>1495</v>
      </c>
      <c r="B40" s="138" t="str">
        <f>VLOOKUP(A40,[1]characters!$A:$C,3,FALSE)</f>
        <v>桜乱の武奏術 牛若丸</v>
      </c>
      <c r="C40" s="105" t="s">
        <v>198</v>
      </c>
      <c r="D40" s="138" t="str">
        <f>A40&amp;C40</f>
        <v>1495cskill</v>
      </c>
      <c r="E40" s="138" t="str">
        <f>A40&amp;+(COUNTIF(A40:A$100,A40)-1)</f>
        <v>14951</v>
      </c>
      <c r="F40" s="105" t="s">
        <v>185</v>
      </c>
      <c r="G40" s="162" t="s">
        <v>196</v>
      </c>
      <c r="H40" s="162" t="s">
        <v>392</v>
      </c>
    </row>
    <row r="41" spans="1:8" x14ac:dyDescent="0.15">
      <c r="A41" s="105">
        <v>1495</v>
      </c>
      <c r="B41" s="138" t="str">
        <f>VLOOKUP(A41,[1]characters!$A:$C,3,FALSE)</f>
        <v>桜乱の武奏術 牛若丸</v>
      </c>
      <c r="C41" s="105" t="s">
        <v>198</v>
      </c>
      <c r="D41" s="138" t="str">
        <f>A41&amp;C41</f>
        <v>1495cskill</v>
      </c>
      <c r="E41" s="138" t="str">
        <f>A41&amp;+(COUNTIF(A41:A$100,A41)-1)</f>
        <v>14950</v>
      </c>
      <c r="F41" s="105" t="s">
        <v>185</v>
      </c>
      <c r="G41" s="162" t="s">
        <v>379</v>
      </c>
      <c r="H41" s="162" t="s">
        <v>393</v>
      </c>
    </row>
    <row r="42" spans="1:8" x14ac:dyDescent="0.15">
      <c r="A42" s="105">
        <v>1496</v>
      </c>
      <c r="B42" s="138" t="str">
        <f>VLOOKUP(A42,[1]characters!$A:$C,3,FALSE)</f>
        <v>晴眼桜花一文字 沖田総司</v>
      </c>
      <c r="C42" s="105" t="s">
        <v>195</v>
      </c>
      <c r="D42" s="138" t="str">
        <f t="shared" ref="D42" si="9">A42&amp;C42</f>
        <v>1496skill</v>
      </c>
      <c r="E42" s="138" t="str">
        <f>A42&amp;+(COUNTIF(A42:A$100,A42)-1)</f>
        <v>14964</v>
      </c>
      <c r="F42" s="105" t="s">
        <v>185</v>
      </c>
      <c r="G42" s="162" t="s">
        <v>377</v>
      </c>
      <c r="H42" s="162" t="s">
        <v>378</v>
      </c>
    </row>
    <row r="43" spans="1:8" x14ac:dyDescent="0.15">
      <c r="A43" s="105">
        <v>1496</v>
      </c>
      <c r="B43" s="138" t="str">
        <f>VLOOKUP(A43,[1]characters!$A:$C,3,FALSE)</f>
        <v>晴眼桜花一文字 沖田総司</v>
      </c>
      <c r="C43" s="105" t="s">
        <v>198</v>
      </c>
      <c r="D43" s="138" t="str">
        <f>A43&amp;C43</f>
        <v>1496cskill</v>
      </c>
      <c r="E43" s="138" t="str">
        <f>A43&amp;+(COUNTIF(A43:A$100,A43)-1)</f>
        <v>14963</v>
      </c>
      <c r="F43" s="105" t="s">
        <v>185</v>
      </c>
      <c r="G43" s="162" t="s">
        <v>379</v>
      </c>
      <c r="H43" s="162" t="s">
        <v>380</v>
      </c>
    </row>
    <row r="44" spans="1:8" x14ac:dyDescent="0.15">
      <c r="A44" s="105">
        <v>1496</v>
      </c>
      <c r="B44" s="138" t="str">
        <f>VLOOKUP(A44,[1]characters!$A:$C,3,FALSE)</f>
        <v>晴眼桜花一文字 沖田総司</v>
      </c>
      <c r="C44" s="105" t="s">
        <v>198</v>
      </c>
      <c r="D44" s="138" t="str">
        <f>A44&amp;C44</f>
        <v>1496cskill</v>
      </c>
      <c r="E44" s="138" t="str">
        <f>A44&amp;+(COUNTIF(A44:A$100,A44)-1)</f>
        <v>14962</v>
      </c>
      <c r="F44" s="105" t="s">
        <v>185</v>
      </c>
      <c r="G44" s="162" t="s">
        <v>196</v>
      </c>
      <c r="H44" s="162" t="s">
        <v>381</v>
      </c>
    </row>
    <row r="45" spans="1:8" x14ac:dyDescent="0.15">
      <c r="A45" s="105">
        <v>1496</v>
      </c>
      <c r="B45" s="138" t="str">
        <f>VLOOKUP(A45,[1]characters!$A:$C,3,FALSE)</f>
        <v>晴眼桜花一文字 沖田総司</v>
      </c>
      <c r="C45" s="105" t="s">
        <v>198</v>
      </c>
      <c r="D45" s="138" t="str">
        <f>A45&amp;C45</f>
        <v>1496cskill</v>
      </c>
      <c r="E45" s="138" t="str">
        <f>A45&amp;+(COUNTIF(A45:A$100,A45)-1)</f>
        <v>14961</v>
      </c>
      <c r="F45" s="105" t="s">
        <v>185</v>
      </c>
      <c r="G45" s="162" t="s">
        <v>196</v>
      </c>
      <c r="H45" s="162" t="s">
        <v>382</v>
      </c>
    </row>
    <row r="46" spans="1:8" x14ac:dyDescent="0.15">
      <c r="A46" s="105">
        <v>1496</v>
      </c>
      <c r="B46" s="138" t="str">
        <f>VLOOKUP(A46,[1]characters!$A:$C,3,FALSE)</f>
        <v>晴眼桜花一文字 沖田総司</v>
      </c>
      <c r="C46" s="105" t="s">
        <v>198</v>
      </c>
      <c r="D46" s="138" t="str">
        <f>A46&amp;C46</f>
        <v>1496cskill</v>
      </c>
      <c r="E46" s="138" t="str">
        <f>A46&amp;+(COUNTIF(A46:A$100,A46)-1)</f>
        <v>14960</v>
      </c>
      <c r="F46" s="105" t="s">
        <v>185</v>
      </c>
      <c r="G46" s="162" t="s">
        <v>196</v>
      </c>
      <c r="H46" s="162" t="s">
        <v>383</v>
      </c>
    </row>
    <row r="47" spans="1:8" x14ac:dyDescent="0.15">
      <c r="A47" s="105">
        <v>1501</v>
      </c>
      <c r="B47" s="138" t="str">
        <f>VLOOKUP(A47,[1]characters!$A:$C,3,FALSE)</f>
        <v>晴舞台の桜舞 ドガ</v>
      </c>
      <c r="C47" s="105" t="s">
        <v>195</v>
      </c>
      <c r="D47" s="138" t="str">
        <f t="shared" ref="D47" si="10">A47&amp;C47</f>
        <v>1501skill</v>
      </c>
      <c r="E47" s="138" t="str">
        <f>A47&amp;+(COUNTIF(A47:A$100,A47)-1)</f>
        <v>15014</v>
      </c>
      <c r="F47" s="105" t="s">
        <v>185</v>
      </c>
      <c r="G47" s="162" t="s">
        <v>196</v>
      </c>
      <c r="H47" s="162" t="s">
        <v>384</v>
      </c>
    </row>
    <row r="48" spans="1:8" x14ac:dyDescent="0.15">
      <c r="A48" s="105">
        <v>1501</v>
      </c>
      <c r="B48" s="138" t="str">
        <f>VLOOKUP(A48,[1]characters!$A:$C,3,FALSE)</f>
        <v>晴舞台の桜舞 ドガ</v>
      </c>
      <c r="C48" s="105" t="s">
        <v>198</v>
      </c>
      <c r="D48" s="138" t="str">
        <f>A48&amp;C48</f>
        <v>1501cskill</v>
      </c>
      <c r="E48" s="138" t="str">
        <f>A48&amp;+(COUNTIF(A48:A$100,A48)-1)</f>
        <v>15013</v>
      </c>
      <c r="F48" s="105" t="s">
        <v>185</v>
      </c>
      <c r="G48" s="162" t="s">
        <v>196</v>
      </c>
      <c r="H48" s="162" t="s">
        <v>385</v>
      </c>
    </row>
    <row r="49" spans="1:8" x14ac:dyDescent="0.15">
      <c r="A49" s="105">
        <v>1501</v>
      </c>
      <c r="B49" s="138" t="str">
        <f>VLOOKUP(A49,[1]characters!$A:$C,3,FALSE)</f>
        <v>晴舞台の桜舞 ドガ</v>
      </c>
      <c r="C49" s="105" t="s">
        <v>198</v>
      </c>
      <c r="D49" s="138" t="str">
        <f>A49&amp;C49</f>
        <v>1501cskill</v>
      </c>
      <c r="E49" s="138" t="str">
        <f>A49&amp;+(COUNTIF(A49:A$100,A49)-1)</f>
        <v>15012</v>
      </c>
      <c r="F49" s="105" t="s">
        <v>185</v>
      </c>
      <c r="G49" s="162" t="s">
        <v>196</v>
      </c>
      <c r="H49" s="162" t="s">
        <v>386</v>
      </c>
    </row>
    <row r="50" spans="1:8" x14ac:dyDescent="0.15">
      <c r="A50" s="105">
        <v>1501</v>
      </c>
      <c r="B50" s="138" t="str">
        <f>VLOOKUP(A50,[1]characters!$A:$C,3,FALSE)</f>
        <v>晴舞台の桜舞 ドガ</v>
      </c>
      <c r="C50" s="105" t="s">
        <v>198</v>
      </c>
      <c r="D50" s="138" t="str">
        <f>A50&amp;C50</f>
        <v>1501cskill</v>
      </c>
      <c r="E50" s="138" t="str">
        <f>A50&amp;+(COUNTIF(A50:A$100,A50)-1)</f>
        <v>15011</v>
      </c>
      <c r="F50" s="105" t="s">
        <v>185</v>
      </c>
      <c r="G50" s="162" t="s">
        <v>379</v>
      </c>
      <c r="H50" s="162" t="s">
        <v>387</v>
      </c>
    </row>
    <row r="51" spans="1:8" x14ac:dyDescent="0.15">
      <c r="A51" s="105">
        <v>1501</v>
      </c>
      <c r="B51" s="138" t="str">
        <f>VLOOKUP(A51,[1]characters!$A:$C,3,FALSE)</f>
        <v>晴舞台の桜舞 ドガ</v>
      </c>
      <c r="C51" s="105" t="s">
        <v>198</v>
      </c>
      <c r="D51" s="138" t="str">
        <f>A51&amp;C51</f>
        <v>1501cskill</v>
      </c>
      <c r="E51" s="138" t="str">
        <f>A51&amp;+(COUNTIF(A51:A$100,A51)-1)</f>
        <v>15010</v>
      </c>
      <c r="F51" s="105" t="s">
        <v>185</v>
      </c>
      <c r="G51" s="162" t="s">
        <v>196</v>
      </c>
      <c r="H51" s="162" t="s">
        <v>388</v>
      </c>
    </row>
  </sheetData>
  <phoneticPr fontId="22"/>
  <dataValidations count="2">
    <dataValidation type="list" allowBlank="1" showInputMessage="1" showErrorMessage="1" sqref="G2:G51">
      <formula1>"maru,giza,kumo"</formula1>
    </dataValidation>
    <dataValidation type="list" allowBlank="1" showInputMessage="1" showErrorMessage="1" sqref="C2:C5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4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Q5" sqref="Q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1497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ヨシノ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1498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咲誇る夢見草 ヨシノ</v>
      </c>
      <c r="S2" s="5">
        <f ca="1">IF(ISNA(MATCH(A2,Q:Q,0)),A2,INDIRECT(ADDRESS(MATCH(A2,Q:Q,0),COLUMN())))</f>
        <v>1497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ヨシノ</v>
      </c>
      <c r="U2" s="10">
        <f ca="1">IF(Q2="NULL","NULL",VLOOKUP(G2,[3]ビット!$A$2:$B$7,2))</f>
        <v>200000</v>
      </c>
    </row>
    <row r="3" spans="1:21" ht="21" customHeight="1" x14ac:dyDescent="0.15">
      <c r="A3" s="191">
        <v>1499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コノハナサクヤ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samurai</v>
      </c>
      <c r="K3" s="5" t="str">
        <f ca="1">VLOOKUP(J3,[1]character_tribe_i18n!$A:$H,3,FALSE)</f>
        <v>サムライ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1500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櫻歌する開華 コノハナサクヤ</v>
      </c>
      <c r="S3" s="5">
        <f ca="1">IF(ISNA(MATCH(A3,Q:Q,0)),A3,INDIRECT(ADDRESS(MATCH(A3,Q:Q,0),COLUMN())))</f>
        <v>1499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コノハナサクヤ</v>
      </c>
      <c r="U3" s="10">
        <f ca="1">IF(Q3="NULL","NULL",VLOOKUP(G3,[3]ビット!$A$2:$B$7,2))</f>
        <v>200000</v>
      </c>
    </row>
    <row r="4" spans="1:21" ht="21" customHeight="1" x14ac:dyDescent="0.15">
      <c r="A4" s="191">
        <v>1431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センコ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animal</v>
      </c>
      <c r="K4" s="5" t="str">
        <f ca="1">VLOOKUP(J4,[1]character_tribe_i18n!$A:$H,3,FALSE)</f>
        <v>アニマル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1432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華宴の千年狐 センコ</v>
      </c>
      <c r="S4" s="5">
        <f ca="1">IF(ISNA(MATCH(A4,Q:Q,0)),A4,INDIRECT(ADDRESS(MATCH(A4,Q:Q,0),COLUMN())))</f>
        <v>1431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センコ</v>
      </c>
      <c r="U4" s="10">
        <f ca="1">IF(Q4="NULL","NULL",VLOOKUP(G4,[3]ビット!$A$2:$B$7,2))</f>
        <v>200000</v>
      </c>
    </row>
  </sheetData>
  <autoFilter ref="A1:U2"/>
  <phoneticPr fontId="22"/>
  <conditionalFormatting sqref="W1:W2 W5:W1048576">
    <cfRule type="cellIs" dxfId="26" priority="8" operator="equal">
      <formula>"FALSE"</formula>
    </cfRule>
  </conditionalFormatting>
  <conditionalFormatting sqref="W3">
    <cfRule type="cellIs" dxfId="25" priority="2" operator="equal">
      <formula>"FALSE"</formula>
    </cfRule>
  </conditionalFormatting>
  <conditionalFormatting sqref="W4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3"/>
  <sheetViews>
    <sheetView showGridLines="0" topLeftCell="B1" workbookViewId="0">
      <pane ySplit="1" topLeftCell="A2" activePane="bottomLeft" state="frozen"/>
      <selection pane="bottomLeft" activeCell="M5" sqref="M5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9" si="0">B2&amp;"_"&amp;I2</f>
        <v>1497_112</v>
      </c>
      <c r="B2" s="195">
        <v>1497</v>
      </c>
      <c r="C2" s="178">
        <f t="shared" ref="C2:C9" si="1">B2</f>
        <v>1497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ヨシノ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1498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咲誇る夢見草 ヨシノ</v>
      </c>
      <c r="I2" s="194">
        <v>112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水のマッドハッター</v>
      </c>
      <c r="K2" s="192">
        <v>1</v>
      </c>
      <c r="L2" s="193">
        <v>1</v>
      </c>
      <c r="M2" s="193">
        <v>10</v>
      </c>
      <c r="N2" s="2" t="s">
        <v>290</v>
      </c>
    </row>
    <row r="3" spans="1:14" ht="21" customHeight="1" x14ac:dyDescent="0.15">
      <c r="A3" s="61" t="str">
        <f t="shared" si="0"/>
        <v>1497_1236</v>
      </c>
      <c r="B3" s="195">
        <v>1497</v>
      </c>
      <c r="C3" s="178">
        <f t="shared" si="1"/>
        <v>1497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ヨシノ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1498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咲誇る夢見草 ヨシノ</v>
      </c>
      <c r="I3" s="194">
        <v>1236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千利休</v>
      </c>
      <c r="K3" s="192">
        <v>1</v>
      </c>
      <c r="L3" s="193">
        <v>2</v>
      </c>
      <c r="M3" s="193">
        <v>100</v>
      </c>
      <c r="N3" s="2" t="s">
        <v>290</v>
      </c>
    </row>
    <row r="4" spans="1:14" ht="21" customHeight="1" x14ac:dyDescent="0.15">
      <c r="A4" s="61" t="str">
        <f t="shared" si="0"/>
        <v>1497_931</v>
      </c>
      <c r="B4" s="195">
        <v>1497</v>
      </c>
      <c r="C4" s="178">
        <f t="shared" si="1"/>
        <v>1497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ヨシノ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1498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咲誇る夢見草 ヨシノ</v>
      </c>
      <c r="I4" s="194">
        <v>931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ネルソン</v>
      </c>
      <c r="K4" s="192">
        <v>1</v>
      </c>
      <c r="L4" s="193">
        <v>3</v>
      </c>
      <c r="M4" s="193">
        <v>100</v>
      </c>
      <c r="N4" s="2" t="s">
        <v>290</v>
      </c>
    </row>
    <row r="5" spans="1:14" ht="21" customHeight="1" x14ac:dyDescent="0.15">
      <c r="A5" s="61" t="str">
        <f t="shared" si="0"/>
        <v>1497_837</v>
      </c>
      <c r="B5" s="195">
        <v>1497</v>
      </c>
      <c r="C5" s="178">
        <f t="shared" si="1"/>
        <v>1497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ヨシノ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1498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咲誇る夢見草 ヨシノ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290</v>
      </c>
    </row>
    <row r="6" spans="1:14" ht="21" customHeight="1" x14ac:dyDescent="0.15">
      <c r="A6" s="61" t="str">
        <f t="shared" si="0"/>
        <v>1499_115</v>
      </c>
      <c r="B6" s="195">
        <v>1499</v>
      </c>
      <c r="C6" s="178">
        <f t="shared" si="1"/>
        <v>1499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コノハナサクヤ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</v>
      </c>
      <c r="G6" s="195">
        <v>1500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櫻歌する開華 コノハナサクヤ</v>
      </c>
      <c r="I6" s="194">
        <v>115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イエローキャタップ</v>
      </c>
      <c r="K6" s="192">
        <v>1</v>
      </c>
      <c r="L6" s="193">
        <v>1</v>
      </c>
      <c r="M6" s="193">
        <v>10</v>
      </c>
      <c r="N6" s="2" t="s">
        <v>290</v>
      </c>
    </row>
    <row r="7" spans="1:14" ht="21" customHeight="1" x14ac:dyDescent="0.15">
      <c r="A7" s="61" t="str">
        <f t="shared" si="0"/>
        <v>1499_114</v>
      </c>
      <c r="B7" s="195">
        <v>1499</v>
      </c>
      <c r="C7" s="178">
        <f t="shared" si="1"/>
        <v>1499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コノハナサクヤ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</v>
      </c>
      <c r="G7" s="195">
        <v>1500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櫻歌する開華 コノハナサクヤ</v>
      </c>
      <c r="I7" s="194">
        <v>114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イエローラビット</v>
      </c>
      <c r="K7" s="192">
        <v>1</v>
      </c>
      <c r="L7" s="193">
        <v>1</v>
      </c>
      <c r="M7" s="193">
        <v>10</v>
      </c>
      <c r="N7" s="2" t="s">
        <v>290</v>
      </c>
    </row>
    <row r="8" spans="1:14" ht="21" customHeight="1" x14ac:dyDescent="0.15">
      <c r="A8" s="61" t="str">
        <f t="shared" si="0"/>
        <v>1499_359</v>
      </c>
      <c r="B8" s="195">
        <v>1499</v>
      </c>
      <c r="C8" s="178">
        <f t="shared" si="1"/>
        <v>1499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コノハナサクヤ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</v>
      </c>
      <c r="G8" s="195">
        <v>1500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櫻歌する開華 コノハナサクヤ</v>
      </c>
      <c r="I8" s="194">
        <v>359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醒電の眠りネズミ</v>
      </c>
      <c r="K8" s="192">
        <v>1</v>
      </c>
      <c r="L8" s="193">
        <v>1</v>
      </c>
      <c r="M8" s="193">
        <v>10</v>
      </c>
      <c r="N8" s="2" t="s">
        <v>290</v>
      </c>
    </row>
    <row r="9" spans="1:14" ht="21" customHeight="1" x14ac:dyDescent="0.15">
      <c r="A9" s="61" t="str">
        <f t="shared" si="0"/>
        <v>1499_837</v>
      </c>
      <c r="B9" s="195">
        <v>1499</v>
      </c>
      <c r="C9" s="178">
        <f t="shared" si="1"/>
        <v>1499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コノハナサクヤ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</v>
      </c>
      <c r="G9" s="195">
        <v>1500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櫻歌する開華 コノハナサクヤ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290</v>
      </c>
    </row>
    <row r="10" spans="1:14" ht="21" customHeight="1" x14ac:dyDescent="0.15">
      <c r="A10" s="61" t="str">
        <f t="shared" ref="A10:A13" si="2">B10&amp;"_"&amp;I10</f>
        <v>1431_115</v>
      </c>
      <c r="B10" s="195">
        <v>1431</v>
      </c>
      <c r="C10" s="178">
        <f t="shared" ref="C10:C13" si="3">B10</f>
        <v>1431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センコ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</v>
      </c>
      <c r="G10" s="195">
        <v>1432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華宴の千年狐 センコ</v>
      </c>
      <c r="I10" s="194">
        <v>115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イエローキャタップ</v>
      </c>
      <c r="K10" s="192">
        <v>1</v>
      </c>
      <c r="L10" s="193">
        <v>1</v>
      </c>
      <c r="M10" s="193">
        <v>10</v>
      </c>
      <c r="N10" s="2" t="s">
        <v>290</v>
      </c>
    </row>
    <row r="11" spans="1:14" ht="21" customHeight="1" x14ac:dyDescent="0.15">
      <c r="A11" s="61" t="str">
        <f t="shared" si="2"/>
        <v>1431_114</v>
      </c>
      <c r="B11" s="195">
        <v>1431</v>
      </c>
      <c r="C11" s="178">
        <f t="shared" si="3"/>
        <v>1431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センコ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</v>
      </c>
      <c r="G11" s="195">
        <v>1432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華宴の千年狐 センコ</v>
      </c>
      <c r="I11" s="194">
        <v>114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イエローラビット</v>
      </c>
      <c r="K11" s="192">
        <v>1</v>
      </c>
      <c r="L11" s="193">
        <v>1</v>
      </c>
      <c r="M11" s="193">
        <v>10</v>
      </c>
      <c r="N11" s="2" t="s">
        <v>290</v>
      </c>
    </row>
    <row r="12" spans="1:14" ht="21" customHeight="1" x14ac:dyDescent="0.15">
      <c r="A12" s="61" t="str">
        <f t="shared" si="2"/>
        <v>1431_359</v>
      </c>
      <c r="B12" s="195">
        <v>1431</v>
      </c>
      <c r="C12" s="178">
        <f t="shared" si="3"/>
        <v>1431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センコ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PremiumSS</v>
      </c>
      <c r="G12" s="195">
        <v>1432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華宴の千年狐 センコ</v>
      </c>
      <c r="I12" s="194">
        <v>359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醒電の眠りネズミ</v>
      </c>
      <c r="K12" s="192">
        <v>1</v>
      </c>
      <c r="L12" s="193">
        <v>1</v>
      </c>
      <c r="M12" s="193">
        <v>10</v>
      </c>
      <c r="N12" s="2" t="s">
        <v>290</v>
      </c>
    </row>
    <row r="13" spans="1:14" ht="21" customHeight="1" x14ac:dyDescent="0.15">
      <c r="A13" s="61" t="str">
        <f t="shared" si="2"/>
        <v>1431_837</v>
      </c>
      <c r="B13" s="195">
        <v>1431</v>
      </c>
      <c r="C13" s="178">
        <f t="shared" si="3"/>
        <v>1431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センコ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PremiumSS</v>
      </c>
      <c r="G13" s="195">
        <v>1432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華宴の千年狐 センコ</v>
      </c>
      <c r="I13" s="194">
        <v>837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92">
        <v>1</v>
      </c>
      <c r="L13" s="193">
        <v>1</v>
      </c>
      <c r="M13" s="193">
        <v>1000</v>
      </c>
      <c r="N13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4"/>
  <sheetViews>
    <sheetView workbookViewId="0">
      <selection activeCell="G6" sqref="G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344</v>
      </c>
      <c r="B1" s="115" t="s">
        <v>181</v>
      </c>
      <c r="C1" s="116" t="s">
        <v>40</v>
      </c>
      <c r="D1" s="117" t="s">
        <v>163</v>
      </c>
      <c r="E1" s="117" t="s">
        <v>345</v>
      </c>
      <c r="F1" s="117" t="s">
        <v>346</v>
      </c>
      <c r="G1" s="117" t="s">
        <v>347</v>
      </c>
      <c r="H1" s="117" t="s">
        <v>348</v>
      </c>
      <c r="I1" s="173" t="s">
        <v>349</v>
      </c>
      <c r="J1" s="117" t="s">
        <v>350</v>
      </c>
      <c r="K1" s="168" t="s">
        <v>351</v>
      </c>
    </row>
    <row r="2" spans="1:11" ht="56" x14ac:dyDescent="0.15">
      <c r="A2" s="62">
        <v>143201</v>
      </c>
      <c r="B2" s="169" t="s">
        <v>185</v>
      </c>
      <c r="C2" s="198" t="s">
        <v>420</v>
      </c>
      <c r="D2" s="198" t="s">
        <v>419</v>
      </c>
      <c r="E2" s="198" t="s">
        <v>341</v>
      </c>
      <c r="F2" s="199" t="s">
        <v>416</v>
      </c>
      <c r="G2" s="200" t="s">
        <v>423</v>
      </c>
      <c r="H2" s="198" t="s">
        <v>342</v>
      </c>
      <c r="I2" s="201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{"ver":"1.7.0","type":"ability","effects":"[effect:damage_up, target:myself, val:2.0, turn:1, type01:all, option:killer]","conditions":"[condition:enclose,[condition:quest_id,quest:47012],[condition:unit_attack_target],logic:and]","priority":0}</v>
      </c>
      <c r="J2" s="198" t="s">
        <v>343</v>
      </c>
      <c r="K2" s="203">
        <v>3</v>
      </c>
    </row>
    <row r="3" spans="1:11" ht="56" x14ac:dyDescent="0.15">
      <c r="A3" s="62">
        <v>149501</v>
      </c>
      <c r="B3" s="169" t="s">
        <v>185</v>
      </c>
      <c r="C3" s="198" t="s">
        <v>352</v>
      </c>
      <c r="D3" s="198" t="s">
        <v>353</v>
      </c>
      <c r="E3" s="198" t="s">
        <v>341</v>
      </c>
      <c r="F3" s="199" t="s">
        <v>417</v>
      </c>
      <c r="G3" s="200" t="s">
        <v>415</v>
      </c>
      <c r="H3" s="198" t="s">
        <v>342</v>
      </c>
      <c r="I3" s="201" t="str">
        <f t="shared" ref="I3" si="0">"{"&amp;""""&amp;$E$1&amp;""""&amp;":"&amp;""""&amp;E3&amp;""""&amp;","&amp;""""&amp;"type"&amp;""""&amp;":"&amp;""""&amp;"ability"&amp;""""&amp;","&amp;""""&amp;$G$1&amp;""""&amp;":"&amp;""""&amp;G3&amp;""""&amp;","&amp;""""&amp;$F$1&amp;""""&amp;":"&amp;""""&amp;F3&amp;""""&amp;","&amp;""""&amp;$H$1&amp;""""&amp;":"&amp;H3&amp;"}"</f>
        <v>{"ver":"1.7.0","type":"ability","effects":"[effect:damage_up, target:myself, val:1.5, turn:1, type01:all, option:killer]","conditions":"[condition:enclose,[condition:quest_id,quest:47012],[condition:unit_attack_target],logic:and]","priority":0}</v>
      </c>
      <c r="J3" s="198" t="s">
        <v>343</v>
      </c>
      <c r="K3" s="203">
        <v>3</v>
      </c>
    </row>
    <row r="4" spans="1:11" ht="56" x14ac:dyDescent="0.15">
      <c r="A4" s="62">
        <v>150001</v>
      </c>
      <c r="B4" s="169" t="s">
        <v>185</v>
      </c>
      <c r="C4" s="198" t="s">
        <v>352</v>
      </c>
      <c r="D4" s="198" t="s">
        <v>422</v>
      </c>
      <c r="E4" s="198" t="s">
        <v>341</v>
      </c>
      <c r="F4" s="199" t="s">
        <v>418</v>
      </c>
      <c r="G4" s="200" t="s">
        <v>414</v>
      </c>
      <c r="H4" s="198" t="s">
        <v>342</v>
      </c>
      <c r="I4" s="201" t="str">
        <f t="shared" ref="I4" si="1">"{"&amp;""""&amp;$E$1&amp;""""&amp;":"&amp;""""&amp;E4&amp;""""&amp;","&amp;""""&amp;"type"&amp;""""&amp;":"&amp;""""&amp;"ability"&amp;""""&amp;","&amp;""""&amp;$G$1&amp;""""&amp;":"&amp;""""&amp;G4&amp;""""&amp;","&amp;""""&amp;$F$1&amp;""""&amp;":"&amp;""""&amp;F4&amp;""""&amp;","&amp;""""&amp;$H$1&amp;""""&amp;":"&amp;H4&amp;"}"</f>
        <v>{"ver":"1.7.0","type":"ability","effects":"[effect:damage_up, target:myself, val:2.3, turn:1, type01:all, option:killer]","conditions":"[condition:enclose,[condition:quest_id,quest:47012],[condition:unit_attack_target],logic:and]","priority":0}</v>
      </c>
      <c r="J4" s="198" t="s">
        <v>343</v>
      </c>
      <c r="K4" s="203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5"/>
  <sheetViews>
    <sheetView workbookViewId="0">
      <selection activeCell="B4" sqref="B4"/>
    </sheetView>
  </sheetViews>
  <sheetFormatPr baseColWidth="12" defaultRowHeight="15" x14ac:dyDescent="0.15"/>
  <cols>
    <col min="2" max="2" width="22.1640625" bestFit="1" customWidth="1"/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1498</v>
      </c>
      <c r="B2" s="172" t="str">
        <f>VLOOKUP(A2,[1]characters!$A:$C,3)</f>
        <v>咲誇る夢見草 ヨシノ</v>
      </c>
      <c r="C2" s="196">
        <v>1</v>
      </c>
      <c r="D2" s="196">
        <v>100</v>
      </c>
      <c r="E2" s="173" t="str">
        <f>IF(ISERROR(VLOOKUP(D2,[4]abilities!A:D,3,FALSE))=FALSE,VLOOKUP(D2,[4]abilities!A:D,3),IF(ISERROR(VLOOKUP(D2,abilities!A:D,3,FALSE))=FALSE,VLOOKUP(D2,abilities!A:D,3),"なし"))</f>
        <v>プロテクトブレイク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自身が先頭の時、プロテクトを無視してパネル破壊できる</v>
      </c>
      <c r="G2" s="174" t="s">
        <v>274</v>
      </c>
      <c r="H2" s="197" t="s">
        <v>328</v>
      </c>
    </row>
    <row r="3" spans="1:8" s="4" customFormat="1" ht="21" customHeight="1" x14ac:dyDescent="0.15">
      <c r="A3" s="169">
        <v>1498</v>
      </c>
      <c r="B3" s="172" t="str">
        <f>VLOOKUP(A3,[1]characters!$A:$C,3)</f>
        <v>咲誇る夢見草 ヨシノ</v>
      </c>
      <c r="C3" s="196">
        <v>2</v>
      </c>
      <c r="D3" s="196">
        <v>3101</v>
      </c>
      <c r="E3" s="173" t="str">
        <f>IF(ISERROR(VLOOKUP(D3,[4]abilities!A:D,3,FALSE))=FALSE,VLOOKUP(D3,[4]abilities!A:D,3),IF(ISERROR(VLOOKUP(D3,abilities!A:D,3,FALSE))=FALSE,VLOOKUP(D3,abilities!A:D,3),"なし"))</f>
        <v>ボスフロア時 バリア3000</v>
      </c>
      <c r="F3" s="173" t="str">
        <f>IF(ISERROR(VLOOKUP(D3,[4]abilities!A:D,4,FALSE))=FALSE,VLOOKUP(D3,[4]abilities!A:D,4),IF(ISERROR(VLOOKUP(D3,abilities!A:D,4,FALSE))=FALSE,VLOOKUP(D3,abilities!A:D,4),"なし"))</f>
        <v>ボスフロア到達時に自身への直接ダメージを3000まで防ぐバリアを一度だけ展開(バリアは破壊されると復活しない)</v>
      </c>
      <c r="G3" s="174" t="s">
        <v>274</v>
      </c>
      <c r="H3" s="197" t="s">
        <v>450</v>
      </c>
    </row>
    <row r="4" spans="1:8" s="4" customFormat="1" ht="21" customHeight="1" x14ac:dyDescent="0.15">
      <c r="A4" s="169">
        <v>1500</v>
      </c>
      <c r="B4" s="172" t="str">
        <f>VLOOKUP(A4,[1]characters!$A:$C,3)</f>
        <v>櫻歌する開華 コノハナサクヤ</v>
      </c>
      <c r="C4" s="196">
        <v>1</v>
      </c>
      <c r="D4" s="196">
        <v>203</v>
      </c>
      <c r="E4" s="173" t="str">
        <f>IF(ISERROR(VLOOKUP(D4,[4]abilities!A:D,3,FALSE))=FALSE,VLOOKUP(D4,[4]abilities!A:D,3),IF(ISERROR(VLOOKUP(D4,abilities!A:D,3,FALSE))=FALSE,VLOOKUP(D4,abilities!A:D,3),"なし"))</f>
        <v>爆風軽減無効</v>
      </c>
      <c r="F4" s="173" t="str">
        <f>IF(ISERROR(VLOOKUP(D4,[4]abilities!A:D,4,FALSE))=FALSE,VLOOKUP(D4,[4]abilities!A:D,4),IF(ISERROR(VLOOKUP(D4,abilities!A:D,4,FALSE))=FALSE,VLOOKUP(D4,abilities!A:D,4),"なし"))</f>
        <v>自身が先頭の時、爆風軽減を無効化する</v>
      </c>
      <c r="G4" s="174" t="s">
        <v>274</v>
      </c>
      <c r="H4" s="197" t="s">
        <v>328</v>
      </c>
    </row>
    <row r="5" spans="1:8" s="4" customFormat="1" ht="21" customHeight="1" x14ac:dyDescent="0.15">
      <c r="A5" s="169">
        <v>1500</v>
      </c>
      <c r="B5" s="172" t="str">
        <f>VLOOKUP(A5,[1]characters!$A:$C,3)</f>
        <v>櫻歌する開華 コノハナサクヤ</v>
      </c>
      <c r="C5" s="196">
        <v>2</v>
      </c>
      <c r="D5" s="196">
        <v>103</v>
      </c>
      <c r="E5" s="173" t="str">
        <f>IF(ISERROR(VLOOKUP(D5,[4]abilities!A:D,3,FALSE))=FALSE,VLOOKUP(D5,[4]abilities!A:D,3),IF(ISERROR(VLOOKUP(D5,abilities!A:D,3,FALSE))=FALSE,VLOOKUP(D5,abilities!A:D,3),"なし"))</f>
        <v>お邪魔ブレイク</v>
      </c>
      <c r="F5" s="173" t="str">
        <f>IF(ISERROR(VLOOKUP(D5,[4]abilities!A:D,4,FALSE))=FALSE,VLOOKUP(D5,[4]abilities!A:D,4),IF(ISERROR(VLOOKUP(D5,abilities!A:D,4,FALSE))=FALSE,VLOOKUP(D5,abilities!A:D,4),"なし"))</f>
        <v>自身が先頭の時、お邪魔パネルを破壊できる</v>
      </c>
      <c r="G5" s="174" t="s">
        <v>274</v>
      </c>
      <c r="H5" s="197" t="s">
        <v>328</v>
      </c>
    </row>
    <row r="6" spans="1:8" s="4" customFormat="1" ht="21" customHeight="1" x14ac:dyDescent="0.15">
      <c r="A6" s="169">
        <v>1432</v>
      </c>
      <c r="B6" s="172" t="str">
        <f>VLOOKUP(A6,[1]characters!$A:$C,3)</f>
        <v>華宴の千年狐 センコ</v>
      </c>
      <c r="C6" s="196">
        <v>1</v>
      </c>
      <c r="D6" s="196">
        <v>203</v>
      </c>
      <c r="E6" s="173" t="str">
        <f>IF(ISERROR(VLOOKUP(D6,[4]abilities!A:D,3,FALSE))=FALSE,VLOOKUP(D6,[4]abilities!A:D,3),IF(ISERROR(VLOOKUP(D6,abilities!A:D,3,FALSE))=FALSE,VLOOKUP(D6,abilities!A:D,3),"なし"))</f>
        <v>爆風軽減無効</v>
      </c>
      <c r="F6" s="173" t="str">
        <f>IF(ISERROR(VLOOKUP(D6,[4]abilities!A:D,4,FALSE))=FALSE,VLOOKUP(D6,[4]abilities!A:D,4),IF(ISERROR(VLOOKUP(D6,abilities!A:D,4,FALSE))=FALSE,VLOOKUP(D6,abilities!A:D,4),"なし"))</f>
        <v>自身が先頭の時、爆風軽減を無効化する</v>
      </c>
      <c r="G6" s="174" t="s">
        <v>274</v>
      </c>
      <c r="H6" s="197" t="s">
        <v>332</v>
      </c>
    </row>
    <row r="7" spans="1:8" s="4" customFormat="1" ht="21" customHeight="1" x14ac:dyDescent="0.15">
      <c r="A7" s="169">
        <v>1432</v>
      </c>
      <c r="B7" s="172" t="str">
        <f>VLOOKUP(A7,[1]characters!$A:$C,3)</f>
        <v>華宴の千年狐 センコ</v>
      </c>
      <c r="C7" s="196">
        <v>2</v>
      </c>
      <c r="D7" s="196">
        <v>109</v>
      </c>
      <c r="E7" s="173" t="str">
        <f>IF(ISERROR(VLOOKUP(D7,[4]abilities!A:D,3,FALSE))=FALSE,VLOOKUP(D7,[4]abilities!A:D,3),IF(ISERROR(VLOOKUP(D7,abilities!A:D,3,FALSE))=FALSE,VLOOKUP(D7,abilities!A:D,3),"なし"))</f>
        <v>ダメージパネルブレイク</v>
      </c>
      <c r="F7" s="173" t="str">
        <f>IF(ISERROR(VLOOKUP(D7,[4]abilities!A:D,4,FALSE))=FALSE,VLOOKUP(D7,[4]abilities!A:D,4),IF(ISERROR(VLOOKUP(D7,abilities!A:D,4,FALSE))=FALSE,VLOOKUP(D7,abilities!A:D,4),"なし"))</f>
        <v>自身が先頭の時、ダメージを受けずにダメージパネルを破壊できる</v>
      </c>
      <c r="G7" s="174" t="s">
        <v>274</v>
      </c>
      <c r="H7" s="197" t="s">
        <v>328</v>
      </c>
    </row>
    <row r="8" spans="1:8" s="4" customFormat="1" ht="21" customHeight="1" x14ac:dyDescent="0.15">
      <c r="A8" s="169">
        <v>1495</v>
      </c>
      <c r="B8" s="172" t="str">
        <f>VLOOKUP(A8,[1]characters!$A:$C,3)</f>
        <v>桜乱の武奏術 牛若丸</v>
      </c>
      <c r="C8" s="196">
        <v>1</v>
      </c>
      <c r="D8" s="196">
        <v>203</v>
      </c>
      <c r="E8" s="173" t="str">
        <f>IF(ISERROR(VLOOKUP(D8,[4]abilities!A:D,3,FALSE))=FALSE,VLOOKUP(D8,[4]abilities!A:D,3),IF(ISERROR(VLOOKUP(D8,abilities!A:D,3,FALSE))=FALSE,VLOOKUP(D8,abilities!A:D,3),"なし"))</f>
        <v>爆風軽減無効</v>
      </c>
      <c r="F8" s="173" t="str">
        <f>IF(ISERROR(VLOOKUP(D8,[4]abilities!A:D,4,FALSE))=FALSE,VLOOKUP(D8,[4]abilities!A:D,4),IF(ISERROR(VLOOKUP(D8,abilities!A:D,4,FALSE))=FALSE,VLOOKUP(D8,abilities!A:D,4),"なし"))</f>
        <v>自身が先頭の時、爆風軽減を無効化する</v>
      </c>
      <c r="G8" s="174" t="s">
        <v>274</v>
      </c>
      <c r="H8" s="197" t="s">
        <v>328</v>
      </c>
    </row>
    <row r="9" spans="1:8" s="4" customFormat="1" ht="21" customHeight="1" x14ac:dyDescent="0.15">
      <c r="A9" s="169">
        <v>1495</v>
      </c>
      <c r="B9" s="172" t="str">
        <f>VLOOKUP(A9,[1]characters!$A:$C,3)</f>
        <v>桜乱の武奏術 牛若丸</v>
      </c>
      <c r="C9" s="196">
        <v>2</v>
      </c>
      <c r="D9" s="196">
        <v>437</v>
      </c>
      <c r="E9" s="173" t="str">
        <f>IF(ISERROR(VLOOKUP(D9,[4]abilities!A:D,3,FALSE))=FALSE,VLOOKUP(D9,[4]abilities!A:D,3),IF(ISERROR(VLOOKUP(D9,abilities!A:D,3,FALSE))=FALSE,VLOOKUP(D9,abilities!A:D,3),"なし"))</f>
        <v>なし</v>
      </c>
      <c r="F9" s="173" t="str">
        <f>IF(ISERROR(VLOOKUP(D9,[4]abilities!A:D,4,FALSE))=FALSE,VLOOKUP(D9,[4]abilities!A:D,4),IF(ISERROR(VLOOKUP(D9,abilities!A:D,4,FALSE))=FALSE,VLOOKUP(D9,abilities!A:D,4),"なし"))</f>
        <v>なし</v>
      </c>
      <c r="G9" s="174" t="s">
        <v>274</v>
      </c>
      <c r="H9" s="197" t="s">
        <v>328</v>
      </c>
    </row>
    <row r="10" spans="1:8" s="4" customFormat="1" ht="21" customHeight="1" x14ac:dyDescent="0.15">
      <c r="A10" s="169">
        <v>1496</v>
      </c>
      <c r="B10" s="172" t="str">
        <f>VLOOKUP(A10,[1]characters!$A:$C,3)</f>
        <v>晴眼桜花一文字 沖田総司</v>
      </c>
      <c r="C10" s="196">
        <v>1</v>
      </c>
      <c r="D10" s="196">
        <v>203</v>
      </c>
      <c r="E10" s="173" t="str">
        <f>IF(ISERROR(VLOOKUP(D10,[4]abilities!A:D,3,FALSE))=FALSE,VLOOKUP(D10,[4]abilities!A:D,3),IF(ISERROR(VLOOKUP(D10,abilities!A:D,3,FALSE))=FALSE,VLOOKUP(D10,abilities!A:D,3),"なし"))</f>
        <v>爆風軽減無効</v>
      </c>
      <c r="F10" s="173" t="str">
        <f>IF(ISERROR(VLOOKUP(D10,[4]abilities!A:D,4,FALSE))=FALSE,VLOOKUP(D10,[4]abilities!A:D,4),IF(ISERROR(VLOOKUP(D10,abilities!A:D,4,FALSE))=FALSE,VLOOKUP(D10,abilities!A:D,4),"なし"))</f>
        <v>自身が先頭の時、爆風軽減を無効化する</v>
      </c>
      <c r="G10" s="174" t="s">
        <v>274</v>
      </c>
      <c r="H10" s="197" t="s">
        <v>328</v>
      </c>
    </row>
    <row r="11" spans="1:8" s="4" customFormat="1" ht="21" customHeight="1" x14ac:dyDescent="0.15">
      <c r="A11" s="169">
        <v>1496</v>
      </c>
      <c r="B11" s="172" t="str">
        <f>VLOOKUP(A11,[1]characters!$A:$C,3)</f>
        <v>晴眼桜花一文字 沖田総司</v>
      </c>
      <c r="C11" s="196">
        <v>2</v>
      </c>
      <c r="D11" s="196">
        <v>109</v>
      </c>
      <c r="E11" s="173" t="str">
        <f>IF(ISERROR(VLOOKUP(D11,[4]abilities!A:D,3,FALSE))=FALSE,VLOOKUP(D11,[4]abilities!A:D,3),IF(ISERROR(VLOOKUP(D11,abilities!A:D,3,FALSE))=FALSE,VLOOKUP(D11,abilities!A:D,3),"なし"))</f>
        <v>ダメージパネルブレイク</v>
      </c>
      <c r="F11" s="173" t="str">
        <f>IF(ISERROR(VLOOKUP(D11,[4]abilities!A:D,4,FALSE))=FALSE,VLOOKUP(D11,[4]abilities!A:D,4),IF(ISERROR(VLOOKUP(D11,abilities!A:D,4,FALSE))=FALSE,VLOOKUP(D11,abilities!A:D,4),"なし"))</f>
        <v>自身が先頭の時、ダメージを受けずにダメージパネルを破壊できる</v>
      </c>
      <c r="G11" s="174" t="s">
        <v>274</v>
      </c>
      <c r="H11" s="197" t="s">
        <v>328</v>
      </c>
    </row>
    <row r="12" spans="1:8" s="4" customFormat="1" ht="21" customHeight="1" x14ac:dyDescent="0.15">
      <c r="A12" s="169">
        <v>1501</v>
      </c>
      <c r="B12" s="172" t="str">
        <f>VLOOKUP(A12,[1]characters!$A:$C,3)</f>
        <v>晴舞台の桜舞 ドガ</v>
      </c>
      <c r="C12" s="196">
        <v>1</v>
      </c>
      <c r="D12" s="196">
        <v>203</v>
      </c>
      <c r="E12" s="173" t="str">
        <f>IF(ISERROR(VLOOKUP(D12,[4]abilities!A:D,3,FALSE))=FALSE,VLOOKUP(D12,[4]abilities!A:D,3),IF(ISERROR(VLOOKUP(D12,abilities!A:D,3,FALSE))=FALSE,VLOOKUP(D12,abilities!A:D,3),"なし"))</f>
        <v>爆風軽減無効</v>
      </c>
      <c r="F12" s="173" t="str">
        <f>IF(ISERROR(VLOOKUP(D12,[4]abilities!A:D,4,FALSE))=FALSE,VLOOKUP(D12,[4]abilities!A:D,4),IF(ISERROR(VLOOKUP(D12,abilities!A:D,4,FALSE))=FALSE,VLOOKUP(D12,abilities!A:D,4),"なし"))</f>
        <v>自身が先頭の時、爆風軽減を無効化する</v>
      </c>
      <c r="G12" s="174" t="s">
        <v>274</v>
      </c>
      <c r="H12" s="197" t="s">
        <v>328</v>
      </c>
    </row>
    <row r="13" spans="1:8" s="4" customFormat="1" ht="21" customHeight="1" x14ac:dyDescent="0.15">
      <c r="A13" s="169">
        <v>1501</v>
      </c>
      <c r="B13" s="172" t="str">
        <f>VLOOKUP(A13,[1]characters!$A:$C,3)</f>
        <v>晴舞台の桜舞 ドガ</v>
      </c>
      <c r="C13" s="196">
        <v>2</v>
      </c>
      <c r="D13" s="196">
        <v>100</v>
      </c>
      <c r="E13" s="173" t="str">
        <f>IF(ISERROR(VLOOKUP(D13,[4]abilities!A:D,3,FALSE))=FALSE,VLOOKUP(D13,[4]abilities!A:D,3),IF(ISERROR(VLOOKUP(D13,abilities!A:D,3,FALSE))=FALSE,VLOOKUP(D13,abilities!A:D,3),"なし"))</f>
        <v>プロテクトブレイク</v>
      </c>
      <c r="F13" s="173" t="str">
        <f>IF(ISERROR(VLOOKUP(D13,[4]abilities!A:D,4,FALSE))=FALSE,VLOOKUP(D13,[4]abilities!A:D,4),IF(ISERROR(VLOOKUP(D13,abilities!A:D,4,FALSE))=FALSE,VLOOKUP(D13,abilities!A:D,4),"なし"))</f>
        <v>自身が先頭の時、プロテクトを無視してパネル破壊できる</v>
      </c>
      <c r="G13" s="174" t="s">
        <v>274</v>
      </c>
      <c r="H13" s="197" t="s">
        <v>328</v>
      </c>
    </row>
    <row r="14" spans="1:8" s="4" customFormat="1" ht="21" customHeight="1" x14ac:dyDescent="0.15">
      <c r="A14" s="169">
        <v>1502</v>
      </c>
      <c r="B14" s="172" t="str">
        <f>VLOOKUP(A14,[1]characters!$A:$C,3)</f>
        <v>打咲かす桜花灯 トリスタン</v>
      </c>
      <c r="C14" s="196">
        <v>1</v>
      </c>
      <c r="D14" s="196">
        <v>149501</v>
      </c>
      <c r="E14" s="173" t="str">
        <f>IF(ISERROR(VLOOKUP(D14,[4]abilities!A:D,3,FALSE))=FALSE,VLOOKUP(D14,[4]abilities!A:D,3),IF(ISERROR(VLOOKUP(D14,abilities!A:D,3,FALSE))=FALSE,VLOOKUP(D14,abilities!A:D,3),"なし"))</f>
        <v>お花見クエスト ダメージUP</v>
      </c>
      <c r="F14" s="173" t="str">
        <f>IF(ISERROR(VLOOKUP(D14,[4]abilities!A:D,4,FALSE))=FALSE,VLOOKUP(D14,[4]abilities!A:D,4),IF(ISERROR(VLOOKUP(D14,abilities!A:D,4,FALSE))=FALSE,VLOOKUP(D14,abilities!A:D,4),"なし"))</f>
        <v>お花見クエスト内で自身の全ての攻撃の威力をUP</v>
      </c>
      <c r="G14" s="174" t="s">
        <v>274</v>
      </c>
      <c r="H14" s="197" t="s">
        <v>328</v>
      </c>
    </row>
    <row r="15" spans="1:8" s="4" customFormat="1" ht="21" customHeight="1" x14ac:dyDescent="0.15">
      <c r="A15" s="169">
        <v>1503</v>
      </c>
      <c r="B15" s="172" t="str">
        <f>VLOOKUP(A15,[1]characters!$A:$C,3)</f>
        <v>春纏う蛇撫子 ヨルムンガンド</v>
      </c>
      <c r="C15" s="196">
        <v>1</v>
      </c>
      <c r="D15" s="196">
        <v>149501</v>
      </c>
      <c r="E15" s="173" t="str">
        <f>IF(ISERROR(VLOOKUP(D15,[4]abilities!A:D,3,FALSE))=FALSE,VLOOKUP(D15,[4]abilities!A:D,3),IF(ISERROR(VLOOKUP(D15,abilities!A:D,3,FALSE))=FALSE,VLOOKUP(D15,abilities!A:D,3),"なし"))</f>
        <v>お花見クエスト ダメージUP</v>
      </c>
      <c r="F15" s="173" t="str">
        <f>IF(ISERROR(VLOOKUP(D15,[4]abilities!A:D,4,FALSE))=FALSE,VLOOKUP(D15,[4]abilities!A:D,4),IF(ISERROR(VLOOKUP(D15,abilities!A:D,4,FALSE))=FALSE,VLOOKUP(D15,abilities!A:D,4),"なし"))</f>
        <v>お花見クエスト内で自身の全ての攻撃の威力をUP</v>
      </c>
      <c r="G15" s="174" t="s">
        <v>274</v>
      </c>
      <c r="H15" s="197" t="s">
        <v>328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302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303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302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304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308</v>
      </c>
      <c r="B1" t="s">
        <v>309</v>
      </c>
    </row>
    <row r="2" spans="1:2" x14ac:dyDescent="0.15">
      <c r="A2" t="s">
        <v>310</v>
      </c>
      <c r="B2">
        <v>1</v>
      </c>
    </row>
    <row r="3" spans="1:2" x14ac:dyDescent="0.15">
      <c r="A3" t="s">
        <v>311</v>
      </c>
      <c r="B3">
        <v>1</v>
      </c>
    </row>
    <row r="4" spans="1:2" x14ac:dyDescent="0.15">
      <c r="A4" t="s">
        <v>312</v>
      </c>
      <c r="B4">
        <v>1</v>
      </c>
    </row>
    <row r="5" spans="1:2" x14ac:dyDescent="0.15">
      <c r="A5" t="s">
        <v>313</v>
      </c>
      <c r="B5">
        <v>1</v>
      </c>
    </row>
    <row r="6" spans="1:2" x14ac:dyDescent="0.15">
      <c r="A6" t="s">
        <v>314</v>
      </c>
      <c r="B6">
        <v>1</v>
      </c>
    </row>
    <row r="7" spans="1:2" x14ac:dyDescent="0.15">
      <c r="A7" t="s">
        <v>315</v>
      </c>
      <c r="B7">
        <v>1</v>
      </c>
    </row>
    <row r="8" spans="1:2" x14ac:dyDescent="0.15">
      <c r="A8" t="s">
        <v>316</v>
      </c>
      <c r="B8">
        <v>1</v>
      </c>
    </row>
    <row r="9" spans="1:2" x14ac:dyDescent="0.15">
      <c r="A9" t="s">
        <v>317</v>
      </c>
      <c r="B9">
        <v>1</v>
      </c>
    </row>
    <row r="10" spans="1:2" x14ac:dyDescent="0.15">
      <c r="A10" t="s">
        <v>318</v>
      </c>
      <c r="B10">
        <v>1</v>
      </c>
    </row>
    <row r="11" spans="1:2" x14ac:dyDescent="0.15">
      <c r="A11" t="s">
        <v>319</v>
      </c>
      <c r="B11">
        <v>1</v>
      </c>
    </row>
    <row r="12" spans="1:2" x14ac:dyDescent="0.15">
      <c r="A12" t="s">
        <v>320</v>
      </c>
      <c r="B12">
        <v>1</v>
      </c>
    </row>
    <row r="13" spans="1:2" x14ac:dyDescent="0.15">
      <c r="A13" t="s">
        <v>321</v>
      </c>
      <c r="B13">
        <v>0</v>
      </c>
    </row>
    <row r="14" spans="1:2" x14ac:dyDescent="0.15">
      <c r="A14" t="s">
        <v>322</v>
      </c>
      <c r="B14">
        <v>500</v>
      </c>
    </row>
    <row r="15" spans="1:2" x14ac:dyDescent="0.15">
      <c r="A15" t="s">
        <v>323</v>
      </c>
      <c r="B15">
        <v>600</v>
      </c>
    </row>
    <row r="16" spans="1:2" x14ac:dyDescent="0.15">
      <c r="A16" t="s">
        <v>324</v>
      </c>
      <c r="B16">
        <v>700</v>
      </c>
    </row>
    <row r="17" spans="1:2" x14ac:dyDescent="0.15">
      <c r="A17" t="s">
        <v>325</v>
      </c>
      <c r="B17">
        <v>5500</v>
      </c>
    </row>
    <row r="18" spans="1:2" x14ac:dyDescent="0.15">
      <c r="A18" t="s">
        <v>326</v>
      </c>
      <c r="B18">
        <v>6000</v>
      </c>
    </row>
    <row r="19" spans="1:2" x14ac:dyDescent="0.15">
      <c r="A19" t="s">
        <v>327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2017-06-06T09:18:18Z</dcterms:modified>
</cp:coreProperties>
</file>