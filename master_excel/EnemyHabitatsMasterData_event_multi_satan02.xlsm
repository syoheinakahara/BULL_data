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1860" yWindow="640" windowWidth="27020" windowHeight="1494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3" i="11" l="1"/>
  <c r="O28" i="9"/>
  <c r="N28" i="9"/>
  <c r="M28" i="9"/>
  <c r="L28" i="9"/>
  <c r="K28" i="9"/>
  <c r="J28" i="9"/>
  <c r="I28" i="9"/>
  <c r="H28" i="9"/>
  <c r="G28" i="9"/>
  <c r="E28" i="9"/>
  <c r="D28" i="9"/>
  <c r="A28" i="9"/>
  <c r="M23" i="10"/>
  <c r="T23" i="10"/>
  <c r="W23" i="10"/>
  <c r="V23" i="10"/>
  <c r="X23" i="10"/>
  <c r="U23" i="10"/>
  <c r="Y23" i="10"/>
  <c r="S19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O27" i="9"/>
  <c r="N27" i="9"/>
  <c r="M27" i="9"/>
  <c r="L27" i="9"/>
  <c r="K27" i="9"/>
  <c r="J27" i="9"/>
  <c r="I27" i="9"/>
  <c r="H27" i="9"/>
  <c r="G27" i="9"/>
  <c r="E27" i="9"/>
  <c r="D27" i="9"/>
  <c r="A27" i="9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B25" i="21"/>
  <c r="I25" i="21"/>
  <c r="J25" i="21"/>
  <c r="G25" i="21"/>
  <c r="F25" i="21"/>
  <c r="D25" i="21"/>
  <c r="C25" i="21"/>
  <c r="B24" i="21"/>
  <c r="I24" i="21"/>
  <c r="J24" i="21"/>
  <c r="G24" i="21"/>
  <c r="F24" i="21"/>
  <c r="D24" i="21"/>
  <c r="C24" i="21"/>
  <c r="B23" i="21"/>
  <c r="I23" i="21"/>
  <c r="J23" i="21"/>
  <c r="G23" i="21"/>
  <c r="F23" i="21"/>
  <c r="D23" i="21"/>
  <c r="C23" i="21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G16" i="2"/>
  <c r="H16" i="2"/>
  <c r="E16" i="2"/>
  <c r="D16" i="2"/>
  <c r="A16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B16" i="2"/>
  <c r="G15" i="2"/>
  <c r="H15" i="2"/>
  <c r="E15" i="2"/>
  <c r="D15" i="2"/>
  <c r="A15" i="2"/>
  <c r="B15" i="2"/>
  <c r="G14" i="2"/>
  <c r="H14" i="2"/>
  <c r="E14" i="2"/>
  <c r="D14" i="2"/>
  <c r="A14" i="2"/>
  <c r="B14" i="2"/>
  <c r="G13" i="2"/>
  <c r="H13" i="2"/>
  <c r="E13" i="2"/>
  <c r="D13" i="2"/>
  <c r="A13" i="2"/>
  <c r="B13" i="2"/>
  <c r="G12" i="2"/>
  <c r="H12" i="2"/>
  <c r="E12" i="2"/>
  <c r="D12" i="2"/>
  <c r="A12" i="2"/>
  <c r="B12" i="2"/>
  <c r="G11" i="2"/>
  <c r="H11" i="2"/>
  <c r="E11" i="2"/>
  <c r="D11" i="2"/>
  <c r="A11" i="2"/>
  <c r="B11" i="2"/>
  <c r="G10" i="2"/>
  <c r="H10" i="2"/>
  <c r="E10" i="2"/>
  <c r="D10" i="2"/>
  <c r="A10" i="2"/>
  <c r="B10" i="2"/>
  <c r="G9" i="2"/>
  <c r="H9" i="2"/>
  <c r="E9" i="2"/>
  <c r="D9" i="2"/>
  <c r="A9" i="2"/>
  <c r="B9" i="2"/>
  <c r="G8" i="2"/>
  <c r="H8" i="2"/>
  <c r="E8" i="2"/>
  <c r="D8" i="2"/>
  <c r="A8" i="2"/>
  <c r="B8" i="2"/>
  <c r="G7" i="2"/>
  <c r="H7" i="2"/>
  <c r="E7" i="2"/>
  <c r="D7" i="2"/>
  <c r="A7" i="2"/>
  <c r="B7" i="2"/>
  <c r="J21" i="11"/>
  <c r="O31" i="9"/>
  <c r="N31" i="9"/>
  <c r="M31" i="9"/>
  <c r="L31" i="9"/>
  <c r="K31" i="9"/>
  <c r="J31" i="9"/>
  <c r="I31" i="9"/>
  <c r="H31" i="9"/>
  <c r="G31" i="9"/>
  <c r="E31" i="9"/>
  <c r="D31" i="9"/>
  <c r="A31" i="9"/>
  <c r="J17" i="11"/>
  <c r="O30" i="9"/>
  <c r="N30" i="9"/>
  <c r="M30" i="9"/>
  <c r="L30" i="9"/>
  <c r="K30" i="9"/>
  <c r="J30" i="9"/>
  <c r="I30" i="9"/>
  <c r="H30" i="9"/>
  <c r="G30" i="9"/>
  <c r="E30" i="9"/>
  <c r="D30" i="9"/>
  <c r="A30" i="9"/>
  <c r="J16" i="11"/>
  <c r="O29" i="9"/>
  <c r="N29" i="9"/>
  <c r="M29" i="9"/>
  <c r="L29" i="9"/>
  <c r="K29" i="9"/>
  <c r="J29" i="9"/>
  <c r="I29" i="9"/>
  <c r="H29" i="9"/>
  <c r="G29" i="9"/>
  <c r="E29" i="9"/>
  <c r="D29" i="9"/>
  <c r="A29" i="9"/>
  <c r="J22" i="11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AB28" i="1"/>
  <c r="AD28" i="1"/>
  <c r="AG28" i="1"/>
  <c r="AE28" i="1"/>
  <c r="AC28" i="1"/>
  <c r="E16" i="9"/>
  <c r="V28" i="1"/>
  <c r="Q28" i="1"/>
  <c r="P28" i="1"/>
  <c r="O28" i="1"/>
  <c r="N28" i="1"/>
  <c r="M28" i="1"/>
  <c r="G2" i="2"/>
  <c r="A2" i="2"/>
  <c r="G3" i="2"/>
  <c r="A3" i="2"/>
  <c r="G4" i="2"/>
  <c r="A4" i="2"/>
  <c r="G5" i="2"/>
  <c r="A5" i="2"/>
  <c r="G6" i="2"/>
  <c r="A6" i="2"/>
  <c r="J28" i="1"/>
  <c r="I28" i="1"/>
  <c r="D28" i="1"/>
  <c r="F28" i="1"/>
  <c r="E28" i="1"/>
  <c r="A28" i="1"/>
  <c r="AD27" i="1"/>
  <c r="AG27" i="1"/>
  <c r="AE27" i="1"/>
  <c r="AC27" i="1"/>
  <c r="E14" i="9"/>
  <c r="V27" i="1"/>
  <c r="Q27" i="1"/>
  <c r="P27" i="1"/>
  <c r="O27" i="1"/>
  <c r="N27" i="1"/>
  <c r="M27" i="1"/>
  <c r="J27" i="1"/>
  <c r="I27" i="1"/>
  <c r="D27" i="1"/>
  <c r="F27" i="1"/>
  <c r="E27" i="1"/>
  <c r="A27" i="1"/>
  <c r="AD26" i="1"/>
  <c r="AG26" i="1"/>
  <c r="AE26" i="1"/>
  <c r="AC26" i="1"/>
  <c r="E12" i="9"/>
  <c r="V26" i="1"/>
  <c r="Q26" i="1"/>
  <c r="P26" i="1"/>
  <c r="O26" i="1"/>
  <c r="N26" i="1"/>
  <c r="M26" i="1"/>
  <c r="J26" i="1"/>
  <c r="I26" i="1"/>
  <c r="D26" i="1"/>
  <c r="F26" i="1"/>
  <c r="E26" i="1"/>
  <c r="A26" i="1"/>
  <c r="AB25" i="1"/>
  <c r="AD25" i="1"/>
  <c r="AG25" i="1"/>
  <c r="AE25" i="1"/>
  <c r="AC25" i="1"/>
  <c r="E10" i="9"/>
  <c r="V25" i="1"/>
  <c r="Q25" i="1"/>
  <c r="P25" i="1"/>
  <c r="O25" i="1"/>
  <c r="N25" i="1"/>
  <c r="M25" i="1"/>
  <c r="J25" i="1"/>
  <c r="I25" i="1"/>
  <c r="D25" i="1"/>
  <c r="F25" i="1"/>
  <c r="E25" i="1"/>
  <c r="A25" i="1"/>
  <c r="AB24" i="1"/>
  <c r="AD24" i="1"/>
  <c r="AG24" i="1"/>
  <c r="AE24" i="1"/>
  <c r="AC24" i="1"/>
  <c r="E8" i="9"/>
  <c r="V24" i="1"/>
  <c r="Q24" i="1"/>
  <c r="P24" i="1"/>
  <c r="O24" i="1"/>
  <c r="N24" i="1"/>
  <c r="M24" i="1"/>
  <c r="J24" i="1"/>
  <c r="I24" i="1"/>
  <c r="D24" i="1"/>
  <c r="F24" i="1"/>
  <c r="E24" i="1"/>
  <c r="A24" i="1"/>
  <c r="AD23" i="1"/>
  <c r="AG23" i="1"/>
  <c r="AE23" i="1"/>
  <c r="AC23" i="1"/>
  <c r="AA23" i="1"/>
  <c r="W23" i="1"/>
  <c r="V23" i="1"/>
  <c r="Q23" i="1"/>
  <c r="P23" i="1"/>
  <c r="O23" i="1"/>
  <c r="N23" i="1"/>
  <c r="M23" i="1"/>
  <c r="J23" i="1"/>
  <c r="I23" i="1"/>
  <c r="D23" i="1"/>
  <c r="F23" i="1"/>
  <c r="E23" i="1"/>
  <c r="A23" i="1"/>
  <c r="AD22" i="1"/>
  <c r="AG22" i="1"/>
  <c r="AE22" i="1"/>
  <c r="AC22" i="1"/>
  <c r="E6" i="9"/>
  <c r="V22" i="1"/>
  <c r="Q22" i="1"/>
  <c r="P22" i="1"/>
  <c r="O22" i="1"/>
  <c r="N22" i="1"/>
  <c r="M22" i="1"/>
  <c r="J22" i="1"/>
  <c r="I22" i="1"/>
  <c r="D22" i="1"/>
  <c r="F22" i="1"/>
  <c r="E22" i="1"/>
  <c r="A22" i="1"/>
  <c r="AB21" i="1"/>
  <c r="AD21" i="1"/>
  <c r="AG21" i="1"/>
  <c r="AE21" i="1"/>
  <c r="AC21" i="1"/>
  <c r="W21" i="1"/>
  <c r="V21" i="1"/>
  <c r="Q21" i="1"/>
  <c r="P21" i="1"/>
  <c r="O21" i="1"/>
  <c r="N21" i="1"/>
  <c r="M21" i="1"/>
  <c r="J21" i="1"/>
  <c r="I21" i="1"/>
  <c r="D21" i="1"/>
  <c r="F21" i="1"/>
  <c r="E21" i="1"/>
  <c r="A21" i="1"/>
  <c r="AB20" i="1"/>
  <c r="AD20" i="1"/>
  <c r="AG20" i="1"/>
  <c r="AE20" i="1"/>
  <c r="AC20" i="1"/>
  <c r="E2" i="9"/>
  <c r="V20" i="1"/>
  <c r="Q20" i="1"/>
  <c r="P20" i="1"/>
  <c r="O20" i="1"/>
  <c r="N20" i="1"/>
  <c r="M20" i="1"/>
  <c r="J20" i="1"/>
  <c r="I20" i="1"/>
  <c r="D20" i="1"/>
  <c r="F20" i="1"/>
  <c r="E20" i="1"/>
  <c r="A20" i="1"/>
  <c r="AB19" i="1"/>
  <c r="AD19" i="1"/>
  <c r="AG19" i="1"/>
  <c r="AE19" i="1"/>
  <c r="AC19" i="1"/>
  <c r="V19" i="1"/>
  <c r="Q19" i="1"/>
  <c r="P19" i="1"/>
  <c r="O19" i="1"/>
  <c r="N19" i="1"/>
  <c r="M19" i="1"/>
  <c r="J19" i="1"/>
  <c r="I19" i="1"/>
  <c r="D19" i="1"/>
  <c r="F19" i="1"/>
  <c r="E19" i="1"/>
  <c r="A19" i="1"/>
  <c r="AD18" i="1"/>
  <c r="AG18" i="1"/>
  <c r="AE18" i="1"/>
  <c r="AC18" i="1"/>
  <c r="V18" i="1"/>
  <c r="Q18" i="1"/>
  <c r="P18" i="1"/>
  <c r="O18" i="1"/>
  <c r="N18" i="1"/>
  <c r="M18" i="1"/>
  <c r="J18" i="1"/>
  <c r="I18" i="1"/>
  <c r="D18" i="1"/>
  <c r="F18" i="1"/>
  <c r="E18" i="1"/>
  <c r="A18" i="1"/>
  <c r="AD17" i="1"/>
  <c r="AG17" i="1"/>
  <c r="AE17" i="1"/>
  <c r="AC17" i="1"/>
  <c r="V17" i="1"/>
  <c r="Q17" i="1"/>
  <c r="P17" i="1"/>
  <c r="O17" i="1"/>
  <c r="N17" i="1"/>
  <c r="M17" i="1"/>
  <c r="J17" i="1"/>
  <c r="I17" i="1"/>
  <c r="D17" i="1"/>
  <c r="F17" i="1"/>
  <c r="E17" i="1"/>
  <c r="A17" i="1"/>
  <c r="AB16" i="1"/>
  <c r="AD16" i="1"/>
  <c r="AG16" i="1"/>
  <c r="AE16" i="1"/>
  <c r="AC16" i="1"/>
  <c r="V16" i="1"/>
  <c r="Q16" i="1"/>
  <c r="P16" i="1"/>
  <c r="O16" i="1"/>
  <c r="N16" i="1"/>
  <c r="M16" i="1"/>
  <c r="J16" i="1"/>
  <c r="I16" i="1"/>
  <c r="D16" i="1"/>
  <c r="F16" i="1"/>
  <c r="E16" i="1"/>
  <c r="A16" i="1"/>
  <c r="AB15" i="1"/>
  <c r="AD15" i="1"/>
  <c r="AG15" i="1"/>
  <c r="AE15" i="1"/>
  <c r="AC15" i="1"/>
  <c r="V15" i="1"/>
  <c r="Q15" i="1"/>
  <c r="P15" i="1"/>
  <c r="O15" i="1"/>
  <c r="N15" i="1"/>
  <c r="M15" i="1"/>
  <c r="J15" i="1"/>
  <c r="I15" i="1"/>
  <c r="D15" i="1"/>
  <c r="F15" i="1"/>
  <c r="E15" i="1"/>
  <c r="A15" i="1"/>
  <c r="AD14" i="1"/>
  <c r="AG14" i="1"/>
  <c r="AE14" i="1"/>
  <c r="AC14" i="1"/>
  <c r="AA14" i="1"/>
  <c r="W14" i="1"/>
  <c r="V14" i="1"/>
  <c r="Q14" i="1"/>
  <c r="P14" i="1"/>
  <c r="O14" i="1"/>
  <c r="N14" i="1"/>
  <c r="M14" i="1"/>
  <c r="J14" i="1"/>
  <c r="I14" i="1"/>
  <c r="D14" i="1"/>
  <c r="F14" i="1"/>
  <c r="E14" i="1"/>
  <c r="A14" i="1"/>
  <c r="AD13" i="1"/>
  <c r="AG13" i="1"/>
  <c r="AE13" i="1"/>
  <c r="AC13" i="1"/>
  <c r="V13" i="1"/>
  <c r="Q13" i="1"/>
  <c r="P13" i="1"/>
  <c r="O13" i="1"/>
  <c r="N13" i="1"/>
  <c r="M13" i="1"/>
  <c r="J13" i="1"/>
  <c r="I13" i="1"/>
  <c r="D13" i="1"/>
  <c r="F13" i="1"/>
  <c r="E13" i="1"/>
  <c r="A13" i="1"/>
  <c r="AB12" i="1"/>
  <c r="AD12" i="1"/>
  <c r="AG12" i="1"/>
  <c r="AE12" i="1"/>
  <c r="AC12" i="1"/>
  <c r="W12" i="1"/>
  <c r="V12" i="1"/>
  <c r="Q12" i="1"/>
  <c r="P12" i="1"/>
  <c r="O12" i="1"/>
  <c r="N12" i="1"/>
  <c r="M12" i="1"/>
  <c r="J12" i="1"/>
  <c r="I12" i="1"/>
  <c r="D12" i="1"/>
  <c r="F12" i="1"/>
  <c r="E12" i="1"/>
  <c r="A12" i="1"/>
  <c r="AB11" i="1"/>
  <c r="AD11" i="1"/>
  <c r="AG11" i="1"/>
  <c r="AE11" i="1"/>
  <c r="AC11" i="1"/>
  <c r="V11" i="1"/>
  <c r="Q11" i="1"/>
  <c r="P11" i="1"/>
  <c r="O11" i="1"/>
  <c r="N11" i="1"/>
  <c r="M11" i="1"/>
  <c r="J11" i="1"/>
  <c r="I11" i="1"/>
  <c r="D11" i="1"/>
  <c r="F11" i="1"/>
  <c r="E11" i="1"/>
  <c r="A11" i="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12" i="11"/>
  <c r="M12" i="10"/>
  <c r="T12" i="10"/>
  <c r="W12" i="10"/>
  <c r="V12" i="10"/>
  <c r="X12" i="10"/>
  <c r="U12" i="10"/>
  <c r="Y12" i="10"/>
  <c r="M21" i="10"/>
  <c r="N21" i="10"/>
  <c r="Q21" i="10"/>
  <c r="P21" i="10"/>
  <c r="R21" i="10"/>
  <c r="O21" i="10"/>
  <c r="S21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AC4" i="1"/>
  <c r="AC8" i="1"/>
  <c r="AC9" i="1"/>
  <c r="AC5" i="1"/>
  <c r="W3" i="1"/>
  <c r="W5" i="1"/>
  <c r="J10" i="11"/>
  <c r="O12" i="9"/>
  <c r="N12" i="9"/>
  <c r="M12" i="9"/>
  <c r="L12" i="9"/>
  <c r="K12" i="9"/>
  <c r="J12" i="9"/>
  <c r="I12" i="9"/>
  <c r="H12" i="9"/>
  <c r="G12" i="9"/>
  <c r="D12" i="9"/>
  <c r="A12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T21" i="10"/>
  <c r="W21" i="10"/>
  <c r="V21" i="10"/>
  <c r="X21" i="10"/>
  <c r="U21" i="10"/>
  <c r="Y21" i="10"/>
  <c r="G21" i="10"/>
  <c r="J21" i="10"/>
  <c r="I21" i="10"/>
  <c r="K21" i="10"/>
  <c r="H21" i="10"/>
  <c r="L21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G19" i="10"/>
  <c r="J19" i="10"/>
  <c r="I19" i="10"/>
  <c r="K19" i="10"/>
  <c r="H19" i="10"/>
  <c r="L19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V2" i="1"/>
  <c r="A4" i="1"/>
  <c r="D4" i="1"/>
  <c r="E4" i="1"/>
  <c r="F4" i="1"/>
  <c r="I4" i="1"/>
  <c r="J4" i="1"/>
  <c r="M4" i="1"/>
  <c r="N4" i="1"/>
  <c r="O4" i="1"/>
  <c r="P4" i="1"/>
  <c r="Q4" i="1"/>
  <c r="V4" i="1"/>
  <c r="AD4" i="1"/>
  <c r="AE4" i="1"/>
  <c r="AG4" i="1"/>
  <c r="AB10" i="1"/>
  <c r="AD10" i="1"/>
  <c r="AG10" i="1"/>
  <c r="AE10" i="1"/>
  <c r="AC10" i="1"/>
  <c r="V10" i="1"/>
  <c r="Q10" i="1"/>
  <c r="P10" i="1"/>
  <c r="O10" i="1"/>
  <c r="N10" i="1"/>
  <c r="M10" i="1"/>
  <c r="J10" i="1"/>
  <c r="I10" i="1"/>
  <c r="D10" i="1"/>
  <c r="F10" i="1"/>
  <c r="E10" i="1"/>
  <c r="A10" i="1"/>
  <c r="AD8" i="1"/>
  <c r="AG8" i="1"/>
  <c r="AE8" i="1"/>
  <c r="V8" i="1"/>
  <c r="Q8" i="1"/>
  <c r="P8" i="1"/>
  <c r="O8" i="1"/>
  <c r="N8" i="1"/>
  <c r="M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J7" i="1"/>
  <c r="I7" i="1"/>
  <c r="D7" i="1"/>
  <c r="F7" i="1"/>
  <c r="E7" i="1"/>
  <c r="A7" i="1"/>
  <c r="AD9" i="1"/>
  <c r="AG9" i="1"/>
  <c r="AE9" i="1"/>
  <c r="V9" i="1"/>
  <c r="Q9" i="1"/>
  <c r="P9" i="1"/>
  <c r="O9" i="1"/>
  <c r="N9" i="1"/>
  <c r="M9" i="1"/>
  <c r="J9" i="1"/>
  <c r="I9" i="1"/>
  <c r="D9" i="1"/>
  <c r="F9" i="1"/>
  <c r="E9" i="1"/>
  <c r="A9" i="1"/>
  <c r="AB6" i="1"/>
  <c r="AD6" i="1"/>
  <c r="AG6" i="1"/>
  <c r="AE6" i="1"/>
  <c r="AC6" i="1"/>
  <c r="V6" i="1"/>
  <c r="Q6" i="1"/>
  <c r="P6" i="1"/>
  <c r="O6" i="1"/>
  <c r="N6" i="1"/>
  <c r="M6" i="1"/>
  <c r="J6" i="1"/>
  <c r="I6" i="1"/>
  <c r="D6" i="1"/>
  <c r="F6" i="1"/>
  <c r="E6" i="1"/>
  <c r="A6" i="1"/>
  <c r="AD5" i="1"/>
  <c r="AG5" i="1"/>
  <c r="AE5" i="1"/>
  <c r="AA5" i="1"/>
  <c r="V5" i="1"/>
  <c r="Q5" i="1"/>
  <c r="P5" i="1"/>
  <c r="O5" i="1"/>
  <c r="N5" i="1"/>
  <c r="M5" i="1"/>
  <c r="J5" i="1"/>
  <c r="I5" i="1"/>
  <c r="D5" i="1"/>
  <c r="F5" i="1"/>
  <c r="E5" i="1"/>
  <c r="A5" i="1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<sst xmlns="http://schemas.openxmlformats.org/spreadsheetml/2006/main" count="1012" uniqueCount="299">
  <si>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</si>
  <si>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</si>
  <si>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</si>
  <si>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</si>
  <si>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</si>
  <si>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</si>
  <si>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</si>
  <si>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</si>
  <si>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</si>
  <si>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</si>
  <si>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</si>
  <si>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</si>
  <si>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</si>
  <si>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</si>
  <si>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</si>
  <si>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</si>
  <si>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</si>
  <si>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</si>
  <si>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</si>
  <si>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</si>
  <si>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</si>
  <si>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</si>
  <si>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</si>
  <si>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</si>
  <si>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</si>
  <si>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</si>
  <si>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</si>
  <si>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</si>
  <si>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</si>
  <si>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</si>
  <si>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</si>
  <si>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</si>
  <si>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</si>
  <si>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</si>
  <si>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</si>
  <si>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</si>
  <si>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</si>
  <si>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</si>
  <si>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</si>
  <si>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</si>
  <si>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</si>
  <si>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</si>
  <si>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</si>
  <si>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</si>
  <si>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</si>
  <si>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</si>
  <si>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</si>
  <si>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</si>
  <si>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</si>
  <si>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</si>
  <si>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</si>
  <si>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</si>
  <si>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</si>
  <si>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</si>
  <si>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</si>
  <si>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</si>
  <si>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</si>
  <si>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</si>
  <si>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</si>
  <si>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</si>
  <si>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</si>
  <si>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</si>
  <si>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</si>
  <si>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</si>
  <si>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</si>
  <si>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</si>
  <si>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</si>
  <si>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</si>
  <si>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</si>
  <si>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</si>
  <si>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</si>
  <si>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</si>
  <si>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</si>
  <si>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</si>
  <si>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</si>
  <si>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</si>
  <si>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</si>
  <si>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</si>
  <si>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</si>
  <si>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</si>
  <si>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</si>
  <si>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</si>
  <si>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</si>
  <si>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</si>
  <si>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</si>
  <si>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</si>
  <si>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</si>
  <si>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</si>
  <si>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</si>
  <si>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</si>
  <si>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</si>
  <si>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</si>
  <si>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</si>
  <si>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</si>
  <si>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</si>
  <si>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</si>
  <si>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</si>
  <si>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</si>
  <si>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</si>
  <si>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</si>
  <si>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</si>
  <si>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</si>
  <si>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</si>
  <si>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</si>
  <si>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</si>
  <si>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</si>
  <si>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</si>
  <si>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</si>
  <si>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</si>
  <si>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</si>
  <si>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</si>
  <si>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</si>
  <si>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</si>
  <si>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</si>
  <si>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</si>
  <si>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</si>
  <si>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</si>
  <si>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</si>
  <si>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</si>
  <si>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</si>
  <si>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</si>
  <si>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</si>
  <si>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</si>
  <si>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</si>
  <si>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</si>
  <si>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</si>
  <si>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</si>
  <si>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</si>
  <si>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</si>
  <si>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</si>
  <si>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</si>
  <si>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</si>
  <si>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</si>
  <si>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</si>
  <si>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</si>
  <si>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</si>
  <si>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</si>
  <si>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</si>
  <si>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</si>
  <si>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</si>
  <si>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</si>
  <si>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</si>
  <si>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</si>
  <si>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</si>
  <si>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</si>
  <si>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</si>
  <si>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</si>
  <si>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</si>
  <si>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</si>
  <si>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</si>
  <si>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</si>
  <si>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</si>
  <si>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</si>
  <si>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</si>
  <si>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</si>
  <si>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</si>
  <si>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</si>
  <si>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</si>
  <si>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</si>
  <si>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</si>
  <si>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</si>
  <si>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</si>
  <si>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</si>
  <si>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</si>
  <si>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</si>
  <si>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</si>
  <si>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</si>
  <si>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</si>
  <si>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</si>
  <si>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</si>
  <si>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</si>
  <si>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</si>
  <si>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</si>
  <si>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</si>
  <si>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</si>
  <si>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</si>
  <si>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</si>
  <si>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</si>
  <si>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</si>
  <si>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</si>
  <si>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</si>
  <si>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</si>
  <si>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</si>
  <si>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</si>
  <si>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</si>
  <si>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</si>
  <si>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</si>
  <si>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</si>
  <si>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</si>
  <si>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</si>
  <si>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</si>
  <si>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</si>
  <si>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</si>
  <si>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</si>
  <si>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</si>
  <si>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</si>
  <si>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</si>
  <si>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</si>
  <si>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</si>
  <si>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</si>
  <si>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</si>
  <si>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</si>
  <si>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</si>
  <si>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</si>
  <si>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</si>
  <si>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</si>
  <si>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</si>
  <si>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</si>
  <si>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</si>
  <si>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</si>
  <si>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</si>
  <si>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</si>
  <si>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</si>
  <si>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</si>
  <si>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解除されるまで攻撃力小UP</t>
    <rPh sb="0" eb="2">
      <t>カイジョ</t>
    </rPh>
    <rPh sb="7" eb="10">
      <t>コウゲキリョク</t>
    </rPh>
    <rPh sb="10" eb="11">
      <t>ショウ</t>
    </rPh>
    <phoneticPr fontId="5"/>
  </si>
  <si>
    <t>4回連続攻撃</t>
    <phoneticPr fontId="5"/>
  </si>
  <si>
    <t>[effect:dark, target:unit_all, turn:2, animation:enemy_dark]</t>
    <phoneticPr fontId="5"/>
  </si>
  <si>
    <t>2ターンパネルの色が分からなくなる !</t>
    <phoneticPr fontId="5"/>
  </si>
  <si>
    <t>全体攻撃</t>
    <rPh sb="0" eb="4">
      <t>ゼンタイコウゲキ</t>
    </rPh>
    <phoneticPr fontId="5"/>
  </si>
  <si>
    <t>単体強攻撃</t>
    <rPh sb="0" eb="2">
      <t>タンタイ</t>
    </rPh>
    <rPh sb="2" eb="3">
      <t>kyou</t>
    </rPh>
    <rPh sb="3" eb="5">
      <t>コウゲキ</t>
    </rPh>
    <phoneticPr fontId="5"/>
  </si>
  <si>
    <t>[effect:spread, val:0.3]</t>
    <phoneticPr fontId="5"/>
  </si>
  <si>
    <t>[effect:degrade_unit, target:unit_all, turn:2, status:attack, val:0.5, calc:mul]</t>
    <phoneticPr fontId="5"/>
  </si>
  <si>
    <t>これでも鳥類！</t>
    <rPh sb="4" eb="6">
      <t>チョウルイ</t>
    </rPh>
    <phoneticPr fontId="5"/>
  </si>
  <si>
    <t>と　ペンギンが申しております</t>
    <rPh sb="7" eb="8">
      <t>モウ</t>
    </rPh>
    <phoneticPr fontId="5"/>
  </si>
  <si>
    <t>ハートフルボッコ</t>
    <phoneticPr fontId="5"/>
  </si>
  <si>
    <t>連続攻撃</t>
    <rPh sb="0" eb="4">
      <t>レンゾクコウゲキ</t>
    </rPh>
    <phoneticPr fontId="5"/>
  </si>
  <si>
    <t>鳳翼波</t>
    <rPh sb="0" eb="2">
      <t>ホウヨク</t>
    </rPh>
    <rPh sb="2" eb="3">
      <t>ハ</t>
    </rPh>
    <phoneticPr fontId="5"/>
  </si>
  <si>
    <t>炎鎖縛</t>
    <rPh sb="0" eb="3">
      <t>エンサバク</t>
    </rPh>
    <phoneticPr fontId="5"/>
  </si>
  <si>
    <t>大回復</t>
    <rPh sb="0" eb="3">
      <t>ダイカイフク</t>
    </rPh>
    <phoneticPr fontId="5"/>
  </si>
  <si>
    <t>熱紅覇</t>
    <rPh sb="0" eb="1">
      <t>ネツコウセン</t>
    </rPh>
    <rPh sb="1" eb="2">
      <t>コウ</t>
    </rPh>
    <rPh sb="2" eb="3">
      <t>ハ</t>
    </rPh>
    <phoneticPr fontId="5"/>
  </si>
  <si>
    <t>4連続全体攻撃</t>
    <rPh sb="1" eb="7">
      <t>レンゾクゼンタイコウゲキ</t>
    </rPh>
    <phoneticPr fontId="5"/>
  </si>
  <si>
    <t>解除するまで攻撃力UP</t>
    <rPh sb="0" eb="2">
      <t>カイジョ</t>
    </rPh>
    <rPh sb="6" eb="9">
      <t>コウゲキリョク</t>
    </rPh>
    <phoneticPr fontId="5"/>
  </si>
  <si>
    <t>4連続攻撃</t>
    <rPh sb="1" eb="3">
      <t>レンゾク</t>
    </rPh>
    <rPh sb="3" eb="5">
      <t>コウゲキ</t>
    </rPh>
    <phoneticPr fontId="5"/>
  </si>
  <si>
    <t>往復バット</t>
    <rPh sb="0" eb="2">
      <t>オウフク</t>
    </rPh>
    <phoneticPr fontId="5"/>
  </si>
  <si>
    <t>[effect:enhance_enemy, target:myself, turn:-1, status:attack, val:0.1, calc:mul, animation:enemy_enhance_attack]</t>
    <phoneticPr fontId="5"/>
  </si>
  <si>
    <t>[effect:enhance_enemy, target:myself, turn:-1, status:attack, val:0.2, calc:mul, animation:enemy_enhance_attack]</t>
    <phoneticPr fontId="5"/>
  </si>
  <si>
    <t>[effect:rush, count:2, val:0.6]</t>
    <phoneticPr fontId="5"/>
  </si>
  <si>
    <t>[effect:rush, count:4, val:0.33]</t>
    <phoneticPr fontId="5"/>
  </si>
  <si>
    <t>old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</si>
  <si>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</si>
  <si>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</si>
  <si>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</si>
  <si>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</si>
  <si>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[effect:critical, val:1.5]</t>
    <phoneticPr fontId="5"/>
  </si>
  <si>
    <t>[effect:rush, count:4, val:0.28]</t>
    <phoneticPr fontId="5"/>
  </si>
  <si>
    <t>ペンギンなめんな！</t>
    <phoneticPr fontId="5"/>
  </si>
  <si>
    <t>わしも鳥やで！</t>
    <rPh sb="3" eb="5">
      <t>toriya</t>
    </rPh>
    <phoneticPr fontId="5"/>
  </si>
  <si>
    <t>[effect:rush, count:3, val:0.4]</t>
    <phoneticPr fontId="5"/>
  </si>
  <si>
    <t>塵となり消えていった・・・</t>
    <rPh sb="0" eb="1">
      <t>チリ</t>
    </rPh>
    <rPh sb="4" eb="5">
      <t>キ</t>
    </rPh>
    <phoneticPr fontId="5"/>
  </si>
  <si>
    <t>[effect:nothing]</t>
    <phoneticPr fontId="5"/>
  </si>
  <si>
    <t>ボクに挑むつもりか？</t>
    <rPh sb="3" eb="4">
      <t>イド</t>
    </rPh>
    <phoneticPr fontId="5"/>
  </si>
  <si>
    <t>肉体死するとも魂は死せずッ！</t>
    <rPh sb="0" eb="2">
      <t>ニクタイ</t>
    </rPh>
    <rPh sb="2" eb="7">
      <t>sisurutomo</t>
    </rPh>
    <rPh sb="7" eb="8">
      <t>タマシイ</t>
    </rPh>
    <rPh sb="9" eb="10">
      <t>シ</t>
    </rPh>
    <phoneticPr fontId="5"/>
  </si>
  <si>
    <t>ボクは還ってきたッ！</t>
    <rPh sb="3" eb="4">
      <t>カエ</t>
    </rPh>
    <phoneticPr fontId="5"/>
  </si>
  <si>
    <t>喰らえ！！</t>
    <phoneticPr fontId="5"/>
  </si>
  <si>
    <t>吹き飛べ！！</t>
    <rPh sb="0" eb="1">
      <t>フ</t>
    </rPh>
    <rPh sb="2" eb="3">
      <t>ト</t>
    </rPh>
    <phoneticPr fontId="5"/>
  </si>
  <si>
    <t>このボクが消えるなんてありえないッ！</t>
    <rPh sb="5" eb="6">
      <t>キ</t>
    </rPh>
    <phoneticPr fontId="5"/>
  </si>
  <si>
    <t>[effect:enemy_message, val1:2, val2:2]</t>
    <phoneticPr fontId="5"/>
  </si>
  <si>
    <t>[effect:enemy_message, val1:2, val2:2]</t>
    <phoneticPr fontId="5"/>
  </si>
  <si>
    <t>こちらの出方を窺っている</t>
    <rPh sb="4" eb="6">
      <t>デカタ</t>
    </rPh>
    <rPh sb="7" eb="8">
      <t>ウカガ</t>
    </rPh>
    <phoneticPr fontId="5"/>
  </si>
  <si>
    <t>・・・なんだキミは？</t>
    <phoneticPr fontId="5"/>
  </si>
  <si>
    <t>null</t>
    <phoneticPr fontId="5"/>
  </si>
  <si>
    <t>null</t>
    <phoneticPr fontId="5"/>
  </si>
  <si>
    <t>link</t>
    <phoneticPr fontId="5"/>
  </si>
  <si>
    <t>unit</t>
    <phoneticPr fontId="5"/>
  </si>
  <si>
    <t>link</t>
    <phoneticPr fontId="5"/>
  </si>
  <si>
    <t>unit</t>
    <phoneticPr fontId="5"/>
  </si>
  <si>
    <t>敵の集中攻撃を防ぐために
まずはブレットから倒しましょう</t>
    <rPh sb="0" eb="1">
      <t>テキ</t>
    </rPh>
    <rPh sb="2" eb="6">
      <t>シュウチュウコウゲキ</t>
    </rPh>
    <rPh sb="7" eb="8">
      <t>フセ</t>
    </rPh>
    <rPh sb="22" eb="23">
      <t>タオ</t>
    </rPh>
    <phoneticPr fontId="5"/>
  </si>
  <si>
    <t>HPを回復したい時は回復力の高いユニット
のターンに多くハートパネルを消しましょう</t>
    <rPh sb="3" eb="5">
      <t>カイフク</t>
    </rPh>
    <rPh sb="8" eb="9">
      <t>トキ</t>
    </rPh>
    <rPh sb="10" eb="13">
      <t>カイフクリョク</t>
    </rPh>
    <rPh sb="14" eb="15">
      <t>タカ</t>
    </rPh>
    <rPh sb="26" eb="27">
      <t>オオ</t>
    </rPh>
    <rPh sb="35" eb="36">
      <t>ケ</t>
    </rPh>
    <phoneticPr fontId="5"/>
  </si>
  <si>
    <t>攻撃をする場合は攻撃力の高いユニットの
ターンに多くのパネルを繋げましょう</t>
    <rPh sb="0" eb="2">
      <t>コウゲキ</t>
    </rPh>
    <rPh sb="5" eb="7">
      <t>バアイ</t>
    </rPh>
    <rPh sb="8" eb="11">
      <t>コウゲキリョク</t>
    </rPh>
    <rPh sb="12" eb="13">
      <t>タカ</t>
    </rPh>
    <rPh sb="31" eb="32">
      <t>ツナ</t>
    </rPh>
    <phoneticPr fontId="5"/>
  </si>
  <si>
    <t>このフロアに稀に出てくるサンダーバードは
暗闇の状態異常を使ってきます</t>
    <rPh sb="6" eb="7">
      <t>マレ</t>
    </rPh>
    <rPh sb="8" eb="9">
      <t>デ</t>
    </rPh>
    <rPh sb="21" eb="23">
      <t>クラヤミ</t>
    </rPh>
    <rPh sb="24" eb="28">
      <t>ジョウタイイジョウ</t>
    </rPh>
    <rPh sb="29" eb="30">
      <t>ツカ</t>
    </rPh>
    <phoneticPr fontId="5"/>
  </si>
  <si>
    <t>稀に出現するガンテツはこちらの
攻撃力を50%下げるスキルを使ってきます
攻撃を集中させて早めに倒しましょう</t>
    <rPh sb="0" eb="1">
      <t>マレ</t>
    </rPh>
    <rPh sb="2" eb="4">
      <t>シュツゲン</t>
    </rPh>
    <rPh sb="16" eb="19">
      <t>コウゲキリョク</t>
    </rPh>
    <rPh sb="23" eb="24">
      <t>サ</t>
    </rPh>
    <rPh sb="30" eb="31">
      <t>ツカ</t>
    </rPh>
    <rPh sb="37" eb="39">
      <t>コウゲキ</t>
    </rPh>
    <rPh sb="40" eb="42">
      <t>シュウチュウ</t>
    </rPh>
    <rPh sb="45" eb="46">
      <t>ハヤ</t>
    </rPh>
    <rPh sb="48" eb="49">
      <t>タオ</t>
    </rPh>
    <phoneticPr fontId="5"/>
  </si>
  <si>
    <t>1ゲージ目のフェニックスは4回に1度
連続攻撃をしてきます
通常の攻撃よりも強力なので注意しましょう</t>
    <rPh sb="4" eb="5">
      <t>メ</t>
    </rPh>
    <rPh sb="14" eb="16">
      <t>kaiンi</t>
    </rPh>
    <rPh sb="17" eb="18">
      <t>ド</t>
    </rPh>
    <rPh sb="19" eb="23">
      <t>レンゾクコウゲキ</t>
    </rPh>
    <rPh sb="30" eb="37">
      <t>ツウジョウ</t>
    </rPh>
    <rPh sb="38" eb="40">
      <t>キョウリョク</t>
    </rPh>
    <rPh sb="43" eb="45">
      <t>チュウイ</t>
    </rPh>
    <phoneticPr fontId="5"/>
  </si>
  <si>
    <t>2ゲージ目のフェニックスは体力が減ると
大回復するスキルを使用してきます
スキルなどを使って一気に倒しましょう</t>
    <rPh sb="4" eb="5">
      <t>メ</t>
    </rPh>
    <rPh sb="13" eb="15">
      <t>タイリョク</t>
    </rPh>
    <rPh sb="16" eb="17">
      <t>ヘ</t>
    </rPh>
    <rPh sb="20" eb="23">
      <t>ダイカイフク</t>
    </rPh>
    <rPh sb="29" eb="31">
      <t>シヨウ</t>
    </rPh>
    <rPh sb="43" eb="44">
      <t>ツカ</t>
    </rPh>
    <rPh sb="46" eb="48">
      <t>イッキ</t>
    </rPh>
    <rPh sb="49" eb="50">
      <t>タオ</t>
    </rPh>
    <phoneticPr fontId="5"/>
  </si>
  <si>
    <t>フェニックスは4回に1度
連続攻撃をしてきます
通常の攻撃よりも強力なので注意しましょう</t>
    <rPh sb="8" eb="10">
      <t>kaiンi</t>
    </rPh>
    <rPh sb="11" eb="12">
      <t>ド</t>
    </rPh>
    <rPh sb="13" eb="17">
      <t>レンゾクコウゲキ</t>
    </rPh>
    <rPh sb="24" eb="31">
      <t>ツウジョウ</t>
    </rPh>
    <rPh sb="32" eb="34">
      <t>キョウリョク</t>
    </rPh>
    <rPh sb="37" eb="39">
      <t>チュウイ</t>
    </rPh>
    <phoneticPr fontId="5"/>
  </si>
  <si>
    <t>フェニックスは体力が減ると
大回復するスキルを使用してきます
スキルなどを使って一気に倒しましょう</t>
    <rPh sb="7" eb="9">
      <t>タイリョク</t>
    </rPh>
    <rPh sb="10" eb="11">
      <t>ヘ</t>
    </rPh>
    <rPh sb="14" eb="17">
      <t>ダイカイフク</t>
    </rPh>
    <rPh sb="23" eb="25">
      <t>シヨウ</t>
    </rPh>
    <rPh sb="37" eb="38">
      <t>ツカ</t>
    </rPh>
    <rPh sb="40" eb="42">
      <t>イッキ</t>
    </rPh>
    <rPh sb="43" eb="44">
      <t>タオ</t>
    </rPh>
    <phoneticPr fontId="5"/>
  </si>
  <si>
    <t>ダックスは稀に連続攻撃をしてきます
通常の攻撃よりも強力なので注意しましょう</t>
    <rPh sb="5" eb="6">
      <t>マレ</t>
    </rPh>
    <rPh sb="7" eb="11">
      <t>レンゾクコウゲキ</t>
    </rPh>
    <phoneticPr fontId="5"/>
  </si>
  <si>
    <t>[effect:heal, target:myself, val:0.6, animation:enemy_heal]</t>
    <phoneticPr fontId="5"/>
  </si>
  <si>
    <t>[effect:heal, target:myself, val:1, animation:enemy_heal]</t>
    <phoneticPr fontId="5"/>
  </si>
  <si>
    <t>より強い力を持って復活を果たした</t>
    <rPh sb="9" eb="11">
      <t>フッカツヲハタシタ</t>
    </rPh>
    <phoneticPr fontId="5"/>
  </si>
  <si>
    <t>[effect:spread, val:0.28],[effect:heal, target:myself, val:0.05, animation:enemy_heal]</t>
    <phoneticPr fontId="5"/>
  </si>
  <si>
    <t>[effect:degrade_unit, target:unit_all, turn:2, status:attack, val:0.5, calc:mul],[effect:heal, target:myself, val:0.05, animation:enemy_heal]</t>
    <phoneticPr fontId="5"/>
  </si>
  <si>
    <t>慢心を捨て自身の自己治癒能力を高めた</t>
    <rPh sb="0" eb="2">
      <t>マンシンヲステ</t>
    </rPh>
    <rPh sb="5" eb="7">
      <t>ジシンノ</t>
    </rPh>
    <rPh sb="8" eb="14">
      <t>ジコチユノウリョクヲ</t>
    </rPh>
    <rPh sb="15" eb="16">
      <t>タカメタ</t>
    </rPh>
    <phoneticPr fontId="5"/>
  </si>
  <si>
    <t>[effect:nothing],[effect:fix_speed, target:myself, turn:1]</t>
    <phoneticPr fontId="5"/>
  </si>
  <si>
    <t>ビックバン・サイクロン</t>
    <phoneticPr fontId="5"/>
  </si>
  <si>
    <t>[effect:spread, val:0.15],[effect:spread, val:0.15],[effect:spread, val:0.15],[effect:spread, val:0.15]</t>
    <phoneticPr fontId="5"/>
  </si>
  <si>
    <t>渦炎翔</t>
    <rPh sb="0" eb="2">
      <t>カエンヨク</t>
    </rPh>
    <phoneticPr fontId="5"/>
  </si>
  <si>
    <t>紫電一閃</t>
    <rPh sb="0" eb="2">
      <t>シデン</t>
    </rPh>
    <phoneticPr fontId="5"/>
  </si>
  <si>
    <t>鳥やないとでも言うんか！？</t>
    <rPh sb="0" eb="1">
      <t>toriyaナイト</t>
    </rPh>
    <rPh sb="7" eb="8">
      <t>イウンカ</t>
    </rPh>
    <phoneticPr fontId="5"/>
  </si>
  <si>
    <t>2ターン攻撃力が50%DOWN</t>
    <phoneticPr fontId="5"/>
  </si>
  <si>
    <t>ボクに構えさせるとはなァ！！</t>
    <rPh sb="3" eb="4">
      <t>カマ</t>
    </rPh>
    <phoneticPr fontId="5"/>
  </si>
  <si>
    <t>閃光の追跡者</t>
    <rPh sb="0" eb="2">
      <t>seンンkouha</t>
    </rPh>
    <phoneticPr fontId="5"/>
  </si>
  <si>
    <t>　・・・ものすごい剣幕だ
2ターン攻撃力が50%DOWN</t>
    <phoneticPr fontId="5"/>
  </si>
  <si>
    <t>フルボッコ</t>
    <phoneticPr fontId="5"/>
  </si>
  <si>
    <t>[effect:rush, count:3, val:0.35]</t>
    <phoneticPr fontId="5"/>
  </si>
  <si>
    <t>ペンギンは鳥類ペンギン目に属する種の総称である</t>
    <phoneticPr fontId="5"/>
  </si>
  <si>
    <t>2ターン攻撃力が50%DOWN +HP回復</t>
    <rPh sb="19" eb="21">
      <t>カ</t>
    </rPh>
    <phoneticPr fontId="5"/>
  </si>
  <si>
    <t>全体攻撃+ HP回復</t>
    <rPh sb="0" eb="4">
      <t>ゼンタイコウゲキ</t>
    </rPh>
    <phoneticPr fontId="5"/>
  </si>
  <si>
    <t xml:space="preserve">[effect:degrade_unit, target:unit_all, turn:2, status:attack, val:0.5, calc:mul],[effect:enemy_message, val1:1, val2:2.8]    </t>
    <phoneticPr fontId="5"/>
  </si>
  <si>
    <t xml:space="preserve">[effect:nothing],[effect:enemy_message, val1:1, val2:2.3]    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</si>
</sst>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88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11" fillId="0" borderId="7" xfId="0" applyFont="1" applyBorder="1" applyAlignment="1">
      <alignment vertical="center"/>
    </xf>
    <xf numFmtId="0" fontId="6" fillId="31" borderId="9" xfId="0" applyFont="1" applyFill="1" applyBorder="1" applyAlignment="1">
      <alignment vertical="center"/>
    </xf>
    <xf numFmtId="0" fontId="6" fillId="31" borderId="11" xfId="0" applyFont="1" applyFill="1" applyBorder="1" applyAlignment="1">
      <alignment vertical="center"/>
    </xf>
    <xf numFmtId="0" fontId="6" fillId="31" borderId="3" xfId="0" applyFont="1" applyFill="1" applyBorder="1" applyAlignment="1">
      <alignment vertical="center"/>
    </xf>
    <xf numFmtId="0" fontId="4" fillId="13" borderId="1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7" fillId="32" borderId="7" xfId="0" applyFont="1" applyFill="1" applyBorder="1"/>
    <xf numFmtId="0" fontId="27" fillId="33" borderId="7" xfId="0" applyFont="1" applyFill="1" applyBorder="1"/>
    <xf numFmtId="0" fontId="0" fillId="0" borderId="12" xfId="0" applyBorder="1"/>
    <xf numFmtId="0" fontId="27" fillId="0" borderId="12" xfId="0" applyFont="1" applyFill="1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0" borderId="23" xfId="0" applyBorder="1"/>
    <xf numFmtId="0" fontId="27" fillId="0" borderId="23" xfId="0" applyFont="1" applyFill="1" applyBorder="1"/>
    <xf numFmtId="0" fontId="0" fillId="3" borderId="23" xfId="0" applyFill="1" applyBorder="1"/>
    <xf numFmtId="0" fontId="6" fillId="5" borderId="23" xfId="0" applyFont="1" applyFill="1" applyBorder="1" applyAlignment="1">
      <alignment vertical="center"/>
    </xf>
    <xf numFmtId="0" fontId="27" fillId="33" borderId="23" xfId="0" applyFont="1" applyFill="1" applyBorder="1"/>
  </cellXfs>
  <cellStyles count="88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赤字強調" xfId="431"/>
    <cellStyle name="青字強調" xfId="43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A13" sqref="A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238</v>
      </c>
      <c r="B2" s="56" t="s">
        <v>107</v>
      </c>
      <c r="C2" s="7">
        <v>30034</v>
      </c>
      <c r="D2" s="56" t="s">
        <v>108</v>
      </c>
      <c r="E2" s="55" t="str">
        <f>B2&amp;C2&amp;D2</f>
        <v>floors_30034.tmp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238</v>
      </c>
      <c r="B3" s="56" t="s">
        <v>110</v>
      </c>
      <c r="C3" s="7">
        <v>30034</v>
      </c>
      <c r="D3" s="56" t="s">
        <v>108</v>
      </c>
      <c r="E3" s="55" t="str">
        <f>B3&amp;C3&amp;D3</f>
        <v>enemy_habitats_30034.tmp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179</v>
      </c>
    </row>
    <row r="4" spans="1:30" x14ac:dyDescent="0.15">
      <c r="A4" s="60" t="s">
        <v>238</v>
      </c>
      <c r="B4" s="56" t="s">
        <v>112</v>
      </c>
      <c r="C4" s="7">
        <v>30034</v>
      </c>
      <c r="D4" s="56" t="s">
        <v>108</v>
      </c>
      <c r="E4" s="55" t="str">
        <f>B4&amp;C4&amp;D4</f>
        <v>enemy_habitat_S_30034.tmp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238</v>
      </c>
      <c r="B5" s="56" t="s">
        <v>114</v>
      </c>
      <c r="C5" s="7">
        <v>30034</v>
      </c>
      <c r="D5" s="56" t="s">
        <v>108</v>
      </c>
      <c r="E5" s="55" t="str">
        <f>B5&amp;C5&amp;D5</f>
        <v>enemy_skill_sets_30034.tmp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238</v>
      </c>
      <c r="B6" s="56" t="s">
        <v>116</v>
      </c>
      <c r="C6" s="7">
        <v>30034</v>
      </c>
      <c r="D6" s="56" t="s">
        <v>117</v>
      </c>
      <c r="E6" s="55" t="str">
        <f t="shared" ref="E6:E10" si="0">B6&amp;C6&amp;D6</f>
        <v>enemy_skills_tmp_30034.tmp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238</v>
      </c>
      <c r="B7" s="56" t="s">
        <v>118</v>
      </c>
      <c r="C7" s="7">
        <v>30034</v>
      </c>
      <c r="D7" s="56" t="s">
        <v>108</v>
      </c>
      <c r="E7" s="55" t="str">
        <f>B7&amp;C7&amp;D7</f>
        <v>enemy_skills_i18n_30034.tmp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238</v>
      </c>
      <c r="B8" s="56" t="s">
        <v>120</v>
      </c>
      <c r="C8" s="7">
        <v>30034</v>
      </c>
      <c r="D8" s="56" t="s">
        <v>121</v>
      </c>
      <c r="E8" s="55" t="str">
        <f t="shared" si="0"/>
        <v>enemy_skill_triggers_30034.tmp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60" t="s">
        <v>238</v>
      </c>
      <c r="B9" s="65" t="s">
        <v>178</v>
      </c>
      <c r="C9" s="7">
        <v>30034</v>
      </c>
      <c r="D9" s="65" t="s">
        <v>172</v>
      </c>
      <c r="E9" s="66" t="str">
        <f t="shared" si="0"/>
        <v>stage_bug_bonuses_30034.tmp</v>
      </c>
      <c r="F9" s="65" t="s">
        <v>173</v>
      </c>
      <c r="G9" s="62" t="s">
        <v>151</v>
      </c>
      <c r="H9" s="62" t="s">
        <v>174</v>
      </c>
      <c r="I9" s="62" t="s">
        <v>175</v>
      </c>
      <c r="J9" s="64" t="s">
        <v>176</v>
      </c>
      <c r="K9" s="62" t="s">
        <v>177</v>
      </c>
      <c r="L9" s="62" t="s">
        <v>157</v>
      </c>
      <c r="M9" s="62" t="s">
        <v>158</v>
      </c>
      <c r="N9" s="62" t="s">
        <v>159</v>
      </c>
      <c r="O9" s="62" t="s">
        <v>160</v>
      </c>
      <c r="P9" s="62" t="s">
        <v>161</v>
      </c>
      <c r="Q9" s="62" t="s">
        <v>162</v>
      </c>
      <c r="R9" s="62" t="s">
        <v>163</v>
      </c>
      <c r="S9" s="62" t="s">
        <v>164</v>
      </c>
      <c r="T9" s="62" t="s">
        <v>165</v>
      </c>
      <c r="U9" s="62" t="s">
        <v>166</v>
      </c>
      <c r="V9" s="62" t="s">
        <v>167</v>
      </c>
      <c r="W9" s="62" t="s">
        <v>168</v>
      </c>
    </row>
    <row r="10" spans="1:30" s="73" customFormat="1" x14ac:dyDescent="0.15">
      <c r="A10" s="60" t="s">
        <v>238</v>
      </c>
      <c r="B10" s="65" t="s">
        <v>202</v>
      </c>
      <c r="C10" s="7">
        <v>30034</v>
      </c>
      <c r="D10" s="65" t="s">
        <v>181</v>
      </c>
      <c r="E10" s="66" t="str">
        <f t="shared" si="0"/>
        <v>stage_hints_data_c_30034.tmp</v>
      </c>
      <c r="F10" s="65" t="s">
        <v>210</v>
      </c>
      <c r="G10" s="70" t="s">
        <v>182</v>
      </c>
      <c r="H10" s="70" t="s">
        <v>174</v>
      </c>
      <c r="I10" s="71" t="s">
        <v>183</v>
      </c>
      <c r="J10" s="64" t="s">
        <v>184</v>
      </c>
      <c r="K10" s="72" t="s">
        <v>185</v>
      </c>
    </row>
    <row r="11" spans="1:30" s="73" customFormat="1" x14ac:dyDescent="0.15">
      <c r="A11" s="60" t="s">
        <v>238</v>
      </c>
      <c r="B11" s="65" t="s">
        <v>203</v>
      </c>
      <c r="C11" s="7">
        <v>30034</v>
      </c>
      <c r="D11" s="65" t="s">
        <v>172</v>
      </c>
      <c r="E11" s="66" t="str">
        <f t="shared" ref="E11:E12" si="1">B11&amp;C11&amp;D11</f>
        <v>stage_hints_data_f_30034.tmp</v>
      </c>
      <c r="F11" s="65" t="s">
        <v>212</v>
      </c>
      <c r="G11" s="70" t="s">
        <v>182</v>
      </c>
      <c r="H11" s="70" t="s">
        <v>174</v>
      </c>
      <c r="I11" s="71" t="s">
        <v>183</v>
      </c>
      <c r="J11" s="64" t="s">
        <v>184</v>
      </c>
      <c r="K11" s="72" t="s">
        <v>185</v>
      </c>
    </row>
    <row r="12" spans="1:30" s="73" customFormat="1" x14ac:dyDescent="0.15">
      <c r="A12" s="60" t="s">
        <v>238</v>
      </c>
      <c r="B12" s="65" t="s">
        <v>204</v>
      </c>
      <c r="C12" s="7">
        <v>30034</v>
      </c>
      <c r="D12" s="65" t="s">
        <v>172</v>
      </c>
      <c r="E12" s="66" t="str">
        <f t="shared" si="1"/>
        <v>stage_hints_i18n_30034.tmp</v>
      </c>
      <c r="F12" s="65" t="s">
        <v>213</v>
      </c>
      <c r="G12" s="71" t="s">
        <v>205</v>
      </c>
      <c r="H12" s="93" t="s">
        <v>206</v>
      </c>
      <c r="I12" s="70" t="s">
        <v>207</v>
      </c>
      <c r="J12" s="94" t="s">
        <v>208</v>
      </c>
      <c r="K12" s="72" t="s">
        <v>209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6"/>
  <sheetViews>
    <sheetView showGridLines="0" workbookViewId="0">
      <pane ySplit="1" topLeftCell="A2" activePane="bottomLeft" state="frozen"/>
      <selection activeCell="V2" sqref="V2:X34"/>
      <selection pane="bottomLeft" activeCell="L8" sqref="L8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6" si="0">G2&amp;"-"&amp;I2</f>
        <v>30034_3-1</v>
      </c>
      <c r="B2" s="16" t="str">
        <f>IF(COUNTIF(enemy_habitats!$H:$H,A2),"OK","NG")</f>
        <v>OK</v>
      </c>
      <c r="C2" s="7">
        <v>30034</v>
      </c>
      <c r="D2" s="11" t="str">
        <f ca="1">VLOOKUP($C2,OFFSET([2]quests!$A$1,0,0,COUNTA([2]quests!$A:$A),MATCH(D$1,[2]quests!$1:$1,0)-MATCH($C$1,[2]quests!$1:$1,0)+1),MATCH(D$1,[2]quests!$1:$1,0)-MATCH($C$1,[2]quests!$1:$1,0)+1,FALSE)</f>
        <v>孤高の焔翼</v>
      </c>
      <c r="E2" s="18" t="str">
        <f ca="1">VLOOKUP($C2,OFFSET([2]quests!$A$1,0,0,COUNTA([2]quests!$A:$A),MATCH(E$1,[2]quests!$1:$1,0)-MATCH($C$1,[2]quests!$1:$1,0)+1),MATCH(E$1,[2]quests!$1:$1,0)-MATCH($C$1,[2]quests!$1:$1,0)+1,FALSE)</f>
        <v>天使と悪魔</v>
      </c>
      <c r="F2" s="21">
        <v>3</v>
      </c>
      <c r="G2" s="22" t="str">
        <f t="shared" ref="G2:G16" si="1">C2&amp;"_"&amp;F2</f>
        <v>30034_3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【超級】孤高の焔翼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si="0"/>
        <v>30034_3-2</v>
      </c>
      <c r="B3" s="16" t="str">
        <f>IF(COUNTIF(enemy_habitats!$H:$H,A3),"OK","NG")</f>
        <v>OK</v>
      </c>
      <c r="C3" s="7">
        <v>30034</v>
      </c>
      <c r="D3" s="11" t="str">
        <f ca="1">VLOOKUP($C3,OFFSET([2]quests!$A$1,0,0,COUNTA([2]quests!$A:$A),MATCH(D$1,[2]quests!$1:$1,0)-MATCH($C$1,[2]quests!$1:$1,0)+1),MATCH(D$1,[2]quests!$1:$1,0)-MATCH($C$1,[2]quests!$1:$1,0)+1,FALSE)</f>
        <v>孤高の焔翼</v>
      </c>
      <c r="E3" s="18" t="str">
        <f ca="1">VLOOKUP($C3,OFFSET([2]quests!$A$1,0,0,COUNTA([2]quests!$A:$A),MATCH(E$1,[2]quests!$1:$1,0)-MATCH($C$1,[2]quests!$1:$1,0)+1),MATCH(E$1,[2]quests!$1:$1,0)-MATCH($C$1,[2]quests!$1:$1,0)+1,FALSE)</f>
        <v>天使と悪魔</v>
      </c>
      <c r="F3" s="21">
        <v>3</v>
      </c>
      <c r="G3" s="22" t="str">
        <f t="shared" si="1"/>
        <v>30034_3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【超級】孤高の焔翼</v>
      </c>
      <c r="I3" s="21">
        <v>2</v>
      </c>
      <c r="J3" s="12">
        <v>30</v>
      </c>
      <c r="K3" s="12">
        <v>30</v>
      </c>
    </row>
    <row r="4" spans="1:11" ht="21" customHeight="1" x14ac:dyDescent="0.15">
      <c r="A4" s="16" t="str">
        <f t="shared" si="0"/>
        <v>30034_3-3</v>
      </c>
      <c r="B4" s="16" t="str">
        <f>IF(COUNTIF(enemy_habitats!$H:$H,A4),"OK","NG")</f>
        <v>OK</v>
      </c>
      <c r="C4" s="7">
        <v>30034</v>
      </c>
      <c r="D4" s="11" t="str">
        <f ca="1">VLOOKUP($C4,OFFSET([2]quests!$A$1,0,0,COUNTA([2]quests!$A:$A),MATCH(D$1,[2]quests!$1:$1,0)-MATCH($C$1,[2]quests!$1:$1,0)+1),MATCH(D$1,[2]quests!$1:$1,0)-MATCH($C$1,[2]quests!$1:$1,0)+1,FALSE)</f>
        <v>孤高の焔翼</v>
      </c>
      <c r="E4" s="18" t="str">
        <f ca="1">VLOOKUP($C4,OFFSET([2]quests!$A$1,0,0,COUNTA([2]quests!$A:$A),MATCH(E$1,[2]quests!$1:$1,0)-MATCH($C$1,[2]quests!$1:$1,0)+1),MATCH(E$1,[2]quests!$1:$1,0)-MATCH($C$1,[2]quests!$1:$1,0)+1,FALSE)</f>
        <v>天使と悪魔</v>
      </c>
      <c r="F4" s="21">
        <v>3</v>
      </c>
      <c r="G4" s="22" t="str">
        <f t="shared" si="1"/>
        <v>30034_3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【超級】孤高の焔翼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30034_3-4</v>
      </c>
      <c r="B5" s="16" t="str">
        <f>IF(COUNTIF(enemy_habitats!$H:$H,A5),"OK","NG")</f>
        <v>OK</v>
      </c>
      <c r="C5" s="7">
        <v>30034</v>
      </c>
      <c r="D5" s="11" t="str">
        <f ca="1">VLOOKUP($C5,OFFSET([2]quests!$A$1,0,0,COUNTA([2]quests!$A:$A),MATCH(D$1,[2]quests!$1:$1,0)-MATCH($C$1,[2]quests!$1:$1,0)+1),MATCH(D$1,[2]quests!$1:$1,0)-MATCH($C$1,[2]quests!$1:$1,0)+1,FALSE)</f>
        <v>孤高の焔翼</v>
      </c>
      <c r="E5" s="18" t="str">
        <f ca="1">VLOOKUP($C5,OFFSET([2]quests!$A$1,0,0,COUNTA([2]quests!$A:$A),MATCH(E$1,[2]quests!$1:$1,0)-MATCH($C$1,[2]quests!$1:$1,0)+1),MATCH(E$1,[2]quests!$1:$1,0)-MATCH($C$1,[2]quests!$1:$1,0)+1,FALSE)</f>
        <v>天使と悪魔</v>
      </c>
      <c r="F5" s="21">
        <v>3</v>
      </c>
      <c r="G5" s="22" t="str">
        <f t="shared" si="1"/>
        <v>30034_3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【超級】孤高の焔翼</v>
      </c>
      <c r="I5" s="21">
        <v>4</v>
      </c>
      <c r="J5" s="12">
        <v>35</v>
      </c>
      <c r="K5" s="12">
        <v>35</v>
      </c>
    </row>
    <row r="6" spans="1:11" ht="21" customHeight="1" x14ac:dyDescent="0.15">
      <c r="A6" s="16" t="str">
        <f t="shared" si="0"/>
        <v>30034_3-5</v>
      </c>
      <c r="B6" s="16" t="str">
        <f>IF(COUNTIF(enemy_habitats!$H:$H,A6),"OK","NG")</f>
        <v>OK</v>
      </c>
      <c r="C6" s="7">
        <v>30034</v>
      </c>
      <c r="D6" s="11" t="str">
        <f ca="1">VLOOKUP($C6,OFFSET([2]quests!$A$1,0,0,COUNTA([2]quests!$A:$A),MATCH(D$1,[2]quests!$1:$1,0)-MATCH($C$1,[2]quests!$1:$1,0)+1),MATCH(D$1,[2]quests!$1:$1,0)-MATCH($C$1,[2]quests!$1:$1,0)+1,FALSE)</f>
        <v>孤高の焔翼</v>
      </c>
      <c r="E6" s="18" t="str">
        <f ca="1">VLOOKUP($C6,OFFSET([2]quests!$A$1,0,0,COUNTA([2]quests!$A:$A),MATCH(E$1,[2]quests!$1:$1,0)-MATCH($C$1,[2]quests!$1:$1,0)+1),MATCH(E$1,[2]quests!$1:$1,0)-MATCH($C$1,[2]quests!$1:$1,0)+1,FALSE)</f>
        <v>天使と悪魔</v>
      </c>
      <c r="F6" s="21">
        <v>3</v>
      </c>
      <c r="G6" s="22" t="str">
        <f t="shared" si="1"/>
        <v>30034_3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【超級】孤高の焔翼</v>
      </c>
      <c r="I6" s="21">
        <v>5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30034_2-1</v>
      </c>
      <c r="B7" s="16" t="str">
        <f>IF(COUNTIF(enemy_habitats!$H:$H,A7),"OK","NG")</f>
        <v>OK</v>
      </c>
      <c r="C7" s="7">
        <v>30034</v>
      </c>
      <c r="D7" s="11" t="str">
        <f ca="1">VLOOKUP($C7,OFFSET([2]quests!$A$1,0,0,COUNTA([2]quests!$A:$A),MATCH(D$1,[2]quests!$1:$1,0)-MATCH($C$1,[2]quests!$1:$1,0)+1),MATCH(D$1,[2]quests!$1:$1,0)-MATCH($C$1,[2]quests!$1:$1,0)+1,FALSE)</f>
        <v>孤高の焔翼</v>
      </c>
      <c r="E7" s="18" t="str">
        <f ca="1">VLOOKUP($C7,OFFSET([2]quests!$A$1,0,0,COUNTA([2]quests!$A:$A),MATCH(E$1,[2]quests!$1:$1,0)-MATCH($C$1,[2]quests!$1:$1,0)+1),MATCH(E$1,[2]quests!$1:$1,0)-MATCH($C$1,[2]quests!$1:$1,0)+1,FALSE)</f>
        <v>天使と悪魔</v>
      </c>
      <c r="F7" s="21">
        <v>2</v>
      </c>
      <c r="G7" s="22" t="str">
        <f t="shared" si="1"/>
        <v>30034_2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【上級】孤高の焔翼</v>
      </c>
      <c r="I7" s="21">
        <v>1</v>
      </c>
      <c r="J7" s="12">
        <v>30</v>
      </c>
      <c r="K7" s="12">
        <v>30</v>
      </c>
    </row>
    <row r="8" spans="1:11" ht="21" customHeight="1" x14ac:dyDescent="0.15">
      <c r="A8" s="16" t="str">
        <f t="shared" si="0"/>
        <v>30034_2-2</v>
      </c>
      <c r="B8" s="16" t="str">
        <f>IF(COUNTIF(enemy_habitats!$H:$H,A8),"OK","NG")</f>
        <v>OK</v>
      </c>
      <c r="C8" s="7">
        <v>30034</v>
      </c>
      <c r="D8" s="11" t="str">
        <f ca="1">VLOOKUP($C8,OFFSET([2]quests!$A$1,0,0,COUNTA([2]quests!$A:$A),MATCH(D$1,[2]quests!$1:$1,0)-MATCH($C$1,[2]quests!$1:$1,0)+1),MATCH(D$1,[2]quests!$1:$1,0)-MATCH($C$1,[2]quests!$1:$1,0)+1,FALSE)</f>
        <v>孤高の焔翼</v>
      </c>
      <c r="E8" s="18" t="str">
        <f ca="1">VLOOKUP($C8,OFFSET([2]quests!$A$1,0,0,COUNTA([2]quests!$A:$A),MATCH(E$1,[2]quests!$1:$1,0)-MATCH($C$1,[2]quests!$1:$1,0)+1),MATCH(E$1,[2]quests!$1:$1,0)-MATCH($C$1,[2]quests!$1:$1,0)+1,FALSE)</f>
        <v>天使と悪魔</v>
      </c>
      <c r="F8" s="21">
        <v>2</v>
      </c>
      <c r="G8" s="22" t="str">
        <f t="shared" si="1"/>
        <v>30034_2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【上級】孤高の焔翼</v>
      </c>
      <c r="I8" s="21">
        <v>2</v>
      </c>
      <c r="J8" s="12">
        <v>30</v>
      </c>
      <c r="K8" s="12">
        <v>30</v>
      </c>
    </row>
    <row r="9" spans="1:11" ht="21" customHeight="1" x14ac:dyDescent="0.15">
      <c r="A9" s="16" t="str">
        <f t="shared" si="0"/>
        <v>30034_2-3</v>
      </c>
      <c r="B9" s="16" t="str">
        <f>IF(COUNTIF(enemy_habitats!$H:$H,A9),"OK","NG")</f>
        <v>OK</v>
      </c>
      <c r="C9" s="7">
        <v>30034</v>
      </c>
      <c r="D9" s="11" t="str">
        <f ca="1">VLOOKUP($C9,OFFSET([2]quests!$A$1,0,0,COUNTA([2]quests!$A:$A),MATCH(D$1,[2]quests!$1:$1,0)-MATCH($C$1,[2]quests!$1:$1,0)+1),MATCH(D$1,[2]quests!$1:$1,0)-MATCH($C$1,[2]quests!$1:$1,0)+1,FALSE)</f>
        <v>孤高の焔翼</v>
      </c>
      <c r="E9" s="18" t="str">
        <f ca="1">VLOOKUP($C9,OFFSET([2]quests!$A$1,0,0,COUNTA([2]quests!$A:$A),MATCH(E$1,[2]quests!$1:$1,0)-MATCH($C$1,[2]quests!$1:$1,0)+1),MATCH(E$1,[2]quests!$1:$1,0)-MATCH($C$1,[2]quests!$1:$1,0)+1,FALSE)</f>
        <v>天使と悪魔</v>
      </c>
      <c r="F9" s="21">
        <v>2</v>
      </c>
      <c r="G9" s="22" t="str">
        <f t="shared" si="1"/>
        <v>30034_2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【上級】孤高の焔翼</v>
      </c>
      <c r="I9" s="21">
        <v>3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30034_2-4</v>
      </c>
      <c r="B10" s="16" t="str">
        <f>IF(COUNTIF(enemy_habitats!$H:$H,A10),"OK","NG")</f>
        <v>OK</v>
      </c>
      <c r="C10" s="7">
        <v>30034</v>
      </c>
      <c r="D10" s="11" t="str">
        <f ca="1">VLOOKUP($C10,OFFSET([2]quests!$A$1,0,0,COUNTA([2]quests!$A:$A),MATCH(D$1,[2]quests!$1:$1,0)-MATCH($C$1,[2]quests!$1:$1,0)+1),MATCH(D$1,[2]quests!$1:$1,0)-MATCH($C$1,[2]quests!$1:$1,0)+1,FALSE)</f>
        <v>孤高の焔翼</v>
      </c>
      <c r="E10" s="18" t="str">
        <f ca="1">VLOOKUP($C10,OFFSET([2]quests!$A$1,0,0,COUNTA([2]quests!$A:$A),MATCH(E$1,[2]quests!$1:$1,0)-MATCH($C$1,[2]quests!$1:$1,0)+1),MATCH(E$1,[2]quests!$1:$1,0)-MATCH($C$1,[2]quests!$1:$1,0)+1,FALSE)</f>
        <v>天使と悪魔</v>
      </c>
      <c r="F10" s="21">
        <v>2</v>
      </c>
      <c r="G10" s="22" t="str">
        <f t="shared" si="1"/>
        <v>30034_2</v>
      </c>
      <c r="H10" s="15" t="str">
        <f ca="1">VLOOKUP($G10,OFFSET([2]stages!$A$1,0,0,COUNTA([2]stages!$A:$A),MATCH(H$1,[2]stages!$2:$2,0)-MATCH($G$1,[2]stages!$2:$2,0)+1),MATCH(H$1,[2]stages!$2:$2,0)-MATCH($G$1,[2]stages!$2:$2,0)+1,FALSE)</f>
        <v>【上級】孤高の焔翼</v>
      </c>
      <c r="I10" s="21">
        <v>4</v>
      </c>
      <c r="J10" s="12">
        <v>35</v>
      </c>
      <c r="K10" s="12">
        <v>35</v>
      </c>
    </row>
    <row r="11" spans="1:11" ht="21" customHeight="1" x14ac:dyDescent="0.15">
      <c r="A11" s="16" t="str">
        <f t="shared" si="0"/>
        <v>30034_2-5</v>
      </c>
      <c r="B11" s="16" t="str">
        <f>IF(COUNTIF(enemy_habitats!$H:$H,A11),"OK","NG")</f>
        <v>OK</v>
      </c>
      <c r="C11" s="7">
        <v>30034</v>
      </c>
      <c r="D11" s="11" t="str">
        <f ca="1">VLOOKUP($C11,OFFSET([2]quests!$A$1,0,0,COUNTA([2]quests!$A:$A),MATCH(D$1,[2]quests!$1:$1,0)-MATCH($C$1,[2]quests!$1:$1,0)+1),MATCH(D$1,[2]quests!$1:$1,0)-MATCH($C$1,[2]quests!$1:$1,0)+1,FALSE)</f>
        <v>孤高の焔翼</v>
      </c>
      <c r="E11" s="18" t="str">
        <f ca="1">VLOOKUP($C11,OFFSET([2]quests!$A$1,0,0,COUNTA([2]quests!$A:$A),MATCH(E$1,[2]quests!$1:$1,0)-MATCH($C$1,[2]quests!$1:$1,0)+1),MATCH(E$1,[2]quests!$1:$1,0)-MATCH($C$1,[2]quests!$1:$1,0)+1,FALSE)</f>
        <v>天使と悪魔</v>
      </c>
      <c r="F11" s="21">
        <v>2</v>
      </c>
      <c r="G11" s="22" t="str">
        <f t="shared" si="1"/>
        <v>30034_2</v>
      </c>
      <c r="H11" s="15" t="str">
        <f ca="1">VLOOKUP($G11,OFFSET([2]stages!$A$1,0,0,COUNTA([2]stages!$A:$A),MATCH(H$1,[2]stages!$2:$2,0)-MATCH($G$1,[2]stages!$2:$2,0)+1),MATCH(H$1,[2]stages!$2:$2,0)-MATCH($G$1,[2]stages!$2:$2,0)+1,FALSE)</f>
        <v>【上級】孤高の焔翼</v>
      </c>
      <c r="I11" s="21">
        <v>5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30034_1-1</v>
      </c>
      <c r="B12" s="16" t="str">
        <f>IF(COUNTIF(enemy_habitats!$H:$H,A12),"OK","NG")</f>
        <v>OK</v>
      </c>
      <c r="C12" s="7">
        <v>30034</v>
      </c>
      <c r="D12" s="11" t="str">
        <f ca="1">VLOOKUP($C12,OFFSET([2]quests!$A$1,0,0,COUNTA([2]quests!$A:$A),MATCH(D$1,[2]quests!$1:$1,0)-MATCH($C$1,[2]quests!$1:$1,0)+1),MATCH(D$1,[2]quests!$1:$1,0)-MATCH($C$1,[2]quests!$1:$1,0)+1,FALSE)</f>
        <v>孤高の焔翼</v>
      </c>
      <c r="E12" s="18" t="str">
        <f ca="1">VLOOKUP($C12,OFFSET([2]quests!$A$1,0,0,COUNTA([2]quests!$A:$A),MATCH(E$1,[2]quests!$1:$1,0)-MATCH($C$1,[2]quests!$1:$1,0)+1),MATCH(E$1,[2]quests!$1:$1,0)-MATCH($C$1,[2]quests!$1:$1,0)+1,FALSE)</f>
        <v>天使と悪魔</v>
      </c>
      <c r="F12" s="21">
        <v>1</v>
      </c>
      <c r="G12" s="22" t="str">
        <f t="shared" si="1"/>
        <v>30034_1</v>
      </c>
      <c r="H12" s="15" t="str">
        <f ca="1">VLOOKUP($G12,OFFSET([2]stages!$A$1,0,0,COUNTA([2]stages!$A:$A),MATCH(H$1,[2]stages!$2:$2,0)-MATCH($G$1,[2]stages!$2:$2,0)+1),MATCH(H$1,[2]stages!$2:$2,0)-MATCH($G$1,[2]stages!$2:$2,0)+1,FALSE)</f>
        <v>【中級】孤高の焔翼</v>
      </c>
      <c r="I12" s="21">
        <v>1</v>
      </c>
      <c r="J12" s="12">
        <v>30</v>
      </c>
      <c r="K12" s="12">
        <v>30</v>
      </c>
    </row>
    <row r="13" spans="1:11" ht="21" customHeight="1" x14ac:dyDescent="0.15">
      <c r="A13" s="16" t="str">
        <f t="shared" si="0"/>
        <v>30034_1-2</v>
      </c>
      <c r="B13" s="16" t="str">
        <f>IF(COUNTIF(enemy_habitats!$H:$H,A13),"OK","NG")</f>
        <v>OK</v>
      </c>
      <c r="C13" s="7">
        <v>30034</v>
      </c>
      <c r="D13" s="11" t="str">
        <f ca="1">VLOOKUP($C13,OFFSET([2]quests!$A$1,0,0,COUNTA([2]quests!$A:$A),MATCH(D$1,[2]quests!$1:$1,0)-MATCH($C$1,[2]quests!$1:$1,0)+1),MATCH(D$1,[2]quests!$1:$1,0)-MATCH($C$1,[2]quests!$1:$1,0)+1,FALSE)</f>
        <v>孤高の焔翼</v>
      </c>
      <c r="E13" s="18" t="str">
        <f ca="1">VLOOKUP($C13,OFFSET([2]quests!$A$1,0,0,COUNTA([2]quests!$A:$A),MATCH(E$1,[2]quests!$1:$1,0)-MATCH($C$1,[2]quests!$1:$1,0)+1),MATCH(E$1,[2]quests!$1:$1,0)-MATCH($C$1,[2]quests!$1:$1,0)+1,FALSE)</f>
        <v>天使と悪魔</v>
      </c>
      <c r="F13" s="21">
        <v>1</v>
      </c>
      <c r="G13" s="22" t="str">
        <f t="shared" si="1"/>
        <v>30034_1</v>
      </c>
      <c r="H13" s="15" t="str">
        <f ca="1">VLOOKUP($G13,OFFSET([2]stages!$A$1,0,0,COUNTA([2]stages!$A:$A),MATCH(H$1,[2]stages!$2:$2,0)-MATCH($G$1,[2]stages!$2:$2,0)+1),MATCH(H$1,[2]stages!$2:$2,0)-MATCH($G$1,[2]stages!$2:$2,0)+1,FALSE)</f>
        <v>【中級】孤高の焔翼</v>
      </c>
      <c r="I13" s="21">
        <v>2</v>
      </c>
      <c r="J13" s="12">
        <v>30</v>
      </c>
      <c r="K13" s="12">
        <v>30</v>
      </c>
    </row>
    <row r="14" spans="1:11" ht="21" customHeight="1" x14ac:dyDescent="0.15">
      <c r="A14" s="16" t="str">
        <f t="shared" si="0"/>
        <v>30034_1-3</v>
      </c>
      <c r="B14" s="16" t="str">
        <f>IF(COUNTIF(enemy_habitats!$H:$H,A14),"OK","NG")</f>
        <v>OK</v>
      </c>
      <c r="C14" s="7">
        <v>30034</v>
      </c>
      <c r="D14" s="11" t="str">
        <f ca="1">VLOOKUP($C14,OFFSET([2]quests!$A$1,0,0,COUNTA([2]quests!$A:$A),MATCH(D$1,[2]quests!$1:$1,0)-MATCH($C$1,[2]quests!$1:$1,0)+1),MATCH(D$1,[2]quests!$1:$1,0)-MATCH($C$1,[2]quests!$1:$1,0)+1,FALSE)</f>
        <v>孤高の焔翼</v>
      </c>
      <c r="E14" s="18" t="str">
        <f ca="1">VLOOKUP($C14,OFFSET([2]quests!$A$1,0,0,COUNTA([2]quests!$A:$A),MATCH(E$1,[2]quests!$1:$1,0)-MATCH($C$1,[2]quests!$1:$1,0)+1),MATCH(E$1,[2]quests!$1:$1,0)-MATCH($C$1,[2]quests!$1:$1,0)+1,FALSE)</f>
        <v>天使と悪魔</v>
      </c>
      <c r="F14" s="21">
        <v>1</v>
      </c>
      <c r="G14" s="22" t="str">
        <f t="shared" si="1"/>
        <v>30034_1</v>
      </c>
      <c r="H14" s="15" t="str">
        <f ca="1">VLOOKUP($G14,OFFSET([2]stages!$A$1,0,0,COUNTA([2]stages!$A:$A),MATCH(H$1,[2]stages!$2:$2,0)-MATCH($G$1,[2]stages!$2:$2,0)+1),MATCH(H$1,[2]stages!$2:$2,0)-MATCH($G$1,[2]stages!$2:$2,0)+1,FALSE)</f>
        <v>【中級】孤高の焔翼</v>
      </c>
      <c r="I14" s="21">
        <v>3</v>
      </c>
      <c r="J14" s="12">
        <v>60</v>
      </c>
      <c r="K14" s="12">
        <v>60</v>
      </c>
    </row>
    <row r="15" spans="1:11" ht="21" customHeight="1" x14ac:dyDescent="0.15">
      <c r="A15" s="16" t="str">
        <f t="shared" si="0"/>
        <v>30034_1-4</v>
      </c>
      <c r="B15" s="16" t="str">
        <f>IF(COUNTIF(enemy_habitats!$H:$H,A15),"OK","NG")</f>
        <v>OK</v>
      </c>
      <c r="C15" s="7">
        <v>30034</v>
      </c>
      <c r="D15" s="11" t="str">
        <f ca="1">VLOOKUP($C15,OFFSET([2]quests!$A$1,0,0,COUNTA([2]quests!$A:$A),MATCH(D$1,[2]quests!$1:$1,0)-MATCH($C$1,[2]quests!$1:$1,0)+1),MATCH(D$1,[2]quests!$1:$1,0)-MATCH($C$1,[2]quests!$1:$1,0)+1,FALSE)</f>
        <v>孤高の焔翼</v>
      </c>
      <c r="E15" s="18" t="str">
        <f ca="1">VLOOKUP($C15,OFFSET([2]quests!$A$1,0,0,COUNTA([2]quests!$A:$A),MATCH(E$1,[2]quests!$1:$1,0)-MATCH($C$1,[2]quests!$1:$1,0)+1),MATCH(E$1,[2]quests!$1:$1,0)-MATCH($C$1,[2]quests!$1:$1,0)+1,FALSE)</f>
        <v>天使と悪魔</v>
      </c>
      <c r="F15" s="21">
        <v>1</v>
      </c>
      <c r="G15" s="22" t="str">
        <f t="shared" si="1"/>
        <v>30034_1</v>
      </c>
      <c r="H15" s="15" t="str">
        <f ca="1">VLOOKUP($G15,OFFSET([2]stages!$A$1,0,0,COUNTA([2]stages!$A:$A),MATCH(H$1,[2]stages!$2:$2,0)-MATCH($G$1,[2]stages!$2:$2,0)+1),MATCH(H$1,[2]stages!$2:$2,0)-MATCH($G$1,[2]stages!$2:$2,0)+1,FALSE)</f>
        <v>【中級】孤高の焔翼</v>
      </c>
      <c r="I15" s="21">
        <v>4</v>
      </c>
      <c r="J15" s="12">
        <v>35</v>
      </c>
      <c r="K15" s="12">
        <v>35</v>
      </c>
    </row>
    <row r="16" spans="1:11" ht="21" customHeight="1" x14ac:dyDescent="0.15">
      <c r="A16" s="16" t="str">
        <f t="shared" si="0"/>
        <v>30034_1-5</v>
      </c>
      <c r="B16" s="16" t="str">
        <f>IF(COUNTIF(enemy_habitats!$H:$H,A16),"OK","NG")</f>
        <v>OK</v>
      </c>
      <c r="C16" s="7">
        <v>30034</v>
      </c>
      <c r="D16" s="11" t="str">
        <f ca="1">VLOOKUP($C16,OFFSET([2]quests!$A$1,0,0,COUNTA([2]quests!$A:$A),MATCH(D$1,[2]quests!$1:$1,0)-MATCH($C$1,[2]quests!$1:$1,0)+1),MATCH(D$1,[2]quests!$1:$1,0)-MATCH($C$1,[2]quests!$1:$1,0)+1,FALSE)</f>
        <v>孤高の焔翼</v>
      </c>
      <c r="E16" s="18" t="str">
        <f ca="1">VLOOKUP($C16,OFFSET([2]quests!$A$1,0,0,COUNTA([2]quests!$A:$A),MATCH(E$1,[2]quests!$1:$1,0)-MATCH($C$1,[2]quests!$1:$1,0)+1),MATCH(E$1,[2]quests!$1:$1,0)-MATCH($C$1,[2]quests!$1:$1,0)+1,FALSE)</f>
        <v>天使と悪魔</v>
      </c>
      <c r="F16" s="21">
        <v>1</v>
      </c>
      <c r="G16" s="22" t="str">
        <f t="shared" si="1"/>
        <v>30034_1</v>
      </c>
      <c r="H16" s="15" t="str">
        <f ca="1">VLOOKUP($G16,OFFSET([2]stages!$A$1,0,0,COUNTA([2]stages!$A:$A),MATCH(H$1,[2]stages!$2:$2,0)-MATCH($G$1,[2]stages!$2:$2,0)+1),MATCH(H$1,[2]stages!$2:$2,0)-MATCH($G$1,[2]stages!$2:$2,0)+1,FALSE)</f>
        <v>【中級】孤高の焔翼</v>
      </c>
      <c r="I16" s="21">
        <v>5</v>
      </c>
      <c r="J16" s="12">
        <v>60</v>
      </c>
      <c r="K16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28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20" sqref="A20:XFD20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11.66406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 collapsed="1"/>
    <col min="23" max="23" width="12.1640625" style="3" hidden="1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8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33" t="s">
        <v>16</v>
      </c>
      <c r="AD1" s="33" t="s">
        <v>17</v>
      </c>
      <c r="AE1" s="3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35" t="s">
        <v>180</v>
      </c>
    </row>
    <row r="2" spans="1:40" ht="21" customHeight="1" x14ac:dyDescent="0.15">
      <c r="A2" s="16" t="str">
        <f t="shared" ref="A2:A10" si="0">B2&amp;"_"&amp;C2&amp;"-"&amp;G2&amp;"/"&amp;L2&amp;"&lt;lv"&amp;R2&amp;"&gt;s"&amp;AA2</f>
        <v>30034_3-1/840&lt;lv60&gt;s1</v>
      </c>
      <c r="B2" s="7">
        <v>30034</v>
      </c>
      <c r="C2" s="21">
        <v>3</v>
      </c>
      <c r="D2" s="2" t="str">
        <f t="shared" ref="D2:D10" si="1">B2&amp;"_"&amp;C2</f>
        <v>30034_3</v>
      </c>
      <c r="E2" s="4" t="str">
        <f ca="1">VLOOKUP($B2,OFFSET([2]quests!$A$1,0,0,COUNTA([2]quests!$A:$A),MATCH(E$1,[2]quests!$1:$1,0)-MATCH($B$1,[2]quests!$1:$1,0)+1),MATCH(E$1,[2]quests!$1:$1,0)-MATCH($B$1,[2]quests!$1:$1,0)+1,FALSE)</f>
        <v>孤高の焔翼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【超級】孤高の焔翼</v>
      </c>
      <c r="G2" s="21">
        <v>1</v>
      </c>
      <c r="H2" s="15" t="str">
        <f t="shared" ref="H2:H10" si="2">B2&amp;"_"&amp;C2&amp;"-"&amp;G2</f>
        <v>30034_3-1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7" t="s">
        <v>53</v>
      </c>
      <c r="L2" s="20">
        <v>840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フェニックス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60</v>
      </c>
      <c r="S2" s="24">
        <v>0.3</v>
      </c>
      <c r="T2" s="24">
        <v>0.5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こちらの出方を窺っている</v>
      </c>
      <c r="W2" s="99">
        <v>30034001</v>
      </c>
      <c r="X2" s="6">
        <v>0</v>
      </c>
      <c r="Y2" s="6">
        <v>100</v>
      </c>
      <c r="Z2" s="6">
        <v>0</v>
      </c>
      <c r="AA2" s="97">
        <v>1</v>
      </c>
      <c r="AB2" s="23">
        <f t="shared" ref="AB2:AB10" si="3">L2</f>
        <v>840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フェニックス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Drop2N</v>
      </c>
      <c r="AF2" s="7">
        <v>1</v>
      </c>
      <c r="AG2" s="23">
        <f t="shared" ref="AG2:AG10" ca="1" si="4">AD2</f>
        <v>4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7">
        <v>1</v>
      </c>
    </row>
    <row r="3" spans="1:40" ht="21" customHeight="1" x14ac:dyDescent="0.15">
      <c r="A3" s="16" t="str">
        <f>B3&amp;"_"&amp;C3&amp;"-"&amp;G3&amp;"/"&amp;L3&amp;"&lt;lv"&amp;R3&amp;"&gt;s"&amp;AA3</f>
        <v>30034_3-2/47&lt;lv60&gt;s2</v>
      </c>
      <c r="B3" s="7">
        <v>30034</v>
      </c>
      <c r="C3" s="21">
        <v>3</v>
      </c>
      <c r="D3" s="2" t="str">
        <f>B3&amp;"_"&amp;C3</f>
        <v>30034_3</v>
      </c>
      <c r="E3" s="4" t="str">
        <f ca="1">VLOOKUP($B3,OFFSET([2]quests!$A$1,0,0,COUNTA([2]quests!$A:$A),MATCH(E$1,[2]quests!$1:$1,0)-MATCH($B$1,[2]quests!$1:$1,0)+1),MATCH(E$1,[2]quests!$1:$1,0)-MATCH($B$1,[2]quests!$1:$1,0)+1,FALSE)</f>
        <v>孤高の焔翼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【超級】孤高の焔翼</v>
      </c>
      <c r="G3" s="21">
        <v>2</v>
      </c>
      <c r="H3" s="15" t="str">
        <f>B3&amp;"_"&amp;C3&amp;"-"&amp;G3</f>
        <v>30034_3-2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7" t="s">
        <v>53</v>
      </c>
      <c r="L3" s="20">
        <v>47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ヒロ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60</v>
      </c>
      <c r="S3" s="24">
        <v>1.7</v>
      </c>
      <c r="T3" s="24">
        <v>1</v>
      </c>
      <c r="U3" s="5">
        <v>0</v>
      </c>
      <c r="V3" s="4" t="e">
        <f ca="1">VLOOKUP($W3,OFFSET(enemy_skill_sets!$B$1,0,0,COUNTA(enemy_skill_sets!$B:$B),MATCH(M$1,enemy_skill_sets!$1:$1,0)-MATCH($W$1,enemy_skill_sets!$1:$1,0)+2),MATCH(M$1,enemy_skill_sets!$1:$1,0)-MATCH($W$1,enemy_skill_sets!$1:$1,0)+2,FALSE)</f>
        <v>#N/A</v>
      </c>
      <c r="W3" s="4">
        <f ca="1">VLOOKUP($L3,OFFSET([3]enemies!$A$1,0,0,COUNTA([3]enemies!$A:$A),MATCH(W$1,[3]enemies!$1:$1,0)-MATCH($L$1,[3]enemies!$1:$1,0)+1),MATCH(W$1,[3]enemies!$1:$1,0)-MATCH($L$1,[3]enemies!$1:$1,0)+1,FALSE)</f>
        <v>0</v>
      </c>
      <c r="X3" s="6">
        <v>0</v>
      </c>
      <c r="Y3" s="6">
        <v>100</v>
      </c>
      <c r="Z3" s="6">
        <v>0</v>
      </c>
      <c r="AA3" s="97">
        <v>2</v>
      </c>
      <c r="AB3" s="23">
        <f>L3</f>
        <v>47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ヒロ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3">
        <f ca="1">AD3</f>
        <v>2</v>
      </c>
      <c r="AH3" s="8">
        <v>20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7">
        <v>1</v>
      </c>
    </row>
    <row r="4" spans="1:40" ht="21" customHeight="1" x14ac:dyDescent="0.15">
      <c r="A4" s="16" t="str">
        <f t="shared" si="0"/>
        <v>30034_3-2/76&lt;lv60&gt;s2</v>
      </c>
      <c r="B4" s="7">
        <v>30034</v>
      </c>
      <c r="C4" s="21">
        <v>3</v>
      </c>
      <c r="D4" s="2" t="str">
        <f t="shared" si="1"/>
        <v>30034_3</v>
      </c>
      <c r="E4" s="4" t="str">
        <f ca="1">VLOOKUP($B4,OFFSET([2]quests!$A$1,0,0,COUNTA([2]quests!$A:$A),MATCH(E$1,[2]quests!$1:$1,0)-MATCH($B$1,[2]quests!$1:$1,0)+1),MATCH(E$1,[2]quests!$1:$1,0)-MATCH($B$1,[2]quests!$1:$1,0)+1,FALSE)</f>
        <v>孤高の焔翼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【超級】孤高の焔翼</v>
      </c>
      <c r="G4" s="21">
        <v>2</v>
      </c>
      <c r="H4" s="15" t="str">
        <f t="shared" si="2"/>
        <v>30034_3-2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37" t="s">
        <v>53</v>
      </c>
      <c r="L4" s="20">
        <v>76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閃速の伝令者 サンダーバード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60</v>
      </c>
      <c r="S4" s="24">
        <v>1</v>
      </c>
      <c r="T4" s="24">
        <v>0.7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2ターンパネルの色が分からなくなる !</v>
      </c>
      <c r="W4" s="99">
        <v>30034002</v>
      </c>
      <c r="X4" s="6">
        <v>0</v>
      </c>
      <c r="Y4" s="6">
        <v>40</v>
      </c>
      <c r="Z4" s="6">
        <v>1</v>
      </c>
      <c r="AA4" s="97">
        <v>2</v>
      </c>
      <c r="AB4" s="100">
        <v>74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サンダーバード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" s="7">
        <v>1</v>
      </c>
      <c r="AG4" s="23">
        <f t="shared" ca="1" si="4"/>
        <v>2</v>
      </c>
      <c r="AH4" s="8">
        <v>20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7">
        <v>1</v>
      </c>
    </row>
    <row r="5" spans="1:40" ht="21" customHeight="1" x14ac:dyDescent="0.15">
      <c r="A5" s="16" t="str">
        <f t="shared" ca="1" si="0"/>
        <v>30034_3-3/10&lt;lv60&gt;s2</v>
      </c>
      <c r="B5" s="7">
        <v>30034</v>
      </c>
      <c r="C5" s="21">
        <v>3</v>
      </c>
      <c r="D5" s="2" t="str">
        <f t="shared" si="1"/>
        <v>30034_3</v>
      </c>
      <c r="E5" s="4" t="str">
        <f ca="1">VLOOKUP($B5,OFFSET([2]quests!$A$1,0,0,COUNTA([2]quests!$A:$A),MATCH(E$1,[2]quests!$1:$1,0)-MATCH($B$1,[2]quests!$1:$1,0)+1),MATCH(E$1,[2]quests!$1:$1,0)-MATCH($B$1,[2]quests!$1:$1,0)+1,FALSE)</f>
        <v>孤高の焔翼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【超級】孤高の焔翼</v>
      </c>
      <c r="G5" s="21">
        <v>3</v>
      </c>
      <c r="H5" s="15" t="str">
        <f t="shared" si="2"/>
        <v>30034_3-3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 t="s">
        <v>53</v>
      </c>
      <c r="L5" s="20">
        <v>10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燃える悪戯魂 ブレット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60</v>
      </c>
      <c r="S5" s="24">
        <v>2.5</v>
      </c>
      <c r="T5" s="24">
        <v>0.7</v>
      </c>
      <c r="U5" s="5">
        <v>0</v>
      </c>
      <c r="V5" s="4" t="e">
        <f ca="1">VLOOKUP($W5,OFFSET(enemy_skill_sets!$B$1,0,0,COUNTA(enemy_skill_sets!$B:$B),MATCH(M$1,enemy_skill_sets!$1:$1,0)-MATCH($W$1,enemy_skill_sets!$1:$1,0)+2),MATCH(M$1,enemy_skill_sets!$1:$1,0)-MATCH($W$1,enemy_skill_sets!$1:$1,0)+2,FALSE)</f>
        <v>#N/A</v>
      </c>
      <c r="W5" s="4">
        <f ca="1">VLOOKUP($L5,OFFSET([3]enemies!$A$1,0,0,COUNTA([3]enemies!$A:$A),MATCH(W$1,[3]enemies!$1:$1,0)-MATCH($L$1,[3]enemies!$1:$1,0)+1),MATCH(W$1,[3]enemies!$1:$1,0)-MATCH($L$1,[3]enemies!$1:$1,0)+1,FALSE)</f>
        <v>0</v>
      </c>
      <c r="X5" s="6">
        <v>0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2</v>
      </c>
      <c r="AB5" s="100">
        <v>9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Drop1W</v>
      </c>
      <c r="AF5" s="7">
        <v>1</v>
      </c>
      <c r="AG5" s="23">
        <f t="shared" ca="1" si="4"/>
        <v>1</v>
      </c>
      <c r="AH5" s="8">
        <v>20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7">
        <v>1</v>
      </c>
    </row>
    <row r="6" spans="1:40" ht="21" customHeight="1" x14ac:dyDescent="0.15">
      <c r="A6" s="16" t="str">
        <f t="shared" si="0"/>
        <v>30034_3-3/86&lt;lv60&gt;s1</v>
      </c>
      <c r="B6" s="7">
        <v>30034</v>
      </c>
      <c r="C6" s="21">
        <v>3</v>
      </c>
      <c r="D6" s="2" t="str">
        <f t="shared" si="1"/>
        <v>30034_3</v>
      </c>
      <c r="E6" s="4" t="str">
        <f ca="1">VLOOKUP($B6,OFFSET([2]quests!$A$1,0,0,COUNTA([2]quests!$A:$A),MATCH(E$1,[2]quests!$1:$1,0)-MATCH($B$1,[2]quests!$1:$1,0)+1),MATCH(E$1,[2]quests!$1:$1,0)-MATCH($B$1,[2]quests!$1:$1,0)+1,FALSE)</f>
        <v>孤高の焔翼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【超級】孤高の焔翼</v>
      </c>
      <c r="G6" s="21">
        <v>3</v>
      </c>
      <c r="H6" s="15" t="str">
        <f t="shared" si="2"/>
        <v>30034_3-3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 t="s">
        <v>53</v>
      </c>
      <c r="L6" s="20">
        <v>86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守護者 朱雀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60</v>
      </c>
      <c r="S6" s="24">
        <v>1</v>
      </c>
      <c r="T6" s="24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全体攻撃</v>
      </c>
      <c r="W6" s="99">
        <v>30034003</v>
      </c>
      <c r="X6" s="6">
        <v>1</v>
      </c>
      <c r="Y6" s="6">
        <v>100</v>
      </c>
      <c r="Z6" s="6">
        <v>1</v>
      </c>
      <c r="AA6" s="97">
        <v>1</v>
      </c>
      <c r="AB6" s="23">
        <f t="shared" si="3"/>
        <v>86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守護者 朱雀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Drop2N</v>
      </c>
      <c r="AF6" s="7">
        <v>1</v>
      </c>
      <c r="AG6" s="23">
        <f t="shared" ca="1" si="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7">
        <v>1</v>
      </c>
    </row>
    <row r="7" spans="1:40" ht="21" customHeight="1" x14ac:dyDescent="0.15">
      <c r="A7" s="16" t="str">
        <f>B7&amp;"_"&amp;C7&amp;"-"&amp;G7&amp;"/"&amp;L7&amp;"&lt;lv"&amp;R7&amp;"&gt;s"&amp;AA7</f>
        <v>30034_3-4/71&lt;lv60&gt;s2</v>
      </c>
      <c r="B7" s="7">
        <v>30034</v>
      </c>
      <c r="C7" s="21">
        <v>3</v>
      </c>
      <c r="D7" s="2" t="str">
        <f>B7&amp;"_"&amp;C7</f>
        <v>30034_3</v>
      </c>
      <c r="E7" s="4" t="str">
        <f ca="1">VLOOKUP($B7,OFFSET([2]quests!$A$1,0,0,COUNTA([2]quests!$A:$A),MATCH(E$1,[2]quests!$1:$1,0)-MATCH($B$1,[2]quests!$1:$1,0)+1),MATCH(E$1,[2]quests!$1:$1,0)-MATCH($B$1,[2]quests!$1:$1,0)+1,FALSE)</f>
        <v>孤高の焔翼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【超級】孤高の焔翼</v>
      </c>
      <c r="G7" s="21">
        <v>4</v>
      </c>
      <c r="H7" s="15" t="str">
        <f>B7&amp;"_"&amp;C7&amp;"-"&amp;G7</f>
        <v>30034_3-4</v>
      </c>
      <c r="I7" s="4">
        <f ca="1">VLOOKUP($H7,OFFSET(floors!$A$1,0,0,COUNTA(floors!$A:$A),MATCH(I$1,floors!$1:$1,0)-MATCH($H$1,floors!$1:$1,0)+1),MATCH(I$1,floors!$1:$1,0)-MATCH($H$1,floors!$1:$1,0)+1,FALSE)</f>
        <v>35</v>
      </c>
      <c r="J7" s="4">
        <f ca="1">VLOOKUP($H7,OFFSET(floors!$A$1,0,0,COUNTA(floors!$A:$A),MATCH(J$1,floors!$1:$1,0)-MATCH($H$1,floors!$1:$1,0)+1),MATCH(J$1,floors!$1:$1,0)-MATCH($H$1,floors!$1:$1,0)+1,FALSE)</f>
        <v>35</v>
      </c>
      <c r="K7" s="37" t="s">
        <v>53</v>
      </c>
      <c r="L7" s="20">
        <v>71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ダックス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60</v>
      </c>
      <c r="S7" s="24">
        <v>2.8</v>
      </c>
      <c r="T7" s="24">
        <v>0.7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と　ペンギンが申しております</v>
      </c>
      <c r="W7" s="99">
        <v>30034004</v>
      </c>
      <c r="X7" s="6">
        <v>0</v>
      </c>
      <c r="Y7" s="6">
        <v>50</v>
      </c>
      <c r="Z7" s="6">
        <v>0</v>
      </c>
      <c r="AA7" s="97">
        <v>2</v>
      </c>
      <c r="AB7" s="23">
        <f>L7</f>
        <v>71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Drop1S</v>
      </c>
      <c r="AF7" s="7">
        <v>1</v>
      </c>
      <c r="AG7" s="23">
        <f ca="1">AD7</f>
        <v>2</v>
      </c>
      <c r="AH7" s="8">
        <v>20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7">
        <v>1</v>
      </c>
    </row>
    <row r="8" spans="1:40" ht="21" customHeight="1" x14ac:dyDescent="0.15">
      <c r="A8" s="16" t="str">
        <f t="shared" si="0"/>
        <v>30034_3-4/72&lt;lv60&gt;s3</v>
      </c>
      <c r="B8" s="7">
        <v>30034</v>
      </c>
      <c r="C8" s="21">
        <v>3</v>
      </c>
      <c r="D8" s="2" t="str">
        <f t="shared" si="1"/>
        <v>30034_3</v>
      </c>
      <c r="E8" s="4" t="str">
        <f ca="1">VLOOKUP($B8,OFFSET([2]quests!$A$1,0,0,COUNTA([2]quests!$A:$A),MATCH(E$1,[2]quests!$1:$1,0)-MATCH($B$1,[2]quests!$1:$1,0)+1),MATCH(E$1,[2]quests!$1:$1,0)-MATCH($B$1,[2]quests!$1:$1,0)+1,FALSE)</f>
        <v>孤高の焔翼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【超級】孤高の焔翼</v>
      </c>
      <c r="G8" s="21">
        <v>4</v>
      </c>
      <c r="H8" s="15" t="str">
        <f t="shared" si="2"/>
        <v>30034_3-4</v>
      </c>
      <c r="I8" s="4">
        <f ca="1">VLOOKUP($H8,OFFSET(floors!$A$1,0,0,COUNTA(floors!$A:$A),MATCH(I$1,floors!$1:$1,0)-MATCH($H$1,floors!$1:$1,0)+1),MATCH(I$1,floors!$1:$1,0)-MATCH($H$1,floors!$1:$1,0)+1,FALSE)</f>
        <v>35</v>
      </c>
      <c r="J8" s="4">
        <f ca="1">VLOOKUP($H8,OFFSET(floors!$A$1,0,0,COUNTA(floors!$A:$A),MATCH(J$1,floors!$1:$1,0)-MATCH($H$1,floors!$1:$1,0)+1),MATCH(J$1,floors!$1:$1,0)-MATCH($H$1,floors!$1:$1,0)+1,FALSE)</f>
        <v>35</v>
      </c>
      <c r="K8" s="37" t="s">
        <v>53</v>
      </c>
      <c r="L8" s="20">
        <v>72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探求者 ダックス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60</v>
      </c>
      <c r="S8" s="24">
        <v>1</v>
      </c>
      <c r="T8" s="24">
        <v>1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ペンギンは鳥類ペンギン目に属する種の総称である</v>
      </c>
      <c r="W8" s="99">
        <v>30034005</v>
      </c>
      <c r="X8" s="6">
        <v>1</v>
      </c>
      <c r="Y8" s="6">
        <v>100</v>
      </c>
      <c r="Z8" s="6">
        <v>1</v>
      </c>
      <c r="AA8" s="97">
        <v>3</v>
      </c>
      <c r="AB8" s="100">
        <v>71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Drop1S</v>
      </c>
      <c r="AF8" s="7">
        <v>1</v>
      </c>
      <c r="AG8" s="23">
        <f t="shared" ca="1" si="4"/>
        <v>2</v>
      </c>
      <c r="AH8" s="8">
        <v>20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7">
        <v>1</v>
      </c>
    </row>
    <row r="9" spans="1:40" ht="21" customHeight="1" x14ac:dyDescent="0.15">
      <c r="A9" s="16" t="str">
        <f>B9&amp;"_"&amp;C9&amp;"-"&amp;G9&amp;"/"&amp;L9&amp;"&lt;lv"&amp;R9&amp;"&gt;s"&amp;AA9</f>
        <v>30034_3-4/361&lt;lv60&gt;s2</v>
      </c>
      <c r="B9" s="7">
        <v>30034</v>
      </c>
      <c r="C9" s="21">
        <v>3</v>
      </c>
      <c r="D9" s="2" t="str">
        <f>B9&amp;"_"&amp;C9</f>
        <v>30034_3</v>
      </c>
      <c r="E9" s="4" t="str">
        <f ca="1">VLOOKUP($B9,OFFSET([2]quests!$A$1,0,0,COUNTA([2]quests!$A:$A),MATCH(E$1,[2]quests!$1:$1,0)-MATCH($B$1,[2]quests!$1:$1,0)+1),MATCH(E$1,[2]quests!$1:$1,0)-MATCH($B$1,[2]quests!$1:$1,0)+1,FALSE)</f>
        <v>孤高の焔翼</v>
      </c>
      <c r="F9" s="4" t="str">
        <f ca="1">VLOOKUP($D9,OFFSET([2]stages!$A$1,0,0,COUNTA([2]stages!$A:$A),MATCH(F$1,[2]stages!$2:$2,0)-MATCH($D$1,[2]stages!$2:$2,0)+1),MATCH(F$1,[2]stages!$2:$2,0)-MATCH($D$1,[2]stages!$2:$2,0)+1,FALSE)</f>
        <v>【超級】孤高の焔翼</v>
      </c>
      <c r="G9" s="21">
        <v>4</v>
      </c>
      <c r="H9" s="15" t="str">
        <f>B9&amp;"_"&amp;C9&amp;"-"&amp;G9</f>
        <v>30034_3-4</v>
      </c>
      <c r="I9" s="4">
        <f ca="1">VLOOKUP($H9,OFFSET(floors!$A$1,0,0,COUNTA(floors!$A:$A),MATCH(I$1,floors!$1:$1,0)-MATCH($H$1,floors!$1:$1,0)+1),MATCH(I$1,floors!$1:$1,0)-MATCH($H$1,floors!$1:$1,0)+1,FALSE)</f>
        <v>35</v>
      </c>
      <c r="J9" s="4">
        <f ca="1">VLOOKUP($H9,OFFSET(floors!$A$1,0,0,COUNTA(floors!$A:$A),MATCH(J$1,floors!$1:$1,0)-MATCH($H$1,floors!$1:$1,0)+1),MATCH(J$1,floors!$1:$1,0)-MATCH($H$1,floors!$1:$1,0)+1,FALSE)</f>
        <v>35</v>
      </c>
      <c r="K9" s="37" t="s">
        <v>53</v>
      </c>
      <c r="L9" s="20">
        <v>361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灼熱の鉄板 ガンテツ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60</v>
      </c>
      <c r="S9" s="24">
        <v>2</v>
      </c>
      <c r="T9" s="24">
        <v>1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解除するまで攻撃力UP</v>
      </c>
      <c r="W9" s="99">
        <v>30034006</v>
      </c>
      <c r="X9" s="6">
        <v>0</v>
      </c>
      <c r="Y9" s="6">
        <v>100</v>
      </c>
      <c r="Z9" s="6">
        <v>0</v>
      </c>
      <c r="AA9" s="97">
        <v>2</v>
      </c>
      <c r="AB9" s="100">
        <v>360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Drop1S</v>
      </c>
      <c r="AF9" s="7">
        <v>1</v>
      </c>
      <c r="AG9" s="23">
        <f ca="1">AD9</f>
        <v>2</v>
      </c>
      <c r="AH9" s="8">
        <v>20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7">
        <v>1</v>
      </c>
    </row>
    <row r="10" spans="1:40" ht="21" customHeight="1" x14ac:dyDescent="0.15">
      <c r="A10" s="16" t="str">
        <f t="shared" si="0"/>
        <v>30034_3-5/840&lt;lv60&gt;s1</v>
      </c>
      <c r="B10" s="7">
        <v>30034</v>
      </c>
      <c r="C10" s="21">
        <v>3</v>
      </c>
      <c r="D10" s="2" t="str">
        <f t="shared" si="1"/>
        <v>30034_3</v>
      </c>
      <c r="E10" s="4" t="str">
        <f ca="1">VLOOKUP($B10,OFFSET([2]quests!$A$1,0,0,COUNTA([2]quests!$A:$A),MATCH(E$1,[2]quests!$1:$1,0)-MATCH($B$1,[2]quests!$1:$1,0)+1),MATCH(E$1,[2]quests!$1:$1,0)-MATCH($B$1,[2]quests!$1:$1,0)+1,FALSE)</f>
        <v>孤高の焔翼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【超級】孤高の焔翼</v>
      </c>
      <c r="G10" s="21">
        <v>5</v>
      </c>
      <c r="H10" s="15" t="str">
        <f t="shared" si="2"/>
        <v>30034_3-5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7">
        <v>1</v>
      </c>
      <c r="L10" s="20">
        <v>840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フェニックス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60</v>
      </c>
      <c r="S10" s="24">
        <v>1.7</v>
      </c>
      <c r="T10" s="24">
        <v>0.9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より強い力を持って復活を果たした</v>
      </c>
      <c r="W10" s="99">
        <v>30034007</v>
      </c>
      <c r="X10" s="6">
        <v>1</v>
      </c>
      <c r="Y10" s="6">
        <v>100</v>
      </c>
      <c r="Z10" s="6">
        <v>1</v>
      </c>
      <c r="AA10" s="97">
        <v>1</v>
      </c>
      <c r="AB10" s="23">
        <f t="shared" si="3"/>
        <v>840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フェニックス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Drop2N</v>
      </c>
      <c r="AF10" s="7">
        <v>1</v>
      </c>
      <c r="AG10" s="23">
        <f t="shared" ca="1" si="4"/>
        <v>4</v>
      </c>
      <c r="AH10" s="8">
        <v>100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7">
        <v>1</v>
      </c>
    </row>
    <row r="11" spans="1:40" ht="21" customHeight="1" x14ac:dyDescent="0.15">
      <c r="A11" s="16" t="str">
        <f t="shared" ref="A11" si="5">B11&amp;"_"&amp;C11&amp;"-"&amp;G11&amp;"/"&amp;L11&amp;"&lt;lv"&amp;R11&amp;"&gt;s"&amp;AA11</f>
        <v>30034_2-1/840&lt;lv40&gt;s1</v>
      </c>
      <c r="B11" s="7">
        <v>30034</v>
      </c>
      <c r="C11" s="21">
        <v>2</v>
      </c>
      <c r="D11" s="2" t="str">
        <f t="shared" ref="D11" si="6">B11&amp;"_"&amp;C11</f>
        <v>30034_2</v>
      </c>
      <c r="E11" s="4" t="str">
        <f ca="1">VLOOKUP($B11,OFFSET([2]quests!$A$1,0,0,COUNTA([2]quests!$A:$A),MATCH(E$1,[2]quests!$1:$1,0)-MATCH($B$1,[2]quests!$1:$1,0)+1),MATCH(E$1,[2]quests!$1:$1,0)-MATCH($B$1,[2]quests!$1:$1,0)+1,FALSE)</f>
        <v>孤高の焔翼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【上級】孤高の焔翼</v>
      </c>
      <c r="G11" s="21">
        <v>1</v>
      </c>
      <c r="H11" s="15" t="str">
        <f t="shared" ref="H11" si="7">B11&amp;"_"&amp;C11&amp;"-"&amp;G11</f>
        <v>30034_2-1</v>
      </c>
      <c r="I11" s="4">
        <f ca="1">VLOOKUP($H11,OFFSET(floors!$A$1,0,0,COUNTA(floors!$A:$A),MATCH(I$1,floors!$1:$1,0)-MATCH($H$1,floors!$1:$1,0)+1),MATCH(I$1,floors!$1:$1,0)-MATCH($H$1,floors!$1:$1,0)+1,FALSE)</f>
        <v>30</v>
      </c>
      <c r="J11" s="4">
        <f ca="1">VLOOKUP($H11,OFFSET(floors!$A$1,0,0,COUNTA(floors!$A:$A),MATCH(J$1,floors!$1:$1,0)-MATCH($H$1,floors!$1:$1,0)+1),MATCH(J$1,floors!$1:$1,0)-MATCH($H$1,floors!$1:$1,0)+1,FALSE)</f>
        <v>30</v>
      </c>
      <c r="K11" s="37" t="s">
        <v>53</v>
      </c>
      <c r="L11" s="20">
        <v>840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フェニックス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40</v>
      </c>
      <c r="S11" s="24">
        <v>0.3</v>
      </c>
      <c r="T11" s="24">
        <v>0.5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こちらの出方を窺っている</v>
      </c>
      <c r="W11" s="99">
        <v>30034001</v>
      </c>
      <c r="X11" s="6">
        <v>0</v>
      </c>
      <c r="Y11" s="6">
        <v>100</v>
      </c>
      <c r="Z11" s="6">
        <v>0</v>
      </c>
      <c r="AA11" s="97">
        <v>1</v>
      </c>
      <c r="AB11" s="23">
        <f t="shared" ref="AB11" si="8">L11</f>
        <v>840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フェニックス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Drop2N</v>
      </c>
      <c r="AF11" s="7">
        <v>1</v>
      </c>
      <c r="AG11" s="23">
        <f t="shared" ref="AG11" ca="1" si="9">AD11</f>
        <v>4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7">
        <v>1</v>
      </c>
    </row>
    <row r="12" spans="1:40" ht="21" customHeight="1" x14ac:dyDescent="0.15">
      <c r="A12" s="16" t="str">
        <f>B12&amp;"_"&amp;C12&amp;"-"&amp;G12&amp;"/"&amp;L12&amp;"&lt;lv"&amp;R12&amp;"&gt;s"&amp;AA12</f>
        <v>30034_2-2/47&lt;lv40&gt;s2</v>
      </c>
      <c r="B12" s="7">
        <v>30034</v>
      </c>
      <c r="C12" s="21">
        <v>2</v>
      </c>
      <c r="D12" s="2" t="str">
        <f>B12&amp;"_"&amp;C12</f>
        <v>30034_2</v>
      </c>
      <c r="E12" s="4" t="str">
        <f ca="1">VLOOKUP($B12,OFFSET([2]quests!$A$1,0,0,COUNTA([2]quests!$A:$A),MATCH(E$1,[2]quests!$1:$1,0)-MATCH($B$1,[2]quests!$1:$1,0)+1),MATCH(E$1,[2]quests!$1:$1,0)-MATCH($B$1,[2]quests!$1:$1,0)+1,FALSE)</f>
        <v>孤高の焔翼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【上級】孤高の焔翼</v>
      </c>
      <c r="G12" s="21">
        <v>2</v>
      </c>
      <c r="H12" s="15" t="str">
        <f>B12&amp;"_"&amp;C12&amp;"-"&amp;G12</f>
        <v>30034_2-2</v>
      </c>
      <c r="I12" s="4">
        <f ca="1">VLOOKUP($H12,OFFSET(floors!$A$1,0,0,COUNTA(floors!$A:$A),MATCH(I$1,floors!$1:$1,0)-MATCH($H$1,floors!$1:$1,0)+1),MATCH(I$1,floors!$1:$1,0)-MATCH($H$1,floors!$1:$1,0)+1,FALSE)</f>
        <v>30</v>
      </c>
      <c r="J12" s="4">
        <f ca="1">VLOOKUP($H12,OFFSET(floors!$A$1,0,0,COUNTA(floors!$A:$A),MATCH(J$1,floors!$1:$1,0)-MATCH($H$1,floors!$1:$1,0)+1),MATCH(J$1,floors!$1:$1,0)-MATCH($H$1,floors!$1:$1,0)+1,FALSE)</f>
        <v>30</v>
      </c>
      <c r="K12" s="37" t="s">
        <v>53</v>
      </c>
      <c r="L12" s="20">
        <v>47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ヒロ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40</v>
      </c>
      <c r="S12" s="24">
        <v>1.7</v>
      </c>
      <c r="T12" s="24">
        <v>1</v>
      </c>
      <c r="U12" s="5">
        <v>0</v>
      </c>
      <c r="V12" s="4" t="e">
        <f ca="1">VLOOKUP($W12,OFFSET(enemy_skill_sets!$B$1,0,0,COUNTA(enemy_skill_sets!$B:$B),MATCH(M$1,enemy_skill_sets!$1:$1,0)-MATCH($W$1,enemy_skill_sets!$1:$1,0)+2),MATCH(M$1,enemy_skill_sets!$1:$1,0)-MATCH($W$1,enemy_skill_sets!$1:$1,0)+2,FALSE)</f>
        <v>#N/A</v>
      </c>
      <c r="W12" s="4">
        <f ca="1">VLOOKUP($L12,OFFSET([3]enemies!$A$1,0,0,COUNTA([3]enemies!$A:$A),MATCH(W$1,[3]enemies!$1:$1,0)-MATCH($L$1,[3]enemies!$1:$1,0)+1),MATCH(W$1,[3]enemies!$1:$1,0)-MATCH($L$1,[3]enemies!$1:$1,0)+1,FALSE)</f>
        <v>0</v>
      </c>
      <c r="X12" s="6">
        <v>0</v>
      </c>
      <c r="Y12" s="6">
        <v>100</v>
      </c>
      <c r="Z12" s="6">
        <v>0</v>
      </c>
      <c r="AA12" s="97">
        <v>2</v>
      </c>
      <c r="AB12" s="23">
        <f>L12</f>
        <v>47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ヒロ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7">
        <v>1</v>
      </c>
      <c r="AG12" s="23">
        <f ca="1">AD12</f>
        <v>2</v>
      </c>
      <c r="AH12" s="8">
        <v>20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7">
        <v>1</v>
      </c>
    </row>
    <row r="13" spans="1:40" ht="21" customHeight="1" x14ac:dyDescent="0.15">
      <c r="A13" s="16" t="str">
        <f t="shared" ref="A13:A15" si="10">B13&amp;"_"&amp;C13&amp;"-"&amp;G13&amp;"/"&amp;L13&amp;"&lt;lv"&amp;R13&amp;"&gt;s"&amp;AA13</f>
        <v>30034_2-2/76&lt;lv40&gt;s2</v>
      </c>
      <c r="B13" s="7">
        <v>30034</v>
      </c>
      <c r="C13" s="21">
        <v>2</v>
      </c>
      <c r="D13" s="2" t="str">
        <f t="shared" ref="D13:D15" si="11">B13&amp;"_"&amp;C13</f>
        <v>30034_2</v>
      </c>
      <c r="E13" s="4" t="str">
        <f ca="1">VLOOKUP($B13,OFFSET([2]quests!$A$1,0,0,COUNTA([2]quests!$A:$A),MATCH(E$1,[2]quests!$1:$1,0)-MATCH($B$1,[2]quests!$1:$1,0)+1),MATCH(E$1,[2]quests!$1:$1,0)-MATCH($B$1,[2]quests!$1:$1,0)+1,FALSE)</f>
        <v>孤高の焔翼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【上級】孤高の焔翼</v>
      </c>
      <c r="G13" s="21">
        <v>2</v>
      </c>
      <c r="H13" s="15" t="str">
        <f t="shared" ref="H13:H15" si="12">B13&amp;"_"&amp;C13&amp;"-"&amp;G13</f>
        <v>30034_2-2</v>
      </c>
      <c r="I13" s="4">
        <f ca="1">VLOOKUP($H13,OFFSET(floors!$A$1,0,0,COUNTA(floors!$A:$A),MATCH(I$1,floors!$1:$1,0)-MATCH($H$1,floors!$1:$1,0)+1),MATCH(I$1,floors!$1:$1,0)-MATCH($H$1,floors!$1:$1,0)+1,FALSE)</f>
        <v>30</v>
      </c>
      <c r="J13" s="4">
        <f ca="1">VLOOKUP($H13,OFFSET(floors!$A$1,0,0,COUNTA(floors!$A:$A),MATCH(J$1,floors!$1:$1,0)-MATCH($H$1,floors!$1:$1,0)+1),MATCH(J$1,floors!$1:$1,0)-MATCH($H$1,floors!$1:$1,0)+1,FALSE)</f>
        <v>30</v>
      </c>
      <c r="K13" s="37" t="s">
        <v>53</v>
      </c>
      <c r="L13" s="20">
        <v>76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閃速の伝令者 サンダーバード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40</v>
      </c>
      <c r="S13" s="24">
        <v>1</v>
      </c>
      <c r="T13" s="24">
        <v>0.7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2ターンパネルの色が分からなくなる !</v>
      </c>
      <c r="W13" s="99">
        <v>30034002</v>
      </c>
      <c r="X13" s="6">
        <v>0</v>
      </c>
      <c r="Y13" s="6">
        <v>40</v>
      </c>
      <c r="Z13" s="6">
        <v>1</v>
      </c>
      <c r="AA13" s="97">
        <v>2</v>
      </c>
      <c r="AB13" s="100">
        <v>74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サンダーバード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Drop1S</v>
      </c>
      <c r="AF13" s="7">
        <v>1</v>
      </c>
      <c r="AG13" s="23">
        <f t="shared" ref="AG13:AG15" ca="1" si="13">AD13</f>
        <v>2</v>
      </c>
      <c r="AH13" s="8">
        <v>20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7">
        <v>1</v>
      </c>
    </row>
    <row r="14" spans="1:40" ht="21" customHeight="1" x14ac:dyDescent="0.15">
      <c r="A14" s="16" t="str">
        <f t="shared" ca="1" si="10"/>
        <v>30034_2-3/10&lt;lv40&gt;s2</v>
      </c>
      <c r="B14" s="7">
        <v>30034</v>
      </c>
      <c r="C14" s="21">
        <v>2</v>
      </c>
      <c r="D14" s="2" t="str">
        <f t="shared" si="11"/>
        <v>30034_2</v>
      </c>
      <c r="E14" s="4" t="str">
        <f ca="1">VLOOKUP($B14,OFFSET([2]quests!$A$1,0,0,COUNTA([2]quests!$A:$A),MATCH(E$1,[2]quests!$1:$1,0)-MATCH($B$1,[2]quests!$1:$1,0)+1),MATCH(E$1,[2]quests!$1:$1,0)-MATCH($B$1,[2]quests!$1:$1,0)+1,FALSE)</f>
        <v>孤高の焔翼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【上級】孤高の焔翼</v>
      </c>
      <c r="G14" s="21">
        <v>3</v>
      </c>
      <c r="H14" s="15" t="str">
        <f t="shared" si="12"/>
        <v>30034_2-3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7" t="s">
        <v>53</v>
      </c>
      <c r="L14" s="20">
        <v>10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燃える悪戯魂 ブレット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Drop1W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40</v>
      </c>
      <c r="S14" s="24">
        <v>2.5</v>
      </c>
      <c r="T14" s="24">
        <v>0.7</v>
      </c>
      <c r="U14" s="5">
        <v>0</v>
      </c>
      <c r="V14" s="4" t="e">
        <f ca="1">VLOOKUP($W14,OFFSET(enemy_skill_sets!$B$1,0,0,COUNTA(enemy_skill_sets!$B:$B),MATCH(M$1,enemy_skill_sets!$1:$1,0)-MATCH($W$1,enemy_skill_sets!$1:$1,0)+2),MATCH(M$1,enemy_skill_sets!$1:$1,0)-MATCH($W$1,enemy_skill_sets!$1:$1,0)+2,FALSE)</f>
        <v>#N/A</v>
      </c>
      <c r="W14" s="4">
        <f ca="1">VLOOKUP($L14,OFFSET([3]enemies!$A$1,0,0,COUNTA([3]enemies!$A:$A),MATCH(W$1,[3]enemies!$1:$1,0)-MATCH($L$1,[3]enemies!$1:$1,0)+1),MATCH(W$1,[3]enemies!$1:$1,0)-MATCH($L$1,[3]enemies!$1:$1,0)+1,FALSE)</f>
        <v>0</v>
      </c>
      <c r="X14" s="6">
        <v>0</v>
      </c>
      <c r="Y14" s="6">
        <v>100</v>
      </c>
      <c r="Z14" s="6">
        <v>0</v>
      </c>
      <c r="AA14" s="17">
        <f ca="1">VLOOKUP($L14,OFFSET([3]enemies!$A$1,0,0,COUNTA([3]enemies!$A:$A),MATCH(AA$1,[3]enemies!$1:$1,0)-MATCH($L$1,[3]enemies!$1:$1,0)+1),MATCH(AA$1,[3]enemies!$1:$1,0)-MATCH($L$1,[3]enemies!$1:$1,0)+1,FALSE)</f>
        <v>2</v>
      </c>
      <c r="AB14" s="100">
        <v>9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1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Drop1W</v>
      </c>
      <c r="AF14" s="7">
        <v>1</v>
      </c>
      <c r="AG14" s="23">
        <f t="shared" ca="1" si="13"/>
        <v>1</v>
      </c>
      <c r="AH14" s="8">
        <v>20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7">
        <v>1</v>
      </c>
    </row>
    <row r="15" spans="1:40" ht="21" customHeight="1" x14ac:dyDescent="0.15">
      <c r="A15" s="16" t="str">
        <f t="shared" si="10"/>
        <v>30034_2-3/86&lt;lv40&gt;s1</v>
      </c>
      <c r="B15" s="7">
        <v>30034</v>
      </c>
      <c r="C15" s="21">
        <v>2</v>
      </c>
      <c r="D15" s="2" t="str">
        <f t="shared" si="11"/>
        <v>30034_2</v>
      </c>
      <c r="E15" s="4" t="str">
        <f ca="1">VLOOKUP($B15,OFFSET([2]quests!$A$1,0,0,COUNTA([2]quests!$A:$A),MATCH(E$1,[2]quests!$1:$1,0)-MATCH($B$1,[2]quests!$1:$1,0)+1),MATCH(E$1,[2]quests!$1:$1,0)-MATCH($B$1,[2]quests!$1:$1,0)+1,FALSE)</f>
        <v>孤高の焔翼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【上級】孤高の焔翼</v>
      </c>
      <c r="G15" s="21">
        <v>3</v>
      </c>
      <c r="H15" s="15" t="str">
        <f t="shared" si="12"/>
        <v>30034_2-3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7" t="s">
        <v>53</v>
      </c>
      <c r="L15" s="20">
        <v>86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守護者 朱雀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Drop2N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40</v>
      </c>
      <c r="S15" s="24">
        <v>1</v>
      </c>
      <c r="T15" s="24">
        <v>1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5" s="99">
        <v>30034003</v>
      </c>
      <c r="X15" s="6">
        <v>1</v>
      </c>
      <c r="Y15" s="6">
        <v>100</v>
      </c>
      <c r="Z15" s="6">
        <v>1</v>
      </c>
      <c r="AA15" s="97">
        <v>1</v>
      </c>
      <c r="AB15" s="23">
        <f t="shared" ref="AB15" si="14">L15</f>
        <v>86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守護者 朱雀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Drop2N</v>
      </c>
      <c r="AF15" s="7">
        <v>1</v>
      </c>
      <c r="AG15" s="23">
        <f t="shared" ca="1" si="13"/>
        <v>4</v>
      </c>
      <c r="AH15" s="8">
        <v>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7">
        <v>1</v>
      </c>
    </row>
    <row r="16" spans="1:40" ht="21" customHeight="1" x14ac:dyDescent="0.15">
      <c r="A16" s="16" t="str">
        <f>B16&amp;"_"&amp;C16&amp;"-"&amp;G16&amp;"/"&amp;L16&amp;"&lt;lv"&amp;R16&amp;"&gt;s"&amp;AA16</f>
        <v>30034_2-4/71&lt;lv40&gt;s2</v>
      </c>
      <c r="B16" s="7">
        <v>30034</v>
      </c>
      <c r="C16" s="21">
        <v>2</v>
      </c>
      <c r="D16" s="2" t="str">
        <f>B16&amp;"_"&amp;C16</f>
        <v>30034_2</v>
      </c>
      <c r="E16" s="4" t="str">
        <f ca="1">VLOOKUP($B16,OFFSET([2]quests!$A$1,0,0,COUNTA([2]quests!$A:$A),MATCH(E$1,[2]quests!$1:$1,0)-MATCH($B$1,[2]quests!$1:$1,0)+1),MATCH(E$1,[2]quests!$1:$1,0)-MATCH($B$1,[2]quests!$1:$1,0)+1,FALSE)</f>
        <v>孤高の焔翼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【上級】孤高の焔翼</v>
      </c>
      <c r="G16" s="21">
        <v>4</v>
      </c>
      <c r="H16" s="15" t="str">
        <f>B16&amp;"_"&amp;C16&amp;"-"&amp;G16</f>
        <v>30034_2-4</v>
      </c>
      <c r="I16" s="4">
        <f ca="1">VLOOKUP($H16,OFFSET(floors!$A$1,0,0,COUNTA(floors!$A:$A),MATCH(I$1,floors!$1:$1,0)-MATCH($H$1,floors!$1:$1,0)+1),MATCH(I$1,floors!$1:$1,0)-MATCH($H$1,floors!$1:$1,0)+1,FALSE)</f>
        <v>35</v>
      </c>
      <c r="J16" s="4">
        <f ca="1">VLOOKUP($H16,OFFSET(floors!$A$1,0,0,COUNTA(floors!$A:$A),MATCH(J$1,floors!$1:$1,0)-MATCH($H$1,floors!$1:$1,0)+1),MATCH(J$1,floors!$1:$1,0)-MATCH($H$1,floors!$1:$1,0)+1,FALSE)</f>
        <v>35</v>
      </c>
      <c r="K16" s="37" t="s">
        <v>53</v>
      </c>
      <c r="L16" s="20">
        <v>71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ダックス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40</v>
      </c>
      <c r="S16" s="24">
        <v>2.8</v>
      </c>
      <c r="T16" s="24">
        <v>0.7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と　ペンギンが申しております</v>
      </c>
      <c r="W16" s="99">
        <v>30034004</v>
      </c>
      <c r="X16" s="6">
        <v>0</v>
      </c>
      <c r="Y16" s="6">
        <v>50</v>
      </c>
      <c r="Z16" s="6">
        <v>0</v>
      </c>
      <c r="AA16" s="97">
        <v>2</v>
      </c>
      <c r="AB16" s="23">
        <f>L16</f>
        <v>71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" s="7">
        <v>1</v>
      </c>
      <c r="AG16" s="23">
        <f ca="1">AD16</f>
        <v>2</v>
      </c>
      <c r="AH16" s="8">
        <v>20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7">
        <v>1</v>
      </c>
    </row>
    <row r="17" spans="1:40" ht="21" customHeight="1" x14ac:dyDescent="0.15">
      <c r="A17" s="16" t="str">
        <f t="shared" ref="A17" si="15">B17&amp;"_"&amp;C17&amp;"-"&amp;G17&amp;"/"&amp;L17&amp;"&lt;lv"&amp;R17&amp;"&gt;s"&amp;AA17</f>
        <v>30034_2-4/72&lt;lv40&gt;s3</v>
      </c>
      <c r="B17" s="7">
        <v>30034</v>
      </c>
      <c r="C17" s="21">
        <v>2</v>
      </c>
      <c r="D17" s="2" t="str">
        <f t="shared" ref="D17" si="16">B17&amp;"_"&amp;C17</f>
        <v>30034_2</v>
      </c>
      <c r="E17" s="4" t="str">
        <f ca="1">VLOOKUP($B17,OFFSET([2]quests!$A$1,0,0,COUNTA([2]quests!$A:$A),MATCH(E$1,[2]quests!$1:$1,0)-MATCH($B$1,[2]quests!$1:$1,0)+1),MATCH(E$1,[2]quests!$1:$1,0)-MATCH($B$1,[2]quests!$1:$1,0)+1,FALSE)</f>
        <v>孤高の焔翼</v>
      </c>
      <c r="F17" s="4" t="str">
        <f ca="1">VLOOKUP($D17,OFFSET([2]stages!$A$1,0,0,COUNTA([2]stages!$A:$A),MATCH(F$1,[2]stages!$2:$2,0)-MATCH($D$1,[2]stages!$2:$2,0)+1),MATCH(F$1,[2]stages!$2:$2,0)-MATCH($D$1,[2]stages!$2:$2,0)+1,FALSE)</f>
        <v>【上級】孤高の焔翼</v>
      </c>
      <c r="G17" s="21">
        <v>4</v>
      </c>
      <c r="H17" s="15" t="str">
        <f t="shared" ref="H17" si="17">B17&amp;"_"&amp;C17&amp;"-"&amp;G17</f>
        <v>30034_2-4</v>
      </c>
      <c r="I17" s="4">
        <f ca="1">VLOOKUP($H17,OFFSET(floors!$A$1,0,0,COUNTA(floors!$A:$A),MATCH(I$1,floors!$1:$1,0)-MATCH($H$1,floors!$1:$1,0)+1),MATCH(I$1,floors!$1:$1,0)-MATCH($H$1,floors!$1:$1,0)+1,FALSE)</f>
        <v>35</v>
      </c>
      <c r="J17" s="4">
        <f ca="1">VLOOKUP($H17,OFFSET(floors!$A$1,0,0,COUNTA(floors!$A:$A),MATCH(J$1,floors!$1:$1,0)-MATCH($H$1,floors!$1:$1,0)+1),MATCH(J$1,floors!$1:$1,0)-MATCH($H$1,floors!$1:$1,0)+1,FALSE)</f>
        <v>35</v>
      </c>
      <c r="K17" s="37" t="s">
        <v>53</v>
      </c>
      <c r="L17" s="20">
        <v>72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探求者 ダックス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Drop1S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20</v>
      </c>
      <c r="R17" s="5">
        <v>40</v>
      </c>
      <c r="S17" s="24">
        <v>1</v>
      </c>
      <c r="T17" s="24">
        <v>1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ペンギンは鳥類ペンギン目に属する種の総称である</v>
      </c>
      <c r="W17" s="99">
        <v>30034005</v>
      </c>
      <c r="X17" s="6">
        <v>1</v>
      </c>
      <c r="Y17" s="6">
        <v>100</v>
      </c>
      <c r="Z17" s="6">
        <v>1</v>
      </c>
      <c r="AA17" s="97">
        <v>3</v>
      </c>
      <c r="AB17" s="100">
        <v>71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2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Drop1S</v>
      </c>
      <c r="AF17" s="7">
        <v>1</v>
      </c>
      <c r="AG17" s="23">
        <f t="shared" ref="AG17" ca="1" si="18">AD17</f>
        <v>2</v>
      </c>
      <c r="AH17" s="8">
        <v>20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7">
        <v>1</v>
      </c>
    </row>
    <row r="18" spans="1:40" ht="21" customHeight="1" x14ac:dyDescent="0.15">
      <c r="A18" s="16" t="str">
        <f>B18&amp;"_"&amp;C18&amp;"-"&amp;G18&amp;"/"&amp;L18&amp;"&lt;lv"&amp;R18&amp;"&gt;s"&amp;AA18</f>
        <v>30034_2-4/361&lt;lv40&gt;s2</v>
      </c>
      <c r="B18" s="7">
        <v>30034</v>
      </c>
      <c r="C18" s="21">
        <v>2</v>
      </c>
      <c r="D18" s="2" t="str">
        <f>B18&amp;"_"&amp;C18</f>
        <v>30034_2</v>
      </c>
      <c r="E18" s="4" t="str">
        <f ca="1">VLOOKUP($B18,OFFSET([2]quests!$A$1,0,0,COUNTA([2]quests!$A:$A),MATCH(E$1,[2]quests!$1:$1,0)-MATCH($B$1,[2]quests!$1:$1,0)+1),MATCH(E$1,[2]quests!$1:$1,0)-MATCH($B$1,[2]quests!$1:$1,0)+1,FALSE)</f>
        <v>孤高の焔翼</v>
      </c>
      <c r="F18" s="4" t="str">
        <f ca="1">VLOOKUP($D18,OFFSET([2]stages!$A$1,0,0,COUNTA([2]stages!$A:$A),MATCH(F$1,[2]stages!$2:$2,0)-MATCH($D$1,[2]stages!$2:$2,0)+1),MATCH(F$1,[2]stages!$2:$2,0)-MATCH($D$1,[2]stages!$2:$2,0)+1,FALSE)</f>
        <v>【上級】孤高の焔翼</v>
      </c>
      <c r="G18" s="21">
        <v>4</v>
      </c>
      <c r="H18" s="15" t="str">
        <f>B18&amp;"_"&amp;C18&amp;"-"&amp;G18</f>
        <v>30034_2-4</v>
      </c>
      <c r="I18" s="4">
        <f ca="1">VLOOKUP($H18,OFFSET(floors!$A$1,0,0,COUNTA(floors!$A:$A),MATCH(I$1,floors!$1:$1,0)-MATCH($H$1,floors!$1:$1,0)+1),MATCH(I$1,floors!$1:$1,0)-MATCH($H$1,floors!$1:$1,0)+1,FALSE)</f>
        <v>35</v>
      </c>
      <c r="J18" s="4">
        <f ca="1">VLOOKUP($H18,OFFSET(floors!$A$1,0,0,COUNTA(floors!$A:$A),MATCH(J$1,floors!$1:$1,0)-MATCH($H$1,floors!$1:$1,0)+1),MATCH(J$1,floors!$1:$1,0)-MATCH($H$1,floors!$1:$1,0)+1,FALSE)</f>
        <v>35</v>
      </c>
      <c r="K18" s="37" t="s">
        <v>53</v>
      </c>
      <c r="L18" s="20">
        <v>361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灼熱の鉄板 ガンテツ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red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40</v>
      </c>
      <c r="S18" s="24">
        <v>2</v>
      </c>
      <c r="T18" s="24">
        <v>1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解除するまで攻撃力UP</v>
      </c>
      <c r="W18" s="99">
        <v>30034006</v>
      </c>
      <c r="X18" s="6">
        <v>0</v>
      </c>
      <c r="Y18" s="6">
        <v>100</v>
      </c>
      <c r="Z18" s="6">
        <v>0</v>
      </c>
      <c r="AA18" s="97">
        <v>2</v>
      </c>
      <c r="AB18" s="100">
        <v>360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2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Drop1S</v>
      </c>
      <c r="AF18" s="7">
        <v>1</v>
      </c>
      <c r="AG18" s="23">
        <f ca="1">AD18</f>
        <v>2</v>
      </c>
      <c r="AH18" s="8">
        <v>20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7">
        <v>1</v>
      </c>
    </row>
    <row r="19" spans="1:40" ht="21" customHeight="1" x14ac:dyDescent="0.15">
      <c r="A19" s="16" t="str">
        <f t="shared" ref="A19:A20" si="19">B19&amp;"_"&amp;C19&amp;"-"&amp;G19&amp;"/"&amp;L19&amp;"&lt;lv"&amp;R19&amp;"&gt;s"&amp;AA19</f>
        <v>30034_2-5/840&lt;lv40&gt;s1</v>
      </c>
      <c r="B19" s="7">
        <v>30034</v>
      </c>
      <c r="C19" s="21">
        <v>2</v>
      </c>
      <c r="D19" s="2" t="str">
        <f t="shared" ref="D19:D20" si="20">B19&amp;"_"&amp;C19</f>
        <v>30034_2</v>
      </c>
      <c r="E19" s="4" t="str">
        <f ca="1">VLOOKUP($B19,OFFSET([2]quests!$A$1,0,0,COUNTA([2]quests!$A:$A),MATCH(E$1,[2]quests!$1:$1,0)-MATCH($B$1,[2]quests!$1:$1,0)+1),MATCH(E$1,[2]quests!$1:$1,0)-MATCH($B$1,[2]quests!$1:$1,0)+1,FALSE)</f>
        <v>孤高の焔翼</v>
      </c>
      <c r="F19" s="4" t="str">
        <f ca="1">VLOOKUP($D19,OFFSET([2]stages!$A$1,0,0,COUNTA([2]stages!$A:$A),MATCH(F$1,[2]stages!$2:$2,0)-MATCH($D$1,[2]stages!$2:$2,0)+1),MATCH(F$1,[2]stages!$2:$2,0)-MATCH($D$1,[2]stages!$2:$2,0)+1,FALSE)</f>
        <v>【上級】孤高の焔翼</v>
      </c>
      <c r="G19" s="21">
        <v>5</v>
      </c>
      <c r="H19" s="15" t="str">
        <f t="shared" ref="H19:H20" si="21">B19&amp;"_"&amp;C19&amp;"-"&amp;G19</f>
        <v>30034_2-5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7" t="s">
        <v>53</v>
      </c>
      <c r="L19" s="20">
        <v>840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フェニックス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30</v>
      </c>
      <c r="R19" s="5">
        <v>40</v>
      </c>
      <c r="S19" s="24">
        <v>1.7</v>
      </c>
      <c r="T19" s="24">
        <v>0.9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より強い力を持って復活を果たした</v>
      </c>
      <c r="W19" s="99">
        <v>30034009</v>
      </c>
      <c r="X19" s="6">
        <v>1</v>
      </c>
      <c r="Y19" s="6">
        <v>100</v>
      </c>
      <c r="Z19" s="6">
        <v>1</v>
      </c>
      <c r="AA19" s="97">
        <v>1</v>
      </c>
      <c r="AB19" s="23">
        <f t="shared" ref="AB19:AB20" si="22">L19</f>
        <v>840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フェニックス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Drop2N</v>
      </c>
      <c r="AF19" s="7">
        <v>1</v>
      </c>
      <c r="AG19" s="23">
        <f t="shared" ref="AG19:AG20" ca="1" si="23">AD19</f>
        <v>4</v>
      </c>
      <c r="AH19" s="8">
        <v>50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7">
        <v>1</v>
      </c>
    </row>
    <row r="20" spans="1:40" ht="21" customHeight="1" x14ac:dyDescent="0.15">
      <c r="A20" s="16" t="str">
        <f t="shared" si="19"/>
        <v>30034_1-1/840&lt;lv30&gt;s1</v>
      </c>
      <c r="B20" s="7">
        <v>30034</v>
      </c>
      <c r="C20" s="21">
        <v>1</v>
      </c>
      <c r="D20" s="2" t="str">
        <f t="shared" si="20"/>
        <v>30034_1</v>
      </c>
      <c r="E20" s="4" t="str">
        <f ca="1">VLOOKUP($B20,OFFSET([2]quests!$A$1,0,0,COUNTA([2]quests!$A:$A),MATCH(E$1,[2]quests!$1:$1,0)-MATCH($B$1,[2]quests!$1:$1,0)+1),MATCH(E$1,[2]quests!$1:$1,0)-MATCH($B$1,[2]quests!$1:$1,0)+1,FALSE)</f>
        <v>孤高の焔翼</v>
      </c>
      <c r="F20" s="4" t="str">
        <f ca="1">VLOOKUP($D20,OFFSET([2]stages!$A$1,0,0,COUNTA([2]stages!$A:$A),MATCH(F$1,[2]stages!$2:$2,0)-MATCH($D$1,[2]stages!$2:$2,0)+1),MATCH(F$1,[2]stages!$2:$2,0)-MATCH($D$1,[2]stages!$2:$2,0)+1,FALSE)</f>
        <v>【中級】孤高の焔翼</v>
      </c>
      <c r="G20" s="21">
        <v>1</v>
      </c>
      <c r="H20" s="15" t="str">
        <f t="shared" si="21"/>
        <v>30034_1-1</v>
      </c>
      <c r="I20" s="4">
        <f ca="1">VLOOKUP($H20,OFFSET(floors!$A$1,0,0,COUNTA(floors!$A:$A),MATCH(I$1,floors!$1:$1,0)-MATCH($H$1,floors!$1:$1,0)+1),MATCH(I$1,floors!$1:$1,0)-MATCH($H$1,floors!$1:$1,0)+1,FALSE)</f>
        <v>30</v>
      </c>
      <c r="J20" s="4">
        <f ca="1">VLOOKUP($H20,OFFSET(floors!$A$1,0,0,COUNTA(floors!$A:$A),MATCH(J$1,floors!$1:$1,0)-MATCH($H$1,floors!$1:$1,0)+1),MATCH(J$1,floors!$1:$1,0)-MATCH($H$1,floors!$1:$1,0)+1,FALSE)</f>
        <v>30</v>
      </c>
      <c r="K20" s="37" t="s">
        <v>53</v>
      </c>
      <c r="L20" s="20">
        <v>840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フェニックス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red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Drop2N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animal</v>
      </c>
      <c r="Q20" s="17">
        <f ca="1">VLOOKUP($L20,OFFSET([3]enemies!$A$1,0,0,COUNTA([3]enemies!$A:$A),MATCH(Q$1,[3]enemies!$1:$1,0)-MATCH($L$1,[3]enemies!$1:$1,0)+1),MATCH(Q$1,[3]enemies!$1:$1,0)-MATCH($L$1,[3]enemies!$1:$1,0)+1,FALSE)</f>
        <v>30</v>
      </c>
      <c r="R20" s="5">
        <v>30</v>
      </c>
      <c r="S20" s="24">
        <v>0.3</v>
      </c>
      <c r="T20" s="24">
        <v>0.5</v>
      </c>
      <c r="U20" s="5">
        <v>0</v>
      </c>
      <c r="V20" s="4" t="str">
        <f ca="1">VLOOKUP($W20,OFFSET(enemy_skill_sets!$B$1,0,0,COUNTA(enemy_skill_sets!$B:$B),MATCH(M$1,enemy_skill_sets!$1:$1,0)-MATCH($W$1,enemy_skill_sets!$1:$1,0)+2),MATCH(M$1,enemy_skill_sets!$1:$1,0)-MATCH($W$1,enemy_skill_sets!$1:$1,0)+2,FALSE)</f>
        <v>こちらの出方を窺っている</v>
      </c>
      <c r="W20" s="99">
        <v>30034001</v>
      </c>
      <c r="X20" s="6">
        <v>0</v>
      </c>
      <c r="Y20" s="6">
        <v>100</v>
      </c>
      <c r="Z20" s="6">
        <v>0</v>
      </c>
      <c r="AA20" s="97">
        <v>1</v>
      </c>
      <c r="AB20" s="23">
        <f t="shared" si="22"/>
        <v>840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フェニックス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4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Drop2N</v>
      </c>
      <c r="AF20" s="7">
        <v>1</v>
      </c>
      <c r="AG20" s="23">
        <f t="shared" ca="1" si="23"/>
        <v>4</v>
      </c>
      <c r="AH20" s="8">
        <v>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7">
        <v>1</v>
      </c>
    </row>
    <row r="21" spans="1:40" ht="21" customHeight="1" x14ac:dyDescent="0.15">
      <c r="A21" s="16" t="str">
        <f>B21&amp;"_"&amp;C21&amp;"-"&amp;G21&amp;"/"&amp;L21&amp;"&lt;lv"&amp;R21&amp;"&gt;s"&amp;AA21</f>
        <v>30034_1-2/47&lt;lv30&gt;s2</v>
      </c>
      <c r="B21" s="7">
        <v>30034</v>
      </c>
      <c r="C21" s="21">
        <v>1</v>
      </c>
      <c r="D21" s="2" t="str">
        <f>B21&amp;"_"&amp;C21</f>
        <v>30034_1</v>
      </c>
      <c r="E21" s="4" t="str">
        <f ca="1">VLOOKUP($B21,OFFSET([2]quests!$A$1,0,0,COUNTA([2]quests!$A:$A),MATCH(E$1,[2]quests!$1:$1,0)-MATCH($B$1,[2]quests!$1:$1,0)+1),MATCH(E$1,[2]quests!$1:$1,0)-MATCH($B$1,[2]quests!$1:$1,0)+1,FALSE)</f>
        <v>孤高の焔翼</v>
      </c>
      <c r="F21" s="4" t="str">
        <f ca="1">VLOOKUP($D21,OFFSET([2]stages!$A$1,0,0,COUNTA([2]stages!$A:$A),MATCH(F$1,[2]stages!$2:$2,0)-MATCH($D$1,[2]stages!$2:$2,0)+1),MATCH(F$1,[2]stages!$2:$2,0)-MATCH($D$1,[2]stages!$2:$2,0)+1,FALSE)</f>
        <v>【中級】孤高の焔翼</v>
      </c>
      <c r="G21" s="21">
        <v>2</v>
      </c>
      <c r="H21" s="15" t="str">
        <f>B21&amp;"_"&amp;C21&amp;"-"&amp;G21</f>
        <v>30034_1-2</v>
      </c>
      <c r="I21" s="4">
        <f ca="1">VLOOKUP($H21,OFFSET(floors!$A$1,0,0,COUNTA(floors!$A:$A),MATCH(I$1,floors!$1:$1,0)-MATCH($H$1,floors!$1:$1,0)+1),MATCH(I$1,floors!$1:$1,0)-MATCH($H$1,floors!$1:$1,0)+1,FALSE)</f>
        <v>30</v>
      </c>
      <c r="J21" s="4">
        <f ca="1">VLOOKUP($H21,OFFSET(floors!$A$1,0,0,COUNTA(floors!$A:$A),MATCH(J$1,floors!$1:$1,0)-MATCH($H$1,floors!$1:$1,0)+1),MATCH(J$1,floors!$1:$1,0)-MATCH($H$1,floors!$1:$1,0)+1,FALSE)</f>
        <v>30</v>
      </c>
      <c r="K21" s="37" t="s">
        <v>53</v>
      </c>
      <c r="L21" s="20">
        <v>47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ヒロ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Drop1N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animal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5">
        <v>30</v>
      </c>
      <c r="S21" s="24">
        <v>1.7</v>
      </c>
      <c r="T21" s="24">
        <v>1</v>
      </c>
      <c r="U21" s="5">
        <v>0</v>
      </c>
      <c r="V21" s="4" t="e">
        <f ca="1">VLOOKUP($W21,OFFSET(enemy_skill_sets!$B$1,0,0,COUNTA(enemy_skill_sets!$B:$B),MATCH(M$1,enemy_skill_sets!$1:$1,0)-MATCH($W$1,enemy_skill_sets!$1:$1,0)+2),MATCH(M$1,enemy_skill_sets!$1:$1,0)-MATCH($W$1,enemy_skill_sets!$1:$1,0)+2,FALSE)</f>
        <v>#N/A</v>
      </c>
      <c r="W21" s="4">
        <f ca="1">VLOOKUP($L21,OFFSET([3]enemies!$A$1,0,0,COUNTA([3]enemies!$A:$A),MATCH(W$1,[3]enemies!$1:$1,0)-MATCH($L$1,[3]enemies!$1:$1,0)+1),MATCH(W$1,[3]enemies!$1:$1,0)-MATCH($L$1,[3]enemies!$1:$1,0)+1,FALSE)</f>
        <v>0</v>
      </c>
      <c r="X21" s="6">
        <v>0</v>
      </c>
      <c r="Y21" s="6">
        <v>100</v>
      </c>
      <c r="Z21" s="6">
        <v>0</v>
      </c>
      <c r="AA21" s="97">
        <v>2</v>
      </c>
      <c r="AB21" s="23">
        <f>L21</f>
        <v>47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ヒロ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2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Drop1N</v>
      </c>
      <c r="AF21" s="7">
        <v>1</v>
      </c>
      <c r="AG21" s="23">
        <f ca="1">AD21</f>
        <v>2</v>
      </c>
      <c r="AH21" s="8">
        <v>20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67">
        <v>1</v>
      </c>
    </row>
    <row r="22" spans="1:40" ht="21" customHeight="1" x14ac:dyDescent="0.15">
      <c r="A22" s="16" t="str">
        <f t="shared" ref="A22:A24" si="24">B22&amp;"_"&amp;C22&amp;"-"&amp;G22&amp;"/"&amp;L22&amp;"&lt;lv"&amp;R22&amp;"&gt;s"&amp;AA22</f>
        <v>30034_1-2/76&lt;lv30&gt;s2</v>
      </c>
      <c r="B22" s="7">
        <v>30034</v>
      </c>
      <c r="C22" s="21">
        <v>1</v>
      </c>
      <c r="D22" s="2" t="str">
        <f t="shared" ref="D22:D24" si="25">B22&amp;"_"&amp;C22</f>
        <v>30034_1</v>
      </c>
      <c r="E22" s="4" t="str">
        <f ca="1">VLOOKUP($B22,OFFSET([2]quests!$A$1,0,0,COUNTA([2]quests!$A:$A),MATCH(E$1,[2]quests!$1:$1,0)-MATCH($B$1,[2]quests!$1:$1,0)+1),MATCH(E$1,[2]quests!$1:$1,0)-MATCH($B$1,[2]quests!$1:$1,0)+1,FALSE)</f>
        <v>孤高の焔翼</v>
      </c>
      <c r="F22" s="4" t="str">
        <f ca="1">VLOOKUP($D22,OFFSET([2]stages!$A$1,0,0,COUNTA([2]stages!$A:$A),MATCH(F$1,[2]stages!$2:$2,0)-MATCH($D$1,[2]stages!$2:$2,0)+1),MATCH(F$1,[2]stages!$2:$2,0)-MATCH($D$1,[2]stages!$2:$2,0)+1,FALSE)</f>
        <v>【中級】孤高の焔翼</v>
      </c>
      <c r="G22" s="21">
        <v>2</v>
      </c>
      <c r="H22" s="15" t="str">
        <f t="shared" ref="H22:H24" si="26">B22&amp;"_"&amp;C22&amp;"-"&amp;G22</f>
        <v>30034_1-2</v>
      </c>
      <c r="I22" s="4">
        <f ca="1">VLOOKUP($H22,OFFSET(floors!$A$1,0,0,COUNTA(floors!$A:$A),MATCH(I$1,floors!$1:$1,0)-MATCH($H$1,floors!$1:$1,0)+1),MATCH(I$1,floors!$1:$1,0)-MATCH($H$1,floors!$1:$1,0)+1,FALSE)</f>
        <v>30</v>
      </c>
      <c r="J22" s="4">
        <f ca="1">VLOOKUP($H22,OFFSET(floors!$A$1,0,0,COUNTA(floors!$A:$A),MATCH(J$1,floors!$1:$1,0)-MATCH($H$1,floors!$1:$1,0)+1),MATCH(J$1,floors!$1:$1,0)-MATCH($H$1,floors!$1:$1,0)+1,FALSE)</f>
        <v>30</v>
      </c>
      <c r="K22" s="37" t="s">
        <v>53</v>
      </c>
      <c r="L22" s="20">
        <v>76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閃速の伝令者 サンダーバード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yellow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Drop1S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animal</v>
      </c>
      <c r="Q22" s="17">
        <f ca="1">VLOOKUP($L22,OFFSET([3]enemies!$A$1,0,0,COUNTA([3]enemies!$A:$A),MATCH(Q$1,[3]enemies!$1:$1,0)-MATCH($L$1,[3]enemies!$1:$1,0)+1),MATCH(Q$1,[3]enemies!$1:$1,0)-MATCH($L$1,[3]enemies!$1:$1,0)+1,FALSE)</f>
        <v>30</v>
      </c>
      <c r="R22" s="5">
        <v>30</v>
      </c>
      <c r="S22" s="24">
        <v>1</v>
      </c>
      <c r="T22" s="24">
        <v>0.7</v>
      </c>
      <c r="U22" s="5">
        <v>0</v>
      </c>
      <c r="V22" s="4" t="str">
        <f ca="1">VLOOKUP($W22,OFFSET(enemy_skill_sets!$B$1,0,0,COUNTA(enemy_skill_sets!$B:$B),MATCH(M$1,enemy_skill_sets!$1:$1,0)-MATCH($W$1,enemy_skill_sets!$1:$1,0)+2),MATCH(M$1,enemy_skill_sets!$1:$1,0)-MATCH($W$1,enemy_skill_sets!$1:$1,0)+2,FALSE)</f>
        <v>2ターンパネルの色が分からなくなる !</v>
      </c>
      <c r="W22" s="99">
        <v>30034002</v>
      </c>
      <c r="X22" s="6">
        <v>0</v>
      </c>
      <c r="Y22" s="6">
        <v>40</v>
      </c>
      <c r="Z22" s="6">
        <v>1</v>
      </c>
      <c r="AA22" s="97">
        <v>2</v>
      </c>
      <c r="AB22" s="100">
        <v>74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サンダーバード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2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Drop1S</v>
      </c>
      <c r="AF22" s="7">
        <v>1</v>
      </c>
      <c r="AG22" s="23">
        <f t="shared" ref="AG22:AG24" ca="1" si="27">AD22</f>
        <v>2</v>
      </c>
      <c r="AH22" s="8">
        <v>20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67">
        <v>1</v>
      </c>
    </row>
    <row r="23" spans="1:40" ht="21" customHeight="1" x14ac:dyDescent="0.15">
      <c r="A23" s="16" t="str">
        <f t="shared" ca="1" si="24"/>
        <v>30034_1-3/10&lt;lv30&gt;s2</v>
      </c>
      <c r="B23" s="7">
        <v>30034</v>
      </c>
      <c r="C23" s="21">
        <v>1</v>
      </c>
      <c r="D23" s="2" t="str">
        <f t="shared" si="25"/>
        <v>30034_1</v>
      </c>
      <c r="E23" s="4" t="str">
        <f ca="1">VLOOKUP($B23,OFFSET([2]quests!$A$1,0,0,COUNTA([2]quests!$A:$A),MATCH(E$1,[2]quests!$1:$1,0)-MATCH($B$1,[2]quests!$1:$1,0)+1),MATCH(E$1,[2]quests!$1:$1,0)-MATCH($B$1,[2]quests!$1:$1,0)+1,FALSE)</f>
        <v>孤高の焔翼</v>
      </c>
      <c r="F23" s="4" t="str">
        <f ca="1">VLOOKUP($D23,OFFSET([2]stages!$A$1,0,0,COUNTA([2]stages!$A:$A),MATCH(F$1,[2]stages!$2:$2,0)-MATCH($D$1,[2]stages!$2:$2,0)+1),MATCH(F$1,[2]stages!$2:$2,0)-MATCH($D$1,[2]stages!$2:$2,0)+1,FALSE)</f>
        <v>【中級】孤高の焔翼</v>
      </c>
      <c r="G23" s="21">
        <v>3</v>
      </c>
      <c r="H23" s="15" t="str">
        <f t="shared" si="26"/>
        <v>30034_1-3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7" t="s">
        <v>53</v>
      </c>
      <c r="L23" s="20">
        <v>10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燃える悪戯魂 ブレット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red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Drop1W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animal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30</v>
      </c>
      <c r="S23" s="24">
        <v>2.5</v>
      </c>
      <c r="T23" s="24">
        <v>0.7</v>
      </c>
      <c r="U23" s="5">
        <v>0</v>
      </c>
      <c r="V23" s="4" t="e">
        <f ca="1">VLOOKUP($W23,OFFSET(enemy_skill_sets!$B$1,0,0,COUNTA(enemy_skill_sets!$B:$B),MATCH(M$1,enemy_skill_sets!$1:$1,0)-MATCH($W$1,enemy_skill_sets!$1:$1,0)+2),MATCH(M$1,enemy_skill_sets!$1:$1,0)-MATCH($W$1,enemy_skill_sets!$1:$1,0)+2,FALSE)</f>
        <v>#N/A</v>
      </c>
      <c r="W23" s="4">
        <f ca="1">VLOOKUP($L23,OFFSET([3]enemies!$A$1,0,0,COUNTA([3]enemies!$A:$A),MATCH(W$1,[3]enemies!$1:$1,0)-MATCH($L$1,[3]enemies!$1:$1,0)+1),MATCH(W$1,[3]enemies!$1:$1,0)-MATCH($L$1,[3]enemies!$1:$1,0)+1,FALSE)</f>
        <v>0</v>
      </c>
      <c r="X23" s="6">
        <v>0</v>
      </c>
      <c r="Y23" s="6">
        <v>100</v>
      </c>
      <c r="Z23" s="6">
        <v>0</v>
      </c>
      <c r="AA23" s="17">
        <f ca="1">VLOOKUP($L23,OFFSET([3]enemies!$A$1,0,0,COUNTA([3]enemies!$A:$A),MATCH(AA$1,[3]enemies!$1:$1,0)-MATCH($L$1,[3]enemies!$1:$1,0)+1),MATCH(AA$1,[3]enemies!$1:$1,0)-MATCH($L$1,[3]enemies!$1:$1,0)+1,FALSE)</f>
        <v>2</v>
      </c>
      <c r="AB23" s="100">
        <v>9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1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Drop1W</v>
      </c>
      <c r="AF23" s="7">
        <v>1</v>
      </c>
      <c r="AG23" s="23">
        <f t="shared" ca="1" si="27"/>
        <v>1</v>
      </c>
      <c r="AH23" s="8">
        <v>20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67">
        <v>1</v>
      </c>
    </row>
    <row r="24" spans="1:40" ht="21" customHeight="1" x14ac:dyDescent="0.15">
      <c r="A24" s="16" t="str">
        <f t="shared" si="24"/>
        <v>30034_1-3/86&lt;lv30&gt;s1</v>
      </c>
      <c r="B24" s="7">
        <v>30034</v>
      </c>
      <c r="C24" s="21">
        <v>1</v>
      </c>
      <c r="D24" s="2" t="str">
        <f t="shared" si="25"/>
        <v>30034_1</v>
      </c>
      <c r="E24" s="4" t="str">
        <f ca="1">VLOOKUP($B24,OFFSET([2]quests!$A$1,0,0,COUNTA([2]quests!$A:$A),MATCH(E$1,[2]quests!$1:$1,0)-MATCH($B$1,[2]quests!$1:$1,0)+1),MATCH(E$1,[2]quests!$1:$1,0)-MATCH($B$1,[2]quests!$1:$1,0)+1,FALSE)</f>
        <v>孤高の焔翼</v>
      </c>
      <c r="F24" s="4" t="str">
        <f ca="1">VLOOKUP($D24,OFFSET([2]stages!$A$1,0,0,COUNTA([2]stages!$A:$A),MATCH(F$1,[2]stages!$2:$2,0)-MATCH($D$1,[2]stages!$2:$2,0)+1),MATCH(F$1,[2]stages!$2:$2,0)-MATCH($D$1,[2]stages!$2:$2,0)+1,FALSE)</f>
        <v>【中級】孤高の焔翼</v>
      </c>
      <c r="G24" s="21">
        <v>3</v>
      </c>
      <c r="H24" s="15" t="str">
        <f t="shared" si="26"/>
        <v>30034_1-3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7" t="s">
        <v>53</v>
      </c>
      <c r="L24" s="20">
        <v>86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守護者 朱雀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red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Drop2N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animal</v>
      </c>
      <c r="Q24" s="17">
        <f ca="1">VLOOKUP($L24,OFFSET([3]enemies!$A$1,0,0,COUNTA([3]enemies!$A:$A),MATCH(Q$1,[3]enemies!$1:$1,0)-MATCH($L$1,[3]enemies!$1:$1,0)+1),MATCH(Q$1,[3]enemies!$1:$1,0)-MATCH($L$1,[3]enemies!$1:$1,0)+1,FALSE)</f>
        <v>30</v>
      </c>
      <c r="R24" s="5">
        <v>30</v>
      </c>
      <c r="S24" s="24">
        <v>1</v>
      </c>
      <c r="T24" s="24">
        <v>1</v>
      </c>
      <c r="U24" s="5">
        <v>0</v>
      </c>
      <c r="V24" s="4" t="str">
        <f ca="1">VLOOKUP($W24,OFFSET(enemy_skill_sets!$B$1,0,0,COUNTA(enemy_skill_sets!$B:$B),MATCH(M$1,enemy_skill_sets!$1:$1,0)-MATCH($W$1,enemy_skill_sets!$1:$1,0)+2),MATCH(M$1,enemy_skill_sets!$1:$1,0)-MATCH($W$1,enemy_skill_sets!$1:$1,0)+2,FALSE)</f>
        <v>全体攻撃</v>
      </c>
      <c r="W24" s="99">
        <v>30034003</v>
      </c>
      <c r="X24" s="6">
        <v>1</v>
      </c>
      <c r="Y24" s="6">
        <v>100</v>
      </c>
      <c r="Z24" s="6">
        <v>1</v>
      </c>
      <c r="AA24" s="97">
        <v>1</v>
      </c>
      <c r="AB24" s="23">
        <f t="shared" ref="AB24" si="28">L24</f>
        <v>86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守護者 朱雀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4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Drop2N</v>
      </c>
      <c r="AF24" s="7">
        <v>1</v>
      </c>
      <c r="AG24" s="23">
        <f t="shared" ca="1" si="27"/>
        <v>4</v>
      </c>
      <c r="AH24" s="8">
        <v>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67">
        <v>1</v>
      </c>
    </row>
    <row r="25" spans="1:40" ht="21" customHeight="1" x14ac:dyDescent="0.15">
      <c r="A25" s="16" t="str">
        <f>B25&amp;"_"&amp;C25&amp;"-"&amp;G25&amp;"/"&amp;L25&amp;"&lt;lv"&amp;R25&amp;"&gt;s"&amp;AA25</f>
        <v>30034_1-4/71&lt;lv30&gt;s2</v>
      </c>
      <c r="B25" s="7">
        <v>30034</v>
      </c>
      <c r="C25" s="21">
        <v>1</v>
      </c>
      <c r="D25" s="2" t="str">
        <f>B25&amp;"_"&amp;C25</f>
        <v>30034_1</v>
      </c>
      <c r="E25" s="4" t="str">
        <f ca="1">VLOOKUP($B25,OFFSET([2]quests!$A$1,0,0,COUNTA([2]quests!$A:$A),MATCH(E$1,[2]quests!$1:$1,0)-MATCH($B$1,[2]quests!$1:$1,0)+1),MATCH(E$1,[2]quests!$1:$1,0)-MATCH($B$1,[2]quests!$1:$1,0)+1,FALSE)</f>
        <v>孤高の焔翼</v>
      </c>
      <c r="F25" s="4" t="str">
        <f ca="1">VLOOKUP($D25,OFFSET([2]stages!$A$1,0,0,COUNTA([2]stages!$A:$A),MATCH(F$1,[2]stages!$2:$2,0)-MATCH($D$1,[2]stages!$2:$2,0)+1),MATCH(F$1,[2]stages!$2:$2,0)-MATCH($D$1,[2]stages!$2:$2,0)+1,FALSE)</f>
        <v>【中級】孤高の焔翼</v>
      </c>
      <c r="G25" s="21">
        <v>4</v>
      </c>
      <c r="H25" s="15" t="str">
        <f>B25&amp;"_"&amp;C25&amp;"-"&amp;G25</f>
        <v>30034_1-4</v>
      </c>
      <c r="I25" s="4">
        <f ca="1">VLOOKUP($H25,OFFSET(floors!$A$1,0,0,COUNTA(floors!$A:$A),MATCH(I$1,floors!$1:$1,0)-MATCH($H$1,floors!$1:$1,0)+1),MATCH(I$1,floors!$1:$1,0)-MATCH($H$1,floors!$1:$1,0)+1,FALSE)</f>
        <v>35</v>
      </c>
      <c r="J25" s="4">
        <f ca="1">VLOOKUP($H25,OFFSET(floors!$A$1,0,0,COUNTA(floors!$A:$A),MATCH(J$1,floors!$1:$1,0)-MATCH($H$1,floors!$1:$1,0)+1),MATCH(J$1,floors!$1:$1,0)-MATCH($H$1,floors!$1:$1,0)+1,FALSE)</f>
        <v>35</v>
      </c>
      <c r="K25" s="37" t="s">
        <v>53</v>
      </c>
      <c r="L25" s="20">
        <v>71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ダックス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blue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Drop1S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animal</v>
      </c>
      <c r="Q25" s="17">
        <f ca="1">VLOOKUP($L25,OFFSET([3]enemies!$A$1,0,0,COUNTA([3]enemies!$A:$A),MATCH(Q$1,[3]enemies!$1:$1,0)-MATCH($L$1,[3]enemies!$1:$1,0)+1),MATCH(Q$1,[3]enemies!$1:$1,0)-MATCH($L$1,[3]enemies!$1:$1,0)+1,FALSE)</f>
        <v>15</v>
      </c>
      <c r="R25" s="5">
        <v>30</v>
      </c>
      <c r="S25" s="24">
        <v>2.8</v>
      </c>
      <c r="T25" s="24">
        <v>0.7</v>
      </c>
      <c r="U25" s="5">
        <v>0</v>
      </c>
      <c r="V25" s="4" t="str">
        <f ca="1">VLOOKUP($W25,OFFSET(enemy_skill_sets!$B$1,0,0,COUNTA(enemy_skill_sets!$B:$B),MATCH(M$1,enemy_skill_sets!$1:$1,0)-MATCH($W$1,enemy_skill_sets!$1:$1,0)+2),MATCH(M$1,enemy_skill_sets!$1:$1,0)-MATCH($W$1,enemy_skill_sets!$1:$1,0)+2,FALSE)</f>
        <v>と　ペンギンが申しております</v>
      </c>
      <c r="W25" s="99">
        <v>30034004</v>
      </c>
      <c r="X25" s="6">
        <v>0</v>
      </c>
      <c r="Y25" s="6">
        <v>50</v>
      </c>
      <c r="Z25" s="6">
        <v>0</v>
      </c>
      <c r="AA25" s="97">
        <v>2</v>
      </c>
      <c r="AB25" s="23">
        <f>L25</f>
        <v>71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2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Drop1S</v>
      </c>
      <c r="AF25" s="7">
        <v>1</v>
      </c>
      <c r="AG25" s="23">
        <f ca="1">AD25</f>
        <v>2</v>
      </c>
      <c r="AH25" s="8">
        <v>20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  <c r="AN25" s="67">
        <v>1</v>
      </c>
    </row>
    <row r="26" spans="1:40" ht="21" customHeight="1" x14ac:dyDescent="0.15">
      <c r="A26" s="16" t="str">
        <f t="shared" ref="A26" si="29">B26&amp;"_"&amp;C26&amp;"-"&amp;G26&amp;"/"&amp;L26&amp;"&lt;lv"&amp;R26&amp;"&gt;s"&amp;AA26</f>
        <v>30034_1-4/72&lt;lv30&gt;s3</v>
      </c>
      <c r="B26" s="7">
        <v>30034</v>
      </c>
      <c r="C26" s="21">
        <v>1</v>
      </c>
      <c r="D26" s="2" t="str">
        <f t="shared" ref="D26" si="30">B26&amp;"_"&amp;C26</f>
        <v>30034_1</v>
      </c>
      <c r="E26" s="4" t="str">
        <f ca="1">VLOOKUP($B26,OFFSET([2]quests!$A$1,0,0,COUNTA([2]quests!$A:$A),MATCH(E$1,[2]quests!$1:$1,0)-MATCH($B$1,[2]quests!$1:$1,0)+1),MATCH(E$1,[2]quests!$1:$1,0)-MATCH($B$1,[2]quests!$1:$1,0)+1,FALSE)</f>
        <v>孤高の焔翼</v>
      </c>
      <c r="F26" s="4" t="str">
        <f ca="1">VLOOKUP($D26,OFFSET([2]stages!$A$1,0,0,COUNTA([2]stages!$A:$A),MATCH(F$1,[2]stages!$2:$2,0)-MATCH($D$1,[2]stages!$2:$2,0)+1),MATCH(F$1,[2]stages!$2:$2,0)-MATCH($D$1,[2]stages!$2:$2,0)+1,FALSE)</f>
        <v>【中級】孤高の焔翼</v>
      </c>
      <c r="G26" s="21">
        <v>4</v>
      </c>
      <c r="H26" s="15" t="str">
        <f t="shared" ref="H26" si="31">B26&amp;"_"&amp;C26&amp;"-"&amp;G26</f>
        <v>30034_1-4</v>
      </c>
      <c r="I26" s="4">
        <f ca="1">VLOOKUP($H26,OFFSET(floors!$A$1,0,0,COUNTA(floors!$A:$A),MATCH(I$1,floors!$1:$1,0)-MATCH($H$1,floors!$1:$1,0)+1),MATCH(I$1,floors!$1:$1,0)-MATCH($H$1,floors!$1:$1,0)+1,FALSE)</f>
        <v>35</v>
      </c>
      <c r="J26" s="4">
        <f ca="1">VLOOKUP($H26,OFFSET(floors!$A$1,0,0,COUNTA(floors!$A:$A),MATCH(J$1,floors!$1:$1,0)-MATCH($H$1,floors!$1:$1,0)+1),MATCH(J$1,floors!$1:$1,0)-MATCH($H$1,floors!$1:$1,0)+1,FALSE)</f>
        <v>35</v>
      </c>
      <c r="K26" s="37" t="s">
        <v>53</v>
      </c>
      <c r="L26" s="20">
        <v>72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探求者 ダックス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blue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Drop1S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animal</v>
      </c>
      <c r="Q26" s="17">
        <f ca="1">VLOOKUP($L26,OFFSET([3]enemies!$A$1,0,0,COUNTA([3]enemies!$A:$A),MATCH(Q$1,[3]enemies!$1:$1,0)-MATCH($L$1,[3]enemies!$1:$1,0)+1),MATCH(Q$1,[3]enemies!$1:$1,0)-MATCH($L$1,[3]enemies!$1:$1,0)+1,FALSE)</f>
        <v>20</v>
      </c>
      <c r="R26" s="5">
        <v>30</v>
      </c>
      <c r="S26" s="24">
        <v>1</v>
      </c>
      <c r="T26" s="24">
        <v>1</v>
      </c>
      <c r="U26" s="5">
        <v>0</v>
      </c>
      <c r="V26" s="4" t="str">
        <f ca="1">VLOOKUP($W26,OFFSET(enemy_skill_sets!$B$1,0,0,COUNTA(enemy_skill_sets!$B:$B),MATCH(M$1,enemy_skill_sets!$1:$1,0)-MATCH($W$1,enemy_skill_sets!$1:$1,0)+2),MATCH(M$1,enemy_skill_sets!$1:$1,0)-MATCH($W$1,enemy_skill_sets!$1:$1,0)+2,FALSE)</f>
        <v>ペンギンは鳥類ペンギン目に属する種の総称である</v>
      </c>
      <c r="W26" s="99">
        <v>30034010</v>
      </c>
      <c r="X26" s="6">
        <v>1</v>
      </c>
      <c r="Y26" s="6">
        <v>100</v>
      </c>
      <c r="Z26" s="6">
        <v>1</v>
      </c>
      <c r="AA26" s="97">
        <v>3</v>
      </c>
      <c r="AB26" s="100">
        <v>71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2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Drop1S</v>
      </c>
      <c r="AF26" s="7">
        <v>1</v>
      </c>
      <c r="AG26" s="23">
        <f t="shared" ref="AG26" ca="1" si="32">AD26</f>
        <v>2</v>
      </c>
      <c r="AH26" s="8">
        <v>20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  <c r="AN26" s="67">
        <v>1</v>
      </c>
    </row>
    <row r="27" spans="1:40" ht="21" customHeight="1" x14ac:dyDescent="0.15">
      <c r="A27" s="16" t="str">
        <f>B27&amp;"_"&amp;C27&amp;"-"&amp;G27&amp;"/"&amp;L27&amp;"&lt;lv"&amp;R27&amp;"&gt;s"&amp;AA27</f>
        <v>30034_1-4/361&lt;lv30&gt;s2</v>
      </c>
      <c r="B27" s="7">
        <v>30034</v>
      </c>
      <c r="C27" s="21">
        <v>1</v>
      </c>
      <c r="D27" s="2" t="str">
        <f>B27&amp;"_"&amp;C27</f>
        <v>30034_1</v>
      </c>
      <c r="E27" s="4" t="str">
        <f ca="1">VLOOKUP($B27,OFFSET([2]quests!$A$1,0,0,COUNTA([2]quests!$A:$A),MATCH(E$1,[2]quests!$1:$1,0)-MATCH($B$1,[2]quests!$1:$1,0)+1),MATCH(E$1,[2]quests!$1:$1,0)-MATCH($B$1,[2]quests!$1:$1,0)+1,FALSE)</f>
        <v>孤高の焔翼</v>
      </c>
      <c r="F27" s="4" t="str">
        <f ca="1">VLOOKUP($D27,OFFSET([2]stages!$A$1,0,0,COUNTA([2]stages!$A:$A),MATCH(F$1,[2]stages!$2:$2,0)-MATCH($D$1,[2]stages!$2:$2,0)+1),MATCH(F$1,[2]stages!$2:$2,0)-MATCH($D$1,[2]stages!$2:$2,0)+1,FALSE)</f>
        <v>【中級】孤高の焔翼</v>
      </c>
      <c r="G27" s="21">
        <v>4</v>
      </c>
      <c r="H27" s="15" t="str">
        <f>B27&amp;"_"&amp;C27&amp;"-"&amp;G27</f>
        <v>30034_1-4</v>
      </c>
      <c r="I27" s="4">
        <f ca="1">VLOOKUP($H27,OFFSET(floors!$A$1,0,0,COUNTA(floors!$A:$A),MATCH(I$1,floors!$1:$1,0)-MATCH($H$1,floors!$1:$1,0)+1),MATCH(I$1,floors!$1:$1,0)-MATCH($H$1,floors!$1:$1,0)+1,FALSE)</f>
        <v>35</v>
      </c>
      <c r="J27" s="4">
        <f ca="1">VLOOKUP($H27,OFFSET(floors!$A$1,0,0,COUNTA(floors!$A:$A),MATCH(J$1,floors!$1:$1,0)-MATCH($H$1,floors!$1:$1,0)+1),MATCH(J$1,floors!$1:$1,0)-MATCH($H$1,floors!$1:$1,0)+1,FALSE)</f>
        <v>35</v>
      </c>
      <c r="K27" s="37" t="s">
        <v>53</v>
      </c>
      <c r="L27" s="20">
        <v>361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灼熱の鉄板 ガンテツ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red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Drop1S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animal</v>
      </c>
      <c r="Q27" s="17">
        <f ca="1">VLOOKUP($L27,OFFSET([3]enemies!$A$1,0,0,COUNTA([3]enemies!$A:$A),MATCH(Q$1,[3]enemies!$1:$1,0)-MATCH($L$1,[3]enemies!$1:$1,0)+1),MATCH(Q$1,[3]enemies!$1:$1,0)-MATCH($L$1,[3]enemies!$1:$1,0)+1,FALSE)</f>
        <v>15</v>
      </c>
      <c r="R27" s="5">
        <v>30</v>
      </c>
      <c r="S27" s="24">
        <v>2</v>
      </c>
      <c r="T27" s="24">
        <v>1</v>
      </c>
      <c r="U27" s="5">
        <v>0</v>
      </c>
      <c r="V27" s="4" t="str">
        <f ca="1">VLOOKUP($W27,OFFSET(enemy_skill_sets!$B$1,0,0,COUNTA(enemy_skill_sets!$B:$B),MATCH(M$1,enemy_skill_sets!$1:$1,0)-MATCH($W$1,enemy_skill_sets!$1:$1,0)+2),MATCH(M$1,enemy_skill_sets!$1:$1,0)-MATCH($W$1,enemy_skill_sets!$1:$1,0)+2,FALSE)</f>
        <v>解除するまで攻撃力UP</v>
      </c>
      <c r="W27" s="99">
        <v>30034006</v>
      </c>
      <c r="X27" s="6">
        <v>0</v>
      </c>
      <c r="Y27" s="6">
        <v>100</v>
      </c>
      <c r="Z27" s="6">
        <v>0</v>
      </c>
      <c r="AA27" s="97">
        <v>2</v>
      </c>
      <c r="AB27" s="100">
        <v>360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2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Drop1S</v>
      </c>
      <c r="AF27" s="7">
        <v>1</v>
      </c>
      <c r="AG27" s="23">
        <f ca="1">AD27</f>
        <v>2</v>
      </c>
      <c r="AH27" s="8">
        <v>20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  <c r="AN27" s="67">
        <v>1</v>
      </c>
    </row>
    <row r="28" spans="1:40" ht="21" customHeight="1" x14ac:dyDescent="0.15">
      <c r="A28" s="16" t="str">
        <f t="shared" ref="A28" si="33">B28&amp;"_"&amp;C28&amp;"-"&amp;G28&amp;"/"&amp;L28&amp;"&lt;lv"&amp;R28&amp;"&gt;s"&amp;AA28</f>
        <v>30034_1-5/840&lt;lv30&gt;s1</v>
      </c>
      <c r="B28" s="7">
        <v>30034</v>
      </c>
      <c r="C28" s="21">
        <v>1</v>
      </c>
      <c r="D28" s="2" t="str">
        <f t="shared" ref="D28" si="34">B28&amp;"_"&amp;C28</f>
        <v>30034_1</v>
      </c>
      <c r="E28" s="4" t="str">
        <f ca="1">VLOOKUP($B28,OFFSET([2]quests!$A$1,0,0,COUNTA([2]quests!$A:$A),MATCH(E$1,[2]quests!$1:$1,0)-MATCH($B$1,[2]quests!$1:$1,0)+1),MATCH(E$1,[2]quests!$1:$1,0)-MATCH($B$1,[2]quests!$1:$1,0)+1,FALSE)</f>
        <v>孤高の焔翼</v>
      </c>
      <c r="F28" s="4" t="str">
        <f ca="1">VLOOKUP($D28,OFFSET([2]stages!$A$1,0,0,COUNTA([2]stages!$A:$A),MATCH(F$1,[2]stages!$2:$2,0)-MATCH($D$1,[2]stages!$2:$2,0)+1),MATCH(F$1,[2]stages!$2:$2,0)-MATCH($D$1,[2]stages!$2:$2,0)+1,FALSE)</f>
        <v>【中級】孤高の焔翼</v>
      </c>
      <c r="G28" s="21">
        <v>5</v>
      </c>
      <c r="H28" s="15" t="str">
        <f t="shared" ref="H28" si="35">B28&amp;"_"&amp;C28&amp;"-"&amp;G28</f>
        <v>30034_1-5</v>
      </c>
      <c r="I28" s="4">
        <f ca="1">VLOOKUP($H28,OFFSET(floors!$A$1,0,0,COUNTA(floors!$A:$A),MATCH(I$1,floors!$1:$1,0)-MATCH($H$1,floors!$1:$1,0)+1),MATCH(I$1,floors!$1:$1,0)-MATCH($H$1,floors!$1:$1,0)+1,FALSE)</f>
        <v>60</v>
      </c>
      <c r="J28" s="4">
        <f ca="1">VLOOKUP($H28,OFFSET(floors!$A$1,0,0,COUNTA(floors!$A:$A),MATCH(J$1,floors!$1:$1,0)-MATCH($H$1,floors!$1:$1,0)+1),MATCH(J$1,floors!$1:$1,0)-MATCH($H$1,floors!$1:$1,0)+1,FALSE)</f>
        <v>60</v>
      </c>
      <c r="K28" s="37" t="s">
        <v>260</v>
      </c>
      <c r="L28" s="20">
        <v>840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フェニックス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red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Drop2N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animal</v>
      </c>
      <c r="Q28" s="17">
        <f ca="1">VLOOKUP($L28,OFFSET([3]enemies!$A$1,0,0,COUNTA([3]enemies!$A:$A),MATCH(Q$1,[3]enemies!$1:$1,0)-MATCH($L$1,[3]enemies!$1:$1,0)+1),MATCH(Q$1,[3]enemies!$1:$1,0)-MATCH($L$1,[3]enemies!$1:$1,0)+1,FALSE)</f>
        <v>30</v>
      </c>
      <c r="R28" s="5">
        <v>30</v>
      </c>
      <c r="S28" s="24">
        <v>1.7</v>
      </c>
      <c r="T28" s="24">
        <v>0.9</v>
      </c>
      <c r="U28" s="5">
        <v>0</v>
      </c>
      <c r="V28" s="4" t="str">
        <f ca="1">VLOOKUP($W28,OFFSET(enemy_skill_sets!$B$1,0,0,COUNTA(enemy_skill_sets!$B:$B),MATCH(M$1,enemy_skill_sets!$1:$1,0)-MATCH($W$1,enemy_skill_sets!$1:$1,0)+2),MATCH(M$1,enemy_skill_sets!$1:$1,0)-MATCH($W$1,enemy_skill_sets!$1:$1,0)+2,FALSE)</f>
        <v>より強い力を持って復活を果たした</v>
      </c>
      <c r="W28" s="99">
        <v>30034011</v>
      </c>
      <c r="X28" s="6">
        <v>1</v>
      </c>
      <c r="Y28" s="6">
        <v>100</v>
      </c>
      <c r="Z28" s="6">
        <v>1</v>
      </c>
      <c r="AA28" s="97">
        <v>1</v>
      </c>
      <c r="AB28" s="23">
        <f t="shared" ref="AB28" si="36">L28</f>
        <v>840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フェニックス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4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Drop2N</v>
      </c>
      <c r="AF28" s="7">
        <v>1</v>
      </c>
      <c r="AG28" s="23">
        <f t="shared" ref="AG28" ca="1" si="37">AD28</f>
        <v>4</v>
      </c>
      <c r="AH28" s="8">
        <v>20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  <c r="AN28" s="67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A3" sqref="A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130</v>
      </c>
      <c r="X1" s="28" t="s">
        <v>129</v>
      </c>
      <c r="Y1" s="27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30034_3-5/841&lt;lv60&gt;sq1st2</v>
      </c>
      <c r="B2" s="7">
        <v>30034</v>
      </c>
      <c r="C2" s="21">
        <v>3</v>
      </c>
      <c r="D2" s="2" t="str">
        <f>B2&amp;"_"&amp;C2</f>
        <v>30034_3</v>
      </c>
      <c r="E2" s="4" t="str">
        <f ca="1">VLOOKUP($B2,OFFSET([2]quests!$A$1,0,0,COUNTA([2]quests!$A:$A),MATCH(E$1,[2]quests!$1:$1,0)-MATCH($B$1,[2]quests!$1:$1,0)+1),MATCH(E$1,[2]quests!$1:$1,0)-MATCH($B$1,[2]quests!$1:$1,0)+1,FALSE)</f>
        <v>孤高の焔翼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【超級】孤高の焔翼</v>
      </c>
      <c r="G2" s="21">
        <v>5</v>
      </c>
      <c r="H2" s="15" t="str">
        <f>B2&amp;"_"&amp;C2&amp;"-"&amp;G2</f>
        <v>30034_3-5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20">
        <v>841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排斥の不死鳥 フェニックス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4">
        <v>1.7</v>
      </c>
      <c r="U2" s="24">
        <v>0.9</v>
      </c>
      <c r="V2" s="5">
        <v>0</v>
      </c>
      <c r="W2" s="7">
        <v>30034</v>
      </c>
      <c r="X2" s="99">
        <v>30034008</v>
      </c>
      <c r="Y2" s="98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3"/>
  <sheetViews>
    <sheetView showGridLines="0" workbookViewId="0">
      <pane ySplit="1" topLeftCell="A5" activePane="bottomLeft" state="frozenSplit"/>
      <selection pane="bottomLeft" activeCell="F14" sqref="F14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127</v>
      </c>
      <c r="E1" s="39" t="s">
        <v>82</v>
      </c>
      <c r="F1" s="39" t="s">
        <v>83</v>
      </c>
      <c r="G1" s="40" t="s">
        <v>133</v>
      </c>
      <c r="H1" s="40" t="s">
        <v>139</v>
      </c>
      <c r="I1" s="40" t="s">
        <v>141</v>
      </c>
      <c r="J1" s="40" t="s">
        <v>140</v>
      </c>
      <c r="K1" s="40" t="s">
        <v>142</v>
      </c>
      <c r="L1" s="40" t="s">
        <v>134</v>
      </c>
      <c r="M1" s="40" t="s">
        <v>132</v>
      </c>
      <c r="N1" s="40" t="s">
        <v>135</v>
      </c>
      <c r="O1" s="40" t="s">
        <v>143</v>
      </c>
      <c r="P1" s="40" t="s">
        <v>144</v>
      </c>
      <c r="Q1" s="40" t="s">
        <v>145</v>
      </c>
      <c r="R1" s="40" t="s">
        <v>146</v>
      </c>
      <c r="S1" s="40" t="s">
        <v>136</v>
      </c>
      <c r="T1" s="40" t="s">
        <v>137</v>
      </c>
      <c r="U1" s="40" t="s">
        <v>147</v>
      </c>
      <c r="V1" s="40" t="s">
        <v>148</v>
      </c>
      <c r="W1" s="40" t="s">
        <v>149</v>
      </c>
      <c r="X1" s="40" t="s">
        <v>150</v>
      </c>
      <c r="Y1" s="40" t="s">
        <v>138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96">
        <v>30034001</v>
      </c>
      <c r="B2" s="46" t="s">
        <v>257</v>
      </c>
      <c r="C2" s="49">
        <v>3</v>
      </c>
      <c r="D2" s="49" t="s">
        <v>128</v>
      </c>
      <c r="E2" s="50" t="s">
        <v>259</v>
      </c>
      <c r="F2" s="50" t="s">
        <v>258</v>
      </c>
      <c r="G2" s="61" t="str">
        <f>IFERROR(LEFT(B2,FIND("],",B2)),B2)</f>
        <v>[effect:enemy_message, val1:2, val2:2]</v>
      </c>
      <c r="H2" s="61">
        <f t="shared" ref="H2:H22" si="0">FIND("effect:",G2)+7</f>
        <v>9</v>
      </c>
      <c r="I2" s="61">
        <f t="shared" ref="I2:I10" si="1">IFERROR(FIND(",",G2),LEN(G2))</f>
        <v>22</v>
      </c>
      <c r="J2" s="61" t="e">
        <f t="shared" ref="J2:J10" si="2">FIND("target:",G2)+7</f>
        <v>#VALUE!</v>
      </c>
      <c r="K2" s="61">
        <f t="shared" ref="K2:K10" si="3">FIND(",",G2,I2+1)</f>
        <v>30</v>
      </c>
      <c r="L2" s="61" t="str">
        <f>IFERROR(VLOOKUP(MID(G2,J2,K2-J2),[5]skilldef!$C:$D,2,FALSE),"-") &amp; " / " &amp; IFERROR(VLOOKUP(MID(G2,H2,I2-H2),[5]skilldef!$A:$B,2,FALSE),"-")</f>
        <v>- / -</v>
      </c>
      <c r="M2" s="61" t="str">
        <f>IFERROR(RIGHT(B2,LEN(B2)-FIND("],",B2)-1),"none")</f>
        <v>none</v>
      </c>
      <c r="N2" s="47" t="str">
        <f>IFERROR(LEFT(M2,FIND("],",M2)+S14),M2)</f>
        <v>none</v>
      </c>
      <c r="O2" s="61" t="e">
        <f t="shared" ref="O2:O22" si="4">FIND("effect:",N2)+7</f>
        <v>#VALUE!</v>
      </c>
      <c r="P2" s="61">
        <f t="shared" ref="P2:P10" si="5">IFERROR(FIND(",",N2),LEN(N2))</f>
        <v>4</v>
      </c>
      <c r="Q2" s="61" t="e">
        <f t="shared" ref="Q2:Q10" si="6">FIND("target:",N2)+7</f>
        <v>#VALUE!</v>
      </c>
      <c r="R2" s="61" t="e">
        <f t="shared" ref="R2:R10" si="7">FIND(",",N2,P2+1)</f>
        <v>#VALUE!</v>
      </c>
      <c r="S2" s="61" t="str">
        <f>IFERROR(VLOOKUP(MID(N2,Q2,R2-Q2),[5]skilldef!$C:$D,2,FALSE),"-") &amp; " / " &amp; IFERROR(VLOOKUP(MID(N2,O2,P2-O2),[5]skilldef!$A:$B,2,FALSE),"-")</f>
        <v>- / -</v>
      </c>
      <c r="T2" s="47" t="str">
        <f t="shared" ref="T2:T10" si="8">IFERROR(RIGHT(M2,LEN(M2)-FIND("],",M2)-1),"none")</f>
        <v>none</v>
      </c>
      <c r="U2" s="61" t="e">
        <f t="shared" ref="U2:U22" si="9">FIND("effect:",T2)+7</f>
        <v>#VALUE!</v>
      </c>
      <c r="V2" s="61">
        <f t="shared" ref="V2:V10" si="10">IFERROR(FIND(",",T2),LEN(T2))</f>
        <v>4</v>
      </c>
      <c r="W2" s="61" t="e">
        <f t="shared" ref="W2:W10" si="11">FIND("target:",T2)+7</f>
        <v>#VALUE!</v>
      </c>
      <c r="X2" s="61" t="e">
        <f t="shared" ref="X2:X10" si="12">FIND(",",T2,V2+1)</f>
        <v>#VALUE!</v>
      </c>
      <c r="Y2" s="61" t="str">
        <f>IFERROR(VLOOKUP(MID(T2,W2,X2-W2),[5]skilldef!$C:$D,2,FALSE),"-") &amp; " / " &amp; IFERROR(VLOOKUP(MID(T2,U2,V2-U2),[5]skilldef!$A:$B,2,FALSE),"-")</f>
        <v>- / -</v>
      </c>
      <c r="Z2" s="49"/>
      <c r="AA2" s="51"/>
      <c r="AB2" s="49"/>
    </row>
    <row r="3" spans="1:28" ht="21" customHeight="1" x14ac:dyDescent="0.15">
      <c r="A3" s="96">
        <v>30034002</v>
      </c>
      <c r="B3" s="46" t="s">
        <v>234</v>
      </c>
      <c r="C3" s="49">
        <v>3</v>
      </c>
      <c r="D3" s="49" t="s">
        <v>128</v>
      </c>
      <c r="E3" s="50" t="s">
        <v>250</v>
      </c>
      <c r="F3" s="50" t="s">
        <v>214</v>
      </c>
      <c r="G3" s="61" t="str">
        <f>IFERROR(LEFT(B3,FIND("],",B3)),B3)</f>
        <v>[effect:enhance_enemy, target:myself, turn:-1, status:attack, val:0.1, calc:mul, animation:enemy_enhance_attack]</v>
      </c>
      <c r="H3" s="61">
        <f t="shared" si="0"/>
        <v>9</v>
      </c>
      <c r="I3" s="61">
        <f t="shared" si="1"/>
        <v>22</v>
      </c>
      <c r="J3" s="61">
        <f t="shared" si="2"/>
        <v>31</v>
      </c>
      <c r="K3" s="61">
        <f t="shared" si="3"/>
        <v>37</v>
      </c>
      <c r="L3" s="61" t="str">
        <f>IFERROR(VLOOKUP(MID(G3,J3,K3-J3),[5]skilldef!$C:$D,2,FALSE),"-") &amp; " / " &amp; IFERROR(VLOOKUP(MID(G3,H3,I3-H3),[5]skilldef!$A:$B,2,FALSE),"-")</f>
        <v>自分自身に / ステータス強化</v>
      </c>
      <c r="M3" s="61" t="str">
        <f>IFERROR(RIGHT(B3,LEN(B3)-FIND("],",B3)-1),"none")</f>
        <v>none</v>
      </c>
      <c r="N3" s="47" t="str">
        <f>IFERROR(LEFT(M3,FIND("],",M3)+S15),M3)</f>
        <v>none</v>
      </c>
      <c r="O3" s="61" t="e">
        <f t="shared" si="4"/>
        <v>#VALUE!</v>
      </c>
      <c r="P3" s="61">
        <f t="shared" si="5"/>
        <v>4</v>
      </c>
      <c r="Q3" s="61" t="e">
        <f t="shared" si="6"/>
        <v>#VALUE!</v>
      </c>
      <c r="R3" s="61" t="e">
        <f t="shared" si="7"/>
        <v>#VALUE!</v>
      </c>
      <c r="S3" s="61" t="str">
        <f>IFERROR(VLOOKUP(MID(N3,Q3,R3-Q3),[5]skilldef!$C:$D,2,FALSE),"-") &amp; " / " &amp; IFERROR(VLOOKUP(MID(N3,O3,P3-O3),[5]skilldef!$A:$B,2,FALSE),"-")</f>
        <v>- / -</v>
      </c>
      <c r="T3" s="47" t="str">
        <f t="shared" si="8"/>
        <v>none</v>
      </c>
      <c r="U3" s="61" t="e">
        <f t="shared" si="9"/>
        <v>#VALUE!</v>
      </c>
      <c r="V3" s="61">
        <f t="shared" si="10"/>
        <v>4</v>
      </c>
      <c r="W3" s="61" t="e">
        <f t="shared" si="11"/>
        <v>#VALUE!</v>
      </c>
      <c r="X3" s="61" t="e">
        <f t="shared" si="12"/>
        <v>#VALUE!</v>
      </c>
      <c r="Y3" s="61" t="str">
        <f>IFERROR(VLOOKUP(MID(T3,W3,X3-W3),[5]skilldef!$C:$D,2,FALSE),"-") &amp; " / " &amp; IFERROR(VLOOKUP(MID(T3,U3,V3-U3),[5]skilldef!$A:$B,2,FALSE),"-")</f>
        <v>- / -</v>
      </c>
      <c r="Z3" s="49"/>
      <c r="AA3" s="51"/>
      <c r="AB3" s="49"/>
    </row>
    <row r="4" spans="1:28" ht="21" customHeight="1" x14ac:dyDescent="0.15">
      <c r="A4" s="96">
        <v>30034003</v>
      </c>
      <c r="B4" s="46" t="s">
        <v>244</v>
      </c>
      <c r="C4" s="49">
        <v>3</v>
      </c>
      <c r="D4" s="49" t="s">
        <v>128</v>
      </c>
      <c r="E4" s="50" t="s">
        <v>253</v>
      </c>
      <c r="F4" s="50" t="s">
        <v>215</v>
      </c>
      <c r="G4" s="61" t="str">
        <f>IFERROR(LEFT(B4,FIND("],",B4)),B4)</f>
        <v>[effect:rush, count:4, val:0.28]</v>
      </c>
      <c r="H4" s="61">
        <f t="shared" si="0"/>
        <v>9</v>
      </c>
      <c r="I4" s="61">
        <f t="shared" si="1"/>
        <v>13</v>
      </c>
      <c r="J4" s="61" t="e">
        <f t="shared" si="2"/>
        <v>#VALUE!</v>
      </c>
      <c r="K4" s="61">
        <f t="shared" si="3"/>
        <v>22</v>
      </c>
      <c r="L4" s="61" t="str">
        <f>IFERROR(VLOOKUP(MID(G4,J4,K4-J4),[5]skilldef!$C:$D,2,FALSE),"-") &amp; " / " &amp; IFERROR(VLOOKUP(MID(G4,H4,I4-H4),[5]skilldef!$A:$B,2,FALSE),"-")</f>
        <v>- / 連続攻撃</v>
      </c>
      <c r="M4" s="61" t="str">
        <f>IFERROR(RIGHT(B4,LEN(B4)-FIND("],",B4)-1),"none")</f>
        <v>none</v>
      </c>
      <c r="N4" s="47" t="str">
        <f>IFERROR(LEFT(M4,FIND("],",M4)+S16),M4)</f>
        <v>none</v>
      </c>
      <c r="O4" s="61" t="e">
        <f t="shared" si="4"/>
        <v>#VALUE!</v>
      </c>
      <c r="P4" s="61">
        <f t="shared" si="5"/>
        <v>4</v>
      </c>
      <c r="Q4" s="61" t="e">
        <f t="shared" si="6"/>
        <v>#VALUE!</v>
      </c>
      <c r="R4" s="61" t="e">
        <f t="shared" si="7"/>
        <v>#VALUE!</v>
      </c>
      <c r="S4" s="61" t="str">
        <f>IFERROR(VLOOKUP(MID(N4,Q4,R4-Q4),[5]skilldef!$C:$D,2,FALSE),"-") &amp; " / " &amp; IFERROR(VLOOKUP(MID(N4,O4,P4-O4),[5]skilldef!$A:$B,2,FALSE),"-")</f>
        <v>- / -</v>
      </c>
      <c r="T4" s="47" t="str">
        <f t="shared" si="8"/>
        <v>none</v>
      </c>
      <c r="U4" s="61" t="e">
        <f t="shared" si="9"/>
        <v>#VALUE!</v>
      </c>
      <c r="V4" s="61">
        <f t="shared" si="10"/>
        <v>4</v>
      </c>
      <c r="W4" s="61" t="e">
        <f t="shared" si="11"/>
        <v>#VALUE!</v>
      </c>
      <c r="X4" s="61" t="e">
        <f t="shared" si="12"/>
        <v>#VALUE!</v>
      </c>
      <c r="Y4" s="61" t="str">
        <f>IFERROR(VLOOKUP(MID(T4,W4,X4-W4),[5]skilldef!$C:$D,2,FALSE),"-") &amp; " / " &amp; IFERROR(VLOOKUP(MID(T4,U4,V4-U4),[5]skilldef!$A:$B,2,FALSE),"-")</f>
        <v>- / -</v>
      </c>
      <c r="Z4" s="49"/>
      <c r="AA4" s="51"/>
      <c r="AB4" s="49"/>
    </row>
    <row r="5" spans="1:28" ht="21" customHeight="1" x14ac:dyDescent="0.15">
      <c r="A5" s="96">
        <v>30034004</v>
      </c>
      <c r="B5" s="46" t="s">
        <v>256</v>
      </c>
      <c r="C5" s="49">
        <v>3</v>
      </c>
      <c r="D5" s="49" t="s">
        <v>128</v>
      </c>
      <c r="E5" s="50" t="s">
        <v>251</v>
      </c>
      <c r="F5" s="50" t="s">
        <v>248</v>
      </c>
      <c r="G5" s="61" t="str">
        <f>IFERROR(LEFT(B5,FIND("],",B5)),B5)</f>
        <v>[effect:enemy_message, val1:2, val2:2]</v>
      </c>
      <c r="H5" s="61">
        <f t="shared" si="0"/>
        <v>9</v>
      </c>
      <c r="I5" s="61">
        <f t="shared" si="1"/>
        <v>22</v>
      </c>
      <c r="J5" s="61" t="e">
        <f t="shared" si="2"/>
        <v>#VALUE!</v>
      </c>
      <c r="K5" s="61">
        <f t="shared" si="3"/>
        <v>30</v>
      </c>
      <c r="L5" s="61" t="str">
        <f>IFERROR(VLOOKUP(MID(G5,J5,K5-J5),[5]skilldef!$C:$D,2,FALSE),"-") &amp; " / " &amp; IFERROR(VLOOKUP(MID(G5,H5,I5-H5),[5]skilldef!$A:$B,2,FALSE),"-")</f>
        <v>- / -</v>
      </c>
      <c r="M5" s="61" t="str">
        <f>IFERROR(RIGHT(B5,LEN(B5)-FIND("],",B5)-1),"none")</f>
        <v>none</v>
      </c>
      <c r="N5" s="47" t="str">
        <f>IFERROR(LEFT(M5,FIND("],",M5)+S17),M5)</f>
        <v>none</v>
      </c>
      <c r="O5" s="61" t="e">
        <f t="shared" si="4"/>
        <v>#VALUE!</v>
      </c>
      <c r="P5" s="61">
        <f t="shared" si="5"/>
        <v>4</v>
      </c>
      <c r="Q5" s="61" t="e">
        <f t="shared" si="6"/>
        <v>#VALUE!</v>
      </c>
      <c r="R5" s="61" t="e">
        <f t="shared" si="7"/>
        <v>#VALUE!</v>
      </c>
      <c r="S5" s="61" t="str">
        <f>IFERROR(VLOOKUP(MID(N5,Q5,R5-Q5),[5]skilldef!$C:$D,2,FALSE),"-") &amp; " / " &amp; IFERROR(VLOOKUP(MID(N5,O5,P5-O5),[5]skilldef!$A:$B,2,FALSE),"-")</f>
        <v>- / -</v>
      </c>
      <c r="T5" s="47" t="str">
        <f t="shared" si="8"/>
        <v>none</v>
      </c>
      <c r="U5" s="61" t="e">
        <f t="shared" si="9"/>
        <v>#VALUE!</v>
      </c>
      <c r="V5" s="61">
        <f t="shared" si="10"/>
        <v>4</v>
      </c>
      <c r="W5" s="61" t="e">
        <f t="shared" si="11"/>
        <v>#VALUE!</v>
      </c>
      <c r="X5" s="61" t="e">
        <f t="shared" si="12"/>
        <v>#VALUE!</v>
      </c>
      <c r="Y5" s="61" t="str">
        <f>IFERROR(VLOOKUP(MID(T5,W5,X5-W5),[5]skilldef!$C:$D,2,FALSE),"-") &amp; " / " &amp; IFERROR(VLOOKUP(MID(T5,U5,V5-U5),[5]skilldef!$A:$B,2,FALSE),"-")</f>
        <v>- / -</v>
      </c>
      <c r="Z5" s="49"/>
      <c r="AA5" s="51"/>
      <c r="AB5" s="49"/>
    </row>
    <row r="6" spans="1:28" ht="21" customHeight="1" x14ac:dyDescent="0.15">
      <c r="A6" s="96">
        <v>30034005</v>
      </c>
      <c r="B6" s="46" t="s">
        <v>216</v>
      </c>
      <c r="C6" s="49">
        <v>3</v>
      </c>
      <c r="D6" s="49" t="s">
        <v>128</v>
      </c>
      <c r="E6" s="50" t="s">
        <v>290</v>
      </c>
      <c r="F6" s="50" t="s">
        <v>217</v>
      </c>
      <c r="G6" s="61" t="str">
        <f>IFERROR(LEFT(B6,FIND("],",B6)),B6)</f>
        <v>[effect:dark, target:unit_all, turn:2, animation:enemy_dark]</v>
      </c>
      <c r="H6" s="61">
        <f t="shared" si="0"/>
        <v>9</v>
      </c>
      <c r="I6" s="61">
        <f t="shared" si="1"/>
        <v>13</v>
      </c>
      <c r="J6" s="61">
        <f t="shared" si="2"/>
        <v>22</v>
      </c>
      <c r="K6" s="61">
        <f t="shared" si="3"/>
        <v>30</v>
      </c>
      <c r="L6" s="61" t="str">
        <f>IFERROR(VLOOKUP(MID(G6,J6,K6-J6),[5]skilldef!$C:$D,2,FALSE),"-") &amp; " / " &amp; IFERROR(VLOOKUP(MID(G6,H6,I6-H6),[5]skilldef!$A:$B,2,FALSE),"-")</f>
        <v>味方全体に / 暗黒</v>
      </c>
      <c r="M6" s="61" t="str">
        <f>IFERROR(RIGHT(B6,LEN(B6)-FIND("],",B6)-1),"none")</f>
        <v>none</v>
      </c>
      <c r="N6" s="47" t="str">
        <f>IFERROR(LEFT(M6,FIND("],",M6)+S18),M6)</f>
        <v>none</v>
      </c>
      <c r="O6" s="61" t="e">
        <f t="shared" si="4"/>
        <v>#VALUE!</v>
      </c>
      <c r="P6" s="61">
        <f t="shared" si="5"/>
        <v>4</v>
      </c>
      <c r="Q6" s="61" t="e">
        <f t="shared" si="6"/>
        <v>#VALUE!</v>
      </c>
      <c r="R6" s="61" t="e">
        <f t="shared" si="7"/>
        <v>#VALUE!</v>
      </c>
      <c r="S6" s="61" t="str">
        <f>IFERROR(VLOOKUP(MID(N6,Q6,R6-Q6),[5]skilldef!$C:$D,2,FALSE),"-") &amp; " / " &amp; IFERROR(VLOOKUP(MID(N6,O6,P6-O6),[5]skilldef!$A:$B,2,FALSE),"-")</f>
        <v>- / -</v>
      </c>
      <c r="T6" s="47" t="str">
        <f t="shared" si="8"/>
        <v>none</v>
      </c>
      <c r="U6" s="61" t="e">
        <f t="shared" si="9"/>
        <v>#VALUE!</v>
      </c>
      <c r="V6" s="61">
        <f t="shared" si="10"/>
        <v>4</v>
      </c>
      <c r="W6" s="61" t="e">
        <f t="shared" si="11"/>
        <v>#VALUE!</v>
      </c>
      <c r="X6" s="61" t="e">
        <f t="shared" si="12"/>
        <v>#VALUE!</v>
      </c>
      <c r="Y6" s="61" t="str">
        <f>IFERROR(VLOOKUP(MID(T6,W6,X6-W6),[5]skilldef!$C:$D,2,FALSE),"-") &amp; " / " &amp; IFERROR(VLOOKUP(MID(T6,U6,V6-U6),[5]skilldef!$A:$B,2,FALSE),"-")</f>
        <v>- / -</v>
      </c>
      <c r="Z6" s="49"/>
      <c r="AA6" s="51"/>
      <c r="AB6" s="49"/>
    </row>
    <row r="7" spans="1:28" ht="21" customHeight="1" x14ac:dyDescent="0.15">
      <c r="A7" s="96">
        <v>30034006</v>
      </c>
      <c r="B7" s="46" t="s">
        <v>243</v>
      </c>
      <c r="C7" s="49">
        <v>3</v>
      </c>
      <c r="D7" s="49" t="s">
        <v>128</v>
      </c>
      <c r="E7" s="50" t="s">
        <v>286</v>
      </c>
      <c r="F7" s="50" t="s">
        <v>219</v>
      </c>
      <c r="G7" s="61" t="e">
        <f>IFERROR(LEFT(#REF!,FIND("],",#REF!)),#REF!)</f>
        <v>#REF!</v>
      </c>
      <c r="H7" s="61" t="e">
        <f t="shared" si="0"/>
        <v>#REF!</v>
      </c>
      <c r="I7" s="61" t="e">
        <f t="shared" si="1"/>
        <v>#REF!</v>
      </c>
      <c r="J7" s="61" t="e">
        <f t="shared" si="2"/>
        <v>#REF!</v>
      </c>
      <c r="K7" s="61" t="e">
        <f t="shared" si="3"/>
        <v>#REF!</v>
      </c>
      <c r="L7" s="61" t="str">
        <f>IFERROR(VLOOKUP(MID(G7,J7,K7-J7),[5]skilldef!$C:$D,2,FALSE),"-") &amp; " / " &amp; IFERROR(VLOOKUP(MID(G7,H7,I7-H7),[5]skilldef!$A:$B,2,FALSE),"-")</f>
        <v>- / -</v>
      </c>
      <c r="M7" s="61" t="str">
        <f>IFERROR(RIGHT(#REF!,LEN(#REF!)-FIND("],",#REF!)-1),"none")</f>
        <v>none</v>
      </c>
      <c r="N7" s="47" t="str">
        <f>IFERROR(LEFT(M7,FIND("],",M7)+S20),M7)</f>
        <v>none</v>
      </c>
      <c r="O7" s="61" t="e">
        <f t="shared" si="4"/>
        <v>#VALUE!</v>
      </c>
      <c r="P7" s="61">
        <f t="shared" si="5"/>
        <v>4</v>
      </c>
      <c r="Q7" s="61" t="e">
        <f t="shared" si="6"/>
        <v>#VALUE!</v>
      </c>
      <c r="R7" s="61" t="e">
        <f t="shared" si="7"/>
        <v>#VALUE!</v>
      </c>
      <c r="S7" s="61" t="str">
        <f>IFERROR(VLOOKUP(MID(N7,Q7,R7-Q7),[5]skilldef!$C:$D,2,FALSE),"-") &amp; " / " &amp; IFERROR(VLOOKUP(MID(N7,O7,P7-O7),[5]skilldef!$A:$B,2,FALSE),"-")</f>
        <v>- / -</v>
      </c>
      <c r="T7" s="47" t="str">
        <f t="shared" si="8"/>
        <v>none</v>
      </c>
      <c r="U7" s="61" t="e">
        <f t="shared" si="9"/>
        <v>#VALUE!</v>
      </c>
      <c r="V7" s="61">
        <f t="shared" si="10"/>
        <v>4</v>
      </c>
      <c r="W7" s="61" t="e">
        <f t="shared" si="11"/>
        <v>#VALUE!</v>
      </c>
      <c r="X7" s="61" t="e">
        <f t="shared" si="12"/>
        <v>#VALUE!</v>
      </c>
      <c r="Y7" s="61" t="str">
        <f>IFERROR(VLOOKUP(MID(T7,W7,X7-W7),[5]skilldef!$C:$D,2,FALSE),"-") &amp; " / " &amp; IFERROR(VLOOKUP(MID(T7,U7,V7-U7),[5]skilldef!$A:$B,2,FALSE),"-")</f>
        <v>- / -</v>
      </c>
      <c r="Z7" s="49"/>
      <c r="AA7" s="51"/>
      <c r="AB7" s="49"/>
    </row>
    <row r="8" spans="1:28" ht="21" customHeight="1" x14ac:dyDescent="0.15">
      <c r="A8" s="96">
        <v>30034007</v>
      </c>
      <c r="B8" s="46" t="s">
        <v>220</v>
      </c>
      <c r="C8" s="49">
        <v>3</v>
      </c>
      <c r="D8" s="49" t="s">
        <v>128</v>
      </c>
      <c r="E8" s="50" t="s">
        <v>283</v>
      </c>
      <c r="F8" s="50" t="s">
        <v>218</v>
      </c>
      <c r="G8" s="61" t="str">
        <f t="shared" ref="G8:G22" si="13">IFERROR(LEFT(B8,FIND("],",B8)),B8)</f>
        <v>[effect:spread, val:0.3]</v>
      </c>
      <c r="H8" s="61">
        <f t="shared" si="0"/>
        <v>9</v>
      </c>
      <c r="I8" s="61">
        <f t="shared" si="1"/>
        <v>15</v>
      </c>
      <c r="J8" s="61" t="e">
        <f t="shared" si="2"/>
        <v>#VALUE!</v>
      </c>
      <c r="K8" s="61" t="e">
        <f t="shared" si="3"/>
        <v>#VALUE!</v>
      </c>
      <c r="L8" s="61" t="str">
        <f>IFERROR(VLOOKUP(MID(G8,J8,K8-J8),[5]skilldef!$C:$D,2,FALSE),"-") &amp; " / " &amp; IFERROR(VLOOKUP(MID(G8,H8,I8-H8),[5]skilldef!$A:$B,2,FALSE),"-")</f>
        <v>- / 全体攻撃</v>
      </c>
      <c r="M8" s="61" t="str">
        <f t="shared" ref="M8:M22" si="14">IFERROR(RIGHT(B8,LEN(B8)-FIND("],",B8)-1),"none")</f>
        <v>none</v>
      </c>
      <c r="N8" s="47" t="str">
        <f>IFERROR(LEFT(M8,FIND("],",M8)+S19),M8)</f>
        <v>none</v>
      </c>
      <c r="O8" s="61" t="e">
        <f t="shared" si="4"/>
        <v>#VALUE!</v>
      </c>
      <c r="P8" s="61">
        <f t="shared" si="5"/>
        <v>4</v>
      </c>
      <c r="Q8" s="61" t="e">
        <f t="shared" si="6"/>
        <v>#VALUE!</v>
      </c>
      <c r="R8" s="61" t="e">
        <f t="shared" si="7"/>
        <v>#VALUE!</v>
      </c>
      <c r="S8" s="61" t="str">
        <f>IFERROR(VLOOKUP(MID(N8,Q8,R8-Q8),[5]skilldef!$C:$D,2,FALSE),"-") &amp; " / " &amp; IFERROR(VLOOKUP(MID(N8,O8,P8-O8),[5]skilldef!$A:$B,2,FALSE),"-")</f>
        <v>- / -</v>
      </c>
      <c r="T8" s="47" t="str">
        <f t="shared" si="8"/>
        <v>none</v>
      </c>
      <c r="U8" s="61" t="e">
        <f t="shared" si="9"/>
        <v>#VALUE!</v>
      </c>
      <c r="V8" s="61">
        <f t="shared" si="10"/>
        <v>4</v>
      </c>
      <c r="W8" s="61" t="e">
        <f t="shared" si="11"/>
        <v>#VALUE!</v>
      </c>
      <c r="X8" s="61" t="e">
        <f t="shared" si="12"/>
        <v>#VALUE!</v>
      </c>
      <c r="Y8" s="61" t="str">
        <f>IFERROR(VLOOKUP(MID(T8,W8,X8-W8),[5]skilldef!$C:$D,2,FALSE),"-") &amp; " / " &amp; IFERROR(VLOOKUP(MID(T8,U8,V8-U8),[5]skilldef!$A:$B,2,FALSE),"-")</f>
        <v>- / -</v>
      </c>
      <c r="Z8" s="49"/>
      <c r="AA8" s="51"/>
      <c r="AB8" s="49"/>
    </row>
    <row r="9" spans="1:28" ht="21" customHeight="1" x14ac:dyDescent="0.15">
      <c r="A9" s="96">
        <v>30034008</v>
      </c>
      <c r="B9" s="46" t="s">
        <v>221</v>
      </c>
      <c r="C9" s="49">
        <v>3</v>
      </c>
      <c r="D9" s="49" t="s">
        <v>128</v>
      </c>
      <c r="E9" s="50" t="s">
        <v>285</v>
      </c>
      <c r="F9" s="50" t="s">
        <v>288</v>
      </c>
      <c r="G9" s="61" t="str">
        <f t="shared" si="13"/>
        <v>[effect:degrade_unit, target:unit_all, turn:2, status:attack, val:0.5, calc:mul]</v>
      </c>
      <c r="H9" s="61">
        <f>FIND("effect:",G9)+7</f>
        <v>9</v>
      </c>
      <c r="I9" s="61">
        <f>IFERROR(FIND(",",G9),LEN(G9))</f>
        <v>21</v>
      </c>
      <c r="J9" s="61">
        <f>FIND("target:",G9)+7</f>
        <v>30</v>
      </c>
      <c r="K9" s="61">
        <f>FIND(",",G9,I9+1)</f>
        <v>38</v>
      </c>
      <c r="L9" s="61" t="str">
        <f>IFERROR(VLOOKUP(MID(G9,J9,K9-J9),[5]skilldef!$C:$D,2,FALSE),"-") &amp; " / " &amp; IFERROR(VLOOKUP(MID(G9,H9,I9-H9),[5]skilldef!$A:$B,2,FALSE),"-")</f>
        <v>味方全体に / ステータスDOWN</v>
      </c>
      <c r="M9" s="61" t="str">
        <f t="shared" si="14"/>
        <v>none</v>
      </c>
      <c r="N9" s="47" t="str">
        <f>IFERROR(LEFT(M9,FIND("],",M9)+S32),M9)</f>
        <v>none</v>
      </c>
      <c r="O9" s="61" t="e">
        <f>FIND("effect:",N9)+7</f>
        <v>#VALUE!</v>
      </c>
      <c r="P9" s="61">
        <f>IFERROR(FIND(",",N9),LEN(N9))</f>
        <v>4</v>
      </c>
      <c r="Q9" s="61" t="e">
        <f>FIND("target:",N9)+7</f>
        <v>#VALUE!</v>
      </c>
      <c r="R9" s="61" t="e">
        <f>FIND(",",N9,P9+1)</f>
        <v>#VALUE!</v>
      </c>
      <c r="S9" s="61" t="str">
        <f>IFERROR(VLOOKUP(MID(N9,Q9,R9-Q9),[5]skilldef!$C:$D,2,FALSE),"-") &amp; " / " &amp; IFERROR(VLOOKUP(MID(N9,O9,P9-O9),[5]skilldef!$A:$B,2,FALSE),"-")</f>
        <v>- / -</v>
      </c>
      <c r="T9" s="47" t="str">
        <f>IFERROR(RIGHT(M9,LEN(M9)-FIND("],",M9)-1),"none")</f>
        <v>none</v>
      </c>
      <c r="U9" s="61" t="e">
        <f>FIND("effect:",T9)+7</f>
        <v>#VALUE!</v>
      </c>
      <c r="V9" s="61">
        <f>IFERROR(FIND(",",T9),LEN(T9))</f>
        <v>4</v>
      </c>
      <c r="W9" s="61" t="e">
        <f>FIND("target:",T9)+7</f>
        <v>#VALUE!</v>
      </c>
      <c r="X9" s="61" t="e">
        <f>FIND(",",T9,V9+1)</f>
        <v>#VALUE!</v>
      </c>
      <c r="Y9" s="61" t="str">
        <f>IFERROR(VLOOKUP(MID(T9,W9,X9-W9),[5]skilldef!$C:$D,2,FALSE),"-") &amp; " / " &amp; IFERROR(VLOOKUP(MID(T9,U9,V9-U9),[5]skilldef!$A:$B,2,FALSE),"-")</f>
        <v>- / -</v>
      </c>
      <c r="Z9" s="49"/>
      <c r="AA9" s="51"/>
      <c r="AB9" s="49"/>
    </row>
    <row r="10" spans="1:28" ht="21" customHeight="1" x14ac:dyDescent="0.15">
      <c r="A10" s="96">
        <v>30034009</v>
      </c>
      <c r="B10" s="46" t="s">
        <v>249</v>
      </c>
      <c r="C10" s="49">
        <v>3</v>
      </c>
      <c r="D10" s="49" t="s">
        <v>128</v>
      </c>
      <c r="E10" s="50" t="s">
        <v>222</v>
      </c>
      <c r="F10" s="50" t="s">
        <v>223</v>
      </c>
      <c r="G10" s="61" t="str">
        <f t="shared" si="13"/>
        <v>[effect:nothing]</v>
      </c>
      <c r="H10" s="61">
        <f t="shared" si="0"/>
        <v>9</v>
      </c>
      <c r="I10" s="61">
        <f t="shared" si="1"/>
        <v>16</v>
      </c>
      <c r="J10" s="61" t="e">
        <f t="shared" si="2"/>
        <v>#VALUE!</v>
      </c>
      <c r="K10" s="61" t="e">
        <f t="shared" si="3"/>
        <v>#VALUE!</v>
      </c>
      <c r="L10" s="61" t="str">
        <f>IFERROR(VLOOKUP(MID(G10,J10,K10-J10),[5]skilldef!$C:$D,2,FALSE),"-") &amp; " / " &amp; IFERROR(VLOOKUP(MID(G10,H10,I10-H10),[5]skilldef!$A:$B,2,FALSE),"-")</f>
        <v>- / 何もしない</v>
      </c>
      <c r="M10" s="61" t="str">
        <f t="shared" si="14"/>
        <v>none</v>
      </c>
      <c r="N10" s="47" t="str">
        <f>IFERROR(LEFT(M10,FIND("],",M10)+S21),M10)</f>
        <v>none</v>
      </c>
      <c r="O10" s="61" t="e">
        <f t="shared" si="4"/>
        <v>#VALUE!</v>
      </c>
      <c r="P10" s="61">
        <f t="shared" si="5"/>
        <v>4</v>
      </c>
      <c r="Q10" s="61" t="e">
        <f t="shared" si="6"/>
        <v>#VALUE!</v>
      </c>
      <c r="R10" s="61" t="e">
        <f t="shared" si="7"/>
        <v>#VALUE!</v>
      </c>
      <c r="S10" s="61" t="str">
        <f>IFERROR(VLOOKUP(MID(N10,Q10,R10-Q10),[5]skilldef!$C:$D,2,FALSE),"-") &amp; " / " &amp; IFERROR(VLOOKUP(MID(N10,O10,P10-O10),[5]skilldef!$A:$B,2,FALSE),"-")</f>
        <v>- / -</v>
      </c>
      <c r="T10" s="47" t="str">
        <f t="shared" si="8"/>
        <v>none</v>
      </c>
      <c r="U10" s="61" t="e">
        <f t="shared" si="9"/>
        <v>#VALUE!</v>
      </c>
      <c r="V10" s="61">
        <f t="shared" si="10"/>
        <v>4</v>
      </c>
      <c r="W10" s="61" t="e">
        <f t="shared" si="11"/>
        <v>#VALUE!</v>
      </c>
      <c r="X10" s="61" t="e">
        <f t="shared" si="12"/>
        <v>#VALUE!</v>
      </c>
      <c r="Y10" s="61" t="str">
        <f>IFERROR(VLOOKUP(MID(T10,W10,X10-W10),[5]skilldef!$C:$D,2,FALSE),"-") &amp; " / " &amp; IFERROR(VLOOKUP(MID(T10,U10,V10-U10),[5]skilldef!$A:$B,2,FALSE),"-")</f>
        <v>- / -</v>
      </c>
      <c r="Z10" s="49"/>
      <c r="AA10" s="51"/>
      <c r="AB10" s="49"/>
    </row>
    <row r="11" spans="1:28" ht="21" customHeight="1" x14ac:dyDescent="0.15">
      <c r="A11" s="96">
        <v>30034010</v>
      </c>
      <c r="B11" s="46" t="s">
        <v>236</v>
      </c>
      <c r="C11" s="49">
        <v>3</v>
      </c>
      <c r="D11" s="49" t="s">
        <v>128</v>
      </c>
      <c r="E11" s="50" t="s">
        <v>233</v>
      </c>
      <c r="F11" s="50" t="s">
        <v>225</v>
      </c>
      <c r="G11" s="61" t="str">
        <f t="shared" si="13"/>
        <v>[effect:rush, count:2, val:0.6]</v>
      </c>
      <c r="H11" s="61">
        <f t="shared" si="0"/>
        <v>9</v>
      </c>
      <c r="I11" s="61">
        <f t="shared" ref="I11:I22" si="15">IFERROR(FIND(",",G11),LEN(G11))</f>
        <v>13</v>
      </c>
      <c r="J11" s="61" t="e">
        <f t="shared" ref="J11:J22" si="16">FIND("target:",G11)+7</f>
        <v>#VALUE!</v>
      </c>
      <c r="K11" s="61">
        <f t="shared" ref="K11:K22" si="17">FIND(",",G11,I11+1)</f>
        <v>22</v>
      </c>
      <c r="L11" s="61" t="str">
        <f>IFERROR(VLOOKUP(MID(G11,J11,K11-J11),[5]skilldef!$C:$D,2,FALSE),"-") &amp; " / " &amp; IFERROR(VLOOKUP(MID(G11,H11,I11-H11),[5]skilldef!$A:$B,2,FALSE),"-")</f>
        <v>- / 連続攻撃</v>
      </c>
      <c r="M11" s="61" t="str">
        <f t="shared" si="14"/>
        <v>none</v>
      </c>
      <c r="N11" s="47" t="str">
        <f>IFERROR(LEFT(M11,FIND("],",M11)+S22),M11)</f>
        <v>none</v>
      </c>
      <c r="O11" s="61" t="e">
        <f t="shared" si="4"/>
        <v>#VALUE!</v>
      </c>
      <c r="P11" s="61">
        <f t="shared" ref="P11:P22" si="18">IFERROR(FIND(",",N11),LEN(N11))</f>
        <v>4</v>
      </c>
      <c r="Q11" s="61" t="e">
        <f t="shared" ref="Q11:Q22" si="19">FIND("target:",N11)+7</f>
        <v>#VALUE!</v>
      </c>
      <c r="R11" s="61" t="e">
        <f t="shared" ref="R11:R22" si="20">FIND(",",N11,P11+1)</f>
        <v>#VALUE!</v>
      </c>
      <c r="S11" s="61" t="str">
        <f>IFERROR(VLOOKUP(MID(N11,Q11,R11-Q11),[5]skilldef!$C:$D,2,FALSE),"-") &amp; " / " &amp; IFERROR(VLOOKUP(MID(N11,O11,P11-O11),[5]skilldef!$A:$B,2,FALSE),"-")</f>
        <v>- / -</v>
      </c>
      <c r="T11" s="47" t="str">
        <f t="shared" ref="T11:T22" si="21">IFERROR(RIGHT(M11,LEN(M11)-FIND("],",M11)-1),"none")</f>
        <v>none</v>
      </c>
      <c r="U11" s="61" t="e">
        <f t="shared" si="9"/>
        <v>#VALUE!</v>
      </c>
      <c r="V11" s="61">
        <f t="shared" ref="V11:V22" si="22">IFERROR(FIND(",",T11),LEN(T11))</f>
        <v>4</v>
      </c>
      <c r="W11" s="61" t="e">
        <f t="shared" ref="W11:W22" si="23">FIND("target:",T11)+7</f>
        <v>#VALUE!</v>
      </c>
      <c r="X11" s="61" t="e">
        <f t="shared" ref="X11:X22" si="24">FIND(",",T11,V11+1)</f>
        <v>#VALUE!</v>
      </c>
      <c r="Y11" s="61" t="str">
        <f>IFERROR(VLOOKUP(MID(T11,W11,X11-W11),[5]skilldef!$C:$D,2,FALSE),"-") &amp; " / " &amp; IFERROR(VLOOKUP(MID(T11,U11,V11-U11),[5]skilldef!$A:$B,2,FALSE),"-")</f>
        <v>- / -</v>
      </c>
      <c r="Z11" s="49"/>
      <c r="AA11" s="51"/>
      <c r="AB11" s="49"/>
    </row>
    <row r="12" spans="1:28" ht="21" customHeight="1" x14ac:dyDescent="0.15">
      <c r="A12" s="96">
        <v>30034011</v>
      </c>
      <c r="B12" s="46" t="s">
        <v>298</v>
      </c>
      <c r="C12" s="49">
        <v>3</v>
      </c>
      <c r="D12" s="49" t="s">
        <v>128</v>
      </c>
      <c r="E12" s="50" t="s">
        <v>245</v>
      </c>
      <c r="F12" s="50" t="s">
        <v>294</v>
      </c>
      <c r="G12" s="61" t="str">
        <f t="shared" ref="G12" si="25">IFERROR(LEFT(B12,FIND("],",B12)),B12)</f>
        <v>[effect:nothing]</v>
      </c>
      <c r="H12" s="61">
        <f t="shared" ref="H12" si="26">FIND("effect:",G12)+7</f>
        <v>9</v>
      </c>
      <c r="I12" s="61">
        <f t="shared" ref="I12" si="27">IFERROR(FIND(",",G12),LEN(G12))</f>
        <v>16</v>
      </c>
      <c r="J12" s="61" t="e">
        <f t="shared" ref="J12" si="28">FIND("target:",G12)+7</f>
        <v>#VALUE!</v>
      </c>
      <c r="K12" s="61" t="e">
        <f t="shared" ref="K12" si="29">FIND(",",G12,I12+1)</f>
        <v>#VALUE!</v>
      </c>
      <c r="L12" s="61" t="str">
        <f>IFERROR(VLOOKUP(MID(G12,J12,K12-J12),[5]skilldef!$C:$D,2,FALSE),"-") &amp; " / " &amp; IFERROR(VLOOKUP(MID(G12,H12,I12-H12),[5]skilldef!$A:$B,2,FALSE),"-")</f>
        <v>- / 何もしない</v>
      </c>
      <c r="M12" s="61" t="str">
        <f t="shared" ref="M12" si="30">IFERROR(RIGHT(B12,LEN(B12)-FIND("],",B12)-1),"none")</f>
        <v xml:space="preserve">[effect:enemy_message, val1:1, val2:2.3]    </v>
      </c>
      <c r="N12" s="47" t="str">
        <f>IFERROR(LEFT(M12,FIND("],",M12)+S21),M12)</f>
        <v xml:space="preserve">[effect:enemy_message, val1:1, val2:2.3]    </v>
      </c>
      <c r="O12" s="61">
        <f t="shared" ref="O12" si="31">FIND("effect:",N12)+7</f>
        <v>9</v>
      </c>
      <c r="P12" s="61">
        <f t="shared" ref="P12" si="32">IFERROR(FIND(",",N12),LEN(N12))</f>
        <v>22</v>
      </c>
      <c r="Q12" s="61" t="e">
        <f t="shared" ref="Q12" si="33">FIND("target:",N12)+7</f>
        <v>#VALUE!</v>
      </c>
      <c r="R12" s="61">
        <f t="shared" ref="R12" si="34">FIND(",",N12,P12+1)</f>
        <v>30</v>
      </c>
      <c r="S12" s="61" t="str">
        <f>IFERROR(VLOOKUP(MID(N12,Q12,R12-Q12),[5]skilldef!$C:$D,2,FALSE),"-") &amp; " / " &amp; IFERROR(VLOOKUP(MID(N12,O12,P12-O12),[5]skilldef!$A:$B,2,FALSE),"-")</f>
        <v>- / -</v>
      </c>
      <c r="T12" s="47" t="str">
        <f t="shared" ref="T12" si="35">IFERROR(RIGHT(M12,LEN(M12)-FIND("],",M12)-1),"none")</f>
        <v>none</v>
      </c>
      <c r="U12" s="61" t="e">
        <f t="shared" ref="U12" si="36">FIND("effect:",T12)+7</f>
        <v>#VALUE!</v>
      </c>
      <c r="V12" s="61">
        <f t="shared" ref="V12" si="37">IFERROR(FIND(",",T12),LEN(T12))</f>
        <v>4</v>
      </c>
      <c r="W12" s="61" t="e">
        <f t="shared" ref="W12" si="38">FIND("target:",T12)+7</f>
        <v>#VALUE!</v>
      </c>
      <c r="X12" s="61" t="e">
        <f t="shared" ref="X12" si="39">FIND(",",T12,V12+1)</f>
        <v>#VALUE!</v>
      </c>
      <c r="Y12" s="61" t="str">
        <f>IFERROR(VLOOKUP(MID(T12,W12,X12-W12),[5]skilldef!$C:$D,2,FALSE),"-") &amp; " / " &amp; IFERROR(VLOOKUP(MID(T12,U12,V12-U12),[5]skilldef!$A:$B,2,FALSE),"-")</f>
        <v>- / -</v>
      </c>
      <c r="Z12" s="49"/>
      <c r="AA12" s="51"/>
      <c r="AB12" s="49"/>
    </row>
    <row r="13" spans="1:28" ht="21" customHeight="1" x14ac:dyDescent="0.15">
      <c r="A13" s="96">
        <v>30034012</v>
      </c>
      <c r="B13" s="46" t="s">
        <v>247</v>
      </c>
      <c r="C13" s="49">
        <v>3</v>
      </c>
      <c r="D13" s="49" t="s">
        <v>128</v>
      </c>
      <c r="E13" s="50" t="s">
        <v>224</v>
      </c>
      <c r="F13" s="50" t="s">
        <v>225</v>
      </c>
      <c r="G13" s="61" t="str">
        <f t="shared" si="13"/>
        <v>[effect:rush, count:3, val:0.4]</v>
      </c>
      <c r="H13" s="61">
        <f t="shared" si="0"/>
        <v>9</v>
      </c>
      <c r="I13" s="61">
        <f t="shared" si="15"/>
        <v>13</v>
      </c>
      <c r="J13" s="61" t="e">
        <f t="shared" si="16"/>
        <v>#VALUE!</v>
      </c>
      <c r="K13" s="61">
        <f t="shared" si="17"/>
        <v>22</v>
      </c>
      <c r="L13" s="61" t="str">
        <f>IFERROR(VLOOKUP(MID(G13,J13,K13-J13),[5]skilldef!$C:$D,2,FALSE),"-") &amp; " / " &amp; IFERROR(VLOOKUP(MID(G13,H13,I13-H13),[5]skilldef!$A:$B,2,FALSE),"-")</f>
        <v>- / 連続攻撃</v>
      </c>
      <c r="M13" s="61" t="str">
        <f t="shared" si="14"/>
        <v>none</v>
      </c>
      <c r="N13" s="47" t="str">
        <f>IFERROR(LEFT(M13,FIND("],",M13)+S9),M13)</f>
        <v>none</v>
      </c>
      <c r="O13" s="61" t="e">
        <f t="shared" si="4"/>
        <v>#VALUE!</v>
      </c>
      <c r="P13" s="61">
        <f t="shared" si="18"/>
        <v>4</v>
      </c>
      <c r="Q13" s="61" t="e">
        <f t="shared" si="19"/>
        <v>#VALUE!</v>
      </c>
      <c r="R13" s="61" t="e">
        <f t="shared" si="20"/>
        <v>#VALUE!</v>
      </c>
      <c r="S13" s="61" t="str">
        <f>IFERROR(VLOOKUP(MID(N13,Q13,R13-Q13),[5]skilldef!$C:$D,2,FALSE),"-") &amp; " / " &amp; IFERROR(VLOOKUP(MID(N13,O13,P13-O13),[5]skilldef!$A:$B,2,FALSE),"-")</f>
        <v>- / -</v>
      </c>
      <c r="T13" s="47" t="str">
        <f t="shared" si="21"/>
        <v>none</v>
      </c>
      <c r="U13" s="61" t="e">
        <f t="shared" si="9"/>
        <v>#VALUE!</v>
      </c>
      <c r="V13" s="61">
        <f t="shared" si="22"/>
        <v>4</v>
      </c>
      <c r="W13" s="61" t="e">
        <f t="shared" si="23"/>
        <v>#VALUE!</v>
      </c>
      <c r="X13" s="61" t="e">
        <f t="shared" si="24"/>
        <v>#VALUE!</v>
      </c>
      <c r="Y13" s="61" t="str">
        <f>IFERROR(VLOOKUP(MID(T13,W13,X13-W13),[5]skilldef!$C:$D,2,FALSE),"-") &amp; " / " &amp; IFERROR(VLOOKUP(MID(T13,U13,V13-U13),[5]skilldef!$A:$B,2,FALSE),"-")</f>
        <v>- / -</v>
      </c>
      <c r="Z13" s="49"/>
      <c r="AA13" s="51"/>
      <c r="AB13" s="49"/>
    </row>
    <row r="14" spans="1:28" ht="21" customHeight="1" x14ac:dyDescent="0.15">
      <c r="A14" s="96">
        <v>30034013</v>
      </c>
      <c r="B14" s="46" t="s">
        <v>235</v>
      </c>
      <c r="C14" s="49">
        <v>3</v>
      </c>
      <c r="D14" s="49" t="s">
        <v>128</v>
      </c>
      <c r="E14" s="50" t="s">
        <v>246</v>
      </c>
      <c r="F14" s="50" t="s">
        <v>231</v>
      </c>
      <c r="G14" s="61" t="str">
        <f t="shared" si="13"/>
        <v>[effect:enhance_enemy, target:myself, turn:-1, status:attack, val:0.2, calc:mul, animation:enemy_enhance_attack]</v>
      </c>
      <c r="H14" s="61">
        <f t="shared" si="0"/>
        <v>9</v>
      </c>
      <c r="I14" s="61">
        <f t="shared" si="15"/>
        <v>22</v>
      </c>
      <c r="J14" s="61">
        <f t="shared" si="16"/>
        <v>31</v>
      </c>
      <c r="K14" s="61">
        <f t="shared" si="17"/>
        <v>37</v>
      </c>
      <c r="L14" s="61" t="str">
        <f>IFERROR(VLOOKUP(MID(G14,J14,K14-J14),[5]skilldef!$C:$D,2,FALSE),"-") &amp; " / " &amp; IFERROR(VLOOKUP(MID(G14,H14,I14-H14),[5]skilldef!$A:$B,2,FALSE),"-")</f>
        <v>自分自身に / ステータス強化</v>
      </c>
      <c r="M14" s="61" t="str">
        <f t="shared" si="14"/>
        <v>none</v>
      </c>
      <c r="N14" s="47" t="str">
        <f>IFERROR(LEFT(M14,FIND("],",M14)+S23),M14)</f>
        <v>none</v>
      </c>
      <c r="O14" s="61" t="e">
        <f t="shared" si="4"/>
        <v>#VALUE!</v>
      </c>
      <c r="P14" s="61">
        <f t="shared" si="18"/>
        <v>4</v>
      </c>
      <c r="Q14" s="61" t="e">
        <f t="shared" si="19"/>
        <v>#VALUE!</v>
      </c>
      <c r="R14" s="61" t="e">
        <f t="shared" si="20"/>
        <v>#VALUE!</v>
      </c>
      <c r="S14" s="61" t="str">
        <f>IFERROR(VLOOKUP(MID(N14,Q14,R14-Q14),[5]skilldef!$C:$D,2,FALSE),"-") &amp; " / " &amp; IFERROR(VLOOKUP(MID(N14,O14,P14-O14),[5]skilldef!$A:$B,2,FALSE),"-")</f>
        <v>- / -</v>
      </c>
      <c r="T14" s="47" t="str">
        <f t="shared" si="21"/>
        <v>none</v>
      </c>
      <c r="U14" s="61" t="e">
        <f t="shared" si="9"/>
        <v>#VALUE!</v>
      </c>
      <c r="V14" s="61">
        <f t="shared" si="22"/>
        <v>4</v>
      </c>
      <c r="W14" s="61" t="e">
        <f t="shared" si="23"/>
        <v>#VALUE!</v>
      </c>
      <c r="X14" s="61" t="e">
        <f t="shared" si="24"/>
        <v>#VALUE!</v>
      </c>
      <c r="Y14" s="61" t="str">
        <f>IFERROR(VLOOKUP(MID(T14,W14,X14-W14),[5]skilldef!$C:$D,2,FALSE),"-") &amp; " / " &amp; IFERROR(VLOOKUP(MID(T14,U14,V14-U14),[5]skilldef!$A:$B,2,FALSE),"-")</f>
        <v>- / -</v>
      </c>
      <c r="Z14" s="49"/>
      <c r="AA14" s="51"/>
      <c r="AB14" s="49"/>
    </row>
    <row r="15" spans="1:28" ht="21" customHeight="1" x14ac:dyDescent="0.15">
      <c r="A15" s="96">
        <v>30034014</v>
      </c>
      <c r="B15" s="46" t="s">
        <v>297</v>
      </c>
      <c r="C15" s="49">
        <v>3</v>
      </c>
      <c r="D15" s="49" t="s">
        <v>128</v>
      </c>
      <c r="E15" s="50" t="s">
        <v>287</v>
      </c>
      <c r="F15" s="50" t="s">
        <v>291</v>
      </c>
      <c r="G15" s="61" t="str">
        <f t="shared" si="13"/>
        <v>[effect:degrade_unit, target:unit_all, turn:2, status:attack, val:0.5, calc:mul]</v>
      </c>
      <c r="H15" s="61">
        <f t="shared" si="0"/>
        <v>9</v>
      </c>
      <c r="I15" s="61">
        <f t="shared" si="15"/>
        <v>21</v>
      </c>
      <c r="J15" s="61">
        <f t="shared" si="16"/>
        <v>30</v>
      </c>
      <c r="K15" s="61">
        <f t="shared" si="17"/>
        <v>38</v>
      </c>
      <c r="L15" s="61" t="str">
        <f>IFERROR(VLOOKUP(MID(G15,J15,K15-J15),[5]skilldef!$C:$D,2,FALSE),"-") &amp; " / " &amp; IFERROR(VLOOKUP(MID(G15,H15,I15-H15),[5]skilldef!$A:$B,2,FALSE),"-")</f>
        <v>味方全体に / ステータスDOWN</v>
      </c>
      <c r="M15" s="61" t="str">
        <f t="shared" si="14"/>
        <v xml:space="preserve">[effect:enemy_message, val1:1, val2:2.8]    </v>
      </c>
      <c r="N15" s="47" t="str">
        <f>IFERROR(LEFT(M15,FIND("],",M15)+S24),M15)</f>
        <v xml:space="preserve">[effect:enemy_message, val1:1, val2:2.8]    </v>
      </c>
      <c r="O15" s="61">
        <f t="shared" si="4"/>
        <v>9</v>
      </c>
      <c r="P15" s="61">
        <f t="shared" si="18"/>
        <v>22</v>
      </c>
      <c r="Q15" s="61" t="e">
        <f t="shared" si="19"/>
        <v>#VALUE!</v>
      </c>
      <c r="R15" s="61">
        <f t="shared" si="20"/>
        <v>30</v>
      </c>
      <c r="S15" s="61" t="str">
        <f>IFERROR(VLOOKUP(MID(N15,Q15,R15-Q15),[5]skilldef!$C:$D,2,FALSE),"-") &amp; " / " &amp; IFERROR(VLOOKUP(MID(N15,O15,P15-O15),[5]skilldef!$A:$B,2,FALSE),"-")</f>
        <v>- / -</v>
      </c>
      <c r="T15" s="47" t="str">
        <f t="shared" si="21"/>
        <v>none</v>
      </c>
      <c r="U15" s="61" t="e">
        <f t="shared" si="9"/>
        <v>#VALUE!</v>
      </c>
      <c r="V15" s="61">
        <f t="shared" si="22"/>
        <v>4</v>
      </c>
      <c r="W15" s="61" t="e">
        <f t="shared" si="23"/>
        <v>#VALUE!</v>
      </c>
      <c r="X15" s="61" t="e">
        <f t="shared" si="24"/>
        <v>#VALUE!</v>
      </c>
      <c r="Y15" s="61" t="str">
        <f>IFERROR(VLOOKUP(MID(T15,W15,X15-W15),[5]skilldef!$C:$D,2,FALSE),"-") &amp; " / " &amp; IFERROR(VLOOKUP(MID(T15,U15,V15-U15),[5]skilldef!$A:$B,2,FALSE),"-")</f>
        <v>- / -</v>
      </c>
      <c r="Z15" s="49"/>
      <c r="AA15" s="51"/>
      <c r="AB15" s="49"/>
    </row>
    <row r="16" spans="1:28" ht="21" customHeight="1" x14ac:dyDescent="0.15">
      <c r="A16" s="96">
        <v>30034015</v>
      </c>
      <c r="B16" s="46" t="s">
        <v>277</v>
      </c>
      <c r="C16" s="49">
        <v>3</v>
      </c>
      <c r="D16" s="49" t="s">
        <v>128</v>
      </c>
      <c r="E16" s="50" t="s">
        <v>252</v>
      </c>
      <c r="F16" s="50" t="s">
        <v>278</v>
      </c>
      <c r="G16" s="61" t="str">
        <f t="shared" si="13"/>
        <v>[effect:heal, target:myself, val:1, animation:enemy_heal]</v>
      </c>
      <c r="H16" s="61">
        <f t="shared" si="0"/>
        <v>9</v>
      </c>
      <c r="I16" s="61">
        <f t="shared" si="15"/>
        <v>13</v>
      </c>
      <c r="J16" s="61">
        <f t="shared" si="16"/>
        <v>22</v>
      </c>
      <c r="K16" s="61">
        <f t="shared" si="17"/>
        <v>28</v>
      </c>
      <c r="L16" s="61" t="str">
        <f>IFERROR(VLOOKUP(MID(G16,J16,K16-J16),[5]skilldef!$C:$D,2,FALSE),"-") &amp; " / " &amp; IFERROR(VLOOKUP(MID(G16,H16,I16-H16),[5]skilldef!$A:$B,2,FALSE),"-")</f>
        <v>自分自身に / 回復</v>
      </c>
      <c r="M16" s="61" t="str">
        <f t="shared" si="14"/>
        <v>none</v>
      </c>
      <c r="N16" s="47" t="str">
        <f>IFERROR(LEFT(M16,FIND("],",M16)+S25),M16)</f>
        <v>none</v>
      </c>
      <c r="O16" s="61" t="e">
        <f t="shared" si="4"/>
        <v>#VALUE!</v>
      </c>
      <c r="P16" s="61">
        <f t="shared" si="18"/>
        <v>4</v>
      </c>
      <c r="Q16" s="61" t="e">
        <f t="shared" si="19"/>
        <v>#VALUE!</v>
      </c>
      <c r="R16" s="61" t="e">
        <f t="shared" si="20"/>
        <v>#VALUE!</v>
      </c>
      <c r="S16" s="61" t="str">
        <f>IFERROR(VLOOKUP(MID(N16,Q16,R16-Q16),[5]skilldef!$C:$D,2,FALSE),"-") &amp; " / " &amp; IFERROR(VLOOKUP(MID(N16,O16,P16-O16),[5]skilldef!$A:$B,2,FALSE),"-")</f>
        <v>- / -</v>
      </c>
      <c r="T16" s="47" t="str">
        <f t="shared" si="21"/>
        <v>none</v>
      </c>
      <c r="U16" s="61" t="e">
        <f t="shared" si="9"/>
        <v>#VALUE!</v>
      </c>
      <c r="V16" s="61">
        <f t="shared" si="22"/>
        <v>4</v>
      </c>
      <c r="W16" s="61" t="e">
        <f t="shared" si="23"/>
        <v>#VALUE!</v>
      </c>
      <c r="X16" s="61" t="e">
        <f t="shared" si="24"/>
        <v>#VALUE!</v>
      </c>
      <c r="Y16" s="61" t="str">
        <f>IFERROR(VLOOKUP(MID(T16,W16,X16-W16),[5]skilldef!$C:$D,2,FALSE),"-") &amp; " / " &amp; IFERROR(VLOOKUP(MID(T16,U16,V16-U16),[5]skilldef!$A:$B,2,FALSE),"-")</f>
        <v>- / -</v>
      </c>
      <c r="Z16" s="49"/>
      <c r="AA16" s="51"/>
      <c r="AB16" s="49"/>
    </row>
    <row r="17" spans="1:28" ht="21" customHeight="1" x14ac:dyDescent="0.15">
      <c r="A17" s="96">
        <v>30034016</v>
      </c>
      <c r="B17" s="46" t="s">
        <v>237</v>
      </c>
      <c r="C17" s="49">
        <v>3</v>
      </c>
      <c r="D17" s="49" t="s">
        <v>128</v>
      </c>
      <c r="E17" s="50" t="s">
        <v>254</v>
      </c>
      <c r="F17" s="50" t="s">
        <v>232</v>
      </c>
      <c r="G17" s="61" t="str">
        <f t="shared" si="13"/>
        <v>[effect:rush, count:4, val:0.33]</v>
      </c>
      <c r="H17" s="61">
        <f t="shared" si="0"/>
        <v>9</v>
      </c>
      <c r="I17" s="61">
        <f t="shared" si="15"/>
        <v>13</v>
      </c>
      <c r="J17" s="61" t="e">
        <f t="shared" si="16"/>
        <v>#VALUE!</v>
      </c>
      <c r="K17" s="61">
        <f t="shared" si="17"/>
        <v>22</v>
      </c>
      <c r="L17" s="61" t="str">
        <f>IFERROR(VLOOKUP(MID(G17,J17,K17-J17),[5]skilldef!$C:$D,2,FALSE),"-") &amp; " / " &amp; IFERROR(VLOOKUP(MID(G17,H17,I17-H17),[5]skilldef!$A:$B,2,FALSE),"-")</f>
        <v>- / 連続攻撃</v>
      </c>
      <c r="M17" s="61" t="str">
        <f t="shared" si="14"/>
        <v>none</v>
      </c>
      <c r="N17" s="47" t="str">
        <f>IFERROR(LEFT(M17,FIND("],",M17)+S26),M17)</f>
        <v>none</v>
      </c>
      <c r="O17" s="61" t="e">
        <f t="shared" si="4"/>
        <v>#VALUE!</v>
      </c>
      <c r="P17" s="61">
        <f t="shared" si="18"/>
        <v>4</v>
      </c>
      <c r="Q17" s="61" t="e">
        <f t="shared" si="19"/>
        <v>#VALUE!</v>
      </c>
      <c r="R17" s="61" t="e">
        <f t="shared" si="20"/>
        <v>#VALUE!</v>
      </c>
      <c r="S17" s="61" t="str">
        <f>IFERROR(VLOOKUP(MID(N17,Q17,R17-Q17),[5]skilldef!$C:$D,2,FALSE),"-") &amp; " / " &amp; IFERROR(VLOOKUP(MID(N17,O17,P17-O17),[5]skilldef!$A:$B,2,FALSE),"-")</f>
        <v>- / -</v>
      </c>
      <c r="T17" s="47" t="str">
        <f t="shared" si="21"/>
        <v>none</v>
      </c>
      <c r="U17" s="61" t="e">
        <f t="shared" si="9"/>
        <v>#VALUE!</v>
      </c>
      <c r="V17" s="61">
        <f t="shared" si="22"/>
        <v>4</v>
      </c>
      <c r="W17" s="61" t="e">
        <f t="shared" si="23"/>
        <v>#VALUE!</v>
      </c>
      <c r="X17" s="61" t="e">
        <f t="shared" si="24"/>
        <v>#VALUE!</v>
      </c>
      <c r="Y17" s="61" t="str">
        <f>IFERROR(VLOOKUP(MID(T17,W17,X17-W17),[5]skilldef!$C:$D,2,FALSE),"-") &amp; " / " &amp; IFERROR(VLOOKUP(MID(T17,U17,V17-U17),[5]skilldef!$A:$B,2,FALSE),"-")</f>
        <v>- / -</v>
      </c>
      <c r="Z17" s="49"/>
      <c r="AA17" s="51"/>
      <c r="AB17" s="49"/>
    </row>
    <row r="18" spans="1:28" ht="21" customHeight="1" x14ac:dyDescent="0.15">
      <c r="A18" s="96">
        <v>30034017</v>
      </c>
      <c r="B18" s="46" t="s">
        <v>282</v>
      </c>
      <c r="C18" s="49">
        <v>3</v>
      </c>
      <c r="D18" s="49" t="s">
        <v>128</v>
      </c>
      <c r="E18" s="50" t="s">
        <v>289</v>
      </c>
      <c r="F18" s="50" t="s">
        <v>281</v>
      </c>
      <c r="G18" s="61" t="str">
        <f t="shared" si="13"/>
        <v>[effect:nothing]</v>
      </c>
      <c r="H18" s="61">
        <f t="shared" si="0"/>
        <v>9</v>
      </c>
      <c r="I18" s="61">
        <f t="shared" si="15"/>
        <v>16</v>
      </c>
      <c r="J18" s="61" t="e">
        <f t="shared" si="16"/>
        <v>#VALUE!</v>
      </c>
      <c r="K18" s="61" t="e">
        <f t="shared" si="17"/>
        <v>#VALUE!</v>
      </c>
      <c r="L18" s="61" t="str">
        <f>IFERROR(VLOOKUP(MID(G18,J18,K18-J18),[5]skilldef!$C:$D,2,FALSE),"-") &amp; " / " &amp; IFERROR(VLOOKUP(MID(G18,H18,I18-H18),[5]skilldef!$A:$B,2,FALSE),"-")</f>
        <v>- / 何もしない</v>
      </c>
      <c r="M18" s="61" t="str">
        <f t="shared" si="14"/>
        <v>[effect:fix_speed, target:myself, turn:1]</v>
      </c>
      <c r="N18" s="47" t="str">
        <f>IFERROR(LEFT(M18,FIND("],",M18)+S27),M18)</f>
        <v>[effect:fix_speed, target:myself, turn:1]</v>
      </c>
      <c r="O18" s="61">
        <f t="shared" si="4"/>
        <v>9</v>
      </c>
      <c r="P18" s="61">
        <f t="shared" si="18"/>
        <v>18</v>
      </c>
      <c r="Q18" s="61">
        <f t="shared" si="19"/>
        <v>27</v>
      </c>
      <c r="R18" s="61">
        <f t="shared" si="20"/>
        <v>33</v>
      </c>
      <c r="S18" s="61" t="str">
        <f>IFERROR(VLOOKUP(MID(N18,Q18,R18-Q18),[5]skilldef!$C:$D,2,FALSE),"-") &amp; " / " &amp; IFERROR(VLOOKUP(MID(N18,O18,P18-O18),[5]skilldef!$A:$B,2,FALSE),"-")</f>
        <v>自分自身に / 行動値設定</v>
      </c>
      <c r="T18" s="47" t="str">
        <f t="shared" si="21"/>
        <v>none</v>
      </c>
      <c r="U18" s="61" t="e">
        <f t="shared" si="9"/>
        <v>#VALUE!</v>
      </c>
      <c r="V18" s="61">
        <f t="shared" si="22"/>
        <v>4</v>
      </c>
      <c r="W18" s="61" t="e">
        <f t="shared" si="23"/>
        <v>#VALUE!</v>
      </c>
      <c r="X18" s="61" t="e">
        <f t="shared" si="24"/>
        <v>#VALUE!</v>
      </c>
      <c r="Y18" s="61" t="str">
        <f>IFERROR(VLOOKUP(MID(T18,W18,X18-W18),[5]skilldef!$C:$D,2,FALSE),"-") &amp; " / " &amp; IFERROR(VLOOKUP(MID(T18,U18,V18-U18),[5]skilldef!$A:$B,2,FALSE),"-")</f>
        <v>- / -</v>
      </c>
      <c r="Z18" s="49"/>
      <c r="AA18" s="51"/>
      <c r="AB18" s="49"/>
    </row>
    <row r="19" spans="1:28" ht="21" customHeight="1" x14ac:dyDescent="0.15">
      <c r="A19" s="96">
        <v>30034018</v>
      </c>
      <c r="B19" s="46" t="s">
        <v>280</v>
      </c>
      <c r="C19" s="49">
        <v>3</v>
      </c>
      <c r="D19" s="49" t="s">
        <v>128</v>
      </c>
      <c r="E19" s="50" t="s">
        <v>227</v>
      </c>
      <c r="F19" s="50" t="s">
        <v>295</v>
      </c>
      <c r="G19" s="61" t="str">
        <f t="shared" si="13"/>
        <v>[effect:degrade_unit, target:unit_all, turn:2, status:attack, val:0.5, calc:mul]</v>
      </c>
      <c r="H19" s="61">
        <f t="shared" si="0"/>
        <v>9</v>
      </c>
      <c r="I19" s="61">
        <f t="shared" si="15"/>
        <v>21</v>
      </c>
      <c r="J19" s="61">
        <f t="shared" si="16"/>
        <v>30</v>
      </c>
      <c r="K19" s="61">
        <f t="shared" si="17"/>
        <v>38</v>
      </c>
      <c r="L19" s="61" t="str">
        <f>IFERROR(VLOOKUP(MID(G19,J19,K19-J19),[5]skilldef!$C:$D,2,FALSE),"-") &amp; " / " &amp; IFERROR(VLOOKUP(MID(G19,H19,I19-H19),[5]skilldef!$A:$B,2,FALSE),"-")</f>
        <v>味方全体に / ステータスDOWN</v>
      </c>
      <c r="M19" s="61" t="str">
        <f t="shared" si="14"/>
        <v>[effect:heal, target:myself, val:0.05, animation:enemy_heal]</v>
      </c>
      <c r="N19" s="47" t="str">
        <f>IFERROR(LEFT(M19,FIND("],",M19)+S29),M19)</f>
        <v>[effect:heal, target:myself, val:0.05, animation:enemy_heal]</v>
      </c>
      <c r="O19" s="61">
        <f t="shared" si="4"/>
        <v>9</v>
      </c>
      <c r="P19" s="61">
        <f t="shared" si="18"/>
        <v>13</v>
      </c>
      <c r="Q19" s="61">
        <f t="shared" si="19"/>
        <v>22</v>
      </c>
      <c r="R19" s="61">
        <f t="shared" si="20"/>
        <v>28</v>
      </c>
      <c r="S19" s="61" t="str">
        <f>IFERROR(VLOOKUP(MID(N19,Q19,R19-Q19),[5]skilldef!$C:$D,2,FALSE),"-") &amp; " / " &amp; IFERROR(VLOOKUP(MID(N19,O19,P19-O19),[5]skilldef!$A:$B,2,FALSE),"-")</f>
        <v>自分自身に / 回復</v>
      </c>
      <c r="T19" s="47" t="str">
        <f t="shared" si="21"/>
        <v>none</v>
      </c>
      <c r="U19" s="61" t="e">
        <f t="shared" si="9"/>
        <v>#VALUE!</v>
      </c>
      <c r="V19" s="61">
        <f t="shared" si="22"/>
        <v>4</v>
      </c>
      <c r="W19" s="61" t="e">
        <f t="shared" si="23"/>
        <v>#VALUE!</v>
      </c>
      <c r="X19" s="61" t="e">
        <f t="shared" si="24"/>
        <v>#VALUE!</v>
      </c>
      <c r="Y19" s="61" t="str">
        <f>IFERROR(VLOOKUP(MID(T19,W19,X19-W19),[5]skilldef!$C:$D,2,FALSE),"-") &amp; " / " &amp; IFERROR(VLOOKUP(MID(T19,U19,V19-U19),[5]skilldef!$A:$B,2,FALSE),"-")</f>
        <v>- / -</v>
      </c>
      <c r="Z19" s="49"/>
      <c r="AA19" s="51"/>
      <c r="AB19" s="49"/>
    </row>
    <row r="20" spans="1:28" ht="21" customHeight="1" x14ac:dyDescent="0.15">
      <c r="A20" s="96">
        <v>30034019</v>
      </c>
      <c r="B20" s="46" t="s">
        <v>279</v>
      </c>
      <c r="C20" s="49">
        <v>3</v>
      </c>
      <c r="D20" s="49" t="s">
        <v>128</v>
      </c>
      <c r="E20" s="50" t="s">
        <v>226</v>
      </c>
      <c r="F20" s="50" t="s">
        <v>296</v>
      </c>
      <c r="G20" s="61" t="str">
        <f>IFERROR(LEFT(B20,FIND("],",B20)),B20)</f>
        <v>[effect:spread, val:0.28]</v>
      </c>
      <c r="H20" s="61">
        <f>FIND("effect:",G20)+7</f>
        <v>9</v>
      </c>
      <c r="I20" s="61">
        <f>IFERROR(FIND(",",G20),LEN(G20))</f>
        <v>15</v>
      </c>
      <c r="J20" s="61" t="e">
        <f>FIND("target:",G20)+7</f>
        <v>#VALUE!</v>
      </c>
      <c r="K20" s="61" t="e">
        <f>FIND(",",G20,I20+1)</f>
        <v>#VALUE!</v>
      </c>
      <c r="L20" s="61" t="str">
        <f>IFERROR(VLOOKUP(MID(G20,J20,K20-J20),[5]skilldef!$C:$D,2,FALSE),"-") &amp; " / " &amp; IFERROR(VLOOKUP(MID(G20,H20,I20-H20),[5]skilldef!$A:$B,2,FALSE),"-")</f>
        <v>- / 全体攻撃</v>
      </c>
      <c r="M20" s="61" t="str">
        <f>IFERROR(RIGHT(B20,LEN(B20)-FIND("],",B20)-1),"none")</f>
        <v>[effect:heal, target:myself, val:0.05, animation:enemy_heal]</v>
      </c>
      <c r="N20" s="47" t="str">
        <f>IFERROR(LEFT(M20,FIND("],",M20)+S28),M20)</f>
        <v>[effect:heal, target:myself, val:0.05, animation:enemy_heal]</v>
      </c>
      <c r="O20" s="61">
        <f>FIND("effect:",N20)+7</f>
        <v>9</v>
      </c>
      <c r="P20" s="61">
        <f>IFERROR(FIND(",",N20),LEN(N20))</f>
        <v>13</v>
      </c>
      <c r="Q20" s="61">
        <f>FIND("target:",N20)+7</f>
        <v>22</v>
      </c>
      <c r="R20" s="61">
        <f>FIND(",",N20,P20+1)</f>
        <v>28</v>
      </c>
      <c r="S20" s="61" t="str">
        <f>IFERROR(VLOOKUP(MID(N20,Q20,R20-Q20),[5]skilldef!$C:$D,2,FALSE),"-") &amp; " / " &amp; IFERROR(VLOOKUP(MID(N20,O20,P20-O20),[5]skilldef!$A:$B,2,FALSE),"-")</f>
        <v>自分自身に / 回復</v>
      </c>
      <c r="T20" s="47" t="str">
        <f>IFERROR(RIGHT(M20,LEN(M20)-FIND("],",M20)-1),"none")</f>
        <v>none</v>
      </c>
      <c r="U20" s="61" t="e">
        <f>FIND("effect:",T20)+7</f>
        <v>#VALUE!</v>
      </c>
      <c r="V20" s="61">
        <f>IFERROR(FIND(",",T20),LEN(T20))</f>
        <v>4</v>
      </c>
      <c r="W20" s="61" t="e">
        <f>FIND("target:",T20)+7</f>
        <v>#VALUE!</v>
      </c>
      <c r="X20" s="61" t="e">
        <f>FIND(",",T20,V20+1)</f>
        <v>#VALUE!</v>
      </c>
      <c r="Y20" s="61" t="str">
        <f>IFERROR(VLOOKUP(MID(T20,W20,X20-W20),[5]skilldef!$C:$D,2,FALSE),"-") &amp; " / " &amp; IFERROR(VLOOKUP(MID(T20,U20,V20-U20),[5]skilldef!$A:$B,2,FALSE),"-")</f>
        <v>- / -</v>
      </c>
      <c r="Z20" s="49"/>
      <c r="AA20" s="51"/>
      <c r="AB20" s="49"/>
    </row>
    <row r="21" spans="1:28" ht="21" customHeight="1" x14ac:dyDescent="0.15">
      <c r="A21" s="96">
        <v>30034020</v>
      </c>
      <c r="B21" s="46" t="s">
        <v>276</v>
      </c>
      <c r="C21" s="49">
        <v>3</v>
      </c>
      <c r="D21" s="49" t="s">
        <v>128</v>
      </c>
      <c r="E21" s="50" t="s">
        <v>255</v>
      </c>
      <c r="F21" s="50" t="s">
        <v>228</v>
      </c>
      <c r="G21" s="61" t="str">
        <f t="shared" si="13"/>
        <v>[effect:heal, target:myself, val:0.6, animation:enemy_heal]</v>
      </c>
      <c r="H21" s="61">
        <f t="shared" si="0"/>
        <v>9</v>
      </c>
      <c r="I21" s="61">
        <f t="shared" si="15"/>
        <v>13</v>
      </c>
      <c r="J21" s="61">
        <f t="shared" si="16"/>
        <v>22</v>
      </c>
      <c r="K21" s="61">
        <f t="shared" si="17"/>
        <v>28</v>
      </c>
      <c r="L21" s="61" t="str">
        <f>IFERROR(VLOOKUP(MID(G21,J21,K21-J21),[5]skilldef!$C:$D,2,FALSE),"-") &amp; " / " &amp; IFERROR(VLOOKUP(MID(G21,H21,I21-H21),[5]skilldef!$A:$B,2,FALSE),"-")</f>
        <v>自分自身に / 回復</v>
      </c>
      <c r="M21" s="61" t="str">
        <f t="shared" si="14"/>
        <v>none</v>
      </c>
      <c r="N21" s="47" t="str">
        <f t="shared" ref="N21:N22" si="40">IFERROR(LEFT(M21,FIND("],",M21)+S30),M21)</f>
        <v>none</v>
      </c>
      <c r="O21" s="61" t="e">
        <f t="shared" si="4"/>
        <v>#VALUE!</v>
      </c>
      <c r="P21" s="61">
        <f t="shared" si="18"/>
        <v>4</v>
      </c>
      <c r="Q21" s="61" t="e">
        <f t="shared" si="19"/>
        <v>#VALUE!</v>
      </c>
      <c r="R21" s="61" t="e">
        <f t="shared" si="20"/>
        <v>#VALUE!</v>
      </c>
      <c r="S21" s="61" t="str">
        <f>IFERROR(VLOOKUP(MID(N21,Q21,R21-Q21),[5]skilldef!$C:$D,2,FALSE),"-") &amp; " / " &amp; IFERROR(VLOOKUP(MID(N21,O21,P21-O21),[5]skilldef!$A:$B,2,FALSE),"-")</f>
        <v>- / -</v>
      </c>
      <c r="T21" s="47" t="str">
        <f t="shared" si="21"/>
        <v>none</v>
      </c>
      <c r="U21" s="61" t="e">
        <f t="shared" si="9"/>
        <v>#VALUE!</v>
      </c>
      <c r="V21" s="61">
        <f t="shared" si="22"/>
        <v>4</v>
      </c>
      <c r="W21" s="61" t="e">
        <f t="shared" si="23"/>
        <v>#VALUE!</v>
      </c>
      <c r="X21" s="61" t="e">
        <f t="shared" si="24"/>
        <v>#VALUE!</v>
      </c>
      <c r="Y21" s="61" t="str">
        <f>IFERROR(VLOOKUP(MID(T21,W21,X21-W21),[5]skilldef!$C:$D,2,FALSE),"-") &amp; " / " &amp; IFERROR(VLOOKUP(MID(T21,U21,V21-U21),[5]skilldef!$A:$B,2,FALSE),"-")</f>
        <v>- / -</v>
      </c>
      <c r="Z21" s="49"/>
      <c r="AA21" s="51"/>
      <c r="AB21" s="49"/>
    </row>
    <row r="22" spans="1:28" ht="21" customHeight="1" x14ac:dyDescent="0.15">
      <c r="A22" s="96">
        <v>30034021</v>
      </c>
      <c r="B22" s="46" t="s">
        <v>284</v>
      </c>
      <c r="C22" s="49">
        <v>3</v>
      </c>
      <c r="D22" s="49" t="s">
        <v>128</v>
      </c>
      <c r="E22" s="50" t="s">
        <v>229</v>
      </c>
      <c r="F22" s="50" t="s">
        <v>230</v>
      </c>
      <c r="G22" s="61" t="str">
        <f t="shared" si="13"/>
        <v>[effect:spread, val:0.15]</v>
      </c>
      <c r="H22" s="61">
        <f t="shared" si="0"/>
        <v>9</v>
      </c>
      <c r="I22" s="61">
        <f t="shared" si="15"/>
        <v>15</v>
      </c>
      <c r="J22" s="61" t="e">
        <f t="shared" si="16"/>
        <v>#VALUE!</v>
      </c>
      <c r="K22" s="61" t="e">
        <f t="shared" si="17"/>
        <v>#VALUE!</v>
      </c>
      <c r="L22" s="61" t="str">
        <f>IFERROR(VLOOKUP(MID(G22,J22,K22-J22),[5]skilldef!$C:$D,2,FALSE),"-") &amp; " / " &amp; IFERROR(VLOOKUP(MID(G22,H22,I22-H22),[5]skilldef!$A:$B,2,FALSE),"-")</f>
        <v>- / 全体攻撃</v>
      </c>
      <c r="M22" s="61" t="str">
        <f t="shared" si="14"/>
        <v>[effect:spread, val:0.15],[effect:spread, val:0.15],[effect:spread, val:0.15]</v>
      </c>
      <c r="N22" s="47" t="str">
        <f t="shared" si="40"/>
        <v>[effect:spread, val:0.15]</v>
      </c>
      <c r="O22" s="61">
        <f t="shared" si="4"/>
        <v>9</v>
      </c>
      <c r="P22" s="61">
        <f t="shared" si="18"/>
        <v>15</v>
      </c>
      <c r="Q22" s="61" t="e">
        <f t="shared" si="19"/>
        <v>#VALUE!</v>
      </c>
      <c r="R22" s="61" t="e">
        <f t="shared" si="20"/>
        <v>#VALUE!</v>
      </c>
      <c r="S22" s="61" t="str">
        <f>IFERROR(VLOOKUP(MID(N22,Q22,R22-Q22),[5]skilldef!$C:$D,2,FALSE),"-") &amp; " / " &amp; IFERROR(VLOOKUP(MID(N22,O22,P22-O22),[5]skilldef!$A:$B,2,FALSE),"-")</f>
        <v>- / 全体攻撃</v>
      </c>
      <c r="T22" s="47" t="str">
        <f t="shared" si="21"/>
        <v>[effect:spread, val:0.15],[effect:spread, val:0.15]</v>
      </c>
      <c r="U22" s="61">
        <f t="shared" si="9"/>
        <v>9</v>
      </c>
      <c r="V22" s="61">
        <f t="shared" si="22"/>
        <v>15</v>
      </c>
      <c r="W22" s="61" t="e">
        <f t="shared" si="23"/>
        <v>#VALUE!</v>
      </c>
      <c r="X22" s="61">
        <f t="shared" si="24"/>
        <v>26</v>
      </c>
      <c r="Y22" s="61" t="str">
        <f>IFERROR(VLOOKUP(MID(T22,W22,X22-W22),[5]skilldef!$C:$D,2,FALSE),"-") &amp; " / " &amp; IFERROR(VLOOKUP(MID(T22,U22,V22-U22),[5]skilldef!$A:$B,2,FALSE),"-")</f>
        <v>- / 全体攻撃</v>
      </c>
      <c r="Z22" s="49"/>
      <c r="AA22" s="51"/>
      <c r="AB22" s="49"/>
    </row>
    <row r="23" spans="1:28" ht="21" customHeight="1" x14ac:dyDescent="0.15">
      <c r="A23" s="96">
        <v>30034022</v>
      </c>
      <c r="B23" s="46" t="s">
        <v>293</v>
      </c>
      <c r="C23" s="49">
        <v>3</v>
      </c>
      <c r="D23" s="49" t="s">
        <v>128</v>
      </c>
      <c r="E23" s="50" t="s">
        <v>292</v>
      </c>
      <c r="F23" s="50" t="s">
        <v>225</v>
      </c>
      <c r="G23" s="61" t="str">
        <f t="shared" ref="G23" si="41">IFERROR(LEFT(B23,FIND("],",B23)),B23)</f>
        <v>[effect:rush, count:3, val:0.35]</v>
      </c>
      <c r="H23" s="61">
        <f t="shared" ref="H23" si="42">FIND("effect:",G23)+7</f>
        <v>9</v>
      </c>
      <c r="I23" s="61">
        <f t="shared" ref="I23" si="43">IFERROR(FIND(",",G23),LEN(G23))</f>
        <v>13</v>
      </c>
      <c r="J23" s="61" t="e">
        <f t="shared" ref="J23" si="44">FIND("target:",G23)+7</f>
        <v>#VALUE!</v>
      </c>
      <c r="K23" s="61">
        <f t="shared" ref="K23" si="45">FIND(",",G23,I23+1)</f>
        <v>22</v>
      </c>
      <c r="L23" s="61" t="str">
        <f>IFERROR(VLOOKUP(MID(G23,J23,K23-J23),[5]skilldef!$C:$D,2,FALSE),"-") &amp; " / " &amp; IFERROR(VLOOKUP(MID(G23,H23,I23-H23),[5]skilldef!$A:$B,2,FALSE),"-")</f>
        <v>- / 連続攻撃</v>
      </c>
      <c r="M23" s="61" t="str">
        <f t="shared" ref="M23" si="46">IFERROR(RIGHT(B23,LEN(B23)-FIND("],",B23)-1),"none")</f>
        <v>none</v>
      </c>
      <c r="N23" s="47" t="str">
        <f>IFERROR(LEFT(M23,FIND("],",M23)+S19),M23)</f>
        <v>none</v>
      </c>
      <c r="O23" s="61" t="e">
        <f t="shared" ref="O23" si="47">FIND("effect:",N23)+7</f>
        <v>#VALUE!</v>
      </c>
      <c r="P23" s="61">
        <f t="shared" ref="P23" si="48">IFERROR(FIND(",",N23),LEN(N23))</f>
        <v>4</v>
      </c>
      <c r="Q23" s="61" t="e">
        <f t="shared" ref="Q23" si="49">FIND("target:",N23)+7</f>
        <v>#VALUE!</v>
      </c>
      <c r="R23" s="61" t="e">
        <f t="shared" ref="R23" si="50">FIND(",",N23,P23+1)</f>
        <v>#VALUE!</v>
      </c>
      <c r="S23" s="61" t="str">
        <f>IFERROR(VLOOKUP(MID(N23,Q23,R23-Q23),[5]skilldef!$C:$D,2,FALSE),"-") &amp; " / " &amp; IFERROR(VLOOKUP(MID(N23,O23,P23-O23),[5]skilldef!$A:$B,2,FALSE),"-")</f>
        <v>- / -</v>
      </c>
      <c r="T23" s="47" t="str">
        <f t="shared" ref="T23" si="51">IFERROR(RIGHT(M23,LEN(M23)-FIND("],",M23)-1),"none")</f>
        <v>none</v>
      </c>
      <c r="U23" s="61" t="e">
        <f t="shared" ref="U23" si="52">FIND("effect:",T23)+7</f>
        <v>#VALUE!</v>
      </c>
      <c r="V23" s="61">
        <f t="shared" ref="V23" si="53">IFERROR(FIND(",",T23),LEN(T23))</f>
        <v>4</v>
      </c>
      <c r="W23" s="61" t="e">
        <f t="shared" ref="W23" si="54">FIND("target:",T23)+7</f>
        <v>#VALUE!</v>
      </c>
      <c r="X23" s="61" t="e">
        <f t="shared" ref="X23" si="55">FIND(",",T23,V23+1)</f>
        <v>#VALUE!</v>
      </c>
      <c r="Y23" s="61" t="str">
        <f>IFERROR(VLOOKUP(MID(T23,W23,X23-W23),[5]skilldef!$C:$D,2,FALSE),"-") &amp; " / " &amp; IFERROR(VLOOKUP(MID(T23,U23,V23-U23),[5]skilldef!$A:$B,2,FALSE),"-")</f>
        <v>- / -</v>
      </c>
      <c r="Z23" s="49"/>
      <c r="AA23" s="51"/>
      <c r="AB23" s="49"/>
    </row>
  </sheetData>
  <autoFilter ref="A1:AB1"/>
  <phoneticPr fontId="5"/>
  <pageMargins left="0.75" right="0.75" top="1" bottom="1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3"/>
  <sheetViews>
    <sheetView showGridLines="0" zoomScale="75" zoomScaleNormal="75" zoomScalePageLayoutView="75" workbookViewId="0">
      <pane ySplit="1" topLeftCell="A2" activePane="bottomLeft" state="frozenSplit"/>
      <selection pane="bottomLeft" activeCell="D24" sqref="D24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96">
        <v>30034001</v>
      </c>
      <c r="B2" s="46">
        <v>1</v>
      </c>
      <c r="C2" s="46" t="s">
        <v>89</v>
      </c>
      <c r="D2" s="46">
        <v>100</v>
      </c>
      <c r="E2" s="46" t="s">
        <v>239</v>
      </c>
      <c r="F2" s="46" t="s">
        <v>90</v>
      </c>
      <c r="G2" s="46">
        <v>1</v>
      </c>
      <c r="H2" s="46" t="s">
        <v>90</v>
      </c>
      <c r="I2" s="46" t="s">
        <v>90</v>
      </c>
      <c r="J2" s="47">
        <f t="shared" ref="J2" si="0">D2</f>
        <v>100</v>
      </c>
    </row>
    <row r="3" spans="1:11" ht="21" customHeight="1" x14ac:dyDescent="0.15">
      <c r="A3" s="96">
        <v>30034002</v>
      </c>
      <c r="B3" s="46">
        <v>0</v>
      </c>
      <c r="C3" s="46" t="s">
        <v>53</v>
      </c>
      <c r="D3" s="46">
        <v>100</v>
      </c>
      <c r="E3" s="46" t="s">
        <v>240</v>
      </c>
      <c r="F3" s="46" t="s">
        <v>90</v>
      </c>
      <c r="G3" s="46">
        <v>1</v>
      </c>
      <c r="H3" s="46">
        <v>1</v>
      </c>
      <c r="I3" s="46" t="s">
        <v>90</v>
      </c>
      <c r="J3" s="47">
        <f t="shared" ref="J3" si="1">D3</f>
        <v>100</v>
      </c>
    </row>
    <row r="4" spans="1:11" ht="21" customHeight="1" x14ac:dyDescent="0.15">
      <c r="A4" s="96">
        <v>30034003</v>
      </c>
      <c r="B4" s="46">
        <v>0</v>
      </c>
      <c r="C4" s="46" t="s">
        <v>53</v>
      </c>
      <c r="D4" s="46">
        <v>50</v>
      </c>
      <c r="E4" s="46" t="s">
        <v>240</v>
      </c>
      <c r="F4" s="46" t="s">
        <v>90</v>
      </c>
      <c r="G4" s="46" t="s">
        <v>242</v>
      </c>
      <c r="H4" s="46" t="s">
        <v>90</v>
      </c>
      <c r="I4" s="46" t="s">
        <v>90</v>
      </c>
      <c r="J4" s="47">
        <f t="shared" ref="J4:J8" si="2">D4</f>
        <v>50</v>
      </c>
    </row>
    <row r="5" spans="1:11" ht="21" customHeight="1" x14ac:dyDescent="0.15">
      <c r="A5" s="96">
        <v>30034004</v>
      </c>
      <c r="B5" s="46">
        <v>0</v>
      </c>
      <c r="C5" s="46" t="s">
        <v>53</v>
      </c>
      <c r="D5" s="46">
        <v>100</v>
      </c>
      <c r="E5" s="46" t="s">
        <v>241</v>
      </c>
      <c r="F5" s="46" t="s">
        <v>90</v>
      </c>
      <c r="G5" s="46">
        <v>0</v>
      </c>
      <c r="H5" s="46" t="s">
        <v>90</v>
      </c>
      <c r="I5" s="46">
        <v>0</v>
      </c>
      <c r="J5" s="47">
        <f t="shared" si="2"/>
        <v>100</v>
      </c>
    </row>
    <row r="6" spans="1:11" ht="21" customHeight="1" x14ac:dyDescent="0.15">
      <c r="A6" s="96">
        <v>30034005</v>
      </c>
      <c r="B6" s="46">
        <v>0</v>
      </c>
      <c r="C6" s="46" t="s">
        <v>53</v>
      </c>
      <c r="D6" s="46">
        <v>100</v>
      </c>
      <c r="E6" s="46" t="s">
        <v>242</v>
      </c>
      <c r="F6" s="46" t="s">
        <v>90</v>
      </c>
      <c r="G6" s="46">
        <v>1</v>
      </c>
      <c r="H6" s="46">
        <v>1</v>
      </c>
      <c r="I6" s="46" t="s">
        <v>90</v>
      </c>
      <c r="J6" s="47">
        <f t="shared" si="2"/>
        <v>100</v>
      </c>
    </row>
    <row r="7" spans="1:11" ht="21" customHeight="1" x14ac:dyDescent="0.15">
      <c r="A7" s="96">
        <v>30034006</v>
      </c>
      <c r="B7" s="46">
        <v>0</v>
      </c>
      <c r="C7" s="46" t="s">
        <v>53</v>
      </c>
      <c r="D7" s="46">
        <v>30</v>
      </c>
      <c r="E7" s="46" t="s">
        <v>242</v>
      </c>
      <c r="F7" s="46" t="s">
        <v>90</v>
      </c>
      <c r="G7" s="46" t="s">
        <v>242</v>
      </c>
      <c r="H7" s="46" t="s">
        <v>90</v>
      </c>
      <c r="I7" s="46" t="s">
        <v>90</v>
      </c>
      <c r="J7" s="47">
        <f t="shared" si="2"/>
        <v>30</v>
      </c>
    </row>
    <row r="8" spans="1:11" ht="21" customHeight="1" x14ac:dyDescent="0.15">
      <c r="A8" s="96">
        <v>30034007</v>
      </c>
      <c r="B8" s="46">
        <v>0</v>
      </c>
      <c r="C8" s="46" t="s">
        <v>53</v>
      </c>
      <c r="D8" s="46">
        <v>50</v>
      </c>
      <c r="E8" s="46" t="s">
        <v>242</v>
      </c>
      <c r="F8" s="46" t="s">
        <v>90</v>
      </c>
      <c r="G8" s="46" t="s">
        <v>242</v>
      </c>
      <c r="H8" s="46" t="s">
        <v>90</v>
      </c>
      <c r="I8" s="46" t="s">
        <v>90</v>
      </c>
      <c r="J8" s="47">
        <f t="shared" si="2"/>
        <v>50</v>
      </c>
    </row>
    <row r="9" spans="1:11" ht="21" customHeight="1" x14ac:dyDescent="0.15">
      <c r="A9" s="96">
        <v>30034008</v>
      </c>
      <c r="B9" s="46">
        <v>0</v>
      </c>
      <c r="C9" s="46" t="s">
        <v>53</v>
      </c>
      <c r="D9" s="46">
        <v>30</v>
      </c>
      <c r="E9" s="46" t="s">
        <v>242</v>
      </c>
      <c r="F9" s="46" t="s">
        <v>90</v>
      </c>
      <c r="G9" s="46">
        <v>3</v>
      </c>
      <c r="H9" s="46" t="s">
        <v>90</v>
      </c>
      <c r="I9" s="46" t="s">
        <v>90</v>
      </c>
      <c r="J9" s="47">
        <f t="shared" ref="J9" si="3">D9</f>
        <v>30</v>
      </c>
    </row>
    <row r="10" spans="1:11" ht="21" customHeight="1" x14ac:dyDescent="0.15">
      <c r="A10" s="96">
        <v>30034009</v>
      </c>
      <c r="B10" s="46">
        <v>1</v>
      </c>
      <c r="C10" s="46" t="s">
        <v>53</v>
      </c>
      <c r="D10" s="46">
        <v>100</v>
      </c>
      <c r="E10" s="46" t="s">
        <v>242</v>
      </c>
      <c r="F10" s="46" t="s">
        <v>90</v>
      </c>
      <c r="G10" s="46">
        <v>1</v>
      </c>
      <c r="H10" s="46" t="s">
        <v>90</v>
      </c>
      <c r="I10" s="46" t="s">
        <v>90</v>
      </c>
      <c r="J10" s="47">
        <f t="shared" ref="J10" si="4">D10</f>
        <v>100</v>
      </c>
    </row>
    <row r="11" spans="1:11" ht="21" customHeight="1" x14ac:dyDescent="0.15">
      <c r="A11" s="96">
        <v>30034010</v>
      </c>
      <c r="B11" s="46">
        <v>0</v>
      </c>
      <c r="C11" s="46" t="s">
        <v>53</v>
      </c>
      <c r="D11" s="46">
        <v>50</v>
      </c>
      <c r="E11" s="46" t="s">
        <v>242</v>
      </c>
      <c r="F11" s="46" t="s">
        <v>90</v>
      </c>
      <c r="G11" s="46" t="s">
        <v>241</v>
      </c>
      <c r="H11" s="46" t="s">
        <v>90</v>
      </c>
      <c r="I11" s="46" t="s">
        <v>90</v>
      </c>
      <c r="J11" s="47">
        <f t="shared" ref="J11:J12" si="5">D11</f>
        <v>50</v>
      </c>
    </row>
    <row r="12" spans="1:11" ht="21" customHeight="1" x14ac:dyDescent="0.15">
      <c r="A12" s="96">
        <v>30034011</v>
      </c>
      <c r="B12" s="46">
        <v>1</v>
      </c>
      <c r="C12" s="46" t="s">
        <v>53</v>
      </c>
      <c r="D12" s="46">
        <v>100</v>
      </c>
      <c r="E12" s="46" t="s">
        <v>53</v>
      </c>
      <c r="F12" s="46" t="s">
        <v>90</v>
      </c>
      <c r="G12" s="46">
        <v>1</v>
      </c>
      <c r="H12" s="46" t="s">
        <v>90</v>
      </c>
      <c r="I12" s="46" t="s">
        <v>90</v>
      </c>
      <c r="J12" s="47">
        <f t="shared" si="5"/>
        <v>100</v>
      </c>
    </row>
    <row r="13" spans="1:11" ht="21" customHeight="1" x14ac:dyDescent="0.15">
      <c r="A13" s="96">
        <v>30034012</v>
      </c>
      <c r="B13" s="46">
        <v>0</v>
      </c>
      <c r="C13" s="46" t="s">
        <v>53</v>
      </c>
      <c r="D13" s="46">
        <v>30</v>
      </c>
      <c r="E13" s="46" t="s">
        <v>242</v>
      </c>
      <c r="F13" s="46" t="s">
        <v>90</v>
      </c>
      <c r="G13" s="46" t="s">
        <v>241</v>
      </c>
      <c r="H13" s="46" t="s">
        <v>90</v>
      </c>
      <c r="I13" s="46" t="s">
        <v>90</v>
      </c>
      <c r="J13" s="47">
        <f t="shared" ref="J13:J14" si="6">D13</f>
        <v>30</v>
      </c>
    </row>
    <row r="14" spans="1:11" ht="21" customHeight="1" x14ac:dyDescent="0.15">
      <c r="A14" s="96">
        <v>30034013</v>
      </c>
      <c r="B14" s="46">
        <v>1</v>
      </c>
      <c r="C14" s="46" t="s">
        <v>53</v>
      </c>
      <c r="D14" s="46">
        <v>100</v>
      </c>
      <c r="E14" s="46" t="s">
        <v>242</v>
      </c>
      <c r="F14" s="46" t="s">
        <v>90</v>
      </c>
      <c r="G14" s="46">
        <v>1</v>
      </c>
      <c r="H14" s="46" t="s">
        <v>90</v>
      </c>
      <c r="I14" s="46" t="s">
        <v>90</v>
      </c>
      <c r="J14" s="47">
        <f t="shared" si="6"/>
        <v>100</v>
      </c>
    </row>
    <row r="15" spans="1:11" ht="21" customHeight="1" x14ac:dyDescent="0.15">
      <c r="A15" s="96">
        <v>30034014</v>
      </c>
      <c r="B15" s="46">
        <v>0</v>
      </c>
      <c r="C15" s="46" t="s">
        <v>53</v>
      </c>
      <c r="D15" s="46">
        <v>30</v>
      </c>
      <c r="E15" s="46" t="s">
        <v>242</v>
      </c>
      <c r="F15" s="46" t="s">
        <v>90</v>
      </c>
      <c r="G15" s="46" t="s">
        <v>241</v>
      </c>
      <c r="H15" s="46" t="s">
        <v>90</v>
      </c>
      <c r="I15" s="46" t="s">
        <v>90</v>
      </c>
      <c r="J15" s="47">
        <f t="shared" ref="J15" si="7">D15</f>
        <v>30</v>
      </c>
    </row>
    <row r="16" spans="1:11" ht="21" customHeight="1" x14ac:dyDescent="0.15">
      <c r="A16" s="96">
        <v>30034015</v>
      </c>
      <c r="B16" s="46">
        <v>1</v>
      </c>
      <c r="C16" s="46" t="s">
        <v>53</v>
      </c>
      <c r="D16" s="46">
        <v>100</v>
      </c>
      <c r="E16" s="46" t="s">
        <v>242</v>
      </c>
      <c r="F16" s="46" t="s">
        <v>90</v>
      </c>
      <c r="G16" s="46">
        <v>1</v>
      </c>
      <c r="H16" s="46" t="s">
        <v>90</v>
      </c>
      <c r="I16" s="46" t="s">
        <v>90</v>
      </c>
      <c r="J16" s="47">
        <f t="shared" ref="J16" si="8">D16</f>
        <v>100</v>
      </c>
    </row>
    <row r="17" spans="1:10" ht="21" customHeight="1" x14ac:dyDescent="0.15">
      <c r="A17" s="96">
        <v>30034016</v>
      </c>
      <c r="B17" s="46">
        <v>0</v>
      </c>
      <c r="C17" s="46" t="s">
        <v>53</v>
      </c>
      <c r="D17" s="46">
        <v>100</v>
      </c>
      <c r="E17" s="46" t="s">
        <v>242</v>
      </c>
      <c r="F17" s="46" t="s">
        <v>90</v>
      </c>
      <c r="G17" s="46" t="s">
        <v>241</v>
      </c>
      <c r="H17" s="46">
        <v>4</v>
      </c>
      <c r="I17" s="46" t="s">
        <v>90</v>
      </c>
      <c r="J17" s="47">
        <f t="shared" ref="J17:J19" si="9">D17</f>
        <v>100</v>
      </c>
    </row>
    <row r="18" spans="1:10" ht="21" customHeight="1" x14ac:dyDescent="0.15">
      <c r="A18" s="96">
        <v>30034017</v>
      </c>
      <c r="B18" s="46">
        <v>1</v>
      </c>
      <c r="C18" s="46" t="s">
        <v>53</v>
      </c>
      <c r="D18" s="46">
        <v>100</v>
      </c>
      <c r="E18" s="46" t="s">
        <v>242</v>
      </c>
      <c r="F18" s="46" t="s">
        <v>90</v>
      </c>
      <c r="G18" s="46">
        <v>1</v>
      </c>
      <c r="H18" s="46" t="s">
        <v>90</v>
      </c>
      <c r="I18" s="46" t="s">
        <v>90</v>
      </c>
      <c r="J18" s="47">
        <f t="shared" si="9"/>
        <v>100</v>
      </c>
    </row>
    <row r="19" spans="1:10" ht="21" customHeight="1" x14ac:dyDescent="0.15">
      <c r="A19" s="96">
        <v>30034018</v>
      </c>
      <c r="B19" s="46">
        <v>0</v>
      </c>
      <c r="C19" s="46" t="s">
        <v>53</v>
      </c>
      <c r="D19" s="46">
        <v>100</v>
      </c>
      <c r="E19" s="46" t="s">
        <v>242</v>
      </c>
      <c r="F19" s="46" t="s">
        <v>90</v>
      </c>
      <c r="G19" s="46" t="s">
        <v>241</v>
      </c>
      <c r="H19" s="46">
        <v>4</v>
      </c>
      <c r="I19" s="46" t="s">
        <v>90</v>
      </c>
      <c r="J19" s="47">
        <f t="shared" si="9"/>
        <v>100</v>
      </c>
    </row>
    <row r="20" spans="1:10" ht="21" customHeight="1" x14ac:dyDescent="0.15">
      <c r="A20" s="96">
        <v>30034019</v>
      </c>
      <c r="B20" s="46">
        <v>0</v>
      </c>
      <c r="C20" s="46" t="s">
        <v>53</v>
      </c>
      <c r="D20" s="46">
        <v>100</v>
      </c>
      <c r="E20" s="46" t="s">
        <v>242</v>
      </c>
      <c r="F20" s="46" t="s">
        <v>90</v>
      </c>
      <c r="G20" s="46" t="s">
        <v>241</v>
      </c>
      <c r="H20" s="46" t="s">
        <v>90</v>
      </c>
      <c r="I20" s="46" t="s">
        <v>90</v>
      </c>
      <c r="J20" s="47">
        <f t="shared" ref="J20" si="10">D20</f>
        <v>100</v>
      </c>
    </row>
    <row r="21" spans="1:10" ht="21" customHeight="1" x14ac:dyDescent="0.15">
      <c r="A21" s="96">
        <v>30034020</v>
      </c>
      <c r="B21" s="46">
        <v>0</v>
      </c>
      <c r="C21" s="46" t="s">
        <v>53</v>
      </c>
      <c r="D21" s="46">
        <v>100</v>
      </c>
      <c r="E21" s="46">
        <v>30</v>
      </c>
      <c r="F21" s="46" t="s">
        <v>90</v>
      </c>
      <c r="G21" s="46">
        <v>1</v>
      </c>
      <c r="H21" s="46">
        <v>1</v>
      </c>
      <c r="I21" s="46" t="s">
        <v>90</v>
      </c>
      <c r="J21" s="47">
        <f t="shared" ref="J21:J23" si="11">D21</f>
        <v>100</v>
      </c>
    </row>
    <row r="22" spans="1:10" ht="21" customHeight="1" x14ac:dyDescent="0.15">
      <c r="A22" s="96">
        <v>30034021</v>
      </c>
      <c r="B22" s="46">
        <v>0</v>
      </c>
      <c r="C22" s="46" t="s">
        <v>53</v>
      </c>
      <c r="D22" s="46">
        <v>100</v>
      </c>
      <c r="E22" s="46">
        <v>30</v>
      </c>
      <c r="F22" s="46" t="s">
        <v>90</v>
      </c>
      <c r="G22" s="46">
        <v>1</v>
      </c>
      <c r="H22" s="46">
        <v>1</v>
      </c>
      <c r="I22" s="46" t="s">
        <v>90</v>
      </c>
      <c r="J22" s="47">
        <f t="shared" si="11"/>
        <v>100</v>
      </c>
    </row>
    <row r="23" spans="1:10" ht="21" customHeight="1" x14ac:dyDescent="0.15">
      <c r="A23" s="96">
        <v>30034022</v>
      </c>
      <c r="B23" s="46">
        <v>0</v>
      </c>
      <c r="C23" s="46" t="s">
        <v>53</v>
      </c>
      <c r="D23" s="46">
        <v>30</v>
      </c>
      <c r="E23" s="46" t="s">
        <v>89</v>
      </c>
      <c r="F23" s="46" t="s">
        <v>89</v>
      </c>
      <c r="G23" s="46" t="s">
        <v>89</v>
      </c>
      <c r="H23" s="46" t="s">
        <v>89</v>
      </c>
      <c r="I23" s="46" t="s">
        <v>89</v>
      </c>
      <c r="J23" s="47">
        <f t="shared" si="11"/>
        <v>30</v>
      </c>
    </row>
  </sheetData>
  <autoFilter ref="A1:G1"/>
  <phoneticPr fontId="5"/>
  <conditionalFormatting sqref="K13:K14 K1:K2 K4:K8 K17 K24:K1048576">
    <cfRule type="duplicateValues" dxfId="13" priority="14"/>
  </conditionalFormatting>
  <conditionalFormatting sqref="K3">
    <cfRule type="duplicateValues" dxfId="12" priority="13"/>
  </conditionalFormatting>
  <conditionalFormatting sqref="K9">
    <cfRule type="duplicateValues" dxfId="11" priority="12"/>
  </conditionalFormatting>
  <conditionalFormatting sqref="K10">
    <cfRule type="duplicateValues" dxfId="10" priority="11"/>
  </conditionalFormatting>
  <conditionalFormatting sqref="K11">
    <cfRule type="duplicateValues" dxfId="9" priority="10"/>
  </conditionalFormatting>
  <conditionalFormatting sqref="K15">
    <cfRule type="duplicateValues" dxfId="8" priority="9"/>
  </conditionalFormatting>
  <conditionalFormatting sqref="K16">
    <cfRule type="duplicateValues" dxfId="7" priority="8"/>
  </conditionalFormatting>
  <conditionalFormatting sqref="K18">
    <cfRule type="duplicateValues" dxfId="6" priority="7"/>
  </conditionalFormatting>
  <conditionalFormatting sqref="K19">
    <cfRule type="duplicateValues" dxfId="5" priority="6"/>
  </conditionalFormatting>
  <conditionalFormatting sqref="K20">
    <cfRule type="duplicateValues" dxfId="4" priority="5"/>
  </conditionalFormatting>
  <conditionalFormatting sqref="K21">
    <cfRule type="duplicateValues" dxfId="3" priority="4"/>
  </conditionalFormatting>
  <conditionalFormatting sqref="K22">
    <cfRule type="duplicateValues" dxfId="2" priority="3"/>
  </conditionalFormatting>
  <conditionalFormatting sqref="K12">
    <cfRule type="duplicateValues" dxfId="1" priority="2"/>
  </conditionalFormatting>
  <conditionalFormatting sqref="K23">
    <cfRule type="duplicateValues" dxfId="0" priority="1"/>
  </conditionalFormatting>
  <printOptions gridLines="1"/>
  <pageMargins left="0.75" right="0.75" top="1" bottom="1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1"/>
  <sheetViews>
    <sheetView showGridLines="0" workbookViewId="0">
      <pane xSplit="5" ySplit="1" topLeftCell="F13" activePane="bottomRight" state="frozen"/>
      <selection pane="topRight"/>
      <selection pane="bottomLeft"/>
      <selection pane="bottomRight" activeCell="E32" sqref="E32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30034001_30034001</v>
      </c>
      <c r="B2" s="7">
        <v>30034001</v>
      </c>
      <c r="C2" s="46">
        <v>30034001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・・・なんだキミは？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こちらの出方を窺っている</v>
      </c>
      <c r="F2" s="46">
        <v>30034001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" si="1">B3&amp;"_"&amp;C3</f>
        <v>30034001_30034002</v>
      </c>
      <c r="B3" s="7">
        <v>30034001</v>
      </c>
      <c r="C3" s="46">
        <v>30034002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ボクに挑むつもりか？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解除されるまで攻撃力小UP</v>
      </c>
      <c r="F3" s="46">
        <v>30034002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ref="A4:A6" si="2">B4&amp;"_"&amp;C4</f>
        <v>30034001_30034003</v>
      </c>
      <c r="B4" s="7">
        <v>30034001</v>
      </c>
      <c r="C4" s="46">
        <v>30034003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喰らえ！！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4" s="46">
        <v>30034003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6"/>
      <c r="Q4" s="46"/>
      <c r="R4" s="46"/>
    </row>
    <row r="5" spans="1:18" ht="21" customHeight="1" x14ac:dyDescent="0.15">
      <c r="A5" s="38" t="str">
        <f t="shared" si="2"/>
        <v>30034001_30034004</v>
      </c>
      <c r="B5" s="7">
        <v>30034001</v>
      </c>
      <c r="C5" s="46">
        <v>30034004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肉体死するとも魂は死せずッ！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塵となり消えていった・・・</v>
      </c>
      <c r="F5" s="46">
        <v>30034004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2"/>
        <v>30034002_30034005</v>
      </c>
      <c r="B6" s="7">
        <v>30034002</v>
      </c>
      <c r="C6" s="46">
        <v>30034005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閃光の追跡者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2ターンパネルの色が分からなくなる !</v>
      </c>
      <c r="F6" s="46">
        <v>30034005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ref="A7:A8" si="3">B7&amp;"_"&amp;C7</f>
        <v>30034002_30034006</v>
      </c>
      <c r="B7" s="7">
        <v>30034002</v>
      </c>
      <c r="C7" s="46">
        <v>30034006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紫電一閃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単体強攻撃</v>
      </c>
      <c r="F7" s="46">
        <v>30034006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7" s="46"/>
      <c r="Q7" s="46"/>
      <c r="R7" s="46"/>
    </row>
    <row r="8" spans="1:18" ht="21" customHeight="1" x14ac:dyDescent="0.15">
      <c r="A8" s="38" t="str">
        <f t="shared" si="3"/>
        <v>30034003_30034007</v>
      </c>
      <c r="B8" s="7">
        <v>30034003</v>
      </c>
      <c r="C8" s="46">
        <v>30034007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ビックバン・サイクロン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" s="46">
        <v>30034007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" s="46"/>
      <c r="Q8" s="46"/>
      <c r="R8" s="46"/>
    </row>
    <row r="9" spans="1:18" ht="21" customHeight="1" x14ac:dyDescent="0.15">
      <c r="A9" s="38" t="str">
        <f t="shared" ref="A9" si="4">B9&amp;"_"&amp;C9</f>
        <v>30034003_30034008</v>
      </c>
      <c r="B9" s="7">
        <v>30034003</v>
      </c>
      <c r="C9" s="46">
        <v>30034008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渦炎翔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2ターン攻撃力が50%DOWN</v>
      </c>
      <c r="F9" s="46">
        <v>30034008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9" s="46"/>
      <c r="Q9" s="46"/>
      <c r="R9" s="46"/>
    </row>
    <row r="10" spans="1:18" ht="21" customHeight="1" x14ac:dyDescent="0.15">
      <c r="A10" s="38" t="str">
        <f t="shared" ref="A10" si="5">B10&amp;"_"&amp;C10</f>
        <v>30034004_30034009</v>
      </c>
      <c r="B10" s="7">
        <v>30034004</v>
      </c>
      <c r="C10" s="46">
        <v>30034009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これでも鳥類！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と　ペンギンが申しております</v>
      </c>
      <c r="F10" s="46">
        <v>30034009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7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tr">
        <f t="shared" ref="A11:A21" si="6">B11&amp;"_"&amp;C11</f>
        <v>30034004_30034010</v>
      </c>
      <c r="B11" s="7">
        <v>30034004</v>
      </c>
      <c r="C11" s="46">
        <v>30034010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往復バット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1" s="46">
        <v>30034010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" s="46"/>
      <c r="Q11" s="46"/>
      <c r="R11" s="46"/>
    </row>
    <row r="12" spans="1:18" ht="21" customHeight="1" x14ac:dyDescent="0.15">
      <c r="A12" s="38" t="str">
        <f t="shared" ref="A12" si="7">B12&amp;"_"&amp;C12</f>
        <v>30034005_30034011</v>
      </c>
      <c r="B12" s="7">
        <v>30034005</v>
      </c>
      <c r="C12" s="46">
        <v>30034011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ペンギンなめんな！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ペンギンは鳥類ペンギン目に属する種の総称である</v>
      </c>
      <c r="F12" s="46">
        <v>30034011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7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6"/>
        <v>30034005_30034012</v>
      </c>
      <c r="B13" s="7">
        <v>30034005</v>
      </c>
      <c r="C13" s="46">
        <v>30034012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ハートフルボッコ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3" s="46">
        <v>30034012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3" s="46"/>
      <c r="Q13" s="46"/>
      <c r="R13" s="46"/>
    </row>
    <row r="14" spans="1:18" ht="21" customHeight="1" x14ac:dyDescent="0.15">
      <c r="A14" s="38" t="str">
        <f t="shared" si="6"/>
        <v>30034006_30034013</v>
      </c>
      <c r="B14" s="7">
        <v>30034006</v>
      </c>
      <c r="C14" s="46">
        <v>30034013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わしも鳥やで！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解除するまで攻撃力UP</v>
      </c>
      <c r="F14" s="46">
        <v>30034013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7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6"/>
        <v>30034006_30034014</v>
      </c>
      <c r="B15" s="7">
        <v>30034006</v>
      </c>
      <c r="C15" s="46">
        <v>30034014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鳥やないとでも言うんか！？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　・・・ものすごい剣幕だ_x000D_2ターン攻撃力が50%DOWN</v>
      </c>
      <c r="F15" s="46">
        <v>30034014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5" s="46"/>
      <c r="Q15" s="46"/>
      <c r="R15" s="46"/>
    </row>
    <row r="16" spans="1:18" ht="21" customHeight="1" x14ac:dyDescent="0.15">
      <c r="A16" s="38" t="str">
        <f t="shared" si="6"/>
        <v>30034007_30034015</v>
      </c>
      <c r="B16" s="7">
        <v>30034007</v>
      </c>
      <c r="C16" s="46">
        <v>30034015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ボクは還ってきたッ！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より強い力を持って復活を果たした</v>
      </c>
      <c r="F16" s="46">
        <v>30034015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7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si="6"/>
        <v>30034007_30034016</v>
      </c>
      <c r="B17" s="7">
        <v>30034007</v>
      </c>
      <c r="C17" s="46">
        <v>30034016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吹き飛べ！！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4連続攻撃</v>
      </c>
      <c r="F17" s="46">
        <v>30034016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6"/>
        <v>30034008_30034017</v>
      </c>
      <c r="B18" s="7">
        <v>30034008</v>
      </c>
      <c r="C18" s="46">
        <v>30034017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ボクに構えさせるとはなァ！！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慢心を捨て自身の自己治癒能力を高めた</v>
      </c>
      <c r="F18" s="46">
        <v>30034017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7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6"/>
        <v>30034008_30034018</v>
      </c>
      <c r="B19" s="7">
        <v>30034008</v>
      </c>
      <c r="C19" s="46">
        <v>30034018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炎鎖縛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2ターン攻撃力が50%DOWN +HP回復</v>
      </c>
      <c r="F19" s="46">
        <v>30034018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si="6"/>
        <v>30034008_30034019</v>
      </c>
      <c r="B20" s="7">
        <v>30034008</v>
      </c>
      <c r="C20" s="46">
        <v>30034019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鳳翼波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全体攻撃+ HP回復</v>
      </c>
      <c r="F20" s="46">
        <v>30034019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6"/>
        <v>30034008_30034020</v>
      </c>
      <c r="B21" s="7">
        <v>30034008</v>
      </c>
      <c r="C21" s="46">
        <v>30034020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このボクが消えるなんてありえないッ！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大回復</v>
      </c>
      <c r="F21" s="46">
        <v>30034020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ref="A22:A25" si="8">B22&amp;"_"&amp;C22</f>
        <v>30034008_30034021</v>
      </c>
      <c r="B22" s="7">
        <v>30034008</v>
      </c>
      <c r="C22" s="46">
        <v>30034021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熱紅覇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4連続全体攻撃</v>
      </c>
      <c r="F22" s="46">
        <v>30034021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8"/>
        <v>30034009_30034015</v>
      </c>
      <c r="B23" s="7">
        <v>30034009</v>
      </c>
      <c r="C23" s="46">
        <v>30034015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ボクは還ってきたッ！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より強い力を持って復活を果たした</v>
      </c>
      <c r="F23" s="46">
        <v>30034015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7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tr">
        <f t="shared" si="8"/>
        <v>30034009_30034016</v>
      </c>
      <c r="B24" s="7">
        <v>30034009</v>
      </c>
      <c r="C24" s="46">
        <v>30034016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吹き飛べ！！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4連続攻撃</v>
      </c>
      <c r="F24" s="46">
        <v>30034016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7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8"/>
        <v>30034009_30034020</v>
      </c>
      <c r="B25" s="7">
        <v>30034009</v>
      </c>
      <c r="C25" s="46">
        <v>30034020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このボクが消えるなんてありえないッ！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大回復</v>
      </c>
      <c r="F25" s="46">
        <v>30034020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ref="A26:A31" si="9">B26&amp;"_"&amp;C26</f>
        <v>30034009_30034021</v>
      </c>
      <c r="B26" s="7">
        <v>30034009</v>
      </c>
      <c r="C26" s="46">
        <v>30034021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熱紅覇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4連続全体攻撃</v>
      </c>
      <c r="F26" s="46">
        <v>30034021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1" customHeight="1" x14ac:dyDescent="0.15">
      <c r="A27" s="38" t="str">
        <f t="shared" si="9"/>
        <v>30034010_30034011</v>
      </c>
      <c r="B27" s="7">
        <v>30034010</v>
      </c>
      <c r="C27" s="46">
        <v>30034011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ペンギンなめんな！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ペンギンは鳥類ペンギン目に属する種の総称である</v>
      </c>
      <c r="F27" s="46">
        <v>30034011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7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ref="A28" si="10">B28&amp;"_"&amp;C28</f>
        <v>30034010_30034022</v>
      </c>
      <c r="B28" s="7">
        <v>30034010</v>
      </c>
      <c r="C28" s="46">
        <v>30034022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フルボッコ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連続攻撃</v>
      </c>
      <c r="F28" s="46">
        <v>30034022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8" s="46"/>
      <c r="Q28" s="46"/>
      <c r="R28" s="46"/>
    </row>
    <row r="29" spans="1:18" ht="21" customHeight="1" x14ac:dyDescent="0.15">
      <c r="A29" s="38" t="str">
        <f t="shared" si="9"/>
        <v>30034011_30034015</v>
      </c>
      <c r="B29" s="7">
        <v>30034011</v>
      </c>
      <c r="C29" s="46">
        <v>30034015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ボクは還ってきたッ！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より強い力を持って復活を果たした</v>
      </c>
      <c r="F29" s="46">
        <v>30034015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7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38" t="str">
        <f t="shared" si="9"/>
        <v>30034011_30034016</v>
      </c>
      <c r="B30" s="7">
        <v>30034011</v>
      </c>
      <c r="C30" s="46">
        <v>30034016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吹き飛べ！！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4連続攻撃</v>
      </c>
      <c r="F30" s="46">
        <v>30034016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7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ht="21" customHeight="1" x14ac:dyDescent="0.15">
      <c r="A31" s="38" t="str">
        <f t="shared" si="9"/>
        <v>30034011_30034020</v>
      </c>
      <c r="B31" s="7">
        <v>30034011</v>
      </c>
      <c r="C31" s="46">
        <v>30034020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このボクが消えるなんてありえないッ！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大回復</v>
      </c>
      <c r="F31" s="46">
        <v>30034020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7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6"/>
      <c r="R31" s="46"/>
    </row>
  </sheetData>
  <autoFilter ref="A1:R1"/>
  <phoneticPr fontId="5"/>
  <pageMargins left="0.75" right="0.75" top="1" bottom="1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abSelected="1" workbookViewId="0">
      <selection activeCell="O29" sqref="O2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151</v>
      </c>
      <c r="B1" s="62" t="s">
        <v>152</v>
      </c>
      <c r="C1" s="63" t="s">
        <v>153</v>
      </c>
      <c r="D1" s="69" t="s">
        <v>154</v>
      </c>
      <c r="E1" s="64" t="s">
        <v>155</v>
      </c>
      <c r="F1" s="62" t="s">
        <v>156</v>
      </c>
      <c r="G1" s="62" t="s">
        <v>157</v>
      </c>
      <c r="H1" s="62" t="s">
        <v>158</v>
      </c>
      <c r="I1" s="62" t="s">
        <v>159</v>
      </c>
      <c r="J1" s="62" t="s">
        <v>160</v>
      </c>
      <c r="K1" s="62" t="s">
        <v>161</v>
      </c>
      <c r="L1" s="62" t="s">
        <v>162</v>
      </c>
      <c r="M1" s="62" t="s">
        <v>163</v>
      </c>
      <c r="N1" s="62" t="s">
        <v>164</v>
      </c>
      <c r="O1" s="62" t="s">
        <v>165</v>
      </c>
      <c r="P1" s="62" t="s">
        <v>166</v>
      </c>
      <c r="Q1" s="62" t="s">
        <v>167</v>
      </c>
      <c r="R1" s="62" t="s">
        <v>168</v>
      </c>
    </row>
    <row r="2" spans="1:18" x14ac:dyDescent="0.15">
      <c r="A2" s="56">
        <v>30034</v>
      </c>
      <c r="B2" s="79">
        <v>1</v>
      </c>
      <c r="C2" s="68" t="str">
        <f>A2&amp; "_"&amp;B2</f>
        <v>30034_1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79">
        <v>1</v>
      </c>
      <c r="F2" s="79" t="s">
        <v>169</v>
      </c>
      <c r="G2" s="79">
        <v>3200</v>
      </c>
      <c r="H2" s="79" t="s">
        <v>261</v>
      </c>
      <c r="I2" s="79">
        <v>1</v>
      </c>
      <c r="J2" s="79">
        <v>1</v>
      </c>
      <c r="K2" s="79">
        <v>0</v>
      </c>
      <c r="L2" s="79">
        <v>0</v>
      </c>
      <c r="M2" s="79">
        <v>0</v>
      </c>
      <c r="N2" s="79">
        <v>0</v>
      </c>
      <c r="O2" s="79">
        <v>1</v>
      </c>
      <c r="P2" s="79">
        <v>200</v>
      </c>
      <c r="Q2" s="79" t="s">
        <v>170</v>
      </c>
      <c r="R2" s="79" t="s">
        <v>171</v>
      </c>
    </row>
    <row r="3" spans="1:18" x14ac:dyDescent="0.15">
      <c r="A3" s="56">
        <v>30034</v>
      </c>
      <c r="B3" s="79">
        <v>1</v>
      </c>
      <c r="C3" s="68" t="str">
        <f t="shared" ref="C3:C33" si="0">A3&amp; "_"&amp;B3</f>
        <v>30034_1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79">
        <v>2</v>
      </c>
      <c r="F3" s="79" t="s">
        <v>262</v>
      </c>
      <c r="G3" s="79">
        <v>20</v>
      </c>
      <c r="H3" s="79" t="s">
        <v>261</v>
      </c>
      <c r="I3" s="79">
        <v>1</v>
      </c>
      <c r="J3" s="79">
        <v>1</v>
      </c>
      <c r="K3" s="79">
        <v>0</v>
      </c>
      <c r="L3" s="79">
        <v>0</v>
      </c>
      <c r="M3" s="79">
        <v>0</v>
      </c>
      <c r="N3" s="79">
        <v>0</v>
      </c>
      <c r="O3" s="79">
        <v>1</v>
      </c>
      <c r="P3" s="79">
        <v>200</v>
      </c>
      <c r="Q3" s="79" t="s">
        <v>170</v>
      </c>
      <c r="R3" s="79" t="s">
        <v>171</v>
      </c>
    </row>
    <row r="4" spans="1:18" x14ac:dyDescent="0.15">
      <c r="A4" s="56">
        <v>30034</v>
      </c>
      <c r="B4" s="79">
        <v>1</v>
      </c>
      <c r="C4" s="68" t="str">
        <f t="shared" si="0"/>
        <v>30034_1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79">
        <v>3</v>
      </c>
      <c r="F4" s="79" t="s">
        <v>263</v>
      </c>
      <c r="G4" s="103">
        <v>332</v>
      </c>
      <c r="H4" s="79">
        <v>1</v>
      </c>
      <c r="I4" s="79">
        <v>1</v>
      </c>
      <c r="J4" s="79">
        <v>1</v>
      </c>
      <c r="K4" s="79">
        <v>0</v>
      </c>
      <c r="L4" s="79">
        <v>0</v>
      </c>
      <c r="M4" s="79">
        <v>0</v>
      </c>
      <c r="N4" s="79">
        <v>0</v>
      </c>
      <c r="O4" s="79">
        <v>1</v>
      </c>
      <c r="P4" s="79">
        <v>70</v>
      </c>
      <c r="Q4" s="79" t="s">
        <v>170</v>
      </c>
      <c r="R4" s="79" t="s">
        <v>171</v>
      </c>
    </row>
    <row r="5" spans="1:18" x14ac:dyDescent="0.15">
      <c r="A5" s="56">
        <v>30034</v>
      </c>
      <c r="B5" s="79">
        <v>1</v>
      </c>
      <c r="C5" s="68" t="str">
        <f t="shared" si="0"/>
        <v>30034_1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79">
        <v>4</v>
      </c>
      <c r="F5" s="79" t="s">
        <v>263</v>
      </c>
      <c r="G5" s="103">
        <v>333</v>
      </c>
      <c r="H5" s="79">
        <v>1</v>
      </c>
      <c r="I5" s="79">
        <v>1</v>
      </c>
      <c r="J5" s="79">
        <v>1</v>
      </c>
      <c r="K5" s="79">
        <v>0</v>
      </c>
      <c r="L5" s="79">
        <v>0</v>
      </c>
      <c r="M5" s="79">
        <v>0</v>
      </c>
      <c r="N5" s="79">
        <v>0</v>
      </c>
      <c r="O5" s="79">
        <v>1</v>
      </c>
      <c r="P5" s="79">
        <v>70</v>
      </c>
      <c r="Q5" s="79" t="s">
        <v>170</v>
      </c>
      <c r="R5" s="79" t="s">
        <v>171</v>
      </c>
    </row>
    <row r="6" spans="1:18" x14ac:dyDescent="0.15">
      <c r="A6" s="56">
        <v>30034</v>
      </c>
      <c r="B6" s="79">
        <v>1</v>
      </c>
      <c r="C6" s="68" t="str">
        <f t="shared" si="0"/>
        <v>30034_1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79">
        <v>5</v>
      </c>
      <c r="F6" s="79" t="s">
        <v>263</v>
      </c>
      <c r="G6" s="79">
        <v>121</v>
      </c>
      <c r="H6" s="79">
        <v>1</v>
      </c>
      <c r="I6" s="79">
        <v>1</v>
      </c>
      <c r="J6" s="79">
        <v>1</v>
      </c>
      <c r="K6" s="79">
        <v>0</v>
      </c>
      <c r="L6" s="79">
        <v>0</v>
      </c>
      <c r="M6" s="79">
        <v>0</v>
      </c>
      <c r="N6" s="79">
        <v>0</v>
      </c>
      <c r="O6" s="79">
        <v>1</v>
      </c>
      <c r="P6" s="79">
        <v>50</v>
      </c>
      <c r="Q6" s="79" t="s">
        <v>170</v>
      </c>
      <c r="R6" s="79" t="s">
        <v>171</v>
      </c>
    </row>
    <row r="7" spans="1:18" x14ac:dyDescent="0.15">
      <c r="A7" s="56">
        <v>30034</v>
      </c>
      <c r="B7" s="79">
        <v>1</v>
      </c>
      <c r="C7" s="68" t="str">
        <f t="shared" si="0"/>
        <v>30034_1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79">
        <v>6</v>
      </c>
      <c r="F7" s="79" t="s">
        <v>263</v>
      </c>
      <c r="G7" s="79">
        <v>122</v>
      </c>
      <c r="H7" s="79">
        <v>1</v>
      </c>
      <c r="I7" s="79">
        <v>1</v>
      </c>
      <c r="J7" s="79">
        <v>1</v>
      </c>
      <c r="K7" s="79">
        <v>0</v>
      </c>
      <c r="L7" s="79">
        <v>0</v>
      </c>
      <c r="M7" s="79">
        <v>0</v>
      </c>
      <c r="N7" s="79">
        <v>0</v>
      </c>
      <c r="O7" s="79">
        <v>1</v>
      </c>
      <c r="P7" s="79">
        <v>50</v>
      </c>
      <c r="Q7" s="79" t="s">
        <v>170</v>
      </c>
      <c r="R7" s="79" t="s">
        <v>171</v>
      </c>
    </row>
    <row r="8" spans="1:18" x14ac:dyDescent="0.15">
      <c r="A8" s="56">
        <v>30034</v>
      </c>
      <c r="B8" s="79">
        <v>1</v>
      </c>
      <c r="C8" s="68" t="str">
        <f t="shared" si="0"/>
        <v>30034_1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79">
        <v>7</v>
      </c>
      <c r="F8" s="79" t="s">
        <v>263</v>
      </c>
      <c r="G8" s="79">
        <v>123</v>
      </c>
      <c r="H8" s="79">
        <v>1</v>
      </c>
      <c r="I8" s="79">
        <v>1</v>
      </c>
      <c r="J8" s="79">
        <v>1</v>
      </c>
      <c r="K8" s="79">
        <v>0</v>
      </c>
      <c r="L8" s="79">
        <v>0</v>
      </c>
      <c r="M8" s="79">
        <v>0</v>
      </c>
      <c r="N8" s="79">
        <v>0</v>
      </c>
      <c r="O8" s="79">
        <v>1</v>
      </c>
      <c r="P8" s="79">
        <v>50</v>
      </c>
      <c r="Q8" s="79" t="s">
        <v>170</v>
      </c>
      <c r="R8" s="79" t="s">
        <v>171</v>
      </c>
    </row>
    <row r="9" spans="1:18" x14ac:dyDescent="0.15">
      <c r="A9" s="56">
        <v>30034</v>
      </c>
      <c r="B9" s="79">
        <v>1</v>
      </c>
      <c r="C9" s="68" t="str">
        <f t="shared" si="0"/>
        <v>30034_1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79">
        <v>8</v>
      </c>
      <c r="F9" s="79" t="s">
        <v>263</v>
      </c>
      <c r="G9" s="79">
        <v>125</v>
      </c>
      <c r="H9" s="79">
        <v>1</v>
      </c>
      <c r="I9" s="79">
        <v>1</v>
      </c>
      <c r="J9" s="79">
        <v>1</v>
      </c>
      <c r="K9" s="79">
        <v>0</v>
      </c>
      <c r="L9" s="79">
        <v>0</v>
      </c>
      <c r="M9" s="79">
        <v>0</v>
      </c>
      <c r="N9" s="79">
        <v>0</v>
      </c>
      <c r="O9" s="79">
        <v>1</v>
      </c>
      <c r="P9" s="79">
        <v>10</v>
      </c>
      <c r="Q9" s="79" t="s">
        <v>170</v>
      </c>
      <c r="R9" s="79" t="s">
        <v>171</v>
      </c>
    </row>
    <row r="10" spans="1:18" x14ac:dyDescent="0.15">
      <c r="A10" s="56">
        <v>30034</v>
      </c>
      <c r="B10" s="79">
        <v>1</v>
      </c>
      <c r="C10" s="68" t="str">
        <f t="shared" si="0"/>
        <v>30034_1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79">
        <v>9</v>
      </c>
      <c r="F10" s="79" t="s">
        <v>263</v>
      </c>
      <c r="G10" s="102">
        <v>840</v>
      </c>
      <c r="H10" s="79">
        <v>1</v>
      </c>
      <c r="I10" s="79">
        <v>1</v>
      </c>
      <c r="J10" s="79">
        <v>1</v>
      </c>
      <c r="K10" s="79">
        <v>0</v>
      </c>
      <c r="L10" s="79">
        <v>0</v>
      </c>
      <c r="M10" s="79">
        <v>0</v>
      </c>
      <c r="N10" s="79">
        <v>0</v>
      </c>
      <c r="O10" s="79">
        <v>1</v>
      </c>
      <c r="P10" s="79">
        <v>200</v>
      </c>
      <c r="Q10" s="79" t="s">
        <v>170</v>
      </c>
      <c r="R10" s="79" t="s">
        <v>171</v>
      </c>
    </row>
    <row r="11" spans="1:18" ht="16" thickBot="1" x14ac:dyDescent="0.2">
      <c r="A11" s="108">
        <v>30034</v>
      </c>
      <c r="B11" s="109">
        <v>1</v>
      </c>
      <c r="C11" s="110" t="str">
        <f t="shared" si="0"/>
        <v>30034_1</v>
      </c>
      <c r="D11" s="1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09">
        <v>10</v>
      </c>
      <c r="F11" s="109" t="s">
        <v>263</v>
      </c>
      <c r="G11" s="112">
        <v>348</v>
      </c>
      <c r="H11" s="109">
        <v>1</v>
      </c>
      <c r="I11" s="109">
        <v>1</v>
      </c>
      <c r="J11" s="109">
        <v>1</v>
      </c>
      <c r="K11" s="109">
        <v>0</v>
      </c>
      <c r="L11" s="109">
        <v>0</v>
      </c>
      <c r="M11" s="109">
        <v>0</v>
      </c>
      <c r="N11" s="109">
        <v>0</v>
      </c>
      <c r="O11" s="109">
        <v>1</v>
      </c>
      <c r="P11" s="109">
        <v>100</v>
      </c>
      <c r="Q11" s="109" t="s">
        <v>170</v>
      </c>
      <c r="R11" s="109" t="s">
        <v>171</v>
      </c>
    </row>
    <row r="12" spans="1:18" ht="16" thickTop="1" x14ac:dyDescent="0.15">
      <c r="A12" s="104">
        <v>30034</v>
      </c>
      <c r="B12" s="105">
        <v>2</v>
      </c>
      <c r="C12" s="106" t="str">
        <f t="shared" si="0"/>
        <v>30034_2</v>
      </c>
      <c r="D12" s="10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05">
        <v>11</v>
      </c>
      <c r="F12" s="105" t="s">
        <v>169</v>
      </c>
      <c r="G12" s="105">
        <v>5000</v>
      </c>
      <c r="H12" s="105" t="s">
        <v>261</v>
      </c>
      <c r="I12" s="105">
        <v>1</v>
      </c>
      <c r="J12" s="105">
        <v>1</v>
      </c>
      <c r="K12" s="105">
        <v>0</v>
      </c>
      <c r="L12" s="105">
        <v>0</v>
      </c>
      <c r="M12" s="105">
        <v>0</v>
      </c>
      <c r="N12" s="105">
        <v>0</v>
      </c>
      <c r="O12" s="105">
        <v>1</v>
      </c>
      <c r="P12" s="105">
        <v>200</v>
      </c>
      <c r="Q12" s="105" t="s">
        <v>170</v>
      </c>
      <c r="R12" s="105" t="s">
        <v>171</v>
      </c>
    </row>
    <row r="13" spans="1:18" x14ac:dyDescent="0.15">
      <c r="A13" s="56">
        <v>30034</v>
      </c>
      <c r="B13" s="79">
        <v>2</v>
      </c>
      <c r="C13" s="68" t="str">
        <f t="shared" si="0"/>
        <v>30034_2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79">
        <v>12</v>
      </c>
      <c r="F13" s="79" t="s">
        <v>264</v>
      </c>
      <c r="G13" s="79">
        <v>25</v>
      </c>
      <c r="H13" s="79" t="s">
        <v>261</v>
      </c>
      <c r="I13" s="79">
        <v>1</v>
      </c>
      <c r="J13" s="79">
        <v>1</v>
      </c>
      <c r="K13" s="79">
        <v>0</v>
      </c>
      <c r="L13" s="79">
        <v>0</v>
      </c>
      <c r="M13" s="79">
        <v>0</v>
      </c>
      <c r="N13" s="79">
        <v>0</v>
      </c>
      <c r="O13" s="79">
        <v>1</v>
      </c>
      <c r="P13" s="79">
        <v>150</v>
      </c>
      <c r="Q13" s="79" t="s">
        <v>170</v>
      </c>
      <c r="R13" s="79" t="s">
        <v>171</v>
      </c>
    </row>
    <row r="14" spans="1:18" x14ac:dyDescent="0.15">
      <c r="A14" s="56">
        <v>30034</v>
      </c>
      <c r="B14" s="79">
        <v>2</v>
      </c>
      <c r="C14" s="68" t="str">
        <f t="shared" si="0"/>
        <v>30034_2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79">
        <v>13</v>
      </c>
      <c r="F14" s="79" t="s">
        <v>263</v>
      </c>
      <c r="G14" s="103">
        <v>332</v>
      </c>
      <c r="H14" s="79">
        <v>1</v>
      </c>
      <c r="I14" s="79">
        <v>1</v>
      </c>
      <c r="J14" s="79">
        <v>1</v>
      </c>
      <c r="K14" s="79">
        <v>0</v>
      </c>
      <c r="L14" s="79">
        <v>0</v>
      </c>
      <c r="M14" s="79">
        <v>0</v>
      </c>
      <c r="N14" s="79">
        <v>0</v>
      </c>
      <c r="O14" s="79">
        <v>1</v>
      </c>
      <c r="P14" s="79">
        <v>56</v>
      </c>
      <c r="Q14" s="79" t="s">
        <v>170</v>
      </c>
      <c r="R14" s="79" t="s">
        <v>171</v>
      </c>
    </row>
    <row r="15" spans="1:18" x14ac:dyDescent="0.15">
      <c r="A15" s="56">
        <v>30034</v>
      </c>
      <c r="B15" s="79">
        <v>2</v>
      </c>
      <c r="C15" s="68" t="str">
        <f t="shared" si="0"/>
        <v>30034_2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79">
        <v>14</v>
      </c>
      <c r="F15" s="79" t="s">
        <v>263</v>
      </c>
      <c r="G15" s="103">
        <v>333</v>
      </c>
      <c r="H15" s="79">
        <v>1</v>
      </c>
      <c r="I15" s="79">
        <v>1</v>
      </c>
      <c r="J15" s="79">
        <v>1</v>
      </c>
      <c r="K15" s="79">
        <v>0</v>
      </c>
      <c r="L15" s="79">
        <v>0</v>
      </c>
      <c r="M15" s="79">
        <v>0</v>
      </c>
      <c r="N15" s="79">
        <v>0</v>
      </c>
      <c r="O15" s="79">
        <v>1</v>
      </c>
      <c r="P15" s="79">
        <v>56</v>
      </c>
      <c r="Q15" s="79" t="s">
        <v>170</v>
      </c>
      <c r="R15" s="79" t="s">
        <v>171</v>
      </c>
    </row>
    <row r="16" spans="1:18" x14ac:dyDescent="0.15">
      <c r="A16" s="56">
        <v>30034</v>
      </c>
      <c r="B16" s="79">
        <v>2</v>
      </c>
      <c r="C16" s="68" t="str">
        <f t="shared" si="0"/>
        <v>30034_2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79">
        <v>15</v>
      </c>
      <c r="F16" s="79" t="s">
        <v>263</v>
      </c>
      <c r="G16" s="103">
        <v>334</v>
      </c>
      <c r="H16" s="79">
        <v>1</v>
      </c>
      <c r="I16" s="79">
        <v>1</v>
      </c>
      <c r="J16" s="79">
        <v>1</v>
      </c>
      <c r="K16" s="79">
        <v>0</v>
      </c>
      <c r="L16" s="79">
        <v>0</v>
      </c>
      <c r="M16" s="79">
        <v>0</v>
      </c>
      <c r="N16" s="79">
        <v>0</v>
      </c>
      <c r="O16" s="79">
        <v>1</v>
      </c>
      <c r="P16" s="79">
        <v>28</v>
      </c>
      <c r="Q16" s="79" t="s">
        <v>170</v>
      </c>
      <c r="R16" s="79" t="s">
        <v>171</v>
      </c>
    </row>
    <row r="17" spans="1:18" x14ac:dyDescent="0.15">
      <c r="A17" s="56">
        <v>30034</v>
      </c>
      <c r="B17" s="79">
        <v>2</v>
      </c>
      <c r="C17" s="68" t="str">
        <f t="shared" si="0"/>
        <v>30034_2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9">
        <v>16</v>
      </c>
      <c r="F17" s="79" t="s">
        <v>263</v>
      </c>
      <c r="G17" s="79">
        <v>121</v>
      </c>
      <c r="H17" s="79">
        <v>1</v>
      </c>
      <c r="I17" s="79">
        <v>1</v>
      </c>
      <c r="J17" s="79">
        <v>1</v>
      </c>
      <c r="K17" s="79">
        <v>0</v>
      </c>
      <c r="L17" s="79">
        <v>0</v>
      </c>
      <c r="M17" s="79">
        <v>0</v>
      </c>
      <c r="N17" s="79">
        <v>0</v>
      </c>
      <c r="O17" s="79">
        <v>1</v>
      </c>
      <c r="P17" s="79">
        <v>50</v>
      </c>
      <c r="Q17" s="79" t="s">
        <v>170</v>
      </c>
      <c r="R17" s="79" t="s">
        <v>171</v>
      </c>
    </row>
    <row r="18" spans="1:18" x14ac:dyDescent="0.15">
      <c r="A18" s="56">
        <v>30034</v>
      </c>
      <c r="B18" s="79">
        <v>2</v>
      </c>
      <c r="C18" s="68" t="str">
        <f t="shared" si="0"/>
        <v>30034_2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79">
        <v>17</v>
      </c>
      <c r="F18" s="79" t="s">
        <v>263</v>
      </c>
      <c r="G18" s="79">
        <v>122</v>
      </c>
      <c r="H18" s="79">
        <v>1</v>
      </c>
      <c r="I18" s="79">
        <v>1</v>
      </c>
      <c r="J18" s="79">
        <v>1</v>
      </c>
      <c r="K18" s="79">
        <v>0</v>
      </c>
      <c r="L18" s="79">
        <v>0</v>
      </c>
      <c r="M18" s="79">
        <v>0</v>
      </c>
      <c r="N18" s="79">
        <v>0</v>
      </c>
      <c r="O18" s="79">
        <v>1</v>
      </c>
      <c r="P18" s="79">
        <v>50</v>
      </c>
      <c r="Q18" s="79" t="s">
        <v>170</v>
      </c>
      <c r="R18" s="79" t="s">
        <v>171</v>
      </c>
    </row>
    <row r="19" spans="1:18" x14ac:dyDescent="0.15">
      <c r="A19" s="56">
        <v>30034</v>
      </c>
      <c r="B19" s="79">
        <v>2</v>
      </c>
      <c r="C19" s="68" t="str">
        <f t="shared" si="0"/>
        <v>30034_2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79">
        <v>18</v>
      </c>
      <c r="F19" s="79" t="s">
        <v>263</v>
      </c>
      <c r="G19" s="79">
        <v>123</v>
      </c>
      <c r="H19" s="79">
        <v>1</v>
      </c>
      <c r="I19" s="79">
        <v>1</v>
      </c>
      <c r="J19" s="79">
        <v>1</v>
      </c>
      <c r="K19" s="79">
        <v>0</v>
      </c>
      <c r="L19" s="79">
        <v>0</v>
      </c>
      <c r="M19" s="79">
        <v>0</v>
      </c>
      <c r="N19" s="79">
        <v>0</v>
      </c>
      <c r="O19" s="79">
        <v>1</v>
      </c>
      <c r="P19" s="79">
        <v>50</v>
      </c>
      <c r="Q19" s="79" t="s">
        <v>170</v>
      </c>
      <c r="R19" s="79" t="s">
        <v>171</v>
      </c>
    </row>
    <row r="20" spans="1:18" x14ac:dyDescent="0.15">
      <c r="A20" s="56">
        <v>30034</v>
      </c>
      <c r="B20" s="79">
        <v>2</v>
      </c>
      <c r="C20" s="68" t="str">
        <f t="shared" si="0"/>
        <v>30034_2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79">
        <v>19</v>
      </c>
      <c r="F20" s="79" t="s">
        <v>263</v>
      </c>
      <c r="G20" s="79">
        <v>125</v>
      </c>
      <c r="H20" s="79">
        <v>1</v>
      </c>
      <c r="I20" s="79">
        <v>1</v>
      </c>
      <c r="J20" s="79">
        <v>1</v>
      </c>
      <c r="K20" s="79">
        <v>0</v>
      </c>
      <c r="L20" s="79">
        <v>0</v>
      </c>
      <c r="M20" s="79">
        <v>0</v>
      </c>
      <c r="N20" s="79">
        <v>0</v>
      </c>
      <c r="O20" s="79">
        <v>1</v>
      </c>
      <c r="P20" s="79">
        <v>10</v>
      </c>
      <c r="Q20" s="79" t="s">
        <v>170</v>
      </c>
      <c r="R20" s="79" t="s">
        <v>171</v>
      </c>
    </row>
    <row r="21" spans="1:18" x14ac:dyDescent="0.15">
      <c r="A21" s="56">
        <v>30034</v>
      </c>
      <c r="B21" s="79">
        <v>2</v>
      </c>
      <c r="C21" s="68" t="str">
        <f t="shared" si="0"/>
        <v>30034_2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79">
        <v>20</v>
      </c>
      <c r="F21" s="79" t="s">
        <v>263</v>
      </c>
      <c r="G21" s="102">
        <v>840</v>
      </c>
      <c r="H21" s="79">
        <v>1</v>
      </c>
      <c r="I21" s="79">
        <v>1</v>
      </c>
      <c r="J21" s="79">
        <v>1</v>
      </c>
      <c r="K21" s="79">
        <v>0</v>
      </c>
      <c r="L21" s="79">
        <v>0</v>
      </c>
      <c r="M21" s="79">
        <v>0</v>
      </c>
      <c r="N21" s="79">
        <v>0</v>
      </c>
      <c r="O21" s="79">
        <v>1</v>
      </c>
      <c r="P21" s="79">
        <v>250</v>
      </c>
      <c r="Q21" s="79" t="s">
        <v>170</v>
      </c>
      <c r="R21" s="79" t="s">
        <v>171</v>
      </c>
    </row>
    <row r="22" spans="1:18" ht="16" thickBot="1" x14ac:dyDescent="0.2">
      <c r="A22" s="108">
        <v>30034</v>
      </c>
      <c r="B22" s="109">
        <v>2</v>
      </c>
      <c r="C22" s="110" t="str">
        <f t="shared" si="0"/>
        <v>30034_2</v>
      </c>
      <c r="D22" s="11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09">
        <v>21</v>
      </c>
      <c r="F22" s="109" t="s">
        <v>263</v>
      </c>
      <c r="G22" s="112">
        <v>348</v>
      </c>
      <c r="H22" s="109">
        <v>1</v>
      </c>
      <c r="I22" s="109">
        <v>1</v>
      </c>
      <c r="J22" s="109">
        <v>1</v>
      </c>
      <c r="K22" s="109">
        <v>0</v>
      </c>
      <c r="L22" s="109">
        <v>0</v>
      </c>
      <c r="M22" s="109">
        <v>0</v>
      </c>
      <c r="N22" s="109">
        <v>0</v>
      </c>
      <c r="O22" s="109">
        <v>1</v>
      </c>
      <c r="P22" s="109">
        <v>100</v>
      </c>
      <c r="Q22" s="109" t="s">
        <v>170</v>
      </c>
      <c r="R22" s="109" t="s">
        <v>171</v>
      </c>
    </row>
    <row r="23" spans="1:18" ht="16" thickTop="1" x14ac:dyDescent="0.15">
      <c r="A23" s="104">
        <v>30034</v>
      </c>
      <c r="B23" s="105">
        <v>3</v>
      </c>
      <c r="C23" s="106" t="str">
        <f t="shared" si="0"/>
        <v>30034_3</v>
      </c>
      <c r="D23" s="107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05">
        <v>22</v>
      </c>
      <c r="F23" s="105" t="s">
        <v>169</v>
      </c>
      <c r="G23" s="105">
        <v>6500</v>
      </c>
      <c r="H23" s="105" t="s">
        <v>261</v>
      </c>
      <c r="I23" s="105">
        <v>1</v>
      </c>
      <c r="J23" s="105">
        <v>1</v>
      </c>
      <c r="K23" s="105">
        <v>0</v>
      </c>
      <c r="L23" s="105">
        <v>0</v>
      </c>
      <c r="M23" s="105">
        <v>0</v>
      </c>
      <c r="N23" s="105">
        <v>0</v>
      </c>
      <c r="O23" s="105">
        <v>1</v>
      </c>
      <c r="P23" s="105">
        <v>100</v>
      </c>
      <c r="Q23" s="105" t="s">
        <v>170</v>
      </c>
      <c r="R23" s="105" t="s">
        <v>171</v>
      </c>
    </row>
    <row r="24" spans="1:18" x14ac:dyDescent="0.15">
      <c r="A24" s="56">
        <v>30034</v>
      </c>
      <c r="B24" s="79">
        <v>3</v>
      </c>
      <c r="C24" s="68" t="str">
        <f t="shared" si="0"/>
        <v>30034_3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79">
        <v>23</v>
      </c>
      <c r="F24" s="79" t="s">
        <v>264</v>
      </c>
      <c r="G24" s="79">
        <v>25</v>
      </c>
      <c r="H24" s="79" t="s">
        <v>261</v>
      </c>
      <c r="I24" s="79">
        <v>1</v>
      </c>
      <c r="J24" s="79">
        <v>1</v>
      </c>
      <c r="K24" s="79">
        <v>0</v>
      </c>
      <c r="L24" s="79">
        <v>0</v>
      </c>
      <c r="M24" s="79">
        <v>0</v>
      </c>
      <c r="N24" s="79">
        <v>0</v>
      </c>
      <c r="O24" s="79">
        <v>1</v>
      </c>
      <c r="P24" s="79">
        <v>100</v>
      </c>
      <c r="Q24" s="79" t="s">
        <v>170</v>
      </c>
      <c r="R24" s="79" t="s">
        <v>171</v>
      </c>
    </row>
    <row r="25" spans="1:18" x14ac:dyDescent="0.15">
      <c r="A25" s="56">
        <v>30034</v>
      </c>
      <c r="B25" s="79">
        <v>3</v>
      </c>
      <c r="C25" s="68" t="str">
        <f t="shared" si="0"/>
        <v>30034_3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79">
        <v>24</v>
      </c>
      <c r="F25" s="79" t="s">
        <v>263</v>
      </c>
      <c r="G25" s="103">
        <v>332</v>
      </c>
      <c r="H25" s="79">
        <v>1</v>
      </c>
      <c r="I25" s="79">
        <v>1</v>
      </c>
      <c r="J25" s="79">
        <v>1</v>
      </c>
      <c r="K25" s="79">
        <v>0</v>
      </c>
      <c r="L25" s="79">
        <v>0</v>
      </c>
      <c r="M25" s="79">
        <v>0</v>
      </c>
      <c r="N25" s="79">
        <v>0</v>
      </c>
      <c r="O25" s="79">
        <v>1</v>
      </c>
      <c r="P25" s="79">
        <v>28</v>
      </c>
      <c r="Q25" s="79" t="s">
        <v>170</v>
      </c>
      <c r="R25" s="79" t="s">
        <v>171</v>
      </c>
    </row>
    <row r="26" spans="1:18" x14ac:dyDescent="0.15">
      <c r="A26" s="56">
        <v>30034</v>
      </c>
      <c r="B26" s="79">
        <v>3</v>
      </c>
      <c r="C26" s="68" t="str">
        <f t="shared" si="0"/>
        <v>30034_3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79">
        <v>25</v>
      </c>
      <c r="F26" s="79" t="s">
        <v>263</v>
      </c>
      <c r="G26" s="103">
        <v>333</v>
      </c>
      <c r="H26" s="79">
        <v>1</v>
      </c>
      <c r="I26" s="79">
        <v>1</v>
      </c>
      <c r="J26" s="79">
        <v>1</v>
      </c>
      <c r="K26" s="79">
        <v>0</v>
      </c>
      <c r="L26" s="79">
        <v>0</v>
      </c>
      <c r="M26" s="79">
        <v>0</v>
      </c>
      <c r="N26" s="79">
        <v>0</v>
      </c>
      <c r="O26" s="79">
        <v>1</v>
      </c>
      <c r="P26" s="79">
        <v>56</v>
      </c>
      <c r="Q26" s="79" t="s">
        <v>170</v>
      </c>
      <c r="R26" s="79" t="s">
        <v>171</v>
      </c>
    </row>
    <row r="27" spans="1:18" x14ac:dyDescent="0.15">
      <c r="A27" s="56">
        <v>30034</v>
      </c>
      <c r="B27" s="79">
        <v>3</v>
      </c>
      <c r="C27" s="68" t="str">
        <f t="shared" si="0"/>
        <v>30034_3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79">
        <v>26</v>
      </c>
      <c r="F27" s="79" t="s">
        <v>263</v>
      </c>
      <c r="G27" s="103">
        <v>334</v>
      </c>
      <c r="H27" s="79">
        <v>1</v>
      </c>
      <c r="I27" s="79">
        <v>1</v>
      </c>
      <c r="J27" s="79">
        <v>1</v>
      </c>
      <c r="K27" s="79">
        <v>0</v>
      </c>
      <c r="L27" s="79">
        <v>0</v>
      </c>
      <c r="M27" s="79">
        <v>0</v>
      </c>
      <c r="N27" s="79">
        <v>0</v>
      </c>
      <c r="O27" s="79">
        <v>1</v>
      </c>
      <c r="P27" s="79">
        <v>56</v>
      </c>
      <c r="Q27" s="79" t="s">
        <v>170</v>
      </c>
      <c r="R27" s="79" t="s">
        <v>171</v>
      </c>
    </row>
    <row r="28" spans="1:18" x14ac:dyDescent="0.15">
      <c r="A28" s="56">
        <v>30034</v>
      </c>
      <c r="B28" s="79">
        <v>3</v>
      </c>
      <c r="C28" s="68" t="str">
        <f t="shared" si="0"/>
        <v>30034_3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79">
        <v>27</v>
      </c>
      <c r="F28" s="79" t="s">
        <v>265</v>
      </c>
      <c r="G28" s="79">
        <v>121</v>
      </c>
      <c r="H28" s="79">
        <v>1</v>
      </c>
      <c r="I28" s="79">
        <v>1</v>
      </c>
      <c r="J28" s="79">
        <v>1</v>
      </c>
      <c r="K28" s="79">
        <v>0</v>
      </c>
      <c r="L28" s="79">
        <v>0</v>
      </c>
      <c r="M28" s="79">
        <v>0</v>
      </c>
      <c r="N28" s="79">
        <v>0</v>
      </c>
      <c r="O28" s="79">
        <v>1</v>
      </c>
      <c r="P28" s="79">
        <v>50</v>
      </c>
      <c r="Q28" s="79" t="s">
        <v>170</v>
      </c>
      <c r="R28" s="79" t="s">
        <v>171</v>
      </c>
    </row>
    <row r="29" spans="1:18" x14ac:dyDescent="0.15">
      <c r="A29" s="56">
        <v>30034</v>
      </c>
      <c r="B29" s="79">
        <v>3</v>
      </c>
      <c r="C29" s="68" t="str">
        <f t="shared" si="0"/>
        <v>30034_3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79">
        <v>28</v>
      </c>
      <c r="F29" s="79" t="s">
        <v>265</v>
      </c>
      <c r="G29" s="79">
        <v>122</v>
      </c>
      <c r="H29" s="79">
        <v>1</v>
      </c>
      <c r="I29" s="79">
        <v>1</v>
      </c>
      <c r="J29" s="79">
        <v>1</v>
      </c>
      <c r="K29" s="79">
        <v>0</v>
      </c>
      <c r="L29" s="79">
        <v>0</v>
      </c>
      <c r="M29" s="79">
        <v>0</v>
      </c>
      <c r="N29" s="79">
        <v>0</v>
      </c>
      <c r="O29" s="79">
        <v>1</v>
      </c>
      <c r="P29" s="79">
        <v>50</v>
      </c>
      <c r="Q29" s="79" t="s">
        <v>170</v>
      </c>
      <c r="R29" s="79" t="s">
        <v>171</v>
      </c>
    </row>
    <row r="30" spans="1:18" x14ac:dyDescent="0.15">
      <c r="A30" s="56">
        <v>30034</v>
      </c>
      <c r="B30" s="79">
        <v>3</v>
      </c>
      <c r="C30" s="68" t="str">
        <f t="shared" si="0"/>
        <v>30034_3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79">
        <v>29</v>
      </c>
      <c r="F30" s="79" t="s">
        <v>265</v>
      </c>
      <c r="G30" s="79">
        <v>123</v>
      </c>
      <c r="H30" s="79">
        <v>1</v>
      </c>
      <c r="I30" s="79">
        <v>1</v>
      </c>
      <c r="J30" s="79">
        <v>1</v>
      </c>
      <c r="K30" s="79">
        <v>0</v>
      </c>
      <c r="L30" s="79">
        <v>0</v>
      </c>
      <c r="M30" s="79">
        <v>0</v>
      </c>
      <c r="N30" s="79">
        <v>0</v>
      </c>
      <c r="O30" s="79">
        <v>1</v>
      </c>
      <c r="P30" s="79">
        <v>50</v>
      </c>
      <c r="Q30" s="79" t="s">
        <v>170</v>
      </c>
      <c r="R30" s="79" t="s">
        <v>171</v>
      </c>
    </row>
    <row r="31" spans="1:18" x14ac:dyDescent="0.15">
      <c r="A31" s="56">
        <v>30034</v>
      </c>
      <c r="B31" s="79">
        <v>3</v>
      </c>
      <c r="C31" s="68" t="str">
        <f t="shared" si="0"/>
        <v>30034_3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79">
        <v>30</v>
      </c>
      <c r="F31" s="79" t="s">
        <v>265</v>
      </c>
      <c r="G31" s="79">
        <v>125</v>
      </c>
      <c r="H31" s="79">
        <v>1</v>
      </c>
      <c r="I31" s="79">
        <v>1</v>
      </c>
      <c r="J31" s="79">
        <v>1</v>
      </c>
      <c r="K31" s="79">
        <v>0</v>
      </c>
      <c r="L31" s="79">
        <v>0</v>
      </c>
      <c r="M31" s="79">
        <v>0</v>
      </c>
      <c r="N31" s="79">
        <v>0</v>
      </c>
      <c r="O31" s="79">
        <v>1</v>
      </c>
      <c r="P31" s="79">
        <v>10</v>
      </c>
      <c r="Q31" s="79" t="s">
        <v>170</v>
      </c>
      <c r="R31" s="79" t="s">
        <v>171</v>
      </c>
    </row>
    <row r="32" spans="1:18" x14ac:dyDescent="0.15">
      <c r="A32" s="56">
        <v>30034</v>
      </c>
      <c r="B32" s="79">
        <v>3</v>
      </c>
      <c r="C32" s="68" t="str">
        <f t="shared" si="0"/>
        <v>30034_3</v>
      </c>
      <c r="D32" s="18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79">
        <v>31</v>
      </c>
      <c r="F32" s="79" t="s">
        <v>265</v>
      </c>
      <c r="G32" s="102">
        <v>840</v>
      </c>
      <c r="H32" s="79">
        <v>1</v>
      </c>
      <c r="I32" s="79">
        <v>1</v>
      </c>
      <c r="J32" s="79">
        <v>1</v>
      </c>
      <c r="K32" s="79">
        <v>0</v>
      </c>
      <c r="L32" s="79">
        <v>0</v>
      </c>
      <c r="M32" s="79">
        <v>0</v>
      </c>
      <c r="N32" s="79">
        <v>0</v>
      </c>
      <c r="O32" s="79">
        <v>1</v>
      </c>
      <c r="P32" s="79">
        <v>400</v>
      </c>
      <c r="Q32" s="79" t="s">
        <v>170</v>
      </c>
      <c r="R32" s="79" t="s">
        <v>171</v>
      </c>
    </row>
    <row r="33" spans="1:18" x14ac:dyDescent="0.15">
      <c r="A33" s="56">
        <v>30034</v>
      </c>
      <c r="B33" s="79">
        <v>3</v>
      </c>
      <c r="C33" s="68" t="str">
        <f t="shared" si="0"/>
        <v>30034_3</v>
      </c>
      <c r="D33" s="18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79">
        <v>32</v>
      </c>
      <c r="F33" s="79" t="s">
        <v>265</v>
      </c>
      <c r="G33" s="103">
        <v>348</v>
      </c>
      <c r="H33" s="79">
        <v>1</v>
      </c>
      <c r="I33" s="79">
        <v>1</v>
      </c>
      <c r="J33" s="79">
        <v>1</v>
      </c>
      <c r="K33" s="79">
        <v>0</v>
      </c>
      <c r="L33" s="79">
        <v>0</v>
      </c>
      <c r="M33" s="79">
        <v>0</v>
      </c>
      <c r="N33" s="79">
        <v>0</v>
      </c>
      <c r="O33" s="79">
        <v>1</v>
      </c>
      <c r="P33" s="79">
        <v>100</v>
      </c>
      <c r="Q33" s="79" t="s">
        <v>170</v>
      </c>
      <c r="R33" s="79" t="s">
        <v>171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" activePane="bottomLeft" state="frozen"/>
      <selection pane="bottomLeft" activeCell="J71" sqref="J71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188</v>
      </c>
      <c r="B1" s="70" t="s">
        <v>189</v>
      </c>
      <c r="C1" s="75" t="s">
        <v>190</v>
      </c>
      <c r="D1" s="75" t="s">
        <v>33</v>
      </c>
      <c r="E1" s="70" t="s">
        <v>191</v>
      </c>
      <c r="F1" s="75" t="s">
        <v>192</v>
      </c>
      <c r="G1" s="75" t="s">
        <v>33</v>
      </c>
      <c r="H1" s="70" t="s">
        <v>193</v>
      </c>
      <c r="I1" s="89" t="s">
        <v>195</v>
      </c>
      <c r="J1" s="77" t="s">
        <v>127</v>
      </c>
      <c r="K1" s="76" t="s">
        <v>187</v>
      </c>
      <c r="L1" s="90" t="s">
        <v>186</v>
      </c>
      <c r="M1" s="78" t="s">
        <v>196</v>
      </c>
    </row>
    <row r="2" spans="1:13" x14ac:dyDescent="0.15">
      <c r="A2" s="79" t="s">
        <v>201</v>
      </c>
      <c r="B2" s="80">
        <f>floors!$C$2</f>
        <v>30034</v>
      </c>
      <c r="C2" s="81" t="str">
        <f ca="1">VLOOKUP($B2,OFFSET([2]quests!$A$1,0,0,COUNTA([2]quests!$A:$A),MATCH(C$1,[2]quests!$1:$1,0)-MATCH($B$1,[2]quests!$1:$1,0)+1),MATCH(C$1,[2]quests!$1:$1,0)-MATCH($B$1,[2]quests!$1:$1,0)+1,FALSE)</f>
        <v>孤高の焔翼</v>
      </c>
      <c r="D2" s="81" t="str">
        <f ca="1">VLOOKUP($B2,OFFSET([2]quests!$A$1,0,0,COUNTA([2]quests!$A:$A),MATCH(D$1,[2]quests!$1:$1,0)-MATCH($B$1,[2]quests!$1:$1,0)+1),MATCH(D$1,[2]quests!$1:$1,0)-MATCH($B$1,[2]quests!$1:$1,0)+1,FALSE)</f>
        <v>天使と悪魔</v>
      </c>
      <c r="E2" s="85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【中級】孤高の焔翼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天使と悪魔</v>
      </c>
      <c r="H2" s="83">
        <v>0</v>
      </c>
      <c r="I2">
        <v>3</v>
      </c>
      <c r="J2" s="82" t="s">
        <v>198</v>
      </c>
      <c r="K2" s="91" t="str">
        <f>VLOOKUP(I2,[6]stage_hints!$A:$C,3,FALSE)</f>
        <v>ターゲット</v>
      </c>
      <c r="L2" s="92" t="str">
        <f>VLOOKUP(I2,[6]stage_hints!$A:$D,4,FALSE)</f>
        <v>敵ユニットをタップすると_x000D_その敵を狙い撃ちできます</v>
      </c>
      <c r="M2" s="56" t="s">
        <v>211</v>
      </c>
    </row>
    <row r="3" spans="1:13" x14ac:dyDescent="0.15">
      <c r="A3" s="79" t="s">
        <v>201</v>
      </c>
      <c r="B3" s="80">
        <f>floors!$C$2</f>
        <v>30034</v>
      </c>
      <c r="C3" s="81" t="str">
        <f ca="1">VLOOKUP($B3,OFFSET([2]quests!$A$1,0,0,COUNTA([2]quests!$A:$A),MATCH(C$1,[2]quests!$1:$1,0)-MATCH($B$1,[2]quests!$1:$1,0)+1),MATCH(C$1,[2]quests!$1:$1,0)-MATCH($B$1,[2]quests!$1:$1,0)+1,FALSE)</f>
        <v>孤高の焔翼</v>
      </c>
      <c r="D3" s="81" t="str">
        <f ca="1">VLOOKUP($B3,OFFSET([2]quests!$A$1,0,0,COUNTA([2]quests!$A:$A),MATCH(D$1,[2]quests!$1:$1,0)-MATCH($B$1,[2]quests!$1:$1,0)+1),MATCH(D$1,[2]quests!$1:$1,0)-MATCH($B$1,[2]quests!$1:$1,0)+1,FALSE)</f>
        <v>天使と悪魔</v>
      </c>
      <c r="E3" s="85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【中級】孤高の焔翼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天使と悪魔</v>
      </c>
      <c r="H3" s="83">
        <v>0</v>
      </c>
      <c r="I3">
        <v>6</v>
      </c>
      <c r="J3" s="82" t="s">
        <v>198</v>
      </c>
      <c r="K3" s="91" t="str">
        <f>VLOOKUP(I3,[6]stage_hints!$A:$C,3,FALSE)</f>
        <v>ユニット強化の属性ボーナス</v>
      </c>
      <c r="L3" s="92" t="str">
        <f>VLOOKUP(I3,[6]stage_hints!$A:$D,4,FALSE)</f>
        <v>同属性ユニットを強化素材にすると_x000D_経験値が多くもらえます</v>
      </c>
      <c r="M3" s="56" t="s">
        <v>211</v>
      </c>
    </row>
    <row r="4" spans="1:13" x14ac:dyDescent="0.15">
      <c r="A4" s="79" t="s">
        <v>201</v>
      </c>
      <c r="B4" s="80">
        <f>floors!$C$2</f>
        <v>30034</v>
      </c>
      <c r="C4" s="81" t="str">
        <f ca="1">VLOOKUP($B4,OFFSET([2]quests!$A$1,0,0,COUNTA([2]quests!$A:$A),MATCH(C$1,[2]quests!$1:$1,0)-MATCH($B$1,[2]quests!$1:$1,0)+1),MATCH(C$1,[2]quests!$1:$1,0)-MATCH($B$1,[2]quests!$1:$1,0)+1,FALSE)</f>
        <v>孤高の焔翼</v>
      </c>
      <c r="D4" s="81" t="str">
        <f ca="1">VLOOKUP($B4,OFFSET([2]quests!$A$1,0,0,COUNTA([2]quests!$A:$A),MATCH(D$1,[2]quests!$1:$1,0)-MATCH($B$1,[2]quests!$1:$1,0)+1),MATCH(D$1,[2]quests!$1:$1,0)-MATCH($B$1,[2]quests!$1:$1,0)+1,FALSE)</f>
        <v>天使と悪魔</v>
      </c>
      <c r="E4" s="85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【中級】孤高の焔翼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天使と悪魔</v>
      </c>
      <c r="H4" s="83">
        <v>0</v>
      </c>
      <c r="I4">
        <v>7</v>
      </c>
      <c r="J4" s="82" t="s">
        <v>198</v>
      </c>
      <c r="K4" s="91" t="str">
        <f>VLOOKUP(I4,[6]stage_hints!$A:$C,3,FALSE)</f>
        <v>メタルダックで経験値を獲得</v>
      </c>
      <c r="L4" s="92" t="str">
        <f>VLOOKUP(I4,[6]stage_hints!$A:$D,4,FALSE)</f>
        <v>「メタルなアヒル」を強化素材にすると_x000D_大量の経験値がもらえます</v>
      </c>
      <c r="M4" s="56" t="s">
        <v>211</v>
      </c>
    </row>
    <row r="5" spans="1:13" x14ac:dyDescent="0.15">
      <c r="A5" s="79" t="s">
        <v>201</v>
      </c>
      <c r="B5" s="80">
        <f>floors!$C$2</f>
        <v>30034</v>
      </c>
      <c r="C5" s="81" t="str">
        <f ca="1">VLOOKUP($B5,OFFSET([2]quests!$A$1,0,0,COUNTA([2]quests!$A:$A),MATCH(C$1,[2]quests!$1:$1,0)-MATCH($B$1,[2]quests!$1:$1,0)+1),MATCH(C$1,[2]quests!$1:$1,0)-MATCH($B$1,[2]quests!$1:$1,0)+1,FALSE)</f>
        <v>孤高の焔翼</v>
      </c>
      <c r="D5" s="81" t="str">
        <f ca="1">VLOOKUP($B5,OFFSET([2]quests!$A$1,0,0,COUNTA([2]quests!$A:$A),MATCH(D$1,[2]quests!$1:$1,0)-MATCH($B$1,[2]quests!$1:$1,0)+1),MATCH(D$1,[2]quests!$1:$1,0)-MATCH($B$1,[2]quests!$1:$1,0)+1,FALSE)</f>
        <v>天使と悪魔</v>
      </c>
      <c r="E5" s="85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【中級】孤高の焔翼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天使と悪魔</v>
      </c>
      <c r="H5" s="83">
        <v>0</v>
      </c>
      <c r="I5">
        <v>8</v>
      </c>
      <c r="J5" s="82" t="s">
        <v>198</v>
      </c>
      <c r="K5" s="91" t="str">
        <f>VLOOKUP(I5,[6]stage_hints!$A:$C,3,FALSE)</f>
        <v>ゲリラクエストは要チェック</v>
      </c>
      <c r="L5" s="92" t="str">
        <f>VLOOKUP(I5,[6]stage_hints!$A:$D,4,FALSE)</f>
        <v>時間限定の「アヒル捕獲作戦」では_x000D_経験値素材ユニットが多く手に入ります</v>
      </c>
      <c r="M5" s="56" t="s">
        <v>211</v>
      </c>
    </row>
    <row r="6" spans="1:13" x14ac:dyDescent="0.15">
      <c r="A6" s="79" t="s">
        <v>201</v>
      </c>
      <c r="B6" s="80">
        <f>floors!$C$2</f>
        <v>30034</v>
      </c>
      <c r="C6" s="81" t="str">
        <f ca="1">VLOOKUP($B6,OFFSET([2]quests!$A$1,0,0,COUNTA([2]quests!$A:$A),MATCH(C$1,[2]quests!$1:$1,0)-MATCH($B$1,[2]quests!$1:$1,0)+1),MATCH(C$1,[2]quests!$1:$1,0)-MATCH($B$1,[2]quests!$1:$1,0)+1,FALSE)</f>
        <v>孤高の焔翼</v>
      </c>
      <c r="D6" s="81" t="str">
        <f ca="1">VLOOKUP($B6,OFFSET([2]quests!$A$1,0,0,COUNTA([2]quests!$A:$A),MATCH(D$1,[2]quests!$1:$1,0)-MATCH($B$1,[2]quests!$1:$1,0)+1),MATCH(D$1,[2]quests!$1:$1,0)-MATCH($B$1,[2]quests!$1:$1,0)+1,FALSE)</f>
        <v>天使と悪魔</v>
      </c>
      <c r="E6" s="85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【中級】孤高の焔翼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天使と悪魔</v>
      </c>
      <c r="H6" s="83">
        <v>0</v>
      </c>
      <c r="I6">
        <v>9</v>
      </c>
      <c r="J6" s="82" t="s">
        <v>198</v>
      </c>
      <c r="K6" s="91" t="str">
        <f>VLOOKUP(I6,[6]stage_hints!$A:$C,3,FALSE)</f>
        <v>ゴールドダックでビットを獲得</v>
      </c>
      <c r="L6" s="92" t="str">
        <f>VLOOKUP(I6,[6]stage_hints!$A:$D,4,FALSE)</f>
        <v>「ゴールドなアヒル」を売却すると_x000D_大量のビットがもらえます</v>
      </c>
      <c r="M6" s="56" t="s">
        <v>211</v>
      </c>
    </row>
    <row r="7" spans="1:13" x14ac:dyDescent="0.15">
      <c r="A7" s="79" t="s">
        <v>201</v>
      </c>
      <c r="B7" s="80">
        <f>floors!$C$2</f>
        <v>30034</v>
      </c>
      <c r="C7" s="81" t="str">
        <f ca="1">VLOOKUP($B7,OFFSET([2]quests!$A$1,0,0,COUNTA([2]quests!$A:$A),MATCH(C$1,[2]quests!$1:$1,0)-MATCH($B$1,[2]quests!$1:$1,0)+1),MATCH(C$1,[2]quests!$1:$1,0)-MATCH($B$1,[2]quests!$1:$1,0)+1,FALSE)</f>
        <v>孤高の焔翼</v>
      </c>
      <c r="D7" s="81" t="str">
        <f ca="1">VLOOKUP($B7,OFFSET([2]quests!$A$1,0,0,COUNTA([2]quests!$A:$A),MATCH(D$1,[2]quests!$1:$1,0)-MATCH($B$1,[2]quests!$1:$1,0)+1),MATCH(D$1,[2]quests!$1:$1,0)-MATCH($B$1,[2]quests!$1:$1,0)+1,FALSE)</f>
        <v>天使と悪魔</v>
      </c>
      <c r="E7" s="85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【中級】孤高の焔翼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天使と悪魔</v>
      </c>
      <c r="H7" s="83">
        <v>0</v>
      </c>
      <c r="I7">
        <v>10</v>
      </c>
      <c r="J7" s="82" t="s">
        <v>198</v>
      </c>
      <c r="K7" s="91" t="str">
        <f>VLOOKUP(I7,[6]stage_hints!$A:$C,3,FALSE)</f>
        <v>土日に大量のビットを獲得</v>
      </c>
      <c r="L7" s="92" t="str">
        <f>VLOOKUP(I7,[6]stage_hints!$A:$D,4,FALSE)</f>
        <v>土日限定の「ゴールドカジノ」では_x000D_売却素材ユニットが多く手に入ります</v>
      </c>
      <c r="M7" s="56" t="s">
        <v>211</v>
      </c>
    </row>
    <row r="8" spans="1:13" x14ac:dyDescent="0.15">
      <c r="A8" s="79" t="s">
        <v>201</v>
      </c>
      <c r="B8" s="80">
        <f>floors!$C$2</f>
        <v>30034</v>
      </c>
      <c r="C8" s="81" t="str">
        <f ca="1">VLOOKUP($B8,OFFSET([2]quests!$A$1,0,0,COUNTA([2]quests!$A:$A),MATCH(C$1,[2]quests!$1:$1,0)-MATCH($B$1,[2]quests!$1:$1,0)+1),MATCH(C$1,[2]quests!$1:$1,0)-MATCH($B$1,[2]quests!$1:$1,0)+1,FALSE)</f>
        <v>孤高の焔翼</v>
      </c>
      <c r="D8" s="81" t="str">
        <f ca="1">VLOOKUP($B8,OFFSET([2]quests!$A$1,0,0,COUNTA([2]quests!$A:$A),MATCH(D$1,[2]quests!$1:$1,0)-MATCH($B$1,[2]quests!$1:$1,0)+1),MATCH(D$1,[2]quests!$1:$1,0)-MATCH($B$1,[2]quests!$1:$1,0)+1,FALSE)</f>
        <v>天使と悪魔</v>
      </c>
      <c r="E8" s="85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【中級】孤高の焔翼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天使と悪魔</v>
      </c>
      <c r="H8" s="83">
        <v>0</v>
      </c>
      <c r="I8">
        <v>11</v>
      </c>
      <c r="J8" s="82" t="s">
        <v>198</v>
      </c>
      <c r="K8" s="91" t="str">
        <f>VLOOKUP(I8,[6]stage_hints!$A:$C,3,FALSE)</f>
        <v>ランク解放クエスト</v>
      </c>
      <c r="L8" s="92" t="str">
        <f>VLOOKUP(I8,[6]stage_hints!$A:$D,4,FALSE)</f>
        <v>一定ランクに到達すると_x000D_報酬付きのランク開放クエストが現れます</v>
      </c>
      <c r="M8" s="56" t="s">
        <v>211</v>
      </c>
    </row>
    <row r="9" spans="1:13" x14ac:dyDescent="0.15">
      <c r="A9" s="79" t="s">
        <v>201</v>
      </c>
      <c r="B9" s="80">
        <f>floors!$C$2</f>
        <v>30034</v>
      </c>
      <c r="C9" s="81" t="str">
        <f ca="1">VLOOKUP($B9,OFFSET([2]quests!$A$1,0,0,COUNTA([2]quests!$A:$A),MATCH(C$1,[2]quests!$1:$1,0)-MATCH($B$1,[2]quests!$1:$1,0)+1),MATCH(C$1,[2]quests!$1:$1,0)-MATCH($B$1,[2]quests!$1:$1,0)+1,FALSE)</f>
        <v>孤高の焔翼</v>
      </c>
      <c r="D9" s="81" t="str">
        <f ca="1">VLOOKUP($B9,OFFSET([2]quests!$A$1,0,0,COUNTA([2]quests!$A:$A),MATCH(D$1,[2]quests!$1:$1,0)-MATCH($B$1,[2]quests!$1:$1,0)+1),MATCH(D$1,[2]quests!$1:$1,0)-MATCH($B$1,[2]quests!$1:$1,0)+1,FALSE)</f>
        <v>天使と悪魔</v>
      </c>
      <c r="E9" s="85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【中級】孤高の焔翼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天使と悪魔</v>
      </c>
      <c r="H9" s="83">
        <v>0</v>
      </c>
      <c r="I9">
        <v>12</v>
      </c>
      <c r="J9" s="82" t="s">
        <v>198</v>
      </c>
      <c r="K9" s="91" t="str">
        <f>VLOOKUP(I9,[6]stage_hints!$A:$C,3,FALSE)</f>
        <v>ユニットのお気に入り登録</v>
      </c>
      <c r="L9" s="92" t="str">
        <f>VLOOKUP(I9,[6]stage_hints!$A:$D,4,FALSE)</f>
        <v>大事なユニットを誤って消さないように_x000D_フォルダから「お気に入り登録」しましょう</v>
      </c>
      <c r="M9" s="56" t="s">
        <v>211</v>
      </c>
    </row>
    <row r="10" spans="1:13" x14ac:dyDescent="0.15">
      <c r="A10" s="79" t="s">
        <v>201</v>
      </c>
      <c r="B10" s="80">
        <f>floors!$C$2</f>
        <v>30034</v>
      </c>
      <c r="C10" s="81" t="str">
        <f ca="1">VLOOKUP($B10,OFFSET([2]quests!$A$1,0,0,COUNTA([2]quests!$A:$A),MATCH(C$1,[2]quests!$1:$1,0)-MATCH($B$1,[2]quests!$1:$1,0)+1),MATCH(C$1,[2]quests!$1:$1,0)-MATCH($B$1,[2]quests!$1:$1,0)+1,FALSE)</f>
        <v>孤高の焔翼</v>
      </c>
      <c r="D10" s="81" t="str">
        <f ca="1">VLOOKUP($B10,OFFSET([2]quests!$A$1,0,0,COUNTA([2]quests!$A:$A),MATCH(D$1,[2]quests!$1:$1,0)-MATCH($B$1,[2]quests!$1:$1,0)+1),MATCH(D$1,[2]quests!$1:$1,0)-MATCH($B$1,[2]quests!$1:$1,0)+1,FALSE)</f>
        <v>天使と悪魔</v>
      </c>
      <c r="E10" s="85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【中級】孤高の焔翼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天使と悪魔</v>
      </c>
      <c r="H10" s="83">
        <v>0</v>
      </c>
      <c r="I10">
        <v>13</v>
      </c>
      <c r="J10" s="82" t="s">
        <v>198</v>
      </c>
      <c r="K10" s="91" t="str">
        <f>VLOOKUP(I10,[6]stage_hints!$A:$C,3,FALSE)</f>
        <v>ユニットの覚醒</v>
      </c>
      <c r="L10" s="92" t="str">
        <f>VLOOKUP(I10,[6]stage_hints!$A:$D,4,FALSE)</f>
        <v>ユニットを覚醒させると_x000D_比べものにならない強さが手に入ります</v>
      </c>
      <c r="M10" s="56" t="s">
        <v>211</v>
      </c>
    </row>
    <row r="11" spans="1:13" x14ac:dyDescent="0.15">
      <c r="A11" s="79" t="s">
        <v>201</v>
      </c>
      <c r="B11" s="80">
        <f>floors!$C$2</f>
        <v>30034</v>
      </c>
      <c r="C11" s="81" t="str">
        <f ca="1">VLOOKUP($B11,OFFSET([2]quests!$A$1,0,0,COUNTA([2]quests!$A:$A),MATCH(C$1,[2]quests!$1:$1,0)-MATCH($B$1,[2]quests!$1:$1,0)+1),MATCH(C$1,[2]quests!$1:$1,0)-MATCH($B$1,[2]quests!$1:$1,0)+1,FALSE)</f>
        <v>孤高の焔翼</v>
      </c>
      <c r="D11" s="81" t="str">
        <f ca="1">VLOOKUP($B11,OFFSET([2]quests!$A$1,0,0,COUNTA([2]quests!$A:$A),MATCH(D$1,[2]quests!$1:$1,0)-MATCH($B$1,[2]quests!$1:$1,0)+1),MATCH(D$1,[2]quests!$1:$1,0)-MATCH($B$1,[2]quests!$1:$1,0)+1,FALSE)</f>
        <v>天使と悪魔</v>
      </c>
      <c r="E11" s="85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【中級】孤高の焔翼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天使と悪魔</v>
      </c>
      <c r="H11" s="83">
        <v>0</v>
      </c>
      <c r="I11">
        <v>14</v>
      </c>
      <c r="J11" s="82" t="s">
        <v>198</v>
      </c>
      <c r="K11" s="91" t="str">
        <f>VLOOKUP(I11,[6]stage_hints!$A:$C,3,FALSE)</f>
        <v>覚醒するにはレベルを最大に</v>
      </c>
      <c r="L11" s="92" t="str">
        <f>VLOOKUP(I11,[6]stage_hints!$A:$D,4,FALSE)</f>
        <v>覚醒するにはユニットのレベルを_x000D_最大まで上げる必要があります</v>
      </c>
      <c r="M11" s="56" t="s">
        <v>211</v>
      </c>
    </row>
    <row r="12" spans="1:13" x14ac:dyDescent="0.15">
      <c r="A12" s="79" t="s">
        <v>201</v>
      </c>
      <c r="B12" s="80">
        <f>floors!$C$2</f>
        <v>30034</v>
      </c>
      <c r="C12" s="81" t="str">
        <f ca="1">VLOOKUP($B12,OFFSET([2]quests!$A$1,0,0,COUNTA([2]quests!$A:$A),MATCH(C$1,[2]quests!$1:$1,0)-MATCH($B$1,[2]quests!$1:$1,0)+1),MATCH(C$1,[2]quests!$1:$1,0)-MATCH($B$1,[2]quests!$1:$1,0)+1,FALSE)</f>
        <v>孤高の焔翼</v>
      </c>
      <c r="D12" s="81" t="str">
        <f ca="1">VLOOKUP($B12,OFFSET([2]quests!$A$1,0,0,COUNTA([2]quests!$A:$A),MATCH(D$1,[2]quests!$1:$1,0)-MATCH($B$1,[2]quests!$1:$1,0)+1),MATCH(D$1,[2]quests!$1:$1,0)-MATCH($B$1,[2]quests!$1:$1,0)+1,FALSE)</f>
        <v>天使と悪魔</v>
      </c>
      <c r="E12" s="85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【中級】孤高の焔翼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天使と悪魔</v>
      </c>
      <c r="H12" s="83">
        <v>0</v>
      </c>
      <c r="I12">
        <v>15</v>
      </c>
      <c r="J12" s="82" t="s">
        <v>198</v>
      </c>
      <c r="K12" s="91" t="str">
        <f>VLOOKUP(I12,[6]stage_hints!$A:$C,3,FALSE)</f>
        <v>覚醒素材を獲得</v>
      </c>
      <c r="L12" s="92" t="str">
        <f>VLOOKUP(I12,[6]stage_hints!$A:$D,4,FALSE)</f>
        <v>「曜日クエスト」では_x000D_ユニットの覚醒に必要な素材が手に入ります</v>
      </c>
      <c r="M12" s="56" t="s">
        <v>211</v>
      </c>
    </row>
    <row r="13" spans="1:13" x14ac:dyDescent="0.15">
      <c r="A13" s="79" t="s">
        <v>201</v>
      </c>
      <c r="B13" s="80">
        <f>floors!$C$2</f>
        <v>30034</v>
      </c>
      <c r="C13" s="81" t="str">
        <f ca="1">VLOOKUP($B13,OFFSET([2]quests!$A$1,0,0,COUNTA([2]quests!$A:$A),MATCH(C$1,[2]quests!$1:$1,0)-MATCH($B$1,[2]quests!$1:$1,0)+1),MATCH(C$1,[2]quests!$1:$1,0)-MATCH($B$1,[2]quests!$1:$1,0)+1,FALSE)</f>
        <v>孤高の焔翼</v>
      </c>
      <c r="D13" s="81" t="str">
        <f ca="1">VLOOKUP($B13,OFFSET([2]quests!$A$1,0,0,COUNTA([2]quests!$A:$A),MATCH(D$1,[2]quests!$1:$1,0)-MATCH($B$1,[2]quests!$1:$1,0)+1),MATCH(D$1,[2]quests!$1:$1,0)-MATCH($B$1,[2]quests!$1:$1,0)+1,FALSE)</f>
        <v>天使と悪魔</v>
      </c>
      <c r="E13" s="85">
        <v>1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【中級】孤高の焔翼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天使と悪魔</v>
      </c>
      <c r="H13" s="83">
        <v>0</v>
      </c>
      <c r="I13">
        <v>16</v>
      </c>
      <c r="J13" s="82" t="s">
        <v>198</v>
      </c>
      <c r="K13" s="91" t="str">
        <f>VLOOKUP(I13,[6]stage_hints!$A:$C,3,FALSE)</f>
        <v>マルチプレイのメリット（その1）</v>
      </c>
      <c r="L13" s="92" t="str">
        <f>VLOOKUP(I13,[6]stage_hints!$A:$D,4,FALSE)</f>
        <v>他のプレイヤーとマルチプレイで遊ぶと_x000D_ポリゴンがもらえます（100人まで）</v>
      </c>
      <c r="M13" s="56" t="s">
        <v>211</v>
      </c>
    </row>
    <row r="14" spans="1:13" x14ac:dyDescent="0.15">
      <c r="A14" s="79" t="s">
        <v>201</v>
      </c>
      <c r="B14" s="80">
        <f>floors!$C$2</f>
        <v>30034</v>
      </c>
      <c r="C14" s="81" t="str">
        <f ca="1">VLOOKUP($B14,OFFSET([2]quests!$A$1,0,0,COUNTA([2]quests!$A:$A),MATCH(C$1,[2]quests!$1:$1,0)-MATCH($B$1,[2]quests!$1:$1,0)+1),MATCH(C$1,[2]quests!$1:$1,0)-MATCH($B$1,[2]quests!$1:$1,0)+1,FALSE)</f>
        <v>孤高の焔翼</v>
      </c>
      <c r="D14" s="81" t="str">
        <f ca="1">VLOOKUP($B14,OFFSET([2]quests!$A$1,0,0,COUNTA([2]quests!$A:$A),MATCH(D$1,[2]quests!$1:$1,0)-MATCH($B$1,[2]quests!$1:$1,0)+1),MATCH(D$1,[2]quests!$1:$1,0)-MATCH($B$1,[2]quests!$1:$1,0)+1,FALSE)</f>
        <v>天使と悪魔</v>
      </c>
      <c r="E14" s="85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【中級】孤高の焔翼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天使と悪魔</v>
      </c>
      <c r="H14" s="83">
        <v>0</v>
      </c>
      <c r="I14">
        <v>17</v>
      </c>
      <c r="J14" s="82" t="s">
        <v>198</v>
      </c>
      <c r="K14" s="91" t="str">
        <f>VLOOKUP(I14,[6]stage_hints!$A:$C,3,FALSE)</f>
        <v>リンクガチャ</v>
      </c>
      <c r="L14" s="92" t="str">
        <f>VLOOKUP(I14,[6]stage_hints!$A:$D,4,FALSE)</f>
        <v>無料のリンクガチャを回して_x000D_経験値素材や売却素材を獲得しましょう</v>
      </c>
      <c r="M14" s="56" t="s">
        <v>211</v>
      </c>
    </row>
    <row r="15" spans="1:13" x14ac:dyDescent="0.15">
      <c r="A15" s="79" t="s">
        <v>201</v>
      </c>
      <c r="B15" s="80">
        <f>floors!$C$2</f>
        <v>30034</v>
      </c>
      <c r="C15" s="81" t="str">
        <f ca="1">VLOOKUP($B15,OFFSET([2]quests!$A$1,0,0,COUNTA([2]quests!$A:$A),MATCH(C$1,[2]quests!$1:$1,0)-MATCH($B$1,[2]quests!$1:$1,0)+1),MATCH(C$1,[2]quests!$1:$1,0)-MATCH($B$1,[2]quests!$1:$1,0)+1,FALSE)</f>
        <v>孤高の焔翼</v>
      </c>
      <c r="D15" s="81" t="str">
        <f ca="1">VLOOKUP($B15,OFFSET([2]quests!$A$1,0,0,COUNTA([2]quests!$A:$A),MATCH(D$1,[2]quests!$1:$1,0)-MATCH($B$1,[2]quests!$1:$1,0)+1),MATCH(D$1,[2]quests!$1:$1,0)-MATCH($B$1,[2]quests!$1:$1,0)+1,FALSE)</f>
        <v>天使と悪魔</v>
      </c>
      <c r="E15" s="85">
        <v>1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【中級】孤高の焔翼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天使と悪魔</v>
      </c>
      <c r="H15" s="83">
        <v>0</v>
      </c>
      <c r="I15">
        <v>18</v>
      </c>
      <c r="J15" s="82" t="s">
        <v>198</v>
      </c>
      <c r="K15" s="91" t="str">
        <f>VLOOKUP(I15,[6]stage_hints!$A:$C,3,FALSE)</f>
        <v>マルチプレイのメリット（その2）</v>
      </c>
      <c r="L15" s="92" t="str">
        <f>VLOOKUP(I15,[6]stage_hints!$A:$D,4,FALSE)</f>
        <v>マルチプレイならリンクが2倍もらえます_x000D_リンクガチャをたくさん回しましょう</v>
      </c>
      <c r="M15" s="56" t="s">
        <v>211</v>
      </c>
    </row>
    <row r="16" spans="1:13" x14ac:dyDescent="0.15">
      <c r="A16" s="79" t="s">
        <v>201</v>
      </c>
      <c r="B16" s="80">
        <f>floors!$C$2</f>
        <v>30034</v>
      </c>
      <c r="C16" s="81" t="str">
        <f ca="1">VLOOKUP($B16,OFFSET([2]quests!$A$1,0,0,COUNTA([2]quests!$A:$A),MATCH(C$1,[2]quests!$1:$1,0)-MATCH($B$1,[2]quests!$1:$1,0)+1),MATCH(C$1,[2]quests!$1:$1,0)-MATCH($B$1,[2]quests!$1:$1,0)+1,FALSE)</f>
        <v>孤高の焔翼</v>
      </c>
      <c r="D16" s="81" t="str">
        <f ca="1">VLOOKUP($B16,OFFSET([2]quests!$A$1,0,0,COUNTA([2]quests!$A:$A),MATCH(D$1,[2]quests!$1:$1,0)-MATCH($B$1,[2]quests!$1:$1,0)+1),MATCH(D$1,[2]quests!$1:$1,0)-MATCH($B$1,[2]quests!$1:$1,0)+1,FALSE)</f>
        <v>天使と悪魔</v>
      </c>
      <c r="E16" s="85">
        <v>1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【中級】孤高の焔翼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天使と悪魔</v>
      </c>
      <c r="H16" s="83">
        <v>0</v>
      </c>
      <c r="I16">
        <v>19</v>
      </c>
      <c r="J16" s="82" t="s">
        <v>198</v>
      </c>
      <c r="K16" s="91" t="str">
        <f>VLOOKUP(I16,[6]stage_hints!$A:$C,3,FALSE)</f>
        <v>ソロ専用タワーオブザクイーン</v>
      </c>
      <c r="L16" s="92" t="str">
        <f>VLOOKUP(I16,[6]stage_hints!$A:$D,4,FALSE)</f>
        <v>ソロ専用の「タワーオブザクイーン」は_x000D_期間限定で定期的に開催されます_x000D_ここでしか獲得できない報酬もあるようです</v>
      </c>
      <c r="M16" s="56" t="s">
        <v>211</v>
      </c>
    </row>
    <row r="17" spans="1:13" x14ac:dyDescent="0.15">
      <c r="A17" s="79" t="s">
        <v>201</v>
      </c>
      <c r="B17" s="80">
        <f>floors!$C$2</f>
        <v>30034</v>
      </c>
      <c r="C17" s="81" t="str">
        <f ca="1">VLOOKUP($B17,OFFSET([2]quests!$A$1,0,0,COUNTA([2]quests!$A:$A),MATCH(C$1,[2]quests!$1:$1,0)-MATCH($B$1,[2]quests!$1:$1,0)+1),MATCH(C$1,[2]quests!$1:$1,0)-MATCH($B$1,[2]quests!$1:$1,0)+1,FALSE)</f>
        <v>孤高の焔翼</v>
      </c>
      <c r="D17" s="81" t="str">
        <f ca="1">VLOOKUP($B17,OFFSET([2]quests!$A$1,0,0,COUNTA([2]quests!$A:$A),MATCH(D$1,[2]quests!$1:$1,0)-MATCH($B$1,[2]quests!$1:$1,0)+1),MATCH(D$1,[2]quests!$1:$1,0)-MATCH($B$1,[2]quests!$1:$1,0)+1,FALSE)</f>
        <v>天使と悪魔</v>
      </c>
      <c r="E17" s="85">
        <v>1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【中級】孤高の焔翼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天使と悪魔</v>
      </c>
      <c r="H17" s="83">
        <v>0</v>
      </c>
      <c r="I17">
        <v>20</v>
      </c>
      <c r="J17" s="82" t="s">
        <v>198</v>
      </c>
      <c r="K17" s="91" t="str">
        <f>VLOOKUP(I17,[6]stage_hints!$A:$C,3,FALSE)</f>
        <v>マルチプレイのメリット（その3）</v>
      </c>
      <c r="L17" s="92" t="str">
        <f>VLOOKUP(I17,[6]stage_hints!$A:$D,4,FALSE)</f>
        <v>マルチプレイへの参加はエナジー消費ゼロ_x000D_いつでも好きなだけ遊ぶことができます</v>
      </c>
      <c r="M17" s="56" t="s">
        <v>211</v>
      </c>
    </row>
    <row r="18" spans="1:13" x14ac:dyDescent="0.15">
      <c r="A18" s="79" t="s">
        <v>201</v>
      </c>
      <c r="B18" s="80">
        <f>floors!$C$2</f>
        <v>30034</v>
      </c>
      <c r="C18" s="81" t="str">
        <f ca="1">VLOOKUP($B18,OFFSET([2]quests!$A$1,0,0,COUNTA([2]quests!$A:$A),MATCH(C$1,[2]quests!$1:$1,0)-MATCH($B$1,[2]quests!$1:$1,0)+1),MATCH(C$1,[2]quests!$1:$1,0)-MATCH($B$1,[2]quests!$1:$1,0)+1,FALSE)</f>
        <v>孤高の焔翼</v>
      </c>
      <c r="D18" s="81" t="str">
        <f ca="1">VLOOKUP($B18,OFFSET([2]quests!$A$1,0,0,COUNTA([2]quests!$A:$A),MATCH(D$1,[2]quests!$1:$1,0)-MATCH($B$1,[2]quests!$1:$1,0)+1),MATCH(D$1,[2]quests!$1:$1,0)-MATCH($B$1,[2]quests!$1:$1,0)+1,FALSE)</f>
        <v>天使と悪魔</v>
      </c>
      <c r="E18" s="85">
        <v>1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【中級】孤高の焔翼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天使と悪魔</v>
      </c>
      <c r="H18" s="83">
        <v>0</v>
      </c>
      <c r="I18">
        <v>21</v>
      </c>
      <c r="J18" s="82" t="s">
        <v>198</v>
      </c>
      <c r="K18" s="91" t="str">
        <f>VLOOKUP(I18,[6]stage_hints!$A:$C,3,FALSE)</f>
        <v>スキルを有効に</v>
      </c>
      <c r="L18" s="92" t="str">
        <f>VLOOKUP(I18,[6]stage_hints!$A:$D,4,FALSE)</f>
        <v>ターン経過でユニットのスキルが使えます_x000D_強力スキルでバトルを有利に進めましょう</v>
      </c>
      <c r="M18" s="56" t="s">
        <v>211</v>
      </c>
    </row>
    <row r="19" spans="1:13" x14ac:dyDescent="0.15">
      <c r="A19" s="79" t="s">
        <v>201</v>
      </c>
      <c r="B19" s="80">
        <f>floors!$C$2</f>
        <v>30034</v>
      </c>
      <c r="C19" s="81" t="str">
        <f ca="1">VLOOKUP($B19,OFFSET([2]quests!$A$1,0,0,COUNTA([2]quests!$A:$A),MATCH(C$1,[2]quests!$1:$1,0)-MATCH($B$1,[2]quests!$1:$1,0)+1),MATCH(C$1,[2]quests!$1:$1,0)-MATCH($B$1,[2]quests!$1:$1,0)+1,FALSE)</f>
        <v>孤高の焔翼</v>
      </c>
      <c r="D19" s="81" t="str">
        <f ca="1">VLOOKUP($B19,OFFSET([2]quests!$A$1,0,0,COUNTA([2]quests!$A:$A),MATCH(D$1,[2]quests!$1:$1,0)-MATCH($B$1,[2]quests!$1:$1,0)+1),MATCH(D$1,[2]quests!$1:$1,0)-MATCH($B$1,[2]quests!$1:$1,0)+1,FALSE)</f>
        <v>天使と悪魔</v>
      </c>
      <c r="E19" s="85">
        <v>1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【中級】孤高の焔翼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天使と悪魔</v>
      </c>
      <c r="H19" s="83">
        <v>0</v>
      </c>
      <c r="I19">
        <v>22</v>
      </c>
      <c r="J19" s="82" t="s">
        <v>198</v>
      </c>
      <c r="K19" s="91" t="str">
        <f>VLOOKUP(I19,[6]stage_hints!$A:$C,3,FALSE)</f>
        <v>フィーバーで一発逆転（その1）</v>
      </c>
      <c r="L19" s="92" t="str">
        <f>VLOOKUP(I19,[6]stage_hints!$A:$D,4,FALSE)</f>
        <v>フィーバーは攻撃と回復を兼ね備えます_x000D_ピンチからの一発逆転を狙いましょう</v>
      </c>
      <c r="M19" s="56" t="s">
        <v>211</v>
      </c>
    </row>
    <row r="20" spans="1:13" x14ac:dyDescent="0.15">
      <c r="A20" s="79" t="s">
        <v>201</v>
      </c>
      <c r="B20" s="80">
        <f>floors!$C$2</f>
        <v>30034</v>
      </c>
      <c r="C20" s="81" t="str">
        <f ca="1">VLOOKUP($B20,OFFSET([2]quests!$A$1,0,0,COUNTA([2]quests!$A:$A),MATCH(C$1,[2]quests!$1:$1,0)-MATCH($B$1,[2]quests!$1:$1,0)+1),MATCH(C$1,[2]quests!$1:$1,0)-MATCH($B$1,[2]quests!$1:$1,0)+1,FALSE)</f>
        <v>孤高の焔翼</v>
      </c>
      <c r="D20" s="81" t="str">
        <f ca="1">VLOOKUP($B20,OFFSET([2]quests!$A$1,0,0,COUNTA([2]quests!$A:$A),MATCH(D$1,[2]quests!$1:$1,0)-MATCH($B$1,[2]quests!$1:$1,0)+1),MATCH(D$1,[2]quests!$1:$1,0)-MATCH($B$1,[2]quests!$1:$1,0)+1,FALSE)</f>
        <v>天使と悪魔</v>
      </c>
      <c r="E20" s="85">
        <v>1</v>
      </c>
      <c r="F20" s="81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【中級】孤高の焔翼</v>
      </c>
      <c r="G20" s="81" t="str">
        <f ca="1">VLOOKUP($B20&amp;"_"&amp;$E20,OFFSET([2]stages!$A$1,0,0,COUNTA([2]stages!$A:$A),MATCH(G$1,[2]stages!$2:$2,0)-MATCH("temp_stage",[2]stages!$2:$2,0)+1),MATCH(G$1,[2]stages!$2:$2,0)-MATCH("temp_stage",[2]stages!$2:$2,0)+1,FALSE)</f>
        <v>天使と悪魔</v>
      </c>
      <c r="H20" s="83">
        <v>0</v>
      </c>
      <c r="I20">
        <v>23</v>
      </c>
      <c r="J20" s="82" t="s">
        <v>198</v>
      </c>
      <c r="K20" s="91" t="str">
        <f>VLOOKUP(I20,[6]stage_hints!$A:$C,3,FALSE)</f>
        <v>フィーバーで一発逆転（その2）</v>
      </c>
      <c r="L20" s="92" t="str">
        <f>VLOOKUP(I20,[6]stage_hints!$A:$D,4,FALSE)</f>
        <v>フィーバー中は虹色のボムパネルを狙って_x000D_画面上のパネルを一気に破壊しましょう</v>
      </c>
      <c r="M20" s="56" t="s">
        <v>211</v>
      </c>
    </row>
    <row r="21" spans="1:13" x14ac:dyDescent="0.15">
      <c r="A21" s="79" t="s">
        <v>201</v>
      </c>
      <c r="B21" s="80">
        <f>floors!$C$2</f>
        <v>30034</v>
      </c>
      <c r="C21" s="81" t="str">
        <f ca="1">VLOOKUP($B21,OFFSET([2]quests!$A$1,0,0,COUNTA([2]quests!$A:$A),MATCH(C$1,[2]quests!$1:$1,0)-MATCH($B$1,[2]quests!$1:$1,0)+1),MATCH(C$1,[2]quests!$1:$1,0)-MATCH($B$1,[2]quests!$1:$1,0)+1,FALSE)</f>
        <v>孤高の焔翼</v>
      </c>
      <c r="D21" s="81" t="str">
        <f ca="1">VLOOKUP($B21,OFFSET([2]quests!$A$1,0,0,COUNTA([2]quests!$A:$A),MATCH(D$1,[2]quests!$1:$1,0)-MATCH($B$1,[2]quests!$1:$1,0)+1),MATCH(D$1,[2]quests!$1:$1,0)-MATCH($B$1,[2]quests!$1:$1,0)+1,FALSE)</f>
        <v>天使と悪魔</v>
      </c>
      <c r="E21" s="85">
        <v>1</v>
      </c>
      <c r="F21" s="81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【中級】孤高の焔翼</v>
      </c>
      <c r="G21" s="81" t="str">
        <f ca="1">VLOOKUP($B21&amp;"_"&amp;$E21,OFFSET([2]stages!$A$1,0,0,COUNTA([2]stages!$A:$A),MATCH(G$1,[2]stages!$2:$2,0)-MATCH("temp_stage",[2]stages!$2:$2,0)+1),MATCH(G$1,[2]stages!$2:$2,0)-MATCH("temp_stage",[2]stages!$2:$2,0)+1,FALSE)</f>
        <v>天使と悪魔</v>
      </c>
      <c r="H21" s="83">
        <v>0</v>
      </c>
      <c r="I21">
        <v>24</v>
      </c>
      <c r="J21" s="82" t="s">
        <v>198</v>
      </c>
      <c r="K21" s="91" t="str">
        <f>VLOOKUP(I21,[6]stage_hints!$A:$C,3,FALSE)</f>
        <v>果実を使って限界突破</v>
      </c>
      <c r="L21" s="92" t="str">
        <f>VLOOKUP(I21,[6]stage_hints!$A:$D,4,FALSE)</f>
        <v>攻めの果実 癒しの果実_x000D_生命の果実をユニット強化に使うと_x000D_ステータスが限界突破します（計99個迄）</v>
      </c>
      <c r="M21" s="56" t="s">
        <v>211</v>
      </c>
    </row>
    <row r="22" spans="1:13" x14ac:dyDescent="0.15">
      <c r="A22" s="79" t="s">
        <v>201</v>
      </c>
      <c r="B22" s="80">
        <f>floors!$C$2</f>
        <v>30034</v>
      </c>
      <c r="C22" s="81" t="str">
        <f ca="1">VLOOKUP($B22,OFFSET([2]quests!$A$1,0,0,COUNTA([2]quests!$A:$A),MATCH(C$1,[2]quests!$1:$1,0)-MATCH($B$1,[2]quests!$1:$1,0)+1),MATCH(C$1,[2]quests!$1:$1,0)-MATCH($B$1,[2]quests!$1:$1,0)+1,FALSE)</f>
        <v>孤高の焔翼</v>
      </c>
      <c r="D22" s="81" t="str">
        <f ca="1">VLOOKUP($B22,OFFSET([2]quests!$A$1,0,0,COUNTA([2]quests!$A:$A),MATCH(D$1,[2]quests!$1:$1,0)-MATCH($B$1,[2]quests!$1:$1,0)+1),MATCH(D$1,[2]quests!$1:$1,0)-MATCH($B$1,[2]quests!$1:$1,0)+1,FALSE)</f>
        <v>天使と悪魔</v>
      </c>
      <c r="E22" s="85">
        <v>1</v>
      </c>
      <c r="F22" s="81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【中級】孤高の焔翼</v>
      </c>
      <c r="G22" s="81" t="str">
        <f ca="1">VLOOKUP($B22&amp;"_"&amp;$E22,OFFSET([2]stages!$A$1,0,0,COUNTA([2]stages!$A:$A),MATCH(G$1,[2]stages!$2:$2,0)-MATCH("temp_stage",[2]stages!$2:$2,0)+1),MATCH(G$1,[2]stages!$2:$2,0)-MATCH("temp_stage",[2]stages!$2:$2,0)+1,FALSE)</f>
        <v>天使と悪魔</v>
      </c>
      <c r="H22" s="83">
        <v>0</v>
      </c>
      <c r="I22">
        <v>25</v>
      </c>
      <c r="J22" s="82" t="s">
        <v>198</v>
      </c>
      <c r="K22" s="91" t="str">
        <f>VLOOKUP(I22,[6]stage_hints!$A:$C,3,FALSE)</f>
        <v>スキルレベルアップ</v>
      </c>
      <c r="L22" s="92" t="str">
        <f>VLOOKUP(I22,[6]stage_hints!$A:$D,4,FALSE)</f>
        <v>「秘術の果実」を強化に使うと_x000D_スキルレベルを上げることができます</v>
      </c>
      <c r="M22" s="56" t="s">
        <v>211</v>
      </c>
    </row>
    <row r="23" spans="1:13" x14ac:dyDescent="0.15">
      <c r="A23" s="79" t="s">
        <v>201</v>
      </c>
      <c r="B23" s="80">
        <f>floors!$C$2</f>
        <v>30034</v>
      </c>
      <c r="C23" s="81" t="str">
        <f ca="1">VLOOKUP($B23,OFFSET([2]quests!$A$1,0,0,COUNTA([2]quests!$A:$A),MATCH(C$1,[2]quests!$1:$1,0)-MATCH($B$1,[2]quests!$1:$1,0)+1),MATCH(C$1,[2]quests!$1:$1,0)-MATCH($B$1,[2]quests!$1:$1,0)+1,FALSE)</f>
        <v>孤高の焔翼</v>
      </c>
      <c r="D23" s="81" t="str">
        <f ca="1">VLOOKUP($B23,OFFSET([2]quests!$A$1,0,0,COUNTA([2]quests!$A:$A),MATCH(D$1,[2]quests!$1:$1,0)-MATCH($B$1,[2]quests!$1:$1,0)+1),MATCH(D$1,[2]quests!$1:$1,0)-MATCH($B$1,[2]quests!$1:$1,0)+1,FALSE)</f>
        <v>天使と悪魔</v>
      </c>
      <c r="E23" s="85">
        <v>1</v>
      </c>
      <c r="F23" s="81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【中級】孤高の焔翼</v>
      </c>
      <c r="G23" s="81" t="str">
        <f ca="1">VLOOKUP($B23&amp;"_"&amp;$E23,OFFSET([2]stages!$A$1,0,0,COUNTA([2]stages!$A:$A),MATCH(G$1,[2]stages!$2:$2,0)-MATCH("temp_stage",[2]stages!$2:$2,0)+1),MATCH(G$1,[2]stages!$2:$2,0)-MATCH("temp_stage",[2]stages!$2:$2,0)+1,FALSE)</f>
        <v>天使と悪魔</v>
      </c>
      <c r="H23" s="83">
        <v>0</v>
      </c>
      <c r="I23">
        <v>26</v>
      </c>
      <c r="J23" s="82" t="s">
        <v>198</v>
      </c>
      <c r="K23" s="91" t="str">
        <f>VLOOKUP(I23,[6]stage_hints!$A:$C,3,FALSE)</f>
        <v>スキルレベルの効果</v>
      </c>
      <c r="L23" s="92" t="str">
        <f>VLOOKUP(I23,[6]stage_hints!$A:$D,4,FALSE)</f>
        <v>スキルレベルが上がると_x000D_短いターンでスキルを使うことができます</v>
      </c>
      <c r="M23" s="56" t="s">
        <v>211</v>
      </c>
    </row>
    <row r="24" spans="1:13" x14ac:dyDescent="0.15">
      <c r="A24" s="79" t="s">
        <v>201</v>
      </c>
      <c r="B24" s="80">
        <f>floors!$C$2</f>
        <v>30034</v>
      </c>
      <c r="C24" s="81" t="str">
        <f ca="1">VLOOKUP($B24,OFFSET([2]quests!$A$1,0,0,COUNTA([2]quests!$A:$A),MATCH(C$1,[2]quests!$1:$1,0)-MATCH($B$1,[2]quests!$1:$1,0)+1),MATCH(C$1,[2]quests!$1:$1,0)-MATCH($B$1,[2]quests!$1:$1,0)+1,FALSE)</f>
        <v>孤高の焔翼</v>
      </c>
      <c r="D24" s="81" t="str">
        <f ca="1">VLOOKUP($B24,OFFSET([2]quests!$A$1,0,0,COUNTA([2]quests!$A:$A),MATCH(D$1,[2]quests!$1:$1,0)-MATCH($B$1,[2]quests!$1:$1,0)+1),MATCH(D$1,[2]quests!$1:$1,0)-MATCH($B$1,[2]quests!$1:$1,0)+1,FALSE)</f>
        <v>天使と悪魔</v>
      </c>
      <c r="E24" s="85">
        <v>1</v>
      </c>
      <c r="F24" s="81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【中級】孤高の焔翼</v>
      </c>
      <c r="G24" s="81" t="str">
        <f ca="1">VLOOKUP($B24&amp;"_"&amp;$E24,OFFSET([2]stages!$A$1,0,0,COUNTA([2]stages!$A:$A),MATCH(G$1,[2]stages!$2:$2,0)-MATCH("temp_stage",[2]stages!$2:$2,0)+1),MATCH(G$1,[2]stages!$2:$2,0)-MATCH("temp_stage",[2]stages!$2:$2,0)+1,FALSE)</f>
        <v>天使と悪魔</v>
      </c>
      <c r="H24" s="83">
        <v>0</v>
      </c>
      <c r="I24">
        <v>27</v>
      </c>
      <c r="J24" s="82" t="s">
        <v>198</v>
      </c>
      <c r="K24" s="91" t="str">
        <f>VLOOKUP(I24,[6]stage_hints!$A:$C,3,FALSE)</f>
        <v>ホーム画面からデッキを編成</v>
      </c>
      <c r="L24" s="92" t="str">
        <f>VLOOKUP(I24,[6]stage_hints!$A:$D,4,FALSE)</f>
        <v>ホーム画面でユニットを長押しすると_x000D_すぐにパーティ編成に移動できます</v>
      </c>
      <c r="M24" s="56" t="s">
        <v>211</v>
      </c>
    </row>
    <row r="25" spans="1:13" x14ac:dyDescent="0.15">
      <c r="A25" s="79" t="s">
        <v>201</v>
      </c>
      <c r="B25" s="80">
        <f>floors!$C$2</f>
        <v>30034</v>
      </c>
      <c r="C25" s="81" t="str">
        <f ca="1">VLOOKUP($B25,OFFSET([2]quests!$A$1,0,0,COUNTA([2]quests!$A:$A),MATCH(C$1,[2]quests!$1:$1,0)-MATCH($B$1,[2]quests!$1:$1,0)+1),MATCH(C$1,[2]quests!$1:$1,0)-MATCH($B$1,[2]quests!$1:$1,0)+1,FALSE)</f>
        <v>孤高の焔翼</v>
      </c>
      <c r="D25" s="81" t="str">
        <f ca="1">VLOOKUP($B25,OFFSET([2]quests!$A$1,0,0,COUNTA([2]quests!$A:$A),MATCH(D$1,[2]quests!$1:$1,0)-MATCH($B$1,[2]quests!$1:$1,0)+1),MATCH(D$1,[2]quests!$1:$1,0)-MATCH($B$1,[2]quests!$1:$1,0)+1,FALSE)</f>
        <v>天使と悪魔</v>
      </c>
      <c r="E25" s="85">
        <v>1</v>
      </c>
      <c r="F25" s="81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【中級】孤高の焔翼</v>
      </c>
      <c r="G25" s="81" t="str">
        <f ca="1">VLOOKUP($B25&amp;"_"&amp;$E25,OFFSET([2]stages!$A$1,0,0,COUNTA([2]stages!$A:$A),MATCH(G$1,[2]stages!$2:$2,0)-MATCH("temp_stage",[2]stages!$2:$2,0)+1),MATCH(G$1,[2]stages!$2:$2,0)-MATCH("temp_stage",[2]stages!$2:$2,0)+1,FALSE)</f>
        <v>天使と悪魔</v>
      </c>
      <c r="H25" s="83">
        <v>0</v>
      </c>
      <c r="I25">
        <v>28</v>
      </c>
      <c r="J25" s="82" t="s">
        <v>198</v>
      </c>
      <c r="K25" s="91" t="str">
        <f>VLOOKUP(I25,[6]stage_hints!$A:$C,3,FALSE)</f>
        <v>ステータス情報は長押しで</v>
      </c>
      <c r="L25" s="92" t="str">
        <f>VLOOKUP(I25,[6]stage_hints!$A:$D,4,FALSE)</f>
        <v>ユニットのアイコンを長押しすると_x000D_ステータス情報を確認することができます</v>
      </c>
      <c r="M25" s="56" t="s">
        <v>211</v>
      </c>
    </row>
    <row r="26" spans="1:13" x14ac:dyDescent="0.15">
      <c r="A26" s="79" t="s">
        <v>201</v>
      </c>
      <c r="B26" s="80">
        <f>floors!$C$2</f>
        <v>30034</v>
      </c>
      <c r="C26" s="81" t="str">
        <f ca="1">VLOOKUP($B26,OFFSET([2]quests!$A$1,0,0,COUNTA([2]quests!$A:$A),MATCH(C$1,[2]quests!$1:$1,0)-MATCH($B$1,[2]quests!$1:$1,0)+1),MATCH(C$1,[2]quests!$1:$1,0)-MATCH($B$1,[2]quests!$1:$1,0)+1,FALSE)</f>
        <v>孤高の焔翼</v>
      </c>
      <c r="D26" s="81" t="str">
        <f ca="1">VLOOKUP($B26,OFFSET([2]quests!$A$1,0,0,COUNTA([2]quests!$A:$A),MATCH(D$1,[2]quests!$1:$1,0)-MATCH($B$1,[2]quests!$1:$1,0)+1),MATCH(D$1,[2]quests!$1:$1,0)-MATCH($B$1,[2]quests!$1:$1,0)+1,FALSE)</f>
        <v>天使と悪魔</v>
      </c>
      <c r="E26" s="85">
        <v>1</v>
      </c>
      <c r="F26" s="81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【中級】孤高の焔翼</v>
      </c>
      <c r="G26" s="81" t="str">
        <f ca="1">VLOOKUP($B26&amp;"_"&amp;$E26,OFFSET([2]stages!$A$1,0,0,COUNTA([2]stages!$A:$A),MATCH(G$1,[2]stages!$2:$2,0)-MATCH("temp_stage",[2]stages!$2:$2,0)+1),MATCH(G$1,[2]stages!$2:$2,0)-MATCH("temp_stage",[2]stages!$2:$2,0)+1,FALSE)</f>
        <v>天使と悪魔</v>
      </c>
      <c r="H26" s="83">
        <v>0</v>
      </c>
      <c r="I26">
        <v>29</v>
      </c>
      <c r="J26" s="82" t="s">
        <v>198</v>
      </c>
      <c r="K26" s="91" t="str">
        <f>VLOOKUP(I26,[6]stage_hints!$A:$C,3,FALSE)</f>
        <v>「バグ」のメリット</v>
      </c>
      <c r="L26" s="92" t="str">
        <f>VLOOKUP(I26,[6]stage_hints!$A:$D,4,FALSE)</f>
        <v>ユニットの「バグ」を増やすと_x000D_報酬をもらえる確率がアップします</v>
      </c>
      <c r="M26" s="56" t="s">
        <v>211</v>
      </c>
    </row>
    <row r="27" spans="1:13" x14ac:dyDescent="0.15">
      <c r="A27" s="79" t="s">
        <v>201</v>
      </c>
      <c r="B27" s="80">
        <f>floors!$C$2</f>
        <v>30034</v>
      </c>
      <c r="C27" s="81" t="str">
        <f ca="1">VLOOKUP($B27,OFFSET([2]quests!$A$1,0,0,COUNTA([2]quests!$A:$A),MATCH(C$1,[2]quests!$1:$1,0)-MATCH($B$1,[2]quests!$1:$1,0)+1),MATCH(C$1,[2]quests!$1:$1,0)-MATCH($B$1,[2]quests!$1:$1,0)+1,FALSE)</f>
        <v>孤高の焔翼</v>
      </c>
      <c r="D27" s="81" t="str">
        <f ca="1">VLOOKUP($B27,OFFSET([2]quests!$A$1,0,0,COUNTA([2]quests!$A:$A),MATCH(D$1,[2]quests!$1:$1,0)-MATCH($B$1,[2]quests!$1:$1,0)+1),MATCH(D$1,[2]quests!$1:$1,0)-MATCH($B$1,[2]quests!$1:$1,0)+1,FALSE)</f>
        <v>天使と悪魔</v>
      </c>
      <c r="E27" s="85">
        <v>1</v>
      </c>
      <c r="F27" s="81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【中級】孤高の焔翼</v>
      </c>
      <c r="G27" s="81" t="str">
        <f ca="1">VLOOKUP($B27&amp;"_"&amp;$E27,OFFSET([2]stages!$A$1,0,0,COUNTA([2]stages!$A:$A),MATCH(G$1,[2]stages!$2:$2,0)-MATCH("temp_stage",[2]stages!$2:$2,0)+1),MATCH(G$1,[2]stages!$2:$2,0)-MATCH("temp_stage",[2]stages!$2:$2,0)+1,FALSE)</f>
        <v>天使と悪魔</v>
      </c>
      <c r="H27" s="83">
        <v>0</v>
      </c>
      <c r="I27">
        <v>30</v>
      </c>
      <c r="J27" s="82" t="s">
        <v>198</v>
      </c>
      <c r="K27" s="91" t="str">
        <f>VLOOKUP(I27,[6]stage_hints!$A:$C,3,FALSE)</f>
        <v>「バグ」の増やし方</v>
      </c>
      <c r="L27" s="92" t="str">
        <f>VLOOKUP(I27,[6]stage_hints!$A:$D,4,FALSE)</f>
        <v>同じユニット同士を強化で合成すると_x000D_「バグ」を増やすことができます</v>
      </c>
      <c r="M27" s="56" t="s">
        <v>211</v>
      </c>
    </row>
    <row r="28" spans="1:13" x14ac:dyDescent="0.15">
      <c r="A28" s="79" t="s">
        <v>201</v>
      </c>
      <c r="B28" s="80">
        <f>floors!$C$2</f>
        <v>30034</v>
      </c>
      <c r="C28" s="81" t="str">
        <f ca="1">VLOOKUP($B28,OFFSET([2]quests!$A$1,0,0,COUNTA([2]quests!$A:$A),MATCH(C$1,[2]quests!$1:$1,0)-MATCH($B$1,[2]quests!$1:$1,0)+1),MATCH(C$1,[2]quests!$1:$1,0)-MATCH($B$1,[2]quests!$1:$1,0)+1,FALSE)</f>
        <v>孤高の焔翼</v>
      </c>
      <c r="D28" s="81" t="str">
        <f ca="1">VLOOKUP($B28,OFFSET([2]quests!$A$1,0,0,COUNTA([2]quests!$A:$A),MATCH(D$1,[2]quests!$1:$1,0)-MATCH($B$1,[2]quests!$1:$1,0)+1),MATCH(D$1,[2]quests!$1:$1,0)-MATCH($B$1,[2]quests!$1:$1,0)+1,FALSE)</f>
        <v>天使と悪魔</v>
      </c>
      <c r="E28" s="85">
        <v>1</v>
      </c>
      <c r="F28" s="81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【中級】孤高の焔翼</v>
      </c>
      <c r="G28" s="81" t="str">
        <f ca="1">VLOOKUP($B28&amp;"_"&amp;$E28,OFFSET([2]stages!$A$1,0,0,COUNTA([2]stages!$A:$A),MATCH(G$1,[2]stages!$2:$2,0)-MATCH("temp_stage",[2]stages!$2:$2,0)+1),MATCH(G$1,[2]stages!$2:$2,0)-MATCH("temp_stage",[2]stages!$2:$2,0)+1,FALSE)</f>
        <v>天使と悪魔</v>
      </c>
      <c r="H28" s="83">
        <v>0</v>
      </c>
      <c r="I28">
        <v>31</v>
      </c>
      <c r="J28" s="82" t="s">
        <v>198</v>
      </c>
      <c r="K28" s="91" t="str">
        <f>VLOOKUP(I28,[6]stage_hints!$A:$C,3,FALSE)</f>
        <v>イベントはお知らせでチェック</v>
      </c>
      <c r="L28" s="92" t="str">
        <f>VLOOKUP(I28,[6]stage_hints!$A:$D,4,FALSE)</f>
        <v>イベント限定ユニットを取り忘れないように_x000D_お知らせをこまめにチェックしましょう</v>
      </c>
      <c r="M28" s="56" t="s">
        <v>211</v>
      </c>
    </row>
    <row r="29" spans="1:13" x14ac:dyDescent="0.15">
      <c r="A29" s="79" t="s">
        <v>201</v>
      </c>
      <c r="B29" s="80">
        <f>floors!$C$2</f>
        <v>30034</v>
      </c>
      <c r="C29" s="81" t="str">
        <f ca="1">VLOOKUP($B29,OFFSET([2]quests!$A$1,0,0,COUNTA([2]quests!$A:$A),MATCH(C$1,[2]quests!$1:$1,0)-MATCH($B$1,[2]quests!$1:$1,0)+1),MATCH(C$1,[2]quests!$1:$1,0)-MATCH($B$1,[2]quests!$1:$1,0)+1,FALSE)</f>
        <v>孤高の焔翼</v>
      </c>
      <c r="D29" s="81" t="str">
        <f ca="1">VLOOKUP($B29,OFFSET([2]quests!$A$1,0,0,COUNTA([2]quests!$A:$A),MATCH(D$1,[2]quests!$1:$1,0)-MATCH($B$1,[2]quests!$1:$1,0)+1),MATCH(D$1,[2]quests!$1:$1,0)-MATCH($B$1,[2]quests!$1:$1,0)+1,FALSE)</f>
        <v>天使と悪魔</v>
      </c>
      <c r="E29" s="85">
        <v>1</v>
      </c>
      <c r="F29" s="81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【中級】孤高の焔翼</v>
      </c>
      <c r="G29" s="81" t="str">
        <f ca="1">VLOOKUP($B29&amp;"_"&amp;$E29,OFFSET([2]stages!$A$1,0,0,COUNTA([2]stages!$A:$A),MATCH(G$1,[2]stages!$2:$2,0)-MATCH("temp_stage",[2]stages!$2:$2,0)+1),MATCH(G$1,[2]stages!$2:$2,0)-MATCH("temp_stage",[2]stages!$2:$2,0)+1,FALSE)</f>
        <v>天使と悪魔</v>
      </c>
      <c r="H29" s="83">
        <v>0</v>
      </c>
      <c r="I29">
        <v>32</v>
      </c>
      <c r="J29" s="82" t="s">
        <v>198</v>
      </c>
      <c r="K29" s="91" t="str">
        <f>VLOOKUP(I29,[6]stage_hints!$A:$C,3,FALSE)</f>
        <v>敵の連続攻撃には</v>
      </c>
      <c r="L29" s="92" t="str">
        <f>VLOOKUP(I29,[6]stage_hints!$A:$D,4,FALSE)</f>
        <v>カウンタースキルを持つユニットがいれば_x000D_ダメージ回数分の反撃ができます</v>
      </c>
      <c r="M29" s="56" t="s">
        <v>211</v>
      </c>
    </row>
    <row r="30" spans="1:13" x14ac:dyDescent="0.15">
      <c r="A30" s="79" t="s">
        <v>201</v>
      </c>
      <c r="B30" s="80">
        <f>floors!$C$2</f>
        <v>30034</v>
      </c>
      <c r="C30" s="81" t="str">
        <f ca="1">VLOOKUP($B30,OFFSET([2]quests!$A$1,0,0,COUNTA([2]quests!$A:$A),MATCH(C$1,[2]quests!$1:$1,0)-MATCH($B$1,[2]quests!$1:$1,0)+1),MATCH(C$1,[2]quests!$1:$1,0)-MATCH($B$1,[2]quests!$1:$1,0)+1,FALSE)</f>
        <v>孤高の焔翼</v>
      </c>
      <c r="D30" s="81" t="str">
        <f ca="1">VLOOKUP($B30,OFFSET([2]quests!$A$1,0,0,COUNTA([2]quests!$A:$A),MATCH(D$1,[2]quests!$1:$1,0)-MATCH($B$1,[2]quests!$1:$1,0)+1),MATCH(D$1,[2]quests!$1:$1,0)-MATCH($B$1,[2]quests!$1:$1,0)+1,FALSE)</f>
        <v>天使と悪魔</v>
      </c>
      <c r="E30" s="85">
        <v>1</v>
      </c>
      <c r="F30" s="81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【中級】孤高の焔翼</v>
      </c>
      <c r="G30" s="81" t="str">
        <f ca="1">VLOOKUP($B30&amp;"_"&amp;$E30,OFFSET([2]stages!$A$1,0,0,COUNTA([2]stages!$A:$A),MATCH(G$1,[2]stages!$2:$2,0)-MATCH("temp_stage",[2]stages!$2:$2,0)+1),MATCH(G$1,[2]stages!$2:$2,0)-MATCH("temp_stage",[2]stages!$2:$2,0)+1,FALSE)</f>
        <v>天使と悪魔</v>
      </c>
      <c r="H30" s="83">
        <v>0</v>
      </c>
      <c r="I30">
        <v>33</v>
      </c>
      <c r="J30" s="82" t="s">
        <v>198</v>
      </c>
      <c r="K30" s="91" t="str">
        <f>VLOOKUP(I30,[6]stage_hints!$A:$C,3,FALSE)</f>
        <v>敵のカウンター攻撃には</v>
      </c>
      <c r="L30" s="92" t="str">
        <f>VLOOKUP(I30,[6]stage_hints!$A:$D,4,FALSE)</f>
        <v>カウンターブレイクスキルを持っていれば_x000D_敵のカウンターを解除して攻撃ができます</v>
      </c>
      <c r="M30" s="56" t="s">
        <v>211</v>
      </c>
    </row>
    <row r="31" spans="1:13" x14ac:dyDescent="0.15">
      <c r="A31" s="79" t="s">
        <v>201</v>
      </c>
      <c r="B31" s="80">
        <f>floors!$C$2</f>
        <v>30034</v>
      </c>
      <c r="C31" s="81" t="str">
        <f ca="1">VLOOKUP($B31,OFFSET([2]quests!$A$1,0,0,COUNTA([2]quests!$A:$A),MATCH(C$1,[2]quests!$1:$1,0)-MATCH($B$1,[2]quests!$1:$1,0)+1),MATCH(C$1,[2]quests!$1:$1,0)-MATCH($B$1,[2]quests!$1:$1,0)+1,FALSE)</f>
        <v>孤高の焔翼</v>
      </c>
      <c r="D31" s="81" t="str">
        <f ca="1">VLOOKUP($B31,OFFSET([2]quests!$A$1,0,0,COUNTA([2]quests!$A:$A),MATCH(D$1,[2]quests!$1:$1,0)-MATCH($B$1,[2]quests!$1:$1,0)+1),MATCH(D$1,[2]quests!$1:$1,0)-MATCH($B$1,[2]quests!$1:$1,0)+1,FALSE)</f>
        <v>天使と悪魔</v>
      </c>
      <c r="E31" s="85">
        <v>1</v>
      </c>
      <c r="F31" s="81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【中級】孤高の焔翼</v>
      </c>
      <c r="G31" s="81" t="str">
        <f ca="1">VLOOKUP($B31&amp;"_"&amp;$E31,OFFSET([2]stages!$A$1,0,0,COUNTA([2]stages!$A:$A),MATCH(G$1,[2]stages!$2:$2,0)-MATCH("temp_stage",[2]stages!$2:$2,0)+1),MATCH(G$1,[2]stages!$2:$2,0)-MATCH("temp_stage",[2]stages!$2:$2,0)+1,FALSE)</f>
        <v>天使と悪魔</v>
      </c>
      <c r="H31" s="83">
        <v>0</v>
      </c>
      <c r="I31">
        <v>34</v>
      </c>
      <c r="J31" s="82" t="s">
        <v>198</v>
      </c>
      <c r="K31" s="91" t="str">
        <f>VLOOKUP(I31,[6]stage_hints!$A:$C,3,FALSE)</f>
        <v>ステータスをスキルで下げられたら</v>
      </c>
      <c r="L31" s="92" t="str">
        <f>VLOOKUP(I31,[6]stage_hints!$A:$D,4,FALSE)</f>
        <v>ステータスダウンのスキルを受けたら_x000D_ステータスアップスキルで上書きしましょう</v>
      </c>
      <c r="M31" s="56" t="s">
        <v>211</v>
      </c>
    </row>
    <row r="32" spans="1:13" x14ac:dyDescent="0.15">
      <c r="A32" s="79" t="s">
        <v>201</v>
      </c>
      <c r="B32" s="80">
        <f>floors!$C$2</f>
        <v>30034</v>
      </c>
      <c r="C32" s="81" t="str">
        <f ca="1">VLOOKUP($B32,OFFSET([2]quests!$A$1,0,0,COUNTA([2]quests!$A:$A),MATCH(C$1,[2]quests!$1:$1,0)-MATCH($B$1,[2]quests!$1:$1,0)+1),MATCH(C$1,[2]quests!$1:$1,0)-MATCH($B$1,[2]quests!$1:$1,0)+1,FALSE)</f>
        <v>孤高の焔翼</v>
      </c>
      <c r="D32" s="81" t="str">
        <f ca="1">VLOOKUP($B32,OFFSET([2]quests!$A$1,0,0,COUNTA([2]quests!$A:$A),MATCH(D$1,[2]quests!$1:$1,0)-MATCH($B$1,[2]quests!$1:$1,0)+1),MATCH(D$1,[2]quests!$1:$1,0)-MATCH($B$1,[2]quests!$1:$1,0)+1,FALSE)</f>
        <v>天使と悪魔</v>
      </c>
      <c r="E32" s="85">
        <v>1</v>
      </c>
      <c r="F32" s="81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【中級】孤高の焔翼</v>
      </c>
      <c r="G32" s="81" t="str">
        <f ca="1">VLOOKUP($B32&amp;"_"&amp;$E32,OFFSET([2]stages!$A$1,0,0,COUNTA([2]stages!$A:$A),MATCH(G$1,[2]stages!$2:$2,0)-MATCH("temp_stage",[2]stages!$2:$2,0)+1),MATCH(G$1,[2]stages!$2:$2,0)-MATCH("temp_stage",[2]stages!$2:$2,0)+1,FALSE)</f>
        <v>天使と悪魔</v>
      </c>
      <c r="H32" s="83">
        <v>0</v>
      </c>
      <c r="I32">
        <v>35</v>
      </c>
      <c r="J32" s="82" t="s">
        <v>198</v>
      </c>
      <c r="K32" s="91" t="str">
        <f>VLOOKUP(I32,[6]stage_hints!$A:$C,3,FALSE)</f>
        <v>敵のステータスがスキルで上がったら</v>
      </c>
      <c r="L32" s="92" t="str">
        <f>VLOOKUP(I32,[6]stage_hints!$A:$D,4,FALSE)</f>
        <v>敵のステータスがスキルでアップしたときは_x000D_ステータスダウンスキルで上書きしましょう</v>
      </c>
      <c r="M32" s="56" t="s">
        <v>211</v>
      </c>
    </row>
    <row r="33" spans="1:13" x14ac:dyDescent="0.15">
      <c r="A33" s="79" t="s">
        <v>201</v>
      </c>
      <c r="B33" s="80">
        <f>floors!$C$2</f>
        <v>30034</v>
      </c>
      <c r="C33" s="81" t="str">
        <f ca="1">VLOOKUP($B33,OFFSET([2]quests!$A$1,0,0,COUNTA([2]quests!$A:$A),MATCH(C$1,[2]quests!$1:$1,0)-MATCH($B$1,[2]quests!$1:$1,0)+1),MATCH(C$1,[2]quests!$1:$1,0)-MATCH($B$1,[2]quests!$1:$1,0)+1,FALSE)</f>
        <v>孤高の焔翼</v>
      </c>
      <c r="D33" s="81" t="str">
        <f ca="1">VLOOKUP($B33,OFFSET([2]quests!$A$1,0,0,COUNTA([2]quests!$A:$A),MATCH(D$1,[2]quests!$1:$1,0)-MATCH($B$1,[2]quests!$1:$1,0)+1),MATCH(D$1,[2]quests!$1:$1,0)-MATCH($B$1,[2]quests!$1:$1,0)+1,FALSE)</f>
        <v>天使と悪魔</v>
      </c>
      <c r="E33" s="85">
        <v>1</v>
      </c>
      <c r="F33" s="81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【中級】孤高の焔翼</v>
      </c>
      <c r="G33" s="81" t="str">
        <f ca="1">VLOOKUP($B33&amp;"_"&amp;$E33,OFFSET([2]stages!$A$1,0,0,COUNTA([2]stages!$A:$A),MATCH(G$1,[2]stages!$2:$2,0)-MATCH("temp_stage",[2]stages!$2:$2,0)+1),MATCH(G$1,[2]stages!$2:$2,0)-MATCH("temp_stage",[2]stages!$2:$2,0)+1,FALSE)</f>
        <v>天使と悪魔</v>
      </c>
      <c r="H33" s="83">
        <v>0</v>
      </c>
      <c r="I33">
        <v>39</v>
      </c>
      <c r="J33" s="82" t="s">
        <v>198</v>
      </c>
      <c r="K33" s="91" t="str">
        <f>VLOOKUP(I33,[6]stage_hints!$A:$C,3,FALSE)</f>
        <v>システム適合者を確認</v>
      </c>
      <c r="L33" s="92" t="str">
        <f>VLOOKUP(I33,[6]stage_hints!$A:$D,4,FALSE)</f>
        <v>ALICEが 「アナタ」を呼んでいます</v>
      </c>
      <c r="M33" s="56" t="s">
        <v>211</v>
      </c>
    </row>
    <row r="34" spans="1:13" x14ac:dyDescent="0.15">
      <c r="A34" s="79" t="s">
        <v>201</v>
      </c>
      <c r="B34" s="80">
        <f>floors!$C$2</f>
        <v>30034</v>
      </c>
      <c r="C34" s="81" t="str">
        <f ca="1">VLOOKUP($B34,OFFSET([2]quests!$A$1,0,0,COUNTA([2]quests!$A:$A),MATCH(C$1,[2]quests!$1:$1,0)-MATCH($B$1,[2]quests!$1:$1,0)+1),MATCH(C$1,[2]quests!$1:$1,0)-MATCH($B$1,[2]quests!$1:$1,0)+1,FALSE)</f>
        <v>孤高の焔翼</v>
      </c>
      <c r="D34" s="81" t="str">
        <f ca="1">VLOOKUP($B34,OFFSET([2]quests!$A$1,0,0,COUNTA([2]quests!$A:$A),MATCH(D$1,[2]quests!$1:$1,0)-MATCH($B$1,[2]quests!$1:$1,0)+1),MATCH(D$1,[2]quests!$1:$1,0)-MATCH($B$1,[2]quests!$1:$1,0)+1,FALSE)</f>
        <v>天使と悪魔</v>
      </c>
      <c r="E34" s="85">
        <v>2</v>
      </c>
      <c r="F34" s="81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【上級】孤高の焔翼</v>
      </c>
      <c r="G34" s="81" t="str">
        <f ca="1">VLOOKUP($B34&amp;"_"&amp;$E34,OFFSET([2]stages!$A$1,0,0,COUNTA([2]stages!$A:$A),MATCH(G$1,[2]stages!$2:$2,0)-MATCH("temp_stage",[2]stages!$2:$2,0)+1),MATCH(G$1,[2]stages!$2:$2,0)-MATCH("temp_stage",[2]stages!$2:$2,0)+1,FALSE)</f>
        <v>天使と悪魔</v>
      </c>
      <c r="H34" s="83">
        <v>0</v>
      </c>
      <c r="I34" s="95">
        <v>3</v>
      </c>
      <c r="J34" s="82" t="s">
        <v>198</v>
      </c>
      <c r="K34" s="91" t="str">
        <f>VLOOKUP(I34,[6]stage_hints!$A:$C,3,FALSE)</f>
        <v>ターゲット</v>
      </c>
      <c r="L34" s="92" t="str">
        <f>VLOOKUP(I34,[6]stage_hints!$A:$D,4,FALSE)</f>
        <v>敵ユニットをタップすると_x000D_その敵を狙い撃ちできます</v>
      </c>
      <c r="M34" s="56" t="s">
        <v>211</v>
      </c>
    </row>
    <row r="35" spans="1:13" x14ac:dyDescent="0.15">
      <c r="A35" s="79" t="s">
        <v>201</v>
      </c>
      <c r="B35" s="80">
        <f>floors!$C$2</f>
        <v>30034</v>
      </c>
      <c r="C35" s="81" t="str">
        <f ca="1">VLOOKUP($B35,OFFSET([2]quests!$A$1,0,0,COUNTA([2]quests!$A:$A),MATCH(C$1,[2]quests!$1:$1,0)-MATCH($B$1,[2]quests!$1:$1,0)+1),MATCH(C$1,[2]quests!$1:$1,0)-MATCH($B$1,[2]quests!$1:$1,0)+1,FALSE)</f>
        <v>孤高の焔翼</v>
      </c>
      <c r="D35" s="81" t="str">
        <f ca="1">VLOOKUP($B35,OFFSET([2]quests!$A$1,0,0,COUNTA([2]quests!$A:$A),MATCH(D$1,[2]quests!$1:$1,0)-MATCH($B$1,[2]quests!$1:$1,0)+1),MATCH(D$1,[2]quests!$1:$1,0)-MATCH($B$1,[2]quests!$1:$1,0)+1,FALSE)</f>
        <v>天使と悪魔</v>
      </c>
      <c r="E35" s="85">
        <v>2</v>
      </c>
      <c r="F35" s="81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【上級】孤高の焔翼</v>
      </c>
      <c r="G35" s="81" t="str">
        <f ca="1">VLOOKUP($B35&amp;"_"&amp;$E35,OFFSET([2]stages!$A$1,0,0,COUNTA([2]stages!$A:$A),MATCH(G$1,[2]stages!$2:$2,0)-MATCH("temp_stage",[2]stages!$2:$2,0)+1),MATCH(G$1,[2]stages!$2:$2,0)-MATCH("temp_stage",[2]stages!$2:$2,0)+1,FALSE)</f>
        <v>天使と悪魔</v>
      </c>
      <c r="H35" s="83">
        <v>0</v>
      </c>
      <c r="I35" s="95">
        <v>6</v>
      </c>
      <c r="J35" s="82" t="s">
        <v>198</v>
      </c>
      <c r="K35" s="91" t="str">
        <f>VLOOKUP(I35,[6]stage_hints!$A:$C,3,FALSE)</f>
        <v>ユニット強化の属性ボーナス</v>
      </c>
      <c r="L35" s="92" t="str">
        <f>VLOOKUP(I35,[6]stage_hints!$A:$D,4,FALSE)</f>
        <v>同属性ユニットを強化素材にすると_x000D_経験値が多くもらえます</v>
      </c>
      <c r="M35" s="56" t="s">
        <v>211</v>
      </c>
    </row>
    <row r="36" spans="1:13" x14ac:dyDescent="0.15">
      <c r="A36" s="79" t="s">
        <v>201</v>
      </c>
      <c r="B36" s="80">
        <f>floors!$C$2</f>
        <v>30034</v>
      </c>
      <c r="C36" s="81" t="str">
        <f ca="1">VLOOKUP($B36,OFFSET([2]quests!$A$1,0,0,COUNTA([2]quests!$A:$A),MATCH(C$1,[2]quests!$1:$1,0)-MATCH($B$1,[2]quests!$1:$1,0)+1),MATCH(C$1,[2]quests!$1:$1,0)-MATCH($B$1,[2]quests!$1:$1,0)+1,FALSE)</f>
        <v>孤高の焔翼</v>
      </c>
      <c r="D36" s="81" t="str">
        <f ca="1">VLOOKUP($B36,OFFSET([2]quests!$A$1,0,0,COUNTA([2]quests!$A:$A),MATCH(D$1,[2]quests!$1:$1,0)-MATCH($B$1,[2]quests!$1:$1,0)+1),MATCH(D$1,[2]quests!$1:$1,0)-MATCH($B$1,[2]quests!$1:$1,0)+1,FALSE)</f>
        <v>天使と悪魔</v>
      </c>
      <c r="E36" s="85">
        <v>2</v>
      </c>
      <c r="F36" s="81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【上級】孤高の焔翼</v>
      </c>
      <c r="G36" s="81" t="str">
        <f ca="1">VLOOKUP($B36&amp;"_"&amp;$E36,OFFSET([2]stages!$A$1,0,0,COUNTA([2]stages!$A:$A),MATCH(G$1,[2]stages!$2:$2,0)-MATCH("temp_stage",[2]stages!$2:$2,0)+1),MATCH(G$1,[2]stages!$2:$2,0)-MATCH("temp_stage",[2]stages!$2:$2,0)+1,FALSE)</f>
        <v>天使と悪魔</v>
      </c>
      <c r="H36" s="83">
        <v>0</v>
      </c>
      <c r="I36" s="95">
        <v>7</v>
      </c>
      <c r="J36" s="82" t="s">
        <v>198</v>
      </c>
      <c r="K36" s="91" t="str">
        <f>VLOOKUP(I36,[6]stage_hints!$A:$C,3,FALSE)</f>
        <v>メタルダックで経験値を獲得</v>
      </c>
      <c r="L36" s="92" t="str">
        <f>VLOOKUP(I36,[6]stage_hints!$A:$D,4,FALSE)</f>
        <v>「メタルなアヒル」を強化素材にすると_x000D_大量の経験値がもらえます</v>
      </c>
      <c r="M36" s="56" t="s">
        <v>211</v>
      </c>
    </row>
    <row r="37" spans="1:13" x14ac:dyDescent="0.15">
      <c r="A37" s="79" t="s">
        <v>201</v>
      </c>
      <c r="B37" s="80">
        <f>floors!$C$2</f>
        <v>30034</v>
      </c>
      <c r="C37" s="81" t="str">
        <f ca="1">VLOOKUP($B37,OFFSET([2]quests!$A$1,0,0,COUNTA([2]quests!$A:$A),MATCH(C$1,[2]quests!$1:$1,0)-MATCH($B$1,[2]quests!$1:$1,0)+1),MATCH(C$1,[2]quests!$1:$1,0)-MATCH($B$1,[2]quests!$1:$1,0)+1,FALSE)</f>
        <v>孤高の焔翼</v>
      </c>
      <c r="D37" s="81" t="str">
        <f ca="1">VLOOKUP($B37,OFFSET([2]quests!$A$1,0,0,COUNTA([2]quests!$A:$A),MATCH(D$1,[2]quests!$1:$1,0)-MATCH($B$1,[2]quests!$1:$1,0)+1),MATCH(D$1,[2]quests!$1:$1,0)-MATCH($B$1,[2]quests!$1:$1,0)+1,FALSE)</f>
        <v>天使と悪魔</v>
      </c>
      <c r="E37" s="85">
        <v>2</v>
      </c>
      <c r="F37" s="81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【上級】孤高の焔翼</v>
      </c>
      <c r="G37" s="81" t="str">
        <f ca="1">VLOOKUP($B37&amp;"_"&amp;$E37,OFFSET([2]stages!$A$1,0,0,COUNTA([2]stages!$A:$A),MATCH(G$1,[2]stages!$2:$2,0)-MATCH("temp_stage",[2]stages!$2:$2,0)+1),MATCH(G$1,[2]stages!$2:$2,0)-MATCH("temp_stage",[2]stages!$2:$2,0)+1,FALSE)</f>
        <v>天使と悪魔</v>
      </c>
      <c r="H37" s="83">
        <v>0</v>
      </c>
      <c r="I37" s="95">
        <v>8</v>
      </c>
      <c r="J37" s="82" t="s">
        <v>198</v>
      </c>
      <c r="K37" s="91" t="str">
        <f>VLOOKUP(I37,[6]stage_hints!$A:$C,3,FALSE)</f>
        <v>ゲリラクエストは要チェック</v>
      </c>
      <c r="L37" s="92" t="str">
        <f>VLOOKUP(I37,[6]stage_hints!$A:$D,4,FALSE)</f>
        <v>時間限定の「アヒル捕獲作戦」では_x000D_経験値素材ユニットが多く手に入ります</v>
      </c>
      <c r="M37" s="56" t="s">
        <v>211</v>
      </c>
    </row>
    <row r="38" spans="1:13" x14ac:dyDescent="0.15">
      <c r="A38" s="79" t="s">
        <v>201</v>
      </c>
      <c r="B38" s="80">
        <f>floors!$C$2</f>
        <v>30034</v>
      </c>
      <c r="C38" s="81" t="str">
        <f ca="1">VLOOKUP($B38,OFFSET([2]quests!$A$1,0,0,COUNTA([2]quests!$A:$A),MATCH(C$1,[2]quests!$1:$1,0)-MATCH($B$1,[2]quests!$1:$1,0)+1),MATCH(C$1,[2]quests!$1:$1,0)-MATCH($B$1,[2]quests!$1:$1,0)+1,FALSE)</f>
        <v>孤高の焔翼</v>
      </c>
      <c r="D38" s="81" t="str">
        <f ca="1">VLOOKUP($B38,OFFSET([2]quests!$A$1,0,0,COUNTA([2]quests!$A:$A),MATCH(D$1,[2]quests!$1:$1,0)-MATCH($B$1,[2]quests!$1:$1,0)+1),MATCH(D$1,[2]quests!$1:$1,0)-MATCH($B$1,[2]quests!$1:$1,0)+1,FALSE)</f>
        <v>天使と悪魔</v>
      </c>
      <c r="E38" s="85">
        <v>2</v>
      </c>
      <c r="F38" s="81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【上級】孤高の焔翼</v>
      </c>
      <c r="G38" s="81" t="str">
        <f ca="1">VLOOKUP($B38&amp;"_"&amp;$E38,OFFSET([2]stages!$A$1,0,0,COUNTA([2]stages!$A:$A),MATCH(G$1,[2]stages!$2:$2,0)-MATCH("temp_stage",[2]stages!$2:$2,0)+1),MATCH(G$1,[2]stages!$2:$2,0)-MATCH("temp_stage",[2]stages!$2:$2,0)+1,FALSE)</f>
        <v>天使と悪魔</v>
      </c>
      <c r="H38" s="83">
        <v>0</v>
      </c>
      <c r="I38" s="95">
        <v>9</v>
      </c>
      <c r="J38" s="82" t="s">
        <v>198</v>
      </c>
      <c r="K38" s="91" t="str">
        <f>VLOOKUP(I38,[6]stage_hints!$A:$C,3,FALSE)</f>
        <v>ゴールドダックでビットを獲得</v>
      </c>
      <c r="L38" s="92" t="str">
        <f>VLOOKUP(I38,[6]stage_hints!$A:$D,4,FALSE)</f>
        <v>「ゴールドなアヒル」を売却すると_x000D_大量のビットがもらえます</v>
      </c>
      <c r="M38" s="56" t="s">
        <v>211</v>
      </c>
    </row>
    <row r="39" spans="1:13" x14ac:dyDescent="0.15">
      <c r="A39" s="79" t="s">
        <v>201</v>
      </c>
      <c r="B39" s="80">
        <f>floors!$C$2</f>
        <v>30034</v>
      </c>
      <c r="C39" s="81" t="str">
        <f ca="1">VLOOKUP($B39,OFFSET([2]quests!$A$1,0,0,COUNTA([2]quests!$A:$A),MATCH(C$1,[2]quests!$1:$1,0)-MATCH($B$1,[2]quests!$1:$1,0)+1),MATCH(C$1,[2]quests!$1:$1,0)-MATCH($B$1,[2]quests!$1:$1,0)+1,FALSE)</f>
        <v>孤高の焔翼</v>
      </c>
      <c r="D39" s="81" t="str">
        <f ca="1">VLOOKUP($B39,OFFSET([2]quests!$A$1,0,0,COUNTA([2]quests!$A:$A),MATCH(D$1,[2]quests!$1:$1,0)-MATCH($B$1,[2]quests!$1:$1,0)+1),MATCH(D$1,[2]quests!$1:$1,0)-MATCH($B$1,[2]quests!$1:$1,0)+1,FALSE)</f>
        <v>天使と悪魔</v>
      </c>
      <c r="E39" s="85">
        <v>2</v>
      </c>
      <c r="F39" s="81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【上級】孤高の焔翼</v>
      </c>
      <c r="G39" s="81" t="str">
        <f ca="1">VLOOKUP($B39&amp;"_"&amp;$E39,OFFSET([2]stages!$A$1,0,0,COUNTA([2]stages!$A:$A),MATCH(G$1,[2]stages!$2:$2,0)-MATCH("temp_stage",[2]stages!$2:$2,0)+1),MATCH(G$1,[2]stages!$2:$2,0)-MATCH("temp_stage",[2]stages!$2:$2,0)+1,FALSE)</f>
        <v>天使と悪魔</v>
      </c>
      <c r="H39" s="83">
        <v>0</v>
      </c>
      <c r="I39" s="95">
        <v>10</v>
      </c>
      <c r="J39" s="82" t="s">
        <v>198</v>
      </c>
      <c r="K39" s="91" t="str">
        <f>VLOOKUP(I39,[6]stage_hints!$A:$C,3,FALSE)</f>
        <v>土日に大量のビットを獲得</v>
      </c>
      <c r="L39" s="92" t="str">
        <f>VLOOKUP(I39,[6]stage_hints!$A:$D,4,FALSE)</f>
        <v>土日限定の「ゴールドカジノ」では_x000D_売却素材ユニットが多く手に入ります</v>
      </c>
      <c r="M39" s="56" t="s">
        <v>211</v>
      </c>
    </row>
    <row r="40" spans="1:13" x14ac:dyDescent="0.15">
      <c r="A40" s="79" t="s">
        <v>201</v>
      </c>
      <c r="B40" s="80">
        <f>floors!$C$2</f>
        <v>30034</v>
      </c>
      <c r="C40" s="81" t="str">
        <f ca="1">VLOOKUP($B40,OFFSET([2]quests!$A$1,0,0,COUNTA([2]quests!$A:$A),MATCH(C$1,[2]quests!$1:$1,0)-MATCH($B$1,[2]quests!$1:$1,0)+1),MATCH(C$1,[2]quests!$1:$1,0)-MATCH($B$1,[2]quests!$1:$1,0)+1,FALSE)</f>
        <v>孤高の焔翼</v>
      </c>
      <c r="D40" s="81" t="str">
        <f ca="1">VLOOKUP($B40,OFFSET([2]quests!$A$1,0,0,COUNTA([2]quests!$A:$A),MATCH(D$1,[2]quests!$1:$1,0)-MATCH($B$1,[2]quests!$1:$1,0)+1),MATCH(D$1,[2]quests!$1:$1,0)-MATCH($B$1,[2]quests!$1:$1,0)+1,FALSE)</f>
        <v>天使と悪魔</v>
      </c>
      <c r="E40" s="85">
        <v>2</v>
      </c>
      <c r="F40" s="81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【上級】孤高の焔翼</v>
      </c>
      <c r="G40" s="81" t="str">
        <f ca="1">VLOOKUP($B40&amp;"_"&amp;$E40,OFFSET([2]stages!$A$1,0,0,COUNTA([2]stages!$A:$A),MATCH(G$1,[2]stages!$2:$2,0)-MATCH("temp_stage",[2]stages!$2:$2,0)+1),MATCH(G$1,[2]stages!$2:$2,0)-MATCH("temp_stage",[2]stages!$2:$2,0)+1,FALSE)</f>
        <v>天使と悪魔</v>
      </c>
      <c r="H40" s="83">
        <v>0</v>
      </c>
      <c r="I40" s="95">
        <v>11</v>
      </c>
      <c r="J40" s="82" t="s">
        <v>198</v>
      </c>
      <c r="K40" s="91" t="str">
        <f>VLOOKUP(I40,[6]stage_hints!$A:$C,3,FALSE)</f>
        <v>ランク解放クエスト</v>
      </c>
      <c r="L40" s="92" t="str">
        <f>VLOOKUP(I40,[6]stage_hints!$A:$D,4,FALSE)</f>
        <v>一定ランクに到達すると_x000D_報酬付きのランク開放クエストが現れます</v>
      </c>
      <c r="M40" s="56" t="s">
        <v>211</v>
      </c>
    </row>
    <row r="41" spans="1:13" x14ac:dyDescent="0.15">
      <c r="A41" s="79" t="s">
        <v>201</v>
      </c>
      <c r="B41" s="80">
        <f>floors!$C$2</f>
        <v>30034</v>
      </c>
      <c r="C41" s="81" t="str">
        <f ca="1">VLOOKUP($B41,OFFSET([2]quests!$A$1,0,0,COUNTA([2]quests!$A:$A),MATCH(C$1,[2]quests!$1:$1,0)-MATCH($B$1,[2]quests!$1:$1,0)+1),MATCH(C$1,[2]quests!$1:$1,0)-MATCH($B$1,[2]quests!$1:$1,0)+1,FALSE)</f>
        <v>孤高の焔翼</v>
      </c>
      <c r="D41" s="81" t="str">
        <f ca="1">VLOOKUP($B41,OFFSET([2]quests!$A$1,0,0,COUNTA([2]quests!$A:$A),MATCH(D$1,[2]quests!$1:$1,0)-MATCH($B$1,[2]quests!$1:$1,0)+1),MATCH(D$1,[2]quests!$1:$1,0)-MATCH($B$1,[2]quests!$1:$1,0)+1,FALSE)</f>
        <v>天使と悪魔</v>
      </c>
      <c r="E41" s="85">
        <v>2</v>
      </c>
      <c r="F41" s="81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【上級】孤高の焔翼</v>
      </c>
      <c r="G41" s="81" t="str">
        <f ca="1">VLOOKUP($B41&amp;"_"&amp;$E41,OFFSET([2]stages!$A$1,0,0,COUNTA([2]stages!$A:$A),MATCH(G$1,[2]stages!$2:$2,0)-MATCH("temp_stage",[2]stages!$2:$2,0)+1),MATCH(G$1,[2]stages!$2:$2,0)-MATCH("temp_stage",[2]stages!$2:$2,0)+1,FALSE)</f>
        <v>天使と悪魔</v>
      </c>
      <c r="H41" s="83">
        <v>0</v>
      </c>
      <c r="I41" s="95">
        <v>12</v>
      </c>
      <c r="J41" s="82" t="s">
        <v>198</v>
      </c>
      <c r="K41" s="91" t="str">
        <f>VLOOKUP(I41,[6]stage_hints!$A:$C,3,FALSE)</f>
        <v>ユニットのお気に入り登録</v>
      </c>
      <c r="L41" s="92" t="str">
        <f>VLOOKUP(I41,[6]stage_hints!$A:$D,4,FALSE)</f>
        <v>大事なユニットを誤って消さないように_x000D_フォルダから「お気に入り登録」しましょう</v>
      </c>
      <c r="M41" s="56" t="s">
        <v>211</v>
      </c>
    </row>
    <row r="42" spans="1:13" x14ac:dyDescent="0.15">
      <c r="A42" s="79" t="s">
        <v>201</v>
      </c>
      <c r="B42" s="80">
        <f>floors!$C$2</f>
        <v>30034</v>
      </c>
      <c r="C42" s="81" t="str">
        <f ca="1">VLOOKUP($B42,OFFSET([2]quests!$A$1,0,0,COUNTA([2]quests!$A:$A),MATCH(C$1,[2]quests!$1:$1,0)-MATCH($B$1,[2]quests!$1:$1,0)+1),MATCH(C$1,[2]quests!$1:$1,0)-MATCH($B$1,[2]quests!$1:$1,0)+1,FALSE)</f>
        <v>孤高の焔翼</v>
      </c>
      <c r="D42" s="81" t="str">
        <f ca="1">VLOOKUP($B42,OFFSET([2]quests!$A$1,0,0,COUNTA([2]quests!$A:$A),MATCH(D$1,[2]quests!$1:$1,0)-MATCH($B$1,[2]quests!$1:$1,0)+1),MATCH(D$1,[2]quests!$1:$1,0)-MATCH($B$1,[2]quests!$1:$1,0)+1,FALSE)</f>
        <v>天使と悪魔</v>
      </c>
      <c r="E42" s="85">
        <v>2</v>
      </c>
      <c r="F42" s="81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【上級】孤高の焔翼</v>
      </c>
      <c r="G42" s="81" t="str">
        <f ca="1">VLOOKUP($B42&amp;"_"&amp;$E42,OFFSET([2]stages!$A$1,0,0,COUNTA([2]stages!$A:$A),MATCH(G$1,[2]stages!$2:$2,0)-MATCH("temp_stage",[2]stages!$2:$2,0)+1),MATCH(G$1,[2]stages!$2:$2,0)-MATCH("temp_stage",[2]stages!$2:$2,0)+1,FALSE)</f>
        <v>天使と悪魔</v>
      </c>
      <c r="H42" s="83">
        <v>0</v>
      </c>
      <c r="I42" s="95">
        <v>13</v>
      </c>
      <c r="J42" s="82" t="s">
        <v>198</v>
      </c>
      <c r="K42" s="91" t="str">
        <f>VLOOKUP(I42,[6]stage_hints!$A:$C,3,FALSE)</f>
        <v>ユニットの覚醒</v>
      </c>
      <c r="L42" s="92" t="str">
        <f>VLOOKUP(I42,[6]stage_hints!$A:$D,4,FALSE)</f>
        <v>ユニットを覚醒させると_x000D_比べものにならない強さが手に入ります</v>
      </c>
      <c r="M42" s="56" t="s">
        <v>211</v>
      </c>
    </row>
    <row r="43" spans="1:13" x14ac:dyDescent="0.15">
      <c r="A43" s="79" t="s">
        <v>201</v>
      </c>
      <c r="B43" s="80">
        <f>floors!$C$2</f>
        <v>30034</v>
      </c>
      <c r="C43" s="81" t="str">
        <f ca="1">VLOOKUP($B43,OFFSET([2]quests!$A$1,0,0,COUNTA([2]quests!$A:$A),MATCH(C$1,[2]quests!$1:$1,0)-MATCH($B$1,[2]quests!$1:$1,0)+1),MATCH(C$1,[2]quests!$1:$1,0)-MATCH($B$1,[2]quests!$1:$1,0)+1,FALSE)</f>
        <v>孤高の焔翼</v>
      </c>
      <c r="D43" s="81" t="str">
        <f ca="1">VLOOKUP($B43,OFFSET([2]quests!$A$1,0,0,COUNTA([2]quests!$A:$A),MATCH(D$1,[2]quests!$1:$1,0)-MATCH($B$1,[2]quests!$1:$1,0)+1),MATCH(D$1,[2]quests!$1:$1,0)-MATCH($B$1,[2]quests!$1:$1,0)+1,FALSE)</f>
        <v>天使と悪魔</v>
      </c>
      <c r="E43" s="85">
        <v>2</v>
      </c>
      <c r="F43" s="81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【上級】孤高の焔翼</v>
      </c>
      <c r="G43" s="81" t="str">
        <f ca="1">VLOOKUP($B43&amp;"_"&amp;$E43,OFFSET([2]stages!$A$1,0,0,COUNTA([2]stages!$A:$A),MATCH(G$1,[2]stages!$2:$2,0)-MATCH("temp_stage",[2]stages!$2:$2,0)+1),MATCH(G$1,[2]stages!$2:$2,0)-MATCH("temp_stage",[2]stages!$2:$2,0)+1,FALSE)</f>
        <v>天使と悪魔</v>
      </c>
      <c r="H43" s="83">
        <v>0</v>
      </c>
      <c r="I43" s="95">
        <v>14</v>
      </c>
      <c r="J43" s="82" t="s">
        <v>198</v>
      </c>
      <c r="K43" s="91" t="str">
        <f>VLOOKUP(I43,[6]stage_hints!$A:$C,3,FALSE)</f>
        <v>覚醒するにはレベルを最大に</v>
      </c>
      <c r="L43" s="92" t="str">
        <f>VLOOKUP(I43,[6]stage_hints!$A:$D,4,FALSE)</f>
        <v>覚醒するにはユニットのレベルを_x000D_最大まで上げる必要があります</v>
      </c>
      <c r="M43" s="56" t="s">
        <v>211</v>
      </c>
    </row>
    <row r="44" spans="1:13" x14ac:dyDescent="0.15">
      <c r="A44" s="79" t="s">
        <v>201</v>
      </c>
      <c r="B44" s="80">
        <f>floors!$C$2</f>
        <v>30034</v>
      </c>
      <c r="C44" s="81" t="str">
        <f ca="1">VLOOKUP($B44,OFFSET([2]quests!$A$1,0,0,COUNTA([2]quests!$A:$A),MATCH(C$1,[2]quests!$1:$1,0)-MATCH($B$1,[2]quests!$1:$1,0)+1),MATCH(C$1,[2]quests!$1:$1,0)-MATCH($B$1,[2]quests!$1:$1,0)+1,FALSE)</f>
        <v>孤高の焔翼</v>
      </c>
      <c r="D44" s="81" t="str">
        <f ca="1">VLOOKUP($B44,OFFSET([2]quests!$A$1,0,0,COUNTA([2]quests!$A:$A),MATCH(D$1,[2]quests!$1:$1,0)-MATCH($B$1,[2]quests!$1:$1,0)+1),MATCH(D$1,[2]quests!$1:$1,0)-MATCH($B$1,[2]quests!$1:$1,0)+1,FALSE)</f>
        <v>天使と悪魔</v>
      </c>
      <c r="E44" s="85">
        <v>2</v>
      </c>
      <c r="F44" s="81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【上級】孤高の焔翼</v>
      </c>
      <c r="G44" s="81" t="str">
        <f ca="1">VLOOKUP($B44&amp;"_"&amp;$E44,OFFSET([2]stages!$A$1,0,0,COUNTA([2]stages!$A:$A),MATCH(G$1,[2]stages!$2:$2,0)-MATCH("temp_stage",[2]stages!$2:$2,0)+1),MATCH(G$1,[2]stages!$2:$2,0)-MATCH("temp_stage",[2]stages!$2:$2,0)+1,FALSE)</f>
        <v>天使と悪魔</v>
      </c>
      <c r="H44" s="83">
        <v>0</v>
      </c>
      <c r="I44" s="95">
        <v>15</v>
      </c>
      <c r="J44" s="82" t="s">
        <v>198</v>
      </c>
      <c r="K44" s="91" t="str">
        <f>VLOOKUP(I44,[6]stage_hints!$A:$C,3,FALSE)</f>
        <v>覚醒素材を獲得</v>
      </c>
      <c r="L44" s="92" t="str">
        <f>VLOOKUP(I44,[6]stage_hints!$A:$D,4,FALSE)</f>
        <v>「曜日クエスト」では_x000D_ユニットの覚醒に必要な素材が手に入ります</v>
      </c>
      <c r="M44" s="56" t="s">
        <v>211</v>
      </c>
    </row>
    <row r="45" spans="1:13" x14ac:dyDescent="0.15">
      <c r="A45" s="79" t="s">
        <v>201</v>
      </c>
      <c r="B45" s="80">
        <f>floors!$C$2</f>
        <v>30034</v>
      </c>
      <c r="C45" s="81" t="str">
        <f ca="1">VLOOKUP($B45,OFFSET([2]quests!$A$1,0,0,COUNTA([2]quests!$A:$A),MATCH(C$1,[2]quests!$1:$1,0)-MATCH($B$1,[2]quests!$1:$1,0)+1),MATCH(C$1,[2]quests!$1:$1,0)-MATCH($B$1,[2]quests!$1:$1,0)+1,FALSE)</f>
        <v>孤高の焔翼</v>
      </c>
      <c r="D45" s="81" t="str">
        <f ca="1">VLOOKUP($B45,OFFSET([2]quests!$A$1,0,0,COUNTA([2]quests!$A:$A),MATCH(D$1,[2]quests!$1:$1,0)-MATCH($B$1,[2]quests!$1:$1,0)+1),MATCH(D$1,[2]quests!$1:$1,0)-MATCH($B$1,[2]quests!$1:$1,0)+1,FALSE)</f>
        <v>天使と悪魔</v>
      </c>
      <c r="E45" s="85">
        <v>2</v>
      </c>
      <c r="F45" s="81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【上級】孤高の焔翼</v>
      </c>
      <c r="G45" s="81" t="str">
        <f ca="1">VLOOKUP($B45&amp;"_"&amp;$E45,OFFSET([2]stages!$A$1,0,0,COUNTA([2]stages!$A:$A),MATCH(G$1,[2]stages!$2:$2,0)-MATCH("temp_stage",[2]stages!$2:$2,0)+1),MATCH(G$1,[2]stages!$2:$2,0)-MATCH("temp_stage",[2]stages!$2:$2,0)+1,FALSE)</f>
        <v>天使と悪魔</v>
      </c>
      <c r="H45" s="83">
        <v>0</v>
      </c>
      <c r="I45" s="95">
        <v>16</v>
      </c>
      <c r="J45" s="82" t="s">
        <v>198</v>
      </c>
      <c r="K45" s="91" t="str">
        <f>VLOOKUP(I45,[6]stage_hints!$A:$C,3,FALSE)</f>
        <v>マルチプレイのメリット（その1）</v>
      </c>
      <c r="L45" s="92" t="str">
        <f>VLOOKUP(I45,[6]stage_hints!$A:$D,4,FALSE)</f>
        <v>他のプレイヤーとマルチプレイで遊ぶと_x000D_ポリゴンがもらえます（100人まで）</v>
      </c>
      <c r="M45" s="56" t="s">
        <v>211</v>
      </c>
    </row>
    <row r="46" spans="1:13" x14ac:dyDescent="0.15">
      <c r="A46" s="79" t="s">
        <v>201</v>
      </c>
      <c r="B46" s="80">
        <f>floors!$C$2</f>
        <v>30034</v>
      </c>
      <c r="C46" s="81" t="str">
        <f ca="1">VLOOKUP($B46,OFFSET([2]quests!$A$1,0,0,COUNTA([2]quests!$A:$A),MATCH(C$1,[2]quests!$1:$1,0)-MATCH($B$1,[2]quests!$1:$1,0)+1),MATCH(C$1,[2]quests!$1:$1,0)-MATCH($B$1,[2]quests!$1:$1,0)+1,FALSE)</f>
        <v>孤高の焔翼</v>
      </c>
      <c r="D46" s="81" t="str">
        <f ca="1">VLOOKUP($B46,OFFSET([2]quests!$A$1,0,0,COUNTA([2]quests!$A:$A),MATCH(D$1,[2]quests!$1:$1,0)-MATCH($B$1,[2]quests!$1:$1,0)+1),MATCH(D$1,[2]quests!$1:$1,0)-MATCH($B$1,[2]quests!$1:$1,0)+1,FALSE)</f>
        <v>天使と悪魔</v>
      </c>
      <c r="E46" s="85">
        <v>2</v>
      </c>
      <c r="F46" s="81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【上級】孤高の焔翼</v>
      </c>
      <c r="G46" s="81" t="str">
        <f ca="1">VLOOKUP($B46&amp;"_"&amp;$E46,OFFSET([2]stages!$A$1,0,0,COUNTA([2]stages!$A:$A),MATCH(G$1,[2]stages!$2:$2,0)-MATCH("temp_stage",[2]stages!$2:$2,0)+1),MATCH(G$1,[2]stages!$2:$2,0)-MATCH("temp_stage",[2]stages!$2:$2,0)+1,FALSE)</f>
        <v>天使と悪魔</v>
      </c>
      <c r="H46" s="83">
        <v>0</v>
      </c>
      <c r="I46" s="95">
        <v>17</v>
      </c>
      <c r="J46" s="82" t="s">
        <v>198</v>
      </c>
      <c r="K46" s="91" t="str">
        <f>VLOOKUP(I46,[6]stage_hints!$A:$C,3,FALSE)</f>
        <v>リンクガチャ</v>
      </c>
      <c r="L46" s="92" t="str">
        <f>VLOOKUP(I46,[6]stage_hints!$A:$D,4,FALSE)</f>
        <v>無料のリンクガチャを回して_x000D_経験値素材や売却素材を獲得しましょう</v>
      </c>
      <c r="M46" s="56" t="s">
        <v>211</v>
      </c>
    </row>
    <row r="47" spans="1:13" x14ac:dyDescent="0.15">
      <c r="A47" s="79" t="s">
        <v>201</v>
      </c>
      <c r="B47" s="80">
        <f>floors!$C$2</f>
        <v>30034</v>
      </c>
      <c r="C47" s="81" t="str">
        <f ca="1">VLOOKUP($B47,OFFSET([2]quests!$A$1,0,0,COUNTA([2]quests!$A:$A),MATCH(C$1,[2]quests!$1:$1,0)-MATCH($B$1,[2]quests!$1:$1,0)+1),MATCH(C$1,[2]quests!$1:$1,0)-MATCH($B$1,[2]quests!$1:$1,0)+1,FALSE)</f>
        <v>孤高の焔翼</v>
      </c>
      <c r="D47" s="81" t="str">
        <f ca="1">VLOOKUP($B47,OFFSET([2]quests!$A$1,0,0,COUNTA([2]quests!$A:$A),MATCH(D$1,[2]quests!$1:$1,0)-MATCH($B$1,[2]quests!$1:$1,0)+1),MATCH(D$1,[2]quests!$1:$1,0)-MATCH($B$1,[2]quests!$1:$1,0)+1,FALSE)</f>
        <v>天使と悪魔</v>
      </c>
      <c r="E47" s="85">
        <v>2</v>
      </c>
      <c r="F47" s="81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【上級】孤高の焔翼</v>
      </c>
      <c r="G47" s="81" t="str">
        <f ca="1">VLOOKUP($B47&amp;"_"&amp;$E47,OFFSET([2]stages!$A$1,0,0,COUNTA([2]stages!$A:$A),MATCH(G$1,[2]stages!$2:$2,0)-MATCH("temp_stage",[2]stages!$2:$2,0)+1),MATCH(G$1,[2]stages!$2:$2,0)-MATCH("temp_stage",[2]stages!$2:$2,0)+1,FALSE)</f>
        <v>天使と悪魔</v>
      </c>
      <c r="H47" s="83">
        <v>0</v>
      </c>
      <c r="I47" s="95">
        <v>18</v>
      </c>
      <c r="J47" s="82" t="s">
        <v>198</v>
      </c>
      <c r="K47" s="91" t="str">
        <f>VLOOKUP(I47,[6]stage_hints!$A:$C,3,FALSE)</f>
        <v>マルチプレイのメリット（その2）</v>
      </c>
      <c r="L47" s="92" t="str">
        <f>VLOOKUP(I47,[6]stage_hints!$A:$D,4,FALSE)</f>
        <v>マルチプレイならリンクが2倍もらえます_x000D_リンクガチャをたくさん回しましょう</v>
      </c>
      <c r="M47" s="56" t="s">
        <v>211</v>
      </c>
    </row>
    <row r="48" spans="1:13" x14ac:dyDescent="0.15">
      <c r="A48" s="79" t="s">
        <v>201</v>
      </c>
      <c r="B48" s="80">
        <f>floors!$C$2</f>
        <v>30034</v>
      </c>
      <c r="C48" s="81" t="str">
        <f ca="1">VLOOKUP($B48,OFFSET([2]quests!$A$1,0,0,COUNTA([2]quests!$A:$A),MATCH(C$1,[2]quests!$1:$1,0)-MATCH($B$1,[2]quests!$1:$1,0)+1),MATCH(C$1,[2]quests!$1:$1,0)-MATCH($B$1,[2]quests!$1:$1,0)+1,FALSE)</f>
        <v>孤高の焔翼</v>
      </c>
      <c r="D48" s="81" t="str">
        <f ca="1">VLOOKUP($B48,OFFSET([2]quests!$A$1,0,0,COUNTA([2]quests!$A:$A),MATCH(D$1,[2]quests!$1:$1,0)-MATCH($B$1,[2]quests!$1:$1,0)+1),MATCH(D$1,[2]quests!$1:$1,0)-MATCH($B$1,[2]quests!$1:$1,0)+1,FALSE)</f>
        <v>天使と悪魔</v>
      </c>
      <c r="E48" s="85">
        <v>2</v>
      </c>
      <c r="F48" s="81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【上級】孤高の焔翼</v>
      </c>
      <c r="G48" s="81" t="str">
        <f ca="1">VLOOKUP($B48&amp;"_"&amp;$E48,OFFSET([2]stages!$A$1,0,0,COUNTA([2]stages!$A:$A),MATCH(G$1,[2]stages!$2:$2,0)-MATCH("temp_stage",[2]stages!$2:$2,0)+1),MATCH(G$1,[2]stages!$2:$2,0)-MATCH("temp_stage",[2]stages!$2:$2,0)+1,FALSE)</f>
        <v>天使と悪魔</v>
      </c>
      <c r="H48" s="83">
        <v>0</v>
      </c>
      <c r="I48" s="95">
        <v>19</v>
      </c>
      <c r="J48" s="82" t="s">
        <v>198</v>
      </c>
      <c r="K48" s="91" t="str">
        <f>VLOOKUP(I48,[6]stage_hints!$A:$C,3,FALSE)</f>
        <v>ソロ専用タワーオブザクイーン</v>
      </c>
      <c r="L48" s="92" t="str">
        <f>VLOOKUP(I48,[6]stage_hints!$A:$D,4,FALSE)</f>
        <v>ソロ専用の「タワーオブザクイーン」は_x000D_期間限定で定期的に開催されます_x000D_ここでしか獲得できない報酬もあるようです</v>
      </c>
      <c r="M48" s="56" t="s">
        <v>211</v>
      </c>
    </row>
    <row r="49" spans="1:13" x14ac:dyDescent="0.15">
      <c r="A49" s="79" t="s">
        <v>201</v>
      </c>
      <c r="B49" s="80">
        <f>floors!$C$2</f>
        <v>30034</v>
      </c>
      <c r="C49" s="81" t="str">
        <f ca="1">VLOOKUP($B49,OFFSET([2]quests!$A$1,0,0,COUNTA([2]quests!$A:$A),MATCH(C$1,[2]quests!$1:$1,0)-MATCH($B$1,[2]quests!$1:$1,0)+1),MATCH(C$1,[2]quests!$1:$1,0)-MATCH($B$1,[2]quests!$1:$1,0)+1,FALSE)</f>
        <v>孤高の焔翼</v>
      </c>
      <c r="D49" s="81" t="str">
        <f ca="1">VLOOKUP($B49,OFFSET([2]quests!$A$1,0,0,COUNTA([2]quests!$A:$A),MATCH(D$1,[2]quests!$1:$1,0)-MATCH($B$1,[2]quests!$1:$1,0)+1),MATCH(D$1,[2]quests!$1:$1,0)-MATCH($B$1,[2]quests!$1:$1,0)+1,FALSE)</f>
        <v>天使と悪魔</v>
      </c>
      <c r="E49" s="85">
        <v>2</v>
      </c>
      <c r="F49" s="81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【上級】孤高の焔翼</v>
      </c>
      <c r="G49" s="81" t="str">
        <f ca="1">VLOOKUP($B49&amp;"_"&amp;$E49,OFFSET([2]stages!$A$1,0,0,COUNTA([2]stages!$A:$A),MATCH(G$1,[2]stages!$2:$2,0)-MATCH("temp_stage",[2]stages!$2:$2,0)+1),MATCH(G$1,[2]stages!$2:$2,0)-MATCH("temp_stage",[2]stages!$2:$2,0)+1,FALSE)</f>
        <v>天使と悪魔</v>
      </c>
      <c r="H49" s="83">
        <v>0</v>
      </c>
      <c r="I49" s="95">
        <v>20</v>
      </c>
      <c r="J49" s="82" t="s">
        <v>198</v>
      </c>
      <c r="K49" s="91" t="str">
        <f>VLOOKUP(I49,[6]stage_hints!$A:$C,3,FALSE)</f>
        <v>マルチプレイのメリット（その3）</v>
      </c>
      <c r="L49" s="92" t="str">
        <f>VLOOKUP(I49,[6]stage_hints!$A:$D,4,FALSE)</f>
        <v>マルチプレイへの参加はエナジー消費ゼロ_x000D_いつでも好きなだけ遊ぶことができます</v>
      </c>
      <c r="M49" s="56" t="s">
        <v>211</v>
      </c>
    </row>
    <row r="50" spans="1:13" x14ac:dyDescent="0.15">
      <c r="A50" s="79" t="s">
        <v>201</v>
      </c>
      <c r="B50" s="80">
        <f>floors!$C$2</f>
        <v>30034</v>
      </c>
      <c r="C50" s="81" t="str">
        <f ca="1">VLOOKUP($B50,OFFSET([2]quests!$A$1,0,0,COUNTA([2]quests!$A:$A),MATCH(C$1,[2]quests!$1:$1,0)-MATCH($B$1,[2]quests!$1:$1,0)+1),MATCH(C$1,[2]quests!$1:$1,0)-MATCH($B$1,[2]quests!$1:$1,0)+1,FALSE)</f>
        <v>孤高の焔翼</v>
      </c>
      <c r="D50" s="81" t="str">
        <f ca="1">VLOOKUP($B50,OFFSET([2]quests!$A$1,0,0,COUNTA([2]quests!$A:$A),MATCH(D$1,[2]quests!$1:$1,0)-MATCH($B$1,[2]quests!$1:$1,0)+1),MATCH(D$1,[2]quests!$1:$1,0)-MATCH($B$1,[2]quests!$1:$1,0)+1,FALSE)</f>
        <v>天使と悪魔</v>
      </c>
      <c r="E50" s="85">
        <v>2</v>
      </c>
      <c r="F50" s="81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【上級】孤高の焔翼</v>
      </c>
      <c r="G50" s="81" t="str">
        <f ca="1">VLOOKUP($B50&amp;"_"&amp;$E50,OFFSET([2]stages!$A$1,0,0,COUNTA([2]stages!$A:$A),MATCH(G$1,[2]stages!$2:$2,0)-MATCH("temp_stage",[2]stages!$2:$2,0)+1),MATCH(G$1,[2]stages!$2:$2,0)-MATCH("temp_stage",[2]stages!$2:$2,0)+1,FALSE)</f>
        <v>天使と悪魔</v>
      </c>
      <c r="H50" s="83">
        <v>0</v>
      </c>
      <c r="I50" s="95">
        <v>21</v>
      </c>
      <c r="J50" s="82" t="s">
        <v>198</v>
      </c>
      <c r="K50" s="91" t="str">
        <f>VLOOKUP(I50,[6]stage_hints!$A:$C,3,FALSE)</f>
        <v>スキルを有効に</v>
      </c>
      <c r="L50" s="92" t="str">
        <f>VLOOKUP(I50,[6]stage_hints!$A:$D,4,FALSE)</f>
        <v>ターン経過でユニットのスキルが使えます_x000D_強力スキルでバトルを有利に進めましょう</v>
      </c>
      <c r="M50" s="56" t="s">
        <v>211</v>
      </c>
    </row>
    <row r="51" spans="1:13" x14ac:dyDescent="0.15">
      <c r="A51" s="79" t="s">
        <v>201</v>
      </c>
      <c r="B51" s="80">
        <f>floors!$C$2</f>
        <v>30034</v>
      </c>
      <c r="C51" s="81" t="str">
        <f ca="1">VLOOKUP($B51,OFFSET([2]quests!$A$1,0,0,COUNTA([2]quests!$A:$A),MATCH(C$1,[2]quests!$1:$1,0)-MATCH($B$1,[2]quests!$1:$1,0)+1),MATCH(C$1,[2]quests!$1:$1,0)-MATCH($B$1,[2]quests!$1:$1,0)+1,FALSE)</f>
        <v>孤高の焔翼</v>
      </c>
      <c r="D51" s="81" t="str">
        <f ca="1">VLOOKUP($B51,OFFSET([2]quests!$A$1,0,0,COUNTA([2]quests!$A:$A),MATCH(D$1,[2]quests!$1:$1,0)-MATCH($B$1,[2]quests!$1:$1,0)+1),MATCH(D$1,[2]quests!$1:$1,0)-MATCH($B$1,[2]quests!$1:$1,0)+1,FALSE)</f>
        <v>天使と悪魔</v>
      </c>
      <c r="E51" s="85">
        <v>2</v>
      </c>
      <c r="F51" s="81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【上級】孤高の焔翼</v>
      </c>
      <c r="G51" s="81" t="str">
        <f ca="1">VLOOKUP($B51&amp;"_"&amp;$E51,OFFSET([2]stages!$A$1,0,0,COUNTA([2]stages!$A:$A),MATCH(G$1,[2]stages!$2:$2,0)-MATCH("temp_stage",[2]stages!$2:$2,0)+1),MATCH(G$1,[2]stages!$2:$2,0)-MATCH("temp_stage",[2]stages!$2:$2,0)+1,FALSE)</f>
        <v>天使と悪魔</v>
      </c>
      <c r="H51" s="83">
        <v>0</v>
      </c>
      <c r="I51" s="95">
        <v>22</v>
      </c>
      <c r="J51" s="82" t="s">
        <v>198</v>
      </c>
      <c r="K51" s="91" t="str">
        <f>VLOOKUP(I51,[6]stage_hints!$A:$C,3,FALSE)</f>
        <v>フィーバーで一発逆転（その1）</v>
      </c>
      <c r="L51" s="92" t="str">
        <f>VLOOKUP(I51,[6]stage_hints!$A:$D,4,FALSE)</f>
        <v>フィーバーは攻撃と回復を兼ね備えます_x000D_ピンチからの一発逆転を狙いましょう</v>
      </c>
      <c r="M51" s="56" t="s">
        <v>211</v>
      </c>
    </row>
    <row r="52" spans="1:13" x14ac:dyDescent="0.15">
      <c r="A52" s="79" t="s">
        <v>201</v>
      </c>
      <c r="B52" s="80">
        <f>floors!$C$2</f>
        <v>30034</v>
      </c>
      <c r="C52" s="81" t="str">
        <f ca="1">VLOOKUP($B52,OFFSET([2]quests!$A$1,0,0,COUNTA([2]quests!$A:$A),MATCH(C$1,[2]quests!$1:$1,0)-MATCH($B$1,[2]quests!$1:$1,0)+1),MATCH(C$1,[2]quests!$1:$1,0)-MATCH($B$1,[2]quests!$1:$1,0)+1,FALSE)</f>
        <v>孤高の焔翼</v>
      </c>
      <c r="D52" s="81" t="str">
        <f ca="1">VLOOKUP($B52,OFFSET([2]quests!$A$1,0,0,COUNTA([2]quests!$A:$A),MATCH(D$1,[2]quests!$1:$1,0)-MATCH($B$1,[2]quests!$1:$1,0)+1),MATCH(D$1,[2]quests!$1:$1,0)-MATCH($B$1,[2]quests!$1:$1,0)+1,FALSE)</f>
        <v>天使と悪魔</v>
      </c>
      <c r="E52" s="85">
        <v>2</v>
      </c>
      <c r="F52" s="81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【上級】孤高の焔翼</v>
      </c>
      <c r="G52" s="81" t="str">
        <f ca="1">VLOOKUP($B52&amp;"_"&amp;$E52,OFFSET([2]stages!$A$1,0,0,COUNTA([2]stages!$A:$A),MATCH(G$1,[2]stages!$2:$2,0)-MATCH("temp_stage",[2]stages!$2:$2,0)+1),MATCH(G$1,[2]stages!$2:$2,0)-MATCH("temp_stage",[2]stages!$2:$2,0)+1,FALSE)</f>
        <v>天使と悪魔</v>
      </c>
      <c r="H52" s="83">
        <v>0</v>
      </c>
      <c r="I52" s="95">
        <v>23</v>
      </c>
      <c r="J52" s="82" t="s">
        <v>198</v>
      </c>
      <c r="K52" s="91" t="str">
        <f>VLOOKUP(I52,[6]stage_hints!$A:$C,3,FALSE)</f>
        <v>フィーバーで一発逆転（その2）</v>
      </c>
      <c r="L52" s="92" t="str">
        <f>VLOOKUP(I52,[6]stage_hints!$A:$D,4,FALSE)</f>
        <v>フィーバー中は虹色のボムパネルを狙って_x000D_画面上のパネルを一気に破壊しましょう</v>
      </c>
      <c r="M52" s="56" t="s">
        <v>211</v>
      </c>
    </row>
    <row r="53" spans="1:13" x14ac:dyDescent="0.15">
      <c r="A53" s="79" t="s">
        <v>201</v>
      </c>
      <c r="B53" s="80">
        <f>floors!$C$2</f>
        <v>30034</v>
      </c>
      <c r="C53" s="81" t="str">
        <f ca="1">VLOOKUP($B53,OFFSET([2]quests!$A$1,0,0,COUNTA([2]quests!$A:$A),MATCH(C$1,[2]quests!$1:$1,0)-MATCH($B$1,[2]quests!$1:$1,0)+1),MATCH(C$1,[2]quests!$1:$1,0)-MATCH($B$1,[2]quests!$1:$1,0)+1,FALSE)</f>
        <v>孤高の焔翼</v>
      </c>
      <c r="D53" s="81" t="str">
        <f ca="1">VLOOKUP($B53,OFFSET([2]quests!$A$1,0,0,COUNTA([2]quests!$A:$A),MATCH(D$1,[2]quests!$1:$1,0)-MATCH($B$1,[2]quests!$1:$1,0)+1),MATCH(D$1,[2]quests!$1:$1,0)-MATCH($B$1,[2]quests!$1:$1,0)+1,FALSE)</f>
        <v>天使と悪魔</v>
      </c>
      <c r="E53" s="85">
        <v>2</v>
      </c>
      <c r="F53" s="81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【上級】孤高の焔翼</v>
      </c>
      <c r="G53" s="81" t="str">
        <f ca="1">VLOOKUP($B53&amp;"_"&amp;$E53,OFFSET([2]stages!$A$1,0,0,COUNTA([2]stages!$A:$A),MATCH(G$1,[2]stages!$2:$2,0)-MATCH("temp_stage",[2]stages!$2:$2,0)+1),MATCH(G$1,[2]stages!$2:$2,0)-MATCH("temp_stage",[2]stages!$2:$2,0)+1,FALSE)</f>
        <v>天使と悪魔</v>
      </c>
      <c r="H53" s="83">
        <v>0</v>
      </c>
      <c r="I53" s="95">
        <v>24</v>
      </c>
      <c r="J53" s="82" t="s">
        <v>198</v>
      </c>
      <c r="K53" s="91" t="str">
        <f>VLOOKUP(I53,[6]stage_hints!$A:$C,3,FALSE)</f>
        <v>果実を使って限界突破</v>
      </c>
      <c r="L53" s="92" t="str">
        <f>VLOOKUP(I53,[6]stage_hints!$A:$D,4,FALSE)</f>
        <v>攻めの果実 癒しの果実_x000D_生命の果実をユニット強化に使うと_x000D_ステータスが限界突破します（計99個迄）</v>
      </c>
      <c r="M53" s="56" t="s">
        <v>211</v>
      </c>
    </row>
    <row r="54" spans="1:13" x14ac:dyDescent="0.15">
      <c r="A54" s="79" t="s">
        <v>201</v>
      </c>
      <c r="B54" s="80">
        <f>floors!$C$2</f>
        <v>30034</v>
      </c>
      <c r="C54" s="81" t="str">
        <f ca="1">VLOOKUP($B54,OFFSET([2]quests!$A$1,0,0,COUNTA([2]quests!$A:$A),MATCH(C$1,[2]quests!$1:$1,0)-MATCH($B$1,[2]quests!$1:$1,0)+1),MATCH(C$1,[2]quests!$1:$1,0)-MATCH($B$1,[2]quests!$1:$1,0)+1,FALSE)</f>
        <v>孤高の焔翼</v>
      </c>
      <c r="D54" s="81" t="str">
        <f ca="1">VLOOKUP($B54,OFFSET([2]quests!$A$1,0,0,COUNTA([2]quests!$A:$A),MATCH(D$1,[2]quests!$1:$1,0)-MATCH($B$1,[2]quests!$1:$1,0)+1),MATCH(D$1,[2]quests!$1:$1,0)-MATCH($B$1,[2]quests!$1:$1,0)+1,FALSE)</f>
        <v>天使と悪魔</v>
      </c>
      <c r="E54" s="85">
        <v>2</v>
      </c>
      <c r="F54" s="81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【上級】孤高の焔翼</v>
      </c>
      <c r="G54" s="81" t="str">
        <f ca="1">VLOOKUP($B54&amp;"_"&amp;$E54,OFFSET([2]stages!$A$1,0,0,COUNTA([2]stages!$A:$A),MATCH(G$1,[2]stages!$2:$2,0)-MATCH("temp_stage",[2]stages!$2:$2,0)+1),MATCH(G$1,[2]stages!$2:$2,0)-MATCH("temp_stage",[2]stages!$2:$2,0)+1,FALSE)</f>
        <v>天使と悪魔</v>
      </c>
      <c r="H54" s="83">
        <v>0</v>
      </c>
      <c r="I54" s="95">
        <v>25</v>
      </c>
      <c r="J54" s="82" t="s">
        <v>198</v>
      </c>
      <c r="K54" s="91" t="str">
        <f>VLOOKUP(I54,[6]stage_hints!$A:$C,3,FALSE)</f>
        <v>スキルレベルアップ</v>
      </c>
      <c r="L54" s="92" t="str">
        <f>VLOOKUP(I54,[6]stage_hints!$A:$D,4,FALSE)</f>
        <v>「秘術の果実」を強化に使うと_x000D_スキルレベルを上げることができます</v>
      </c>
      <c r="M54" s="56" t="s">
        <v>211</v>
      </c>
    </row>
    <row r="55" spans="1:13" x14ac:dyDescent="0.15">
      <c r="A55" s="79" t="s">
        <v>201</v>
      </c>
      <c r="B55" s="80">
        <f>floors!$C$2</f>
        <v>30034</v>
      </c>
      <c r="C55" s="81" t="str">
        <f ca="1">VLOOKUP($B55,OFFSET([2]quests!$A$1,0,0,COUNTA([2]quests!$A:$A),MATCH(C$1,[2]quests!$1:$1,0)-MATCH($B$1,[2]quests!$1:$1,0)+1),MATCH(C$1,[2]quests!$1:$1,0)-MATCH($B$1,[2]quests!$1:$1,0)+1,FALSE)</f>
        <v>孤高の焔翼</v>
      </c>
      <c r="D55" s="81" t="str">
        <f ca="1">VLOOKUP($B55,OFFSET([2]quests!$A$1,0,0,COUNTA([2]quests!$A:$A),MATCH(D$1,[2]quests!$1:$1,0)-MATCH($B$1,[2]quests!$1:$1,0)+1),MATCH(D$1,[2]quests!$1:$1,0)-MATCH($B$1,[2]quests!$1:$1,0)+1,FALSE)</f>
        <v>天使と悪魔</v>
      </c>
      <c r="E55" s="85">
        <v>2</v>
      </c>
      <c r="F55" s="81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【上級】孤高の焔翼</v>
      </c>
      <c r="G55" s="81" t="str">
        <f ca="1">VLOOKUP($B55&amp;"_"&amp;$E55,OFFSET([2]stages!$A$1,0,0,COUNTA([2]stages!$A:$A),MATCH(G$1,[2]stages!$2:$2,0)-MATCH("temp_stage",[2]stages!$2:$2,0)+1),MATCH(G$1,[2]stages!$2:$2,0)-MATCH("temp_stage",[2]stages!$2:$2,0)+1,FALSE)</f>
        <v>天使と悪魔</v>
      </c>
      <c r="H55" s="83">
        <v>0</v>
      </c>
      <c r="I55" s="95">
        <v>26</v>
      </c>
      <c r="J55" s="82" t="s">
        <v>198</v>
      </c>
      <c r="K55" s="91" t="str">
        <f>VLOOKUP(I55,[6]stage_hints!$A:$C,3,FALSE)</f>
        <v>スキルレベルの効果</v>
      </c>
      <c r="L55" s="92" t="str">
        <f>VLOOKUP(I55,[6]stage_hints!$A:$D,4,FALSE)</f>
        <v>スキルレベルが上がると_x000D_短いターンでスキルを使うことができます</v>
      </c>
      <c r="M55" s="56" t="s">
        <v>211</v>
      </c>
    </row>
    <row r="56" spans="1:13" x14ac:dyDescent="0.15">
      <c r="A56" s="79" t="s">
        <v>201</v>
      </c>
      <c r="B56" s="80">
        <f>floors!$C$2</f>
        <v>30034</v>
      </c>
      <c r="C56" s="81" t="str">
        <f ca="1">VLOOKUP($B56,OFFSET([2]quests!$A$1,0,0,COUNTA([2]quests!$A:$A),MATCH(C$1,[2]quests!$1:$1,0)-MATCH($B$1,[2]quests!$1:$1,0)+1),MATCH(C$1,[2]quests!$1:$1,0)-MATCH($B$1,[2]quests!$1:$1,0)+1,FALSE)</f>
        <v>孤高の焔翼</v>
      </c>
      <c r="D56" s="81" t="str">
        <f ca="1">VLOOKUP($B56,OFFSET([2]quests!$A$1,0,0,COUNTA([2]quests!$A:$A),MATCH(D$1,[2]quests!$1:$1,0)-MATCH($B$1,[2]quests!$1:$1,0)+1),MATCH(D$1,[2]quests!$1:$1,0)-MATCH($B$1,[2]quests!$1:$1,0)+1,FALSE)</f>
        <v>天使と悪魔</v>
      </c>
      <c r="E56" s="85">
        <v>2</v>
      </c>
      <c r="F56" s="81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【上級】孤高の焔翼</v>
      </c>
      <c r="G56" s="81" t="str">
        <f ca="1">VLOOKUP($B56&amp;"_"&amp;$E56,OFFSET([2]stages!$A$1,0,0,COUNTA([2]stages!$A:$A),MATCH(G$1,[2]stages!$2:$2,0)-MATCH("temp_stage",[2]stages!$2:$2,0)+1),MATCH(G$1,[2]stages!$2:$2,0)-MATCH("temp_stage",[2]stages!$2:$2,0)+1,FALSE)</f>
        <v>天使と悪魔</v>
      </c>
      <c r="H56" s="83">
        <v>0</v>
      </c>
      <c r="I56" s="95">
        <v>27</v>
      </c>
      <c r="J56" s="82" t="s">
        <v>198</v>
      </c>
      <c r="K56" s="91" t="str">
        <f>VLOOKUP(I56,[6]stage_hints!$A:$C,3,FALSE)</f>
        <v>ホーム画面からデッキを編成</v>
      </c>
      <c r="L56" s="92" t="str">
        <f>VLOOKUP(I56,[6]stage_hints!$A:$D,4,FALSE)</f>
        <v>ホーム画面でユニットを長押しすると_x000D_すぐにパーティ編成に移動できます</v>
      </c>
      <c r="M56" s="56" t="s">
        <v>211</v>
      </c>
    </row>
    <row r="57" spans="1:13" x14ac:dyDescent="0.15">
      <c r="A57" s="79" t="s">
        <v>201</v>
      </c>
      <c r="B57" s="80">
        <f>floors!$C$2</f>
        <v>30034</v>
      </c>
      <c r="C57" s="81" t="str">
        <f ca="1">VLOOKUP($B57,OFFSET([2]quests!$A$1,0,0,COUNTA([2]quests!$A:$A),MATCH(C$1,[2]quests!$1:$1,0)-MATCH($B$1,[2]quests!$1:$1,0)+1),MATCH(C$1,[2]quests!$1:$1,0)-MATCH($B$1,[2]quests!$1:$1,0)+1,FALSE)</f>
        <v>孤高の焔翼</v>
      </c>
      <c r="D57" s="81" t="str">
        <f ca="1">VLOOKUP($B57,OFFSET([2]quests!$A$1,0,0,COUNTA([2]quests!$A:$A),MATCH(D$1,[2]quests!$1:$1,0)-MATCH($B$1,[2]quests!$1:$1,0)+1),MATCH(D$1,[2]quests!$1:$1,0)-MATCH($B$1,[2]quests!$1:$1,0)+1,FALSE)</f>
        <v>天使と悪魔</v>
      </c>
      <c r="E57" s="85">
        <v>2</v>
      </c>
      <c r="F57" s="81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【上級】孤高の焔翼</v>
      </c>
      <c r="G57" s="81" t="str">
        <f ca="1">VLOOKUP($B57&amp;"_"&amp;$E57,OFFSET([2]stages!$A$1,0,0,COUNTA([2]stages!$A:$A),MATCH(G$1,[2]stages!$2:$2,0)-MATCH("temp_stage",[2]stages!$2:$2,0)+1),MATCH(G$1,[2]stages!$2:$2,0)-MATCH("temp_stage",[2]stages!$2:$2,0)+1,FALSE)</f>
        <v>天使と悪魔</v>
      </c>
      <c r="H57" s="83">
        <v>0</v>
      </c>
      <c r="I57" s="95">
        <v>28</v>
      </c>
      <c r="J57" s="82" t="s">
        <v>198</v>
      </c>
      <c r="K57" s="91" t="str">
        <f>VLOOKUP(I57,[6]stage_hints!$A:$C,3,FALSE)</f>
        <v>ステータス情報は長押しで</v>
      </c>
      <c r="L57" s="92" t="str">
        <f>VLOOKUP(I57,[6]stage_hints!$A:$D,4,FALSE)</f>
        <v>ユニットのアイコンを長押しすると_x000D_ステータス情報を確認することができます</v>
      </c>
      <c r="M57" s="56" t="s">
        <v>211</v>
      </c>
    </row>
    <row r="58" spans="1:13" x14ac:dyDescent="0.15">
      <c r="A58" s="79" t="s">
        <v>201</v>
      </c>
      <c r="B58" s="80">
        <f>floors!$C$2</f>
        <v>30034</v>
      </c>
      <c r="C58" s="81" t="str">
        <f ca="1">VLOOKUP($B58,OFFSET([2]quests!$A$1,0,0,COUNTA([2]quests!$A:$A),MATCH(C$1,[2]quests!$1:$1,0)-MATCH($B$1,[2]quests!$1:$1,0)+1),MATCH(C$1,[2]quests!$1:$1,0)-MATCH($B$1,[2]quests!$1:$1,0)+1,FALSE)</f>
        <v>孤高の焔翼</v>
      </c>
      <c r="D58" s="81" t="str">
        <f ca="1">VLOOKUP($B58,OFFSET([2]quests!$A$1,0,0,COUNTA([2]quests!$A:$A),MATCH(D$1,[2]quests!$1:$1,0)-MATCH($B$1,[2]quests!$1:$1,0)+1),MATCH(D$1,[2]quests!$1:$1,0)-MATCH($B$1,[2]quests!$1:$1,0)+1,FALSE)</f>
        <v>天使と悪魔</v>
      </c>
      <c r="E58" s="85">
        <v>2</v>
      </c>
      <c r="F58" s="81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【上級】孤高の焔翼</v>
      </c>
      <c r="G58" s="81" t="str">
        <f ca="1">VLOOKUP($B58&amp;"_"&amp;$E58,OFFSET([2]stages!$A$1,0,0,COUNTA([2]stages!$A:$A),MATCH(G$1,[2]stages!$2:$2,0)-MATCH("temp_stage",[2]stages!$2:$2,0)+1),MATCH(G$1,[2]stages!$2:$2,0)-MATCH("temp_stage",[2]stages!$2:$2,0)+1,FALSE)</f>
        <v>天使と悪魔</v>
      </c>
      <c r="H58" s="83">
        <v>0</v>
      </c>
      <c r="I58" s="95">
        <v>29</v>
      </c>
      <c r="J58" s="82" t="s">
        <v>198</v>
      </c>
      <c r="K58" s="91" t="str">
        <f>VLOOKUP(I58,[6]stage_hints!$A:$C,3,FALSE)</f>
        <v>「バグ」のメリット</v>
      </c>
      <c r="L58" s="92" t="str">
        <f>VLOOKUP(I58,[6]stage_hints!$A:$D,4,FALSE)</f>
        <v>ユニットの「バグ」を増やすと_x000D_報酬をもらえる確率がアップします</v>
      </c>
      <c r="M58" s="56" t="s">
        <v>211</v>
      </c>
    </row>
    <row r="59" spans="1:13" x14ac:dyDescent="0.15">
      <c r="A59" s="79" t="s">
        <v>201</v>
      </c>
      <c r="B59" s="80">
        <f>floors!$C$2</f>
        <v>30034</v>
      </c>
      <c r="C59" s="81" t="str">
        <f ca="1">VLOOKUP($B59,OFFSET([2]quests!$A$1,0,0,COUNTA([2]quests!$A:$A),MATCH(C$1,[2]quests!$1:$1,0)-MATCH($B$1,[2]quests!$1:$1,0)+1),MATCH(C$1,[2]quests!$1:$1,0)-MATCH($B$1,[2]quests!$1:$1,0)+1,FALSE)</f>
        <v>孤高の焔翼</v>
      </c>
      <c r="D59" s="81" t="str">
        <f ca="1">VLOOKUP($B59,OFFSET([2]quests!$A$1,0,0,COUNTA([2]quests!$A:$A),MATCH(D$1,[2]quests!$1:$1,0)-MATCH($B$1,[2]quests!$1:$1,0)+1),MATCH(D$1,[2]quests!$1:$1,0)-MATCH($B$1,[2]quests!$1:$1,0)+1,FALSE)</f>
        <v>天使と悪魔</v>
      </c>
      <c r="E59" s="85">
        <v>2</v>
      </c>
      <c r="F59" s="81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【上級】孤高の焔翼</v>
      </c>
      <c r="G59" s="81" t="str">
        <f ca="1">VLOOKUP($B59&amp;"_"&amp;$E59,OFFSET([2]stages!$A$1,0,0,COUNTA([2]stages!$A:$A),MATCH(G$1,[2]stages!$2:$2,0)-MATCH("temp_stage",[2]stages!$2:$2,0)+1),MATCH(G$1,[2]stages!$2:$2,0)-MATCH("temp_stage",[2]stages!$2:$2,0)+1,FALSE)</f>
        <v>天使と悪魔</v>
      </c>
      <c r="H59" s="83">
        <v>0</v>
      </c>
      <c r="I59" s="95">
        <v>30</v>
      </c>
      <c r="J59" s="82" t="s">
        <v>198</v>
      </c>
      <c r="K59" s="91" t="str">
        <f>VLOOKUP(I59,[6]stage_hints!$A:$C,3,FALSE)</f>
        <v>「バグ」の増やし方</v>
      </c>
      <c r="L59" s="92" t="str">
        <f>VLOOKUP(I59,[6]stage_hints!$A:$D,4,FALSE)</f>
        <v>同じユニット同士を強化で合成すると_x000D_「バグ」を増やすことができます</v>
      </c>
      <c r="M59" s="56" t="s">
        <v>211</v>
      </c>
    </row>
    <row r="60" spans="1:13" x14ac:dyDescent="0.15">
      <c r="A60" s="79" t="s">
        <v>201</v>
      </c>
      <c r="B60" s="80">
        <f>floors!$C$2</f>
        <v>30034</v>
      </c>
      <c r="C60" s="81" t="str">
        <f ca="1">VLOOKUP($B60,OFFSET([2]quests!$A$1,0,0,COUNTA([2]quests!$A:$A),MATCH(C$1,[2]quests!$1:$1,0)-MATCH($B$1,[2]quests!$1:$1,0)+1),MATCH(C$1,[2]quests!$1:$1,0)-MATCH($B$1,[2]quests!$1:$1,0)+1,FALSE)</f>
        <v>孤高の焔翼</v>
      </c>
      <c r="D60" s="81" t="str">
        <f ca="1">VLOOKUP($B60,OFFSET([2]quests!$A$1,0,0,COUNTA([2]quests!$A:$A),MATCH(D$1,[2]quests!$1:$1,0)-MATCH($B$1,[2]quests!$1:$1,0)+1),MATCH(D$1,[2]quests!$1:$1,0)-MATCH($B$1,[2]quests!$1:$1,0)+1,FALSE)</f>
        <v>天使と悪魔</v>
      </c>
      <c r="E60" s="85">
        <v>2</v>
      </c>
      <c r="F60" s="81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【上級】孤高の焔翼</v>
      </c>
      <c r="G60" s="81" t="str">
        <f ca="1">VLOOKUP($B60&amp;"_"&amp;$E60,OFFSET([2]stages!$A$1,0,0,COUNTA([2]stages!$A:$A),MATCH(G$1,[2]stages!$2:$2,0)-MATCH("temp_stage",[2]stages!$2:$2,0)+1),MATCH(G$1,[2]stages!$2:$2,0)-MATCH("temp_stage",[2]stages!$2:$2,0)+1,FALSE)</f>
        <v>天使と悪魔</v>
      </c>
      <c r="H60" s="83">
        <v>0</v>
      </c>
      <c r="I60" s="95">
        <v>31</v>
      </c>
      <c r="J60" s="82" t="s">
        <v>198</v>
      </c>
      <c r="K60" s="91" t="str">
        <f>VLOOKUP(I60,[6]stage_hints!$A:$C,3,FALSE)</f>
        <v>イベントはお知らせでチェック</v>
      </c>
      <c r="L60" s="92" t="str">
        <f>VLOOKUP(I60,[6]stage_hints!$A:$D,4,FALSE)</f>
        <v>イベント限定ユニットを取り忘れないように_x000D_お知らせをこまめにチェックしましょう</v>
      </c>
      <c r="M60" s="56" t="s">
        <v>211</v>
      </c>
    </row>
    <row r="61" spans="1:13" x14ac:dyDescent="0.15">
      <c r="A61" s="79" t="s">
        <v>201</v>
      </c>
      <c r="B61" s="80">
        <f>floors!$C$2</f>
        <v>30034</v>
      </c>
      <c r="C61" s="81" t="str">
        <f ca="1">VLOOKUP($B61,OFFSET([2]quests!$A$1,0,0,COUNTA([2]quests!$A:$A),MATCH(C$1,[2]quests!$1:$1,0)-MATCH($B$1,[2]quests!$1:$1,0)+1),MATCH(C$1,[2]quests!$1:$1,0)-MATCH($B$1,[2]quests!$1:$1,0)+1,FALSE)</f>
        <v>孤高の焔翼</v>
      </c>
      <c r="D61" s="81" t="str">
        <f ca="1">VLOOKUP($B61,OFFSET([2]quests!$A$1,0,0,COUNTA([2]quests!$A:$A),MATCH(D$1,[2]quests!$1:$1,0)-MATCH($B$1,[2]quests!$1:$1,0)+1),MATCH(D$1,[2]quests!$1:$1,0)-MATCH($B$1,[2]quests!$1:$1,0)+1,FALSE)</f>
        <v>天使と悪魔</v>
      </c>
      <c r="E61" s="85">
        <v>2</v>
      </c>
      <c r="F61" s="81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【上級】孤高の焔翼</v>
      </c>
      <c r="G61" s="81" t="str">
        <f ca="1">VLOOKUP($B61&amp;"_"&amp;$E61,OFFSET([2]stages!$A$1,0,0,COUNTA([2]stages!$A:$A),MATCH(G$1,[2]stages!$2:$2,0)-MATCH("temp_stage",[2]stages!$2:$2,0)+1),MATCH(G$1,[2]stages!$2:$2,0)-MATCH("temp_stage",[2]stages!$2:$2,0)+1,FALSE)</f>
        <v>天使と悪魔</v>
      </c>
      <c r="H61" s="83">
        <v>0</v>
      </c>
      <c r="I61" s="95">
        <v>32</v>
      </c>
      <c r="J61" s="82" t="s">
        <v>198</v>
      </c>
      <c r="K61" s="91" t="str">
        <f>VLOOKUP(I61,[6]stage_hints!$A:$C,3,FALSE)</f>
        <v>敵の連続攻撃には</v>
      </c>
      <c r="L61" s="92" t="str">
        <f>VLOOKUP(I61,[6]stage_hints!$A:$D,4,FALSE)</f>
        <v>カウンタースキルを持つユニットがいれば_x000D_ダメージ回数分の反撃ができます</v>
      </c>
      <c r="M61" s="56" t="s">
        <v>211</v>
      </c>
    </row>
    <row r="62" spans="1:13" x14ac:dyDescent="0.15">
      <c r="A62" s="79" t="s">
        <v>201</v>
      </c>
      <c r="B62" s="80">
        <f>floors!$C$2</f>
        <v>30034</v>
      </c>
      <c r="C62" s="81" t="str">
        <f ca="1">VLOOKUP($B62,OFFSET([2]quests!$A$1,0,0,COUNTA([2]quests!$A:$A),MATCH(C$1,[2]quests!$1:$1,0)-MATCH($B$1,[2]quests!$1:$1,0)+1),MATCH(C$1,[2]quests!$1:$1,0)-MATCH($B$1,[2]quests!$1:$1,0)+1,FALSE)</f>
        <v>孤高の焔翼</v>
      </c>
      <c r="D62" s="81" t="str">
        <f ca="1">VLOOKUP($B62,OFFSET([2]quests!$A$1,0,0,COUNTA([2]quests!$A:$A),MATCH(D$1,[2]quests!$1:$1,0)-MATCH($B$1,[2]quests!$1:$1,0)+1),MATCH(D$1,[2]quests!$1:$1,0)-MATCH($B$1,[2]quests!$1:$1,0)+1,FALSE)</f>
        <v>天使と悪魔</v>
      </c>
      <c r="E62" s="85">
        <v>2</v>
      </c>
      <c r="F62" s="81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【上級】孤高の焔翼</v>
      </c>
      <c r="G62" s="81" t="str">
        <f ca="1">VLOOKUP($B62&amp;"_"&amp;$E62,OFFSET([2]stages!$A$1,0,0,COUNTA([2]stages!$A:$A),MATCH(G$1,[2]stages!$2:$2,0)-MATCH("temp_stage",[2]stages!$2:$2,0)+1),MATCH(G$1,[2]stages!$2:$2,0)-MATCH("temp_stage",[2]stages!$2:$2,0)+1,FALSE)</f>
        <v>天使と悪魔</v>
      </c>
      <c r="H62" s="83">
        <v>0</v>
      </c>
      <c r="I62" s="95">
        <v>33</v>
      </c>
      <c r="J62" s="82" t="s">
        <v>198</v>
      </c>
      <c r="K62" s="91" t="str">
        <f>VLOOKUP(I62,[6]stage_hints!$A:$C,3,FALSE)</f>
        <v>敵のカウンター攻撃には</v>
      </c>
      <c r="L62" s="92" t="str">
        <f>VLOOKUP(I62,[6]stage_hints!$A:$D,4,FALSE)</f>
        <v>カウンターブレイクスキルを持っていれば_x000D_敵のカウンターを解除して攻撃ができます</v>
      </c>
      <c r="M62" s="56" t="s">
        <v>211</v>
      </c>
    </row>
    <row r="63" spans="1:13" x14ac:dyDescent="0.15">
      <c r="A63" s="79" t="s">
        <v>201</v>
      </c>
      <c r="B63" s="80">
        <f>floors!$C$2</f>
        <v>30034</v>
      </c>
      <c r="C63" s="81" t="str">
        <f ca="1">VLOOKUP($B63,OFFSET([2]quests!$A$1,0,0,COUNTA([2]quests!$A:$A),MATCH(C$1,[2]quests!$1:$1,0)-MATCH($B$1,[2]quests!$1:$1,0)+1),MATCH(C$1,[2]quests!$1:$1,0)-MATCH($B$1,[2]quests!$1:$1,0)+1,FALSE)</f>
        <v>孤高の焔翼</v>
      </c>
      <c r="D63" s="81" t="str">
        <f ca="1">VLOOKUP($B63,OFFSET([2]quests!$A$1,0,0,COUNTA([2]quests!$A:$A),MATCH(D$1,[2]quests!$1:$1,0)-MATCH($B$1,[2]quests!$1:$1,0)+1),MATCH(D$1,[2]quests!$1:$1,0)-MATCH($B$1,[2]quests!$1:$1,0)+1,FALSE)</f>
        <v>天使と悪魔</v>
      </c>
      <c r="E63" s="85">
        <v>2</v>
      </c>
      <c r="F63" s="81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【上級】孤高の焔翼</v>
      </c>
      <c r="G63" s="81" t="str">
        <f ca="1">VLOOKUP($B63&amp;"_"&amp;$E63,OFFSET([2]stages!$A$1,0,0,COUNTA([2]stages!$A:$A),MATCH(G$1,[2]stages!$2:$2,0)-MATCH("temp_stage",[2]stages!$2:$2,0)+1),MATCH(G$1,[2]stages!$2:$2,0)-MATCH("temp_stage",[2]stages!$2:$2,0)+1,FALSE)</f>
        <v>天使と悪魔</v>
      </c>
      <c r="H63" s="83">
        <v>0</v>
      </c>
      <c r="I63" s="95">
        <v>34</v>
      </c>
      <c r="J63" s="82" t="s">
        <v>198</v>
      </c>
      <c r="K63" s="91" t="str">
        <f>VLOOKUP(I63,[6]stage_hints!$A:$C,3,FALSE)</f>
        <v>ステータスをスキルで下げられたら</v>
      </c>
      <c r="L63" s="92" t="str">
        <f>VLOOKUP(I63,[6]stage_hints!$A:$D,4,FALSE)</f>
        <v>ステータスダウンのスキルを受けたら_x000D_ステータスアップスキルで上書きしましょう</v>
      </c>
      <c r="M63" s="56" t="s">
        <v>211</v>
      </c>
    </row>
    <row r="64" spans="1:13" x14ac:dyDescent="0.15">
      <c r="A64" s="79" t="s">
        <v>201</v>
      </c>
      <c r="B64" s="80">
        <f>floors!$C$2</f>
        <v>30034</v>
      </c>
      <c r="C64" s="81" t="str">
        <f ca="1">VLOOKUP($B64,OFFSET([2]quests!$A$1,0,0,COUNTA([2]quests!$A:$A),MATCH(C$1,[2]quests!$1:$1,0)-MATCH($B$1,[2]quests!$1:$1,0)+1),MATCH(C$1,[2]quests!$1:$1,0)-MATCH($B$1,[2]quests!$1:$1,0)+1,FALSE)</f>
        <v>孤高の焔翼</v>
      </c>
      <c r="D64" s="81" t="str">
        <f ca="1">VLOOKUP($B64,OFFSET([2]quests!$A$1,0,0,COUNTA([2]quests!$A:$A),MATCH(D$1,[2]quests!$1:$1,0)-MATCH($B$1,[2]quests!$1:$1,0)+1),MATCH(D$1,[2]quests!$1:$1,0)-MATCH($B$1,[2]quests!$1:$1,0)+1,FALSE)</f>
        <v>天使と悪魔</v>
      </c>
      <c r="E64" s="85">
        <v>2</v>
      </c>
      <c r="F64" s="81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【上級】孤高の焔翼</v>
      </c>
      <c r="G64" s="81" t="str">
        <f ca="1">VLOOKUP($B64&amp;"_"&amp;$E64,OFFSET([2]stages!$A$1,0,0,COUNTA([2]stages!$A:$A),MATCH(G$1,[2]stages!$2:$2,0)-MATCH("temp_stage",[2]stages!$2:$2,0)+1),MATCH(G$1,[2]stages!$2:$2,0)-MATCH("temp_stage",[2]stages!$2:$2,0)+1,FALSE)</f>
        <v>天使と悪魔</v>
      </c>
      <c r="H64" s="83">
        <v>0</v>
      </c>
      <c r="I64" s="95">
        <v>35</v>
      </c>
      <c r="J64" s="82" t="s">
        <v>198</v>
      </c>
      <c r="K64" s="91" t="str">
        <f>VLOOKUP(I64,[6]stage_hints!$A:$C,3,FALSE)</f>
        <v>敵のステータスがスキルで上がったら</v>
      </c>
      <c r="L64" s="92" t="str">
        <f>VLOOKUP(I64,[6]stage_hints!$A:$D,4,FALSE)</f>
        <v>敵のステータスがスキルでアップしたときは_x000D_ステータスダウンスキルで上書きしましょう</v>
      </c>
      <c r="M64" s="56" t="s">
        <v>211</v>
      </c>
    </row>
    <row r="65" spans="1:13" x14ac:dyDescent="0.15">
      <c r="A65" s="79" t="s">
        <v>201</v>
      </c>
      <c r="B65" s="80">
        <f>floors!$C$2</f>
        <v>30034</v>
      </c>
      <c r="C65" s="81" t="str">
        <f ca="1">VLOOKUP($B65,OFFSET([2]quests!$A$1,0,0,COUNTA([2]quests!$A:$A),MATCH(C$1,[2]quests!$1:$1,0)-MATCH($B$1,[2]quests!$1:$1,0)+1),MATCH(C$1,[2]quests!$1:$1,0)-MATCH($B$1,[2]quests!$1:$1,0)+1,FALSE)</f>
        <v>孤高の焔翼</v>
      </c>
      <c r="D65" s="81" t="str">
        <f ca="1">VLOOKUP($B65,OFFSET([2]quests!$A$1,0,0,COUNTA([2]quests!$A:$A),MATCH(D$1,[2]quests!$1:$1,0)-MATCH($B$1,[2]quests!$1:$1,0)+1),MATCH(D$1,[2]quests!$1:$1,0)-MATCH($B$1,[2]quests!$1:$1,0)+1,FALSE)</f>
        <v>天使と悪魔</v>
      </c>
      <c r="E65" s="85">
        <v>2</v>
      </c>
      <c r="F65" s="81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【上級】孤高の焔翼</v>
      </c>
      <c r="G65" s="81" t="str">
        <f ca="1">VLOOKUP($B65&amp;"_"&amp;$E65,OFFSET([2]stages!$A$1,0,0,COUNTA([2]stages!$A:$A),MATCH(G$1,[2]stages!$2:$2,0)-MATCH("temp_stage",[2]stages!$2:$2,0)+1),MATCH(G$1,[2]stages!$2:$2,0)-MATCH("temp_stage",[2]stages!$2:$2,0)+1,FALSE)</f>
        <v>天使と悪魔</v>
      </c>
      <c r="H65" s="83">
        <v>0</v>
      </c>
      <c r="I65" s="95">
        <v>36</v>
      </c>
      <c r="J65" s="82" t="s">
        <v>198</v>
      </c>
      <c r="K65" s="91" t="str">
        <f>VLOOKUP(I65,[6]stage_hints!$A:$C,3,FALSE)</f>
        <v>タワーオブザクイーンのボス</v>
      </c>
      <c r="L65" s="92" t="str">
        <f>VLOOKUP(I65,[6]stage_hints!$A:$D,4,FALSE)</f>
        <v>「タワーオブザクイーン」最上階のボスは_x000D_15階の初回クリア報酬で獲得できるほか_x000D_その階にて低確率でドロップもします</v>
      </c>
      <c r="M65" s="56" t="s">
        <v>211</v>
      </c>
    </row>
    <row r="66" spans="1:13" x14ac:dyDescent="0.15">
      <c r="A66" s="79" t="s">
        <v>201</v>
      </c>
      <c r="B66" s="80">
        <f>floors!$C$2</f>
        <v>30034</v>
      </c>
      <c r="C66" s="81" t="str">
        <f ca="1">VLOOKUP($B66,OFFSET([2]quests!$A$1,0,0,COUNTA([2]quests!$A:$A),MATCH(C$1,[2]quests!$1:$1,0)-MATCH($B$1,[2]quests!$1:$1,0)+1),MATCH(C$1,[2]quests!$1:$1,0)-MATCH($B$1,[2]quests!$1:$1,0)+1,FALSE)</f>
        <v>孤高の焔翼</v>
      </c>
      <c r="D66" s="81" t="str">
        <f ca="1">VLOOKUP($B66,OFFSET([2]quests!$A$1,0,0,COUNTA([2]quests!$A:$A),MATCH(D$1,[2]quests!$1:$1,0)-MATCH($B$1,[2]quests!$1:$1,0)+1),MATCH(D$1,[2]quests!$1:$1,0)-MATCH($B$1,[2]quests!$1:$1,0)+1,FALSE)</f>
        <v>天使と悪魔</v>
      </c>
      <c r="E66" s="85">
        <v>2</v>
      </c>
      <c r="F66" s="81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【上級】孤高の焔翼</v>
      </c>
      <c r="G66" s="81" t="str">
        <f ca="1">VLOOKUP($B66&amp;"_"&amp;$E66,OFFSET([2]stages!$A$1,0,0,COUNTA([2]stages!$A:$A),MATCH(G$1,[2]stages!$2:$2,0)-MATCH("temp_stage",[2]stages!$2:$2,0)+1),MATCH(G$1,[2]stages!$2:$2,0)-MATCH("temp_stage",[2]stages!$2:$2,0)+1,FALSE)</f>
        <v>天使と悪魔</v>
      </c>
      <c r="H66" s="83">
        <v>0</v>
      </c>
      <c r="I66" s="95">
        <v>37</v>
      </c>
      <c r="J66" s="82" t="s">
        <v>198</v>
      </c>
      <c r="K66" s="91" t="str">
        <f>VLOOKUP(I66,[6]stage_hints!$A:$C,3,FALSE)</f>
        <v>限界突破値の引き継ぎ</v>
      </c>
      <c r="L66" s="92" t="str">
        <f>VLOOKUP(I66,[6]stage_hints!$A:$D,4,FALSE)</f>
        <v>同じユニットを強化で合成すると_x000D_限界突破値を引き継げます（覚醒前後も可）</v>
      </c>
      <c r="M66" s="56" t="s">
        <v>211</v>
      </c>
    </row>
    <row r="67" spans="1:13" x14ac:dyDescent="0.15">
      <c r="A67" s="79" t="s">
        <v>201</v>
      </c>
      <c r="B67" s="80">
        <f>floors!$C$2</f>
        <v>30034</v>
      </c>
      <c r="C67" s="81" t="str">
        <f ca="1">VLOOKUP($B67,OFFSET([2]quests!$A$1,0,0,COUNTA([2]quests!$A:$A),MATCH(C$1,[2]quests!$1:$1,0)-MATCH($B$1,[2]quests!$1:$1,0)+1),MATCH(C$1,[2]quests!$1:$1,0)-MATCH($B$1,[2]quests!$1:$1,0)+1,FALSE)</f>
        <v>孤高の焔翼</v>
      </c>
      <c r="D67" s="81" t="str">
        <f ca="1">VLOOKUP($B67,OFFSET([2]quests!$A$1,0,0,COUNTA([2]quests!$A:$A),MATCH(D$1,[2]quests!$1:$1,0)-MATCH($B$1,[2]quests!$1:$1,0)+1),MATCH(D$1,[2]quests!$1:$1,0)-MATCH($B$1,[2]quests!$1:$1,0)+1,FALSE)</f>
        <v>天使と悪魔</v>
      </c>
      <c r="E67" s="85">
        <v>2</v>
      </c>
      <c r="F67" s="81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【上級】孤高の焔翼</v>
      </c>
      <c r="G67" s="81" t="str">
        <f ca="1">VLOOKUP($B67&amp;"_"&amp;$E67,OFFSET([2]stages!$A$1,0,0,COUNTA([2]stages!$A:$A),MATCH(G$1,[2]stages!$2:$2,0)-MATCH("temp_stage",[2]stages!$2:$2,0)+1),MATCH(G$1,[2]stages!$2:$2,0)-MATCH("temp_stage",[2]stages!$2:$2,0)+1,FALSE)</f>
        <v>天使と悪魔</v>
      </c>
      <c r="H67" s="83">
        <v>0</v>
      </c>
      <c r="I67" s="95">
        <v>39</v>
      </c>
      <c r="J67" s="82" t="s">
        <v>198</v>
      </c>
      <c r="K67" s="91" t="str">
        <f>VLOOKUP(I67,[6]stage_hints!$A:$C,3,FALSE)</f>
        <v>システム適合者を確認</v>
      </c>
      <c r="L67" s="92" t="str">
        <f>VLOOKUP(I67,[6]stage_hints!$A:$D,4,FALSE)</f>
        <v>ALICEが 「アナタ」を呼んでいます</v>
      </c>
      <c r="M67" s="56" t="s">
        <v>211</v>
      </c>
    </row>
    <row r="68" spans="1:13" x14ac:dyDescent="0.15">
      <c r="A68" s="79" t="s">
        <v>201</v>
      </c>
      <c r="B68" s="80">
        <f>floors!$C$2</f>
        <v>30034</v>
      </c>
      <c r="C68" s="81" t="str">
        <f ca="1">VLOOKUP($B68,OFFSET([2]quests!$A$1,0,0,COUNTA([2]quests!$A:$A),MATCH(C$1,[2]quests!$1:$1,0)-MATCH($B$1,[2]quests!$1:$1,0)+1),MATCH(C$1,[2]quests!$1:$1,0)-MATCH($B$1,[2]quests!$1:$1,0)+1,FALSE)</f>
        <v>孤高の焔翼</v>
      </c>
      <c r="D68" s="81" t="str">
        <f ca="1">VLOOKUP($B68,OFFSET([2]quests!$A$1,0,0,COUNTA([2]quests!$A:$A),MATCH(D$1,[2]quests!$1:$1,0)-MATCH($B$1,[2]quests!$1:$1,0)+1),MATCH(D$1,[2]quests!$1:$1,0)-MATCH($B$1,[2]quests!$1:$1,0)+1,FALSE)</f>
        <v>天使と悪魔</v>
      </c>
      <c r="E68" s="85">
        <v>3</v>
      </c>
      <c r="F68" s="81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【超級】孤高の焔翼</v>
      </c>
      <c r="G68" s="81" t="str">
        <f ca="1">VLOOKUP($B68&amp;"_"&amp;$E68,OFFSET([2]stages!$A$1,0,0,COUNTA([2]stages!$A:$A),MATCH(G$1,[2]stages!$2:$2,0)-MATCH("temp_stage",[2]stages!$2:$2,0)+1),MATCH(G$1,[2]stages!$2:$2,0)-MATCH("temp_stage",[2]stages!$2:$2,0)+1,FALSE)</f>
        <v>天使と悪魔</v>
      </c>
      <c r="H68" s="83">
        <v>0</v>
      </c>
      <c r="I68">
        <v>12</v>
      </c>
      <c r="J68" s="82" t="s">
        <v>198</v>
      </c>
      <c r="K68" s="91" t="str">
        <f>VLOOKUP(I68,[6]stage_hints!$A:$C,3,FALSE)</f>
        <v>ユニットのお気に入り登録</v>
      </c>
      <c r="L68" s="92" t="str">
        <f>VLOOKUP(I68,[6]stage_hints!$A:$D,4,FALSE)</f>
        <v>大事なユニットを誤って消さないように_x000D_フォルダから「お気に入り登録」しましょう</v>
      </c>
      <c r="M68" s="56" t="s">
        <v>211</v>
      </c>
    </row>
    <row r="69" spans="1:13" x14ac:dyDescent="0.15">
      <c r="A69" s="79" t="s">
        <v>201</v>
      </c>
      <c r="B69" s="80">
        <f>floors!$C$2</f>
        <v>30034</v>
      </c>
      <c r="C69" s="81" t="str">
        <f ca="1">VLOOKUP($B69,OFFSET([2]quests!$A$1,0,0,COUNTA([2]quests!$A:$A),MATCH(C$1,[2]quests!$1:$1,0)-MATCH($B$1,[2]quests!$1:$1,0)+1),MATCH(C$1,[2]quests!$1:$1,0)-MATCH($B$1,[2]quests!$1:$1,0)+1,FALSE)</f>
        <v>孤高の焔翼</v>
      </c>
      <c r="D69" s="81" t="str">
        <f ca="1">VLOOKUP($B69,OFFSET([2]quests!$A$1,0,0,COUNTA([2]quests!$A:$A),MATCH(D$1,[2]quests!$1:$1,0)-MATCH($B$1,[2]quests!$1:$1,0)+1),MATCH(D$1,[2]quests!$1:$1,0)-MATCH($B$1,[2]quests!$1:$1,0)+1,FALSE)</f>
        <v>天使と悪魔</v>
      </c>
      <c r="E69" s="85">
        <v>3</v>
      </c>
      <c r="F69" s="81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【超級】孤高の焔翼</v>
      </c>
      <c r="G69" s="81" t="str">
        <f ca="1">VLOOKUP($B69&amp;"_"&amp;$E69,OFFSET([2]stages!$A$1,0,0,COUNTA([2]stages!$A:$A),MATCH(G$1,[2]stages!$2:$2,0)-MATCH("temp_stage",[2]stages!$2:$2,0)+1),MATCH(G$1,[2]stages!$2:$2,0)-MATCH("temp_stage",[2]stages!$2:$2,0)+1,FALSE)</f>
        <v>天使と悪魔</v>
      </c>
      <c r="H69" s="83">
        <v>0</v>
      </c>
      <c r="I69">
        <v>17</v>
      </c>
      <c r="J69" s="82" t="s">
        <v>198</v>
      </c>
      <c r="K69" s="91" t="str">
        <f>VLOOKUP(I69,[6]stage_hints!$A:$C,3,FALSE)</f>
        <v>リンクガチャ</v>
      </c>
      <c r="L69" s="92" t="str">
        <f>VLOOKUP(I69,[6]stage_hints!$A:$D,4,FALSE)</f>
        <v>無料のリンクガチャを回して_x000D_経験値素材や売却素材を獲得しましょう</v>
      </c>
      <c r="M69" s="56" t="s">
        <v>211</v>
      </c>
    </row>
    <row r="70" spans="1:13" x14ac:dyDescent="0.15">
      <c r="A70" s="79" t="s">
        <v>201</v>
      </c>
      <c r="B70" s="80">
        <f>floors!$C$2</f>
        <v>30034</v>
      </c>
      <c r="C70" s="81" t="str">
        <f ca="1">VLOOKUP($B70,OFFSET([2]quests!$A$1,0,0,COUNTA([2]quests!$A:$A),MATCH(C$1,[2]quests!$1:$1,0)-MATCH($B$1,[2]quests!$1:$1,0)+1),MATCH(C$1,[2]quests!$1:$1,0)-MATCH($B$1,[2]quests!$1:$1,0)+1,FALSE)</f>
        <v>孤高の焔翼</v>
      </c>
      <c r="D70" s="81" t="str">
        <f ca="1">VLOOKUP($B70,OFFSET([2]quests!$A$1,0,0,COUNTA([2]quests!$A:$A),MATCH(D$1,[2]quests!$1:$1,0)-MATCH($B$1,[2]quests!$1:$1,0)+1),MATCH(D$1,[2]quests!$1:$1,0)-MATCH($B$1,[2]quests!$1:$1,0)+1,FALSE)</f>
        <v>天使と悪魔</v>
      </c>
      <c r="E70" s="85">
        <v>3</v>
      </c>
      <c r="F70" s="81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【超級】孤高の焔翼</v>
      </c>
      <c r="G70" s="81" t="str">
        <f ca="1">VLOOKUP($B70&amp;"_"&amp;$E70,OFFSET([2]stages!$A$1,0,0,COUNTA([2]stages!$A:$A),MATCH(G$1,[2]stages!$2:$2,0)-MATCH("temp_stage",[2]stages!$2:$2,0)+1),MATCH(G$1,[2]stages!$2:$2,0)-MATCH("temp_stage",[2]stages!$2:$2,0)+1,FALSE)</f>
        <v>天使と悪魔</v>
      </c>
      <c r="H70" s="83">
        <v>0</v>
      </c>
      <c r="I70">
        <v>19</v>
      </c>
      <c r="J70" s="82" t="s">
        <v>198</v>
      </c>
      <c r="K70" s="91" t="str">
        <f>VLOOKUP(I70,[6]stage_hints!$A:$C,3,FALSE)</f>
        <v>ソロ専用タワーオブザクイーン</v>
      </c>
      <c r="L70" s="92" t="str">
        <f>VLOOKUP(I70,[6]stage_hints!$A:$D,4,FALSE)</f>
        <v>ソロ専用の「タワーオブザクイーン」は_x000D_期間限定で定期的に開催されます_x000D_ここでしか獲得できない報酬もあるようです</v>
      </c>
      <c r="M70" s="56" t="s">
        <v>211</v>
      </c>
    </row>
    <row r="71" spans="1:13" x14ac:dyDescent="0.15">
      <c r="A71" s="79" t="s">
        <v>201</v>
      </c>
      <c r="B71" s="80">
        <f>floors!$C$2</f>
        <v>30034</v>
      </c>
      <c r="C71" s="81" t="str">
        <f ca="1">VLOOKUP($B71,OFFSET([2]quests!$A$1,0,0,COUNTA([2]quests!$A:$A),MATCH(C$1,[2]quests!$1:$1,0)-MATCH($B$1,[2]quests!$1:$1,0)+1),MATCH(C$1,[2]quests!$1:$1,0)-MATCH($B$1,[2]quests!$1:$1,0)+1,FALSE)</f>
        <v>孤高の焔翼</v>
      </c>
      <c r="D71" s="81" t="str">
        <f ca="1">VLOOKUP($B71,OFFSET([2]quests!$A$1,0,0,COUNTA([2]quests!$A:$A),MATCH(D$1,[2]quests!$1:$1,0)-MATCH($B$1,[2]quests!$1:$1,0)+1),MATCH(D$1,[2]quests!$1:$1,0)-MATCH($B$1,[2]quests!$1:$1,0)+1,FALSE)</f>
        <v>天使と悪魔</v>
      </c>
      <c r="E71" s="85">
        <v>3</v>
      </c>
      <c r="F71" s="81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【超級】孤高の焔翼</v>
      </c>
      <c r="G71" s="81" t="str">
        <f ca="1">VLOOKUP($B71&amp;"_"&amp;$E71,OFFSET([2]stages!$A$1,0,0,COUNTA([2]stages!$A:$A),MATCH(G$1,[2]stages!$2:$2,0)-MATCH("temp_stage",[2]stages!$2:$2,0)+1),MATCH(G$1,[2]stages!$2:$2,0)-MATCH("temp_stage",[2]stages!$2:$2,0)+1,FALSE)</f>
        <v>天使と悪魔</v>
      </c>
      <c r="H71" s="83">
        <v>0</v>
      </c>
      <c r="I71">
        <v>21</v>
      </c>
      <c r="J71" s="82" t="s">
        <v>198</v>
      </c>
      <c r="K71" s="91" t="str">
        <f>VLOOKUP(I71,[6]stage_hints!$A:$C,3,FALSE)</f>
        <v>スキルを有効に</v>
      </c>
      <c r="L71" s="92" t="str">
        <f>VLOOKUP(I71,[6]stage_hints!$A:$D,4,FALSE)</f>
        <v>ターン経過でユニットのスキルが使えます_x000D_強力スキルでバトルを有利に進めましょう</v>
      </c>
      <c r="M71" s="56" t="s">
        <v>211</v>
      </c>
    </row>
    <row r="72" spans="1:13" x14ac:dyDescent="0.15">
      <c r="A72" s="79" t="s">
        <v>201</v>
      </c>
      <c r="B72" s="80">
        <f>floors!$C$2</f>
        <v>30034</v>
      </c>
      <c r="C72" s="81" t="str">
        <f ca="1">VLOOKUP($B72,OFFSET([2]quests!$A$1,0,0,COUNTA([2]quests!$A:$A),MATCH(C$1,[2]quests!$1:$1,0)-MATCH($B$1,[2]quests!$1:$1,0)+1),MATCH(C$1,[2]quests!$1:$1,0)-MATCH($B$1,[2]quests!$1:$1,0)+1,FALSE)</f>
        <v>孤高の焔翼</v>
      </c>
      <c r="D72" s="81" t="str">
        <f ca="1">VLOOKUP($B72,OFFSET([2]quests!$A$1,0,0,COUNTA([2]quests!$A:$A),MATCH(D$1,[2]quests!$1:$1,0)-MATCH($B$1,[2]quests!$1:$1,0)+1),MATCH(D$1,[2]quests!$1:$1,0)-MATCH($B$1,[2]quests!$1:$1,0)+1,FALSE)</f>
        <v>天使と悪魔</v>
      </c>
      <c r="E72" s="85">
        <v>3</v>
      </c>
      <c r="F72" s="81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【超級】孤高の焔翼</v>
      </c>
      <c r="G72" s="81" t="str">
        <f ca="1">VLOOKUP($B72&amp;"_"&amp;$E72,OFFSET([2]stages!$A$1,0,0,COUNTA([2]stages!$A:$A),MATCH(G$1,[2]stages!$2:$2,0)-MATCH("temp_stage",[2]stages!$2:$2,0)+1),MATCH(G$1,[2]stages!$2:$2,0)-MATCH("temp_stage",[2]stages!$2:$2,0)+1,FALSE)</f>
        <v>天使と悪魔</v>
      </c>
      <c r="H72" s="83">
        <v>0</v>
      </c>
      <c r="I72">
        <v>27</v>
      </c>
      <c r="J72" s="82" t="s">
        <v>198</v>
      </c>
      <c r="K72" s="91" t="str">
        <f>VLOOKUP(I72,[6]stage_hints!$A:$C,3,FALSE)</f>
        <v>ホーム画面からデッキを編成</v>
      </c>
      <c r="L72" s="92" t="str">
        <f>VLOOKUP(I72,[6]stage_hints!$A:$D,4,FALSE)</f>
        <v>ホーム画面でユニットを長押しすると_x000D_すぐにパーティ編成に移動できます</v>
      </c>
      <c r="M72" s="56" t="s">
        <v>211</v>
      </c>
    </row>
    <row r="73" spans="1:13" x14ac:dyDescent="0.15">
      <c r="A73" s="79" t="s">
        <v>201</v>
      </c>
      <c r="B73" s="80">
        <f>floors!$C$2</f>
        <v>30034</v>
      </c>
      <c r="C73" s="81" t="str">
        <f ca="1">VLOOKUP($B73,OFFSET([2]quests!$A$1,0,0,COUNTA([2]quests!$A:$A),MATCH(C$1,[2]quests!$1:$1,0)-MATCH($B$1,[2]quests!$1:$1,0)+1),MATCH(C$1,[2]quests!$1:$1,0)-MATCH($B$1,[2]quests!$1:$1,0)+1,FALSE)</f>
        <v>孤高の焔翼</v>
      </c>
      <c r="D73" s="81" t="str">
        <f ca="1">VLOOKUP($B73,OFFSET([2]quests!$A$1,0,0,COUNTA([2]quests!$A:$A),MATCH(D$1,[2]quests!$1:$1,0)-MATCH($B$1,[2]quests!$1:$1,0)+1),MATCH(D$1,[2]quests!$1:$1,0)-MATCH($B$1,[2]quests!$1:$1,0)+1,FALSE)</f>
        <v>天使と悪魔</v>
      </c>
      <c r="E73" s="85">
        <v>3</v>
      </c>
      <c r="F73" s="81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【超級】孤高の焔翼</v>
      </c>
      <c r="G73" s="81" t="str">
        <f ca="1">VLOOKUP($B73&amp;"_"&amp;$E73,OFFSET([2]stages!$A$1,0,0,COUNTA([2]stages!$A:$A),MATCH(G$1,[2]stages!$2:$2,0)-MATCH("temp_stage",[2]stages!$2:$2,0)+1),MATCH(G$1,[2]stages!$2:$2,0)-MATCH("temp_stage",[2]stages!$2:$2,0)+1,FALSE)</f>
        <v>天使と悪魔</v>
      </c>
      <c r="H73" s="83">
        <v>0</v>
      </c>
      <c r="I73">
        <v>28</v>
      </c>
      <c r="J73" s="82" t="s">
        <v>198</v>
      </c>
      <c r="K73" s="91" t="str">
        <f>VLOOKUP(I73,[6]stage_hints!$A:$C,3,FALSE)</f>
        <v>ステータス情報は長押しで</v>
      </c>
      <c r="L73" s="92" t="str">
        <f>VLOOKUP(I73,[6]stage_hints!$A:$D,4,FALSE)</f>
        <v>ユニットのアイコンを長押しすると_x000D_ステータス情報を確認することができます</v>
      </c>
      <c r="M73" s="56" t="s">
        <v>211</v>
      </c>
    </row>
    <row r="74" spans="1:13" x14ac:dyDescent="0.15">
      <c r="A74" s="79" t="s">
        <v>201</v>
      </c>
      <c r="B74" s="80">
        <f>floors!$C$2</f>
        <v>30034</v>
      </c>
      <c r="C74" s="81" t="str">
        <f ca="1">VLOOKUP($B74,OFFSET([2]quests!$A$1,0,0,COUNTA([2]quests!$A:$A),MATCH(C$1,[2]quests!$1:$1,0)-MATCH($B$1,[2]quests!$1:$1,0)+1),MATCH(C$1,[2]quests!$1:$1,0)-MATCH($B$1,[2]quests!$1:$1,0)+1,FALSE)</f>
        <v>孤高の焔翼</v>
      </c>
      <c r="D74" s="81" t="str">
        <f ca="1">VLOOKUP($B74,OFFSET([2]quests!$A$1,0,0,COUNTA([2]quests!$A:$A),MATCH(D$1,[2]quests!$1:$1,0)-MATCH($B$1,[2]quests!$1:$1,0)+1),MATCH(D$1,[2]quests!$1:$1,0)-MATCH($B$1,[2]quests!$1:$1,0)+1,FALSE)</f>
        <v>天使と悪魔</v>
      </c>
      <c r="E74" s="85">
        <v>3</v>
      </c>
      <c r="F74" s="81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【超級】孤高の焔翼</v>
      </c>
      <c r="G74" s="81" t="str">
        <f ca="1">VLOOKUP($B74&amp;"_"&amp;$E74,OFFSET([2]stages!$A$1,0,0,COUNTA([2]stages!$A:$A),MATCH(G$1,[2]stages!$2:$2,0)-MATCH("temp_stage",[2]stages!$2:$2,0)+1),MATCH(G$1,[2]stages!$2:$2,0)-MATCH("temp_stage",[2]stages!$2:$2,0)+1,FALSE)</f>
        <v>天使と悪魔</v>
      </c>
      <c r="H74" s="83">
        <v>0</v>
      </c>
      <c r="I74">
        <v>29</v>
      </c>
      <c r="J74" s="82" t="s">
        <v>198</v>
      </c>
      <c r="K74" s="91" t="str">
        <f>VLOOKUP(I74,[6]stage_hints!$A:$C,3,FALSE)</f>
        <v>「バグ」のメリット</v>
      </c>
      <c r="L74" s="92" t="str">
        <f>VLOOKUP(I74,[6]stage_hints!$A:$D,4,FALSE)</f>
        <v>ユニットの「バグ」を増やすと_x000D_報酬をもらえる確率がアップします</v>
      </c>
      <c r="M74" s="56" t="s">
        <v>211</v>
      </c>
    </row>
    <row r="75" spans="1:13" x14ac:dyDescent="0.15">
      <c r="A75" s="79" t="s">
        <v>201</v>
      </c>
      <c r="B75" s="80">
        <f>floors!$C$2</f>
        <v>30034</v>
      </c>
      <c r="C75" s="81" t="str">
        <f ca="1">VLOOKUP($B75,OFFSET([2]quests!$A$1,0,0,COUNTA([2]quests!$A:$A),MATCH(C$1,[2]quests!$1:$1,0)-MATCH($B$1,[2]quests!$1:$1,0)+1),MATCH(C$1,[2]quests!$1:$1,0)-MATCH($B$1,[2]quests!$1:$1,0)+1,FALSE)</f>
        <v>孤高の焔翼</v>
      </c>
      <c r="D75" s="81" t="str">
        <f ca="1">VLOOKUP($B75,OFFSET([2]quests!$A$1,0,0,COUNTA([2]quests!$A:$A),MATCH(D$1,[2]quests!$1:$1,0)-MATCH($B$1,[2]quests!$1:$1,0)+1),MATCH(D$1,[2]quests!$1:$1,0)-MATCH($B$1,[2]quests!$1:$1,0)+1,FALSE)</f>
        <v>天使と悪魔</v>
      </c>
      <c r="E75" s="85">
        <v>3</v>
      </c>
      <c r="F75" s="81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【超級】孤高の焔翼</v>
      </c>
      <c r="G75" s="81" t="str">
        <f ca="1">VLOOKUP($B75&amp;"_"&amp;$E75,OFFSET([2]stages!$A$1,0,0,COUNTA([2]stages!$A:$A),MATCH(G$1,[2]stages!$2:$2,0)-MATCH("temp_stage",[2]stages!$2:$2,0)+1),MATCH(G$1,[2]stages!$2:$2,0)-MATCH("temp_stage",[2]stages!$2:$2,0)+1,FALSE)</f>
        <v>天使と悪魔</v>
      </c>
      <c r="H75" s="83">
        <v>0</v>
      </c>
      <c r="I75">
        <v>30</v>
      </c>
      <c r="J75" s="82" t="s">
        <v>198</v>
      </c>
      <c r="K75" s="91" t="str">
        <f>VLOOKUP(I75,[6]stage_hints!$A:$C,3,FALSE)</f>
        <v>「バグ」の増やし方</v>
      </c>
      <c r="L75" s="92" t="str">
        <f>VLOOKUP(I75,[6]stage_hints!$A:$D,4,FALSE)</f>
        <v>同じユニット同士を強化で合成すると_x000D_「バグ」を増やすことができます</v>
      </c>
      <c r="M75" s="56" t="s">
        <v>211</v>
      </c>
    </row>
    <row r="76" spans="1:13" x14ac:dyDescent="0.15">
      <c r="A76" s="79" t="s">
        <v>201</v>
      </c>
      <c r="B76" s="80">
        <f>floors!$C$2</f>
        <v>30034</v>
      </c>
      <c r="C76" s="81" t="str">
        <f ca="1">VLOOKUP($B76,OFFSET([2]quests!$A$1,0,0,COUNTA([2]quests!$A:$A),MATCH(C$1,[2]quests!$1:$1,0)-MATCH($B$1,[2]quests!$1:$1,0)+1),MATCH(C$1,[2]quests!$1:$1,0)-MATCH($B$1,[2]quests!$1:$1,0)+1,FALSE)</f>
        <v>孤高の焔翼</v>
      </c>
      <c r="D76" s="81" t="str">
        <f ca="1">VLOOKUP($B76,OFFSET([2]quests!$A$1,0,0,COUNTA([2]quests!$A:$A),MATCH(D$1,[2]quests!$1:$1,0)-MATCH($B$1,[2]quests!$1:$1,0)+1),MATCH(D$1,[2]quests!$1:$1,0)-MATCH($B$1,[2]quests!$1:$1,0)+1,FALSE)</f>
        <v>天使と悪魔</v>
      </c>
      <c r="E76" s="85">
        <v>3</v>
      </c>
      <c r="F76" s="81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【超級】孤高の焔翼</v>
      </c>
      <c r="G76" s="81" t="str">
        <f ca="1">VLOOKUP($B76&amp;"_"&amp;$E76,OFFSET([2]stages!$A$1,0,0,COUNTA([2]stages!$A:$A),MATCH(G$1,[2]stages!$2:$2,0)-MATCH("temp_stage",[2]stages!$2:$2,0)+1),MATCH(G$1,[2]stages!$2:$2,0)-MATCH("temp_stage",[2]stages!$2:$2,0)+1,FALSE)</f>
        <v>天使と悪魔</v>
      </c>
      <c r="H76" s="83">
        <v>0</v>
      </c>
      <c r="I76">
        <v>32</v>
      </c>
      <c r="J76" s="82" t="s">
        <v>198</v>
      </c>
      <c r="K76" s="91" t="str">
        <f>VLOOKUP(I76,[6]stage_hints!$A:$C,3,FALSE)</f>
        <v>敵の連続攻撃には</v>
      </c>
      <c r="L76" s="92" t="str">
        <f>VLOOKUP(I76,[6]stage_hints!$A:$D,4,FALSE)</f>
        <v>カウンタースキルを持つユニットがいれば_x000D_ダメージ回数分の反撃ができます</v>
      </c>
      <c r="M76" s="56" t="s">
        <v>211</v>
      </c>
    </row>
    <row r="77" spans="1:13" x14ac:dyDescent="0.15">
      <c r="A77" s="79" t="s">
        <v>201</v>
      </c>
      <c r="B77" s="80">
        <f>floors!$C$2</f>
        <v>30034</v>
      </c>
      <c r="C77" s="81" t="str">
        <f ca="1">VLOOKUP($B77,OFFSET([2]quests!$A$1,0,0,COUNTA([2]quests!$A:$A),MATCH(C$1,[2]quests!$1:$1,0)-MATCH($B$1,[2]quests!$1:$1,0)+1),MATCH(C$1,[2]quests!$1:$1,0)-MATCH($B$1,[2]quests!$1:$1,0)+1,FALSE)</f>
        <v>孤高の焔翼</v>
      </c>
      <c r="D77" s="81" t="str">
        <f ca="1">VLOOKUP($B77,OFFSET([2]quests!$A$1,0,0,COUNTA([2]quests!$A:$A),MATCH(D$1,[2]quests!$1:$1,0)-MATCH($B$1,[2]quests!$1:$1,0)+1),MATCH(D$1,[2]quests!$1:$1,0)-MATCH($B$1,[2]quests!$1:$1,0)+1,FALSE)</f>
        <v>天使と悪魔</v>
      </c>
      <c r="E77" s="85">
        <v>3</v>
      </c>
      <c r="F77" s="81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【超級】孤高の焔翼</v>
      </c>
      <c r="G77" s="81" t="str">
        <f ca="1">VLOOKUP($B77&amp;"_"&amp;$E77,OFFSET([2]stages!$A$1,0,0,COUNTA([2]stages!$A:$A),MATCH(G$1,[2]stages!$2:$2,0)-MATCH("temp_stage",[2]stages!$2:$2,0)+1),MATCH(G$1,[2]stages!$2:$2,0)-MATCH("temp_stage",[2]stages!$2:$2,0)+1,FALSE)</f>
        <v>天使と悪魔</v>
      </c>
      <c r="H77" s="83">
        <v>0</v>
      </c>
      <c r="I77">
        <v>33</v>
      </c>
      <c r="J77" s="82" t="s">
        <v>198</v>
      </c>
      <c r="K77" s="91" t="str">
        <f>VLOOKUP(I77,[6]stage_hints!$A:$C,3,FALSE)</f>
        <v>敵のカウンター攻撃には</v>
      </c>
      <c r="L77" s="92" t="str">
        <f>VLOOKUP(I77,[6]stage_hints!$A:$D,4,FALSE)</f>
        <v>カウンターブレイクスキルを持っていれば_x000D_敵のカウンターを解除して攻撃ができます</v>
      </c>
      <c r="M77" s="56" t="s">
        <v>211</v>
      </c>
    </row>
    <row r="78" spans="1:13" x14ac:dyDescent="0.15">
      <c r="A78" s="79" t="s">
        <v>201</v>
      </c>
      <c r="B78" s="80">
        <f>floors!$C$2</f>
        <v>30034</v>
      </c>
      <c r="C78" s="81" t="str">
        <f ca="1">VLOOKUP($B78,OFFSET([2]quests!$A$1,0,0,COUNTA([2]quests!$A:$A),MATCH(C$1,[2]quests!$1:$1,0)-MATCH($B$1,[2]quests!$1:$1,0)+1),MATCH(C$1,[2]quests!$1:$1,0)-MATCH($B$1,[2]quests!$1:$1,0)+1,FALSE)</f>
        <v>孤高の焔翼</v>
      </c>
      <c r="D78" s="81" t="str">
        <f ca="1">VLOOKUP($B78,OFFSET([2]quests!$A$1,0,0,COUNTA([2]quests!$A:$A),MATCH(D$1,[2]quests!$1:$1,0)-MATCH($B$1,[2]quests!$1:$1,0)+1),MATCH(D$1,[2]quests!$1:$1,0)-MATCH($B$1,[2]quests!$1:$1,0)+1,FALSE)</f>
        <v>天使と悪魔</v>
      </c>
      <c r="E78" s="85">
        <v>3</v>
      </c>
      <c r="F78" s="81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【超級】孤高の焔翼</v>
      </c>
      <c r="G78" s="81" t="str">
        <f ca="1">VLOOKUP($B78&amp;"_"&amp;$E78,OFFSET([2]stages!$A$1,0,0,COUNTA([2]stages!$A:$A),MATCH(G$1,[2]stages!$2:$2,0)-MATCH("temp_stage",[2]stages!$2:$2,0)+1),MATCH(G$1,[2]stages!$2:$2,0)-MATCH("temp_stage",[2]stages!$2:$2,0)+1,FALSE)</f>
        <v>天使と悪魔</v>
      </c>
      <c r="H78" s="83">
        <v>0</v>
      </c>
      <c r="I78">
        <v>34</v>
      </c>
      <c r="J78" s="82" t="s">
        <v>198</v>
      </c>
      <c r="K78" s="91" t="str">
        <f>VLOOKUP(I78,[6]stage_hints!$A:$C,3,FALSE)</f>
        <v>ステータスをスキルで下げられたら</v>
      </c>
      <c r="L78" s="92" t="str">
        <f>VLOOKUP(I78,[6]stage_hints!$A:$D,4,FALSE)</f>
        <v>ステータスダウンのスキルを受けたら_x000D_ステータスアップスキルで上書きしましょう</v>
      </c>
      <c r="M78" s="56" t="s">
        <v>211</v>
      </c>
    </row>
    <row r="79" spans="1:13" x14ac:dyDescent="0.15">
      <c r="A79" s="79" t="s">
        <v>201</v>
      </c>
      <c r="B79" s="80">
        <f>floors!$C$2</f>
        <v>30034</v>
      </c>
      <c r="C79" s="81" t="str">
        <f ca="1">VLOOKUP($B79,OFFSET([2]quests!$A$1,0,0,COUNTA([2]quests!$A:$A),MATCH(C$1,[2]quests!$1:$1,0)-MATCH($B$1,[2]quests!$1:$1,0)+1),MATCH(C$1,[2]quests!$1:$1,0)-MATCH($B$1,[2]quests!$1:$1,0)+1,FALSE)</f>
        <v>孤高の焔翼</v>
      </c>
      <c r="D79" s="81" t="str">
        <f ca="1">VLOOKUP($B79,OFFSET([2]quests!$A$1,0,0,COUNTA([2]quests!$A:$A),MATCH(D$1,[2]quests!$1:$1,0)-MATCH($B$1,[2]quests!$1:$1,0)+1),MATCH(D$1,[2]quests!$1:$1,0)-MATCH($B$1,[2]quests!$1:$1,0)+1,FALSE)</f>
        <v>天使と悪魔</v>
      </c>
      <c r="E79" s="85">
        <v>3</v>
      </c>
      <c r="F79" s="81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【超級】孤高の焔翼</v>
      </c>
      <c r="G79" s="81" t="str">
        <f ca="1">VLOOKUP($B79&amp;"_"&amp;$E79,OFFSET([2]stages!$A$1,0,0,COUNTA([2]stages!$A:$A),MATCH(G$1,[2]stages!$2:$2,0)-MATCH("temp_stage",[2]stages!$2:$2,0)+1),MATCH(G$1,[2]stages!$2:$2,0)-MATCH("temp_stage",[2]stages!$2:$2,0)+1,FALSE)</f>
        <v>天使と悪魔</v>
      </c>
      <c r="H79" s="83">
        <v>0</v>
      </c>
      <c r="I79">
        <v>35</v>
      </c>
      <c r="J79" s="82" t="s">
        <v>198</v>
      </c>
      <c r="K79" s="91" t="str">
        <f>VLOOKUP(I79,[6]stage_hints!$A:$C,3,FALSE)</f>
        <v>敵のステータスがスキルで上がったら</v>
      </c>
      <c r="L79" s="92" t="str">
        <f>VLOOKUP(I79,[6]stage_hints!$A:$D,4,FALSE)</f>
        <v>敵のステータスがスキルでアップしたときは_x000D_ステータスダウンスキルで上書きしましょう</v>
      </c>
      <c r="M79" s="56" t="s">
        <v>211</v>
      </c>
    </row>
    <row r="80" spans="1:13" x14ac:dyDescent="0.15">
      <c r="A80" s="79" t="s">
        <v>201</v>
      </c>
      <c r="B80" s="80">
        <f>floors!$C$2</f>
        <v>30034</v>
      </c>
      <c r="C80" s="81" t="str">
        <f ca="1">VLOOKUP($B80,OFFSET([2]quests!$A$1,0,0,COUNTA([2]quests!$A:$A),MATCH(C$1,[2]quests!$1:$1,0)-MATCH($B$1,[2]quests!$1:$1,0)+1),MATCH(C$1,[2]quests!$1:$1,0)-MATCH($B$1,[2]quests!$1:$1,0)+1,FALSE)</f>
        <v>孤高の焔翼</v>
      </c>
      <c r="D80" s="81" t="str">
        <f ca="1">VLOOKUP($B80,OFFSET([2]quests!$A$1,0,0,COUNTA([2]quests!$A:$A),MATCH(D$1,[2]quests!$1:$1,0)-MATCH($B$1,[2]quests!$1:$1,0)+1),MATCH(D$1,[2]quests!$1:$1,0)-MATCH($B$1,[2]quests!$1:$1,0)+1,FALSE)</f>
        <v>天使と悪魔</v>
      </c>
      <c r="E80" s="85">
        <v>3</v>
      </c>
      <c r="F80" s="81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【超級】孤高の焔翼</v>
      </c>
      <c r="G80" s="81" t="str">
        <f ca="1">VLOOKUP($B80&amp;"_"&amp;$E80,OFFSET([2]stages!$A$1,0,0,COUNTA([2]stages!$A:$A),MATCH(G$1,[2]stages!$2:$2,0)-MATCH("temp_stage",[2]stages!$2:$2,0)+1),MATCH(G$1,[2]stages!$2:$2,0)-MATCH("temp_stage",[2]stages!$2:$2,0)+1,FALSE)</f>
        <v>天使と悪魔</v>
      </c>
      <c r="H80" s="83">
        <v>0</v>
      </c>
      <c r="I80">
        <v>36</v>
      </c>
      <c r="J80" s="82" t="s">
        <v>198</v>
      </c>
      <c r="K80" s="91" t="str">
        <f>VLOOKUP(I80,[6]stage_hints!$A:$C,3,FALSE)</f>
        <v>タワーオブザクイーンのボス</v>
      </c>
      <c r="L80" s="92" t="str">
        <f>VLOOKUP(I80,[6]stage_hints!$A:$D,4,FALSE)</f>
        <v>「タワーオブザクイーン」最上階のボスは_x000D_15階の初回クリア報酬で獲得できるほか_x000D_その階にて低確率でドロップもします</v>
      </c>
      <c r="M80" s="56" t="s">
        <v>211</v>
      </c>
    </row>
    <row r="81" spans="1:13" x14ac:dyDescent="0.15">
      <c r="A81" s="79" t="s">
        <v>201</v>
      </c>
      <c r="B81" s="80">
        <f>floors!$C$2</f>
        <v>30034</v>
      </c>
      <c r="C81" s="81" t="str">
        <f ca="1">VLOOKUP($B81,OFFSET([2]quests!$A$1,0,0,COUNTA([2]quests!$A:$A),MATCH(C$1,[2]quests!$1:$1,0)-MATCH($B$1,[2]quests!$1:$1,0)+1),MATCH(C$1,[2]quests!$1:$1,0)-MATCH($B$1,[2]quests!$1:$1,0)+1,FALSE)</f>
        <v>孤高の焔翼</v>
      </c>
      <c r="D81" s="81" t="str">
        <f ca="1">VLOOKUP($B81,OFFSET([2]quests!$A$1,0,0,COUNTA([2]quests!$A:$A),MATCH(D$1,[2]quests!$1:$1,0)-MATCH($B$1,[2]quests!$1:$1,0)+1),MATCH(D$1,[2]quests!$1:$1,0)-MATCH($B$1,[2]quests!$1:$1,0)+1,FALSE)</f>
        <v>天使と悪魔</v>
      </c>
      <c r="E81" s="85">
        <v>3</v>
      </c>
      <c r="F81" s="81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【超級】孤高の焔翼</v>
      </c>
      <c r="G81" s="81" t="str">
        <f ca="1">VLOOKUP($B81&amp;"_"&amp;$E81,OFFSET([2]stages!$A$1,0,0,COUNTA([2]stages!$A:$A),MATCH(G$1,[2]stages!$2:$2,0)-MATCH("temp_stage",[2]stages!$2:$2,0)+1),MATCH(G$1,[2]stages!$2:$2,0)-MATCH("temp_stage",[2]stages!$2:$2,0)+1,FALSE)</f>
        <v>天使と悪魔</v>
      </c>
      <c r="H81" s="83">
        <v>0</v>
      </c>
      <c r="I81">
        <v>37</v>
      </c>
      <c r="J81" s="82" t="s">
        <v>198</v>
      </c>
      <c r="K81" s="91" t="str">
        <f>VLOOKUP(I81,[6]stage_hints!$A:$C,3,FALSE)</f>
        <v>限界突破値の引き継ぎ</v>
      </c>
      <c r="L81" s="92" t="str">
        <f>VLOOKUP(I81,[6]stage_hints!$A:$D,4,FALSE)</f>
        <v>同じユニットを強化で合成すると_x000D_限界突破値を引き継げます（覚醒前後も可）</v>
      </c>
      <c r="M81" s="56" t="s">
        <v>211</v>
      </c>
    </row>
    <row r="82" spans="1:13" x14ac:dyDescent="0.15">
      <c r="A82" s="79" t="s">
        <v>201</v>
      </c>
      <c r="B82" s="80">
        <f>floors!$C$2</f>
        <v>30034</v>
      </c>
      <c r="C82" s="81" t="str">
        <f ca="1">VLOOKUP($B82,OFFSET([2]quests!$A$1,0,0,COUNTA([2]quests!$A:$A),MATCH(C$1,[2]quests!$1:$1,0)-MATCH($B$1,[2]quests!$1:$1,0)+1),MATCH(C$1,[2]quests!$1:$1,0)-MATCH($B$1,[2]quests!$1:$1,0)+1,FALSE)</f>
        <v>孤高の焔翼</v>
      </c>
      <c r="D82" s="81" t="str">
        <f ca="1">VLOOKUP($B82,OFFSET([2]quests!$A$1,0,0,COUNTA([2]quests!$A:$A),MATCH(D$1,[2]quests!$1:$1,0)-MATCH($B$1,[2]quests!$1:$1,0)+1),MATCH(D$1,[2]quests!$1:$1,0)-MATCH($B$1,[2]quests!$1:$1,0)+1,FALSE)</f>
        <v>天使と悪魔</v>
      </c>
      <c r="E82" s="85">
        <v>3</v>
      </c>
      <c r="F82" s="81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【超級】孤高の焔翼</v>
      </c>
      <c r="G82" s="81" t="str">
        <f ca="1">VLOOKUP($B82&amp;"_"&amp;$E82,OFFSET([2]stages!$A$1,0,0,COUNTA([2]stages!$A:$A),MATCH(G$1,[2]stages!$2:$2,0)-MATCH("temp_stage",[2]stages!$2:$2,0)+1),MATCH(G$1,[2]stages!$2:$2,0)-MATCH("temp_stage",[2]stages!$2:$2,0)+1,FALSE)</f>
        <v>天使と悪魔</v>
      </c>
      <c r="H82" s="83">
        <v>0</v>
      </c>
      <c r="I82">
        <v>39</v>
      </c>
      <c r="J82" s="82" t="s">
        <v>198</v>
      </c>
      <c r="K82" s="91" t="str">
        <f>VLOOKUP(I82,[6]stage_hints!$A:$C,3,FALSE)</f>
        <v>システム適合者を確認</v>
      </c>
      <c r="L82" s="92" t="str">
        <f>VLOOKUP(I82,[6]stage_hints!$A:$D,4,FALSE)</f>
        <v>ALICEが 「アナタ」を呼んでいます</v>
      </c>
      <c r="M82" s="56" t="s">
        <v>211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5"/>
  <sheetViews>
    <sheetView showGridLines="0" workbookViewId="0">
      <pane ySplit="1" topLeftCell="A2" activePane="bottomLeft" state="frozen"/>
      <selection pane="bottomLeft" activeCell="M2" sqref="M2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188</v>
      </c>
      <c r="B1" s="70" t="s">
        <v>151</v>
      </c>
      <c r="C1" s="75" t="s">
        <v>190</v>
      </c>
      <c r="D1" s="75" t="s">
        <v>33</v>
      </c>
      <c r="E1" s="70" t="s">
        <v>191</v>
      </c>
      <c r="F1" s="75" t="s">
        <v>18</v>
      </c>
      <c r="G1" s="75" t="s">
        <v>33</v>
      </c>
      <c r="H1" s="70" t="s">
        <v>193</v>
      </c>
      <c r="I1" s="87" t="s">
        <v>194</v>
      </c>
      <c r="J1" s="89" t="s">
        <v>195</v>
      </c>
      <c r="K1" s="77" t="s">
        <v>127</v>
      </c>
      <c r="L1" s="76" t="s">
        <v>187</v>
      </c>
      <c r="M1" s="90" t="s">
        <v>186</v>
      </c>
      <c r="N1" s="78" t="s">
        <v>196</v>
      </c>
    </row>
    <row r="2" spans="1:14" ht="28" x14ac:dyDescent="0.15">
      <c r="A2" s="79" t="s">
        <v>197</v>
      </c>
      <c r="B2" s="80">
        <f>floors!$C$2</f>
        <v>30034</v>
      </c>
      <c r="C2" s="81" t="str">
        <f ca="1">VLOOKUP($B2,OFFSET([2]quests!$A$1,0,0,COUNTA([2]quests!$A:$A),MATCH(C$1,[2]quests!$1:$1,0)-MATCH($B$1,[2]quests!$1:$1,0)+1),MATCH(C$1,[2]quests!$1:$1,0)-MATCH($B$1,[2]quests!$1:$1,0)+1,FALSE)</f>
        <v>孤高の焔翼</v>
      </c>
      <c r="D2" s="81" t="str">
        <f ca="1">VLOOKUP($B2,OFFSET([2]quests!$A$1,0,0,COUNTA([2]quests!$A:$A),MATCH(D$1,[2]quests!$1:$1,0)-MATCH($B$1,[2]quests!$1:$1,0)+1),MATCH(D$1,[2]quests!$1:$1,0)-MATCH($B$1,[2]quests!$1:$1,0)+1,FALSE)</f>
        <v>天使と悪魔</v>
      </c>
      <c r="E2" s="82">
        <v>3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【超級】孤高の焔翼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天使と悪魔</v>
      </c>
      <c r="H2" s="83">
        <v>1</v>
      </c>
      <c r="I2" s="88">
        <f t="shared" ref="I2:I25" si="0">ROW()-1</f>
        <v>1</v>
      </c>
      <c r="J2" s="84" t="str">
        <f t="shared" ref="J2:J25" si="1">B2&amp;TEXT(I2,"00")</f>
        <v>3003401</v>
      </c>
      <c r="K2" s="82" t="s">
        <v>198</v>
      </c>
      <c r="L2" s="85" t="s">
        <v>199</v>
      </c>
      <c r="M2" s="101" t="s">
        <v>267</v>
      </c>
      <c r="N2" s="56" t="s">
        <v>200</v>
      </c>
    </row>
    <row r="3" spans="1:14" ht="28" x14ac:dyDescent="0.15">
      <c r="A3" s="79" t="s">
        <v>197</v>
      </c>
      <c r="B3" s="80">
        <f>floors!$C$2</f>
        <v>30034</v>
      </c>
      <c r="C3" s="81" t="str">
        <f ca="1">VLOOKUP($B3,OFFSET([2]quests!$A$1,0,0,COUNTA([2]quests!$A:$A),MATCH(C$1,[2]quests!$1:$1,0)-MATCH($B$1,[2]quests!$1:$1,0)+1),MATCH(C$1,[2]quests!$1:$1,0)-MATCH($B$1,[2]quests!$1:$1,0)+1,FALSE)</f>
        <v>孤高の焔翼</v>
      </c>
      <c r="D3" s="81" t="str">
        <f ca="1">VLOOKUP($B3,OFFSET([2]quests!$A$1,0,0,COUNTA([2]quests!$A:$A),MATCH(D$1,[2]quests!$1:$1,0)-MATCH($B$1,[2]quests!$1:$1,0)+1),MATCH(D$1,[2]quests!$1:$1,0)-MATCH($B$1,[2]quests!$1:$1,0)+1,FALSE)</f>
        <v>天使と悪魔</v>
      </c>
      <c r="E3" s="82">
        <v>3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【超級】孤高の焔翼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天使と悪魔</v>
      </c>
      <c r="H3" s="83">
        <v>2</v>
      </c>
      <c r="I3" s="88">
        <f t="shared" si="0"/>
        <v>2</v>
      </c>
      <c r="J3" s="84" t="str">
        <f t="shared" si="1"/>
        <v>3003402</v>
      </c>
      <c r="K3" s="82" t="s">
        <v>128</v>
      </c>
      <c r="L3" s="85" t="s">
        <v>199</v>
      </c>
      <c r="M3" s="101" t="s">
        <v>268</v>
      </c>
      <c r="N3" s="56" t="s">
        <v>200</v>
      </c>
    </row>
    <row r="4" spans="1:14" ht="28" x14ac:dyDescent="0.15">
      <c r="A4" s="79" t="s">
        <v>197</v>
      </c>
      <c r="B4" s="80">
        <f>floors!$C$2</f>
        <v>30034</v>
      </c>
      <c r="C4" s="81" t="str">
        <f ca="1">VLOOKUP($B4,OFFSET([2]quests!$A$1,0,0,COUNTA([2]quests!$A:$A),MATCH(C$1,[2]quests!$1:$1,0)-MATCH($B$1,[2]quests!$1:$1,0)+1),MATCH(C$1,[2]quests!$1:$1,0)-MATCH($B$1,[2]quests!$1:$1,0)+1,FALSE)</f>
        <v>孤高の焔翼</v>
      </c>
      <c r="D4" s="81" t="str">
        <f ca="1">VLOOKUP($B4,OFFSET([2]quests!$A$1,0,0,COUNTA([2]quests!$A:$A),MATCH(D$1,[2]quests!$1:$1,0)-MATCH($B$1,[2]quests!$1:$1,0)+1),MATCH(D$1,[2]quests!$1:$1,0)-MATCH($B$1,[2]quests!$1:$1,0)+1,FALSE)</f>
        <v>天使と悪魔</v>
      </c>
      <c r="E4" s="82">
        <v>3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【超級】孤高の焔翼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天使と悪魔</v>
      </c>
      <c r="H4" s="83">
        <v>2</v>
      </c>
      <c r="I4" s="88">
        <f t="shared" si="0"/>
        <v>3</v>
      </c>
      <c r="J4" s="84" t="str">
        <f t="shared" si="1"/>
        <v>3003403</v>
      </c>
      <c r="K4" s="82" t="s">
        <v>128</v>
      </c>
      <c r="L4" s="85" t="s">
        <v>199</v>
      </c>
      <c r="M4" s="101" t="s">
        <v>269</v>
      </c>
      <c r="N4" s="56" t="s">
        <v>200</v>
      </c>
    </row>
    <row r="5" spans="1:14" ht="28" x14ac:dyDescent="0.15">
      <c r="A5" s="79" t="s">
        <v>197</v>
      </c>
      <c r="B5" s="80">
        <f>floors!$C$2</f>
        <v>30034</v>
      </c>
      <c r="C5" s="81" t="str">
        <f ca="1">VLOOKUP($B5,OFFSET([2]quests!$A$1,0,0,COUNTA([2]quests!$A:$A),MATCH(C$1,[2]quests!$1:$1,0)-MATCH($B$1,[2]quests!$1:$1,0)+1),MATCH(C$1,[2]quests!$1:$1,0)-MATCH($B$1,[2]quests!$1:$1,0)+1,FALSE)</f>
        <v>孤高の焔翼</v>
      </c>
      <c r="D5" s="81" t="str">
        <f ca="1">VLOOKUP($B5,OFFSET([2]quests!$A$1,0,0,COUNTA([2]quests!$A:$A),MATCH(D$1,[2]quests!$1:$1,0)-MATCH($B$1,[2]quests!$1:$1,0)+1),MATCH(D$1,[2]quests!$1:$1,0)-MATCH($B$1,[2]quests!$1:$1,0)+1,FALSE)</f>
        <v>天使と悪魔</v>
      </c>
      <c r="E5" s="82">
        <v>3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【超級】孤高の焔翼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天使と悪魔</v>
      </c>
      <c r="H5" s="83">
        <v>3</v>
      </c>
      <c r="I5" s="88">
        <f t="shared" si="0"/>
        <v>4</v>
      </c>
      <c r="J5" s="84" t="str">
        <f t="shared" si="1"/>
        <v>3003404</v>
      </c>
      <c r="K5" s="82" t="s">
        <v>128</v>
      </c>
      <c r="L5" s="85" t="s">
        <v>199</v>
      </c>
      <c r="M5" s="101" t="s">
        <v>266</v>
      </c>
      <c r="N5" s="56" t="s">
        <v>200</v>
      </c>
    </row>
    <row r="6" spans="1:14" ht="28" x14ac:dyDescent="0.15">
      <c r="A6" s="79" t="s">
        <v>197</v>
      </c>
      <c r="B6" s="80">
        <f>floors!$C$2</f>
        <v>30034</v>
      </c>
      <c r="C6" s="81" t="str">
        <f ca="1">VLOOKUP($B6,OFFSET([2]quests!$A$1,0,0,COUNTA([2]quests!$A:$A),MATCH(C$1,[2]quests!$1:$1,0)-MATCH($B$1,[2]quests!$1:$1,0)+1),MATCH(C$1,[2]quests!$1:$1,0)-MATCH($B$1,[2]quests!$1:$1,0)+1,FALSE)</f>
        <v>孤高の焔翼</v>
      </c>
      <c r="D6" s="81" t="str">
        <f ca="1">VLOOKUP($B6,OFFSET([2]quests!$A$1,0,0,COUNTA([2]quests!$A:$A),MATCH(D$1,[2]quests!$1:$1,0)-MATCH($B$1,[2]quests!$1:$1,0)+1),MATCH(D$1,[2]quests!$1:$1,0)-MATCH($B$1,[2]quests!$1:$1,0)+1,FALSE)</f>
        <v>天使と悪魔</v>
      </c>
      <c r="E6" s="82">
        <v>3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【超級】孤高の焔翼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天使と悪魔</v>
      </c>
      <c r="H6" s="83">
        <v>4</v>
      </c>
      <c r="I6" s="88">
        <f t="shared" si="0"/>
        <v>5</v>
      </c>
      <c r="J6" s="84" t="str">
        <f t="shared" si="1"/>
        <v>3003405</v>
      </c>
      <c r="K6" s="82" t="s">
        <v>128</v>
      </c>
      <c r="L6" s="85" t="s">
        <v>199</v>
      </c>
      <c r="M6" s="101" t="s">
        <v>275</v>
      </c>
      <c r="N6" s="56" t="s">
        <v>200</v>
      </c>
    </row>
    <row r="7" spans="1:14" ht="42" x14ac:dyDescent="0.15">
      <c r="A7" s="79" t="s">
        <v>197</v>
      </c>
      <c r="B7" s="80">
        <f>floors!$C$2</f>
        <v>30034</v>
      </c>
      <c r="C7" s="81" t="str">
        <f ca="1">VLOOKUP($B7,OFFSET([2]quests!$A$1,0,0,COUNTA([2]quests!$A:$A),MATCH(C$1,[2]quests!$1:$1,0)-MATCH($B$1,[2]quests!$1:$1,0)+1),MATCH(C$1,[2]quests!$1:$1,0)-MATCH($B$1,[2]quests!$1:$1,0)+1,FALSE)</f>
        <v>孤高の焔翼</v>
      </c>
      <c r="D7" s="81" t="str">
        <f ca="1">VLOOKUP($B7,OFFSET([2]quests!$A$1,0,0,COUNTA([2]quests!$A:$A),MATCH(D$1,[2]quests!$1:$1,0)-MATCH($B$1,[2]quests!$1:$1,0)+1),MATCH(D$1,[2]quests!$1:$1,0)-MATCH($B$1,[2]quests!$1:$1,0)+1,FALSE)</f>
        <v>天使と悪魔</v>
      </c>
      <c r="E7" s="82">
        <v>3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【超級】孤高の焔翼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天使と悪魔</v>
      </c>
      <c r="H7" s="83">
        <v>4</v>
      </c>
      <c r="I7" s="88">
        <f t="shared" si="0"/>
        <v>6</v>
      </c>
      <c r="J7" s="84" t="str">
        <f t="shared" si="1"/>
        <v>3003406</v>
      </c>
      <c r="K7" s="82" t="s">
        <v>128</v>
      </c>
      <c r="L7" s="85" t="s">
        <v>199</v>
      </c>
      <c r="M7" s="101" t="s">
        <v>270</v>
      </c>
      <c r="N7" s="56" t="s">
        <v>200</v>
      </c>
    </row>
    <row r="8" spans="1:14" ht="42" x14ac:dyDescent="0.15">
      <c r="A8" s="79" t="s">
        <v>197</v>
      </c>
      <c r="B8" s="80">
        <f>floors!$C$2</f>
        <v>30034</v>
      </c>
      <c r="C8" s="81" t="str">
        <f ca="1">VLOOKUP($B8,OFFSET([2]quests!$A$1,0,0,COUNTA([2]quests!$A:$A),MATCH(C$1,[2]quests!$1:$1,0)-MATCH($B$1,[2]quests!$1:$1,0)+1),MATCH(C$1,[2]quests!$1:$1,0)-MATCH($B$1,[2]quests!$1:$1,0)+1,FALSE)</f>
        <v>孤高の焔翼</v>
      </c>
      <c r="D8" s="81" t="str">
        <f ca="1">VLOOKUP($B8,OFFSET([2]quests!$A$1,0,0,COUNTA([2]quests!$A:$A),MATCH(D$1,[2]quests!$1:$1,0)-MATCH($B$1,[2]quests!$1:$1,0)+1),MATCH(D$1,[2]quests!$1:$1,0)-MATCH($B$1,[2]quests!$1:$1,0)+1,FALSE)</f>
        <v>天使と悪魔</v>
      </c>
      <c r="E8" s="82">
        <v>3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【超級】孤高の焔翼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天使と悪魔</v>
      </c>
      <c r="H8" s="83">
        <v>5</v>
      </c>
      <c r="I8" s="88">
        <f t="shared" si="0"/>
        <v>7</v>
      </c>
      <c r="J8" s="84" t="str">
        <f t="shared" si="1"/>
        <v>3003407</v>
      </c>
      <c r="K8" s="82" t="s">
        <v>128</v>
      </c>
      <c r="L8" s="85" t="s">
        <v>199</v>
      </c>
      <c r="M8" s="101" t="s">
        <v>271</v>
      </c>
      <c r="N8" s="56" t="s">
        <v>200</v>
      </c>
    </row>
    <row r="9" spans="1:14" ht="42" x14ac:dyDescent="0.15">
      <c r="A9" s="79" t="s">
        <v>197</v>
      </c>
      <c r="B9" s="80">
        <f>floors!$C$2</f>
        <v>30034</v>
      </c>
      <c r="C9" s="81" t="str">
        <f ca="1">VLOOKUP($B9,OFFSET([2]quests!$A$1,0,0,COUNTA([2]quests!$A:$A),MATCH(C$1,[2]quests!$1:$1,0)-MATCH($B$1,[2]quests!$1:$1,0)+1),MATCH(C$1,[2]quests!$1:$1,0)-MATCH($B$1,[2]quests!$1:$1,0)+1,FALSE)</f>
        <v>孤高の焔翼</v>
      </c>
      <c r="D9" s="81" t="str">
        <f ca="1">VLOOKUP($B9,OFFSET([2]quests!$A$1,0,0,COUNTA([2]quests!$A:$A),MATCH(D$1,[2]quests!$1:$1,0)-MATCH($B$1,[2]quests!$1:$1,0)+1),MATCH(D$1,[2]quests!$1:$1,0)-MATCH($B$1,[2]quests!$1:$1,0)+1,FALSE)</f>
        <v>天使と悪魔</v>
      </c>
      <c r="E9" s="82">
        <v>3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【超級】孤高の焔翼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天使と悪魔</v>
      </c>
      <c r="H9" s="83">
        <v>5</v>
      </c>
      <c r="I9" s="88">
        <f t="shared" si="0"/>
        <v>8</v>
      </c>
      <c r="J9" s="84" t="str">
        <f t="shared" si="1"/>
        <v>3003408</v>
      </c>
      <c r="K9" s="82" t="s">
        <v>128</v>
      </c>
      <c r="L9" s="85" t="s">
        <v>199</v>
      </c>
      <c r="M9" s="101" t="s">
        <v>272</v>
      </c>
      <c r="N9" s="56" t="s">
        <v>200</v>
      </c>
    </row>
    <row r="10" spans="1:14" ht="28" x14ac:dyDescent="0.15">
      <c r="A10" s="79" t="s">
        <v>197</v>
      </c>
      <c r="B10" s="80">
        <f>floors!$C$2</f>
        <v>30034</v>
      </c>
      <c r="C10" s="81" t="str">
        <f ca="1">VLOOKUP($B10,OFFSET([2]quests!$A$1,0,0,COUNTA([2]quests!$A:$A),MATCH(C$1,[2]quests!$1:$1,0)-MATCH($B$1,[2]quests!$1:$1,0)+1),MATCH(C$1,[2]quests!$1:$1,0)-MATCH($B$1,[2]quests!$1:$1,0)+1,FALSE)</f>
        <v>孤高の焔翼</v>
      </c>
      <c r="D10" s="81" t="str">
        <f ca="1">VLOOKUP($B10,OFFSET([2]quests!$A$1,0,0,COUNTA([2]quests!$A:$A),MATCH(D$1,[2]quests!$1:$1,0)-MATCH($B$1,[2]quests!$1:$1,0)+1),MATCH(D$1,[2]quests!$1:$1,0)-MATCH($B$1,[2]quests!$1:$1,0)+1,FALSE)</f>
        <v>天使と悪魔</v>
      </c>
      <c r="E10" s="82">
        <v>2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【上級】孤高の焔翼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天使と悪魔</v>
      </c>
      <c r="H10" s="83">
        <v>1</v>
      </c>
      <c r="I10" s="88">
        <f t="shared" si="0"/>
        <v>9</v>
      </c>
      <c r="J10" s="84" t="str">
        <f t="shared" si="1"/>
        <v>3003409</v>
      </c>
      <c r="K10" s="82" t="s">
        <v>128</v>
      </c>
      <c r="L10" s="85" t="s">
        <v>199</v>
      </c>
      <c r="M10" s="101" t="s">
        <v>267</v>
      </c>
      <c r="N10" s="56" t="s">
        <v>200</v>
      </c>
    </row>
    <row r="11" spans="1:14" ht="28" x14ac:dyDescent="0.15">
      <c r="A11" s="79" t="s">
        <v>197</v>
      </c>
      <c r="B11" s="80">
        <f>floors!$C$2</f>
        <v>30034</v>
      </c>
      <c r="C11" s="81" t="str">
        <f ca="1">VLOOKUP($B11,OFFSET([2]quests!$A$1,0,0,COUNTA([2]quests!$A:$A),MATCH(C$1,[2]quests!$1:$1,0)-MATCH($B$1,[2]quests!$1:$1,0)+1),MATCH(C$1,[2]quests!$1:$1,0)-MATCH($B$1,[2]quests!$1:$1,0)+1,FALSE)</f>
        <v>孤高の焔翼</v>
      </c>
      <c r="D11" s="81" t="str">
        <f ca="1">VLOOKUP($B11,OFFSET([2]quests!$A$1,0,0,COUNTA([2]quests!$A:$A),MATCH(D$1,[2]quests!$1:$1,0)-MATCH($B$1,[2]quests!$1:$1,0)+1),MATCH(D$1,[2]quests!$1:$1,0)-MATCH($B$1,[2]quests!$1:$1,0)+1,FALSE)</f>
        <v>天使と悪魔</v>
      </c>
      <c r="E11" s="82">
        <v>2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【上級】孤高の焔翼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天使と悪魔</v>
      </c>
      <c r="H11" s="83">
        <v>2</v>
      </c>
      <c r="I11" s="88">
        <f t="shared" si="0"/>
        <v>10</v>
      </c>
      <c r="J11" s="84" t="str">
        <f t="shared" si="1"/>
        <v>3003410</v>
      </c>
      <c r="K11" s="82" t="s">
        <v>128</v>
      </c>
      <c r="L11" s="85" t="s">
        <v>199</v>
      </c>
      <c r="M11" s="101" t="s">
        <v>268</v>
      </c>
      <c r="N11" s="56" t="s">
        <v>200</v>
      </c>
    </row>
    <row r="12" spans="1:14" ht="28" x14ac:dyDescent="0.15">
      <c r="A12" s="79" t="s">
        <v>197</v>
      </c>
      <c r="B12" s="80">
        <f>floors!$C$2</f>
        <v>30034</v>
      </c>
      <c r="C12" s="81" t="str">
        <f ca="1">VLOOKUP($B12,OFFSET([2]quests!$A$1,0,0,COUNTA([2]quests!$A:$A),MATCH(C$1,[2]quests!$1:$1,0)-MATCH($B$1,[2]quests!$1:$1,0)+1),MATCH(C$1,[2]quests!$1:$1,0)-MATCH($B$1,[2]quests!$1:$1,0)+1,FALSE)</f>
        <v>孤高の焔翼</v>
      </c>
      <c r="D12" s="81" t="str">
        <f ca="1">VLOOKUP($B12,OFFSET([2]quests!$A$1,0,0,COUNTA([2]quests!$A:$A),MATCH(D$1,[2]quests!$1:$1,0)-MATCH($B$1,[2]quests!$1:$1,0)+1),MATCH(D$1,[2]quests!$1:$1,0)-MATCH($B$1,[2]quests!$1:$1,0)+1,FALSE)</f>
        <v>天使と悪魔</v>
      </c>
      <c r="E12" s="82">
        <v>2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【上級】孤高の焔翼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天使と悪魔</v>
      </c>
      <c r="H12" s="83">
        <v>2</v>
      </c>
      <c r="I12" s="88">
        <f t="shared" si="0"/>
        <v>11</v>
      </c>
      <c r="J12" s="84" t="str">
        <f t="shared" si="1"/>
        <v>3003411</v>
      </c>
      <c r="K12" s="82" t="s">
        <v>128</v>
      </c>
      <c r="L12" s="85" t="s">
        <v>199</v>
      </c>
      <c r="M12" s="101" t="s">
        <v>269</v>
      </c>
      <c r="N12" s="56" t="s">
        <v>200</v>
      </c>
    </row>
    <row r="13" spans="1:14" ht="28" x14ac:dyDescent="0.15">
      <c r="A13" s="79" t="s">
        <v>197</v>
      </c>
      <c r="B13" s="80">
        <f>floors!$C$2</f>
        <v>30034</v>
      </c>
      <c r="C13" s="81" t="str">
        <f ca="1">VLOOKUP($B13,OFFSET([2]quests!$A$1,0,0,COUNTA([2]quests!$A:$A),MATCH(C$1,[2]quests!$1:$1,0)-MATCH($B$1,[2]quests!$1:$1,0)+1),MATCH(C$1,[2]quests!$1:$1,0)-MATCH($B$1,[2]quests!$1:$1,0)+1,FALSE)</f>
        <v>孤高の焔翼</v>
      </c>
      <c r="D13" s="81" t="str">
        <f ca="1">VLOOKUP($B13,OFFSET([2]quests!$A$1,0,0,COUNTA([2]quests!$A:$A),MATCH(D$1,[2]quests!$1:$1,0)-MATCH($B$1,[2]quests!$1:$1,0)+1),MATCH(D$1,[2]quests!$1:$1,0)-MATCH($B$1,[2]quests!$1:$1,0)+1,FALSE)</f>
        <v>天使と悪魔</v>
      </c>
      <c r="E13" s="82">
        <v>2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【上級】孤高の焔翼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天使と悪魔</v>
      </c>
      <c r="H13" s="83">
        <v>3</v>
      </c>
      <c r="I13" s="88">
        <f t="shared" si="0"/>
        <v>12</v>
      </c>
      <c r="J13" s="84" t="str">
        <f t="shared" si="1"/>
        <v>3003412</v>
      </c>
      <c r="K13" s="82" t="s">
        <v>128</v>
      </c>
      <c r="L13" s="85" t="s">
        <v>199</v>
      </c>
      <c r="M13" s="101" t="s">
        <v>266</v>
      </c>
      <c r="N13" s="56" t="s">
        <v>200</v>
      </c>
    </row>
    <row r="14" spans="1:14" ht="28" x14ac:dyDescent="0.15">
      <c r="A14" s="79" t="s">
        <v>197</v>
      </c>
      <c r="B14" s="80">
        <f>floors!$C$2</f>
        <v>30034</v>
      </c>
      <c r="C14" s="81" t="str">
        <f ca="1">VLOOKUP($B14,OFFSET([2]quests!$A$1,0,0,COUNTA([2]quests!$A:$A),MATCH(C$1,[2]quests!$1:$1,0)-MATCH($B$1,[2]quests!$1:$1,0)+1),MATCH(C$1,[2]quests!$1:$1,0)-MATCH($B$1,[2]quests!$1:$1,0)+1,FALSE)</f>
        <v>孤高の焔翼</v>
      </c>
      <c r="D14" s="81" t="str">
        <f ca="1">VLOOKUP($B14,OFFSET([2]quests!$A$1,0,0,COUNTA([2]quests!$A:$A),MATCH(D$1,[2]quests!$1:$1,0)-MATCH($B$1,[2]quests!$1:$1,0)+1),MATCH(D$1,[2]quests!$1:$1,0)-MATCH($B$1,[2]quests!$1:$1,0)+1,FALSE)</f>
        <v>天使と悪魔</v>
      </c>
      <c r="E14" s="82">
        <v>2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【上級】孤高の焔翼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天使と悪魔</v>
      </c>
      <c r="H14" s="83">
        <v>4</v>
      </c>
      <c r="I14" s="88">
        <f t="shared" si="0"/>
        <v>13</v>
      </c>
      <c r="J14" s="84" t="str">
        <f t="shared" si="1"/>
        <v>3003413</v>
      </c>
      <c r="K14" s="82" t="s">
        <v>128</v>
      </c>
      <c r="L14" s="85" t="s">
        <v>199</v>
      </c>
      <c r="M14" s="101" t="s">
        <v>275</v>
      </c>
      <c r="N14" s="56" t="s">
        <v>200</v>
      </c>
    </row>
    <row r="15" spans="1:14" ht="42" x14ac:dyDescent="0.15">
      <c r="A15" s="79" t="s">
        <v>197</v>
      </c>
      <c r="B15" s="80">
        <f>floors!$C$2</f>
        <v>30034</v>
      </c>
      <c r="C15" s="81" t="str">
        <f ca="1">VLOOKUP($B15,OFFSET([2]quests!$A$1,0,0,COUNTA([2]quests!$A:$A),MATCH(C$1,[2]quests!$1:$1,0)-MATCH($B$1,[2]quests!$1:$1,0)+1),MATCH(C$1,[2]quests!$1:$1,0)-MATCH($B$1,[2]quests!$1:$1,0)+1,FALSE)</f>
        <v>孤高の焔翼</v>
      </c>
      <c r="D15" s="81" t="str">
        <f ca="1">VLOOKUP($B15,OFFSET([2]quests!$A$1,0,0,COUNTA([2]quests!$A:$A),MATCH(D$1,[2]quests!$1:$1,0)-MATCH($B$1,[2]quests!$1:$1,0)+1),MATCH(D$1,[2]quests!$1:$1,0)-MATCH($B$1,[2]quests!$1:$1,0)+1,FALSE)</f>
        <v>天使と悪魔</v>
      </c>
      <c r="E15" s="82">
        <v>2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【上級】孤高の焔翼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天使と悪魔</v>
      </c>
      <c r="H15" s="83">
        <v>4</v>
      </c>
      <c r="I15" s="88">
        <f t="shared" si="0"/>
        <v>14</v>
      </c>
      <c r="J15" s="84" t="str">
        <f t="shared" si="1"/>
        <v>3003414</v>
      </c>
      <c r="K15" s="82" t="s">
        <v>128</v>
      </c>
      <c r="L15" s="85" t="s">
        <v>199</v>
      </c>
      <c r="M15" s="101" t="s">
        <v>270</v>
      </c>
      <c r="N15" s="56" t="s">
        <v>200</v>
      </c>
    </row>
    <row r="16" spans="1:14" ht="42" x14ac:dyDescent="0.15">
      <c r="A16" s="79" t="s">
        <v>197</v>
      </c>
      <c r="B16" s="80">
        <f>floors!$C$2</f>
        <v>30034</v>
      </c>
      <c r="C16" s="81" t="str">
        <f ca="1">VLOOKUP($B16,OFFSET([2]quests!$A$1,0,0,COUNTA([2]quests!$A:$A),MATCH(C$1,[2]quests!$1:$1,0)-MATCH($B$1,[2]quests!$1:$1,0)+1),MATCH(C$1,[2]quests!$1:$1,0)-MATCH($B$1,[2]quests!$1:$1,0)+1,FALSE)</f>
        <v>孤高の焔翼</v>
      </c>
      <c r="D16" s="81" t="str">
        <f ca="1">VLOOKUP($B16,OFFSET([2]quests!$A$1,0,0,COUNTA([2]quests!$A:$A),MATCH(D$1,[2]quests!$1:$1,0)-MATCH($B$1,[2]quests!$1:$1,0)+1),MATCH(D$1,[2]quests!$1:$1,0)-MATCH($B$1,[2]quests!$1:$1,0)+1,FALSE)</f>
        <v>天使と悪魔</v>
      </c>
      <c r="E16" s="82">
        <v>2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【上級】孤高の焔翼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天使と悪魔</v>
      </c>
      <c r="H16" s="83">
        <v>5</v>
      </c>
      <c r="I16" s="88">
        <f t="shared" si="0"/>
        <v>15</v>
      </c>
      <c r="J16" s="84" t="str">
        <f t="shared" si="1"/>
        <v>3003415</v>
      </c>
      <c r="K16" s="82" t="s">
        <v>128</v>
      </c>
      <c r="L16" s="85" t="s">
        <v>199</v>
      </c>
      <c r="M16" s="101" t="s">
        <v>273</v>
      </c>
      <c r="N16" s="56" t="s">
        <v>200</v>
      </c>
    </row>
    <row r="17" spans="1:14" ht="42" x14ac:dyDescent="0.15">
      <c r="A17" s="79" t="s">
        <v>197</v>
      </c>
      <c r="B17" s="80">
        <f>floors!$C$2</f>
        <v>30034</v>
      </c>
      <c r="C17" s="81" t="str">
        <f ca="1">VLOOKUP($B17,OFFSET([2]quests!$A$1,0,0,COUNTA([2]quests!$A:$A),MATCH(C$1,[2]quests!$1:$1,0)-MATCH($B$1,[2]quests!$1:$1,0)+1),MATCH(C$1,[2]quests!$1:$1,0)-MATCH($B$1,[2]quests!$1:$1,0)+1,FALSE)</f>
        <v>孤高の焔翼</v>
      </c>
      <c r="D17" s="81" t="str">
        <f ca="1">VLOOKUP($B17,OFFSET([2]quests!$A$1,0,0,COUNTA([2]quests!$A:$A),MATCH(D$1,[2]quests!$1:$1,0)-MATCH($B$1,[2]quests!$1:$1,0)+1),MATCH(D$1,[2]quests!$1:$1,0)-MATCH($B$1,[2]quests!$1:$1,0)+1,FALSE)</f>
        <v>天使と悪魔</v>
      </c>
      <c r="E17" s="82">
        <v>2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【上級】孤高の焔翼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天使と悪魔</v>
      </c>
      <c r="H17" s="83">
        <v>5</v>
      </c>
      <c r="I17" s="88">
        <f t="shared" si="0"/>
        <v>16</v>
      </c>
      <c r="J17" s="84" t="str">
        <f t="shared" si="1"/>
        <v>3003416</v>
      </c>
      <c r="K17" s="82" t="s">
        <v>128</v>
      </c>
      <c r="L17" s="85" t="s">
        <v>199</v>
      </c>
      <c r="M17" s="101" t="s">
        <v>274</v>
      </c>
      <c r="N17" s="56" t="s">
        <v>200</v>
      </c>
    </row>
    <row r="18" spans="1:14" ht="28" x14ac:dyDescent="0.15">
      <c r="A18" s="79" t="s">
        <v>197</v>
      </c>
      <c r="B18" s="80">
        <f>floors!$C$2</f>
        <v>30034</v>
      </c>
      <c r="C18" s="81" t="str">
        <f ca="1">VLOOKUP($B18,OFFSET([2]quests!$A$1,0,0,COUNTA([2]quests!$A:$A),MATCH(C$1,[2]quests!$1:$1,0)-MATCH($B$1,[2]quests!$1:$1,0)+1),MATCH(C$1,[2]quests!$1:$1,0)-MATCH($B$1,[2]quests!$1:$1,0)+1,FALSE)</f>
        <v>孤高の焔翼</v>
      </c>
      <c r="D18" s="81" t="str">
        <f ca="1">VLOOKUP($B18,OFFSET([2]quests!$A$1,0,0,COUNTA([2]quests!$A:$A),MATCH(D$1,[2]quests!$1:$1,0)-MATCH($B$1,[2]quests!$1:$1,0)+1),MATCH(D$1,[2]quests!$1:$1,0)-MATCH($B$1,[2]quests!$1:$1,0)+1,FALSE)</f>
        <v>天使と悪魔</v>
      </c>
      <c r="E18" s="82">
        <v>1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【中級】孤高の焔翼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天使と悪魔</v>
      </c>
      <c r="H18" s="83">
        <v>1</v>
      </c>
      <c r="I18" s="88">
        <f t="shared" si="0"/>
        <v>17</v>
      </c>
      <c r="J18" s="84" t="str">
        <f t="shared" si="1"/>
        <v>3003417</v>
      </c>
      <c r="K18" s="82" t="s">
        <v>128</v>
      </c>
      <c r="L18" s="85" t="s">
        <v>199</v>
      </c>
      <c r="M18" s="101" t="s">
        <v>267</v>
      </c>
      <c r="N18" s="56" t="s">
        <v>200</v>
      </c>
    </row>
    <row r="19" spans="1:14" ht="28" x14ac:dyDescent="0.15">
      <c r="A19" s="79" t="s">
        <v>197</v>
      </c>
      <c r="B19" s="80">
        <f>floors!$C$2</f>
        <v>30034</v>
      </c>
      <c r="C19" s="81" t="str">
        <f ca="1">VLOOKUP($B19,OFFSET([2]quests!$A$1,0,0,COUNTA([2]quests!$A:$A),MATCH(C$1,[2]quests!$1:$1,0)-MATCH($B$1,[2]quests!$1:$1,0)+1),MATCH(C$1,[2]quests!$1:$1,0)-MATCH($B$1,[2]quests!$1:$1,0)+1,FALSE)</f>
        <v>孤高の焔翼</v>
      </c>
      <c r="D19" s="81" t="str">
        <f ca="1">VLOOKUP($B19,OFFSET([2]quests!$A$1,0,0,COUNTA([2]quests!$A:$A),MATCH(D$1,[2]quests!$1:$1,0)-MATCH($B$1,[2]quests!$1:$1,0)+1),MATCH(D$1,[2]quests!$1:$1,0)-MATCH($B$1,[2]quests!$1:$1,0)+1,FALSE)</f>
        <v>天使と悪魔</v>
      </c>
      <c r="E19" s="82">
        <v>1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【中級】孤高の焔翼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天使と悪魔</v>
      </c>
      <c r="H19" s="83">
        <v>2</v>
      </c>
      <c r="I19" s="88">
        <f t="shared" si="0"/>
        <v>18</v>
      </c>
      <c r="J19" s="84" t="str">
        <f t="shared" si="1"/>
        <v>3003418</v>
      </c>
      <c r="K19" s="82" t="s">
        <v>128</v>
      </c>
      <c r="L19" s="85" t="s">
        <v>199</v>
      </c>
      <c r="M19" s="101" t="s">
        <v>268</v>
      </c>
      <c r="N19" s="56" t="s">
        <v>200</v>
      </c>
    </row>
    <row r="20" spans="1:14" ht="28" x14ac:dyDescent="0.15">
      <c r="A20" s="79" t="s">
        <v>197</v>
      </c>
      <c r="B20" s="80">
        <f>floors!$C$2</f>
        <v>30034</v>
      </c>
      <c r="C20" s="81" t="str">
        <f ca="1">VLOOKUP($B20,OFFSET([2]quests!$A$1,0,0,COUNTA([2]quests!$A:$A),MATCH(C$1,[2]quests!$1:$1,0)-MATCH($B$1,[2]quests!$1:$1,0)+1),MATCH(C$1,[2]quests!$1:$1,0)-MATCH($B$1,[2]quests!$1:$1,0)+1,FALSE)</f>
        <v>孤高の焔翼</v>
      </c>
      <c r="D20" s="81" t="str">
        <f ca="1">VLOOKUP($B20,OFFSET([2]quests!$A$1,0,0,COUNTA([2]quests!$A:$A),MATCH(D$1,[2]quests!$1:$1,0)-MATCH($B$1,[2]quests!$1:$1,0)+1),MATCH(D$1,[2]quests!$1:$1,0)-MATCH($B$1,[2]quests!$1:$1,0)+1,FALSE)</f>
        <v>天使と悪魔</v>
      </c>
      <c r="E20" s="82">
        <v>1</v>
      </c>
      <c r="F20" s="81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【中級】孤高の焔翼</v>
      </c>
      <c r="G20" s="81" t="str">
        <f ca="1">VLOOKUP($B20&amp;"_"&amp;$E20,OFFSET([2]stages!$A$1,0,0,COUNTA([2]stages!$A:$A),MATCH(G$1,[2]stages!$2:$2,0)-MATCH("temp_stage",[2]stages!$2:$2,0)+1),MATCH(G$1,[2]stages!$2:$2,0)-MATCH("temp_stage",[2]stages!$2:$2,0)+1,FALSE)</f>
        <v>天使と悪魔</v>
      </c>
      <c r="H20" s="83">
        <v>2</v>
      </c>
      <c r="I20" s="88">
        <f t="shared" si="0"/>
        <v>19</v>
      </c>
      <c r="J20" s="84" t="str">
        <f t="shared" si="1"/>
        <v>3003419</v>
      </c>
      <c r="K20" s="82" t="s">
        <v>128</v>
      </c>
      <c r="L20" s="85" t="s">
        <v>199</v>
      </c>
      <c r="M20" s="101" t="s">
        <v>269</v>
      </c>
      <c r="N20" s="56" t="s">
        <v>200</v>
      </c>
    </row>
    <row r="21" spans="1:14" ht="28" x14ac:dyDescent="0.15">
      <c r="A21" s="79" t="s">
        <v>197</v>
      </c>
      <c r="B21" s="80">
        <f>floors!$C$2</f>
        <v>30034</v>
      </c>
      <c r="C21" s="81" t="str">
        <f ca="1">VLOOKUP($B21,OFFSET([2]quests!$A$1,0,0,COUNTA([2]quests!$A:$A),MATCH(C$1,[2]quests!$1:$1,0)-MATCH($B$1,[2]quests!$1:$1,0)+1),MATCH(C$1,[2]quests!$1:$1,0)-MATCH($B$1,[2]quests!$1:$1,0)+1,FALSE)</f>
        <v>孤高の焔翼</v>
      </c>
      <c r="D21" s="81" t="str">
        <f ca="1">VLOOKUP($B21,OFFSET([2]quests!$A$1,0,0,COUNTA([2]quests!$A:$A),MATCH(D$1,[2]quests!$1:$1,0)-MATCH($B$1,[2]quests!$1:$1,0)+1),MATCH(D$1,[2]quests!$1:$1,0)-MATCH($B$1,[2]quests!$1:$1,0)+1,FALSE)</f>
        <v>天使と悪魔</v>
      </c>
      <c r="E21" s="82">
        <v>1</v>
      </c>
      <c r="F21" s="81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【中級】孤高の焔翼</v>
      </c>
      <c r="G21" s="81" t="str">
        <f ca="1">VLOOKUP($B21&amp;"_"&amp;$E21,OFFSET([2]stages!$A$1,0,0,COUNTA([2]stages!$A:$A),MATCH(G$1,[2]stages!$2:$2,0)-MATCH("temp_stage",[2]stages!$2:$2,0)+1),MATCH(G$1,[2]stages!$2:$2,0)-MATCH("temp_stage",[2]stages!$2:$2,0)+1,FALSE)</f>
        <v>天使と悪魔</v>
      </c>
      <c r="H21" s="83">
        <v>3</v>
      </c>
      <c r="I21" s="88">
        <f t="shared" si="0"/>
        <v>20</v>
      </c>
      <c r="J21" s="84" t="str">
        <f t="shared" si="1"/>
        <v>3003420</v>
      </c>
      <c r="K21" s="82" t="s">
        <v>128</v>
      </c>
      <c r="L21" s="85" t="s">
        <v>199</v>
      </c>
      <c r="M21" s="101" t="s">
        <v>266</v>
      </c>
      <c r="N21" s="56" t="s">
        <v>200</v>
      </c>
    </row>
    <row r="22" spans="1:14" ht="28" x14ac:dyDescent="0.15">
      <c r="A22" s="79" t="s">
        <v>197</v>
      </c>
      <c r="B22" s="80">
        <f>floors!$C$2</f>
        <v>30034</v>
      </c>
      <c r="C22" s="81" t="str">
        <f ca="1">VLOOKUP($B22,OFFSET([2]quests!$A$1,0,0,COUNTA([2]quests!$A:$A),MATCH(C$1,[2]quests!$1:$1,0)-MATCH($B$1,[2]quests!$1:$1,0)+1),MATCH(C$1,[2]quests!$1:$1,0)-MATCH($B$1,[2]quests!$1:$1,0)+1,FALSE)</f>
        <v>孤高の焔翼</v>
      </c>
      <c r="D22" s="81" t="str">
        <f ca="1">VLOOKUP($B22,OFFSET([2]quests!$A$1,0,0,COUNTA([2]quests!$A:$A),MATCH(D$1,[2]quests!$1:$1,0)-MATCH($B$1,[2]quests!$1:$1,0)+1),MATCH(D$1,[2]quests!$1:$1,0)-MATCH($B$1,[2]quests!$1:$1,0)+1,FALSE)</f>
        <v>天使と悪魔</v>
      </c>
      <c r="E22" s="82">
        <v>1</v>
      </c>
      <c r="F22" s="81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【中級】孤高の焔翼</v>
      </c>
      <c r="G22" s="81" t="str">
        <f ca="1">VLOOKUP($B22&amp;"_"&amp;$E22,OFFSET([2]stages!$A$1,0,0,COUNTA([2]stages!$A:$A),MATCH(G$1,[2]stages!$2:$2,0)-MATCH("temp_stage",[2]stages!$2:$2,0)+1),MATCH(G$1,[2]stages!$2:$2,0)-MATCH("temp_stage",[2]stages!$2:$2,0)+1,FALSE)</f>
        <v>天使と悪魔</v>
      </c>
      <c r="H22" s="83">
        <v>4</v>
      </c>
      <c r="I22" s="88">
        <f t="shared" si="0"/>
        <v>21</v>
      </c>
      <c r="J22" s="84" t="str">
        <f t="shared" si="1"/>
        <v>3003421</v>
      </c>
      <c r="K22" s="82" t="s">
        <v>128</v>
      </c>
      <c r="L22" s="85" t="s">
        <v>199</v>
      </c>
      <c r="M22" s="101" t="s">
        <v>275</v>
      </c>
      <c r="N22" s="56" t="s">
        <v>200</v>
      </c>
    </row>
    <row r="23" spans="1:14" ht="42" x14ac:dyDescent="0.15">
      <c r="A23" s="79" t="s">
        <v>197</v>
      </c>
      <c r="B23" s="80">
        <f>floors!$C$2</f>
        <v>30034</v>
      </c>
      <c r="C23" s="81" t="str">
        <f ca="1">VLOOKUP($B23,OFFSET([2]quests!$A$1,0,0,COUNTA([2]quests!$A:$A),MATCH(C$1,[2]quests!$1:$1,0)-MATCH($B$1,[2]quests!$1:$1,0)+1),MATCH(C$1,[2]quests!$1:$1,0)-MATCH($B$1,[2]quests!$1:$1,0)+1,FALSE)</f>
        <v>孤高の焔翼</v>
      </c>
      <c r="D23" s="81" t="str">
        <f ca="1">VLOOKUP($B23,OFFSET([2]quests!$A$1,0,0,COUNTA([2]quests!$A:$A),MATCH(D$1,[2]quests!$1:$1,0)-MATCH($B$1,[2]quests!$1:$1,0)+1),MATCH(D$1,[2]quests!$1:$1,0)-MATCH($B$1,[2]quests!$1:$1,0)+1,FALSE)</f>
        <v>天使と悪魔</v>
      </c>
      <c r="E23" s="82">
        <v>1</v>
      </c>
      <c r="F23" s="81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【中級】孤高の焔翼</v>
      </c>
      <c r="G23" s="81" t="str">
        <f ca="1">VLOOKUP($B23&amp;"_"&amp;$E23,OFFSET([2]stages!$A$1,0,0,COUNTA([2]stages!$A:$A),MATCH(G$1,[2]stages!$2:$2,0)-MATCH("temp_stage",[2]stages!$2:$2,0)+1),MATCH(G$1,[2]stages!$2:$2,0)-MATCH("temp_stage",[2]stages!$2:$2,0)+1,FALSE)</f>
        <v>天使と悪魔</v>
      </c>
      <c r="H23" s="83">
        <v>4</v>
      </c>
      <c r="I23" s="88">
        <f t="shared" si="0"/>
        <v>22</v>
      </c>
      <c r="J23" s="84" t="str">
        <f t="shared" si="1"/>
        <v>3003422</v>
      </c>
      <c r="K23" s="82" t="s">
        <v>128</v>
      </c>
      <c r="L23" s="85" t="s">
        <v>199</v>
      </c>
      <c r="M23" s="101" t="s">
        <v>270</v>
      </c>
      <c r="N23" s="56" t="s">
        <v>200</v>
      </c>
    </row>
    <row r="24" spans="1:14" ht="42" x14ac:dyDescent="0.15">
      <c r="A24" s="79" t="s">
        <v>197</v>
      </c>
      <c r="B24" s="80">
        <f>floors!$C$2</f>
        <v>30034</v>
      </c>
      <c r="C24" s="81" t="str">
        <f ca="1">VLOOKUP($B24,OFFSET([2]quests!$A$1,0,0,COUNTA([2]quests!$A:$A),MATCH(C$1,[2]quests!$1:$1,0)-MATCH($B$1,[2]quests!$1:$1,0)+1),MATCH(C$1,[2]quests!$1:$1,0)-MATCH($B$1,[2]quests!$1:$1,0)+1,FALSE)</f>
        <v>孤高の焔翼</v>
      </c>
      <c r="D24" s="81" t="str">
        <f ca="1">VLOOKUP($B24,OFFSET([2]quests!$A$1,0,0,COUNTA([2]quests!$A:$A),MATCH(D$1,[2]quests!$1:$1,0)-MATCH($B$1,[2]quests!$1:$1,0)+1),MATCH(D$1,[2]quests!$1:$1,0)-MATCH($B$1,[2]quests!$1:$1,0)+1,FALSE)</f>
        <v>天使と悪魔</v>
      </c>
      <c r="E24" s="82">
        <v>1</v>
      </c>
      <c r="F24" s="81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【中級】孤高の焔翼</v>
      </c>
      <c r="G24" s="81" t="str">
        <f ca="1">VLOOKUP($B24&amp;"_"&amp;$E24,OFFSET([2]stages!$A$1,0,0,COUNTA([2]stages!$A:$A),MATCH(G$1,[2]stages!$2:$2,0)-MATCH("temp_stage",[2]stages!$2:$2,0)+1),MATCH(G$1,[2]stages!$2:$2,0)-MATCH("temp_stage",[2]stages!$2:$2,0)+1,FALSE)</f>
        <v>天使と悪魔</v>
      </c>
      <c r="H24" s="83">
        <v>5</v>
      </c>
      <c r="I24" s="88">
        <f t="shared" si="0"/>
        <v>23</v>
      </c>
      <c r="J24" s="84" t="str">
        <f t="shared" si="1"/>
        <v>3003423</v>
      </c>
      <c r="K24" s="82" t="s">
        <v>128</v>
      </c>
      <c r="L24" s="85" t="s">
        <v>199</v>
      </c>
      <c r="M24" s="101" t="s">
        <v>273</v>
      </c>
      <c r="N24" s="56" t="s">
        <v>200</v>
      </c>
    </row>
    <row r="25" spans="1:14" ht="42" x14ac:dyDescent="0.15">
      <c r="A25" s="79" t="s">
        <v>197</v>
      </c>
      <c r="B25" s="80">
        <f>floors!$C$2</f>
        <v>30034</v>
      </c>
      <c r="C25" s="81" t="str">
        <f ca="1">VLOOKUP($B25,OFFSET([2]quests!$A$1,0,0,COUNTA([2]quests!$A:$A),MATCH(C$1,[2]quests!$1:$1,0)-MATCH($B$1,[2]quests!$1:$1,0)+1),MATCH(C$1,[2]quests!$1:$1,0)-MATCH($B$1,[2]quests!$1:$1,0)+1,FALSE)</f>
        <v>孤高の焔翼</v>
      </c>
      <c r="D25" s="81" t="str">
        <f ca="1">VLOOKUP($B25,OFFSET([2]quests!$A$1,0,0,COUNTA([2]quests!$A:$A),MATCH(D$1,[2]quests!$1:$1,0)-MATCH($B$1,[2]quests!$1:$1,0)+1),MATCH(D$1,[2]quests!$1:$1,0)-MATCH($B$1,[2]quests!$1:$1,0)+1,FALSE)</f>
        <v>天使と悪魔</v>
      </c>
      <c r="E25" s="82">
        <v>1</v>
      </c>
      <c r="F25" s="81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【中級】孤高の焔翼</v>
      </c>
      <c r="G25" s="81" t="str">
        <f ca="1">VLOOKUP($B25&amp;"_"&amp;$E25,OFFSET([2]stages!$A$1,0,0,COUNTA([2]stages!$A:$A),MATCH(G$1,[2]stages!$2:$2,0)-MATCH("temp_stage",[2]stages!$2:$2,0)+1),MATCH(G$1,[2]stages!$2:$2,0)-MATCH("temp_stage",[2]stages!$2:$2,0)+1,FALSE)</f>
        <v>天使と悪魔</v>
      </c>
      <c r="H25" s="83">
        <v>5</v>
      </c>
      <c r="I25" s="88">
        <f t="shared" si="0"/>
        <v>24</v>
      </c>
      <c r="J25" s="84" t="str">
        <f t="shared" si="1"/>
        <v>3003424</v>
      </c>
      <c r="K25" s="82" t="s">
        <v>128</v>
      </c>
      <c r="L25" s="85" t="s">
        <v>199</v>
      </c>
      <c r="M25" s="101" t="s">
        <v>274</v>
      </c>
      <c r="N25" s="56" t="s">
        <v>200</v>
      </c>
    </row>
  </sheetData>
  <phoneticPr fontId="5"/>
  <dataValidations count="1">
    <dataValidation type="list" allowBlank="1" showInputMessage="1" showErrorMessage="1" sqref="A2:A2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2017-03-08T06:31:59Z</dcterms:modified>
</cp:coreProperties>
</file>