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7"/>
  </bookViews>
  <sheets>
    <sheet name="確率の考え方" sheetId="110" r:id="rId1"/>
    <sheet name="Sheet1" sheetId="107" r:id="rId2"/>
    <sheet name="output" sheetId="103" r:id="rId3"/>
    <sheet name="input_443010" sheetId="157" r:id="rId4"/>
    <sheet name="tables_443010" sheetId="158" r:id="rId5"/>
    <sheet name="input_443100" sheetId="153" r:id="rId6"/>
    <sheet name="tables_443100" sheetId="154" r:id="rId7"/>
    <sheet name="tables_settle_443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tables_443010!$A$1:$V$294</definedName>
    <definedName name="_xlnm._FilterDatabase" localSheetId="6" hidden="1">tables_443100!$A$1:$V$294</definedName>
    <definedName name="_xlnm._FilterDatabase" localSheetId="7" hidden="1">tables_settle_443100!$A$1:$V$1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I3" i="154"/>
  <c r="J3" i="154"/>
  <c r="D3" i="154"/>
  <c r="E3" i="154"/>
  <c r="C3" i="154"/>
  <c r="I2" i="154"/>
  <c r="J2" i="154"/>
  <c r="D2" i="154"/>
  <c r="E2" i="154"/>
  <c r="C2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R6" i="153"/>
  <c r="O334" i="154"/>
  <c r="F41" i="153"/>
  <c r="G41" i="153"/>
  <c r="F34" i="153"/>
  <c r="R3" i="153"/>
  <c r="O331" i="154"/>
  <c r="R4" i="153"/>
  <c r="O332" i="154"/>
  <c r="R5" i="153"/>
  <c r="O333" i="154"/>
  <c r="R7" i="153"/>
  <c r="O335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E36" i="153"/>
  <c r="F42" i="153"/>
  <c r="G42" i="153"/>
  <c r="F35" i="153"/>
  <c r="B30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E22" i="157"/>
  <c r="B22" i="157"/>
  <c r="E36" i="157"/>
  <c r="A2" i="157"/>
  <c r="A36" i="157"/>
  <c r="E27" i="157"/>
  <c r="B27" i="157"/>
  <c r="G27" i="157"/>
  <c r="H27" i="157"/>
  <c r="O138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R3" i="157"/>
  <c r="O331" i="158"/>
  <c r="R4" i="157"/>
  <c r="O332" i="158"/>
  <c r="R5" i="157"/>
  <c r="O333" i="158"/>
  <c r="R6" i="157"/>
  <c r="O334" i="158"/>
  <c r="R7" i="157"/>
  <c r="O335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F35" i="157"/>
  <c r="F41" i="157"/>
  <c r="G41" i="157"/>
  <c r="F34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<sst xmlns="http://schemas.openxmlformats.org/spreadsheetml/2006/main" count="535" uniqueCount="256">
  <si>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</si>
  <si>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</si>
  <si>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</si>
  <si>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</si>
  <si>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</si>
  <si>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</si>
  <si>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</si>
  <si>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</si>
  <si>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</si>
  <si>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</si>
  <si>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</si>
  <si>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</si>
  <si>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</si>
  <si>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</si>
  <si>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</si>
  <si>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</si>
  <si>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</si>
  <si>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</si>
  <si>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</si>
  <si>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</si>
  <si>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</si>
  <si>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</si>
  <si>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</si>
  <si>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</si>
  <si>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</si>
  <si>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</si>
  <si>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</si>
  <si>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</si>
  <si>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</si>
  <si>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</si>
  <si>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</si>
  <si>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</si>
  <si>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</si>
  <si>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</si>
  <si>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</si>
  <si>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</si>
  <si>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</si>
  <si>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</si>
  <si>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</si>
  <si>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</si>
  <si>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</si>
  <si>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</si>
  <si>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</si>
  <si>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</si>
  <si>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</si>
  <si>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</si>
  <si>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</si>
  <si>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</si>
  <si>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</si>
  <si>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</si>
  <si>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</si>
  <si>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</si>
  <si>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</si>
  <si>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</si>
  <si>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</si>
  <si>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</si>
  <si>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</si>
  <si>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</si>
  <si>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</si>
  <si>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</si>
  <si>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</si>
  <si>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</si>
  <si>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</si>
  <si>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</si>
  <si>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</si>
  <si>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</si>
  <si>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</si>
  <si>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</si>
  <si>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</si>
  <si>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</si>
  <si>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</si>
  <si>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</si>
  <si>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</si>
  <si>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</si>
  <si>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</si>
  <si>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</si>
  <si>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</si>
  <si>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</si>
  <si>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</si>
  <si>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</si>
  <si>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</si>
  <si>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</si>
  <si>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</si>
  <si>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</si>
  <si>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</si>
  <si>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</si>
  <si>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</si>
  <si>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</si>
  <si>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</si>
  <si>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</si>
  <si>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</si>
  <si>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</si>
  <si>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</si>
  <si>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</si>
  <si>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</si>
  <si>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</si>
  <si>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</si>
  <si>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</si>
  <si>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</si>
  <si>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</si>
  <si>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</si>
  <si>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</si>
  <si>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</si>
  <si>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</si>
  <si>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</si>
  <si>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</si>
  <si>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</si>
  <si>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</si>
  <si>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</si>
  <si>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</si>
  <si>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</si>
  <si>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</si>
  <si>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</si>
  <si>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</si>
  <si>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</si>
  <si>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</si>
  <si>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</si>
  <si>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</si>
  <si>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</si>
  <si>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</si>
  <si>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</si>
  <si>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</si>
  <si>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</si>
  <si>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</si>
  <si>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</si>
  <si>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</si>
  <si>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</si>
  <si>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</si>
  <si>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</si>
  <si>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</si>
  <si>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</si>
  <si>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</si>
  <si>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</si>
  <si>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</si>
  <si>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</si>
  <si>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</si>
  <si>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</si>
  <si>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</si>
  <si>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</si>
  <si>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</si>
  <si>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</si>
  <si>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</si>
  <si>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</si>
  <si>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</si>
  <si>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</si>
  <si>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</si>
  <si>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</si>
  <si>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</si>
  <si>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</si>
  <si>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</si>
  <si>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</si>
  <si>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</si>
  <si>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</si>
  <si>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</si>
  <si>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</si>
  <si>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</si>
  <si>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</si>
  <si>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</si>
  <si>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</si>
  <si>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</si>
  <si>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</si>
  <si>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</si>
  <si>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</si>
  <si>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</si>
  <si>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</si>
  <si>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</si>
  <si>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</si>
  <si>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</si>
  <si>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</si>
  <si>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</si>
  <si>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</si>
  <si>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</si>
  <si>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</si>
  <si>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</si>
  <si>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</si>
  <si>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</si>
  <si>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</si>
  <si>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</si>
  <si>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</si>
  <si>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</si>
  <si>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</si>
  <si>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</si>
  <si>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</si>
  <si>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</si>
  <si>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</si>
  <si>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</si>
  <si>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</si>
  <si>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</si>
  <si>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</si>
  <si>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</si>
  <si>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</si>
  <si>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</si>
  <si>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</si>
  <si>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</si>
  <si>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</si>
  <si>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</si>
  <si>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</si>
  <si>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</si>
  <si>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</si>
  <si>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</si>
  <si>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</si>
  <si>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</si>
  <si>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</si>
  <si>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</si>
  <si>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</si>
  <si>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</si>
  <si>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</si>
  <si>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</si>
  <si>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</si>
  <si>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</si>
  <si>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</si>
  <si>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</si>
  <si>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</si>
  <si>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</si>
  <si>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</si>
  <si>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</si>
  <si>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</si>
  <si>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</si>
  <si>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</si>
  <si>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</si>
  <si>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</si>
  <si>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</si>
  <si>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</si>
  <si>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</si>
  <si>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</si>
  <si>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</si>
  <si>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</si>
  <si>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</si>
  <si>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</si>
  <si>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</si>
  <si>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</si>
  <si>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</si>
  <si>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</si>
  <si>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</si>
  <si>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</si>
  <si>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</si>
  <si>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</si>
  <si>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</si>
  <si>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</si>
  <si>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</si>
  <si>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</si>
  <si>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</si>
  <si>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</si>
  <si>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</si>
  <si>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</si>
  <si>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</si>
  <si>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</si>
  <si>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</si>
  <si>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</si>
  <si>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</si>
  <si>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</si>
  <si>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tables_443100</t>
    <phoneticPr fontId="21"/>
  </si>
  <si>
    <t>tables_443010</t>
    <phoneticPr fontId="21"/>
  </si>
  <si>
    <t>tables_settle_443100</t>
    <phoneticPr fontId="21"/>
  </si>
  <si>
    <t>PremiumSSw</t>
    <phoneticPr fontId="21"/>
  </si>
  <si>
    <t>PremiumSSw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</si>
</sst>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6001</v>
          </cell>
          <cell r="B1300" t="str">
            <v>ja</v>
          </cell>
          <cell r="C1300" t="str">
            <v>ジェリー</v>
          </cell>
          <cell r="D1300" t="str">
            <v>ノーマルクエスト</v>
          </cell>
          <cell r="E1300" t="str">
            <v>QoH</v>
          </cell>
          <cell r="F1300" t="str">
            <v>世界観</v>
          </cell>
          <cell r="G1300" t="str">
            <v>不明</v>
          </cell>
          <cell r="H1300" t="str">
            <v>red</v>
          </cell>
          <cell r="I1300">
            <v>1</v>
          </cell>
          <cell r="J1300" t="str">
            <v>Drop1T</v>
          </cell>
          <cell r="K1300" t="str">
            <v>ra</v>
          </cell>
          <cell r="L1300" t="str">
            <v>ラグランジュチャレンジ</v>
          </cell>
          <cell r="M1300" t="str">
            <v>unknown</v>
          </cell>
        </row>
        <row r="1301">
          <cell r="A1301">
            <v>6002</v>
          </cell>
          <cell r="B1301" t="str">
            <v>ja</v>
          </cell>
          <cell r="C1301" t="str">
            <v>ヨシタカ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男性</v>
          </cell>
          <cell r="H1301" t="str">
            <v>red</v>
          </cell>
          <cell r="I1301">
            <v>2</v>
          </cell>
          <cell r="J1301" t="str">
            <v>Drop1N</v>
          </cell>
          <cell r="K1301" t="str">
            <v>ra</v>
          </cell>
          <cell r="L1301" t="str">
            <v>ラグランジュチャレンジ</v>
          </cell>
          <cell r="M1301" t="str">
            <v>human</v>
          </cell>
        </row>
        <row r="1302">
          <cell r="A1302">
            <v>6003</v>
          </cell>
          <cell r="B1302" t="str">
            <v>ja</v>
          </cell>
          <cell r="C1302" t="str">
            <v>朱雀</v>
          </cell>
          <cell r="D1302" t="str">
            <v>リンクガチャ:4神</v>
          </cell>
          <cell r="E1302" t="str">
            <v>守護神</v>
          </cell>
          <cell r="F1302" t="str">
            <v>格好いい</v>
          </cell>
          <cell r="G1302" t="str">
            <v>不明</v>
          </cell>
          <cell r="H1302" t="str">
            <v>red</v>
          </cell>
          <cell r="I1302">
            <v>3</v>
          </cell>
          <cell r="J1302" t="str">
            <v>Drop2N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6004</v>
          </cell>
          <cell r="B1303" t="str">
            <v>ja</v>
          </cell>
          <cell r="C1303" t="str">
            <v>ブレット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不明</v>
          </cell>
          <cell r="H1303" t="str">
            <v>red</v>
          </cell>
          <cell r="I1303">
            <v>1</v>
          </cell>
          <cell r="J1303" t="str">
            <v>Drop1W</v>
          </cell>
          <cell r="K1303" t="str">
            <v>ra</v>
          </cell>
          <cell r="L1303" t="str">
            <v>ラグランジュチャレンジ</v>
          </cell>
          <cell r="M1303" t="str">
            <v>animal</v>
          </cell>
        </row>
        <row r="1304">
          <cell r="A1304">
            <v>6005</v>
          </cell>
          <cell r="B1304" t="str">
            <v>ja</v>
          </cell>
          <cell r="C1304" t="str">
            <v>孤神 テティス</v>
          </cell>
          <cell r="D1304" t="str">
            <v>初期ガチャ</v>
          </cell>
          <cell r="E1304" t="str">
            <v>管理者</v>
          </cell>
          <cell r="F1304" t="str">
            <v>美しい</v>
          </cell>
          <cell r="G1304" t="str">
            <v>女性</v>
          </cell>
          <cell r="H1304" t="str">
            <v>blue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god</v>
          </cell>
        </row>
        <row r="1305">
          <cell r="A1305">
            <v>6006</v>
          </cell>
          <cell r="B1305" t="str">
            <v>ja</v>
          </cell>
          <cell r="C1305" t="str">
            <v>海底の孤高神 テティス</v>
          </cell>
          <cell r="D1305" t="str">
            <v>初期ガチャ</v>
          </cell>
          <cell r="E1305" t="str">
            <v>管理者</v>
          </cell>
          <cell r="F1305" t="str">
            <v>美しい</v>
          </cell>
          <cell r="G1305" t="str">
            <v>女性</v>
          </cell>
          <cell r="H1305" t="str">
            <v>blue</v>
          </cell>
          <cell r="I1305">
            <v>5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6007</v>
          </cell>
          <cell r="B1306" t="str">
            <v>ja</v>
          </cell>
          <cell r="C1306" t="str">
            <v>番犬 ケルベロス</v>
          </cell>
          <cell r="D1306" t="str">
            <v>初期ガチャ</v>
          </cell>
          <cell r="E1306" t="str">
            <v>破界者</v>
          </cell>
          <cell r="F1306" t="str">
            <v>可愛い</v>
          </cell>
          <cell r="G1306" t="str">
            <v>女性</v>
          </cell>
          <cell r="H1306" t="str">
            <v>red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animal</v>
          </cell>
        </row>
        <row r="1307">
          <cell r="A1307">
            <v>6008</v>
          </cell>
          <cell r="B1307" t="str">
            <v>ja</v>
          </cell>
          <cell r="C1307" t="str">
            <v>焔神 プロメテウス</v>
          </cell>
          <cell r="D1307" t="str">
            <v>初期ガチャ</v>
          </cell>
          <cell r="E1307" t="str">
            <v>管理者</v>
          </cell>
          <cell r="F1307" t="str">
            <v>格好いい</v>
          </cell>
          <cell r="G1307" t="str">
            <v>男性</v>
          </cell>
          <cell r="H1307" t="str">
            <v>red</v>
          </cell>
          <cell r="I1307">
            <v>4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6009</v>
          </cell>
          <cell r="B1308" t="str">
            <v>ja</v>
          </cell>
          <cell r="C1308" t="str">
            <v>超越自我 ラグランジュ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女性</v>
          </cell>
          <cell r="H1308" t="str">
            <v>red</v>
          </cell>
          <cell r="I1308">
            <v>5</v>
          </cell>
          <cell r="J1308" t="str">
            <v>PremiumSSS</v>
          </cell>
          <cell r="K1308" t="str">
            <v>ra</v>
          </cell>
          <cell r="L1308" t="str">
            <v>ラグランジュチャレンジ</v>
          </cell>
          <cell r="M1308" t="str">
            <v>human</v>
          </cell>
        </row>
        <row r="1309">
          <cell r="A1309">
            <v>6010</v>
          </cell>
          <cell r="B1309" t="str">
            <v>ja</v>
          </cell>
          <cell r="C1309" t="str">
            <v>超越凌駕 ラグランジュ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女性</v>
          </cell>
          <cell r="H1309" t="str">
            <v>red</v>
          </cell>
          <cell r="I1309">
            <v>6</v>
          </cell>
          <cell r="J1309" t="str">
            <v>PremiumSSS</v>
          </cell>
          <cell r="K1309" t="str">
            <v>ra</v>
          </cell>
          <cell r="L1309" t="str">
            <v>ラグランジュチャレンジ</v>
          </cell>
          <cell r="M1309" t="str">
            <v>human</v>
          </cell>
        </row>
        <row r="1310">
          <cell r="A1310">
            <v>6011</v>
          </cell>
          <cell r="B1310" t="str">
            <v>ja</v>
          </cell>
          <cell r="C1310" t="str">
            <v>パトドッグリーダー ポチ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Drop1T</v>
          </cell>
          <cell r="K1310" t="str">
            <v>ra002</v>
          </cell>
          <cell r="L1310" t="str">
            <v>ユークリッドチャレンジ</v>
          </cell>
          <cell r="M1310" t="str">
            <v>unknown</v>
          </cell>
        </row>
        <row r="1311">
          <cell r="A1311">
            <v>6012</v>
          </cell>
          <cell r="B1311" t="str">
            <v>ja</v>
          </cell>
          <cell r="C1311" t="str">
            <v>ミミ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yellow</v>
          </cell>
          <cell r="I1311">
            <v>1</v>
          </cell>
          <cell r="J1311" t="str">
            <v>Drop1W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6013</v>
          </cell>
          <cell r="B1312" t="str">
            <v>ja</v>
          </cell>
          <cell r="C1312" t="str">
            <v>護衛機人 スケアクロウ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Drop1N</v>
          </cell>
          <cell r="K1312" t="str">
            <v>ra002</v>
          </cell>
          <cell r="L1312" t="str">
            <v>ユークリッドチャレンジ</v>
          </cell>
          <cell r="M1312" t="str">
            <v>machine</v>
          </cell>
        </row>
        <row r="1313">
          <cell r="A1313">
            <v>6014</v>
          </cell>
          <cell r="B1313" t="str">
            <v>ja</v>
          </cell>
          <cell r="C1313" t="str">
            <v>月下の人狼 ローレンス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4</v>
          </cell>
          <cell r="J1313" t="str">
            <v>PremiumW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6015</v>
          </cell>
          <cell r="B1314" t="str">
            <v>ja</v>
          </cell>
          <cell r="C1314" t="str">
            <v>フレイヤ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4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6016</v>
          </cell>
          <cell r="B1315" t="str">
            <v>ja</v>
          </cell>
          <cell r="C1315" t="str">
            <v>根原論理 ユークリッド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5</v>
          </cell>
          <cell r="J1315" t="str">
            <v>PremiumSSS</v>
          </cell>
          <cell r="K1315" t="str">
            <v>ra002</v>
          </cell>
          <cell r="L1315" t="str">
            <v>ユークリッドチャレンジ</v>
          </cell>
          <cell r="M1315" t="str">
            <v>human</v>
          </cell>
        </row>
        <row r="1316">
          <cell r="A1316">
            <v>6017</v>
          </cell>
          <cell r="B1316" t="str">
            <v>ja</v>
          </cell>
          <cell r="C1316" t="str">
            <v>不朽の極論 ユークリッド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6</v>
          </cell>
          <cell r="J1316" t="str">
            <v>PremiumSSS</v>
          </cell>
          <cell r="K1316" t="str">
            <v>ra002</v>
          </cell>
          <cell r="L1316" t="str">
            <v>ユークリッドチャレンジ</v>
          </cell>
          <cell r="M1316" t="str">
            <v>human</v>
          </cell>
        </row>
        <row r="1317">
          <cell r="A1317">
            <v>6018</v>
          </cell>
          <cell r="B1317" t="str">
            <v>ja</v>
          </cell>
          <cell r="C1317" t="str">
            <v>ハヅル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red</v>
          </cell>
          <cell r="I1317">
            <v>4</v>
          </cell>
          <cell r="J1317" t="str">
            <v>PremiumSS</v>
          </cell>
          <cell r="K1317" t="str">
            <v>ra002</v>
          </cell>
          <cell r="L1317" t="str">
            <v>ユークリッドチャレンジ</v>
          </cell>
          <cell r="M1317" t="str">
            <v>animal</v>
          </cell>
        </row>
        <row r="1318">
          <cell r="A1318">
            <v>6019</v>
          </cell>
          <cell r="B1318" t="str">
            <v>ja</v>
          </cell>
          <cell r="C1318" t="str">
            <v>天織羽鶴 ハヅル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red</v>
          </cell>
          <cell r="I1318">
            <v>5</v>
          </cell>
          <cell r="J1318" t="str">
            <v>PremiumSS</v>
          </cell>
          <cell r="K1318" t="str">
            <v>ra002</v>
          </cell>
          <cell r="L1318" t="str">
            <v>ユークリッドチャレンジ</v>
          </cell>
          <cell r="M1318" t="str">
            <v>animal</v>
          </cell>
        </row>
        <row r="1319">
          <cell r="A1319">
            <v>6020</v>
          </cell>
          <cell r="B1319" t="str">
            <v>ja</v>
          </cell>
          <cell r="C1319" t="str">
            <v>ミズチ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blue</v>
          </cell>
          <cell r="I1319">
            <v>4</v>
          </cell>
          <cell r="J1319" t="str">
            <v>PremiumS</v>
          </cell>
          <cell r="K1319" t="str">
            <v>ra002</v>
          </cell>
          <cell r="L1319" t="str">
            <v>ユークリッドチャレンジ</v>
          </cell>
          <cell r="M1319" t="str">
            <v>dragon</v>
          </cell>
        </row>
        <row r="1320">
          <cell r="A1320">
            <v>8001</v>
          </cell>
          <cell r="B1320" t="str">
            <v>ja</v>
          </cell>
          <cell r="C1320" t="str">
            <v>媽祖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女性</v>
          </cell>
          <cell r="H1320" t="str">
            <v>yellow</v>
          </cell>
          <cell r="I1320">
            <v>5</v>
          </cell>
          <cell r="J1320" t="str">
            <v>PremiumSS</v>
          </cell>
          <cell r="K1320" t="str">
            <v>attack</v>
          </cell>
          <cell r="L1320" t="str">
            <v>攻撃タイプ</v>
          </cell>
          <cell r="M1320" t="str">
            <v>god</v>
          </cell>
        </row>
        <row r="1321">
          <cell r="A1321">
            <v>8002</v>
          </cell>
          <cell r="B1321" t="str">
            <v>ja</v>
          </cell>
          <cell r="C1321" t="str">
            <v>天后 媽祖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女性</v>
          </cell>
          <cell r="H1321" t="str">
            <v>yellow</v>
          </cell>
          <cell r="I1321">
            <v>6</v>
          </cell>
          <cell r="J1321" t="str">
            <v>PremiumSS</v>
          </cell>
          <cell r="K1321" t="str">
            <v>attack</v>
          </cell>
          <cell r="L1321" t="str">
            <v>攻撃タイプ</v>
          </cell>
          <cell r="M1321" t="str">
            <v>god</v>
          </cell>
        </row>
        <row r="1322">
          <cell r="A1322">
            <v>8003</v>
          </cell>
          <cell r="B1322" t="str">
            <v>ja</v>
          </cell>
          <cell r="C1322" t="str">
            <v>蛟龍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DropWizS</v>
          </cell>
          <cell r="K1322" t="str">
            <v>hp</v>
          </cell>
          <cell r="L1322" t="str">
            <v>体力タイプ</v>
          </cell>
          <cell r="M1322" t="str">
            <v>dragon</v>
          </cell>
        </row>
        <row r="1323">
          <cell r="A1323">
            <v>8004</v>
          </cell>
          <cell r="B1323" t="str">
            <v>ja</v>
          </cell>
          <cell r="C1323" t="str">
            <v>深海蛟龍怪‧晏公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DropWizS</v>
          </cell>
          <cell r="K1323" t="str">
            <v>hp</v>
          </cell>
          <cell r="L1323" t="str">
            <v>体力タイプ</v>
          </cell>
          <cell r="M1323" t="str">
            <v>dragon</v>
          </cell>
        </row>
        <row r="1324">
          <cell r="A1324">
            <v>8005</v>
          </cell>
          <cell r="B1324" t="str">
            <v>ja</v>
          </cell>
          <cell r="C1324" t="str">
            <v>三蔵法師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human</v>
          </cell>
        </row>
        <row r="1325">
          <cell r="A1325">
            <v>8006</v>
          </cell>
          <cell r="B1325" t="str">
            <v>ja</v>
          </cell>
          <cell r="C1325" t="str">
            <v>三蔵法師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PremiumSS</v>
          </cell>
          <cell r="K1325" t="str">
            <v>balance</v>
          </cell>
          <cell r="L1325" t="str">
            <v>バランスタイプ</v>
          </cell>
          <cell r="M1325" t="str">
            <v>human</v>
          </cell>
        </row>
        <row r="1326">
          <cell r="A1326">
            <v>8007</v>
          </cell>
          <cell r="B1326" t="str">
            <v>ja</v>
          </cell>
          <cell r="C1326" t="str">
            <v>孫悟空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red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animal</v>
          </cell>
        </row>
        <row r="1327">
          <cell r="A1327">
            <v>8008</v>
          </cell>
          <cell r="B1327" t="str">
            <v>ja</v>
          </cell>
          <cell r="C1327" t="str">
            <v>孫悟空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red</v>
          </cell>
          <cell r="I1327">
            <v>6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animal</v>
          </cell>
        </row>
        <row r="1328">
          <cell r="A1328">
            <v>8009</v>
          </cell>
          <cell r="B1328" t="str">
            <v>ja</v>
          </cell>
          <cell r="C1328" t="str">
            <v>西王娘娘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green</v>
          </cell>
          <cell r="I1328">
            <v>5</v>
          </cell>
          <cell r="J1328" t="str">
            <v>PremiumSS</v>
          </cell>
          <cell r="K1328" t="str">
            <v>attack</v>
          </cell>
          <cell r="L1328" t="str">
            <v>攻撃タイプ</v>
          </cell>
          <cell r="M1328" t="str">
            <v>god</v>
          </cell>
        </row>
        <row r="1329">
          <cell r="A1329">
            <v>8010</v>
          </cell>
          <cell r="B1329" t="str">
            <v>ja</v>
          </cell>
          <cell r="C1329" t="str">
            <v>西王娘娘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green</v>
          </cell>
          <cell r="I1329">
            <v>6</v>
          </cell>
          <cell r="J1329" t="str">
            <v>PremiumSS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8011</v>
          </cell>
          <cell r="B1330" t="str">
            <v>ja</v>
          </cell>
          <cell r="C1330" t="str">
            <v>月下老人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5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god</v>
          </cell>
        </row>
        <row r="1331">
          <cell r="A1331">
            <v>8012</v>
          </cell>
          <cell r="B1331" t="str">
            <v>ja</v>
          </cell>
          <cell r="C1331" t="str">
            <v>良緣祈福 月下老人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6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god</v>
          </cell>
        </row>
        <row r="1332">
          <cell r="A1332">
            <v>8013</v>
          </cell>
          <cell r="B1332" t="str">
            <v>ja</v>
          </cell>
          <cell r="C1332" t="str">
            <v>初音ミクV3</v>
          </cell>
          <cell r="D1332" t="str">
            <v>初音ミクV3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4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8014</v>
          </cell>
          <cell r="B1333" t="str">
            <v>ja</v>
          </cell>
          <cell r="C1333" t="str">
            <v>初音ミクV3</v>
          </cell>
          <cell r="D1333" t="str">
            <v>初音ミクV3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5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8015</v>
          </cell>
          <cell r="B1334" t="str">
            <v>ja</v>
          </cell>
          <cell r="C1334" t="str">
            <v>初音ミク・アペンド</v>
          </cell>
          <cell r="D1334" t="str">
            <v>初音ミク・アペンド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technical</v>
          </cell>
          <cell r="L1334" t="str">
            <v>テクニカルタイプ</v>
          </cell>
          <cell r="M1334" t="str">
            <v>unknown</v>
          </cell>
        </row>
        <row r="1335">
          <cell r="A1335">
            <v>8016</v>
          </cell>
          <cell r="B1335" t="str">
            <v>ja</v>
          </cell>
          <cell r="C1335" t="str">
            <v>初音ミク・アペンド</v>
          </cell>
          <cell r="D1335" t="str">
            <v>初音ミク・アペンド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technical</v>
          </cell>
          <cell r="L1335" t="str">
            <v>テクニカルタイプ</v>
          </cell>
          <cell r="M1335" t="str">
            <v>unknown</v>
          </cell>
        </row>
        <row r="1336">
          <cell r="A1336">
            <v>8017</v>
          </cell>
          <cell r="B1336" t="str">
            <v>ja</v>
          </cell>
          <cell r="C1336" t="str">
            <v>初音ミク</v>
          </cell>
          <cell r="D1336" t="str">
            <v>初音ミク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8018</v>
          </cell>
          <cell r="B1337" t="str">
            <v>ja</v>
          </cell>
          <cell r="C1337" t="str">
            <v>初音ミク</v>
          </cell>
          <cell r="D1337" t="str">
            <v>初音ミク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8019</v>
          </cell>
          <cell r="B1338" t="str">
            <v>ja</v>
          </cell>
          <cell r="C1338" t="str">
            <v>鏡音リン</v>
          </cell>
          <cell r="D1338" t="str">
            <v>鏡音リン</v>
          </cell>
          <cell r="E1338" t="str">
            <v>執行者</v>
          </cell>
          <cell r="F1338" t="str">
            <v>格好いい</v>
          </cell>
          <cell r="G1338" t="str">
            <v>男性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8020</v>
          </cell>
          <cell r="B1339" t="str">
            <v>ja</v>
          </cell>
          <cell r="C1339" t="str">
            <v>鏡音リン</v>
          </cell>
          <cell r="D1339" t="str">
            <v>鏡音リン</v>
          </cell>
          <cell r="E1339" t="str">
            <v>執行者</v>
          </cell>
          <cell r="F1339" t="str">
            <v>格好いい</v>
          </cell>
          <cell r="G1339" t="str">
            <v>男性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8021</v>
          </cell>
          <cell r="B1340" t="str">
            <v>ja</v>
          </cell>
          <cell r="C1340" t="str">
            <v>鏡音レン</v>
          </cell>
          <cell r="D1340" t="str">
            <v>鏡音レン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heal</v>
          </cell>
          <cell r="L1340" t="str">
            <v>回復タイプ</v>
          </cell>
          <cell r="M1340" t="str">
            <v>unknown</v>
          </cell>
        </row>
        <row r="1341">
          <cell r="A1341">
            <v>8022</v>
          </cell>
          <cell r="B1341" t="str">
            <v>ja</v>
          </cell>
          <cell r="C1341" t="str">
            <v>鏡音レン</v>
          </cell>
          <cell r="D1341" t="str">
            <v>鏡音レン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heal</v>
          </cell>
          <cell r="L1341" t="str">
            <v>回復タイプ</v>
          </cell>
          <cell r="M1341" t="str">
            <v>unknown</v>
          </cell>
        </row>
        <row r="1342">
          <cell r="A1342">
            <v>8023</v>
          </cell>
          <cell r="B1342" t="str">
            <v>ja</v>
          </cell>
          <cell r="C1342" t="str">
            <v>巡音ルカ</v>
          </cell>
          <cell r="D1342" t="str">
            <v>巡音ルカ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attack</v>
          </cell>
          <cell r="L1342" t="str">
            <v>攻撃タイプ</v>
          </cell>
          <cell r="M1342" t="str">
            <v>unknown</v>
          </cell>
        </row>
        <row r="1343">
          <cell r="A1343">
            <v>8024</v>
          </cell>
          <cell r="B1343" t="str">
            <v>ja</v>
          </cell>
          <cell r="C1343" t="str">
            <v>巡音ルカ</v>
          </cell>
          <cell r="D1343" t="str">
            <v>巡音ルカ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attack</v>
          </cell>
          <cell r="L1343" t="str">
            <v>攻撃タイプ</v>
          </cell>
          <cell r="M1343" t="str">
            <v>unknown</v>
          </cell>
        </row>
        <row r="1344">
          <cell r="A1344">
            <v>8025</v>
          </cell>
          <cell r="B1344" t="str">
            <v>ja</v>
          </cell>
          <cell r="C1344" t="str">
            <v>MEIKO</v>
          </cell>
          <cell r="D1344" t="str">
            <v>MEIKO</v>
          </cell>
          <cell r="E1344" t="str">
            <v>執行者</v>
          </cell>
          <cell r="F1344" t="str">
            <v>格好いい</v>
          </cell>
          <cell r="G1344" t="str">
            <v>男性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hp</v>
          </cell>
          <cell r="L1344" t="str">
            <v>体力タイプ</v>
          </cell>
          <cell r="M1344" t="str">
            <v>unknown</v>
          </cell>
        </row>
        <row r="1345">
          <cell r="A1345">
            <v>8026</v>
          </cell>
          <cell r="B1345" t="str">
            <v>ja</v>
          </cell>
          <cell r="C1345" t="str">
            <v>MEIKO</v>
          </cell>
          <cell r="D1345" t="str">
            <v>MEIKO</v>
          </cell>
          <cell r="E1345" t="str">
            <v>執行者</v>
          </cell>
          <cell r="F1345" t="str">
            <v>格好いい</v>
          </cell>
          <cell r="G1345" t="str">
            <v>男性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hp</v>
          </cell>
          <cell r="L1345" t="str">
            <v>体力タイプ</v>
          </cell>
          <cell r="M1345" t="str">
            <v>unknown</v>
          </cell>
        </row>
        <row r="1346">
          <cell r="A1346">
            <v>8027</v>
          </cell>
          <cell r="B1346" t="str">
            <v>ja</v>
          </cell>
          <cell r="C1346" t="str">
            <v>KAITO</v>
          </cell>
          <cell r="D1346" t="str">
            <v>KAITO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3</v>
          </cell>
          <cell r="J1346" t="str">
            <v>PremiumS</v>
          </cell>
          <cell r="K1346" t="str">
            <v>technical</v>
          </cell>
          <cell r="L1346" t="str">
            <v>テクニカルタイプ</v>
          </cell>
          <cell r="M1346" t="str">
            <v>unknown</v>
          </cell>
        </row>
        <row r="1347">
          <cell r="A1347">
            <v>8028</v>
          </cell>
          <cell r="B1347" t="str">
            <v>ja</v>
          </cell>
          <cell r="C1347" t="str">
            <v>KAITO</v>
          </cell>
          <cell r="D1347" t="str">
            <v>KAITO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PremiumS</v>
          </cell>
          <cell r="K1347" t="str">
            <v>technical</v>
          </cell>
          <cell r="L1347" t="str">
            <v>テクニカルタイプ</v>
          </cell>
          <cell r="M1347" t="str">
            <v>unknown</v>
          </cell>
        </row>
        <row r="1348">
          <cell r="A1348">
            <v>8029</v>
          </cell>
          <cell r="B1348" t="str">
            <v>ja</v>
          </cell>
          <cell r="C1348" t="str">
            <v>Expoミク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4</v>
          </cell>
          <cell r="J1348" t="str">
            <v>Drop2N</v>
          </cell>
          <cell r="K1348" t="str">
            <v>heal</v>
          </cell>
          <cell r="L1348" t="str">
            <v>回復タイプ</v>
          </cell>
          <cell r="M1348" t="str">
            <v>unknown</v>
          </cell>
        </row>
        <row r="1349">
          <cell r="A1349">
            <v>8030</v>
          </cell>
          <cell r="B1349" t="str">
            <v>ja</v>
          </cell>
          <cell r="C1349" t="str">
            <v>Expoミク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Drop2N</v>
          </cell>
          <cell r="K1349" t="str">
            <v>heal</v>
          </cell>
          <cell r="L1349" t="str">
            <v>回復タイプ</v>
          </cell>
          <cell r="M1349" t="str">
            <v>unknown</v>
          </cell>
        </row>
        <row r="1350">
          <cell r="A1350">
            <v>8031</v>
          </cell>
          <cell r="B1350" t="str">
            <v>ja</v>
          </cell>
          <cell r="C1350" t="str">
            <v>閻羅王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red</v>
          </cell>
          <cell r="I1350">
            <v>5</v>
          </cell>
          <cell r="J1350" t="str">
            <v>PremiumSS</v>
          </cell>
          <cell r="K1350" t="str">
            <v>balance</v>
          </cell>
          <cell r="L1350" t="str">
            <v>バランスタイプ</v>
          </cell>
          <cell r="M1350" t="str">
            <v>god</v>
          </cell>
        </row>
        <row r="1351">
          <cell r="A1351">
            <v>8032</v>
          </cell>
          <cell r="B1351" t="str">
            <v>ja</v>
          </cell>
          <cell r="C1351" t="str">
            <v>十殿閻羅王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red</v>
          </cell>
          <cell r="I1351">
            <v>6</v>
          </cell>
          <cell r="J1351" t="str">
            <v>PremiumSS</v>
          </cell>
          <cell r="K1351" t="str">
            <v>balance</v>
          </cell>
          <cell r="L1351" t="str">
            <v>バランスタイプ</v>
          </cell>
          <cell r="M1351" t="str">
            <v>god</v>
          </cell>
        </row>
        <row r="1352">
          <cell r="A1352">
            <v>8033</v>
          </cell>
          <cell r="B1352" t="str">
            <v>ja</v>
          </cell>
          <cell r="C1352" t="str">
            <v>牛頭馬面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green</v>
          </cell>
          <cell r="I1352">
            <v>5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god</v>
          </cell>
        </row>
        <row r="1353">
          <cell r="A1353">
            <v>8034</v>
          </cell>
          <cell r="B1353" t="str">
            <v>ja</v>
          </cell>
          <cell r="C1353" t="str">
            <v>牛頭馬面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green</v>
          </cell>
          <cell r="I1353">
            <v>6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god</v>
          </cell>
        </row>
        <row r="1354">
          <cell r="A1354">
            <v>8035</v>
          </cell>
          <cell r="B1354" t="str">
            <v>ja</v>
          </cell>
          <cell r="C1354" t="str">
            <v>嫦娥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8036</v>
          </cell>
          <cell r="B1355" t="str">
            <v>ja</v>
          </cell>
          <cell r="C1355" t="str">
            <v>嫦娥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8037</v>
          </cell>
          <cell r="B1356" t="str">
            <v>ja</v>
          </cell>
          <cell r="C1356" t="str">
            <v>后羿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8038</v>
          </cell>
          <cell r="B1357" t="str">
            <v>ja</v>
          </cell>
          <cell r="C1357" t="str">
            <v>后羿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8039</v>
          </cell>
          <cell r="B1358" t="str">
            <v>ja</v>
          </cell>
          <cell r="C1358" t="str">
            <v>何仙姑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8040</v>
          </cell>
          <cell r="B1359" t="str">
            <v>ja</v>
          </cell>
          <cell r="C1359" t="str">
            <v>何仙姑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8041</v>
          </cell>
          <cell r="B1360" t="str">
            <v>ja</v>
          </cell>
          <cell r="C1360" t="str">
            <v>藍采和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8042</v>
          </cell>
          <cell r="B1361" t="str">
            <v>ja</v>
          </cell>
          <cell r="C1361" t="str">
            <v>藍采和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8043</v>
          </cell>
          <cell r="B1362" t="str">
            <v>ja</v>
          </cell>
          <cell r="C1362" t="str">
            <v>サンリオキャラ大集合+アザゼル</v>
          </cell>
          <cell r="D1362" t="str">
            <v>サンリオキャラ大集合+アザゼル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green</v>
          </cell>
          <cell r="I1362">
            <v>5</v>
          </cell>
          <cell r="J1362" t="str">
            <v>DropWizS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8044</v>
          </cell>
          <cell r="B1363" t="str">
            <v>ja</v>
          </cell>
          <cell r="C1363" t="str">
            <v>サンリオキャラ大集合+アザゼル</v>
          </cell>
          <cell r="D1363" t="str">
            <v>サンリオキャラ大集合+アザゼル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green</v>
          </cell>
          <cell r="I1363">
            <v>6</v>
          </cell>
          <cell r="J1363" t="str">
            <v>DropWizS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8045</v>
          </cell>
          <cell r="B1364" t="str">
            <v>ja</v>
          </cell>
          <cell r="C1364" t="str">
            <v>ニムダ_サンリオキャラ混じり</v>
          </cell>
          <cell r="D1364" t="str">
            <v>ニムダ_サンリオキャラ混じり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yellow</v>
          </cell>
          <cell r="I1364">
            <v>4</v>
          </cell>
          <cell r="J1364" t="str">
            <v>Drop2N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8046</v>
          </cell>
          <cell r="B1365" t="str">
            <v>ja</v>
          </cell>
          <cell r="C1365" t="str">
            <v>ニムダ_サンリオキャラ混じり</v>
          </cell>
          <cell r="D1365" t="str">
            <v>ニムダ_サンリオキャラ混じり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yellow</v>
          </cell>
          <cell r="I1365">
            <v>5</v>
          </cell>
          <cell r="J1365" t="str">
            <v>Drop2N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8047</v>
          </cell>
          <cell r="B1366" t="str">
            <v>ja</v>
          </cell>
          <cell r="C1366" t="str">
            <v>ハローキティ</v>
          </cell>
          <cell r="D1366" t="str">
            <v>ハローキティ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balance</v>
          </cell>
          <cell r="L1366" t="str">
            <v>バランスタイプ</v>
          </cell>
          <cell r="M1366" t="str">
            <v>ss</v>
          </cell>
        </row>
        <row r="1367">
          <cell r="A1367">
            <v>8048</v>
          </cell>
          <cell r="B1367" t="str">
            <v>ja</v>
          </cell>
          <cell r="C1367" t="str">
            <v>ハローキティ</v>
          </cell>
          <cell r="D1367" t="str">
            <v>ハローキティ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balance</v>
          </cell>
          <cell r="L1367" t="str">
            <v>バランスタイプ</v>
          </cell>
          <cell r="M1367" t="str">
            <v>ss</v>
          </cell>
        </row>
        <row r="1368">
          <cell r="A1368">
            <v>8049</v>
          </cell>
          <cell r="B1368" t="str">
            <v>ja</v>
          </cell>
          <cell r="C1368" t="str">
            <v>KIRIMIちゃん</v>
          </cell>
          <cell r="D1368" t="str">
            <v>KIRIMIちゃん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hp</v>
          </cell>
          <cell r="L1368" t="str">
            <v>体力タイプ</v>
          </cell>
          <cell r="M1368" t="str">
            <v>ss</v>
          </cell>
        </row>
        <row r="1369">
          <cell r="A1369">
            <v>8050</v>
          </cell>
          <cell r="B1369" t="str">
            <v>ja</v>
          </cell>
          <cell r="C1369" t="str">
            <v>KIRIMIちゃん</v>
          </cell>
          <cell r="D1369" t="str">
            <v>KIRIMIちゃん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hp</v>
          </cell>
          <cell r="L1369" t="str">
            <v>体力タイプ</v>
          </cell>
          <cell r="M1369" t="str">
            <v>ss</v>
          </cell>
        </row>
        <row r="1370">
          <cell r="A1370">
            <v>8051</v>
          </cell>
          <cell r="B1370" t="str">
            <v>ja</v>
          </cell>
          <cell r="C1370" t="str">
            <v>ハローキティのリボン</v>
          </cell>
          <cell r="D1370" t="str">
            <v>ハローキティのリボン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Drop2N</v>
          </cell>
          <cell r="K1370" t="str">
            <v>evolution</v>
          </cell>
          <cell r="L1370" t="str">
            <v>覚醒素材タイプ</v>
          </cell>
          <cell r="M1370" t="str">
            <v>ss</v>
          </cell>
        </row>
        <row r="1371">
          <cell r="A1371">
            <v>8052</v>
          </cell>
          <cell r="B1371" t="str">
            <v>ja</v>
          </cell>
          <cell r="C1371" t="str">
            <v>ママの作ったアップルパイ</v>
          </cell>
          <cell r="D1371" t="str">
            <v>ママの作ったアップルパイ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4</v>
          </cell>
          <cell r="J1371" t="str">
            <v>Drop2N</v>
          </cell>
          <cell r="K1371" t="str">
            <v>evolution</v>
          </cell>
          <cell r="L1371" t="str">
            <v>覚醒素材タイプ</v>
          </cell>
          <cell r="M1371" t="str">
            <v>ss</v>
          </cell>
        </row>
        <row r="1372">
          <cell r="A1372">
            <v>8053</v>
          </cell>
          <cell r="B1372" t="str">
            <v>ja</v>
          </cell>
          <cell r="C1372" t="str">
            <v>D.R.T.H__キティコスプレ</v>
          </cell>
          <cell r="D1372" t="str">
            <v>D.R.T.H__キティコスプレ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PremiumSS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8054</v>
          </cell>
          <cell r="B1373" t="str">
            <v>ja</v>
          </cell>
          <cell r="C1373" t="str">
            <v>D.R.T.H__キティコスプレ</v>
          </cell>
          <cell r="D1373" t="str">
            <v>D.R.T.H__キティコスプレ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6</v>
          </cell>
          <cell r="J1373" t="str">
            <v>PremiumSS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8055</v>
          </cell>
          <cell r="B1374" t="str">
            <v>ja</v>
          </cell>
          <cell r="C1374" t="str">
            <v>マイメロディ</v>
          </cell>
          <cell r="D1374" t="str">
            <v>マイメロディ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4</v>
          </cell>
          <cell r="J1374" t="str">
            <v>PremiumS</v>
          </cell>
          <cell r="K1374" t="str">
            <v>attack</v>
          </cell>
          <cell r="L1374" t="str">
            <v>攻撃タイプ</v>
          </cell>
          <cell r="M1374" t="str">
            <v>ss</v>
          </cell>
        </row>
        <row r="1375">
          <cell r="A1375">
            <v>8056</v>
          </cell>
          <cell r="B1375" t="str">
            <v>ja</v>
          </cell>
          <cell r="C1375" t="str">
            <v>マイメロディ</v>
          </cell>
          <cell r="D1375" t="str">
            <v>マイメロディ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5</v>
          </cell>
          <cell r="J1375" t="str">
            <v>PremiumS</v>
          </cell>
          <cell r="K1375" t="str">
            <v>attack</v>
          </cell>
          <cell r="L1375" t="str">
            <v>攻撃タイプ</v>
          </cell>
          <cell r="M1375" t="str">
            <v>ss</v>
          </cell>
        </row>
        <row r="1376">
          <cell r="A1376">
            <v>8057</v>
          </cell>
          <cell r="B1376" t="str">
            <v>ja</v>
          </cell>
          <cell r="C1376" t="str">
            <v>ニーベルゲン_シナモロールコスプレ</v>
          </cell>
          <cell r="D1376" t="str">
            <v>ニーベルゲン_シナモロールコスプレ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8058</v>
          </cell>
          <cell r="B1377" t="str">
            <v>ja</v>
          </cell>
          <cell r="C1377" t="str">
            <v>ニーベルゲン_シナモロールコスプレ</v>
          </cell>
          <cell r="D1377" t="str">
            <v>ニーベルゲン_シナモロールコスプレ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8059</v>
          </cell>
          <cell r="B1378" t="str">
            <v>ja</v>
          </cell>
          <cell r="C1378" t="str">
            <v>カカシ_マイメロディコスプレ</v>
          </cell>
          <cell r="D1378" t="str">
            <v>カカシ_マイメロディコスプレ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technical</v>
          </cell>
          <cell r="L1378" t="str">
            <v>テクニカルタイプ</v>
          </cell>
          <cell r="M1378" t="str">
            <v>ss</v>
          </cell>
        </row>
        <row r="1379">
          <cell r="A1379">
            <v>8060</v>
          </cell>
          <cell r="B1379" t="str">
            <v>ja</v>
          </cell>
          <cell r="C1379" t="str">
            <v>カカシ_マイメロディコスプレ</v>
          </cell>
          <cell r="D1379" t="str">
            <v>カカシ_マイメロディコスプレ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technical</v>
          </cell>
          <cell r="L1379" t="str">
            <v>テクニカルタイプ</v>
          </cell>
          <cell r="M1379" t="str">
            <v>ss</v>
          </cell>
        </row>
        <row r="1380">
          <cell r="A1380">
            <v>8061</v>
          </cell>
          <cell r="B1380" t="str">
            <v>ja</v>
          </cell>
          <cell r="C1380" t="str">
            <v>ケロケロけろっぴ</v>
          </cell>
          <cell r="D1380" t="str">
            <v>ケロケロけろっぴ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3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ss</v>
          </cell>
        </row>
        <row r="1381">
          <cell r="A1381">
            <v>8062</v>
          </cell>
          <cell r="B1381" t="str">
            <v>ja</v>
          </cell>
          <cell r="C1381" t="str">
            <v>ケロケロけろっぴ</v>
          </cell>
          <cell r="D1381" t="str">
            <v>ケロケロけろっぴ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4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ss</v>
          </cell>
        </row>
        <row r="1382">
          <cell r="A1382">
            <v>8063</v>
          </cell>
          <cell r="B1382" t="str">
            <v>ja</v>
          </cell>
          <cell r="C1382" t="str">
            <v>モルドレッド_ポムポムプリンコスプレ</v>
          </cell>
          <cell r="D1382" t="str">
            <v>モルドレッド_ポムポムプリンコスプレ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ss</v>
          </cell>
        </row>
        <row r="1383">
          <cell r="A1383">
            <v>8064</v>
          </cell>
          <cell r="B1383" t="str">
            <v>ja</v>
          </cell>
          <cell r="C1383" t="str">
            <v>モルドレッド_ポムポムプリンコスプレ</v>
          </cell>
          <cell r="D1383" t="str">
            <v>モルドレッド_ポムポムプリンコスプレ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ss</v>
          </cell>
        </row>
        <row r="1384">
          <cell r="A1384">
            <v>8065</v>
          </cell>
          <cell r="B1384" t="str">
            <v>ja</v>
          </cell>
          <cell r="C1384" t="str">
            <v>クロミ</v>
          </cell>
          <cell r="D1384" t="str">
            <v>クロミ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technical</v>
          </cell>
          <cell r="L1384" t="str">
            <v>テクニカルタイプ</v>
          </cell>
          <cell r="M1384" t="str">
            <v>ss</v>
          </cell>
        </row>
        <row r="1385">
          <cell r="A1385">
            <v>8066</v>
          </cell>
          <cell r="B1385" t="str">
            <v>ja</v>
          </cell>
          <cell r="C1385" t="str">
            <v>クロミ</v>
          </cell>
          <cell r="D1385" t="str">
            <v>クロミ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technical</v>
          </cell>
          <cell r="L1385" t="str">
            <v>テクニカルタイプ</v>
          </cell>
          <cell r="M1385" t="str">
            <v>ss</v>
          </cell>
        </row>
        <row r="1386">
          <cell r="A1386">
            <v>8067</v>
          </cell>
          <cell r="B1386" t="str">
            <v>ja</v>
          </cell>
          <cell r="C1386" t="str">
            <v>バッドばつ丸</v>
          </cell>
          <cell r="D1386" t="str">
            <v>バッドばつ丸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ss</v>
          </cell>
        </row>
        <row r="1387">
          <cell r="A1387">
            <v>8068</v>
          </cell>
          <cell r="B1387" t="str">
            <v>ja</v>
          </cell>
          <cell r="C1387" t="str">
            <v>バッドばつ丸</v>
          </cell>
          <cell r="D1387" t="str">
            <v>バッドばつ丸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ss</v>
          </cell>
        </row>
        <row r="1388">
          <cell r="A1388">
            <v>8069</v>
          </cell>
          <cell r="B1388" t="str">
            <v>ja</v>
          </cell>
          <cell r="C1388" t="str">
            <v>シナモロール</v>
          </cell>
          <cell r="D1388" t="str">
            <v>シナモロール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4</v>
          </cell>
          <cell r="J1388" t="str">
            <v>PremiumS</v>
          </cell>
          <cell r="K1388" t="str">
            <v>heal</v>
          </cell>
          <cell r="L1388" t="str">
            <v>回復タイプ</v>
          </cell>
          <cell r="M1388" t="str">
            <v>ss</v>
          </cell>
        </row>
        <row r="1389">
          <cell r="A1389">
            <v>8070</v>
          </cell>
          <cell r="B1389" t="str">
            <v>ja</v>
          </cell>
          <cell r="C1389" t="str">
            <v>シナモロール</v>
          </cell>
          <cell r="D1389" t="str">
            <v>シナモロール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5</v>
          </cell>
          <cell r="J1389" t="str">
            <v>PremiumS</v>
          </cell>
          <cell r="K1389" t="str">
            <v>heal</v>
          </cell>
          <cell r="L1389" t="str">
            <v>回復タイプ</v>
          </cell>
          <cell r="M1389" t="str">
            <v>ss</v>
          </cell>
        </row>
        <row r="1390">
          <cell r="A1390">
            <v>8071</v>
          </cell>
          <cell r="B1390" t="str">
            <v>ja</v>
          </cell>
          <cell r="C1390" t="str">
            <v>ポムポムプリン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3</v>
          </cell>
          <cell r="J1390" t="str">
            <v>PremiumS</v>
          </cell>
          <cell r="K1390" t="str">
            <v>hp</v>
          </cell>
          <cell r="L1390" t="str">
            <v>体力タイプ</v>
          </cell>
          <cell r="M1390" t="str">
            <v>ss</v>
          </cell>
        </row>
        <row r="1391">
          <cell r="A1391">
            <v>8072</v>
          </cell>
          <cell r="B1391" t="str">
            <v>ja</v>
          </cell>
          <cell r="C1391" t="str">
            <v>ポムポムプリン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4</v>
          </cell>
          <cell r="J1391" t="str">
            <v>PremiumS</v>
          </cell>
          <cell r="K1391" t="str">
            <v>hp</v>
          </cell>
          <cell r="L1391" t="str">
            <v>体力タイプ</v>
          </cell>
          <cell r="M1391" t="str">
            <v>ss</v>
          </cell>
        </row>
        <row r="1392">
          <cell r="A1392">
            <v>8077</v>
          </cell>
          <cell r="B1392" t="str">
            <v>ja</v>
          </cell>
          <cell r="C1392" t="str">
            <v>鄭成功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blue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human</v>
          </cell>
        </row>
        <row r="1393">
          <cell r="A1393">
            <v>8078</v>
          </cell>
          <cell r="B1393" t="str">
            <v>ja</v>
          </cell>
          <cell r="C1393" t="str">
            <v>レア６鄭成功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blue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human</v>
          </cell>
        </row>
        <row r="1394">
          <cell r="A1394">
            <v>8079</v>
          </cell>
          <cell r="B1394" t="str">
            <v>ja</v>
          </cell>
          <cell r="C1394" t="str">
            <v>赤鬼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8080</v>
          </cell>
          <cell r="B1395" t="str">
            <v>ja</v>
          </cell>
          <cell r="C1395" t="str">
            <v>レア６赤鬼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red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3" sqref="D13:D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443100</v>
      </c>
      <c r="D2" s="19" t="s">
        <v>45</v>
      </c>
      <c r="E2" s="17" t="str">
        <f t="shared" ref="E2" si="1">B2&amp;C2&amp;D2</f>
        <v>gacha_select_tables_443100.tmp</v>
      </c>
      <c r="F2" s="99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443010</v>
      </c>
      <c r="D3" s="19" t="s">
        <v>45</v>
      </c>
      <c r="E3" s="17" t="str">
        <f t="shared" ref="E3:E10" si="3">B3&amp;C3&amp;D3</f>
        <v>gacha_select_tables_443010.tmp</v>
      </c>
      <c r="F3" s="99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443100</v>
      </c>
      <c r="D4" s="19" t="s">
        <v>250</v>
      </c>
      <c r="E4" s="17" t="str">
        <f t="shared" si="3"/>
        <v>gacha_settle_tables_443100.tmp</v>
      </c>
      <c r="F4" s="99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1214</v>
      </c>
      <c r="M3" s="37" t="str">
        <f>VLOOKUP(L3,[1]characters!$A:$C,3,FALSE)</f>
        <v>アルテミス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VLOOKUP(L3,tables_443010!B:C,2,FALSE)</f>
        <v>PremiumSS5R5only</v>
      </c>
      <c r="R3" s="62">
        <f t="shared" ref="R3:R20" si="1">N3*A$36</f>
        <v>933659.99999999988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1212</v>
      </c>
      <c r="M4" s="37" t="str">
        <f>VLOOKUP(L4,[1]characters!$A:$C,3,FALSE)</f>
        <v>クロノス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VLOOKUP(L4,tables_443010!B:C,2,FALSE)</f>
        <v>PremiumSS5R5only</v>
      </c>
      <c r="R4" s="62">
        <f t="shared" si="1"/>
        <v>1244880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2.9824561403508774E-4</v>
      </c>
      <c r="F5">
        <f>(COUNTIF(tables_443010!C:C,input_443010!A28)+COUNTIF(tables_443010!C:C,input_443010!A29))</f>
        <v>60</v>
      </c>
      <c r="H5" s="84">
        <v>3.3000000000000002E-2</v>
      </c>
      <c r="I5" s="31">
        <v>3</v>
      </c>
      <c r="L5" s="60">
        <v>1208</v>
      </c>
      <c r="M5" s="37" t="str">
        <f>VLOOKUP(L5,[1]characters!$A:$C,3,FALSE)</f>
        <v>ネメシス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VLOOKUP(L5,tables_443010!B:C,2,FALSE)</f>
        <v>PremiumSS5R5only</v>
      </c>
      <c r="R5" s="62">
        <f t="shared" si="1"/>
        <v>1244880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9.5054945054945054E-3</v>
      </c>
      <c r="F6">
        <f>(COUNTIF(tables_443010!C:C,input_443010!A25)+COUNTIF(tables_443010!C:C,input_443010!A18)+COUNTIF(tables_443010!C:C,input_443010!A20)+COUNTIF(tables_443010!C:C,input_443010!A22))</f>
        <v>92</v>
      </c>
      <c r="H6" s="89">
        <v>8.5000000000000006E-2</v>
      </c>
      <c r="I6" s="31">
        <v>1</v>
      </c>
      <c r="L6" s="93">
        <v>1210</v>
      </c>
      <c r="M6" s="37" t="str">
        <f>VLOOKUP(L6,[1]characters!$A:$C,3,FALSE)</f>
        <v>ケンタウロス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VLOOKUP(L6,tables_443010!B:C,2,FALSE)</f>
        <v>Premium4R3less</v>
      </c>
      <c r="R6" s="62">
        <f t="shared" si="1"/>
        <v>8377005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1211</v>
      </c>
      <c r="M7" s="37" t="str">
        <f>VLOOKUP(L7,[1]characters!$A:$C,3,FALSE)</f>
        <v>奏駆の翻騎 ケンタウロス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VLOOKUP(L7,tables_443010!B:C,2,FALSE)</f>
        <v>Premium5R3less</v>
      </c>
      <c r="R7" s="62">
        <f t="shared" si="1"/>
        <v>440895.00000000006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0.23384615384615387</v>
      </c>
      <c r="C17" s="85">
        <f t="shared" ref="C17:C31" si="2">SUMIF(Q:Q,A17,N:N)</f>
        <v>0</v>
      </c>
      <c r="D17" s="74">
        <f t="shared" ref="D17:D32" si="3">B17-C17</f>
        <v>0.23384615384615387</v>
      </c>
      <c r="E17">
        <f>COUNTIF(tables_443010!C:C,input_443010!A17)-COUNTIF(Q:Q,A17)</f>
        <v>20</v>
      </c>
      <c r="F17" s="43">
        <f>IFERROR(B17/E17,0)</f>
        <v>1.1692307692307693E-2</v>
      </c>
      <c r="G17">
        <f t="shared" ref="G17:G31" si="4">A$36*B17</f>
        <v>24259200.000000004</v>
      </c>
      <c r="H17">
        <f t="shared" ref="H17:H31" si="5">IFERROR(ROUND(G17/E17,5),0)</f>
        <v>1212960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9.1765567765567484E-3</v>
      </c>
      <c r="C18" s="85">
        <f t="shared" si="2"/>
        <v>0</v>
      </c>
      <c r="D18" s="74">
        <f t="shared" si="3"/>
        <v>9.1765567765567484E-3</v>
      </c>
      <c r="E18">
        <f>COUNTIF(tables_443010!C:C,input_443010!A18)-COUNTIF(Q:Q,A18)</f>
        <v>20</v>
      </c>
      <c r="F18" s="43">
        <f>IFERROR(B18/E18,0)</f>
        <v>4.5882783882783741E-4</v>
      </c>
      <c r="G18">
        <f t="shared" si="4"/>
        <v>951975.99999999709</v>
      </c>
      <c r="H18">
        <f t="shared" si="5"/>
        <v>47598.8</v>
      </c>
      <c r="I18">
        <f t="shared" si="6"/>
        <v>0.80000000000291038</v>
      </c>
      <c r="J18">
        <f t="shared" si="7"/>
        <v>1.2499999999954525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0.24714285714285714</v>
      </c>
      <c r="C19" s="85">
        <f t="shared" si="2"/>
        <v>0</v>
      </c>
      <c r="D19" s="74">
        <f t="shared" si="3"/>
        <v>0.24714285714285714</v>
      </c>
      <c r="E19">
        <f>COUNTIF(tables_443010!C:C,input_443010!A19)-COUNTIF(Q:Q,A19)</f>
        <v>52</v>
      </c>
      <c r="F19" s="43">
        <f t="shared" ref="F19:F31" si="8">IFERROR(B19/E19,0)</f>
        <v>4.7527472527472527E-3</v>
      </c>
      <c r="G19">
        <f t="shared" si="4"/>
        <v>25638600</v>
      </c>
      <c r="H19">
        <f t="shared" si="5"/>
        <v>493050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0.20242857142857143</v>
      </c>
      <c r="C20" s="85">
        <f t="shared" si="2"/>
        <v>0</v>
      </c>
      <c r="D20" s="74">
        <f t="shared" si="3"/>
        <v>0.20242857142857143</v>
      </c>
      <c r="E20">
        <f>COUNTIF(tables_443010!C:C,input_443010!A20)-COUNTIF(Q:Q,A20)</f>
        <v>52</v>
      </c>
      <c r="F20" s="43">
        <f t="shared" si="8"/>
        <v>3.8928571428571428E-3</v>
      </c>
      <c r="G20">
        <f t="shared" si="4"/>
        <v>20999940</v>
      </c>
      <c r="H20">
        <f t="shared" si="5"/>
        <v>403845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1.0514652014652001E-3</v>
      </c>
      <c r="C21" s="85">
        <f t="shared" si="2"/>
        <v>0</v>
      </c>
      <c r="D21" s="74">
        <f t="shared" si="3"/>
        <v>1.0514652014652001E-3</v>
      </c>
      <c r="E21">
        <f>COUNTIF(tables_443010!C:C,input_443010!A21)-COUNTIF(Q:Q,A21)</f>
        <v>52</v>
      </c>
      <c r="F21" s="43">
        <f t="shared" si="8"/>
        <v>2.0220484643561542E-5</v>
      </c>
      <c r="G21">
        <f t="shared" si="4"/>
        <v>109078.99999999985</v>
      </c>
      <c r="H21">
        <f t="shared" si="5"/>
        <v>2097.67308</v>
      </c>
      <c r="I21">
        <f t="shared" si="6"/>
        <v>0.67308000000002721</v>
      </c>
      <c r="J21">
        <f t="shared" si="7"/>
        <v>1.4857074939085393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0.13260164835164837</v>
      </c>
      <c r="C22" s="85">
        <f t="shared" si="2"/>
        <v>8.0750000000000002E-2</v>
      </c>
      <c r="D22" s="74">
        <f t="shared" si="3"/>
        <v>5.1851648351648363E-2</v>
      </c>
      <c r="E22">
        <f>COUNTIF(tables_443010!C:C,input_443010!A22)-COUNTIF(Q:Q,A22)</f>
        <v>15</v>
      </c>
      <c r="F22" s="43">
        <f t="shared" si="8"/>
        <v>8.8401098901098908E-3</v>
      </c>
      <c r="G22">
        <f t="shared" si="4"/>
        <v>13756095.000000002</v>
      </c>
      <c r="H22">
        <f t="shared" si="5"/>
        <v>917073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7.3076922922689011E-4</v>
      </c>
      <c r="C23" s="85">
        <f t="shared" si="2"/>
        <v>4.2500000000000003E-3</v>
      </c>
      <c r="D23" s="74">
        <f t="shared" si="3"/>
        <v>-3.5192307707731102E-3</v>
      </c>
      <c r="E23">
        <f>COUNTIF(tables_443010!C:C,input_443010!A23)-COUNTIF(Q:Q,A23)</f>
        <v>21</v>
      </c>
      <c r="F23" s="43">
        <f t="shared" si="8"/>
        <v>3.4798534725090007E-5</v>
      </c>
      <c r="G23">
        <f t="shared" si="4"/>
        <v>75809.999839997574</v>
      </c>
      <c r="H23">
        <f t="shared" si="5"/>
        <v>3609.9999899999998</v>
      </c>
      <c r="I23">
        <f t="shared" si="6"/>
        <v>0.99998999999979787</v>
      </c>
      <c r="J23">
        <f t="shared" si="7"/>
        <v>1.000010000100203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1.9010989010989011E-2</v>
      </c>
      <c r="C24" s="85">
        <f t="shared" si="2"/>
        <v>0</v>
      </c>
      <c r="D24" s="74">
        <f t="shared" si="3"/>
        <v>1.9010989010989011E-2</v>
      </c>
      <c r="E24">
        <f>COUNTIF(tables_443010!C:C,input_443010!A24)-COUNTIF(Q:Q,A24)</f>
        <v>4</v>
      </c>
      <c r="F24" s="43">
        <f t="shared" si="8"/>
        <v>4.7527472527472527E-3</v>
      </c>
      <c r="G24">
        <f t="shared" si="4"/>
        <v>1972200</v>
      </c>
      <c r="H24">
        <f t="shared" si="5"/>
        <v>493050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1.710989010989011E-2</v>
      </c>
      <c r="C25" s="85">
        <f t="shared" si="2"/>
        <v>0</v>
      </c>
      <c r="D25" s="74">
        <f t="shared" si="3"/>
        <v>1.710989010989011E-2</v>
      </c>
      <c r="E25">
        <f>COUNTIF(tables_443010!C:C,input_443010!A25)-COUNTIF(Q:Q,A25)</f>
        <v>4</v>
      </c>
      <c r="F25" s="43">
        <f t="shared" si="8"/>
        <v>4.2774725274725275E-3</v>
      </c>
      <c r="G25">
        <f t="shared" si="4"/>
        <v>1774980</v>
      </c>
      <c r="H25">
        <f t="shared" si="5"/>
        <v>443745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1.9010989010989012E-3</v>
      </c>
      <c r="C26" s="85">
        <f t="shared" si="2"/>
        <v>0</v>
      </c>
      <c r="D26" s="74">
        <f t="shared" si="3"/>
        <v>1.9010989010989012E-3</v>
      </c>
      <c r="E26">
        <f>COUNTIF(tables_443010!C:C,input_443010!A26)-COUNTIF(Q:Q,A26)</f>
        <v>4</v>
      </c>
      <c r="F26" s="43">
        <f t="shared" si="8"/>
        <v>4.7527472527472529E-4</v>
      </c>
      <c r="G26">
        <f t="shared" si="4"/>
        <v>197220</v>
      </c>
      <c r="H26">
        <f t="shared" si="5"/>
        <v>49305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7.9333333333333322E-3</v>
      </c>
      <c r="C27" s="85">
        <f t="shared" si="2"/>
        <v>0</v>
      </c>
      <c r="D27" s="74">
        <f t="shared" si="3"/>
        <v>7.9333333333333322E-3</v>
      </c>
      <c r="E27">
        <f>COUNTIF(tables_443010!C:C,input_443010!A27)-COUNTIF(Q:Q,A27)</f>
        <v>28</v>
      </c>
      <c r="F27" s="43">
        <f>IFERROR(B27/E27,0)</f>
        <v>2.833333333333333E-4</v>
      </c>
      <c r="G27">
        <f t="shared" si="4"/>
        <v>823003.99999999988</v>
      </c>
      <c r="H27">
        <f t="shared" si="5"/>
        <v>29393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4.1754385964912281E-4</v>
      </c>
      <c r="C28" s="85">
        <f t="shared" si="2"/>
        <v>0</v>
      </c>
      <c r="D28" s="74">
        <f t="shared" si="3"/>
        <v>4.1754385964912281E-4</v>
      </c>
      <c r="E28">
        <f>COUNTIF(tables_443010!C:C,input_443010!A28)-COUNTIF(Q:Q,A28)</f>
        <v>28</v>
      </c>
      <c r="F28" s="43">
        <f t="shared" si="8"/>
        <v>1.4912280701754386E-5</v>
      </c>
      <c r="G28">
        <f t="shared" si="4"/>
        <v>43316</v>
      </c>
      <c r="H28">
        <f t="shared" si="5"/>
        <v>1547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8.6491228070175452E-3</v>
      </c>
      <c r="C29" s="85">
        <f t="shared" si="2"/>
        <v>3.3000000000000002E-2</v>
      </c>
      <c r="D29" s="74">
        <f t="shared" si="3"/>
        <v>-2.4350877192982456E-2</v>
      </c>
      <c r="E29">
        <f>COUNTIF(tables_443010!C:C,input_443010!A29)-COUNTIF(Q:Q,A29)</f>
        <v>29</v>
      </c>
      <c r="F29" s="43">
        <f t="shared" si="8"/>
        <v>2.9824561403508779E-4</v>
      </c>
      <c r="G29">
        <f t="shared" si="4"/>
        <v>897260.00000000012</v>
      </c>
      <c r="H29">
        <f t="shared" si="5"/>
        <v>30940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COUNTIF(tables_443010!C:C,input_443010!A30)-COUNTIF(Q:Q,A30)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COUNTIF(tables_443010!C:C,input_443010!A31)-COUNTIF(Q:Q,A31)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0.88199999999845746</v>
      </c>
      <c r="C32" s="41">
        <f>SUM(C19:C31)</f>
        <v>0.11800000000000001</v>
      </c>
      <c r="D32" s="42">
        <f t="shared" si="3"/>
        <v>0.76399999999845747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3.2912820512820518E-2</v>
      </c>
      <c r="F34" s="55">
        <f ca="1">0.45-G41</f>
        <v>0</v>
      </c>
    </row>
    <row r="35" spans="1:7" x14ac:dyDescent="0.15">
      <c r="A35" t="s">
        <v>73</v>
      </c>
      <c r="E35">
        <v>3.7250000001542341E-2</v>
      </c>
      <c r="F35">
        <f ca="1">G42-0.05</f>
        <v>-4.8198250945929999E-13</v>
      </c>
    </row>
    <row r="36" spans="1:7" x14ac:dyDescent="0.15">
      <c r="A36" s="31">
        <f>LCM(F5-I5,F6-I6)*1000*2*2*5</f>
        <v>103740000</v>
      </c>
      <c r="E36">
        <f>E35-0.028</f>
        <v>9.2500000015423404E-3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SUMIF(tables_443010!C:C,input_443010!A40,tables_443010!O:O)</f>
        <v>25638600</v>
      </c>
      <c r="C40" s="54">
        <f t="shared" ref="C40:C46" ca="1" si="9">B40/B$47</f>
        <v>0.53846836742311621</v>
      </c>
      <c r="E40">
        <v>3</v>
      </c>
      <c r="F40">
        <f ca="1">SUMIF(tables_443010!J:J,input_443010!E40,tables_443010!O:O)</f>
        <v>51870000</v>
      </c>
      <c r="G40">
        <f ca="1">F40/A36</f>
        <v>0.5</v>
      </c>
    </row>
    <row r="41" spans="1:7" x14ac:dyDescent="0.15">
      <c r="A41" s="33" t="s">
        <v>104</v>
      </c>
      <c r="B41">
        <f ca="1">SUMIF(tables_443010!C:C,input_443010!A41,tables_443010!O:O)</f>
        <v>20999940</v>
      </c>
      <c r="C41" s="54">
        <f t="shared" ca="1" si="9"/>
        <v>0.44104605586043683</v>
      </c>
      <c r="E41">
        <v>4</v>
      </c>
      <c r="F41">
        <f ca="1">SUMIF(tables_443010!J:J,input_443010!E41,tables_443010!O:O)</f>
        <v>46683000</v>
      </c>
      <c r="G41">
        <f ca="1">F41/A36</f>
        <v>0.45</v>
      </c>
    </row>
    <row r="42" spans="1:7" x14ac:dyDescent="0.15">
      <c r="A42" s="33" t="s">
        <v>106</v>
      </c>
      <c r="B42">
        <f ca="1">SUMIF(tables_443010!C:C,input_443010!A42,tables_443010!O:O)</f>
        <v>823004</v>
      </c>
      <c r="C42" s="54">
        <f t="shared" ca="1" si="9"/>
        <v>1.7284938345412556E-2</v>
      </c>
      <c r="E42">
        <v>5</v>
      </c>
      <c r="F42">
        <f ca="1">SUMIF(tables_443010!J:J,input_443010!E42,tables_443010!O:O)</f>
        <v>5186999.9999499992</v>
      </c>
      <c r="G42">
        <f ca="1">F42/A36</f>
        <v>4.999999999951802E-2</v>
      </c>
    </row>
    <row r="43" spans="1:7" x14ac:dyDescent="0.15">
      <c r="A43" s="33" t="s">
        <v>109</v>
      </c>
      <c r="B43">
        <f>SUMIF(tables_443010!C:C,input_443010!A43,tables_443010!O:O)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SUMIF(tables_443010!C:C,input_443010!A44,tables_443010!O:O)</f>
        <v>109079.00015999986</v>
      </c>
      <c r="C44" s="54">
        <f t="shared" ca="1" si="9"/>
        <v>2.2909047739073491E-3</v>
      </c>
      <c r="E44" t="s">
        <v>54</v>
      </c>
      <c r="F44" s="55"/>
    </row>
    <row r="45" spans="1:7" x14ac:dyDescent="0.15">
      <c r="A45" s="33" t="s">
        <v>107</v>
      </c>
      <c r="B45">
        <f ca="1">SUMIF(tables_443010!C:C,input_443010!A45,tables_443010!O:O)</f>
        <v>43316</v>
      </c>
      <c r="C45" s="54">
        <f t="shared" ca="1" si="9"/>
        <v>9.0973359712697669E-4</v>
      </c>
      <c r="E45" t="s">
        <v>204</v>
      </c>
      <c r="F45" s="55">
        <f ca="1">SUMIF(tables_443010!I:I,input_443010!E45,tables_443010!P:P)</f>
        <v>0.2432315018310407</v>
      </c>
    </row>
    <row r="46" spans="1:7" x14ac:dyDescent="0.15">
      <c r="A46" s="33" t="s">
        <v>108</v>
      </c>
      <c r="B46">
        <f>SUMIF(tables_443010!C:C,input_443010!A46,tables_443010!O:O)</f>
        <v>0</v>
      </c>
      <c r="C46" s="54">
        <f t="shared" ca="1" si="9"/>
        <v>0</v>
      </c>
      <c r="E46" t="s">
        <v>205</v>
      </c>
      <c r="F46" s="55">
        <f ca="1">SUMIF(tables_443010!I:I,input_443010!E46,tables_443010!P:P)</f>
        <v>0.1758355064812879</v>
      </c>
    </row>
    <row r="47" spans="1:7" x14ac:dyDescent="0.15">
      <c r="A47" s="39" t="s">
        <v>59</v>
      </c>
      <c r="B47">
        <f ca="1">SUM(B40:B46)</f>
        <v>47613939.000160001</v>
      </c>
      <c r="C47" s="55">
        <f ca="1">SUM(C40:C46)</f>
        <v>1</v>
      </c>
      <c r="E47" t="s">
        <v>206</v>
      </c>
      <c r="F47" s="55">
        <f ca="1">SUMIF(tables_443010!I:I,input_443010!E47,tables_443010!P:P)</f>
        <v>0.53093299168764774</v>
      </c>
    </row>
    <row r="48" spans="1:7" x14ac:dyDescent="0.15">
      <c r="E48" t="s">
        <v>207</v>
      </c>
      <c r="F48" s="55">
        <f ca="1">SUMIF(tables_443010!I:I,input_443010!E48,tables_443010!P:P)</f>
        <v>3.9807017543878866E-2</v>
      </c>
      <c r="G48" s="55"/>
    </row>
    <row r="49" spans="5:6" x14ac:dyDescent="0.15">
      <c r="E49" t="s">
        <v>254</v>
      </c>
      <c r="F49" s="55">
        <f ca="1">SUMIF(tables_443010!I:I,input_443010!E49,tables_443010!P:P)</f>
        <v>1.0192982456145271E-2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87" activePane="bottomLeft" state="frozen"/>
      <selection activeCell="H276" sqref="H276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input_443010!A$2</f>
        <v>443010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IFERROR(VLOOKUP(B2,input_443010!L:R,7,FALSE),VLOOKUP(tables_443010!C2,input_443010!A:H,8,FALSE))</f>
        <v>1212960</v>
      </c>
      <c r="P2" s="46">
        <f t="shared" ref="P2:P65" ca="1" si="1">O2/SUM(O:O)</f>
        <v>1.1692307692313338E-2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input_443010!A$2</f>
        <v>443010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IFERROR(VLOOKUP(B3,input_443010!L:R,7,FALSE),VLOOKUP(tables_443010!C3,input_443010!A:H,8,FALSE))</f>
        <v>47598.8</v>
      </c>
      <c r="P3" s="46">
        <f t="shared" ca="1" si="1"/>
        <v>4.5882783882806037E-4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input_443010!A$2</f>
        <v>443010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IFERROR(VLOOKUP(B4,input_443010!L:R,7,FALSE),VLOOKUP(tables_443010!C4,input_443010!A:H,8,FALSE))</f>
        <v>1212960</v>
      </c>
      <c r="P4" s="46">
        <f t="shared" ca="1" si="1"/>
        <v>1.1692307692313338E-2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input_443010!A$2</f>
        <v>443010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IFERROR(VLOOKUP(B5,input_443010!L:R,7,FALSE),VLOOKUP(tables_443010!C5,input_443010!A:H,8,FALSE))</f>
        <v>47598.8</v>
      </c>
      <c r="P5" s="46">
        <f t="shared" ca="1" si="1"/>
        <v>4.5882783882806037E-4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input_443010!A$2</f>
        <v>443010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IFERROR(VLOOKUP(B6,input_443010!L:R,7,FALSE),VLOOKUP(tables_443010!C6,input_443010!A:H,8,FALSE))</f>
        <v>1212960</v>
      </c>
      <c r="P6" s="46">
        <f t="shared" ca="1" si="1"/>
        <v>1.1692307692313338E-2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input_443010!A$2</f>
        <v>443010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IFERROR(VLOOKUP(B7,input_443010!L:R,7,FALSE),VLOOKUP(tables_443010!C7,input_443010!A:H,8,FALSE))</f>
        <v>47598.8</v>
      </c>
      <c r="P7" s="46">
        <f t="shared" ca="1" si="1"/>
        <v>4.5882783882806037E-4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input_443010!A$2</f>
        <v>443010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IFERROR(VLOOKUP(B8,input_443010!L:R,7,FALSE),VLOOKUP(tables_443010!C8,input_443010!A:H,8,FALSE))</f>
        <v>1212960</v>
      </c>
      <c r="P8" s="46">
        <f t="shared" ca="1" si="1"/>
        <v>1.1692307692313338E-2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input_443010!A$2</f>
        <v>443010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IFERROR(VLOOKUP(B9,input_443010!L:R,7,FALSE),VLOOKUP(tables_443010!C9,input_443010!A:H,8,FALSE))</f>
        <v>47598.8</v>
      </c>
      <c r="P9" s="46">
        <f t="shared" ca="1" si="1"/>
        <v>4.5882783882806037E-4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input_443010!A$2</f>
        <v>443010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IFERROR(VLOOKUP(B10,input_443010!L:R,7,FALSE),VLOOKUP(tables_443010!C10,input_443010!A:H,8,FALSE))</f>
        <v>1212960</v>
      </c>
      <c r="P10" s="46">
        <f t="shared" ca="1" si="1"/>
        <v>1.1692307692313338E-2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input_443010!A$2</f>
        <v>443010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IFERROR(VLOOKUP(B11,input_443010!L:R,7,FALSE),VLOOKUP(tables_443010!C11,input_443010!A:H,8,FALSE))</f>
        <v>47598.8</v>
      </c>
      <c r="P11" s="46">
        <f t="shared" ca="1" si="1"/>
        <v>4.5882783882806037E-4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input_443010!A$2</f>
        <v>443010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IFERROR(VLOOKUP(B12,input_443010!L:R,7,FALSE),VLOOKUP(tables_443010!C12,input_443010!A:H,8,FALSE))</f>
        <v>1212960</v>
      </c>
      <c r="P12" s="46">
        <f t="shared" ca="1" si="1"/>
        <v>1.1692307692313338E-2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input_443010!A$2</f>
        <v>443010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IFERROR(VLOOKUP(B13,input_443010!L:R,7,FALSE),VLOOKUP(tables_443010!C13,input_443010!A:H,8,FALSE))</f>
        <v>47598.8</v>
      </c>
      <c r="P13" s="46">
        <f t="shared" ca="1" si="1"/>
        <v>4.5882783882806037E-4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input_443010!A$2</f>
        <v>443010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IFERROR(VLOOKUP(B14,input_443010!L:R,7,FALSE),VLOOKUP(tables_443010!C14,input_443010!A:H,8,FALSE))</f>
        <v>1212960</v>
      </c>
      <c r="P14" s="46">
        <f t="shared" ca="1" si="1"/>
        <v>1.1692307692313338E-2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input_443010!A$2</f>
        <v>443010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IFERROR(VLOOKUP(B15,input_443010!L:R,7,FALSE),VLOOKUP(tables_443010!C15,input_443010!A:H,8,FALSE))</f>
        <v>47598.8</v>
      </c>
      <c r="P15" s="46">
        <f t="shared" ca="1" si="1"/>
        <v>4.5882783882806037E-4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input_443010!A$2</f>
        <v>443010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IFERROR(VLOOKUP(B16,input_443010!L:R,7,FALSE),VLOOKUP(tables_443010!C16,input_443010!A:H,8,FALSE))</f>
        <v>1212960</v>
      </c>
      <c r="P16" s="46">
        <f t="shared" ca="1" si="1"/>
        <v>1.1692307692313338E-2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input_443010!A$2</f>
        <v>443010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IFERROR(VLOOKUP(B17,input_443010!L:R,7,FALSE),VLOOKUP(tables_443010!C17,input_443010!A:H,8,FALSE))</f>
        <v>47598.8</v>
      </c>
      <c r="P17" s="46">
        <f t="shared" ca="1" si="1"/>
        <v>4.5882783882806037E-4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input_443010!A$2</f>
        <v>443010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IFERROR(VLOOKUP(B18,input_443010!L:R,7,FALSE),VLOOKUP(tables_443010!C18,input_443010!A:H,8,FALSE))</f>
        <v>1212960</v>
      </c>
      <c r="P18" s="46">
        <f t="shared" ca="1" si="1"/>
        <v>1.1692307692313338E-2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input_443010!A$2</f>
        <v>443010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IFERROR(VLOOKUP(B19,input_443010!L:R,7,FALSE),VLOOKUP(tables_443010!C19,input_443010!A:H,8,FALSE))</f>
        <v>47598.8</v>
      </c>
      <c r="P19" s="46">
        <f t="shared" ca="1" si="1"/>
        <v>4.5882783882806037E-4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input_443010!A$2</f>
        <v>443010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IFERROR(VLOOKUP(B20,input_443010!L:R,7,FALSE),VLOOKUP(tables_443010!C20,input_443010!A:H,8,FALSE))</f>
        <v>1212960</v>
      </c>
      <c r="P20" s="46">
        <f t="shared" ca="1" si="1"/>
        <v>1.1692307692313338E-2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input_443010!A$2</f>
        <v>443010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IFERROR(VLOOKUP(B21,input_443010!L:R,7,FALSE),VLOOKUP(tables_443010!C21,input_443010!A:H,8,FALSE))</f>
        <v>47598.8</v>
      </c>
      <c r="P21" s="46">
        <f t="shared" ca="1" si="1"/>
        <v>4.5882783882806037E-4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input_443010!A$2</f>
        <v>443010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IFERROR(VLOOKUP(B22,input_443010!L:R,7,FALSE),VLOOKUP(tables_443010!C22,input_443010!A:H,8,FALSE))</f>
        <v>1212960</v>
      </c>
      <c r="P22" s="46">
        <f t="shared" ca="1" si="1"/>
        <v>1.1692307692313338E-2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input_443010!A$2</f>
        <v>443010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IFERROR(VLOOKUP(B23,input_443010!L:R,7,FALSE),VLOOKUP(tables_443010!C23,input_443010!A:H,8,FALSE))</f>
        <v>47598.8</v>
      </c>
      <c r="P23" s="46">
        <f t="shared" ca="1" si="1"/>
        <v>4.5882783882806037E-4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input_443010!A$2</f>
        <v>443010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IFERROR(VLOOKUP(B24,input_443010!L:R,7,FALSE),VLOOKUP(tables_443010!C24,input_443010!A:H,8,FALSE))</f>
        <v>1212960</v>
      </c>
      <c r="P24" s="46">
        <f t="shared" ca="1" si="1"/>
        <v>1.1692307692313338E-2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input_443010!A$2</f>
        <v>443010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IFERROR(VLOOKUP(B25,input_443010!L:R,7,FALSE),VLOOKUP(tables_443010!C25,input_443010!A:H,8,FALSE))</f>
        <v>47598.8</v>
      </c>
      <c r="P25" s="46">
        <f t="shared" ca="1" si="1"/>
        <v>4.5882783882806037E-4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input_443010!A$2</f>
        <v>443010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IFERROR(VLOOKUP(B26,input_443010!L:R,7,FALSE),VLOOKUP(tables_443010!C26,input_443010!A:H,8,FALSE))</f>
        <v>1212960</v>
      </c>
      <c r="P26" s="46">
        <f t="shared" ca="1" si="1"/>
        <v>1.1692307692313338E-2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input_443010!A$2</f>
        <v>443010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IFERROR(VLOOKUP(B27,input_443010!L:R,7,FALSE),VLOOKUP(tables_443010!C27,input_443010!A:H,8,FALSE))</f>
        <v>47598.8</v>
      </c>
      <c r="P27" s="46">
        <f t="shared" ca="1" si="1"/>
        <v>4.5882783882806037E-4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input_443010!A$2</f>
        <v>443010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IFERROR(VLOOKUP(B28,input_443010!L:R,7,FALSE),VLOOKUP(tables_443010!C28,input_443010!A:H,8,FALSE))</f>
        <v>1212960</v>
      </c>
      <c r="P28" s="46">
        <f t="shared" ca="1" si="1"/>
        <v>1.1692307692313338E-2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input_443010!A$2</f>
        <v>443010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IFERROR(VLOOKUP(B29,input_443010!L:R,7,FALSE),VLOOKUP(tables_443010!C29,input_443010!A:H,8,FALSE))</f>
        <v>47598.8</v>
      </c>
      <c r="P29" s="46">
        <f t="shared" ca="1" si="1"/>
        <v>4.5882783882806037E-4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input_443010!A$2</f>
        <v>443010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IFERROR(VLOOKUP(B30,input_443010!L:R,7,FALSE),VLOOKUP(tables_443010!C30,input_443010!A:H,8,FALSE))</f>
        <v>1212960</v>
      </c>
      <c r="P30" s="46">
        <f t="shared" ca="1" si="1"/>
        <v>1.1692307692313338E-2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input_443010!A$2</f>
        <v>443010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IFERROR(VLOOKUP(B31,input_443010!L:R,7,FALSE),VLOOKUP(tables_443010!C31,input_443010!A:H,8,FALSE))</f>
        <v>47598.8</v>
      </c>
      <c r="P31" s="46">
        <f t="shared" ca="1" si="1"/>
        <v>4.5882783882806037E-4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input_443010!A$2</f>
        <v>443010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IFERROR(VLOOKUP(B32,input_443010!L:R,7,FALSE),VLOOKUP(tables_443010!C32,input_443010!A:H,8,FALSE))</f>
        <v>1212960</v>
      </c>
      <c r="P32" s="46">
        <f t="shared" ca="1" si="1"/>
        <v>1.1692307692313338E-2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input_443010!A$2</f>
        <v>443010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IFERROR(VLOOKUP(B33,input_443010!L:R,7,FALSE),VLOOKUP(tables_443010!C33,input_443010!A:H,8,FALSE))</f>
        <v>47598.8</v>
      </c>
      <c r="P33" s="46">
        <f t="shared" ca="1" si="1"/>
        <v>4.5882783882806037E-4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input_443010!A$2</f>
        <v>443010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IFERROR(VLOOKUP(B34,input_443010!L:R,7,FALSE),VLOOKUP(tables_443010!C34,input_443010!A:H,8,FALSE))</f>
        <v>1212960</v>
      </c>
      <c r="P34" s="46">
        <f t="shared" ca="1" si="1"/>
        <v>1.1692307692313338E-2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input_443010!A$2</f>
        <v>443010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IFERROR(VLOOKUP(B35,input_443010!L:R,7,FALSE),VLOOKUP(tables_443010!C35,input_443010!A:H,8,FALSE))</f>
        <v>47598.8</v>
      </c>
      <c r="P35" s="46">
        <f t="shared" ca="1" si="1"/>
        <v>4.5882783882806037E-4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input_443010!A$2</f>
        <v>443010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IFERROR(VLOOKUP(B36,input_443010!L:R,7,FALSE),VLOOKUP(tables_443010!C36,input_443010!A:H,8,FALSE))</f>
        <v>1212960</v>
      </c>
      <c r="P36" s="46">
        <f t="shared" ca="1" si="1"/>
        <v>1.1692307692313338E-2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input_443010!A$2</f>
        <v>443010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IFERROR(VLOOKUP(B37,input_443010!L:R,7,FALSE),VLOOKUP(tables_443010!C37,input_443010!A:H,8,FALSE))</f>
        <v>47598.8</v>
      </c>
      <c r="P37" s="46">
        <f t="shared" ca="1" si="1"/>
        <v>4.5882783882806037E-4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input_443010!A$2</f>
        <v>443010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IFERROR(VLOOKUP(B38,input_443010!L:R,7,FALSE),VLOOKUP(tables_443010!C38,input_443010!A:H,8,FALSE))</f>
        <v>1212960</v>
      </c>
      <c r="P38" s="46">
        <f t="shared" ca="1" si="1"/>
        <v>1.1692307692313338E-2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input_443010!A$2</f>
        <v>443010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IFERROR(VLOOKUP(B39,input_443010!L:R,7,FALSE),VLOOKUP(tables_443010!C39,input_443010!A:H,8,FALSE))</f>
        <v>47598.8</v>
      </c>
      <c r="P39" s="46">
        <f t="shared" ca="1" si="1"/>
        <v>4.5882783882806037E-4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input_443010!A$2</f>
        <v>443010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IFERROR(VLOOKUP(B40,input_443010!L:R,7,FALSE),VLOOKUP(tables_443010!C40,input_443010!A:H,8,FALSE))</f>
        <v>1212960</v>
      </c>
      <c r="P40" s="46">
        <f t="shared" ca="1" si="1"/>
        <v>1.1692307692313338E-2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input_443010!A$2</f>
        <v>443010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IFERROR(VLOOKUP(B41,input_443010!L:R,7,FALSE),VLOOKUP(tables_443010!C41,input_443010!A:H,8,FALSE))</f>
        <v>47598.8</v>
      </c>
      <c r="P41" s="46">
        <f t="shared" ca="1" si="1"/>
        <v>4.5882783882806037E-4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input_443010!A$2</f>
        <v>443010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IFERROR(VLOOKUP(B42,input_443010!L:R,7,FALSE),VLOOKUP(tables_443010!C42,input_443010!A:H,8,FALSE))</f>
        <v>493050</v>
      </c>
      <c r="P42" s="46">
        <f t="shared" ca="1" si="1"/>
        <v>4.7527472527495469E-3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input_443010!A$2</f>
        <v>443010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IFERROR(VLOOKUP(B43,input_443010!L:R,7,FALSE),VLOOKUP(tables_443010!C43,input_443010!A:H,8,FALSE))</f>
        <v>443745</v>
      </c>
      <c r="P43" s="46">
        <f t="shared" ca="1" si="1"/>
        <v>4.2774725274745927E-3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input_443010!A$2</f>
        <v>443010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IFERROR(VLOOKUP(B44,input_443010!L:R,7,FALSE),VLOOKUP(tables_443010!C44,input_443010!A:H,8,FALSE))</f>
        <v>49305</v>
      </c>
      <c r="P44" s="46">
        <f t="shared" ca="1" si="1"/>
        <v>4.7527472527495471E-4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input_443010!A$2</f>
        <v>443010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IFERROR(VLOOKUP(B45,input_443010!L:R,7,FALSE),VLOOKUP(tables_443010!C45,input_443010!A:H,8,FALSE))</f>
        <v>493050</v>
      </c>
      <c r="P45" s="46">
        <f t="shared" ca="1" si="1"/>
        <v>4.7527472527495469E-3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input_443010!A$2</f>
        <v>443010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IFERROR(VLOOKUP(B46,input_443010!L:R,7,FALSE),VLOOKUP(tables_443010!C46,input_443010!A:H,8,FALSE))</f>
        <v>443745</v>
      </c>
      <c r="P46" s="46">
        <f t="shared" ca="1" si="1"/>
        <v>4.2774725274745927E-3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input_443010!A$2</f>
        <v>443010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IFERROR(VLOOKUP(B47,input_443010!L:R,7,FALSE),VLOOKUP(tables_443010!C47,input_443010!A:H,8,FALSE))</f>
        <v>49305</v>
      </c>
      <c r="P47" s="46">
        <f t="shared" ca="1" si="1"/>
        <v>4.7527472527495471E-4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input_443010!A$2</f>
        <v>443010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IFERROR(VLOOKUP(B48,input_443010!L:R,7,FALSE),VLOOKUP(tables_443010!C48,input_443010!A:H,8,FALSE))</f>
        <v>493050</v>
      </c>
      <c r="P48" s="46">
        <f t="shared" ca="1" si="1"/>
        <v>4.7527472527495469E-3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input_443010!A$2</f>
        <v>443010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IFERROR(VLOOKUP(B49,input_443010!L:R,7,FALSE),VLOOKUP(tables_443010!C49,input_443010!A:H,8,FALSE))</f>
        <v>443745</v>
      </c>
      <c r="P49" s="46">
        <f t="shared" ca="1" si="1"/>
        <v>4.2774725274745927E-3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input_443010!A$2</f>
        <v>443010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IFERROR(VLOOKUP(B50,input_443010!L:R,7,FALSE),VLOOKUP(tables_443010!C50,input_443010!A:H,8,FALSE))</f>
        <v>49305</v>
      </c>
      <c r="P50" s="46">
        <f t="shared" ca="1" si="1"/>
        <v>4.7527472527495471E-4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input_443010!A$2</f>
        <v>443010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IFERROR(VLOOKUP(B51,input_443010!L:R,7,FALSE),VLOOKUP(tables_443010!C51,input_443010!A:H,8,FALSE))</f>
        <v>493050</v>
      </c>
      <c r="P51" s="46">
        <f t="shared" ca="1" si="1"/>
        <v>4.7527472527495469E-3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input_443010!A$2</f>
        <v>443010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IFERROR(VLOOKUP(B52,input_443010!L:R,7,FALSE),VLOOKUP(tables_443010!C52,input_443010!A:H,8,FALSE))</f>
        <v>403845</v>
      </c>
      <c r="P52" s="46">
        <f t="shared" ca="1" si="1"/>
        <v>3.8928571428590224E-3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input_443010!A$2</f>
        <v>443010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IFERROR(VLOOKUP(B53,input_443010!L:R,7,FALSE),VLOOKUP(tables_443010!C53,input_443010!A:H,8,FALSE))</f>
        <v>2097.67308</v>
      </c>
      <c r="P53" s="46">
        <f t="shared" ca="1" si="1"/>
        <v>2.0220484673231277E-5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input_443010!A$2</f>
        <v>443010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IFERROR(VLOOKUP(B54,input_443010!L:R,7,FALSE),VLOOKUP(tables_443010!C54,input_443010!A:H,8,FALSE))</f>
        <v>493050</v>
      </c>
      <c r="P54" s="46">
        <f t="shared" ca="1" si="1"/>
        <v>4.7527472527495469E-3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input_443010!A$2</f>
        <v>443010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IFERROR(VLOOKUP(B55,input_443010!L:R,7,FALSE),VLOOKUP(tables_443010!C55,input_443010!A:H,8,FALSE))</f>
        <v>403845</v>
      </c>
      <c r="P55" s="46">
        <f t="shared" ca="1" si="1"/>
        <v>3.8928571428590224E-3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input_443010!A$2</f>
        <v>443010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IFERROR(VLOOKUP(B56,input_443010!L:R,7,FALSE),VLOOKUP(tables_443010!C56,input_443010!A:H,8,FALSE))</f>
        <v>2097.67308</v>
      </c>
      <c r="P56" s="46">
        <f t="shared" ca="1" si="1"/>
        <v>2.0220484673231277E-5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input_443010!A$2</f>
        <v>443010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IFERROR(VLOOKUP(B57,input_443010!L:R,7,FALSE),VLOOKUP(tables_443010!C57,input_443010!A:H,8,FALSE))</f>
        <v>493050</v>
      </c>
      <c r="P57" s="46">
        <f t="shared" ca="1" si="1"/>
        <v>4.7527472527495469E-3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input_443010!A$2</f>
        <v>443010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IFERROR(VLOOKUP(B58,input_443010!L:R,7,FALSE),VLOOKUP(tables_443010!C58,input_443010!A:H,8,FALSE))</f>
        <v>403845</v>
      </c>
      <c r="P58" s="46">
        <f t="shared" ca="1" si="1"/>
        <v>3.8928571428590224E-3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input_443010!A$2</f>
        <v>443010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IFERROR(VLOOKUP(B59,input_443010!L:R,7,FALSE),VLOOKUP(tables_443010!C59,input_443010!A:H,8,FALSE))</f>
        <v>2097.67308</v>
      </c>
      <c r="P59" s="46">
        <f t="shared" ca="1" si="1"/>
        <v>2.0220484673231277E-5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input_443010!A$2</f>
        <v>443010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IFERROR(VLOOKUP(B60,input_443010!L:R,7,FALSE),VLOOKUP(tables_443010!C60,input_443010!A:H,8,FALSE))</f>
        <v>493050</v>
      </c>
      <c r="P60" s="46">
        <f t="shared" ca="1" si="1"/>
        <v>4.7527472527495469E-3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input_443010!A$2</f>
        <v>443010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IFERROR(VLOOKUP(B61,input_443010!L:R,7,FALSE),VLOOKUP(tables_443010!C61,input_443010!A:H,8,FALSE))</f>
        <v>403845</v>
      </c>
      <c r="P61" s="46">
        <f t="shared" ca="1" si="1"/>
        <v>3.8928571428590224E-3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input_443010!A$2</f>
        <v>443010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IFERROR(VLOOKUP(B62,input_443010!L:R,7,FALSE),VLOOKUP(tables_443010!C62,input_443010!A:H,8,FALSE))</f>
        <v>2097.67308</v>
      </c>
      <c r="P62" s="46">
        <f t="shared" ca="1" si="1"/>
        <v>2.0220484673231277E-5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input_443010!A$2</f>
        <v>443010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IFERROR(VLOOKUP(B63,input_443010!L:R,7,FALSE),VLOOKUP(tables_443010!C63,input_443010!A:H,8,FALSE))</f>
        <v>493050</v>
      </c>
      <c r="P63" s="46">
        <f t="shared" ca="1" si="1"/>
        <v>4.7527472527495469E-3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input_443010!A$2</f>
        <v>443010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IFERROR(VLOOKUP(B64,input_443010!L:R,7,FALSE),VLOOKUP(tables_443010!C64,input_443010!A:H,8,FALSE))</f>
        <v>403845</v>
      </c>
      <c r="P64" s="46">
        <f t="shared" ca="1" si="1"/>
        <v>3.8928571428590224E-3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input_443010!A$2</f>
        <v>443010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IFERROR(VLOOKUP(B65,input_443010!L:R,7,FALSE),VLOOKUP(tables_443010!C65,input_443010!A:H,8,FALSE))</f>
        <v>2097.67308</v>
      </c>
      <c r="P65" s="46">
        <f t="shared" ca="1" si="1"/>
        <v>2.0220484673231277E-5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input_443010!A$2</f>
        <v>443010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IFERROR(VLOOKUP(B66,input_443010!L:R,7,FALSE),VLOOKUP(tables_443010!C66,input_443010!A:H,8,FALSE))</f>
        <v>493050</v>
      </c>
      <c r="P66" s="46">
        <f t="shared" ref="P66:P129" ca="1" si="4">O66/SUM(O:O)</f>
        <v>4.7527472527495469E-3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input_443010!A$2</f>
        <v>443010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IFERROR(VLOOKUP(B67,input_443010!L:R,7,FALSE),VLOOKUP(tables_443010!C67,input_443010!A:H,8,FALSE))</f>
        <v>403845</v>
      </c>
      <c r="P67" s="46">
        <f t="shared" ca="1" si="4"/>
        <v>3.8928571428590224E-3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input_443010!A$2</f>
        <v>443010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IFERROR(VLOOKUP(B68,input_443010!L:R,7,FALSE),VLOOKUP(tables_443010!C68,input_443010!A:H,8,FALSE))</f>
        <v>2097.67308</v>
      </c>
      <c r="P68" s="46">
        <f t="shared" ca="1" si="4"/>
        <v>2.0220484673231277E-5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input_443010!A$2</f>
        <v>443010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IFERROR(VLOOKUP(B69,input_443010!L:R,7,FALSE),VLOOKUP(tables_443010!C69,input_443010!A:H,8,FALSE))</f>
        <v>493050</v>
      </c>
      <c r="P69" s="46">
        <f t="shared" ca="1" si="4"/>
        <v>4.7527472527495469E-3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input_443010!A$2</f>
        <v>443010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IFERROR(VLOOKUP(B70,input_443010!L:R,7,FALSE),VLOOKUP(tables_443010!C70,input_443010!A:H,8,FALSE))</f>
        <v>403845</v>
      </c>
      <c r="P70" s="46">
        <f t="shared" ca="1" si="4"/>
        <v>3.8928571428590224E-3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input_443010!A$2</f>
        <v>443010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IFERROR(VLOOKUP(B71,input_443010!L:R,7,FALSE),VLOOKUP(tables_443010!C71,input_443010!A:H,8,FALSE))</f>
        <v>2097.67308</v>
      </c>
      <c r="P71" s="46">
        <f t="shared" ca="1" si="4"/>
        <v>2.0220484673231277E-5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input_443010!A$2</f>
        <v>443010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IFERROR(VLOOKUP(B72,input_443010!L:R,7,FALSE),VLOOKUP(tables_443010!C72,input_443010!A:H,8,FALSE))</f>
        <v>493050</v>
      </c>
      <c r="P72" s="46">
        <f t="shared" ca="1" si="4"/>
        <v>4.7527472527495469E-3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input_443010!A$2</f>
        <v>443010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IFERROR(VLOOKUP(B73,input_443010!L:R,7,FALSE),VLOOKUP(tables_443010!C73,input_443010!A:H,8,FALSE))</f>
        <v>403845</v>
      </c>
      <c r="P73" s="46">
        <f t="shared" ca="1" si="4"/>
        <v>3.8928571428590224E-3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input_443010!A$2</f>
        <v>443010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IFERROR(VLOOKUP(B74,input_443010!L:R,7,FALSE),VLOOKUP(tables_443010!C74,input_443010!A:H,8,FALSE))</f>
        <v>2097.67308</v>
      </c>
      <c r="P74" s="46">
        <f t="shared" ca="1" si="4"/>
        <v>2.0220484673231277E-5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input_443010!A$2</f>
        <v>443010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IFERROR(VLOOKUP(B75,input_443010!L:R,7,FALSE),VLOOKUP(tables_443010!C75,input_443010!A:H,8,FALSE))</f>
        <v>493050</v>
      </c>
      <c r="P75" s="46">
        <f t="shared" ca="1" si="4"/>
        <v>4.7527472527495469E-3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input_443010!A$2</f>
        <v>443010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IFERROR(VLOOKUP(B76,input_443010!L:R,7,FALSE),VLOOKUP(tables_443010!C76,input_443010!A:H,8,FALSE))</f>
        <v>403845</v>
      </c>
      <c r="P76" s="46">
        <f t="shared" ca="1" si="4"/>
        <v>3.8928571428590224E-3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input_443010!A$2</f>
        <v>443010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IFERROR(VLOOKUP(B77,input_443010!L:R,7,FALSE),VLOOKUP(tables_443010!C77,input_443010!A:H,8,FALSE))</f>
        <v>2097.67308</v>
      </c>
      <c r="P77" s="46">
        <f t="shared" ca="1" si="4"/>
        <v>2.0220484673231277E-5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input_443010!A$2</f>
        <v>443010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IFERROR(VLOOKUP(B78,input_443010!L:R,7,FALSE),VLOOKUP(tables_443010!C78,input_443010!A:H,8,FALSE))</f>
        <v>493050</v>
      </c>
      <c r="P78" s="46">
        <f t="shared" ca="1" si="4"/>
        <v>4.7527472527495469E-3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input_443010!A$2</f>
        <v>443010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IFERROR(VLOOKUP(B79,input_443010!L:R,7,FALSE),VLOOKUP(tables_443010!C79,input_443010!A:H,8,FALSE))</f>
        <v>403845</v>
      </c>
      <c r="P79" s="46">
        <f t="shared" ca="1" si="4"/>
        <v>3.8928571428590224E-3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input_443010!A$2</f>
        <v>443010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IFERROR(VLOOKUP(B80,input_443010!L:R,7,FALSE),VLOOKUP(tables_443010!C80,input_443010!A:H,8,FALSE))</f>
        <v>2097.67308</v>
      </c>
      <c r="P80" s="46">
        <f t="shared" ca="1" si="4"/>
        <v>2.0220484673231277E-5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input_443010!A$2</f>
        <v>443010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IFERROR(VLOOKUP(B81,input_443010!L:R,7,FALSE),VLOOKUP(tables_443010!C81,input_443010!A:H,8,FALSE))</f>
        <v>493050</v>
      </c>
      <c r="P81" s="46">
        <f t="shared" ca="1" si="4"/>
        <v>4.7527472527495469E-3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input_443010!A$2</f>
        <v>443010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IFERROR(VLOOKUP(B82,input_443010!L:R,7,FALSE),VLOOKUP(tables_443010!C82,input_443010!A:H,8,FALSE))</f>
        <v>403845</v>
      </c>
      <c r="P82" s="46">
        <f t="shared" ca="1" si="4"/>
        <v>3.8928571428590224E-3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input_443010!A$2</f>
        <v>443010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IFERROR(VLOOKUP(B83,input_443010!L:R,7,FALSE),VLOOKUP(tables_443010!C83,input_443010!A:H,8,FALSE))</f>
        <v>2097.67308</v>
      </c>
      <c r="P83" s="46">
        <f t="shared" ca="1" si="4"/>
        <v>2.0220484673231277E-5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input_443010!A$2</f>
        <v>443010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IFERROR(VLOOKUP(B84,input_443010!L:R,7,FALSE),VLOOKUP(tables_443010!C84,input_443010!A:H,8,FALSE))</f>
        <v>493050</v>
      </c>
      <c r="P84" s="46">
        <f t="shared" ca="1" si="4"/>
        <v>4.7527472527495469E-3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input_443010!A$2</f>
        <v>443010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IFERROR(VLOOKUP(B85,input_443010!L:R,7,FALSE),VLOOKUP(tables_443010!C85,input_443010!A:H,8,FALSE))</f>
        <v>403845</v>
      </c>
      <c r="P85" s="46">
        <f t="shared" ca="1" si="4"/>
        <v>3.8928571428590224E-3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input_443010!A$2</f>
        <v>443010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IFERROR(VLOOKUP(B86,input_443010!L:R,7,FALSE),VLOOKUP(tables_443010!C86,input_443010!A:H,8,FALSE))</f>
        <v>2097.67308</v>
      </c>
      <c r="P86" s="46">
        <f t="shared" ca="1" si="4"/>
        <v>2.0220484673231277E-5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input_443010!A$2</f>
        <v>443010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IFERROR(VLOOKUP(B87,input_443010!L:R,7,FALSE),VLOOKUP(tables_443010!C87,input_443010!A:H,8,FALSE))</f>
        <v>493050</v>
      </c>
      <c r="P87" s="46">
        <f t="shared" ca="1" si="4"/>
        <v>4.7527472527495469E-3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input_443010!A$2</f>
        <v>443010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IFERROR(VLOOKUP(B88,input_443010!L:R,7,FALSE),VLOOKUP(tables_443010!C88,input_443010!A:H,8,FALSE))</f>
        <v>403845</v>
      </c>
      <c r="P88" s="46">
        <f t="shared" ca="1" si="4"/>
        <v>3.8928571428590224E-3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input_443010!A$2</f>
        <v>443010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IFERROR(VLOOKUP(B89,input_443010!L:R,7,FALSE),VLOOKUP(tables_443010!C89,input_443010!A:H,8,FALSE))</f>
        <v>2097.67308</v>
      </c>
      <c r="P89" s="46">
        <f t="shared" ca="1" si="4"/>
        <v>2.0220484673231277E-5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input_443010!A$2</f>
        <v>443010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IFERROR(VLOOKUP(B90,input_443010!L:R,7,FALSE),VLOOKUP(tables_443010!C90,input_443010!A:H,8,FALSE))</f>
        <v>493050</v>
      </c>
      <c r="P90" s="46">
        <f t="shared" ca="1" si="4"/>
        <v>4.7527472527495469E-3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input_443010!A$2</f>
        <v>443010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IFERROR(VLOOKUP(B91,input_443010!L:R,7,FALSE),VLOOKUP(tables_443010!C91,input_443010!A:H,8,FALSE))</f>
        <v>403845</v>
      </c>
      <c r="P91" s="46">
        <f t="shared" ca="1" si="4"/>
        <v>3.8928571428590224E-3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input_443010!A$2</f>
        <v>443010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IFERROR(VLOOKUP(B92,input_443010!L:R,7,FALSE),VLOOKUP(tables_443010!C92,input_443010!A:H,8,FALSE))</f>
        <v>2097.67308</v>
      </c>
      <c r="P92" s="46">
        <f t="shared" ca="1" si="4"/>
        <v>2.0220484673231277E-5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input_443010!A$2</f>
        <v>443010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IFERROR(VLOOKUP(B93,input_443010!L:R,7,FALSE),VLOOKUP(tables_443010!C93,input_443010!A:H,8,FALSE))</f>
        <v>493050</v>
      </c>
      <c r="P93" s="46">
        <f t="shared" ca="1" si="4"/>
        <v>4.7527472527495469E-3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input_443010!A$2</f>
        <v>443010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IFERROR(VLOOKUP(B94,input_443010!L:R,7,FALSE),VLOOKUP(tables_443010!C94,input_443010!A:H,8,FALSE))</f>
        <v>403845</v>
      </c>
      <c r="P94" s="46">
        <f t="shared" ca="1" si="4"/>
        <v>3.8928571428590224E-3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input_443010!A$2</f>
        <v>443010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IFERROR(VLOOKUP(B95,input_443010!L:R,7,FALSE),VLOOKUP(tables_443010!C95,input_443010!A:H,8,FALSE))</f>
        <v>2097.67308</v>
      </c>
      <c r="P95" s="46">
        <f t="shared" ca="1" si="4"/>
        <v>2.0220484673231277E-5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input_443010!A$2</f>
        <v>443010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IFERROR(VLOOKUP(B96,input_443010!L:R,7,FALSE),VLOOKUP(tables_443010!C96,input_443010!A:H,8,FALSE))</f>
        <v>493050</v>
      </c>
      <c r="P96" s="46">
        <f t="shared" ca="1" si="4"/>
        <v>4.7527472527495469E-3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input_443010!A$2</f>
        <v>443010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IFERROR(VLOOKUP(B97,input_443010!L:R,7,FALSE),VLOOKUP(tables_443010!C97,input_443010!A:H,8,FALSE))</f>
        <v>403845</v>
      </c>
      <c r="P97" s="46">
        <f t="shared" ca="1" si="4"/>
        <v>3.8928571428590224E-3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input_443010!A$2</f>
        <v>443010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IFERROR(VLOOKUP(B98,input_443010!L:R,7,FALSE),VLOOKUP(tables_443010!C98,input_443010!A:H,8,FALSE))</f>
        <v>2097.67308</v>
      </c>
      <c r="P98" s="46">
        <f t="shared" ca="1" si="4"/>
        <v>2.0220484673231277E-5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input_443010!A$2</f>
        <v>443010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IFERROR(VLOOKUP(B99,input_443010!L:R,7,FALSE),VLOOKUP(tables_443010!C99,input_443010!A:H,8,FALSE))</f>
        <v>493050</v>
      </c>
      <c r="P99" s="46">
        <f t="shared" ca="1" si="4"/>
        <v>4.7527472527495469E-3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input_443010!A$2</f>
        <v>443010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IFERROR(VLOOKUP(B100,input_443010!L:R,7,FALSE),VLOOKUP(tables_443010!C100,input_443010!A:H,8,FALSE))</f>
        <v>403845</v>
      </c>
      <c r="P100" s="46">
        <f t="shared" ca="1" si="4"/>
        <v>3.8928571428590224E-3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input_443010!A$2</f>
        <v>443010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IFERROR(VLOOKUP(B101,input_443010!L:R,7,FALSE),VLOOKUP(tables_443010!C101,input_443010!A:H,8,FALSE))</f>
        <v>2097.67308</v>
      </c>
      <c r="P101" s="46">
        <f t="shared" ca="1" si="4"/>
        <v>2.0220484673231277E-5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input_443010!A$2</f>
        <v>443010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IFERROR(VLOOKUP(B102,input_443010!L:R,7,FALSE),VLOOKUP(tables_443010!C102,input_443010!A:H,8,FALSE))</f>
        <v>493050</v>
      </c>
      <c r="P102" s="46">
        <f t="shared" ca="1" si="4"/>
        <v>4.7527472527495469E-3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input_443010!A$2</f>
        <v>443010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IFERROR(VLOOKUP(B103,input_443010!L:R,7,FALSE),VLOOKUP(tables_443010!C103,input_443010!A:H,8,FALSE))</f>
        <v>403845</v>
      </c>
      <c r="P103" s="46">
        <f t="shared" ca="1" si="4"/>
        <v>3.8928571428590224E-3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input_443010!A$2</f>
        <v>443010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IFERROR(VLOOKUP(B104,input_443010!L:R,7,FALSE),VLOOKUP(tables_443010!C104,input_443010!A:H,8,FALSE))</f>
        <v>2097.67308</v>
      </c>
      <c r="P104" s="46">
        <f t="shared" ca="1" si="4"/>
        <v>2.0220484673231277E-5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input_443010!A$2</f>
        <v>443010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IFERROR(VLOOKUP(B105,input_443010!L:R,7,FALSE),VLOOKUP(tables_443010!C105,input_443010!A:H,8,FALSE))</f>
        <v>493050</v>
      </c>
      <c r="P105" s="46">
        <f t="shared" ca="1" si="4"/>
        <v>4.7527472527495469E-3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input_443010!A$2</f>
        <v>443010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IFERROR(VLOOKUP(B106,input_443010!L:R,7,FALSE),VLOOKUP(tables_443010!C106,input_443010!A:H,8,FALSE))</f>
        <v>403845</v>
      </c>
      <c r="P106" s="46">
        <f t="shared" ca="1" si="4"/>
        <v>3.8928571428590224E-3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input_443010!A$2</f>
        <v>443010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IFERROR(VLOOKUP(B107,input_443010!L:R,7,FALSE),VLOOKUP(tables_443010!C107,input_443010!A:H,8,FALSE))</f>
        <v>2097.67308</v>
      </c>
      <c r="P107" s="46">
        <f t="shared" ca="1" si="4"/>
        <v>2.0220484673231277E-5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input_443010!A$2</f>
        <v>443010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IFERROR(VLOOKUP(B108,input_443010!L:R,7,FALSE),VLOOKUP(tables_443010!C108,input_443010!A:H,8,FALSE))</f>
        <v>493050</v>
      </c>
      <c r="P108" s="46">
        <f t="shared" ca="1" si="4"/>
        <v>4.7527472527495469E-3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input_443010!A$2</f>
        <v>443010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IFERROR(VLOOKUP(B109,input_443010!L:R,7,FALSE),VLOOKUP(tables_443010!C109,input_443010!A:H,8,FALSE))</f>
        <v>403845</v>
      </c>
      <c r="P109" s="46">
        <f t="shared" ca="1" si="4"/>
        <v>3.8928571428590224E-3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input_443010!A$2</f>
        <v>443010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IFERROR(VLOOKUP(B110,input_443010!L:R,7,FALSE),VLOOKUP(tables_443010!C110,input_443010!A:H,8,FALSE))</f>
        <v>2097.67308</v>
      </c>
      <c r="P110" s="46">
        <f t="shared" ca="1" si="4"/>
        <v>2.0220484673231277E-5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input_443010!A$2</f>
        <v>443010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IFERROR(VLOOKUP(B111,input_443010!L:R,7,FALSE),VLOOKUP(tables_443010!C111,input_443010!A:H,8,FALSE))</f>
        <v>493050</v>
      </c>
      <c r="P111" s="46">
        <f t="shared" ca="1" si="4"/>
        <v>4.7527472527495469E-3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input_443010!A$2</f>
        <v>443010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IFERROR(VLOOKUP(B112,input_443010!L:R,7,FALSE),VLOOKUP(tables_443010!C112,input_443010!A:H,8,FALSE))</f>
        <v>443745</v>
      </c>
      <c r="P112" s="46">
        <f t="shared" ca="1" si="4"/>
        <v>4.2774725274745927E-3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input_443010!A$2</f>
        <v>443010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IFERROR(VLOOKUP(B113,input_443010!L:R,7,FALSE),VLOOKUP(tables_443010!C113,input_443010!A:H,8,FALSE))</f>
        <v>49305</v>
      </c>
      <c r="P113" s="46">
        <f t="shared" ca="1" si="4"/>
        <v>4.7527472527495471E-4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input_443010!A$2</f>
        <v>443010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IFERROR(VLOOKUP(B114,input_443010!L:R,7,FALSE),VLOOKUP(tables_443010!C114,input_443010!A:H,8,FALSE))</f>
        <v>493050</v>
      </c>
      <c r="P114" s="46">
        <f t="shared" ca="1" si="4"/>
        <v>4.7527472527495469E-3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input_443010!A$2</f>
        <v>443010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IFERROR(VLOOKUP(B115,input_443010!L:R,7,FALSE),VLOOKUP(tables_443010!C115,input_443010!A:H,8,FALSE))</f>
        <v>403845</v>
      </c>
      <c r="P115" s="46">
        <f t="shared" ca="1" si="4"/>
        <v>3.8928571428590224E-3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input_443010!A$2</f>
        <v>443010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IFERROR(VLOOKUP(B116,input_443010!L:R,7,FALSE),VLOOKUP(tables_443010!C116,input_443010!A:H,8,FALSE))</f>
        <v>2097.67308</v>
      </c>
      <c r="P116" s="46">
        <f t="shared" ca="1" si="4"/>
        <v>2.0220484673231277E-5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input_443010!A$2</f>
        <v>443010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IFERROR(VLOOKUP(B117,input_443010!L:R,7,FALSE),VLOOKUP(tables_443010!C117,input_443010!A:H,8,FALSE))</f>
        <v>493050</v>
      </c>
      <c r="P117" s="46">
        <f t="shared" ca="1" si="4"/>
        <v>4.7527472527495469E-3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input_443010!A$2</f>
        <v>443010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IFERROR(VLOOKUP(B118,input_443010!L:R,7,FALSE),VLOOKUP(tables_443010!C118,input_443010!A:H,8,FALSE))</f>
        <v>403845</v>
      </c>
      <c r="P118" s="46">
        <f t="shared" ca="1" si="4"/>
        <v>3.8928571428590224E-3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input_443010!A$2</f>
        <v>443010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IFERROR(VLOOKUP(B119,input_443010!L:R,7,FALSE),VLOOKUP(tables_443010!C119,input_443010!A:H,8,FALSE))</f>
        <v>2097.67308</v>
      </c>
      <c r="P119" s="46">
        <f t="shared" ca="1" si="4"/>
        <v>2.0220484673231277E-5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input_443010!A$2</f>
        <v>443010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IFERROR(VLOOKUP(B120,input_443010!L:R,7,FALSE),VLOOKUP(tables_443010!C120,input_443010!A:H,8,FALSE))</f>
        <v>493050</v>
      </c>
      <c r="P120" s="46">
        <f t="shared" ca="1" si="4"/>
        <v>4.7527472527495469E-3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input_443010!A$2</f>
        <v>443010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IFERROR(VLOOKUP(B121,input_443010!L:R,7,FALSE),VLOOKUP(tables_443010!C121,input_443010!A:H,8,FALSE))</f>
        <v>403845</v>
      </c>
      <c r="P121" s="46">
        <f t="shared" ca="1" si="4"/>
        <v>3.8928571428590224E-3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input_443010!A$2</f>
        <v>443010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IFERROR(VLOOKUP(B122,input_443010!L:R,7,FALSE),VLOOKUP(tables_443010!C122,input_443010!A:H,8,FALSE))</f>
        <v>2097.67308</v>
      </c>
      <c r="P122" s="46">
        <f t="shared" ca="1" si="4"/>
        <v>2.0220484673231277E-5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input_443010!A$2</f>
        <v>443010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IFERROR(VLOOKUP(B123,input_443010!L:R,7,FALSE),VLOOKUP(tables_443010!C123,input_443010!A:H,8,FALSE))</f>
        <v>493050</v>
      </c>
      <c r="P123" s="46">
        <f t="shared" ca="1" si="4"/>
        <v>4.7527472527495469E-3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input_443010!A$2</f>
        <v>443010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IFERROR(VLOOKUP(B124,input_443010!L:R,7,FALSE),VLOOKUP(tables_443010!C124,input_443010!A:H,8,FALSE))</f>
        <v>403845</v>
      </c>
      <c r="P124" s="46">
        <f t="shared" ca="1" si="4"/>
        <v>3.8928571428590224E-3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input_443010!A$2</f>
        <v>443010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IFERROR(VLOOKUP(B125,input_443010!L:R,7,FALSE),VLOOKUP(tables_443010!C125,input_443010!A:H,8,FALSE))</f>
        <v>2097.67308</v>
      </c>
      <c r="P125" s="46">
        <f t="shared" ca="1" si="4"/>
        <v>2.0220484673231277E-5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input_443010!A$2</f>
        <v>443010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IFERROR(VLOOKUP(B126,input_443010!L:R,7,FALSE),VLOOKUP(tables_443010!C126,input_443010!A:H,8,FALSE))</f>
        <v>493050</v>
      </c>
      <c r="P126" s="46">
        <f t="shared" ca="1" si="4"/>
        <v>4.7527472527495469E-3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input_443010!A$2</f>
        <v>443010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IFERROR(VLOOKUP(B127,input_443010!L:R,7,FALSE),VLOOKUP(tables_443010!C127,input_443010!A:H,8,FALSE))</f>
        <v>403845</v>
      </c>
      <c r="P127" s="46">
        <f t="shared" ca="1" si="4"/>
        <v>3.8928571428590224E-3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input_443010!A$2</f>
        <v>443010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IFERROR(VLOOKUP(B128,input_443010!L:R,7,FALSE),VLOOKUP(tables_443010!C128,input_443010!A:H,8,FALSE))</f>
        <v>2097.67308</v>
      </c>
      <c r="P128" s="46">
        <f t="shared" ca="1" si="4"/>
        <v>2.0220484673231277E-5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input_443010!A$2</f>
        <v>443010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IFERROR(VLOOKUP(B129,input_443010!L:R,7,FALSE),VLOOKUP(tables_443010!C129,input_443010!A:H,8,FALSE))</f>
        <v>493050</v>
      </c>
      <c r="P129" s="46">
        <f t="shared" ca="1" si="4"/>
        <v>4.7527472527495469E-3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input_443010!A$2</f>
        <v>443010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IFERROR(VLOOKUP(B130,input_443010!L:R,7,FALSE),VLOOKUP(tables_443010!C130,input_443010!A:H,8,FALSE))</f>
        <v>403845</v>
      </c>
      <c r="P130" s="46">
        <f t="shared" ref="P130:P193" ca="1" si="7">O130/SUM(O:O)</f>
        <v>3.8928571428590224E-3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input_443010!A$2</f>
        <v>443010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IFERROR(VLOOKUP(B131,input_443010!L:R,7,FALSE),VLOOKUP(tables_443010!C131,input_443010!A:H,8,FALSE))</f>
        <v>2097.67308</v>
      </c>
      <c r="P131" s="46">
        <f t="shared" ca="1" si="7"/>
        <v>2.0220484673231277E-5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input_443010!A$2</f>
        <v>443010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IFERROR(VLOOKUP(B132,input_443010!L:R,7,FALSE),VLOOKUP(tables_443010!C132,input_443010!A:H,8,FALSE))</f>
        <v>493050</v>
      </c>
      <c r="P132" s="46">
        <f t="shared" ca="1" si="7"/>
        <v>4.7527472527495469E-3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input_443010!A$2</f>
        <v>443010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IFERROR(VLOOKUP(B133,input_443010!L:R,7,FALSE),VLOOKUP(tables_443010!C133,input_443010!A:H,8,FALSE))</f>
        <v>403845</v>
      </c>
      <c r="P133" s="46">
        <f t="shared" ca="1" si="7"/>
        <v>3.8928571428590224E-3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input_443010!A$2</f>
        <v>443010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IFERROR(VLOOKUP(B134,input_443010!L:R,7,FALSE),VLOOKUP(tables_443010!C134,input_443010!A:H,8,FALSE))</f>
        <v>2097.67308</v>
      </c>
      <c r="P134" s="46">
        <f t="shared" ca="1" si="7"/>
        <v>2.0220484673231277E-5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input_443010!A$2</f>
        <v>443010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IFERROR(VLOOKUP(B135,input_443010!L:R,7,FALSE),VLOOKUP(tables_443010!C135,input_443010!A:H,8,FALSE))</f>
        <v>493050</v>
      </c>
      <c r="P135" s="46">
        <f t="shared" ca="1" si="7"/>
        <v>4.7527472527495469E-3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input_443010!A$2</f>
        <v>443010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IFERROR(VLOOKUP(B136,input_443010!L:R,7,FALSE),VLOOKUP(tables_443010!C136,input_443010!A:H,8,FALSE))</f>
        <v>403845</v>
      </c>
      <c r="P136" s="46">
        <f t="shared" ca="1" si="7"/>
        <v>3.8928571428590224E-3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input_443010!A$2</f>
        <v>443010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IFERROR(VLOOKUP(B137,input_443010!L:R,7,FALSE),VLOOKUP(tables_443010!C137,input_443010!A:H,8,FALSE))</f>
        <v>2097.67308</v>
      </c>
      <c r="P137" s="46">
        <f t="shared" ca="1" si="7"/>
        <v>2.0220484673231277E-5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input_443010!A$2</f>
        <v>443010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IFERROR(VLOOKUP(B138,input_443010!L:R,7,FALSE),VLOOKUP(tables_443010!C138,input_443010!A:H,8,FALSE))</f>
        <v>29393</v>
      </c>
      <c r="P138" s="46">
        <f t="shared" ca="1" si="7"/>
        <v>2.8333333333347013E-4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input_443010!A$2</f>
        <v>443010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IFERROR(VLOOKUP(B139,input_443010!L:R,7,FALSE),VLOOKUP(tables_443010!C139,input_443010!A:H,8,FALSE))</f>
        <v>1547</v>
      </c>
      <c r="P139" s="46">
        <f t="shared" ca="1" si="7"/>
        <v>1.4912280701761586E-5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input_443010!A$2</f>
        <v>443010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IFERROR(VLOOKUP(B140,input_443010!L:R,7,FALSE),VLOOKUP(tables_443010!C140,input_443010!A:H,8,FALSE))</f>
        <v>29393</v>
      </c>
      <c r="P140" s="46">
        <f t="shared" ca="1" si="7"/>
        <v>2.8333333333347013E-4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input_443010!A$2</f>
        <v>443010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IFERROR(VLOOKUP(B141,input_443010!L:R,7,FALSE),VLOOKUP(tables_443010!C141,input_443010!A:H,8,FALSE))</f>
        <v>1547</v>
      </c>
      <c r="P141" s="46">
        <f t="shared" ca="1" si="7"/>
        <v>1.4912280701761586E-5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input_443010!A$2</f>
        <v>443010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IFERROR(VLOOKUP(B142,input_443010!L:R,7,FALSE),VLOOKUP(tables_443010!C142,input_443010!A:H,8,FALSE))</f>
        <v>29393</v>
      </c>
      <c r="P142" s="46">
        <f t="shared" ca="1" si="7"/>
        <v>2.8333333333347013E-4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input_443010!A$2</f>
        <v>443010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IFERROR(VLOOKUP(B143,input_443010!L:R,7,FALSE),VLOOKUP(tables_443010!C143,input_443010!A:H,8,FALSE))</f>
        <v>1547</v>
      </c>
      <c r="P143" s="46">
        <f t="shared" ca="1" si="7"/>
        <v>1.4912280701761586E-5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input_443010!A$2</f>
        <v>443010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IFERROR(VLOOKUP(B144,input_443010!L:R,7,FALSE),VLOOKUP(tables_443010!C144,input_443010!A:H,8,FALSE))</f>
        <v>29393</v>
      </c>
      <c r="P144" s="46">
        <f t="shared" ca="1" si="7"/>
        <v>2.8333333333347013E-4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input_443010!A$2</f>
        <v>443010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IFERROR(VLOOKUP(B145,input_443010!L:R,7,FALSE),VLOOKUP(tables_443010!C145,input_443010!A:H,8,FALSE))</f>
        <v>1547</v>
      </c>
      <c r="P145" s="46">
        <f t="shared" ca="1" si="7"/>
        <v>1.4912280701761586E-5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input_443010!A$2</f>
        <v>443010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IFERROR(VLOOKUP(B146,input_443010!L:R,7,FALSE),VLOOKUP(tables_443010!C146,input_443010!A:H,8,FALSE))</f>
        <v>493050</v>
      </c>
      <c r="P146" s="46">
        <f t="shared" ca="1" si="7"/>
        <v>4.7527472527495469E-3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input_443010!A$2</f>
        <v>443010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IFERROR(VLOOKUP(B147,input_443010!L:R,7,FALSE),VLOOKUP(tables_443010!C147,input_443010!A:H,8,FALSE))</f>
        <v>403845</v>
      </c>
      <c r="P147" s="46">
        <f t="shared" ca="1" si="7"/>
        <v>3.8928571428590224E-3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input_443010!A$2</f>
        <v>443010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IFERROR(VLOOKUP(B148,input_443010!L:R,7,FALSE),VLOOKUP(tables_443010!C148,input_443010!A:H,8,FALSE))</f>
        <v>2097.67308</v>
      </c>
      <c r="P148" s="46">
        <f t="shared" ca="1" si="7"/>
        <v>2.0220484673231277E-5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input_443010!A$2</f>
        <v>443010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IFERROR(VLOOKUP(B149,input_443010!L:R,7,FALSE),VLOOKUP(tables_443010!C149,input_443010!A:H,8,FALSE))</f>
        <v>29393</v>
      </c>
      <c r="P149" s="46">
        <f t="shared" ca="1" si="7"/>
        <v>2.8333333333347013E-4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input_443010!A$2</f>
        <v>443010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IFERROR(VLOOKUP(B150,input_443010!L:R,7,FALSE),VLOOKUP(tables_443010!C150,input_443010!A:H,8,FALSE))</f>
        <v>1547</v>
      </c>
      <c r="P150" s="46">
        <f t="shared" ca="1" si="7"/>
        <v>1.4912280701761586E-5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input_443010!A$2</f>
        <v>443010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IFERROR(VLOOKUP(B151,input_443010!L:R,7,FALSE),VLOOKUP(tables_443010!C151,input_443010!A:H,8,FALSE))</f>
        <v>29393</v>
      </c>
      <c r="P151" s="46">
        <f t="shared" ca="1" si="7"/>
        <v>2.8333333333347013E-4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input_443010!A$2</f>
        <v>443010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IFERROR(VLOOKUP(B152,input_443010!L:R,7,FALSE),VLOOKUP(tables_443010!C152,input_443010!A:H,8,FALSE))</f>
        <v>1547</v>
      </c>
      <c r="P152" s="46">
        <f t="shared" ca="1" si="7"/>
        <v>1.4912280701761586E-5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input_443010!A$2</f>
        <v>443010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IFERROR(VLOOKUP(B153,input_443010!L:R,7,FALSE),VLOOKUP(tables_443010!C153,input_443010!A:H,8,FALSE))</f>
        <v>493050</v>
      </c>
      <c r="P153" s="46">
        <f t="shared" ca="1" si="7"/>
        <v>4.7527472527495469E-3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input_443010!A$2</f>
        <v>443010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IFERROR(VLOOKUP(B154,input_443010!L:R,7,FALSE),VLOOKUP(tables_443010!C154,input_443010!A:H,8,FALSE))</f>
        <v>403845</v>
      </c>
      <c r="P154" s="46">
        <f t="shared" ca="1" si="7"/>
        <v>3.8928571428590224E-3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input_443010!A$2</f>
        <v>443010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IFERROR(VLOOKUP(B155,input_443010!L:R,7,FALSE),VLOOKUP(tables_443010!C155,input_443010!A:H,8,FALSE))</f>
        <v>2097.67308</v>
      </c>
      <c r="P155" s="46">
        <f t="shared" ca="1" si="7"/>
        <v>2.0220484673231277E-5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input_443010!A$2</f>
        <v>443010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IFERROR(VLOOKUP(B156,input_443010!L:R,7,FALSE),VLOOKUP(tables_443010!C156,input_443010!A:H,8,FALSE))</f>
        <v>29393</v>
      </c>
      <c r="P156" s="46">
        <f t="shared" ca="1" si="7"/>
        <v>2.8333333333347013E-4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input_443010!A$2</f>
        <v>443010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IFERROR(VLOOKUP(B157,input_443010!L:R,7,FALSE),VLOOKUP(tables_443010!C157,input_443010!A:H,8,FALSE))</f>
        <v>1547</v>
      </c>
      <c r="P157" s="46">
        <f t="shared" ca="1" si="7"/>
        <v>1.4912280701761586E-5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input_443010!A$2</f>
        <v>443010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IFERROR(VLOOKUP(B158,input_443010!L:R,7,FALSE),VLOOKUP(tables_443010!C158,input_443010!A:H,8,FALSE))</f>
        <v>493050</v>
      </c>
      <c r="P158" s="46">
        <f t="shared" ca="1" si="7"/>
        <v>4.7527472527495469E-3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input_443010!A$2</f>
        <v>443010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IFERROR(VLOOKUP(B159,input_443010!L:R,7,FALSE),VLOOKUP(tables_443010!C159,input_443010!A:H,8,FALSE))</f>
        <v>403845</v>
      </c>
      <c r="P159" s="46">
        <f t="shared" ca="1" si="7"/>
        <v>3.8928571428590224E-3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input_443010!A$2</f>
        <v>443010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IFERROR(VLOOKUP(B160,input_443010!L:R,7,FALSE),VLOOKUP(tables_443010!C160,input_443010!A:H,8,FALSE))</f>
        <v>2097.67308</v>
      </c>
      <c r="P160" s="46">
        <f t="shared" ca="1" si="7"/>
        <v>2.0220484673231277E-5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input_443010!A$2</f>
        <v>443010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IFERROR(VLOOKUP(B161,input_443010!L:R,7,FALSE),VLOOKUP(tables_443010!C161,input_443010!A:H,8,FALSE))</f>
        <v>493050</v>
      </c>
      <c r="P161" s="46">
        <f t="shared" ca="1" si="7"/>
        <v>4.7527472527495469E-3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input_443010!A$2</f>
        <v>443010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IFERROR(VLOOKUP(B162,input_443010!L:R,7,FALSE),VLOOKUP(tables_443010!C162,input_443010!A:H,8,FALSE))</f>
        <v>403845</v>
      </c>
      <c r="P162" s="46">
        <f t="shared" ca="1" si="7"/>
        <v>3.8928571428590224E-3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input_443010!A$2</f>
        <v>443010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IFERROR(VLOOKUP(B163,input_443010!L:R,7,FALSE),VLOOKUP(tables_443010!C163,input_443010!A:H,8,FALSE))</f>
        <v>2097.67308</v>
      </c>
      <c r="P163" s="46">
        <f t="shared" ca="1" si="7"/>
        <v>2.0220484673231277E-5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input_443010!A$2</f>
        <v>443010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IFERROR(VLOOKUP(B164,input_443010!L:R,7,FALSE),VLOOKUP(tables_443010!C164,input_443010!A:H,8,FALSE))</f>
        <v>29393</v>
      </c>
      <c r="P164" s="46">
        <f t="shared" ca="1" si="7"/>
        <v>2.8333333333347013E-4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input_443010!A$2</f>
        <v>443010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IFERROR(VLOOKUP(B165,input_443010!L:R,7,FALSE),VLOOKUP(tables_443010!C165,input_443010!A:H,8,FALSE))</f>
        <v>1547</v>
      </c>
      <c r="P165" s="46">
        <f t="shared" ca="1" si="7"/>
        <v>1.4912280701761586E-5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input_443010!A$2</f>
        <v>443010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IFERROR(VLOOKUP(B166,input_443010!L:R,7,FALSE),VLOOKUP(tables_443010!C166,input_443010!A:H,8,FALSE))</f>
        <v>493050</v>
      </c>
      <c r="P166" s="46">
        <f t="shared" ca="1" si="7"/>
        <v>4.7527472527495469E-3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input_443010!A$2</f>
        <v>443010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IFERROR(VLOOKUP(B167,input_443010!L:R,7,FALSE),VLOOKUP(tables_443010!C167,input_443010!A:H,8,FALSE))</f>
        <v>403845</v>
      </c>
      <c r="P167" s="46">
        <f t="shared" ca="1" si="7"/>
        <v>3.8928571428590224E-3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input_443010!A$2</f>
        <v>443010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IFERROR(VLOOKUP(B168,input_443010!L:R,7,FALSE),VLOOKUP(tables_443010!C168,input_443010!A:H,8,FALSE))</f>
        <v>2097.67308</v>
      </c>
      <c r="P168" s="46">
        <f t="shared" ca="1" si="7"/>
        <v>2.0220484673231277E-5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input_443010!A$2</f>
        <v>443010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IFERROR(VLOOKUP(B169,input_443010!L:R,7,FALSE),VLOOKUP(tables_443010!C169,input_443010!A:H,8,FALSE))</f>
        <v>29393</v>
      </c>
      <c r="P169" s="46">
        <f t="shared" ca="1" si="7"/>
        <v>2.8333333333347013E-4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input_443010!A$2</f>
        <v>443010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IFERROR(VLOOKUP(B170,input_443010!L:R,7,FALSE),VLOOKUP(tables_443010!C170,input_443010!A:H,8,FALSE))</f>
        <v>1547</v>
      </c>
      <c r="P170" s="46">
        <f t="shared" ca="1" si="7"/>
        <v>1.4912280701761586E-5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input_443010!A$2</f>
        <v>443010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IFERROR(VLOOKUP(B171,input_443010!L:R,7,FALSE),VLOOKUP(tables_443010!C171,input_443010!A:H,8,FALSE))</f>
        <v>493050</v>
      </c>
      <c r="P171" s="46">
        <f t="shared" ca="1" si="7"/>
        <v>4.7527472527495469E-3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input_443010!A$2</f>
        <v>443010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IFERROR(VLOOKUP(B172,input_443010!L:R,7,FALSE),VLOOKUP(tables_443010!C172,input_443010!A:H,8,FALSE))</f>
        <v>403845</v>
      </c>
      <c r="P172" s="46">
        <f t="shared" ca="1" si="7"/>
        <v>3.8928571428590224E-3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input_443010!A$2</f>
        <v>443010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IFERROR(VLOOKUP(B173,input_443010!L:R,7,FALSE),VLOOKUP(tables_443010!C173,input_443010!A:H,8,FALSE))</f>
        <v>2097.67308</v>
      </c>
      <c r="P173" s="46">
        <f t="shared" ca="1" si="7"/>
        <v>2.0220484673231277E-5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input_443010!A$2</f>
        <v>443010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IFERROR(VLOOKUP(B174,input_443010!L:R,7,FALSE),VLOOKUP(tables_443010!C174,input_443010!A:H,8,FALSE))</f>
        <v>29393</v>
      </c>
      <c r="P174" s="46">
        <f t="shared" ca="1" si="7"/>
        <v>2.8333333333347013E-4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input_443010!A$2</f>
        <v>443010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IFERROR(VLOOKUP(B175,input_443010!L:R,7,FALSE),VLOOKUP(tables_443010!C175,input_443010!A:H,8,FALSE))</f>
        <v>1547</v>
      </c>
      <c r="P175" s="46">
        <f t="shared" ca="1" si="7"/>
        <v>1.4912280701761586E-5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input_443010!A$2</f>
        <v>443010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IFERROR(VLOOKUP(B176,input_443010!L:R,7,FALSE),VLOOKUP(tables_443010!C176,input_443010!A:H,8,FALSE))</f>
        <v>29393</v>
      </c>
      <c r="P176" s="46">
        <f t="shared" ca="1" si="7"/>
        <v>2.8333333333347013E-4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input_443010!A$2</f>
        <v>443010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IFERROR(VLOOKUP(B177,input_443010!L:R,7,FALSE),VLOOKUP(tables_443010!C177,input_443010!A:H,8,FALSE))</f>
        <v>1547</v>
      </c>
      <c r="P177" s="46">
        <f t="shared" ca="1" si="7"/>
        <v>1.4912280701761586E-5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input_443010!A$2</f>
        <v>443010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IFERROR(VLOOKUP(B178,input_443010!L:R,7,FALSE),VLOOKUP(tables_443010!C178,input_443010!A:H,8,FALSE))</f>
        <v>493050</v>
      </c>
      <c r="P178" s="46">
        <f t="shared" ca="1" si="7"/>
        <v>4.7527472527495469E-3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input_443010!A$2</f>
        <v>443010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IFERROR(VLOOKUP(B179,input_443010!L:R,7,FALSE),VLOOKUP(tables_443010!C179,input_443010!A:H,8,FALSE))</f>
        <v>403845</v>
      </c>
      <c r="P179" s="46">
        <f t="shared" ca="1" si="7"/>
        <v>3.8928571428590224E-3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input_443010!A$2</f>
        <v>443010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IFERROR(VLOOKUP(B180,input_443010!L:R,7,FALSE),VLOOKUP(tables_443010!C180,input_443010!A:H,8,FALSE))</f>
        <v>2097.67308</v>
      </c>
      <c r="P180" s="46">
        <f t="shared" ca="1" si="7"/>
        <v>2.0220484673231277E-5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input_443010!A$2</f>
        <v>443010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IFERROR(VLOOKUP(B181,input_443010!L:R,7,FALSE),VLOOKUP(tables_443010!C181,input_443010!A:H,8,FALSE))</f>
        <v>493050</v>
      </c>
      <c r="P181" s="46">
        <f t="shared" ca="1" si="7"/>
        <v>4.7527472527495469E-3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input_443010!A$2</f>
        <v>443010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IFERROR(VLOOKUP(B182,input_443010!L:R,7,FALSE),VLOOKUP(tables_443010!C182,input_443010!A:H,8,FALSE))</f>
        <v>403845</v>
      </c>
      <c r="P182" s="46">
        <f t="shared" ca="1" si="7"/>
        <v>3.8928571428590224E-3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input_443010!A$2</f>
        <v>443010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IFERROR(VLOOKUP(B183,input_443010!L:R,7,FALSE),VLOOKUP(tables_443010!C183,input_443010!A:H,8,FALSE))</f>
        <v>2097.67308</v>
      </c>
      <c r="P183" s="46">
        <f t="shared" ca="1" si="7"/>
        <v>2.0220484673231277E-5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input_443010!A$2</f>
        <v>443010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IFERROR(VLOOKUP(B184,input_443010!L:R,7,FALSE),VLOOKUP(tables_443010!C184,input_443010!A:H,8,FALSE))</f>
        <v>29393</v>
      </c>
      <c r="P184" s="46">
        <f t="shared" ca="1" si="7"/>
        <v>2.8333333333347013E-4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input_443010!A$2</f>
        <v>443010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IFERROR(VLOOKUP(B185,input_443010!L:R,7,FALSE),VLOOKUP(tables_443010!C185,input_443010!A:H,8,FALSE))</f>
        <v>1547</v>
      </c>
      <c r="P185" s="46">
        <f t="shared" ca="1" si="7"/>
        <v>1.4912280701761586E-5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input_443010!A$2</f>
        <v>443010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IFERROR(VLOOKUP(B186,input_443010!L:R,7,FALSE),VLOOKUP(tables_443010!C186,input_443010!A:H,8,FALSE))</f>
        <v>493050</v>
      </c>
      <c r="P186" s="46">
        <f t="shared" ca="1" si="7"/>
        <v>4.7527472527495469E-3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input_443010!A$2</f>
        <v>443010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IFERROR(VLOOKUP(B187,input_443010!L:R,7,FALSE),VLOOKUP(tables_443010!C187,input_443010!A:H,8,FALSE))</f>
        <v>403845</v>
      </c>
      <c r="P187" s="46">
        <f t="shared" ca="1" si="7"/>
        <v>3.8928571428590224E-3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input_443010!A$2</f>
        <v>443010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IFERROR(VLOOKUP(B188,input_443010!L:R,7,FALSE),VLOOKUP(tables_443010!C188,input_443010!A:H,8,FALSE))</f>
        <v>2097.67308</v>
      </c>
      <c r="P188" s="46">
        <f t="shared" ca="1" si="7"/>
        <v>2.0220484673231277E-5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input_443010!A$2</f>
        <v>443010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IFERROR(VLOOKUP(B189,input_443010!L:R,7,FALSE),VLOOKUP(tables_443010!C189,input_443010!A:H,8,FALSE))</f>
        <v>29393</v>
      </c>
      <c r="P189" s="46">
        <f t="shared" ca="1" si="7"/>
        <v>2.8333333333347013E-4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input_443010!A$2</f>
        <v>443010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IFERROR(VLOOKUP(B190,input_443010!L:R,7,FALSE),VLOOKUP(tables_443010!C190,input_443010!A:H,8,FALSE))</f>
        <v>1547</v>
      </c>
      <c r="P190" s="46">
        <f t="shared" ca="1" si="7"/>
        <v>1.4912280701761586E-5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input_443010!A$2</f>
        <v>443010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IFERROR(VLOOKUP(B191,input_443010!L:R,7,FALSE),VLOOKUP(tables_443010!C191,input_443010!A:H,8,FALSE))</f>
        <v>29393</v>
      </c>
      <c r="P191" s="46">
        <f t="shared" ca="1" si="7"/>
        <v>2.8333333333347013E-4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input_443010!A$2</f>
        <v>443010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IFERROR(VLOOKUP(B192,input_443010!L:R,7,FALSE),VLOOKUP(tables_443010!C192,input_443010!A:H,8,FALSE))</f>
        <v>1547</v>
      </c>
      <c r="P192" s="46">
        <f t="shared" ca="1" si="7"/>
        <v>1.4912280701761586E-5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input_443010!A$2</f>
        <v>443010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IFERROR(VLOOKUP(B193,input_443010!L:R,7,FALSE),VLOOKUP(tables_443010!C193,input_443010!A:H,8,FALSE))</f>
        <v>493050</v>
      </c>
      <c r="P193" s="46">
        <f t="shared" ca="1" si="7"/>
        <v>4.7527472527495469E-3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input_443010!A$2</f>
        <v>443010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IFERROR(VLOOKUP(B194,input_443010!L:R,7,FALSE),VLOOKUP(tables_443010!C194,input_443010!A:H,8,FALSE))</f>
        <v>403845</v>
      </c>
      <c r="P194" s="46">
        <f t="shared" ref="P194:P257" ca="1" si="10">O194/SUM(O:O)</f>
        <v>3.8928571428590224E-3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input_443010!A$2</f>
        <v>443010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IFERROR(VLOOKUP(B195,input_443010!L:R,7,FALSE),VLOOKUP(tables_443010!C195,input_443010!A:H,8,FALSE))</f>
        <v>2097.67308</v>
      </c>
      <c r="P195" s="46">
        <f t="shared" ca="1" si="10"/>
        <v>2.0220484673231277E-5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input_443010!A$2</f>
        <v>443010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IFERROR(VLOOKUP(B196,input_443010!L:R,7,FALSE),VLOOKUP(tables_443010!C196,input_443010!A:H,8,FALSE))</f>
        <v>29393</v>
      </c>
      <c r="P196" s="46">
        <f t="shared" ca="1" si="10"/>
        <v>2.8333333333347013E-4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input_443010!A$2</f>
        <v>443010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IFERROR(VLOOKUP(B197,input_443010!L:R,7,FALSE),VLOOKUP(tables_443010!C197,input_443010!A:H,8,FALSE))</f>
        <v>1547</v>
      </c>
      <c r="P197" s="46">
        <f t="shared" ca="1" si="10"/>
        <v>1.4912280701761586E-5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input_443010!A$2</f>
        <v>443010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IFERROR(VLOOKUP(B198,input_443010!L:R,7,FALSE),VLOOKUP(tables_443010!C198,input_443010!A:H,8,FALSE))</f>
        <v>493050</v>
      </c>
      <c r="P198" s="46">
        <f t="shared" ca="1" si="10"/>
        <v>4.7527472527495469E-3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input_443010!A$2</f>
        <v>443010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IFERROR(VLOOKUP(B199,input_443010!L:R,7,FALSE),VLOOKUP(tables_443010!C199,input_443010!A:H,8,FALSE))</f>
        <v>403845</v>
      </c>
      <c r="P199" s="46">
        <f t="shared" ca="1" si="10"/>
        <v>3.8928571428590224E-3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input_443010!A$2</f>
        <v>443010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IFERROR(VLOOKUP(B200,input_443010!L:R,7,FALSE),VLOOKUP(tables_443010!C200,input_443010!A:H,8,FALSE))</f>
        <v>2097.67308</v>
      </c>
      <c r="P200" s="46">
        <f t="shared" ca="1" si="10"/>
        <v>2.0220484673231277E-5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input_443010!A$2</f>
        <v>443010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IFERROR(VLOOKUP(B201,input_443010!L:R,7,FALSE),VLOOKUP(tables_443010!C201,input_443010!A:H,8,FALSE))</f>
        <v>29393</v>
      </c>
      <c r="P201" s="46">
        <f t="shared" ca="1" si="10"/>
        <v>2.8333333333347013E-4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input_443010!A$2</f>
        <v>443010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IFERROR(VLOOKUP(B202,input_443010!L:R,7,FALSE),VLOOKUP(tables_443010!C202,input_443010!A:H,8,FALSE))</f>
        <v>1547</v>
      </c>
      <c r="P202" s="46">
        <f t="shared" ca="1" si="10"/>
        <v>1.4912280701761586E-5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input_443010!A$2</f>
        <v>443010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IFERROR(VLOOKUP(B203,input_443010!L:R,7,FALSE),VLOOKUP(tables_443010!C203,input_443010!A:H,8,FALSE))</f>
        <v>493050</v>
      </c>
      <c r="P203" s="46">
        <f t="shared" ca="1" si="10"/>
        <v>4.7527472527495469E-3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input_443010!A$2</f>
        <v>443010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IFERROR(VLOOKUP(B204,input_443010!L:R,7,FALSE),VLOOKUP(tables_443010!C204,input_443010!A:H,8,FALSE))</f>
        <v>403845</v>
      </c>
      <c r="P204" s="46">
        <f t="shared" ca="1" si="10"/>
        <v>3.8928571428590224E-3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input_443010!A$2</f>
        <v>443010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IFERROR(VLOOKUP(B205,input_443010!L:R,7,FALSE),VLOOKUP(tables_443010!C205,input_443010!A:H,8,FALSE))</f>
        <v>2097.67308</v>
      </c>
      <c r="P205" s="46">
        <f t="shared" ca="1" si="10"/>
        <v>2.0220484673231277E-5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input_443010!A$2</f>
        <v>443010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IFERROR(VLOOKUP(B206,input_443010!L:R,7,FALSE),VLOOKUP(tables_443010!C206,input_443010!A:H,8,FALSE))</f>
        <v>29393</v>
      </c>
      <c r="P206" s="46">
        <f t="shared" ca="1" si="10"/>
        <v>2.8333333333347013E-4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input_443010!A$2</f>
        <v>443010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IFERROR(VLOOKUP(B207,input_443010!L:R,7,FALSE),VLOOKUP(tables_443010!C207,input_443010!A:H,8,FALSE))</f>
        <v>1547</v>
      </c>
      <c r="P207" s="46">
        <f t="shared" ca="1" si="10"/>
        <v>1.4912280701761586E-5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input_443010!A$2</f>
        <v>443010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IFERROR(VLOOKUP(B208,input_443010!L:R,7,FALSE),VLOOKUP(tables_443010!C208,input_443010!A:H,8,FALSE))</f>
        <v>29393</v>
      </c>
      <c r="P208" s="46">
        <f t="shared" ca="1" si="10"/>
        <v>2.8333333333347013E-4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input_443010!A$2</f>
        <v>443010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IFERROR(VLOOKUP(B209,input_443010!L:R,7,FALSE),VLOOKUP(tables_443010!C209,input_443010!A:H,8,FALSE))</f>
        <v>1547</v>
      </c>
      <c r="P209" s="46">
        <f t="shared" ca="1" si="10"/>
        <v>1.4912280701761586E-5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input_443010!A$2</f>
        <v>443010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IFERROR(VLOOKUP(B210,input_443010!L:R,7,FALSE),VLOOKUP(tables_443010!C210,input_443010!A:H,8,FALSE))</f>
        <v>493050</v>
      </c>
      <c r="P210" s="46">
        <f t="shared" ca="1" si="10"/>
        <v>4.7527472527495469E-3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input_443010!A$2</f>
        <v>443010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IFERROR(VLOOKUP(B211,input_443010!L:R,7,FALSE),VLOOKUP(tables_443010!C211,input_443010!A:H,8,FALSE))</f>
        <v>403845</v>
      </c>
      <c r="P211" s="46">
        <f t="shared" ca="1" si="10"/>
        <v>3.8928571428590224E-3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input_443010!A$2</f>
        <v>443010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IFERROR(VLOOKUP(B212,input_443010!L:R,7,FALSE),VLOOKUP(tables_443010!C212,input_443010!A:H,8,FALSE))</f>
        <v>2097.67308</v>
      </c>
      <c r="P212" s="46">
        <f t="shared" ca="1" si="10"/>
        <v>2.0220484673231277E-5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input_443010!A$2</f>
        <v>443010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IFERROR(VLOOKUP(B213,input_443010!L:R,7,FALSE),VLOOKUP(tables_443010!C213,input_443010!A:H,8,FALSE))</f>
        <v>29393</v>
      </c>
      <c r="P213" s="46">
        <f t="shared" ca="1" si="10"/>
        <v>2.8333333333347013E-4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input_443010!A$2</f>
        <v>443010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IFERROR(VLOOKUP(B214,input_443010!L:R,7,FALSE),VLOOKUP(tables_443010!C214,input_443010!A:H,8,FALSE))</f>
        <v>1547</v>
      </c>
      <c r="P214" s="46">
        <f t="shared" ca="1" si="10"/>
        <v>1.4912280701761586E-5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input_443010!A$2</f>
        <v>443010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IFERROR(VLOOKUP(B215,input_443010!L:R,7,FALSE),VLOOKUP(tables_443010!C215,input_443010!A:H,8,FALSE))</f>
        <v>3609.9999899999998</v>
      </c>
      <c r="P215" s="46">
        <f t="shared" ca="1" si="10"/>
        <v>3.4798534702156766E-5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input_443010!A$2</f>
        <v>443010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IFERROR(VLOOKUP(B216,input_443010!L:R,7,FALSE),VLOOKUP(tables_443010!C216,input_443010!A:H,8,FALSE))</f>
        <v>3609.9999899999998</v>
      </c>
      <c r="P216" s="46">
        <f t="shared" ca="1" si="10"/>
        <v>3.4798534702156766E-5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input_443010!A$2</f>
        <v>443010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IFERROR(VLOOKUP(B217,input_443010!L:R,7,FALSE),VLOOKUP(tables_443010!C217,input_443010!A:H,8,FALSE))</f>
        <v>3609.9999899999998</v>
      </c>
      <c r="P217" s="46">
        <f t="shared" ca="1" si="10"/>
        <v>3.4798534702156766E-5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input_443010!A$2</f>
        <v>443010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IFERROR(VLOOKUP(B218,input_443010!L:R,7,FALSE),VLOOKUP(tables_443010!C218,input_443010!A:H,8,FALSE))</f>
        <v>3609.9999899999998</v>
      </c>
      <c r="P218" s="46">
        <f t="shared" ca="1" si="10"/>
        <v>3.4798534702156766E-5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input_443010!A$2</f>
        <v>443010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IFERROR(VLOOKUP(B219,input_443010!L:R,7,FALSE),VLOOKUP(tables_443010!C219,input_443010!A:H,8,FALSE))</f>
        <v>3609.9999899999998</v>
      </c>
      <c r="P219" s="46">
        <f t="shared" ca="1" si="10"/>
        <v>3.4798534702156766E-5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input_443010!A$2</f>
        <v>443010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IFERROR(VLOOKUP(B220,input_443010!L:R,7,FALSE),VLOOKUP(tables_443010!C220,input_443010!A:H,8,FALSE))</f>
        <v>3609.9999899999998</v>
      </c>
      <c r="P220" s="46">
        <f t="shared" ca="1" si="10"/>
        <v>3.4798534702156766E-5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input_443010!A$2</f>
        <v>443010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IFERROR(VLOOKUP(B221,input_443010!L:R,7,FALSE),VLOOKUP(tables_443010!C221,input_443010!A:H,8,FALSE))</f>
        <v>29393</v>
      </c>
      <c r="P221" s="46">
        <f t="shared" ca="1" si="10"/>
        <v>2.8333333333347013E-4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input_443010!A$2</f>
        <v>443010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IFERROR(VLOOKUP(B222,input_443010!L:R,7,FALSE),VLOOKUP(tables_443010!C222,input_443010!A:H,8,FALSE))</f>
        <v>1547</v>
      </c>
      <c r="P222" s="46">
        <f t="shared" ca="1" si="10"/>
        <v>1.4912280701761586E-5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input_443010!A$2</f>
        <v>443010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IFERROR(VLOOKUP(B223,input_443010!L:R,7,FALSE),VLOOKUP(tables_443010!C223,input_443010!A:H,8,FALSE))</f>
        <v>493050</v>
      </c>
      <c r="P223" s="46">
        <f t="shared" ca="1" si="10"/>
        <v>4.7527472527495469E-3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input_443010!A$2</f>
        <v>443010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IFERROR(VLOOKUP(B224,input_443010!L:R,7,FALSE),VLOOKUP(tables_443010!C224,input_443010!A:H,8,FALSE))</f>
        <v>403845</v>
      </c>
      <c r="P224" s="46">
        <f t="shared" ca="1" si="10"/>
        <v>3.8928571428590224E-3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input_443010!A$2</f>
        <v>443010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IFERROR(VLOOKUP(B225,input_443010!L:R,7,FALSE),VLOOKUP(tables_443010!C225,input_443010!A:H,8,FALSE))</f>
        <v>2097.67308</v>
      </c>
      <c r="P225" s="46">
        <f t="shared" ca="1" si="10"/>
        <v>2.0220484673231277E-5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input_443010!A$2</f>
        <v>443010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IFERROR(VLOOKUP(B226,input_443010!L:R,7,FALSE),VLOOKUP(tables_443010!C226,input_443010!A:H,8,FALSE))</f>
        <v>493050</v>
      </c>
      <c r="P226" s="46">
        <f t="shared" ca="1" si="10"/>
        <v>4.7527472527495469E-3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input_443010!A$2</f>
        <v>443010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IFERROR(VLOOKUP(B227,input_443010!L:R,7,FALSE),VLOOKUP(tables_443010!C227,input_443010!A:H,8,FALSE))</f>
        <v>403845</v>
      </c>
      <c r="P227" s="46">
        <f t="shared" ca="1" si="10"/>
        <v>3.8928571428590224E-3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input_443010!A$2</f>
        <v>443010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IFERROR(VLOOKUP(B228,input_443010!L:R,7,FALSE),VLOOKUP(tables_443010!C228,input_443010!A:H,8,FALSE))</f>
        <v>2097.67308</v>
      </c>
      <c r="P228" s="46">
        <f t="shared" ca="1" si="10"/>
        <v>2.0220484673231277E-5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input_443010!A$2</f>
        <v>443010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IFERROR(VLOOKUP(B229,input_443010!L:R,7,FALSE),VLOOKUP(tables_443010!C229,input_443010!A:H,8,FALSE))</f>
        <v>29393</v>
      </c>
      <c r="P229" s="46">
        <f t="shared" ca="1" si="10"/>
        <v>2.8333333333347013E-4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input_443010!A$2</f>
        <v>443010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IFERROR(VLOOKUP(B230,input_443010!L:R,7,FALSE),VLOOKUP(tables_443010!C230,input_443010!A:H,8,FALSE))</f>
        <v>1547</v>
      </c>
      <c r="P230" s="46">
        <f t="shared" ca="1" si="10"/>
        <v>1.4912280701761586E-5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input_443010!A$2</f>
        <v>443010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IFERROR(VLOOKUP(B231,input_443010!L:R,7,FALSE),VLOOKUP(tables_443010!C231,input_443010!A:H,8,FALSE))</f>
        <v>493050</v>
      </c>
      <c r="P231" s="46">
        <f t="shared" ca="1" si="10"/>
        <v>4.7527472527495469E-3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input_443010!A$2</f>
        <v>443010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IFERROR(VLOOKUP(B232,input_443010!L:R,7,FALSE),VLOOKUP(tables_443010!C232,input_443010!A:H,8,FALSE))</f>
        <v>403845</v>
      </c>
      <c r="P232" s="46">
        <f t="shared" ca="1" si="10"/>
        <v>3.8928571428590224E-3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input_443010!A$2</f>
        <v>443010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IFERROR(VLOOKUP(B233,input_443010!L:R,7,FALSE),VLOOKUP(tables_443010!C233,input_443010!A:H,8,FALSE))</f>
        <v>2097.67308</v>
      </c>
      <c r="P233" s="46">
        <f t="shared" ca="1" si="10"/>
        <v>2.0220484673231277E-5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input_443010!A$2</f>
        <v>443010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IFERROR(VLOOKUP(B234,input_443010!L:R,7,FALSE),VLOOKUP(tables_443010!C234,input_443010!A:H,8,FALSE))</f>
        <v>493050</v>
      </c>
      <c r="P234" s="46">
        <f t="shared" ca="1" si="10"/>
        <v>4.7527472527495469E-3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input_443010!A$2</f>
        <v>443010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IFERROR(VLOOKUP(B235,input_443010!L:R,7,FALSE),VLOOKUP(tables_443010!C235,input_443010!A:H,8,FALSE))</f>
        <v>403845</v>
      </c>
      <c r="P235" s="46">
        <f t="shared" ca="1" si="10"/>
        <v>3.8928571428590224E-3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input_443010!A$2</f>
        <v>443010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IFERROR(VLOOKUP(B236,input_443010!L:R,7,FALSE),VLOOKUP(tables_443010!C236,input_443010!A:H,8,FALSE))</f>
        <v>2097.67308</v>
      </c>
      <c r="P236" s="46">
        <f t="shared" ca="1" si="10"/>
        <v>2.0220484673231277E-5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input_443010!A$2</f>
        <v>443010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IFERROR(VLOOKUP(B237,input_443010!L:R,7,FALSE),VLOOKUP(tables_443010!C237,input_443010!A:H,8,FALSE))</f>
        <v>29393</v>
      </c>
      <c r="P237" s="46">
        <f t="shared" ca="1" si="10"/>
        <v>2.8333333333347013E-4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input_443010!A$2</f>
        <v>443010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IFERROR(VLOOKUP(B238,input_443010!L:R,7,FALSE),VLOOKUP(tables_443010!C238,input_443010!A:H,8,FALSE))</f>
        <v>1547</v>
      </c>
      <c r="P238" s="46">
        <f t="shared" ca="1" si="10"/>
        <v>1.4912280701761586E-5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input_443010!A$2</f>
        <v>443010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IFERROR(VLOOKUP(B239,input_443010!L:R,7,FALSE),VLOOKUP(tables_443010!C239,input_443010!A:H,8,FALSE))</f>
        <v>493050</v>
      </c>
      <c r="P239" s="46">
        <f t="shared" ca="1" si="10"/>
        <v>4.7527472527495469E-3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input_443010!A$2</f>
        <v>443010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IFERROR(VLOOKUP(B240,input_443010!L:R,7,FALSE),VLOOKUP(tables_443010!C240,input_443010!A:H,8,FALSE))</f>
        <v>403845</v>
      </c>
      <c r="P240" s="46">
        <f t="shared" ca="1" si="10"/>
        <v>3.8928571428590224E-3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input_443010!A$2</f>
        <v>443010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IFERROR(VLOOKUP(B241,input_443010!L:R,7,FALSE),VLOOKUP(tables_443010!C241,input_443010!A:H,8,FALSE))</f>
        <v>2097.67308</v>
      </c>
      <c r="P241" s="46">
        <f t="shared" ca="1" si="10"/>
        <v>2.0220484673231277E-5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input_443010!A$2</f>
        <v>443010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IFERROR(VLOOKUP(B242,input_443010!L:R,7,FALSE),VLOOKUP(tables_443010!C242,input_443010!A:H,8,FALSE))</f>
        <v>29393</v>
      </c>
      <c r="P242" s="46">
        <f t="shared" ca="1" si="10"/>
        <v>2.8333333333347013E-4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input_443010!A$2</f>
        <v>443010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IFERROR(VLOOKUP(B243,input_443010!L:R,7,FALSE),VLOOKUP(tables_443010!C243,input_443010!A:H,8,FALSE))</f>
        <v>1547</v>
      </c>
      <c r="P243" s="46">
        <f t="shared" ca="1" si="10"/>
        <v>1.4912280701761586E-5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input_443010!A$2</f>
        <v>443010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IFERROR(VLOOKUP(B244,input_443010!L:R,7,FALSE),VLOOKUP(tables_443010!C244,input_443010!A:H,8,FALSE))</f>
        <v>29393</v>
      </c>
      <c r="P244" s="46">
        <f t="shared" ca="1" si="10"/>
        <v>2.8333333333347013E-4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input_443010!A$2</f>
        <v>443010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IFERROR(VLOOKUP(B245,input_443010!L:R,7,FALSE),VLOOKUP(tables_443010!C245,input_443010!A:H,8,FALSE))</f>
        <v>1547</v>
      </c>
      <c r="P245" s="46">
        <f t="shared" ca="1" si="10"/>
        <v>1.4912280701761586E-5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input_443010!A$2</f>
        <v>443010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IFERROR(VLOOKUP(B246,input_443010!L:R,7,FALSE),VLOOKUP(tables_443010!C246,input_443010!A:H,8,FALSE))</f>
        <v>493050</v>
      </c>
      <c r="P246" s="46">
        <f t="shared" ca="1" si="10"/>
        <v>4.7527472527495469E-3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input_443010!A$2</f>
        <v>443010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IFERROR(VLOOKUP(B247,input_443010!L:R,7,FALSE),VLOOKUP(tables_443010!C247,input_443010!A:H,8,FALSE))</f>
        <v>403845</v>
      </c>
      <c r="P247" s="46">
        <f t="shared" ca="1" si="10"/>
        <v>3.8928571428590224E-3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input_443010!A$2</f>
        <v>443010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IFERROR(VLOOKUP(B248,input_443010!L:R,7,FALSE),VLOOKUP(tables_443010!C248,input_443010!A:H,8,FALSE))</f>
        <v>2097.67308</v>
      </c>
      <c r="P248" s="46">
        <f t="shared" ca="1" si="10"/>
        <v>2.0220484673231277E-5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input_443010!A$2</f>
        <v>443010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IFERROR(VLOOKUP(B249,input_443010!L:R,7,FALSE),VLOOKUP(tables_443010!C249,input_443010!A:H,8,FALSE))</f>
        <v>493050</v>
      </c>
      <c r="P249" s="46">
        <f t="shared" ca="1" si="10"/>
        <v>4.7527472527495469E-3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input_443010!A$2</f>
        <v>443010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IFERROR(VLOOKUP(B250,input_443010!L:R,7,FALSE),VLOOKUP(tables_443010!C250,input_443010!A:H,8,FALSE))</f>
        <v>403845</v>
      </c>
      <c r="P250" s="46">
        <f t="shared" ca="1" si="10"/>
        <v>3.8928571428590224E-3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input_443010!A$2</f>
        <v>443010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IFERROR(VLOOKUP(B251,input_443010!L:R,7,FALSE),VLOOKUP(tables_443010!C251,input_443010!A:H,8,FALSE))</f>
        <v>2097.67308</v>
      </c>
      <c r="P251" s="46">
        <f t="shared" ca="1" si="10"/>
        <v>2.0220484673231277E-5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input_443010!A$2</f>
        <v>443010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IFERROR(VLOOKUP(B252,input_443010!L:R,7,FALSE),VLOOKUP(tables_443010!C252,input_443010!A:H,8,FALSE))</f>
        <v>493050</v>
      </c>
      <c r="P252" s="46">
        <f t="shared" ca="1" si="10"/>
        <v>4.7527472527495469E-3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input_443010!A$2</f>
        <v>443010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IFERROR(VLOOKUP(B253,input_443010!L:R,7,FALSE),VLOOKUP(tables_443010!C253,input_443010!A:H,8,FALSE))</f>
        <v>403845</v>
      </c>
      <c r="P253" s="46">
        <f t="shared" ca="1" si="10"/>
        <v>3.8928571428590224E-3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input_443010!A$2</f>
        <v>443010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IFERROR(VLOOKUP(B254,input_443010!L:R,7,FALSE),VLOOKUP(tables_443010!C254,input_443010!A:H,8,FALSE))</f>
        <v>2097.67308</v>
      </c>
      <c r="P254" s="46">
        <f t="shared" ca="1" si="10"/>
        <v>2.0220484673231277E-5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input_443010!A$2</f>
        <v>443010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IFERROR(VLOOKUP(B255,input_443010!L:R,7,FALSE),VLOOKUP(tables_443010!C255,input_443010!A:H,8,FALSE))</f>
        <v>493050</v>
      </c>
      <c r="P255" s="46">
        <f t="shared" ca="1" si="10"/>
        <v>4.7527472527495469E-3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input_443010!A$2</f>
        <v>443010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IFERROR(VLOOKUP(B256,input_443010!L:R,7,FALSE),VLOOKUP(tables_443010!C256,input_443010!A:H,8,FALSE))</f>
        <v>403845</v>
      </c>
      <c r="P256" s="46">
        <f t="shared" ca="1" si="10"/>
        <v>3.8928571428590224E-3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input_443010!A$2</f>
        <v>443010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IFERROR(VLOOKUP(B257,input_443010!L:R,7,FALSE),VLOOKUP(tables_443010!C257,input_443010!A:H,8,FALSE))</f>
        <v>2097.67308</v>
      </c>
      <c r="P257" s="46">
        <f t="shared" ca="1" si="10"/>
        <v>2.0220484673231277E-5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input_443010!A$2</f>
        <v>443010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IFERROR(VLOOKUP(B258,input_443010!L:R,7,FALSE),VLOOKUP(tables_443010!C258,input_443010!A:H,8,FALSE))</f>
        <v>29393</v>
      </c>
      <c r="P258" s="46">
        <f t="shared" ref="P258:P321" ca="1" si="13">O258/SUM(O:O)</f>
        <v>2.8333333333347013E-4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input_443010!A$2</f>
        <v>443010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IFERROR(VLOOKUP(B259,input_443010!L:R,7,FALSE),VLOOKUP(tables_443010!C259,input_443010!A:H,8,FALSE))</f>
        <v>1547</v>
      </c>
      <c r="P259" s="46">
        <f t="shared" ca="1" si="13"/>
        <v>1.4912280701761586E-5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input_443010!A$2</f>
        <v>443010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IFERROR(VLOOKUP(B260,input_443010!L:R,7,FALSE),VLOOKUP(tables_443010!C260,input_443010!A:H,8,FALSE))</f>
        <v>29393</v>
      </c>
      <c r="P260" s="46">
        <f t="shared" ca="1" si="13"/>
        <v>2.8333333333347013E-4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input_443010!A$2</f>
        <v>443010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IFERROR(VLOOKUP(B261,input_443010!L:R,7,FALSE),VLOOKUP(tables_443010!C261,input_443010!A:H,8,FALSE))</f>
        <v>1547</v>
      </c>
      <c r="P261" s="46">
        <f t="shared" ca="1" si="13"/>
        <v>1.4912280701761586E-5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input_443010!A$2</f>
        <v>443010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IFERROR(VLOOKUP(B262,input_443010!L:R,7,FALSE),VLOOKUP(tables_443010!C262,input_443010!A:H,8,FALSE))</f>
        <v>917073</v>
      </c>
      <c r="P262" s="46">
        <f t="shared" ca="1" si="13"/>
        <v>8.8401098901141582E-3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input_443010!A$2</f>
        <v>443010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IFERROR(VLOOKUP(B263,input_443010!L:R,7,FALSE),VLOOKUP(tables_443010!C263,input_443010!A:H,8,FALSE))</f>
        <v>3609.9999899999998</v>
      </c>
      <c r="P263" s="46">
        <f t="shared" ca="1" si="13"/>
        <v>3.4798534702156766E-5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input_443010!A$2</f>
        <v>443010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IFERROR(VLOOKUP(B264,input_443010!L:R,7,FALSE),VLOOKUP(tables_443010!C264,input_443010!A:H,8,FALSE))</f>
        <v>917073</v>
      </c>
      <c r="P264" s="46">
        <f t="shared" ca="1" si="13"/>
        <v>8.8401098901141582E-3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input_443010!A$2</f>
        <v>443010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IFERROR(VLOOKUP(B265,input_443010!L:R,7,FALSE),VLOOKUP(tables_443010!C265,input_443010!A:H,8,FALSE))</f>
        <v>3609.9999899999998</v>
      </c>
      <c r="P265" s="46">
        <f t="shared" ca="1" si="13"/>
        <v>3.4798534702156766E-5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input_443010!A$2</f>
        <v>443010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IFERROR(VLOOKUP(B266,input_443010!L:R,7,FALSE),VLOOKUP(tables_443010!C266,input_443010!A:H,8,FALSE))</f>
        <v>30940</v>
      </c>
      <c r="P266" s="46">
        <f t="shared" ca="1" si="13"/>
        <v>2.9824561403523172E-4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input_443010!A$2</f>
        <v>443010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IFERROR(VLOOKUP(B267,input_443010!L:R,7,FALSE),VLOOKUP(tables_443010!C267,input_443010!A:H,8,FALSE))</f>
        <v>30940</v>
      </c>
      <c r="P267" s="46">
        <f t="shared" ca="1" si="13"/>
        <v>2.9824561403523172E-4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input_443010!A$2</f>
        <v>443010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IFERROR(VLOOKUP(B268,input_443010!L:R,7,FALSE),VLOOKUP(tables_443010!C268,input_443010!A:H,8,FALSE))</f>
        <v>30940</v>
      </c>
      <c r="P268" s="46">
        <f t="shared" ca="1" si="13"/>
        <v>2.9824561403523172E-4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input_443010!A$2</f>
        <v>443010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IFERROR(VLOOKUP(B269,input_443010!L:R,7,FALSE),VLOOKUP(tables_443010!C269,input_443010!A:H,8,FALSE))</f>
        <v>30940</v>
      </c>
      <c r="P269" s="46">
        <f t="shared" ca="1" si="13"/>
        <v>2.9824561403523172E-4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input_443010!A$2</f>
        <v>443010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IFERROR(VLOOKUP(B270,input_443010!L:R,7,FALSE),VLOOKUP(tables_443010!C270,input_443010!A:H,8,FALSE))</f>
        <v>917073</v>
      </c>
      <c r="P270" s="46">
        <f t="shared" ca="1" si="13"/>
        <v>8.8401098901141582E-3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input_443010!A$2</f>
        <v>443010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IFERROR(VLOOKUP(B271,input_443010!L:R,7,FALSE),VLOOKUP(tables_443010!C271,input_443010!A:H,8,FALSE))</f>
        <v>3609.9999899999998</v>
      </c>
      <c r="P271" s="46">
        <f t="shared" ca="1" si="13"/>
        <v>3.4798534702156766E-5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input_443010!A$2</f>
        <v>443010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IFERROR(VLOOKUP(B272,input_443010!L:R,7,FALSE),VLOOKUP(tables_443010!C272,input_443010!A:H,8,FALSE))</f>
        <v>917073</v>
      </c>
      <c r="P272" s="46">
        <f t="shared" ca="1" si="13"/>
        <v>8.8401098901141582E-3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input_443010!A$2</f>
        <v>443010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IFERROR(VLOOKUP(B273,input_443010!L:R,7,FALSE),VLOOKUP(tables_443010!C273,input_443010!A:H,8,FALSE))</f>
        <v>3609.9999899999998</v>
      </c>
      <c r="P273" s="46">
        <f t="shared" ca="1" si="13"/>
        <v>3.4798534702156766E-5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input_443010!A$2</f>
        <v>443010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IFERROR(VLOOKUP(B274,input_443010!L:R,7,FALSE),VLOOKUP(tables_443010!C274,input_443010!A:H,8,FALSE))</f>
        <v>29393</v>
      </c>
      <c r="P274" s="46">
        <f t="shared" ca="1" si="13"/>
        <v>2.8333333333347013E-4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input_443010!A$2</f>
        <v>443010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IFERROR(VLOOKUP(B275,input_443010!L:R,7,FALSE),VLOOKUP(tables_443010!C275,input_443010!A:H,8,FALSE))</f>
        <v>1547</v>
      </c>
      <c r="P275" s="46">
        <f t="shared" ca="1" si="13"/>
        <v>1.4912280701761586E-5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input_443010!A$2</f>
        <v>443010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IFERROR(VLOOKUP(B276,input_443010!L:R,7,FALSE),VLOOKUP(tables_443010!C276,input_443010!A:H,8,FALSE))</f>
        <v>29393</v>
      </c>
      <c r="P276" s="46">
        <f t="shared" ca="1" si="13"/>
        <v>2.8333333333347013E-4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input_443010!A$2</f>
        <v>443010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IFERROR(VLOOKUP(B277,input_443010!L:R,7,FALSE),VLOOKUP(tables_443010!C277,input_443010!A:H,8,FALSE))</f>
        <v>1547</v>
      </c>
      <c r="P277" s="46">
        <f t="shared" ca="1" si="13"/>
        <v>1.4912280701761586E-5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input_443010!A$2</f>
        <v>443010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IFERROR(VLOOKUP(B278,input_443010!L:R,7,FALSE),VLOOKUP(tables_443010!C278,input_443010!A:H,8,FALSE))</f>
        <v>493050</v>
      </c>
      <c r="P278" s="46">
        <f t="shared" ca="1" si="13"/>
        <v>4.7527472527495469E-3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input_443010!A$2</f>
        <v>443010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IFERROR(VLOOKUP(B279,input_443010!L:R,7,FALSE),VLOOKUP(tables_443010!C279,input_443010!A:H,8,FALSE))</f>
        <v>403845</v>
      </c>
      <c r="P279" s="46">
        <f t="shared" ca="1" si="13"/>
        <v>3.8928571428590224E-3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input_443010!A$2</f>
        <v>443010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IFERROR(VLOOKUP(B280,input_443010!L:R,7,FALSE),VLOOKUP(tables_443010!C280,input_443010!A:H,8,FALSE))</f>
        <v>2097.67308</v>
      </c>
      <c r="P280" s="46">
        <f t="shared" ca="1" si="13"/>
        <v>2.0220484673231277E-5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input_443010!A$2</f>
        <v>443010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IFERROR(VLOOKUP(B281,input_443010!L:R,7,FALSE),VLOOKUP(tables_443010!C281,input_443010!A:H,8,FALSE))</f>
        <v>493050</v>
      </c>
      <c r="P281" s="46">
        <f t="shared" ca="1" si="13"/>
        <v>4.7527472527495469E-3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input_443010!A$2</f>
        <v>443010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IFERROR(VLOOKUP(B282,input_443010!L:R,7,FALSE),VLOOKUP(tables_443010!C282,input_443010!A:H,8,FALSE))</f>
        <v>403845</v>
      </c>
      <c r="P282" s="46">
        <f t="shared" ca="1" si="13"/>
        <v>3.8928571428590224E-3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input_443010!A$2</f>
        <v>443010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IFERROR(VLOOKUP(B283,input_443010!L:R,7,FALSE),VLOOKUP(tables_443010!C283,input_443010!A:H,8,FALSE))</f>
        <v>2097.67308</v>
      </c>
      <c r="P283" s="46">
        <f t="shared" ca="1" si="13"/>
        <v>2.0220484673231277E-5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input_443010!A$2</f>
        <v>443010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IFERROR(VLOOKUP(B284,input_443010!L:R,7,FALSE),VLOOKUP(tables_443010!C284,input_443010!A:H,8,FALSE))</f>
        <v>30940</v>
      </c>
      <c r="P284" s="46">
        <f t="shared" ca="1" si="13"/>
        <v>2.9824561403523172E-4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input_443010!A$2</f>
        <v>443010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IFERROR(VLOOKUP(B285,input_443010!L:R,7,FALSE),VLOOKUP(tables_443010!C285,input_443010!A:H,8,FALSE))</f>
        <v>30940</v>
      </c>
      <c r="P285" s="46">
        <f t="shared" ca="1" si="13"/>
        <v>2.9824561403523172E-4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input_443010!A$2</f>
        <v>443010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IFERROR(VLOOKUP(B286,input_443010!L:R,7,FALSE),VLOOKUP(tables_443010!C286,input_443010!A:H,8,FALSE))</f>
        <v>917073</v>
      </c>
      <c r="P286" s="46">
        <f t="shared" ca="1" si="13"/>
        <v>8.8401098901141582E-3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input_443010!A$2</f>
        <v>443010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IFERROR(VLOOKUP(B287,input_443010!L:R,7,FALSE),VLOOKUP(tables_443010!C287,input_443010!A:H,8,FALSE))</f>
        <v>3609.9999899999998</v>
      </c>
      <c r="P287" s="46">
        <f t="shared" ca="1" si="13"/>
        <v>3.4798534702156766E-5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input_443010!A$2</f>
        <v>443010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IFERROR(VLOOKUP(B288,input_443010!L:R,7,FALSE),VLOOKUP(tables_443010!C288,input_443010!A:H,8,FALSE))</f>
        <v>917073</v>
      </c>
      <c r="P288" s="46">
        <f t="shared" ca="1" si="13"/>
        <v>8.8401098901141582E-3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input_443010!A$2</f>
        <v>443010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IFERROR(VLOOKUP(B289,input_443010!L:R,7,FALSE),VLOOKUP(tables_443010!C289,input_443010!A:H,8,FALSE))</f>
        <v>3609.9999899999998</v>
      </c>
      <c r="P289" s="46">
        <f t="shared" ca="1" si="13"/>
        <v>3.4798534702156766E-5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input_443010!A$2</f>
        <v>443010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IFERROR(VLOOKUP(B290,input_443010!L:R,7,FALSE),VLOOKUP(tables_443010!C290,input_443010!A:H,8,FALSE))</f>
        <v>917073</v>
      </c>
      <c r="P290" s="46">
        <f t="shared" ca="1" si="13"/>
        <v>8.8401098901141582E-3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input_443010!A$2</f>
        <v>443010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IFERROR(VLOOKUP(B291,input_443010!L:R,7,FALSE),VLOOKUP(tables_443010!C291,input_443010!A:H,8,FALSE))</f>
        <v>3609.9999899999998</v>
      </c>
      <c r="P291" s="46">
        <f t="shared" ca="1" si="13"/>
        <v>3.4798534702156766E-5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input_443010!A$2</f>
        <v>443010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IFERROR(VLOOKUP(B292,input_443010!L:R,7,FALSE),VLOOKUP(tables_443010!C292,input_443010!A:H,8,FALSE))</f>
        <v>917073</v>
      </c>
      <c r="P292" s="46">
        <f t="shared" ca="1" si="13"/>
        <v>8.8401098901141582E-3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input_443010!A$2</f>
        <v>443010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IFERROR(VLOOKUP(B293,input_443010!L:R,7,FALSE),VLOOKUP(tables_443010!C293,input_443010!A:H,8,FALSE))</f>
        <v>3609.9999899999998</v>
      </c>
      <c r="P293" s="46">
        <f t="shared" ca="1" si="13"/>
        <v>3.4798534702156766E-5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input_443010!A$2</f>
        <v>443010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IFERROR(VLOOKUP(B294,input_443010!L:R,7,FALSE),VLOOKUP(tables_443010!C294,input_443010!A:H,8,FALSE))</f>
        <v>30940</v>
      </c>
      <c r="P294" s="46">
        <f t="shared" ca="1" si="13"/>
        <v>2.9824561403523172E-4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input_443010!A$2</f>
        <v>443010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IFERROR(VLOOKUP(B295,input_443010!L:R,7,FALSE),VLOOKUP(tables_443010!C295,input_443010!A:H,8,FALSE))</f>
        <v>30940</v>
      </c>
      <c r="P295" s="46">
        <f t="shared" ca="1" si="13"/>
        <v>2.9824561403523172E-4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input_443010!A$2</f>
        <v>443010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IFERROR(VLOOKUP(B296,input_443010!L:R,7,FALSE),VLOOKUP(tables_443010!C296,input_443010!A:H,8,FALSE))</f>
        <v>30940</v>
      </c>
      <c r="P296" s="46">
        <f t="shared" ca="1" si="13"/>
        <v>2.9824561403523172E-4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input_443010!A$2</f>
        <v>443010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IFERROR(VLOOKUP(B297,input_443010!L:R,7,FALSE),VLOOKUP(tables_443010!C297,input_443010!A:H,8,FALSE))</f>
        <v>917073</v>
      </c>
      <c r="P297" s="46">
        <f t="shared" ca="1" si="13"/>
        <v>8.8401098901141582E-3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input_443010!A$2</f>
        <v>443010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IFERROR(VLOOKUP(B298,input_443010!L:R,7,FALSE),VLOOKUP(tables_443010!C298,input_443010!A:H,8,FALSE))</f>
        <v>3609.9999899999998</v>
      </c>
      <c r="P298" s="46">
        <f t="shared" ca="1" si="13"/>
        <v>3.4798534702156766E-5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input_443010!A$2</f>
        <v>443010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IFERROR(VLOOKUP(B299,input_443010!L:R,7,FALSE),VLOOKUP(tables_443010!C299,input_443010!A:H,8,FALSE))</f>
        <v>30940</v>
      </c>
      <c r="P299" s="46">
        <f t="shared" ca="1" si="13"/>
        <v>2.9824561403523172E-4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input_443010!A$2</f>
        <v>443010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IFERROR(VLOOKUP(B300,input_443010!L:R,7,FALSE),VLOOKUP(tables_443010!C300,input_443010!A:H,8,FALSE))</f>
        <v>30940</v>
      </c>
      <c r="P300" s="46">
        <f t="shared" ca="1" si="13"/>
        <v>2.9824561403523172E-4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input_443010!A$2</f>
        <v>443010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IFERROR(VLOOKUP(B301,input_443010!L:R,7,FALSE),VLOOKUP(tables_443010!C301,input_443010!A:H,8,FALSE))</f>
        <v>30940</v>
      </c>
      <c r="P301" s="46">
        <f t="shared" ca="1" si="13"/>
        <v>2.9824561403523172E-4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input_443010!A$2</f>
        <v>443010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IFERROR(VLOOKUP(B302,input_443010!L:R,7,FALSE),VLOOKUP(tables_443010!C302,input_443010!A:H,8,FALSE))</f>
        <v>30940</v>
      </c>
      <c r="P302" s="46">
        <f t="shared" ca="1" si="13"/>
        <v>2.9824561403523172E-4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input_443010!A$2</f>
        <v>443010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IFERROR(VLOOKUP(B303,input_443010!L:R,7,FALSE),VLOOKUP(tables_443010!C303,input_443010!A:H,8,FALSE))</f>
        <v>917073</v>
      </c>
      <c r="P303" s="46">
        <f t="shared" ca="1" si="13"/>
        <v>8.8401098901141582E-3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input_443010!A$2</f>
        <v>443010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IFERROR(VLOOKUP(B304,input_443010!L:R,7,FALSE),VLOOKUP(tables_443010!C304,input_443010!A:H,8,FALSE))</f>
        <v>3609.9999899999998</v>
      </c>
      <c r="P304" s="46">
        <f t="shared" ca="1" si="13"/>
        <v>3.4798534702156766E-5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input_443010!A$2</f>
        <v>443010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IFERROR(VLOOKUP(B305,input_443010!L:R,7,FALSE),VLOOKUP(tables_443010!C305,input_443010!A:H,8,FALSE))</f>
        <v>30940</v>
      </c>
      <c r="P305" s="46">
        <f t="shared" ca="1" si="13"/>
        <v>2.9824561403523172E-4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input_443010!A$2</f>
        <v>443010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IFERROR(VLOOKUP(B306,input_443010!L:R,7,FALSE),VLOOKUP(tables_443010!C306,input_443010!A:H,8,FALSE))</f>
        <v>917073</v>
      </c>
      <c r="P306" s="46">
        <f t="shared" ca="1" si="13"/>
        <v>8.8401098901141582E-3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input_443010!A$2</f>
        <v>443010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IFERROR(VLOOKUP(B307,input_443010!L:R,7,FALSE),VLOOKUP(tables_443010!C307,input_443010!A:H,8,FALSE))</f>
        <v>3609.9999899999998</v>
      </c>
      <c r="P307" s="46">
        <f t="shared" ca="1" si="13"/>
        <v>3.4798534702156766E-5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input_443010!A$2</f>
        <v>443010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IFERROR(VLOOKUP(B308,input_443010!L:R,7,FALSE),VLOOKUP(tables_443010!C308,input_443010!A:H,8,FALSE))</f>
        <v>30940</v>
      </c>
      <c r="P308" s="46">
        <f t="shared" ca="1" si="13"/>
        <v>2.9824561403523172E-4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input_443010!A$2</f>
        <v>443010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IFERROR(VLOOKUP(B309,input_443010!L:R,7,FALSE),VLOOKUP(tables_443010!C309,input_443010!A:H,8,FALSE))</f>
        <v>30940</v>
      </c>
      <c r="P309" s="46">
        <f t="shared" ca="1" si="13"/>
        <v>2.9824561403523172E-4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input_443010!A$2</f>
        <v>443010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IFERROR(VLOOKUP(B310,input_443010!L:R,7,FALSE),VLOOKUP(tables_443010!C310,input_443010!A:H,8,FALSE))</f>
        <v>30940</v>
      </c>
      <c r="P310" s="46">
        <f t="shared" ca="1" si="13"/>
        <v>2.9824561403523172E-4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input_443010!A$2</f>
        <v>443010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IFERROR(VLOOKUP(B311,input_443010!L:R,7,FALSE),VLOOKUP(tables_443010!C311,input_443010!A:H,8,FALSE))</f>
        <v>917073</v>
      </c>
      <c r="P311" s="46">
        <f t="shared" ca="1" si="13"/>
        <v>8.8401098901141582E-3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input_443010!A$2</f>
        <v>443010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IFERROR(VLOOKUP(B312,input_443010!L:R,7,FALSE),VLOOKUP(tables_443010!C312,input_443010!A:H,8,FALSE))</f>
        <v>3609.9999899999998</v>
      </c>
      <c r="P312" s="46">
        <f t="shared" ca="1" si="13"/>
        <v>3.4798534702156766E-5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input_443010!A$2</f>
        <v>443010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IFERROR(VLOOKUP(B313,input_443010!L:R,7,FALSE),VLOOKUP(tables_443010!C313,input_443010!A:H,8,FALSE))</f>
        <v>30940</v>
      </c>
      <c r="P313" s="46">
        <f t="shared" ca="1" si="13"/>
        <v>2.9824561403523172E-4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input_443010!A$2</f>
        <v>443010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IFERROR(VLOOKUP(B314,input_443010!L:R,7,FALSE),VLOOKUP(tables_443010!C314,input_443010!A:H,8,FALSE))</f>
        <v>30940</v>
      </c>
      <c r="P314" s="46">
        <f t="shared" ca="1" si="13"/>
        <v>2.9824561403523172E-4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input_443010!A$2</f>
        <v>443010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IFERROR(VLOOKUP(B315,input_443010!L:R,7,FALSE),VLOOKUP(tables_443010!C315,input_443010!A:H,8,FALSE))</f>
        <v>30940</v>
      </c>
      <c r="P315" s="46">
        <f t="shared" ca="1" si="13"/>
        <v>2.9824561403523172E-4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input_443010!A$2</f>
        <v>443010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IFERROR(VLOOKUP(B316,input_443010!L:R,7,FALSE),VLOOKUP(tables_443010!C316,input_443010!A:H,8,FALSE))</f>
        <v>30940</v>
      </c>
      <c r="P316" s="46">
        <f t="shared" ca="1" si="13"/>
        <v>2.9824561403523172E-4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input_443010!A$2</f>
        <v>443010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IFERROR(VLOOKUP(B317,input_443010!L:R,7,FALSE),VLOOKUP(tables_443010!C317,input_443010!A:H,8,FALSE))</f>
        <v>30940</v>
      </c>
      <c r="P317" s="46">
        <f t="shared" ca="1" si="13"/>
        <v>2.9824561403523172E-4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input_443010!A$2</f>
        <v>443010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IFERROR(VLOOKUP(B318,input_443010!L:R,7,FALSE),VLOOKUP(tables_443010!C318,input_443010!A:H,8,FALSE))</f>
        <v>917073</v>
      </c>
      <c r="P318" s="46">
        <f t="shared" ca="1" si="13"/>
        <v>8.8401098901141582E-3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input_443010!A$2</f>
        <v>443010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IFERROR(VLOOKUP(B319,input_443010!L:R,7,FALSE),VLOOKUP(tables_443010!C319,input_443010!A:H,8,FALSE))</f>
        <v>3609.9999899999998</v>
      </c>
      <c r="P319" s="46">
        <f t="shared" ca="1" si="13"/>
        <v>3.4798534702156766E-5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input_443010!A$2</f>
        <v>443010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IFERROR(VLOOKUP(B320,input_443010!L:R,7,FALSE),VLOOKUP(tables_443010!C320,input_443010!A:H,8,FALSE))</f>
        <v>30940</v>
      </c>
      <c r="P320" s="46">
        <f t="shared" ca="1" si="13"/>
        <v>2.9824561403523172E-4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input_443010!A$2</f>
        <v>443010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IFERROR(VLOOKUP(B321,input_443010!L:R,7,FALSE),VLOOKUP(tables_443010!C321,input_443010!A:H,8,FALSE))</f>
        <v>30940</v>
      </c>
      <c r="P321" s="46">
        <f t="shared" ca="1" si="13"/>
        <v>2.9824561403523172E-4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input_443010!A$2</f>
        <v>443010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IFERROR(VLOOKUP(B322,input_443010!L:R,7,FALSE),VLOOKUP(tables_443010!C322,input_443010!A:H,8,FALSE))</f>
        <v>30940</v>
      </c>
      <c r="P322" s="46">
        <f t="shared" ref="P322:P330" ca="1" si="23">O322/SUM(O:O)</f>
        <v>2.9824561403523172E-4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input_443010!A$2</f>
        <v>443010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IFERROR(VLOOKUP(B323,input_443010!L:R,7,FALSE),VLOOKUP(tables_443010!C323,input_443010!A:H,8,FALSE))</f>
        <v>30940</v>
      </c>
      <c r="P323" s="46">
        <f t="shared" ca="1" si="23"/>
        <v>2.9824561403523172E-4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input_443010!A$2</f>
        <v>443010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IFERROR(VLOOKUP(B324,input_443010!L:R,7,FALSE),VLOOKUP(tables_443010!C324,input_443010!A:H,8,FALSE))</f>
        <v>917073</v>
      </c>
      <c r="P324" s="46">
        <f t="shared" ca="1" si="23"/>
        <v>8.8401098901141582E-3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input_443010!A$2</f>
        <v>443010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IFERROR(VLOOKUP(B325,input_443010!L:R,7,FALSE),VLOOKUP(tables_443010!C325,input_443010!A:H,8,FALSE))</f>
        <v>3609.9999899999998</v>
      </c>
      <c r="P325" s="46">
        <f t="shared" ca="1" si="23"/>
        <v>3.4798534702156766E-5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input_443010!A$2</f>
        <v>443010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IFERROR(VLOOKUP(B326,input_443010!L:R,7,FALSE),VLOOKUP(tables_443010!C326,input_443010!A:H,8,FALSE))</f>
        <v>917073</v>
      </c>
      <c r="P326" s="46">
        <f t="shared" ca="1" si="23"/>
        <v>8.8401098901141582E-3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input_443010!A$2</f>
        <v>443010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IFERROR(VLOOKUP(B327,input_443010!L:R,7,FALSE),VLOOKUP(tables_443010!C327,input_443010!A:H,8,FALSE))</f>
        <v>3609.9999899999998</v>
      </c>
      <c r="P327" s="46">
        <f t="shared" ca="1" si="23"/>
        <v>3.4798534702156766E-5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input_443010!A$2</f>
        <v>443010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IFERROR(VLOOKUP(B328,input_443010!L:R,7,FALSE),VLOOKUP(tables_443010!C328,input_443010!A:H,8,FALSE))</f>
        <v>30940</v>
      </c>
      <c r="P328" s="46">
        <f t="shared" ca="1" si="23"/>
        <v>2.9824561403523172E-4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input_443010!A$2</f>
        <v>443010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IFERROR(VLOOKUP(B329,input_443010!L:R,7,FALSE),VLOOKUP(tables_443010!C329,input_443010!A:H,8,FALSE))</f>
        <v>30940</v>
      </c>
      <c r="P329" s="46">
        <f t="shared" ca="1" si="23"/>
        <v>2.9824561403523172E-4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input_443010!A$2</f>
        <v>443010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IFERROR(VLOOKUP(B330,input_443010!L:R,7,FALSE),VLOOKUP(tables_443010!C330,input_443010!A:H,8,FALSE))</f>
        <v>30940</v>
      </c>
      <c r="P330" s="46">
        <f t="shared" ca="1" si="23"/>
        <v>2.9824561403523172E-4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input_443010!A$2</f>
        <v>443010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IFERROR(VLOOKUP(B331,input_443010!L:R,7,FALSE),VLOOKUP(tables_443010!C331,input_443010!A:H,8,FALSE))</f>
        <v>933659.99999999988</v>
      </c>
      <c r="P331" s="46">
        <f t="shared" ref="P331:P335" ca="1" si="28">O331/SUM(O:O)</f>
        <v>9.0000000000043431E-3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input_443010!A$2</f>
        <v>443010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IFERROR(VLOOKUP(B332,input_443010!L:R,7,FALSE),VLOOKUP(tables_443010!C332,input_443010!A:H,8,FALSE))</f>
        <v>1244880</v>
      </c>
      <c r="P332" s="46">
        <f t="shared" ca="1" si="28"/>
        <v>1.2000000000005792E-2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input_443010!A$2</f>
        <v>443010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IFERROR(VLOOKUP(B333,input_443010!L:R,7,FALSE),VLOOKUP(tables_443010!C333,input_443010!A:H,8,FALSE))</f>
        <v>1244880</v>
      </c>
      <c r="P333" s="46">
        <f t="shared" ca="1" si="28"/>
        <v>1.2000000000005792E-2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input_443010!A$2</f>
        <v>443010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IFERROR(VLOOKUP(B334,input_443010!L:R,7,FALSE),VLOOKUP(tables_443010!C334,input_443010!A:H,8,FALSE))</f>
        <v>8377005</v>
      </c>
      <c r="P334" s="46">
        <f t="shared" ca="1" si="28"/>
        <v>8.0750000000038985E-2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input_443010!A$2</f>
        <v>443010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IFERROR(VLOOKUP(B335,input_443010!L:R,7,FALSE),VLOOKUP(tables_443010!C335,input_443010!A:H,8,FALSE))</f>
        <v>440895.00000000006</v>
      </c>
      <c r="P335" s="46">
        <f t="shared" ca="1" si="28"/>
        <v>4.2500000000020525E-3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35" sqref="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1214</v>
      </c>
      <c r="M3" s="37" t="str">
        <f>VLOOKUP(L3,[1]characters!$A:$C,3,FALSE)</f>
        <v>アルテミス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VLOOKUP(L3,tables_443100!B:C,2,FALSE)</f>
        <v>PremiumSS5R5only</v>
      </c>
      <c r="R3" s="62">
        <f t="shared" ref="R3:R20" si="1">N3*A$36</f>
        <v>933659.99999999988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1212</v>
      </c>
      <c r="M4" s="37" t="str">
        <f>VLOOKUP(L4,[1]characters!$A:$C,3,FALSE)</f>
        <v>クロノス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VLOOKUP(L4,tables_443100!B:C,2,FALSE)</f>
        <v>PremiumSS5R5only</v>
      </c>
      <c r="R4" s="62">
        <f t="shared" si="1"/>
        <v>1244880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2.9824561403508774E-4</v>
      </c>
      <c r="F5">
        <f>(COUNTIF(tables_443100!C:C,input_443100!A28)+COUNTIF(tables_443100!C:C,input_443100!A29))</f>
        <v>60</v>
      </c>
      <c r="H5" s="84">
        <v>3.3000000000000002E-2</v>
      </c>
      <c r="I5" s="31">
        <v>3</v>
      </c>
      <c r="L5" s="60">
        <v>1208</v>
      </c>
      <c r="M5" s="37" t="str">
        <f>VLOOKUP(L5,[1]characters!$A:$C,3,FALSE)</f>
        <v>ネメシス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VLOOKUP(L5,tables_443100!B:C,2,FALSE)</f>
        <v>PremiumSS5R5only</v>
      </c>
      <c r="R5" s="62">
        <f t="shared" si="1"/>
        <v>1244880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9.5054945054945054E-3</v>
      </c>
      <c r="F6">
        <f>(COUNTIF(tables_443100!C:C,input_443100!A25)+COUNTIF(tables_443100!C:C,input_443100!A18)+COUNTIF(tables_443100!C:C,input_443100!A20)+COUNTIF(tables_443100!C:C,input_443100!A22))</f>
        <v>92</v>
      </c>
      <c r="H6" s="89">
        <v>8.5000000000000006E-2</v>
      </c>
      <c r="I6" s="31">
        <v>1</v>
      </c>
      <c r="L6" s="93">
        <v>1210</v>
      </c>
      <c r="M6" s="37" t="str">
        <f>VLOOKUP(L6,[1]characters!$A:$C,3,FALSE)</f>
        <v>ケンタウロス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VLOOKUP(L6,tables_443100!B:C,2,FALSE)</f>
        <v>Premium4R3less</v>
      </c>
      <c r="R6" s="62">
        <f t="shared" si="1"/>
        <v>8377005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1211</v>
      </c>
      <c r="M7" s="37" t="str">
        <f>VLOOKUP(L7,[1]characters!$A:$C,3,FALSE)</f>
        <v>奏駆の翻騎 ケンタウロス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VLOOKUP(L7,tables_443100!B:C,2,FALSE)</f>
        <v>Premium5R3less</v>
      </c>
      <c r="R7" s="62">
        <f t="shared" si="1"/>
        <v>440895.00000000006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COUNTIF(tables_443100!C:C,input_443100!A17)-COUNTIF(Q:Q,A17)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0.24302271062271061</v>
      </c>
      <c r="C18" s="85">
        <f t="shared" si="2"/>
        <v>0</v>
      </c>
      <c r="D18" s="74">
        <f t="shared" si="3"/>
        <v>0.24302271062271061</v>
      </c>
      <c r="E18">
        <f>COUNTIF(tables_443100!C:C,input_443100!A18)-COUNTIF(Q:Q,A18)</f>
        <v>20</v>
      </c>
      <c r="F18" s="43">
        <f>IFERROR(B18/E18,0)</f>
        <v>1.215113553113553E-2</v>
      </c>
      <c r="G18">
        <f t="shared" si="4"/>
        <v>25211176</v>
      </c>
      <c r="H18">
        <f t="shared" si="5"/>
        <v>1260558.8</v>
      </c>
      <c r="I18">
        <f t="shared" si="6"/>
        <v>0.80000000004656613</v>
      </c>
      <c r="J18">
        <f t="shared" si="7"/>
        <v>1.2499999999272404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COUNTIF(tables_443100!C:C,input_443100!A19)-COUNTIF(Q:Q,A19)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0.44957142857142851</v>
      </c>
      <c r="C20" s="85">
        <f t="shared" si="2"/>
        <v>0</v>
      </c>
      <c r="D20" s="74">
        <f t="shared" si="3"/>
        <v>0.44957142857142851</v>
      </c>
      <c r="E20">
        <f>COUNTIF(tables_443100!C:C,input_443100!A20)-COUNTIF(Q:Q,A20)</f>
        <v>52</v>
      </c>
      <c r="F20" s="43">
        <f t="shared" si="8"/>
        <v>8.6456043956043942E-3</v>
      </c>
      <c r="G20">
        <f t="shared" si="4"/>
        <v>46638539.999999993</v>
      </c>
      <c r="H20">
        <f t="shared" si="5"/>
        <v>896895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1.0514652014652001E-3</v>
      </c>
      <c r="C21" s="85">
        <f t="shared" si="2"/>
        <v>0</v>
      </c>
      <c r="D21" s="74">
        <f t="shared" si="3"/>
        <v>1.0514652014652001E-3</v>
      </c>
      <c r="E21">
        <f>COUNTIF(tables_443100!C:C,input_443100!A21)-COUNTIF(Q:Q,A21)</f>
        <v>52</v>
      </c>
      <c r="F21" s="43">
        <f t="shared" si="8"/>
        <v>2.0220484643561542E-5</v>
      </c>
      <c r="G21">
        <f t="shared" si="4"/>
        <v>109078.99999999985</v>
      </c>
      <c r="H21">
        <f t="shared" si="5"/>
        <v>2097.67308</v>
      </c>
      <c r="I21">
        <f t="shared" si="6"/>
        <v>0.67308000000002721</v>
      </c>
      <c r="J21">
        <f t="shared" si="7"/>
        <v>1.4857074939085393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0.13260164835164837</v>
      </c>
      <c r="C22" s="85">
        <f t="shared" si="2"/>
        <v>8.0750000000000002E-2</v>
      </c>
      <c r="D22" s="74">
        <f t="shared" si="3"/>
        <v>5.1851648351648363E-2</v>
      </c>
      <c r="E22">
        <f>COUNTIF(tables_443100!C:C,input_443100!A22)-COUNTIF(Q:Q,A22)</f>
        <v>15</v>
      </c>
      <c r="F22" s="43">
        <f t="shared" si="8"/>
        <v>8.8401098901098908E-3</v>
      </c>
      <c r="G22">
        <f t="shared" si="4"/>
        <v>13756095.000000002</v>
      </c>
      <c r="H22">
        <f t="shared" si="5"/>
        <v>917073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7.3076922922689011E-4</v>
      </c>
      <c r="C23" s="85">
        <f t="shared" si="2"/>
        <v>4.2500000000000003E-3</v>
      </c>
      <c r="D23" s="74">
        <f t="shared" si="3"/>
        <v>-3.5192307707731102E-3</v>
      </c>
      <c r="E23">
        <f>COUNTIF(tables_443100!C:C,input_443100!A23)-COUNTIF(Q:Q,A23)</f>
        <v>21</v>
      </c>
      <c r="F23" s="43">
        <f t="shared" si="8"/>
        <v>3.4798534725090007E-5</v>
      </c>
      <c r="G23">
        <f t="shared" si="4"/>
        <v>75809.999839997574</v>
      </c>
      <c r="H23">
        <f t="shared" si="5"/>
        <v>3609.9999899999998</v>
      </c>
      <c r="I23">
        <f t="shared" si="6"/>
        <v>0.99998999999979787</v>
      </c>
      <c r="J23">
        <f t="shared" si="7"/>
        <v>1.000010000100203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COUNTIF(tables_443100!C:C,input_443100!A24)-COUNTIF(Q:Q,A24)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3.6120879120879121E-2</v>
      </c>
      <c r="C25" s="85">
        <f t="shared" si="2"/>
        <v>0</v>
      </c>
      <c r="D25" s="74">
        <f t="shared" si="3"/>
        <v>3.6120879120879121E-2</v>
      </c>
      <c r="E25">
        <f>COUNTIF(tables_443100!C:C,input_443100!A25)-COUNTIF(Q:Q,A25)</f>
        <v>4</v>
      </c>
      <c r="F25" s="43">
        <f t="shared" si="8"/>
        <v>9.0302197802197802E-3</v>
      </c>
      <c r="G25">
        <f t="shared" si="4"/>
        <v>3747180</v>
      </c>
      <c r="H25">
        <f t="shared" si="5"/>
        <v>936795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1.9010989010989012E-3</v>
      </c>
      <c r="C26" s="85">
        <f t="shared" si="2"/>
        <v>0</v>
      </c>
      <c r="D26" s="74">
        <f t="shared" si="3"/>
        <v>1.9010989010989012E-3</v>
      </c>
      <c r="E26">
        <f>COUNTIF(tables_443100!C:C,input_443100!A26)-COUNTIF(Q:Q,A26)</f>
        <v>4</v>
      </c>
      <c r="F26" s="43">
        <f t="shared" si="8"/>
        <v>4.7527472527472529E-4</v>
      </c>
      <c r="G26">
        <f t="shared" si="4"/>
        <v>197220</v>
      </c>
      <c r="H26">
        <f t="shared" si="5"/>
        <v>49305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7.9333333333333322E-3</v>
      </c>
      <c r="C27" s="85">
        <f t="shared" si="2"/>
        <v>0</v>
      </c>
      <c r="D27" s="74">
        <f t="shared" si="3"/>
        <v>7.9333333333333322E-3</v>
      </c>
      <c r="E27">
        <f>COUNTIF(tables_443100!C:C,input_443100!A27)-COUNTIF(Q:Q,A27)</f>
        <v>28</v>
      </c>
      <c r="F27" s="43">
        <f>IFERROR(B27/E27,0)</f>
        <v>2.833333333333333E-4</v>
      </c>
      <c r="G27">
        <f t="shared" si="4"/>
        <v>823003.99999999988</v>
      </c>
      <c r="H27">
        <f t="shared" si="5"/>
        <v>29393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4.1754385964912281E-4</v>
      </c>
      <c r="C28" s="85">
        <f t="shared" si="2"/>
        <v>0</v>
      </c>
      <c r="D28" s="74">
        <f t="shared" si="3"/>
        <v>4.1754385964912281E-4</v>
      </c>
      <c r="E28">
        <f>COUNTIF(tables_443100!C:C,input_443100!A28)-COUNTIF(Q:Q,A28)</f>
        <v>28</v>
      </c>
      <c r="F28" s="43">
        <f t="shared" si="8"/>
        <v>1.4912280701754386E-5</v>
      </c>
      <c r="G28">
        <f t="shared" si="4"/>
        <v>43316</v>
      </c>
      <c r="H28">
        <f t="shared" si="5"/>
        <v>1547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8.6491228070175452E-3</v>
      </c>
      <c r="C29" s="85">
        <f t="shared" si="2"/>
        <v>3.3000000000000002E-2</v>
      </c>
      <c r="D29" s="74">
        <f t="shared" si="3"/>
        <v>-2.4350877192982456E-2</v>
      </c>
      <c r="E29">
        <f>COUNTIF(tables_443100!C:C,input_443100!A29)-COUNTIF(Q:Q,A29)</f>
        <v>29</v>
      </c>
      <c r="F29" s="43">
        <f t="shared" si="8"/>
        <v>2.9824561403508779E-4</v>
      </c>
      <c r="G29">
        <f t="shared" si="4"/>
        <v>897260.00000000012</v>
      </c>
      <c r="H29">
        <f t="shared" si="5"/>
        <v>30940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COUNTIF(tables_443100!C:C,input_443100!A30)-COUNTIF(Q:Q,A30)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COUNTIF(tables_443100!C:C,input_443100!A31)-COUNTIF(Q:Q,A31)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0.88199999999845757</v>
      </c>
      <c r="C32" s="41">
        <f>SUM(C19:C31)</f>
        <v>0.11800000000000001</v>
      </c>
      <c r="D32" s="42">
        <f t="shared" si="3"/>
        <v>0.76399999999845758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3.2912820512820518E-2</v>
      </c>
      <c r="F34" s="55">
        <f ca="1">0.45-G41</f>
        <v>-0.49999999999999994</v>
      </c>
    </row>
    <row r="35" spans="1:7" x14ac:dyDescent="0.15">
      <c r="A35" t="s">
        <v>73</v>
      </c>
      <c r="E35">
        <v>3.7250000001542341E-2</v>
      </c>
      <c r="F35">
        <f ca="1">G42-0.05</f>
        <v>-4.8198250945929999E-13</v>
      </c>
    </row>
    <row r="36" spans="1:7" x14ac:dyDescent="0.15">
      <c r="A36" s="31">
        <f>LCM(F5-I5,F6-I6)*1000*2*2*5</f>
        <v>103740000</v>
      </c>
      <c r="E36">
        <f>E35-0.028</f>
        <v>9.2500000015423404E-3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SUMIF(tables_443100!C:C,input_443100!A40,tables_443100!O:O)</f>
        <v>0</v>
      </c>
      <c r="C40" s="54">
        <f t="shared" ref="C40:C46" ca="1" si="9">B40/B$47</f>
        <v>0</v>
      </c>
      <c r="E40">
        <v>3</v>
      </c>
      <c r="F40">
        <f ca="1">SUMIF(tables_443100!J:J,input_443100!E40,tables_443100!O:O)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SUMIF(tables_443100!C:C,input_443100!A41,tables_443100!O:O)</f>
        <v>46638540</v>
      </c>
      <c r="C41" s="54">
        <f t="shared" ca="1" si="9"/>
        <v>0.97951442328355309</v>
      </c>
      <c r="E41">
        <v>4</v>
      </c>
      <c r="F41">
        <f ca="1">SUMIF(tables_443100!J:J,input_443100!E41,tables_443100!O:O)</f>
        <v>98553000</v>
      </c>
      <c r="G41">
        <f ca="1">F41/A36</f>
        <v>0.95</v>
      </c>
    </row>
    <row r="42" spans="1:7" x14ac:dyDescent="0.15">
      <c r="A42" s="33" t="s">
        <v>106</v>
      </c>
      <c r="B42">
        <f ca="1">SUMIF(tables_443100!C:C,input_443100!A42,tables_443100!O:O)</f>
        <v>823004</v>
      </c>
      <c r="C42" s="54">
        <f t="shared" ca="1" si="9"/>
        <v>1.7284938345412556E-2</v>
      </c>
      <c r="E42">
        <v>5</v>
      </c>
      <c r="F42">
        <f ca="1">SUMIF(tables_443100!J:J,input_443100!E42,tables_443100!O:O)</f>
        <v>5186999.9999499992</v>
      </c>
      <c r="G42">
        <f ca="1">F42/A36</f>
        <v>4.999999999951802E-2</v>
      </c>
    </row>
    <row r="43" spans="1:7" x14ac:dyDescent="0.15">
      <c r="A43" s="33" t="s">
        <v>109</v>
      </c>
      <c r="B43">
        <f>SUMIF(tables_443100!C:C,input_443100!A43,tables_443100!O:O)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SUMIF(tables_443100!C:C,input_443100!A44,tables_443100!O:O)</f>
        <v>109079.00015999986</v>
      </c>
      <c r="C44" s="54">
        <f t="shared" ca="1" si="9"/>
        <v>2.2909047739073491E-3</v>
      </c>
      <c r="E44" t="s">
        <v>54</v>
      </c>
      <c r="F44" s="55"/>
    </row>
    <row r="45" spans="1:7" x14ac:dyDescent="0.15">
      <c r="A45" s="33" t="s">
        <v>107</v>
      </c>
      <c r="B45">
        <f ca="1">SUMIF(tables_443100!C:C,input_443100!A45,tables_443100!O:O)</f>
        <v>43316</v>
      </c>
      <c r="C45" s="54">
        <f t="shared" ca="1" si="9"/>
        <v>9.0973359712697669E-4</v>
      </c>
      <c r="E45" t="s">
        <v>204</v>
      </c>
      <c r="F45" s="55">
        <f ca="1">SUMIF(tables_443100!I:I,input_443100!E45,tables_443100!P:P)</f>
        <v>0.24323150183104078</v>
      </c>
    </row>
    <row r="46" spans="1:7" x14ac:dyDescent="0.15">
      <c r="A46" s="33" t="s">
        <v>108</v>
      </c>
      <c r="B46">
        <f>SUMIF(tables_443100!C:C,input_443100!A46,tables_443100!O:O)</f>
        <v>0</v>
      </c>
      <c r="C46" s="54">
        <f t="shared" ca="1" si="9"/>
        <v>0</v>
      </c>
      <c r="E46" t="s">
        <v>205</v>
      </c>
      <c r="F46" s="55">
        <f ca="1">SUMIF(tables_443100!I:I,input_443100!E46,tables_443100!P:P)</f>
        <v>0.17583550648128798</v>
      </c>
    </row>
    <row r="47" spans="1:7" x14ac:dyDescent="0.15">
      <c r="A47" s="39" t="s">
        <v>59</v>
      </c>
      <c r="B47">
        <f ca="1">SUM(B40:B46)</f>
        <v>47613939.000160001</v>
      </c>
      <c r="C47" s="55">
        <f ca="1">SUM(C40:C46)</f>
        <v>1</v>
      </c>
      <c r="E47" t="s">
        <v>206</v>
      </c>
      <c r="F47" s="55">
        <f ca="1">SUMIF(tables_443100!I:I,input_443100!E47,tables_443100!P:P)</f>
        <v>0.53093299168764774</v>
      </c>
    </row>
    <row r="48" spans="1:7" x14ac:dyDescent="0.15">
      <c r="E48" t="s">
        <v>207</v>
      </c>
      <c r="F48" s="55">
        <f ca="1">SUMIF(tables_443100!I:I,input_443100!E48,tables_443100!P:P)</f>
        <v>3.9807017543878866E-2</v>
      </c>
    </row>
    <row r="49" spans="5:6" x14ac:dyDescent="0.15">
      <c r="E49" t="s">
        <v>255</v>
      </c>
      <c r="F49" s="55">
        <f ca="1">SUMIF(tables_443100!I:I,input_443100!E49,tables_443100!P:P)</f>
        <v>1.0192982456145271E-2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input_443100!A$2</f>
        <v>443100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IFERROR(VLOOKUP(B2,input_443100!L:R,7,FALSE),VLOOKUP(tables_443100!C2,input_443100!A:H,8,FALSE))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input_443100!A$2</f>
        <v>443100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IFERROR(VLOOKUP(B3,input_443100!L:R,7,FALSE),VLOOKUP(tables_443100!C3,input_443100!A:H,8,FALSE))</f>
        <v>1260558.8</v>
      </c>
      <c r="P3" s="46">
        <f t="shared" ca="1" si="1"/>
        <v>1.2151135531141399E-2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input_443100!A$2</f>
        <v>443100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IFERROR(VLOOKUP(B4,input_443100!L:R,7,FALSE),VLOOKUP(tables_443100!C4,input_443100!A:H,8,FALSE))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input_443100!A$2</f>
        <v>443100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IFERROR(VLOOKUP(B5,input_443100!L:R,7,FALSE),VLOOKUP(tables_443100!C5,input_443100!A:H,8,FALSE))</f>
        <v>1260558.8</v>
      </c>
      <c r="P5" s="46">
        <f t="shared" ca="1" si="1"/>
        <v>1.2151135531141399E-2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input_443100!A$2</f>
        <v>443100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IFERROR(VLOOKUP(B6,input_443100!L:R,7,FALSE),VLOOKUP(tables_443100!C6,input_443100!A:H,8,FALSE))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input_443100!A$2</f>
        <v>443100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IFERROR(VLOOKUP(B7,input_443100!L:R,7,FALSE),VLOOKUP(tables_443100!C7,input_443100!A:H,8,FALSE))</f>
        <v>1260558.8</v>
      </c>
      <c r="P7" s="46">
        <f t="shared" ca="1" si="1"/>
        <v>1.2151135531141399E-2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input_443100!A$2</f>
        <v>443100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IFERROR(VLOOKUP(B8,input_443100!L:R,7,FALSE),VLOOKUP(tables_443100!C8,input_443100!A:H,8,FALSE))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input_443100!A$2</f>
        <v>443100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IFERROR(VLOOKUP(B9,input_443100!L:R,7,FALSE),VLOOKUP(tables_443100!C9,input_443100!A:H,8,FALSE))</f>
        <v>1260558.8</v>
      </c>
      <c r="P9" s="46">
        <f t="shared" ca="1" si="1"/>
        <v>1.2151135531141399E-2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input_443100!A$2</f>
        <v>443100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IFERROR(VLOOKUP(B10,input_443100!L:R,7,FALSE),VLOOKUP(tables_443100!C10,input_443100!A:H,8,FALSE))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input_443100!A$2</f>
        <v>443100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IFERROR(VLOOKUP(B11,input_443100!L:R,7,FALSE),VLOOKUP(tables_443100!C11,input_443100!A:H,8,FALSE))</f>
        <v>1260558.8</v>
      </c>
      <c r="P11" s="46">
        <f t="shared" ca="1" si="1"/>
        <v>1.2151135531141399E-2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input_443100!A$2</f>
        <v>443100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IFERROR(VLOOKUP(B12,input_443100!L:R,7,FALSE),VLOOKUP(tables_443100!C12,input_443100!A:H,8,FALSE))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input_443100!A$2</f>
        <v>443100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IFERROR(VLOOKUP(B13,input_443100!L:R,7,FALSE),VLOOKUP(tables_443100!C13,input_443100!A:H,8,FALSE))</f>
        <v>1260558.8</v>
      </c>
      <c r="P13" s="46">
        <f t="shared" ca="1" si="1"/>
        <v>1.2151135531141399E-2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input_443100!A$2</f>
        <v>443100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IFERROR(VLOOKUP(B14,input_443100!L:R,7,FALSE),VLOOKUP(tables_443100!C14,input_443100!A:H,8,FALSE))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input_443100!A$2</f>
        <v>443100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IFERROR(VLOOKUP(B15,input_443100!L:R,7,FALSE),VLOOKUP(tables_443100!C15,input_443100!A:H,8,FALSE))</f>
        <v>1260558.8</v>
      </c>
      <c r="P15" s="46">
        <f t="shared" ca="1" si="1"/>
        <v>1.2151135531141399E-2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input_443100!A$2</f>
        <v>443100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IFERROR(VLOOKUP(B16,input_443100!L:R,7,FALSE),VLOOKUP(tables_443100!C16,input_443100!A:H,8,FALSE))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input_443100!A$2</f>
        <v>443100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IFERROR(VLOOKUP(B17,input_443100!L:R,7,FALSE),VLOOKUP(tables_443100!C17,input_443100!A:H,8,FALSE))</f>
        <v>1260558.8</v>
      </c>
      <c r="P17" s="46">
        <f t="shared" ca="1" si="1"/>
        <v>1.2151135531141399E-2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input_443100!A$2</f>
        <v>443100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IFERROR(VLOOKUP(B18,input_443100!L:R,7,FALSE),VLOOKUP(tables_443100!C18,input_443100!A:H,8,FALSE))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input_443100!A$2</f>
        <v>443100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IFERROR(VLOOKUP(B19,input_443100!L:R,7,FALSE),VLOOKUP(tables_443100!C19,input_443100!A:H,8,FALSE))</f>
        <v>1260558.8</v>
      </c>
      <c r="P19" s="46">
        <f t="shared" ca="1" si="1"/>
        <v>1.2151135531141399E-2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input_443100!A$2</f>
        <v>443100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IFERROR(VLOOKUP(B20,input_443100!L:R,7,FALSE),VLOOKUP(tables_443100!C20,input_443100!A:H,8,FALSE))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input_443100!A$2</f>
        <v>443100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IFERROR(VLOOKUP(B21,input_443100!L:R,7,FALSE),VLOOKUP(tables_443100!C21,input_443100!A:H,8,FALSE))</f>
        <v>1260558.8</v>
      </c>
      <c r="P21" s="46">
        <f t="shared" ca="1" si="1"/>
        <v>1.2151135531141399E-2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input_443100!A$2</f>
        <v>443100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IFERROR(VLOOKUP(B22,input_443100!L:R,7,FALSE),VLOOKUP(tables_443100!C22,input_443100!A:H,8,FALSE))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input_443100!A$2</f>
        <v>443100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IFERROR(VLOOKUP(B23,input_443100!L:R,7,FALSE),VLOOKUP(tables_443100!C23,input_443100!A:H,8,FALSE))</f>
        <v>1260558.8</v>
      </c>
      <c r="P23" s="46">
        <f t="shared" ca="1" si="1"/>
        <v>1.2151135531141399E-2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input_443100!A$2</f>
        <v>443100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IFERROR(VLOOKUP(B24,input_443100!L:R,7,FALSE),VLOOKUP(tables_443100!C24,input_443100!A:H,8,FALSE))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input_443100!A$2</f>
        <v>443100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IFERROR(VLOOKUP(B25,input_443100!L:R,7,FALSE),VLOOKUP(tables_443100!C25,input_443100!A:H,8,FALSE))</f>
        <v>1260558.8</v>
      </c>
      <c r="P25" s="46">
        <f t="shared" ca="1" si="1"/>
        <v>1.2151135531141399E-2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input_443100!A$2</f>
        <v>443100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IFERROR(VLOOKUP(B26,input_443100!L:R,7,FALSE),VLOOKUP(tables_443100!C26,input_443100!A:H,8,FALSE))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input_443100!A$2</f>
        <v>443100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IFERROR(VLOOKUP(B27,input_443100!L:R,7,FALSE),VLOOKUP(tables_443100!C27,input_443100!A:H,8,FALSE))</f>
        <v>1260558.8</v>
      </c>
      <c r="P27" s="46">
        <f t="shared" ca="1" si="1"/>
        <v>1.2151135531141399E-2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input_443100!A$2</f>
        <v>443100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IFERROR(VLOOKUP(B28,input_443100!L:R,7,FALSE),VLOOKUP(tables_443100!C28,input_443100!A:H,8,FALSE))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input_443100!A$2</f>
        <v>443100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IFERROR(VLOOKUP(B29,input_443100!L:R,7,FALSE),VLOOKUP(tables_443100!C29,input_443100!A:H,8,FALSE))</f>
        <v>1260558.8</v>
      </c>
      <c r="P29" s="46">
        <f t="shared" ca="1" si="1"/>
        <v>1.2151135531141399E-2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input_443100!A$2</f>
        <v>443100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IFERROR(VLOOKUP(B30,input_443100!L:R,7,FALSE),VLOOKUP(tables_443100!C30,input_443100!A:H,8,FALSE))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input_443100!A$2</f>
        <v>443100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IFERROR(VLOOKUP(B31,input_443100!L:R,7,FALSE),VLOOKUP(tables_443100!C31,input_443100!A:H,8,FALSE))</f>
        <v>1260558.8</v>
      </c>
      <c r="P31" s="46">
        <f t="shared" ca="1" si="1"/>
        <v>1.2151135531141399E-2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input_443100!A$2</f>
        <v>443100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IFERROR(VLOOKUP(B32,input_443100!L:R,7,FALSE),VLOOKUP(tables_443100!C32,input_443100!A:H,8,FALSE))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input_443100!A$2</f>
        <v>443100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IFERROR(VLOOKUP(B33,input_443100!L:R,7,FALSE),VLOOKUP(tables_443100!C33,input_443100!A:H,8,FALSE))</f>
        <v>1260558.8</v>
      </c>
      <c r="P33" s="46">
        <f t="shared" ca="1" si="1"/>
        <v>1.2151135531141399E-2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input_443100!A$2</f>
        <v>443100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IFERROR(VLOOKUP(B34,input_443100!L:R,7,FALSE),VLOOKUP(tables_443100!C34,input_443100!A:H,8,FALSE))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input_443100!A$2</f>
        <v>443100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IFERROR(VLOOKUP(B35,input_443100!L:R,7,FALSE),VLOOKUP(tables_443100!C35,input_443100!A:H,8,FALSE))</f>
        <v>1260558.8</v>
      </c>
      <c r="P35" s="46">
        <f t="shared" ca="1" si="1"/>
        <v>1.2151135531141399E-2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input_443100!A$2</f>
        <v>443100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IFERROR(VLOOKUP(B36,input_443100!L:R,7,FALSE),VLOOKUP(tables_443100!C36,input_443100!A:H,8,FALSE))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input_443100!A$2</f>
        <v>443100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IFERROR(VLOOKUP(B37,input_443100!L:R,7,FALSE),VLOOKUP(tables_443100!C37,input_443100!A:H,8,FALSE))</f>
        <v>1260558.8</v>
      </c>
      <c r="P37" s="46">
        <f t="shared" ca="1" si="1"/>
        <v>1.2151135531141399E-2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input_443100!A$2</f>
        <v>443100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IFERROR(VLOOKUP(B38,input_443100!L:R,7,FALSE),VLOOKUP(tables_443100!C38,input_443100!A:H,8,FALSE))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input_443100!A$2</f>
        <v>443100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IFERROR(VLOOKUP(B39,input_443100!L:R,7,FALSE),VLOOKUP(tables_443100!C39,input_443100!A:H,8,FALSE))</f>
        <v>1260558.8</v>
      </c>
      <c r="P39" s="46">
        <f t="shared" ca="1" si="1"/>
        <v>1.2151135531141399E-2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input_443100!A$2</f>
        <v>443100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IFERROR(VLOOKUP(B40,input_443100!L:R,7,FALSE),VLOOKUP(tables_443100!C40,input_443100!A:H,8,FALSE))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input_443100!A$2</f>
        <v>443100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IFERROR(VLOOKUP(B41,input_443100!L:R,7,FALSE),VLOOKUP(tables_443100!C41,input_443100!A:H,8,FALSE))</f>
        <v>1260558.8</v>
      </c>
      <c r="P41" s="46">
        <f t="shared" ca="1" si="1"/>
        <v>1.2151135531141399E-2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input_443100!A$2</f>
        <v>443100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IFERROR(VLOOKUP(B42,input_443100!L:R,7,FALSE),VLOOKUP(tables_443100!C42,input_443100!A:H,8,FALSE))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input_443100!A$2</f>
        <v>443100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IFERROR(VLOOKUP(B43,input_443100!L:R,7,FALSE),VLOOKUP(tables_443100!C43,input_443100!A:H,8,FALSE))</f>
        <v>936795</v>
      </c>
      <c r="P43" s="46">
        <f t="shared" ca="1" si="1"/>
        <v>9.0302197802241396E-3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input_443100!A$2</f>
        <v>443100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IFERROR(VLOOKUP(B44,input_443100!L:R,7,FALSE),VLOOKUP(tables_443100!C44,input_443100!A:H,8,FALSE))</f>
        <v>49305</v>
      </c>
      <c r="P44" s="46">
        <f t="shared" ca="1" si="1"/>
        <v>4.7527472527495471E-4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input_443100!A$2</f>
        <v>443100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IFERROR(VLOOKUP(B45,input_443100!L:R,7,FALSE),VLOOKUP(tables_443100!C45,input_443100!A:H,8,FALSE))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input_443100!A$2</f>
        <v>443100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IFERROR(VLOOKUP(B46,input_443100!L:R,7,FALSE),VLOOKUP(tables_443100!C46,input_443100!A:H,8,FALSE))</f>
        <v>936795</v>
      </c>
      <c r="P46" s="46">
        <f t="shared" ca="1" si="1"/>
        <v>9.0302197802241396E-3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input_443100!A$2</f>
        <v>443100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IFERROR(VLOOKUP(B47,input_443100!L:R,7,FALSE),VLOOKUP(tables_443100!C47,input_443100!A:H,8,FALSE))</f>
        <v>49305</v>
      </c>
      <c r="P47" s="46">
        <f t="shared" ca="1" si="1"/>
        <v>4.7527472527495471E-4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input_443100!A$2</f>
        <v>443100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IFERROR(VLOOKUP(B48,input_443100!L:R,7,FALSE),VLOOKUP(tables_443100!C48,input_443100!A:H,8,FALSE))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input_443100!A$2</f>
        <v>443100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IFERROR(VLOOKUP(B49,input_443100!L:R,7,FALSE),VLOOKUP(tables_443100!C49,input_443100!A:H,8,FALSE))</f>
        <v>936795</v>
      </c>
      <c r="P49" s="46">
        <f t="shared" ca="1" si="1"/>
        <v>9.0302197802241396E-3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input_443100!A$2</f>
        <v>443100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IFERROR(VLOOKUP(B50,input_443100!L:R,7,FALSE),VLOOKUP(tables_443100!C50,input_443100!A:H,8,FALSE))</f>
        <v>49305</v>
      </c>
      <c r="P50" s="46">
        <f t="shared" ca="1" si="1"/>
        <v>4.7527472527495471E-4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input_443100!A$2</f>
        <v>443100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IFERROR(VLOOKUP(B51,input_443100!L:R,7,FALSE),VLOOKUP(tables_443100!C51,input_443100!A:H,8,FALSE))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input_443100!A$2</f>
        <v>443100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IFERROR(VLOOKUP(B52,input_443100!L:R,7,FALSE),VLOOKUP(tables_443100!C52,input_443100!A:H,8,FALSE))</f>
        <v>896895</v>
      </c>
      <c r="P52" s="46">
        <f t="shared" ca="1" si="1"/>
        <v>8.6456043956085697E-3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input_443100!A$2</f>
        <v>443100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IFERROR(VLOOKUP(B53,input_443100!L:R,7,FALSE),VLOOKUP(tables_443100!C53,input_443100!A:H,8,FALSE))</f>
        <v>2097.67308</v>
      </c>
      <c r="P53" s="46">
        <f t="shared" ca="1" si="1"/>
        <v>2.0220484673231277E-5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input_443100!A$2</f>
        <v>443100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IFERROR(VLOOKUP(B54,input_443100!L:R,7,FALSE),VLOOKUP(tables_443100!C54,input_443100!A:H,8,FALSE))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input_443100!A$2</f>
        <v>443100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IFERROR(VLOOKUP(B55,input_443100!L:R,7,FALSE),VLOOKUP(tables_443100!C55,input_443100!A:H,8,FALSE))</f>
        <v>896895</v>
      </c>
      <c r="P55" s="46">
        <f t="shared" ca="1" si="1"/>
        <v>8.6456043956085697E-3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input_443100!A$2</f>
        <v>443100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IFERROR(VLOOKUP(B56,input_443100!L:R,7,FALSE),VLOOKUP(tables_443100!C56,input_443100!A:H,8,FALSE))</f>
        <v>2097.67308</v>
      </c>
      <c r="P56" s="46">
        <f t="shared" ca="1" si="1"/>
        <v>2.0220484673231277E-5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input_443100!A$2</f>
        <v>443100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IFERROR(VLOOKUP(B57,input_443100!L:R,7,FALSE),VLOOKUP(tables_443100!C57,input_443100!A:H,8,FALSE))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input_443100!A$2</f>
        <v>443100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IFERROR(VLOOKUP(B58,input_443100!L:R,7,FALSE),VLOOKUP(tables_443100!C58,input_443100!A:H,8,FALSE))</f>
        <v>896895</v>
      </c>
      <c r="P58" s="46">
        <f t="shared" ca="1" si="1"/>
        <v>8.6456043956085697E-3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input_443100!A$2</f>
        <v>443100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IFERROR(VLOOKUP(B59,input_443100!L:R,7,FALSE),VLOOKUP(tables_443100!C59,input_443100!A:H,8,FALSE))</f>
        <v>2097.67308</v>
      </c>
      <c r="P59" s="46">
        <f t="shared" ca="1" si="1"/>
        <v>2.0220484673231277E-5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input_443100!A$2</f>
        <v>443100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IFERROR(VLOOKUP(B60,input_443100!L:R,7,FALSE),VLOOKUP(tables_443100!C60,input_443100!A:H,8,FALSE))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input_443100!A$2</f>
        <v>443100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IFERROR(VLOOKUP(B61,input_443100!L:R,7,FALSE),VLOOKUP(tables_443100!C61,input_443100!A:H,8,FALSE))</f>
        <v>896895</v>
      </c>
      <c r="P61" s="46">
        <f t="shared" ca="1" si="1"/>
        <v>8.6456043956085697E-3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input_443100!A$2</f>
        <v>443100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IFERROR(VLOOKUP(B62,input_443100!L:R,7,FALSE),VLOOKUP(tables_443100!C62,input_443100!A:H,8,FALSE))</f>
        <v>2097.67308</v>
      </c>
      <c r="P62" s="46">
        <f t="shared" ca="1" si="1"/>
        <v>2.0220484673231277E-5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input_443100!A$2</f>
        <v>443100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IFERROR(VLOOKUP(B63,input_443100!L:R,7,FALSE),VLOOKUP(tables_443100!C63,input_443100!A:H,8,FALSE))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input_443100!A$2</f>
        <v>443100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IFERROR(VLOOKUP(B64,input_443100!L:R,7,FALSE),VLOOKUP(tables_443100!C64,input_443100!A:H,8,FALSE))</f>
        <v>896895</v>
      </c>
      <c r="P64" s="46">
        <f t="shared" ca="1" si="1"/>
        <v>8.6456043956085697E-3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input_443100!A$2</f>
        <v>443100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IFERROR(VLOOKUP(B65,input_443100!L:R,7,FALSE),VLOOKUP(tables_443100!C65,input_443100!A:H,8,FALSE))</f>
        <v>2097.67308</v>
      </c>
      <c r="P65" s="46">
        <f t="shared" ca="1" si="1"/>
        <v>2.0220484673231277E-5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input_443100!A$2</f>
        <v>443100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IFERROR(VLOOKUP(B66,input_443100!L:R,7,FALSE),VLOOKUP(tables_443100!C66,input_443100!A:H,8,FALSE))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input_443100!A$2</f>
        <v>443100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IFERROR(VLOOKUP(B67,input_443100!L:R,7,FALSE),VLOOKUP(tables_443100!C67,input_443100!A:H,8,FALSE))</f>
        <v>896895</v>
      </c>
      <c r="P67" s="46">
        <f t="shared" ca="1" si="4"/>
        <v>8.6456043956085697E-3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input_443100!A$2</f>
        <v>443100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IFERROR(VLOOKUP(B68,input_443100!L:R,7,FALSE),VLOOKUP(tables_443100!C68,input_443100!A:H,8,FALSE))</f>
        <v>2097.67308</v>
      </c>
      <c r="P68" s="46">
        <f t="shared" ca="1" si="4"/>
        <v>2.0220484673231277E-5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input_443100!A$2</f>
        <v>443100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IFERROR(VLOOKUP(B69,input_443100!L:R,7,FALSE),VLOOKUP(tables_443100!C69,input_443100!A:H,8,FALSE))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input_443100!A$2</f>
        <v>443100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IFERROR(VLOOKUP(B70,input_443100!L:R,7,FALSE),VLOOKUP(tables_443100!C70,input_443100!A:H,8,FALSE))</f>
        <v>896895</v>
      </c>
      <c r="P70" s="46">
        <f t="shared" ca="1" si="4"/>
        <v>8.6456043956085697E-3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input_443100!A$2</f>
        <v>443100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IFERROR(VLOOKUP(B71,input_443100!L:R,7,FALSE),VLOOKUP(tables_443100!C71,input_443100!A:H,8,FALSE))</f>
        <v>2097.67308</v>
      </c>
      <c r="P71" s="46">
        <f t="shared" ca="1" si="4"/>
        <v>2.0220484673231277E-5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input_443100!A$2</f>
        <v>443100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IFERROR(VLOOKUP(B72,input_443100!L:R,7,FALSE),VLOOKUP(tables_443100!C72,input_443100!A:H,8,FALSE))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input_443100!A$2</f>
        <v>443100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IFERROR(VLOOKUP(B73,input_443100!L:R,7,FALSE),VLOOKUP(tables_443100!C73,input_443100!A:H,8,FALSE))</f>
        <v>896895</v>
      </c>
      <c r="P73" s="46">
        <f t="shared" ca="1" si="4"/>
        <v>8.6456043956085697E-3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input_443100!A$2</f>
        <v>443100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IFERROR(VLOOKUP(B74,input_443100!L:R,7,FALSE),VLOOKUP(tables_443100!C74,input_443100!A:H,8,FALSE))</f>
        <v>2097.67308</v>
      </c>
      <c r="P74" s="46">
        <f t="shared" ca="1" si="4"/>
        <v>2.0220484673231277E-5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input_443100!A$2</f>
        <v>443100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IFERROR(VLOOKUP(B75,input_443100!L:R,7,FALSE),VLOOKUP(tables_443100!C75,input_443100!A:H,8,FALSE))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input_443100!A$2</f>
        <v>443100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IFERROR(VLOOKUP(B76,input_443100!L:R,7,FALSE),VLOOKUP(tables_443100!C76,input_443100!A:H,8,FALSE))</f>
        <v>896895</v>
      </c>
      <c r="P76" s="46">
        <f t="shared" ca="1" si="4"/>
        <v>8.6456043956085697E-3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input_443100!A$2</f>
        <v>443100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IFERROR(VLOOKUP(B77,input_443100!L:R,7,FALSE),VLOOKUP(tables_443100!C77,input_443100!A:H,8,FALSE))</f>
        <v>2097.67308</v>
      </c>
      <c r="P77" s="46">
        <f t="shared" ca="1" si="4"/>
        <v>2.0220484673231277E-5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input_443100!A$2</f>
        <v>443100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IFERROR(VLOOKUP(B78,input_443100!L:R,7,FALSE),VLOOKUP(tables_443100!C78,input_443100!A:H,8,FALSE))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input_443100!A$2</f>
        <v>443100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IFERROR(VLOOKUP(B79,input_443100!L:R,7,FALSE),VLOOKUP(tables_443100!C79,input_443100!A:H,8,FALSE))</f>
        <v>896895</v>
      </c>
      <c r="P79" s="46">
        <f t="shared" ca="1" si="4"/>
        <v>8.6456043956085697E-3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input_443100!A$2</f>
        <v>443100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IFERROR(VLOOKUP(B80,input_443100!L:R,7,FALSE),VLOOKUP(tables_443100!C80,input_443100!A:H,8,FALSE))</f>
        <v>2097.67308</v>
      </c>
      <c r="P80" s="46">
        <f t="shared" ca="1" si="4"/>
        <v>2.0220484673231277E-5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input_443100!A$2</f>
        <v>443100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IFERROR(VLOOKUP(B81,input_443100!L:R,7,FALSE),VLOOKUP(tables_443100!C81,input_443100!A:H,8,FALSE))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input_443100!A$2</f>
        <v>443100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IFERROR(VLOOKUP(B82,input_443100!L:R,7,FALSE),VLOOKUP(tables_443100!C82,input_443100!A:H,8,FALSE))</f>
        <v>896895</v>
      </c>
      <c r="P82" s="46">
        <f t="shared" ca="1" si="4"/>
        <v>8.6456043956085697E-3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input_443100!A$2</f>
        <v>443100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IFERROR(VLOOKUP(B83,input_443100!L:R,7,FALSE),VLOOKUP(tables_443100!C83,input_443100!A:H,8,FALSE))</f>
        <v>2097.67308</v>
      </c>
      <c r="P83" s="46">
        <f t="shared" ca="1" si="4"/>
        <v>2.0220484673231277E-5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input_443100!A$2</f>
        <v>443100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IFERROR(VLOOKUP(B84,input_443100!L:R,7,FALSE),VLOOKUP(tables_443100!C84,input_443100!A:H,8,FALSE))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input_443100!A$2</f>
        <v>443100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IFERROR(VLOOKUP(B85,input_443100!L:R,7,FALSE),VLOOKUP(tables_443100!C85,input_443100!A:H,8,FALSE))</f>
        <v>896895</v>
      </c>
      <c r="P85" s="46">
        <f t="shared" ca="1" si="4"/>
        <v>8.6456043956085697E-3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input_443100!A$2</f>
        <v>443100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IFERROR(VLOOKUP(B86,input_443100!L:R,7,FALSE),VLOOKUP(tables_443100!C86,input_443100!A:H,8,FALSE))</f>
        <v>2097.67308</v>
      </c>
      <c r="P86" s="46">
        <f t="shared" ca="1" si="4"/>
        <v>2.0220484673231277E-5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input_443100!A$2</f>
        <v>443100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IFERROR(VLOOKUP(B87,input_443100!L:R,7,FALSE),VLOOKUP(tables_443100!C87,input_443100!A:H,8,FALSE))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input_443100!A$2</f>
        <v>443100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IFERROR(VLOOKUP(B88,input_443100!L:R,7,FALSE),VLOOKUP(tables_443100!C88,input_443100!A:H,8,FALSE))</f>
        <v>896895</v>
      </c>
      <c r="P88" s="46">
        <f t="shared" ca="1" si="4"/>
        <v>8.6456043956085697E-3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input_443100!A$2</f>
        <v>443100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IFERROR(VLOOKUP(B89,input_443100!L:R,7,FALSE),VLOOKUP(tables_443100!C89,input_443100!A:H,8,FALSE))</f>
        <v>2097.67308</v>
      </c>
      <c r="P89" s="46">
        <f t="shared" ca="1" si="4"/>
        <v>2.0220484673231277E-5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input_443100!A$2</f>
        <v>443100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IFERROR(VLOOKUP(B90,input_443100!L:R,7,FALSE),VLOOKUP(tables_443100!C90,input_443100!A:H,8,FALSE))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input_443100!A$2</f>
        <v>443100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IFERROR(VLOOKUP(B91,input_443100!L:R,7,FALSE),VLOOKUP(tables_443100!C91,input_443100!A:H,8,FALSE))</f>
        <v>896895</v>
      </c>
      <c r="P91" s="46">
        <f t="shared" ca="1" si="4"/>
        <v>8.6456043956085697E-3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input_443100!A$2</f>
        <v>443100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IFERROR(VLOOKUP(B92,input_443100!L:R,7,FALSE),VLOOKUP(tables_443100!C92,input_443100!A:H,8,FALSE))</f>
        <v>2097.67308</v>
      </c>
      <c r="P92" s="46">
        <f t="shared" ca="1" si="4"/>
        <v>2.0220484673231277E-5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input_443100!A$2</f>
        <v>443100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IFERROR(VLOOKUP(B93,input_443100!L:R,7,FALSE),VLOOKUP(tables_443100!C93,input_443100!A:H,8,FALSE))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input_443100!A$2</f>
        <v>443100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IFERROR(VLOOKUP(B94,input_443100!L:R,7,FALSE),VLOOKUP(tables_443100!C94,input_443100!A:H,8,FALSE))</f>
        <v>896895</v>
      </c>
      <c r="P94" s="46">
        <f t="shared" ca="1" si="4"/>
        <v>8.6456043956085697E-3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input_443100!A$2</f>
        <v>443100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IFERROR(VLOOKUP(B95,input_443100!L:R,7,FALSE),VLOOKUP(tables_443100!C95,input_443100!A:H,8,FALSE))</f>
        <v>2097.67308</v>
      </c>
      <c r="P95" s="46">
        <f t="shared" ca="1" si="4"/>
        <v>2.0220484673231277E-5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input_443100!A$2</f>
        <v>443100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IFERROR(VLOOKUP(B96,input_443100!L:R,7,FALSE),VLOOKUP(tables_443100!C96,input_443100!A:H,8,FALSE))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input_443100!A$2</f>
        <v>443100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IFERROR(VLOOKUP(B97,input_443100!L:R,7,FALSE),VLOOKUP(tables_443100!C97,input_443100!A:H,8,FALSE))</f>
        <v>896895</v>
      </c>
      <c r="P97" s="46">
        <f t="shared" ca="1" si="4"/>
        <v>8.6456043956085697E-3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input_443100!A$2</f>
        <v>443100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IFERROR(VLOOKUP(B98,input_443100!L:R,7,FALSE),VLOOKUP(tables_443100!C98,input_443100!A:H,8,FALSE))</f>
        <v>2097.67308</v>
      </c>
      <c r="P98" s="46">
        <f t="shared" ca="1" si="4"/>
        <v>2.0220484673231277E-5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input_443100!A$2</f>
        <v>443100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IFERROR(VLOOKUP(B99,input_443100!L:R,7,FALSE),VLOOKUP(tables_443100!C99,input_443100!A:H,8,FALSE))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input_443100!A$2</f>
        <v>443100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IFERROR(VLOOKUP(B100,input_443100!L:R,7,FALSE),VLOOKUP(tables_443100!C100,input_443100!A:H,8,FALSE))</f>
        <v>896895</v>
      </c>
      <c r="P100" s="46">
        <f t="shared" ca="1" si="4"/>
        <v>8.6456043956085697E-3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input_443100!A$2</f>
        <v>443100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IFERROR(VLOOKUP(B101,input_443100!L:R,7,FALSE),VLOOKUP(tables_443100!C101,input_443100!A:H,8,FALSE))</f>
        <v>2097.67308</v>
      </c>
      <c r="P101" s="46">
        <f t="shared" ca="1" si="4"/>
        <v>2.0220484673231277E-5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input_443100!A$2</f>
        <v>443100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IFERROR(VLOOKUP(B102,input_443100!L:R,7,FALSE),VLOOKUP(tables_443100!C102,input_443100!A:H,8,FALSE))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input_443100!A$2</f>
        <v>443100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IFERROR(VLOOKUP(B103,input_443100!L:R,7,FALSE),VLOOKUP(tables_443100!C103,input_443100!A:H,8,FALSE))</f>
        <v>896895</v>
      </c>
      <c r="P103" s="46">
        <f t="shared" ca="1" si="4"/>
        <v>8.6456043956085697E-3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input_443100!A$2</f>
        <v>443100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IFERROR(VLOOKUP(B104,input_443100!L:R,7,FALSE),VLOOKUP(tables_443100!C104,input_443100!A:H,8,FALSE))</f>
        <v>2097.67308</v>
      </c>
      <c r="P104" s="46">
        <f t="shared" ca="1" si="4"/>
        <v>2.0220484673231277E-5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input_443100!A$2</f>
        <v>443100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IFERROR(VLOOKUP(B105,input_443100!L:R,7,FALSE),VLOOKUP(tables_443100!C105,input_443100!A:H,8,FALSE))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input_443100!A$2</f>
        <v>443100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IFERROR(VLOOKUP(B106,input_443100!L:R,7,FALSE),VLOOKUP(tables_443100!C106,input_443100!A:H,8,FALSE))</f>
        <v>896895</v>
      </c>
      <c r="P106" s="46">
        <f t="shared" ca="1" si="4"/>
        <v>8.6456043956085697E-3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input_443100!A$2</f>
        <v>443100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IFERROR(VLOOKUP(B107,input_443100!L:R,7,FALSE),VLOOKUP(tables_443100!C107,input_443100!A:H,8,FALSE))</f>
        <v>2097.67308</v>
      </c>
      <c r="P107" s="46">
        <f t="shared" ca="1" si="4"/>
        <v>2.0220484673231277E-5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input_443100!A$2</f>
        <v>443100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IFERROR(VLOOKUP(B108,input_443100!L:R,7,FALSE),VLOOKUP(tables_443100!C108,input_443100!A:H,8,FALSE))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input_443100!A$2</f>
        <v>443100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IFERROR(VLOOKUP(B109,input_443100!L:R,7,FALSE),VLOOKUP(tables_443100!C109,input_443100!A:H,8,FALSE))</f>
        <v>896895</v>
      </c>
      <c r="P109" s="46">
        <f t="shared" ca="1" si="4"/>
        <v>8.6456043956085697E-3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input_443100!A$2</f>
        <v>443100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IFERROR(VLOOKUP(B110,input_443100!L:R,7,FALSE),VLOOKUP(tables_443100!C110,input_443100!A:H,8,FALSE))</f>
        <v>2097.67308</v>
      </c>
      <c r="P110" s="46">
        <f t="shared" ca="1" si="4"/>
        <v>2.0220484673231277E-5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input_443100!A$2</f>
        <v>443100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IFERROR(VLOOKUP(B111,input_443100!L:R,7,FALSE),VLOOKUP(tables_443100!C111,input_443100!A:H,8,FALSE))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input_443100!A$2</f>
        <v>443100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IFERROR(VLOOKUP(B112,input_443100!L:R,7,FALSE),VLOOKUP(tables_443100!C112,input_443100!A:H,8,FALSE))</f>
        <v>936795</v>
      </c>
      <c r="P112" s="46">
        <f t="shared" ca="1" si="4"/>
        <v>9.0302197802241396E-3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input_443100!A$2</f>
        <v>443100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IFERROR(VLOOKUP(B113,input_443100!L:R,7,FALSE),VLOOKUP(tables_443100!C113,input_443100!A:H,8,FALSE))</f>
        <v>49305</v>
      </c>
      <c r="P113" s="46">
        <f t="shared" ca="1" si="4"/>
        <v>4.7527472527495471E-4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input_443100!A$2</f>
        <v>443100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IFERROR(VLOOKUP(B114,input_443100!L:R,7,FALSE),VLOOKUP(tables_443100!C114,input_443100!A:H,8,FALSE))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input_443100!A$2</f>
        <v>443100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IFERROR(VLOOKUP(B115,input_443100!L:R,7,FALSE),VLOOKUP(tables_443100!C115,input_443100!A:H,8,FALSE))</f>
        <v>896895</v>
      </c>
      <c r="P115" s="46">
        <f t="shared" ca="1" si="4"/>
        <v>8.6456043956085697E-3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input_443100!A$2</f>
        <v>443100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IFERROR(VLOOKUP(B116,input_443100!L:R,7,FALSE),VLOOKUP(tables_443100!C116,input_443100!A:H,8,FALSE))</f>
        <v>2097.67308</v>
      </c>
      <c r="P116" s="46">
        <f t="shared" ca="1" si="4"/>
        <v>2.0220484673231277E-5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input_443100!A$2</f>
        <v>443100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IFERROR(VLOOKUP(B117,input_443100!L:R,7,FALSE),VLOOKUP(tables_443100!C117,input_443100!A:H,8,FALSE))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input_443100!A$2</f>
        <v>443100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IFERROR(VLOOKUP(B118,input_443100!L:R,7,FALSE),VLOOKUP(tables_443100!C118,input_443100!A:H,8,FALSE))</f>
        <v>896895</v>
      </c>
      <c r="P118" s="46">
        <f t="shared" ca="1" si="4"/>
        <v>8.6456043956085697E-3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input_443100!A$2</f>
        <v>443100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IFERROR(VLOOKUP(B119,input_443100!L:R,7,FALSE),VLOOKUP(tables_443100!C119,input_443100!A:H,8,FALSE))</f>
        <v>2097.67308</v>
      </c>
      <c r="P119" s="46">
        <f t="shared" ca="1" si="4"/>
        <v>2.0220484673231277E-5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input_443100!A$2</f>
        <v>443100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IFERROR(VLOOKUP(B120,input_443100!L:R,7,FALSE),VLOOKUP(tables_443100!C120,input_443100!A:H,8,FALSE))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input_443100!A$2</f>
        <v>443100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IFERROR(VLOOKUP(B121,input_443100!L:R,7,FALSE),VLOOKUP(tables_443100!C121,input_443100!A:H,8,FALSE))</f>
        <v>896895</v>
      </c>
      <c r="P121" s="46">
        <f t="shared" ca="1" si="4"/>
        <v>8.6456043956085697E-3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input_443100!A$2</f>
        <v>443100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IFERROR(VLOOKUP(B122,input_443100!L:R,7,FALSE),VLOOKUP(tables_443100!C122,input_443100!A:H,8,FALSE))</f>
        <v>2097.67308</v>
      </c>
      <c r="P122" s="46">
        <f t="shared" ca="1" si="4"/>
        <v>2.0220484673231277E-5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input_443100!A$2</f>
        <v>443100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IFERROR(VLOOKUP(B123,input_443100!L:R,7,FALSE),VLOOKUP(tables_443100!C123,input_443100!A:H,8,FALSE))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input_443100!A$2</f>
        <v>443100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IFERROR(VLOOKUP(B124,input_443100!L:R,7,FALSE),VLOOKUP(tables_443100!C124,input_443100!A:H,8,FALSE))</f>
        <v>896895</v>
      </c>
      <c r="P124" s="46">
        <f t="shared" ca="1" si="4"/>
        <v>8.6456043956085697E-3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input_443100!A$2</f>
        <v>443100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IFERROR(VLOOKUP(B125,input_443100!L:R,7,FALSE),VLOOKUP(tables_443100!C125,input_443100!A:H,8,FALSE))</f>
        <v>2097.67308</v>
      </c>
      <c r="P125" s="46">
        <f t="shared" ca="1" si="4"/>
        <v>2.0220484673231277E-5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input_443100!A$2</f>
        <v>443100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IFERROR(VLOOKUP(B126,input_443100!L:R,7,FALSE),VLOOKUP(tables_443100!C126,input_443100!A:H,8,FALSE))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input_443100!A$2</f>
        <v>443100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IFERROR(VLOOKUP(B127,input_443100!L:R,7,FALSE),VLOOKUP(tables_443100!C127,input_443100!A:H,8,FALSE))</f>
        <v>896895</v>
      </c>
      <c r="P127" s="46">
        <f t="shared" ca="1" si="4"/>
        <v>8.6456043956085697E-3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input_443100!A$2</f>
        <v>443100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IFERROR(VLOOKUP(B128,input_443100!L:R,7,FALSE),VLOOKUP(tables_443100!C128,input_443100!A:H,8,FALSE))</f>
        <v>2097.67308</v>
      </c>
      <c r="P128" s="46">
        <f t="shared" ca="1" si="4"/>
        <v>2.0220484673231277E-5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input_443100!A$2</f>
        <v>443100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IFERROR(VLOOKUP(B129,input_443100!L:R,7,FALSE),VLOOKUP(tables_443100!C129,input_443100!A:H,8,FALSE))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input_443100!A$2</f>
        <v>443100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IFERROR(VLOOKUP(B130,input_443100!L:R,7,FALSE),VLOOKUP(tables_443100!C130,input_443100!A:H,8,FALSE))</f>
        <v>896895</v>
      </c>
      <c r="P130" s="46">
        <f t="shared" ref="P130:P193" ca="1" si="7">O130/SUM(O:O)</f>
        <v>8.6456043956085697E-3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input_443100!A$2</f>
        <v>443100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IFERROR(VLOOKUP(B131,input_443100!L:R,7,FALSE),VLOOKUP(tables_443100!C131,input_443100!A:H,8,FALSE))</f>
        <v>2097.67308</v>
      </c>
      <c r="P131" s="46">
        <f t="shared" ca="1" si="7"/>
        <v>2.0220484673231277E-5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input_443100!A$2</f>
        <v>443100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IFERROR(VLOOKUP(B132,input_443100!L:R,7,FALSE),VLOOKUP(tables_443100!C132,input_443100!A:H,8,FALSE))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input_443100!A$2</f>
        <v>443100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IFERROR(VLOOKUP(B133,input_443100!L:R,7,FALSE),VLOOKUP(tables_443100!C133,input_443100!A:H,8,FALSE))</f>
        <v>896895</v>
      </c>
      <c r="P133" s="46">
        <f t="shared" ca="1" si="7"/>
        <v>8.6456043956085697E-3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input_443100!A$2</f>
        <v>443100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IFERROR(VLOOKUP(B134,input_443100!L:R,7,FALSE),VLOOKUP(tables_443100!C134,input_443100!A:H,8,FALSE))</f>
        <v>2097.67308</v>
      </c>
      <c r="P134" s="46">
        <f t="shared" ca="1" si="7"/>
        <v>2.0220484673231277E-5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input_443100!A$2</f>
        <v>443100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IFERROR(VLOOKUP(B135,input_443100!L:R,7,FALSE),VLOOKUP(tables_443100!C135,input_443100!A:H,8,FALSE))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input_443100!A$2</f>
        <v>443100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IFERROR(VLOOKUP(B136,input_443100!L:R,7,FALSE),VLOOKUP(tables_443100!C136,input_443100!A:H,8,FALSE))</f>
        <v>896895</v>
      </c>
      <c r="P136" s="46">
        <f t="shared" ca="1" si="7"/>
        <v>8.6456043956085697E-3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input_443100!A$2</f>
        <v>443100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IFERROR(VLOOKUP(B137,input_443100!L:R,7,FALSE),VLOOKUP(tables_443100!C137,input_443100!A:H,8,FALSE))</f>
        <v>2097.67308</v>
      </c>
      <c r="P137" s="46">
        <f t="shared" ca="1" si="7"/>
        <v>2.0220484673231277E-5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input_443100!A$2</f>
        <v>443100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IFERROR(VLOOKUP(B138,input_443100!L:R,7,FALSE),VLOOKUP(tables_443100!C138,input_443100!A:H,8,FALSE))</f>
        <v>29393</v>
      </c>
      <c r="P138" s="46">
        <f t="shared" ca="1" si="7"/>
        <v>2.8333333333347013E-4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input_443100!A$2</f>
        <v>443100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IFERROR(VLOOKUP(B139,input_443100!L:R,7,FALSE),VLOOKUP(tables_443100!C139,input_443100!A:H,8,FALSE))</f>
        <v>1547</v>
      </c>
      <c r="P139" s="46">
        <f t="shared" ca="1" si="7"/>
        <v>1.4912280701761586E-5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input_443100!A$2</f>
        <v>443100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IFERROR(VLOOKUP(B140,input_443100!L:R,7,FALSE),VLOOKUP(tables_443100!C140,input_443100!A:H,8,FALSE))</f>
        <v>29393</v>
      </c>
      <c r="P140" s="46">
        <f t="shared" ca="1" si="7"/>
        <v>2.8333333333347013E-4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input_443100!A$2</f>
        <v>443100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IFERROR(VLOOKUP(B141,input_443100!L:R,7,FALSE),VLOOKUP(tables_443100!C141,input_443100!A:H,8,FALSE))</f>
        <v>1547</v>
      </c>
      <c r="P141" s="46">
        <f t="shared" ca="1" si="7"/>
        <v>1.4912280701761586E-5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input_443100!A$2</f>
        <v>443100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IFERROR(VLOOKUP(B142,input_443100!L:R,7,FALSE),VLOOKUP(tables_443100!C142,input_443100!A:H,8,FALSE))</f>
        <v>29393</v>
      </c>
      <c r="P142" s="46">
        <f t="shared" ca="1" si="7"/>
        <v>2.8333333333347013E-4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input_443100!A$2</f>
        <v>443100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IFERROR(VLOOKUP(B143,input_443100!L:R,7,FALSE),VLOOKUP(tables_443100!C143,input_443100!A:H,8,FALSE))</f>
        <v>1547</v>
      </c>
      <c r="P143" s="46">
        <f t="shared" ca="1" si="7"/>
        <v>1.4912280701761586E-5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input_443100!A$2</f>
        <v>443100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IFERROR(VLOOKUP(B144,input_443100!L:R,7,FALSE),VLOOKUP(tables_443100!C144,input_443100!A:H,8,FALSE))</f>
        <v>29393</v>
      </c>
      <c r="P144" s="46">
        <f t="shared" ca="1" si="7"/>
        <v>2.8333333333347013E-4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input_443100!A$2</f>
        <v>443100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IFERROR(VLOOKUP(B145,input_443100!L:R,7,FALSE),VLOOKUP(tables_443100!C145,input_443100!A:H,8,FALSE))</f>
        <v>1547</v>
      </c>
      <c r="P145" s="46">
        <f t="shared" ca="1" si="7"/>
        <v>1.4912280701761586E-5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input_443100!A$2</f>
        <v>443100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IFERROR(VLOOKUP(B146,input_443100!L:R,7,FALSE),VLOOKUP(tables_443100!C146,input_443100!A:H,8,FALSE))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input_443100!A$2</f>
        <v>443100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IFERROR(VLOOKUP(B147,input_443100!L:R,7,FALSE),VLOOKUP(tables_443100!C147,input_443100!A:H,8,FALSE))</f>
        <v>896895</v>
      </c>
      <c r="P147" s="46">
        <f t="shared" ca="1" si="7"/>
        <v>8.6456043956085697E-3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input_443100!A$2</f>
        <v>443100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IFERROR(VLOOKUP(B148,input_443100!L:R,7,FALSE),VLOOKUP(tables_443100!C148,input_443100!A:H,8,FALSE))</f>
        <v>2097.67308</v>
      </c>
      <c r="P148" s="46">
        <f t="shared" ca="1" si="7"/>
        <v>2.0220484673231277E-5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input_443100!A$2</f>
        <v>443100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IFERROR(VLOOKUP(B149,input_443100!L:R,7,FALSE),VLOOKUP(tables_443100!C149,input_443100!A:H,8,FALSE))</f>
        <v>29393</v>
      </c>
      <c r="P149" s="46">
        <f t="shared" ca="1" si="7"/>
        <v>2.8333333333347013E-4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input_443100!A$2</f>
        <v>443100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IFERROR(VLOOKUP(B150,input_443100!L:R,7,FALSE),VLOOKUP(tables_443100!C150,input_443100!A:H,8,FALSE))</f>
        <v>1547</v>
      </c>
      <c r="P150" s="46">
        <f t="shared" ca="1" si="7"/>
        <v>1.4912280701761586E-5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input_443100!A$2</f>
        <v>443100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IFERROR(VLOOKUP(B151,input_443100!L:R,7,FALSE),VLOOKUP(tables_443100!C151,input_443100!A:H,8,FALSE))</f>
        <v>29393</v>
      </c>
      <c r="P151" s="46">
        <f t="shared" ca="1" si="7"/>
        <v>2.8333333333347013E-4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input_443100!A$2</f>
        <v>443100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IFERROR(VLOOKUP(B152,input_443100!L:R,7,FALSE),VLOOKUP(tables_443100!C152,input_443100!A:H,8,FALSE))</f>
        <v>1547</v>
      </c>
      <c r="P152" s="46">
        <f t="shared" ca="1" si="7"/>
        <v>1.4912280701761586E-5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input_443100!A$2</f>
        <v>443100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IFERROR(VLOOKUP(B153,input_443100!L:R,7,FALSE),VLOOKUP(tables_443100!C153,input_443100!A:H,8,FALSE))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input_443100!A$2</f>
        <v>443100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IFERROR(VLOOKUP(B154,input_443100!L:R,7,FALSE),VLOOKUP(tables_443100!C154,input_443100!A:H,8,FALSE))</f>
        <v>896895</v>
      </c>
      <c r="P154" s="46">
        <f t="shared" ca="1" si="7"/>
        <v>8.6456043956085697E-3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input_443100!A$2</f>
        <v>443100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IFERROR(VLOOKUP(B155,input_443100!L:R,7,FALSE),VLOOKUP(tables_443100!C155,input_443100!A:H,8,FALSE))</f>
        <v>2097.67308</v>
      </c>
      <c r="P155" s="46">
        <f t="shared" ca="1" si="7"/>
        <v>2.0220484673231277E-5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input_443100!A$2</f>
        <v>443100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IFERROR(VLOOKUP(B156,input_443100!L:R,7,FALSE),VLOOKUP(tables_443100!C156,input_443100!A:H,8,FALSE))</f>
        <v>29393</v>
      </c>
      <c r="P156" s="46">
        <f t="shared" ca="1" si="7"/>
        <v>2.8333333333347013E-4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input_443100!A$2</f>
        <v>443100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IFERROR(VLOOKUP(B157,input_443100!L:R,7,FALSE),VLOOKUP(tables_443100!C157,input_443100!A:H,8,FALSE))</f>
        <v>1547</v>
      </c>
      <c r="P157" s="46">
        <f t="shared" ca="1" si="7"/>
        <v>1.4912280701761586E-5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input_443100!A$2</f>
        <v>443100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IFERROR(VLOOKUP(B158,input_443100!L:R,7,FALSE),VLOOKUP(tables_443100!C158,input_443100!A:H,8,FALSE))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input_443100!A$2</f>
        <v>443100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IFERROR(VLOOKUP(B159,input_443100!L:R,7,FALSE),VLOOKUP(tables_443100!C159,input_443100!A:H,8,FALSE))</f>
        <v>896895</v>
      </c>
      <c r="P159" s="46">
        <f t="shared" ca="1" si="7"/>
        <v>8.6456043956085697E-3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input_443100!A$2</f>
        <v>443100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IFERROR(VLOOKUP(B160,input_443100!L:R,7,FALSE),VLOOKUP(tables_443100!C160,input_443100!A:H,8,FALSE))</f>
        <v>2097.67308</v>
      </c>
      <c r="P160" s="46">
        <f t="shared" ca="1" si="7"/>
        <v>2.0220484673231277E-5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input_443100!A$2</f>
        <v>443100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IFERROR(VLOOKUP(B161,input_443100!L:R,7,FALSE),VLOOKUP(tables_443100!C161,input_443100!A:H,8,FALSE))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input_443100!A$2</f>
        <v>443100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IFERROR(VLOOKUP(B162,input_443100!L:R,7,FALSE),VLOOKUP(tables_443100!C162,input_443100!A:H,8,FALSE))</f>
        <v>896895</v>
      </c>
      <c r="P162" s="46">
        <f t="shared" ca="1" si="7"/>
        <v>8.6456043956085697E-3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input_443100!A$2</f>
        <v>443100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IFERROR(VLOOKUP(B163,input_443100!L:R,7,FALSE),VLOOKUP(tables_443100!C163,input_443100!A:H,8,FALSE))</f>
        <v>2097.67308</v>
      </c>
      <c r="P163" s="46">
        <f t="shared" ca="1" si="7"/>
        <v>2.0220484673231277E-5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input_443100!A$2</f>
        <v>443100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IFERROR(VLOOKUP(B164,input_443100!L:R,7,FALSE),VLOOKUP(tables_443100!C164,input_443100!A:H,8,FALSE))</f>
        <v>29393</v>
      </c>
      <c r="P164" s="46">
        <f t="shared" ca="1" si="7"/>
        <v>2.8333333333347013E-4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input_443100!A$2</f>
        <v>443100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IFERROR(VLOOKUP(B165,input_443100!L:R,7,FALSE),VLOOKUP(tables_443100!C165,input_443100!A:H,8,FALSE))</f>
        <v>1547</v>
      </c>
      <c r="P165" s="46">
        <f t="shared" ca="1" si="7"/>
        <v>1.4912280701761586E-5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input_443100!A$2</f>
        <v>443100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IFERROR(VLOOKUP(B166,input_443100!L:R,7,FALSE),VLOOKUP(tables_443100!C166,input_443100!A:H,8,FALSE))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input_443100!A$2</f>
        <v>443100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IFERROR(VLOOKUP(B167,input_443100!L:R,7,FALSE),VLOOKUP(tables_443100!C167,input_443100!A:H,8,FALSE))</f>
        <v>896895</v>
      </c>
      <c r="P167" s="46">
        <f t="shared" ca="1" si="7"/>
        <v>8.6456043956085697E-3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input_443100!A$2</f>
        <v>443100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IFERROR(VLOOKUP(B168,input_443100!L:R,7,FALSE),VLOOKUP(tables_443100!C168,input_443100!A:H,8,FALSE))</f>
        <v>2097.67308</v>
      </c>
      <c r="P168" s="46">
        <f t="shared" ca="1" si="7"/>
        <v>2.0220484673231277E-5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input_443100!A$2</f>
        <v>443100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IFERROR(VLOOKUP(B169,input_443100!L:R,7,FALSE),VLOOKUP(tables_443100!C169,input_443100!A:H,8,FALSE))</f>
        <v>29393</v>
      </c>
      <c r="P169" s="46">
        <f t="shared" ca="1" si="7"/>
        <v>2.8333333333347013E-4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input_443100!A$2</f>
        <v>443100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IFERROR(VLOOKUP(B170,input_443100!L:R,7,FALSE),VLOOKUP(tables_443100!C170,input_443100!A:H,8,FALSE))</f>
        <v>1547</v>
      </c>
      <c r="P170" s="46">
        <f t="shared" ca="1" si="7"/>
        <v>1.4912280701761586E-5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input_443100!A$2</f>
        <v>443100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IFERROR(VLOOKUP(B171,input_443100!L:R,7,FALSE),VLOOKUP(tables_443100!C171,input_443100!A:H,8,FALSE))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input_443100!A$2</f>
        <v>443100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IFERROR(VLOOKUP(B172,input_443100!L:R,7,FALSE),VLOOKUP(tables_443100!C172,input_443100!A:H,8,FALSE))</f>
        <v>896895</v>
      </c>
      <c r="P172" s="46">
        <f t="shared" ca="1" si="7"/>
        <v>8.6456043956085697E-3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input_443100!A$2</f>
        <v>443100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IFERROR(VLOOKUP(B173,input_443100!L:R,7,FALSE),VLOOKUP(tables_443100!C173,input_443100!A:H,8,FALSE))</f>
        <v>2097.67308</v>
      </c>
      <c r="P173" s="46">
        <f t="shared" ca="1" si="7"/>
        <v>2.0220484673231277E-5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input_443100!A$2</f>
        <v>443100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IFERROR(VLOOKUP(B174,input_443100!L:R,7,FALSE),VLOOKUP(tables_443100!C174,input_443100!A:H,8,FALSE))</f>
        <v>29393</v>
      </c>
      <c r="P174" s="46">
        <f t="shared" ca="1" si="7"/>
        <v>2.8333333333347013E-4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input_443100!A$2</f>
        <v>443100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IFERROR(VLOOKUP(B175,input_443100!L:R,7,FALSE),VLOOKUP(tables_443100!C175,input_443100!A:H,8,FALSE))</f>
        <v>1547</v>
      </c>
      <c r="P175" s="46">
        <f t="shared" ca="1" si="7"/>
        <v>1.4912280701761586E-5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input_443100!A$2</f>
        <v>443100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IFERROR(VLOOKUP(B176,input_443100!L:R,7,FALSE),VLOOKUP(tables_443100!C176,input_443100!A:H,8,FALSE))</f>
        <v>29393</v>
      </c>
      <c r="P176" s="46">
        <f t="shared" ca="1" si="7"/>
        <v>2.8333333333347013E-4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input_443100!A$2</f>
        <v>443100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IFERROR(VLOOKUP(B177,input_443100!L:R,7,FALSE),VLOOKUP(tables_443100!C177,input_443100!A:H,8,FALSE))</f>
        <v>1547</v>
      </c>
      <c r="P177" s="46">
        <f t="shared" ca="1" si="7"/>
        <v>1.4912280701761586E-5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input_443100!A$2</f>
        <v>443100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IFERROR(VLOOKUP(B178,input_443100!L:R,7,FALSE),VLOOKUP(tables_443100!C178,input_443100!A:H,8,FALSE))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input_443100!A$2</f>
        <v>443100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IFERROR(VLOOKUP(B179,input_443100!L:R,7,FALSE),VLOOKUP(tables_443100!C179,input_443100!A:H,8,FALSE))</f>
        <v>896895</v>
      </c>
      <c r="P179" s="46">
        <f t="shared" ca="1" si="7"/>
        <v>8.6456043956085697E-3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input_443100!A$2</f>
        <v>443100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IFERROR(VLOOKUP(B180,input_443100!L:R,7,FALSE),VLOOKUP(tables_443100!C180,input_443100!A:H,8,FALSE))</f>
        <v>2097.67308</v>
      </c>
      <c r="P180" s="46">
        <f t="shared" ca="1" si="7"/>
        <v>2.0220484673231277E-5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input_443100!A$2</f>
        <v>443100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IFERROR(VLOOKUP(B181,input_443100!L:R,7,FALSE),VLOOKUP(tables_443100!C181,input_443100!A:H,8,FALSE))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input_443100!A$2</f>
        <v>443100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IFERROR(VLOOKUP(B182,input_443100!L:R,7,FALSE),VLOOKUP(tables_443100!C182,input_443100!A:H,8,FALSE))</f>
        <v>896895</v>
      </c>
      <c r="P182" s="46">
        <f t="shared" ca="1" si="7"/>
        <v>8.6456043956085697E-3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input_443100!A$2</f>
        <v>443100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IFERROR(VLOOKUP(B183,input_443100!L:R,7,FALSE),VLOOKUP(tables_443100!C183,input_443100!A:H,8,FALSE))</f>
        <v>2097.67308</v>
      </c>
      <c r="P183" s="46">
        <f t="shared" ca="1" si="7"/>
        <v>2.0220484673231277E-5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input_443100!A$2</f>
        <v>443100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IFERROR(VLOOKUP(B184,input_443100!L:R,7,FALSE),VLOOKUP(tables_443100!C184,input_443100!A:H,8,FALSE))</f>
        <v>29393</v>
      </c>
      <c r="P184" s="46">
        <f t="shared" ca="1" si="7"/>
        <v>2.8333333333347013E-4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input_443100!A$2</f>
        <v>443100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IFERROR(VLOOKUP(B185,input_443100!L:R,7,FALSE),VLOOKUP(tables_443100!C185,input_443100!A:H,8,FALSE))</f>
        <v>1547</v>
      </c>
      <c r="P185" s="46">
        <f t="shared" ca="1" si="7"/>
        <v>1.4912280701761586E-5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input_443100!A$2</f>
        <v>443100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IFERROR(VLOOKUP(B186,input_443100!L:R,7,FALSE),VLOOKUP(tables_443100!C186,input_443100!A:H,8,FALSE))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input_443100!A$2</f>
        <v>443100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IFERROR(VLOOKUP(B187,input_443100!L:R,7,FALSE),VLOOKUP(tables_443100!C187,input_443100!A:H,8,FALSE))</f>
        <v>896895</v>
      </c>
      <c r="P187" s="46">
        <f t="shared" ca="1" si="7"/>
        <v>8.6456043956085697E-3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input_443100!A$2</f>
        <v>443100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IFERROR(VLOOKUP(B188,input_443100!L:R,7,FALSE),VLOOKUP(tables_443100!C188,input_443100!A:H,8,FALSE))</f>
        <v>2097.67308</v>
      </c>
      <c r="P188" s="46">
        <f t="shared" ca="1" si="7"/>
        <v>2.0220484673231277E-5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input_443100!A$2</f>
        <v>443100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IFERROR(VLOOKUP(B189,input_443100!L:R,7,FALSE),VLOOKUP(tables_443100!C189,input_443100!A:H,8,FALSE))</f>
        <v>29393</v>
      </c>
      <c r="P189" s="46">
        <f t="shared" ca="1" si="7"/>
        <v>2.8333333333347013E-4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input_443100!A$2</f>
        <v>443100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IFERROR(VLOOKUP(B190,input_443100!L:R,7,FALSE),VLOOKUP(tables_443100!C190,input_443100!A:H,8,FALSE))</f>
        <v>1547</v>
      </c>
      <c r="P190" s="46">
        <f t="shared" ca="1" si="7"/>
        <v>1.4912280701761586E-5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input_443100!A$2</f>
        <v>443100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IFERROR(VLOOKUP(B191,input_443100!L:R,7,FALSE),VLOOKUP(tables_443100!C191,input_443100!A:H,8,FALSE))</f>
        <v>29393</v>
      </c>
      <c r="P191" s="46">
        <f t="shared" ca="1" si="7"/>
        <v>2.8333333333347013E-4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input_443100!A$2</f>
        <v>443100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IFERROR(VLOOKUP(B192,input_443100!L:R,7,FALSE),VLOOKUP(tables_443100!C192,input_443100!A:H,8,FALSE))</f>
        <v>1547</v>
      </c>
      <c r="P192" s="46">
        <f t="shared" ca="1" si="7"/>
        <v>1.4912280701761586E-5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input_443100!A$2</f>
        <v>443100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IFERROR(VLOOKUP(B193,input_443100!L:R,7,FALSE),VLOOKUP(tables_443100!C193,input_443100!A:H,8,FALSE))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input_443100!A$2</f>
        <v>443100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IFERROR(VLOOKUP(B194,input_443100!L:R,7,FALSE),VLOOKUP(tables_443100!C194,input_443100!A:H,8,FALSE))</f>
        <v>896895</v>
      </c>
      <c r="P194" s="46">
        <f t="shared" ref="P194:P257" ca="1" si="10">O194/SUM(O:O)</f>
        <v>8.6456043956085697E-3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input_443100!A$2</f>
        <v>443100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IFERROR(VLOOKUP(B195,input_443100!L:R,7,FALSE),VLOOKUP(tables_443100!C195,input_443100!A:H,8,FALSE))</f>
        <v>2097.67308</v>
      </c>
      <c r="P195" s="46">
        <f t="shared" ca="1" si="10"/>
        <v>2.0220484673231277E-5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input_443100!A$2</f>
        <v>443100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IFERROR(VLOOKUP(B196,input_443100!L:R,7,FALSE),VLOOKUP(tables_443100!C196,input_443100!A:H,8,FALSE))</f>
        <v>29393</v>
      </c>
      <c r="P196" s="46">
        <f t="shared" ca="1" si="10"/>
        <v>2.8333333333347013E-4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input_443100!A$2</f>
        <v>443100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IFERROR(VLOOKUP(B197,input_443100!L:R,7,FALSE),VLOOKUP(tables_443100!C197,input_443100!A:H,8,FALSE))</f>
        <v>1547</v>
      </c>
      <c r="P197" s="46">
        <f t="shared" ca="1" si="10"/>
        <v>1.4912280701761586E-5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input_443100!A$2</f>
        <v>443100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IFERROR(VLOOKUP(B198,input_443100!L:R,7,FALSE),VLOOKUP(tables_443100!C198,input_443100!A:H,8,FALSE))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input_443100!A$2</f>
        <v>443100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IFERROR(VLOOKUP(B199,input_443100!L:R,7,FALSE),VLOOKUP(tables_443100!C199,input_443100!A:H,8,FALSE))</f>
        <v>896895</v>
      </c>
      <c r="P199" s="46">
        <f t="shared" ca="1" si="10"/>
        <v>8.6456043956085697E-3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input_443100!A$2</f>
        <v>443100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IFERROR(VLOOKUP(B200,input_443100!L:R,7,FALSE),VLOOKUP(tables_443100!C200,input_443100!A:H,8,FALSE))</f>
        <v>2097.67308</v>
      </c>
      <c r="P200" s="46">
        <f t="shared" ca="1" si="10"/>
        <v>2.0220484673231277E-5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input_443100!A$2</f>
        <v>443100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IFERROR(VLOOKUP(B201,input_443100!L:R,7,FALSE),VLOOKUP(tables_443100!C201,input_443100!A:H,8,FALSE))</f>
        <v>29393</v>
      </c>
      <c r="P201" s="46">
        <f t="shared" ca="1" si="10"/>
        <v>2.8333333333347013E-4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input_443100!A$2</f>
        <v>443100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IFERROR(VLOOKUP(B202,input_443100!L:R,7,FALSE),VLOOKUP(tables_443100!C202,input_443100!A:H,8,FALSE))</f>
        <v>1547</v>
      </c>
      <c r="P202" s="46">
        <f t="shared" ca="1" si="10"/>
        <v>1.4912280701761586E-5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input_443100!A$2</f>
        <v>443100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IFERROR(VLOOKUP(B203,input_443100!L:R,7,FALSE),VLOOKUP(tables_443100!C203,input_443100!A:H,8,FALSE))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input_443100!A$2</f>
        <v>443100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IFERROR(VLOOKUP(B204,input_443100!L:R,7,FALSE),VLOOKUP(tables_443100!C204,input_443100!A:H,8,FALSE))</f>
        <v>896895</v>
      </c>
      <c r="P204" s="46">
        <f t="shared" ca="1" si="10"/>
        <v>8.6456043956085697E-3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input_443100!A$2</f>
        <v>443100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IFERROR(VLOOKUP(B205,input_443100!L:R,7,FALSE),VLOOKUP(tables_443100!C205,input_443100!A:H,8,FALSE))</f>
        <v>2097.67308</v>
      </c>
      <c r="P205" s="46">
        <f t="shared" ca="1" si="10"/>
        <v>2.0220484673231277E-5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input_443100!A$2</f>
        <v>443100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IFERROR(VLOOKUP(B206,input_443100!L:R,7,FALSE),VLOOKUP(tables_443100!C206,input_443100!A:H,8,FALSE))</f>
        <v>29393</v>
      </c>
      <c r="P206" s="46">
        <f t="shared" ca="1" si="10"/>
        <v>2.8333333333347013E-4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input_443100!A$2</f>
        <v>443100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IFERROR(VLOOKUP(B207,input_443100!L:R,7,FALSE),VLOOKUP(tables_443100!C207,input_443100!A:H,8,FALSE))</f>
        <v>1547</v>
      </c>
      <c r="P207" s="46">
        <f t="shared" ca="1" si="10"/>
        <v>1.4912280701761586E-5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input_443100!A$2</f>
        <v>443100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IFERROR(VLOOKUP(B208,input_443100!L:R,7,FALSE),VLOOKUP(tables_443100!C208,input_443100!A:H,8,FALSE))</f>
        <v>29393</v>
      </c>
      <c r="P208" s="46">
        <f t="shared" ca="1" si="10"/>
        <v>2.8333333333347013E-4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input_443100!A$2</f>
        <v>443100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IFERROR(VLOOKUP(B209,input_443100!L:R,7,FALSE),VLOOKUP(tables_443100!C209,input_443100!A:H,8,FALSE))</f>
        <v>1547</v>
      </c>
      <c r="P209" s="46">
        <f t="shared" ca="1" si="10"/>
        <v>1.4912280701761586E-5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input_443100!A$2</f>
        <v>443100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IFERROR(VLOOKUP(B210,input_443100!L:R,7,FALSE),VLOOKUP(tables_443100!C210,input_443100!A:H,8,FALSE))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input_443100!A$2</f>
        <v>443100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IFERROR(VLOOKUP(B211,input_443100!L:R,7,FALSE),VLOOKUP(tables_443100!C211,input_443100!A:H,8,FALSE))</f>
        <v>896895</v>
      </c>
      <c r="P211" s="46">
        <f t="shared" ca="1" si="10"/>
        <v>8.6456043956085697E-3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input_443100!A$2</f>
        <v>443100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IFERROR(VLOOKUP(B212,input_443100!L:R,7,FALSE),VLOOKUP(tables_443100!C212,input_443100!A:H,8,FALSE))</f>
        <v>2097.67308</v>
      </c>
      <c r="P212" s="46">
        <f t="shared" ca="1" si="10"/>
        <v>2.0220484673231277E-5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input_443100!A$2</f>
        <v>443100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IFERROR(VLOOKUP(B213,input_443100!L:R,7,FALSE),VLOOKUP(tables_443100!C213,input_443100!A:H,8,FALSE))</f>
        <v>29393</v>
      </c>
      <c r="P213" s="46">
        <f t="shared" ca="1" si="10"/>
        <v>2.8333333333347013E-4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input_443100!A$2</f>
        <v>443100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IFERROR(VLOOKUP(B214,input_443100!L:R,7,FALSE),VLOOKUP(tables_443100!C214,input_443100!A:H,8,FALSE))</f>
        <v>1547</v>
      </c>
      <c r="P214" s="46">
        <f t="shared" ca="1" si="10"/>
        <v>1.4912280701761586E-5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input_443100!A$2</f>
        <v>443100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IFERROR(VLOOKUP(B215,input_443100!L:R,7,FALSE),VLOOKUP(tables_443100!C215,input_443100!A:H,8,FALSE))</f>
        <v>3609.9999899999998</v>
      </c>
      <c r="P215" s="46">
        <f t="shared" ca="1" si="10"/>
        <v>3.4798534702156766E-5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input_443100!A$2</f>
        <v>443100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IFERROR(VLOOKUP(B216,input_443100!L:R,7,FALSE),VLOOKUP(tables_443100!C216,input_443100!A:H,8,FALSE))</f>
        <v>3609.9999899999998</v>
      </c>
      <c r="P216" s="46">
        <f t="shared" ca="1" si="10"/>
        <v>3.4798534702156766E-5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input_443100!A$2</f>
        <v>443100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IFERROR(VLOOKUP(B217,input_443100!L:R,7,FALSE),VLOOKUP(tables_443100!C217,input_443100!A:H,8,FALSE))</f>
        <v>3609.9999899999998</v>
      </c>
      <c r="P217" s="46">
        <f t="shared" ca="1" si="10"/>
        <v>3.4798534702156766E-5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input_443100!A$2</f>
        <v>443100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IFERROR(VLOOKUP(B218,input_443100!L:R,7,FALSE),VLOOKUP(tables_443100!C218,input_443100!A:H,8,FALSE))</f>
        <v>3609.9999899999998</v>
      </c>
      <c r="P218" s="46">
        <f t="shared" ca="1" si="10"/>
        <v>3.4798534702156766E-5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input_443100!A$2</f>
        <v>443100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IFERROR(VLOOKUP(B219,input_443100!L:R,7,FALSE),VLOOKUP(tables_443100!C219,input_443100!A:H,8,FALSE))</f>
        <v>3609.9999899999998</v>
      </c>
      <c r="P219" s="46">
        <f t="shared" ca="1" si="10"/>
        <v>3.4798534702156766E-5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input_443100!A$2</f>
        <v>443100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IFERROR(VLOOKUP(B220,input_443100!L:R,7,FALSE),VLOOKUP(tables_443100!C220,input_443100!A:H,8,FALSE))</f>
        <v>3609.9999899999998</v>
      </c>
      <c r="P220" s="46">
        <f t="shared" ca="1" si="10"/>
        <v>3.4798534702156766E-5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input_443100!A$2</f>
        <v>443100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IFERROR(VLOOKUP(B221,input_443100!L:R,7,FALSE),VLOOKUP(tables_443100!C221,input_443100!A:H,8,FALSE))</f>
        <v>29393</v>
      </c>
      <c r="P221" s="46">
        <f t="shared" ca="1" si="10"/>
        <v>2.8333333333347013E-4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input_443100!A$2</f>
        <v>443100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IFERROR(VLOOKUP(B222,input_443100!L:R,7,FALSE),VLOOKUP(tables_443100!C222,input_443100!A:H,8,FALSE))</f>
        <v>1547</v>
      </c>
      <c r="P222" s="46">
        <f t="shared" ca="1" si="10"/>
        <v>1.4912280701761586E-5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input_443100!A$2</f>
        <v>443100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IFERROR(VLOOKUP(B223,input_443100!L:R,7,FALSE),VLOOKUP(tables_443100!C223,input_443100!A:H,8,FALSE))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input_443100!A$2</f>
        <v>443100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IFERROR(VLOOKUP(B224,input_443100!L:R,7,FALSE),VLOOKUP(tables_443100!C224,input_443100!A:H,8,FALSE))</f>
        <v>896895</v>
      </c>
      <c r="P224" s="46">
        <f t="shared" ca="1" si="10"/>
        <v>8.6456043956085697E-3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input_443100!A$2</f>
        <v>443100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IFERROR(VLOOKUP(B225,input_443100!L:R,7,FALSE),VLOOKUP(tables_443100!C225,input_443100!A:H,8,FALSE))</f>
        <v>2097.67308</v>
      </c>
      <c r="P225" s="46">
        <f t="shared" ca="1" si="10"/>
        <v>2.0220484673231277E-5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input_443100!A$2</f>
        <v>443100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IFERROR(VLOOKUP(B226,input_443100!L:R,7,FALSE),VLOOKUP(tables_443100!C226,input_443100!A:H,8,FALSE))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input_443100!A$2</f>
        <v>443100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IFERROR(VLOOKUP(B227,input_443100!L:R,7,FALSE),VLOOKUP(tables_443100!C227,input_443100!A:H,8,FALSE))</f>
        <v>896895</v>
      </c>
      <c r="P227" s="46">
        <f t="shared" ca="1" si="10"/>
        <v>8.6456043956085697E-3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input_443100!A$2</f>
        <v>443100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IFERROR(VLOOKUP(B228,input_443100!L:R,7,FALSE),VLOOKUP(tables_443100!C228,input_443100!A:H,8,FALSE))</f>
        <v>2097.67308</v>
      </c>
      <c r="P228" s="46">
        <f t="shared" ca="1" si="10"/>
        <v>2.0220484673231277E-5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input_443100!A$2</f>
        <v>443100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IFERROR(VLOOKUP(B229,input_443100!L:R,7,FALSE),VLOOKUP(tables_443100!C229,input_443100!A:H,8,FALSE))</f>
        <v>29393</v>
      </c>
      <c r="P229" s="46">
        <f t="shared" ca="1" si="10"/>
        <v>2.8333333333347013E-4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input_443100!A$2</f>
        <v>443100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IFERROR(VLOOKUP(B230,input_443100!L:R,7,FALSE),VLOOKUP(tables_443100!C230,input_443100!A:H,8,FALSE))</f>
        <v>1547</v>
      </c>
      <c r="P230" s="46">
        <f t="shared" ca="1" si="10"/>
        <v>1.4912280701761586E-5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input_443100!A$2</f>
        <v>443100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IFERROR(VLOOKUP(B231,input_443100!L:R,7,FALSE),VLOOKUP(tables_443100!C231,input_443100!A:H,8,FALSE))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input_443100!A$2</f>
        <v>443100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IFERROR(VLOOKUP(B232,input_443100!L:R,7,FALSE),VLOOKUP(tables_443100!C232,input_443100!A:H,8,FALSE))</f>
        <v>896895</v>
      </c>
      <c r="P232" s="46">
        <f t="shared" ca="1" si="10"/>
        <v>8.6456043956085697E-3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input_443100!A$2</f>
        <v>443100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IFERROR(VLOOKUP(B233,input_443100!L:R,7,FALSE),VLOOKUP(tables_443100!C233,input_443100!A:H,8,FALSE))</f>
        <v>2097.67308</v>
      </c>
      <c r="P233" s="46">
        <f t="shared" ca="1" si="10"/>
        <v>2.0220484673231277E-5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input_443100!A$2</f>
        <v>443100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IFERROR(VLOOKUP(B234,input_443100!L:R,7,FALSE),VLOOKUP(tables_443100!C234,input_443100!A:H,8,FALSE))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input_443100!A$2</f>
        <v>443100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IFERROR(VLOOKUP(B235,input_443100!L:R,7,FALSE),VLOOKUP(tables_443100!C235,input_443100!A:H,8,FALSE))</f>
        <v>896895</v>
      </c>
      <c r="P235" s="46">
        <f t="shared" ca="1" si="10"/>
        <v>8.6456043956085697E-3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input_443100!A$2</f>
        <v>443100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IFERROR(VLOOKUP(B236,input_443100!L:R,7,FALSE),VLOOKUP(tables_443100!C236,input_443100!A:H,8,FALSE))</f>
        <v>2097.67308</v>
      </c>
      <c r="P236" s="46">
        <f t="shared" ca="1" si="10"/>
        <v>2.0220484673231277E-5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input_443100!A$2</f>
        <v>443100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IFERROR(VLOOKUP(B237,input_443100!L:R,7,FALSE),VLOOKUP(tables_443100!C237,input_443100!A:H,8,FALSE))</f>
        <v>29393</v>
      </c>
      <c r="P237" s="46">
        <f t="shared" ca="1" si="10"/>
        <v>2.8333333333347013E-4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input_443100!A$2</f>
        <v>443100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IFERROR(VLOOKUP(B238,input_443100!L:R,7,FALSE),VLOOKUP(tables_443100!C238,input_443100!A:H,8,FALSE))</f>
        <v>1547</v>
      </c>
      <c r="P238" s="46">
        <f t="shared" ca="1" si="10"/>
        <v>1.4912280701761586E-5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input_443100!A$2</f>
        <v>443100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IFERROR(VLOOKUP(B239,input_443100!L:R,7,FALSE),VLOOKUP(tables_443100!C239,input_443100!A:H,8,FALSE))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input_443100!A$2</f>
        <v>443100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IFERROR(VLOOKUP(B240,input_443100!L:R,7,FALSE),VLOOKUP(tables_443100!C240,input_443100!A:H,8,FALSE))</f>
        <v>896895</v>
      </c>
      <c r="P240" s="46">
        <f t="shared" ca="1" si="10"/>
        <v>8.6456043956085697E-3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input_443100!A$2</f>
        <v>443100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IFERROR(VLOOKUP(B241,input_443100!L:R,7,FALSE),VLOOKUP(tables_443100!C241,input_443100!A:H,8,FALSE))</f>
        <v>2097.67308</v>
      </c>
      <c r="P241" s="46">
        <f t="shared" ca="1" si="10"/>
        <v>2.0220484673231277E-5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input_443100!A$2</f>
        <v>443100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IFERROR(VLOOKUP(B242,input_443100!L:R,7,FALSE),VLOOKUP(tables_443100!C242,input_443100!A:H,8,FALSE))</f>
        <v>29393</v>
      </c>
      <c r="P242" s="46">
        <f t="shared" ca="1" si="10"/>
        <v>2.8333333333347013E-4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input_443100!A$2</f>
        <v>443100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IFERROR(VLOOKUP(B243,input_443100!L:R,7,FALSE),VLOOKUP(tables_443100!C243,input_443100!A:H,8,FALSE))</f>
        <v>1547</v>
      </c>
      <c r="P243" s="46">
        <f t="shared" ca="1" si="10"/>
        <v>1.4912280701761586E-5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input_443100!A$2</f>
        <v>443100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IFERROR(VLOOKUP(B244,input_443100!L:R,7,FALSE),VLOOKUP(tables_443100!C244,input_443100!A:H,8,FALSE))</f>
        <v>29393</v>
      </c>
      <c r="P244" s="46">
        <f t="shared" ca="1" si="10"/>
        <v>2.8333333333347013E-4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input_443100!A$2</f>
        <v>443100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IFERROR(VLOOKUP(B245,input_443100!L:R,7,FALSE),VLOOKUP(tables_443100!C245,input_443100!A:H,8,FALSE))</f>
        <v>1547</v>
      </c>
      <c r="P245" s="46">
        <f t="shared" ca="1" si="10"/>
        <v>1.4912280701761586E-5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input_443100!A$2</f>
        <v>443100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IFERROR(VLOOKUP(B246,input_443100!L:R,7,FALSE),VLOOKUP(tables_443100!C246,input_443100!A:H,8,FALSE))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input_443100!A$2</f>
        <v>443100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IFERROR(VLOOKUP(B247,input_443100!L:R,7,FALSE),VLOOKUP(tables_443100!C247,input_443100!A:H,8,FALSE))</f>
        <v>896895</v>
      </c>
      <c r="P247" s="46">
        <f t="shared" ca="1" si="10"/>
        <v>8.6456043956085697E-3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input_443100!A$2</f>
        <v>443100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IFERROR(VLOOKUP(B248,input_443100!L:R,7,FALSE),VLOOKUP(tables_443100!C248,input_443100!A:H,8,FALSE))</f>
        <v>2097.67308</v>
      </c>
      <c r="P248" s="46">
        <f t="shared" ca="1" si="10"/>
        <v>2.0220484673231277E-5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input_443100!A$2</f>
        <v>443100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IFERROR(VLOOKUP(B249,input_443100!L:R,7,FALSE),VLOOKUP(tables_443100!C249,input_443100!A:H,8,FALSE))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input_443100!A$2</f>
        <v>443100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IFERROR(VLOOKUP(B250,input_443100!L:R,7,FALSE),VLOOKUP(tables_443100!C250,input_443100!A:H,8,FALSE))</f>
        <v>896895</v>
      </c>
      <c r="P250" s="46">
        <f t="shared" ca="1" si="10"/>
        <v>8.6456043956085697E-3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input_443100!A$2</f>
        <v>443100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IFERROR(VLOOKUP(B251,input_443100!L:R,7,FALSE),VLOOKUP(tables_443100!C251,input_443100!A:H,8,FALSE))</f>
        <v>2097.67308</v>
      </c>
      <c r="P251" s="46">
        <f t="shared" ca="1" si="10"/>
        <v>2.0220484673231277E-5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input_443100!A$2</f>
        <v>443100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IFERROR(VLOOKUP(B252,input_443100!L:R,7,FALSE),VLOOKUP(tables_443100!C252,input_443100!A:H,8,FALSE))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input_443100!A$2</f>
        <v>443100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IFERROR(VLOOKUP(B253,input_443100!L:R,7,FALSE),VLOOKUP(tables_443100!C253,input_443100!A:H,8,FALSE))</f>
        <v>896895</v>
      </c>
      <c r="P253" s="46">
        <f t="shared" ca="1" si="10"/>
        <v>8.6456043956085697E-3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input_443100!A$2</f>
        <v>443100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IFERROR(VLOOKUP(B254,input_443100!L:R,7,FALSE),VLOOKUP(tables_443100!C254,input_443100!A:H,8,FALSE))</f>
        <v>2097.67308</v>
      </c>
      <c r="P254" s="46">
        <f t="shared" ca="1" si="10"/>
        <v>2.0220484673231277E-5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input_443100!A$2</f>
        <v>443100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IFERROR(VLOOKUP(B255,input_443100!L:R,7,FALSE),VLOOKUP(tables_443100!C255,input_443100!A:H,8,FALSE))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input_443100!A$2</f>
        <v>443100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IFERROR(VLOOKUP(B256,input_443100!L:R,7,FALSE),VLOOKUP(tables_443100!C256,input_443100!A:H,8,FALSE))</f>
        <v>896895</v>
      </c>
      <c r="P256" s="46">
        <f t="shared" ca="1" si="10"/>
        <v>8.6456043956085697E-3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input_443100!A$2</f>
        <v>443100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IFERROR(VLOOKUP(B257,input_443100!L:R,7,FALSE),VLOOKUP(tables_443100!C257,input_443100!A:H,8,FALSE))</f>
        <v>2097.67308</v>
      </c>
      <c r="P257" s="46">
        <f t="shared" ca="1" si="10"/>
        <v>2.0220484673231277E-5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input_443100!A$2</f>
        <v>443100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IFERROR(VLOOKUP(B258,input_443100!L:R,7,FALSE),VLOOKUP(tables_443100!C258,input_443100!A:H,8,FALSE))</f>
        <v>29393</v>
      </c>
      <c r="P258" s="46">
        <f t="shared" ref="P258:P294" ca="1" si="13">O258/SUM(O:O)</f>
        <v>2.8333333333347013E-4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input_443100!A$2</f>
        <v>443100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IFERROR(VLOOKUP(B259,input_443100!L:R,7,FALSE),VLOOKUP(tables_443100!C259,input_443100!A:H,8,FALSE))</f>
        <v>1547</v>
      </c>
      <c r="P259" s="46">
        <f t="shared" ca="1" si="13"/>
        <v>1.4912280701761586E-5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input_443100!A$2</f>
        <v>443100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IFERROR(VLOOKUP(B260,input_443100!L:R,7,FALSE),VLOOKUP(tables_443100!C260,input_443100!A:H,8,FALSE))</f>
        <v>29393</v>
      </c>
      <c r="P260" s="46">
        <f t="shared" ca="1" si="13"/>
        <v>2.8333333333347013E-4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input_443100!A$2</f>
        <v>443100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IFERROR(VLOOKUP(B261,input_443100!L:R,7,FALSE),VLOOKUP(tables_443100!C261,input_443100!A:H,8,FALSE))</f>
        <v>1547</v>
      </c>
      <c r="P261" s="46">
        <f t="shared" ca="1" si="13"/>
        <v>1.4912280701761586E-5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input_443100!A$2</f>
        <v>443100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IFERROR(VLOOKUP(B262,input_443100!L:R,7,FALSE),VLOOKUP(tables_443100!C262,input_443100!A:H,8,FALSE))</f>
        <v>917073</v>
      </c>
      <c r="P262" s="46">
        <f t="shared" ca="1" si="13"/>
        <v>8.8401098901141582E-3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input_443100!A$2</f>
        <v>443100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IFERROR(VLOOKUP(B263,input_443100!L:R,7,FALSE),VLOOKUP(tables_443100!C263,input_443100!A:H,8,FALSE))</f>
        <v>3609.9999899999998</v>
      </c>
      <c r="P263" s="46">
        <f t="shared" ca="1" si="13"/>
        <v>3.4798534702156766E-5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input_443100!A$2</f>
        <v>443100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IFERROR(VLOOKUP(B264,input_443100!L:R,7,FALSE),VLOOKUP(tables_443100!C264,input_443100!A:H,8,FALSE))</f>
        <v>917073</v>
      </c>
      <c r="P264" s="46">
        <f t="shared" ca="1" si="13"/>
        <v>8.8401098901141582E-3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input_443100!A$2</f>
        <v>443100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IFERROR(VLOOKUP(B265,input_443100!L:R,7,FALSE),VLOOKUP(tables_443100!C265,input_443100!A:H,8,FALSE))</f>
        <v>3609.9999899999998</v>
      </c>
      <c r="P265" s="46">
        <f t="shared" ca="1" si="13"/>
        <v>3.4798534702156766E-5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input_443100!A$2</f>
        <v>443100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IFERROR(VLOOKUP(B266,input_443100!L:R,7,FALSE),VLOOKUP(tables_443100!C266,input_443100!A:H,8,FALSE))</f>
        <v>30940</v>
      </c>
      <c r="P266" s="46">
        <f t="shared" ca="1" si="13"/>
        <v>2.9824561403523172E-4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input_443100!A$2</f>
        <v>443100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IFERROR(VLOOKUP(B267,input_443100!L:R,7,FALSE),VLOOKUP(tables_443100!C267,input_443100!A:H,8,FALSE))</f>
        <v>30940</v>
      </c>
      <c r="P267" s="46">
        <f t="shared" ca="1" si="13"/>
        <v>2.9824561403523172E-4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input_443100!A$2</f>
        <v>443100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IFERROR(VLOOKUP(B268,input_443100!L:R,7,FALSE),VLOOKUP(tables_443100!C268,input_443100!A:H,8,FALSE))</f>
        <v>30940</v>
      </c>
      <c r="P268" s="46">
        <f t="shared" ca="1" si="13"/>
        <v>2.9824561403523172E-4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input_443100!A$2</f>
        <v>443100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IFERROR(VLOOKUP(B269,input_443100!L:R,7,FALSE),VLOOKUP(tables_443100!C269,input_443100!A:H,8,FALSE))</f>
        <v>30940</v>
      </c>
      <c r="P269" s="46">
        <f t="shared" ca="1" si="13"/>
        <v>2.9824561403523172E-4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input_443100!A$2</f>
        <v>443100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IFERROR(VLOOKUP(B270,input_443100!L:R,7,FALSE),VLOOKUP(tables_443100!C270,input_443100!A:H,8,FALSE))</f>
        <v>917073</v>
      </c>
      <c r="P270" s="46">
        <f t="shared" ca="1" si="13"/>
        <v>8.8401098901141582E-3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input_443100!A$2</f>
        <v>443100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IFERROR(VLOOKUP(B271,input_443100!L:R,7,FALSE),VLOOKUP(tables_443100!C271,input_443100!A:H,8,FALSE))</f>
        <v>3609.9999899999998</v>
      </c>
      <c r="P271" s="46">
        <f t="shared" ca="1" si="13"/>
        <v>3.4798534702156766E-5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input_443100!A$2</f>
        <v>443100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IFERROR(VLOOKUP(B272,input_443100!L:R,7,FALSE),VLOOKUP(tables_443100!C272,input_443100!A:H,8,FALSE))</f>
        <v>917073</v>
      </c>
      <c r="P272" s="46">
        <f t="shared" ca="1" si="13"/>
        <v>8.8401098901141582E-3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input_443100!A$2</f>
        <v>443100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IFERROR(VLOOKUP(B273,input_443100!L:R,7,FALSE),VLOOKUP(tables_443100!C273,input_443100!A:H,8,FALSE))</f>
        <v>3609.9999899999998</v>
      </c>
      <c r="P273" s="46">
        <f t="shared" ca="1" si="13"/>
        <v>3.4798534702156766E-5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input_443100!A$2</f>
        <v>443100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IFERROR(VLOOKUP(B274,input_443100!L:R,7,FALSE),VLOOKUP(tables_443100!C274,input_443100!A:H,8,FALSE))</f>
        <v>29393</v>
      </c>
      <c r="P274" s="46">
        <f t="shared" ca="1" si="13"/>
        <v>2.8333333333347013E-4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input_443100!A$2</f>
        <v>443100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IFERROR(VLOOKUP(B275,input_443100!L:R,7,FALSE),VLOOKUP(tables_443100!C275,input_443100!A:H,8,FALSE))</f>
        <v>1547</v>
      </c>
      <c r="P275" s="46">
        <f t="shared" ca="1" si="13"/>
        <v>1.4912280701761586E-5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input_443100!A$2</f>
        <v>443100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IFERROR(VLOOKUP(B276,input_443100!L:R,7,FALSE),VLOOKUP(tables_443100!C276,input_443100!A:H,8,FALSE))</f>
        <v>29393</v>
      </c>
      <c r="P276" s="46">
        <f t="shared" ca="1" si="13"/>
        <v>2.8333333333347013E-4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input_443100!A$2</f>
        <v>443100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IFERROR(VLOOKUP(B277,input_443100!L:R,7,FALSE),VLOOKUP(tables_443100!C277,input_443100!A:H,8,FALSE))</f>
        <v>1547</v>
      </c>
      <c r="P277" s="46">
        <f t="shared" ca="1" si="13"/>
        <v>1.4912280701761586E-5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input_443100!A$2</f>
        <v>443100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IFERROR(VLOOKUP(B278,input_443100!L:R,7,FALSE),VLOOKUP(tables_443100!C278,input_443100!A:H,8,FALSE))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input_443100!A$2</f>
        <v>443100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IFERROR(VLOOKUP(B279,input_443100!L:R,7,FALSE),VLOOKUP(tables_443100!C279,input_443100!A:H,8,FALSE))</f>
        <v>896895</v>
      </c>
      <c r="P279" s="46">
        <f t="shared" ca="1" si="13"/>
        <v>8.6456043956085697E-3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input_443100!A$2</f>
        <v>443100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IFERROR(VLOOKUP(B280,input_443100!L:R,7,FALSE),VLOOKUP(tables_443100!C280,input_443100!A:H,8,FALSE))</f>
        <v>2097.67308</v>
      </c>
      <c r="P280" s="46">
        <f t="shared" ca="1" si="13"/>
        <v>2.0220484673231277E-5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input_443100!A$2</f>
        <v>443100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IFERROR(VLOOKUP(B281,input_443100!L:R,7,FALSE),VLOOKUP(tables_443100!C281,input_443100!A:H,8,FALSE))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input_443100!A$2</f>
        <v>443100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IFERROR(VLOOKUP(B282,input_443100!L:R,7,FALSE),VLOOKUP(tables_443100!C282,input_443100!A:H,8,FALSE))</f>
        <v>896895</v>
      </c>
      <c r="P282" s="46">
        <f t="shared" ca="1" si="13"/>
        <v>8.6456043956085697E-3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input_443100!A$2</f>
        <v>443100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IFERROR(VLOOKUP(B283,input_443100!L:R,7,FALSE),VLOOKUP(tables_443100!C283,input_443100!A:H,8,FALSE))</f>
        <v>2097.67308</v>
      </c>
      <c r="P283" s="46">
        <f t="shared" ca="1" si="13"/>
        <v>2.0220484673231277E-5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input_443100!A$2</f>
        <v>443100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IFERROR(VLOOKUP(B284,input_443100!L:R,7,FALSE),VLOOKUP(tables_443100!C284,input_443100!A:H,8,FALSE))</f>
        <v>30940</v>
      </c>
      <c r="P284" s="46">
        <f t="shared" ca="1" si="13"/>
        <v>2.9824561403523172E-4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input_443100!A$2</f>
        <v>443100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IFERROR(VLOOKUP(B285,input_443100!L:R,7,FALSE),VLOOKUP(tables_443100!C285,input_443100!A:H,8,FALSE))</f>
        <v>30940</v>
      </c>
      <c r="P285" s="46">
        <f t="shared" ca="1" si="13"/>
        <v>2.9824561403523172E-4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input_443100!A$2</f>
        <v>443100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IFERROR(VLOOKUP(B286,input_443100!L:R,7,FALSE),VLOOKUP(tables_443100!C286,input_443100!A:H,8,FALSE))</f>
        <v>917073</v>
      </c>
      <c r="P286" s="46">
        <f t="shared" ca="1" si="13"/>
        <v>8.8401098901141582E-3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input_443100!A$2</f>
        <v>443100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IFERROR(VLOOKUP(B287,input_443100!L:R,7,FALSE),VLOOKUP(tables_443100!C287,input_443100!A:H,8,FALSE))</f>
        <v>3609.9999899999998</v>
      </c>
      <c r="P287" s="46">
        <f t="shared" ca="1" si="13"/>
        <v>3.4798534702156766E-5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input_443100!A$2</f>
        <v>443100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IFERROR(VLOOKUP(B288,input_443100!L:R,7,FALSE),VLOOKUP(tables_443100!C288,input_443100!A:H,8,FALSE))</f>
        <v>917073</v>
      </c>
      <c r="P288" s="46">
        <f t="shared" ca="1" si="13"/>
        <v>8.8401098901141582E-3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input_443100!A$2</f>
        <v>443100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IFERROR(VLOOKUP(B289,input_443100!L:R,7,FALSE),VLOOKUP(tables_443100!C289,input_443100!A:H,8,FALSE))</f>
        <v>3609.9999899999998</v>
      </c>
      <c r="P289" s="46">
        <f t="shared" ca="1" si="13"/>
        <v>3.4798534702156766E-5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input_443100!A$2</f>
        <v>443100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IFERROR(VLOOKUP(B290,input_443100!L:R,7,FALSE),VLOOKUP(tables_443100!C290,input_443100!A:H,8,FALSE))</f>
        <v>917073</v>
      </c>
      <c r="P290" s="46">
        <f t="shared" ca="1" si="13"/>
        <v>8.8401098901141582E-3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input_443100!A$2</f>
        <v>443100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IFERROR(VLOOKUP(B291,input_443100!L:R,7,FALSE),VLOOKUP(tables_443100!C291,input_443100!A:H,8,FALSE))</f>
        <v>3609.9999899999998</v>
      </c>
      <c r="P291" s="46">
        <f t="shared" ca="1" si="13"/>
        <v>3.4798534702156766E-5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input_443100!A$2</f>
        <v>443100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IFERROR(VLOOKUP(B292,input_443100!L:R,7,FALSE),VLOOKUP(tables_443100!C292,input_443100!A:H,8,FALSE))</f>
        <v>917073</v>
      </c>
      <c r="P292" s="46">
        <f t="shared" ca="1" si="13"/>
        <v>8.8401098901141582E-3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input_443100!A$2</f>
        <v>443100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IFERROR(VLOOKUP(B293,input_443100!L:R,7,FALSE),VLOOKUP(tables_443100!C293,input_443100!A:H,8,FALSE))</f>
        <v>3609.9999899999998</v>
      </c>
      <c r="P293" s="46">
        <f t="shared" ca="1" si="13"/>
        <v>3.4798534702156766E-5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input_443100!A$2</f>
        <v>443100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IFERROR(VLOOKUP(B294,input_443100!L:R,7,FALSE),VLOOKUP(tables_443100!C294,input_443100!A:H,8,FALSE))</f>
        <v>30940</v>
      </c>
      <c r="P294" s="46">
        <f t="shared" ca="1" si="13"/>
        <v>2.9824561403523172E-4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input_443100!A$2</f>
        <v>443100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IFERROR(VLOOKUP(B295,input_443100!L:R,7,FALSE),VLOOKUP(tables_443100!C295,input_443100!A:H,8,FALSE))</f>
        <v>30940</v>
      </c>
      <c r="P295" s="46">
        <f t="shared" ref="P295:P299" ca="1" si="20">O295/SUM(O:O)</f>
        <v>2.9824561403523172E-4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input_443100!A$2</f>
        <v>443100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IFERROR(VLOOKUP(B296,input_443100!L:R,7,FALSE),VLOOKUP(tables_443100!C296,input_443100!A:H,8,FALSE))</f>
        <v>30940</v>
      </c>
      <c r="P296" s="46">
        <f t="shared" ca="1" si="20"/>
        <v>2.9824561403523172E-4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input_443100!A$2</f>
        <v>443100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IFERROR(VLOOKUP(B297,input_443100!L:R,7,FALSE),VLOOKUP(tables_443100!C297,input_443100!A:H,8,FALSE))</f>
        <v>917073</v>
      </c>
      <c r="P297" s="46">
        <f t="shared" ca="1" si="20"/>
        <v>8.8401098901141582E-3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input_443100!A$2</f>
        <v>443100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IFERROR(VLOOKUP(B298,input_443100!L:R,7,FALSE),VLOOKUP(tables_443100!C298,input_443100!A:H,8,FALSE))</f>
        <v>3609.9999899999998</v>
      </c>
      <c r="P298" s="46">
        <f t="shared" ca="1" si="20"/>
        <v>3.4798534702156766E-5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input_443100!A$2</f>
        <v>443100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IFERROR(VLOOKUP(B299,input_443100!L:R,7,FALSE),VLOOKUP(tables_443100!C299,input_443100!A:H,8,FALSE))</f>
        <v>30940</v>
      </c>
      <c r="P299" s="46">
        <f t="shared" ca="1" si="20"/>
        <v>2.9824561403523172E-4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input_443100!A$2</f>
        <v>443100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IFERROR(VLOOKUP(B300,input_443100!L:R,7,FALSE),VLOOKUP(tables_443100!C300,input_443100!A:H,8,FALSE))</f>
        <v>30940</v>
      </c>
      <c r="P300" s="46">
        <f t="shared" ref="P300:P304" ca="1" si="22">O300/SUM(O:O)</f>
        <v>2.9824561403523172E-4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input_443100!A$2</f>
        <v>443100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IFERROR(VLOOKUP(B301,input_443100!L:R,7,FALSE),VLOOKUP(tables_443100!C301,input_443100!A:H,8,FALSE))</f>
        <v>30940</v>
      </c>
      <c r="P301" s="46">
        <f t="shared" ca="1" si="22"/>
        <v>2.9824561403523172E-4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input_443100!A$2</f>
        <v>443100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IFERROR(VLOOKUP(B302,input_443100!L:R,7,FALSE),VLOOKUP(tables_443100!C302,input_443100!A:H,8,FALSE))</f>
        <v>30940</v>
      </c>
      <c r="P302" s="46">
        <f t="shared" ca="1" si="22"/>
        <v>2.9824561403523172E-4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input_443100!A$2</f>
        <v>443100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IFERROR(VLOOKUP(B303,input_443100!L:R,7,FALSE),VLOOKUP(tables_443100!C303,input_443100!A:H,8,FALSE))</f>
        <v>917073</v>
      </c>
      <c r="P303" s="46">
        <f t="shared" ca="1" si="22"/>
        <v>8.8401098901141582E-3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input_443100!A$2</f>
        <v>443100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IFERROR(VLOOKUP(B304,input_443100!L:R,7,FALSE),VLOOKUP(tables_443100!C304,input_443100!A:H,8,FALSE))</f>
        <v>3609.9999899999998</v>
      </c>
      <c r="P304" s="46">
        <f t="shared" ca="1" si="22"/>
        <v>3.4798534702156766E-5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input_443100!A$2</f>
        <v>443100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IFERROR(VLOOKUP(B305,input_443100!L:R,7,FALSE),VLOOKUP(tables_443100!C305,input_443100!A:H,8,FALSE))</f>
        <v>30940</v>
      </c>
      <c r="P305" s="46">
        <f t="shared" ref="P305:P308" ca="1" si="24">O305/SUM(O:O)</f>
        <v>2.9824561403523172E-4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input_443100!A$2</f>
        <v>443100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IFERROR(VLOOKUP(B306,input_443100!L:R,7,FALSE),VLOOKUP(tables_443100!C306,input_443100!A:H,8,FALSE))</f>
        <v>917073</v>
      </c>
      <c r="P306" s="46">
        <f t="shared" ca="1" si="24"/>
        <v>8.8401098901141582E-3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input_443100!A$2</f>
        <v>443100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IFERROR(VLOOKUP(B307,input_443100!L:R,7,FALSE),VLOOKUP(tables_443100!C307,input_443100!A:H,8,FALSE))</f>
        <v>3609.9999899999998</v>
      </c>
      <c r="P307" s="46">
        <f t="shared" ca="1" si="24"/>
        <v>3.4798534702156766E-5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input_443100!A$2</f>
        <v>443100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IFERROR(VLOOKUP(B308,input_443100!L:R,7,FALSE),VLOOKUP(tables_443100!C308,input_443100!A:H,8,FALSE))</f>
        <v>30940</v>
      </c>
      <c r="P308" s="46">
        <f t="shared" ca="1" si="24"/>
        <v>2.9824561403523172E-4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input_443100!A$2</f>
        <v>443100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IFERROR(VLOOKUP(B309,input_443100!L:R,7,FALSE),VLOOKUP(tables_443100!C309,input_443100!A:H,8,FALSE))</f>
        <v>30940</v>
      </c>
      <c r="P309" s="46">
        <f t="shared" ref="P309" ca="1" si="26">O309/SUM(O:O)</f>
        <v>2.9824561403523172E-4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input_443100!A$2</f>
        <v>443100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IFERROR(VLOOKUP(B310,input_443100!L:R,7,FALSE),VLOOKUP(tables_443100!C310,input_443100!A:H,8,FALSE))</f>
        <v>30940</v>
      </c>
      <c r="P310" s="46">
        <f t="shared" ref="P310:P314" ca="1" si="28">O310/SUM(O:O)</f>
        <v>2.9824561403523172E-4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input_443100!A$2</f>
        <v>443100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IFERROR(VLOOKUP(B311,input_443100!L:R,7,FALSE),VLOOKUP(tables_443100!C311,input_443100!A:H,8,FALSE))</f>
        <v>917073</v>
      </c>
      <c r="P311" s="46">
        <f t="shared" ca="1" si="28"/>
        <v>8.8401098901141582E-3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input_443100!A$2</f>
        <v>443100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IFERROR(VLOOKUP(B312,input_443100!L:R,7,FALSE),VLOOKUP(tables_443100!C312,input_443100!A:H,8,FALSE))</f>
        <v>3609.9999899999998</v>
      </c>
      <c r="P312" s="46">
        <f t="shared" ca="1" si="28"/>
        <v>3.4798534702156766E-5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input_443100!A$2</f>
        <v>443100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IFERROR(VLOOKUP(B313,input_443100!L:R,7,FALSE),VLOOKUP(tables_443100!C313,input_443100!A:H,8,FALSE))</f>
        <v>30940</v>
      </c>
      <c r="P313" s="46">
        <f t="shared" ca="1" si="28"/>
        <v>2.9824561403523172E-4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input_443100!A$2</f>
        <v>443100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IFERROR(VLOOKUP(B314,input_443100!L:R,7,FALSE),VLOOKUP(tables_443100!C314,input_443100!A:H,8,FALSE))</f>
        <v>30940</v>
      </c>
      <c r="P314" s="46">
        <f t="shared" ca="1" si="28"/>
        <v>2.9824561403523172E-4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input_443100!A$2</f>
        <v>443100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IFERROR(VLOOKUP(B315,input_443100!L:R,7,FALSE),VLOOKUP(tables_443100!C315,input_443100!A:H,8,FALSE))</f>
        <v>30940</v>
      </c>
      <c r="P315" s="46">
        <f t="shared" ref="P315:P319" ca="1" si="30">O315/SUM(O:O)</f>
        <v>2.9824561403523172E-4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input_443100!A$2</f>
        <v>443100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IFERROR(VLOOKUP(B316,input_443100!L:R,7,FALSE),VLOOKUP(tables_443100!C316,input_443100!A:H,8,FALSE))</f>
        <v>30940</v>
      </c>
      <c r="P316" s="46">
        <f t="shared" ca="1" si="30"/>
        <v>2.9824561403523172E-4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input_443100!A$2</f>
        <v>443100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IFERROR(VLOOKUP(B317,input_443100!L:R,7,FALSE),VLOOKUP(tables_443100!C317,input_443100!A:H,8,FALSE))</f>
        <v>30940</v>
      </c>
      <c r="P317" s="46">
        <f t="shared" ca="1" si="30"/>
        <v>2.9824561403523172E-4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input_443100!A$2</f>
        <v>443100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IFERROR(VLOOKUP(B318,input_443100!L:R,7,FALSE),VLOOKUP(tables_443100!C318,input_443100!A:H,8,FALSE))</f>
        <v>917073</v>
      </c>
      <c r="P318" s="46">
        <f t="shared" ca="1" si="30"/>
        <v>8.8401098901141582E-3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input_443100!A$2</f>
        <v>443100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IFERROR(VLOOKUP(B319,input_443100!L:R,7,FALSE),VLOOKUP(tables_443100!C319,input_443100!A:H,8,FALSE))</f>
        <v>3609.9999899999998</v>
      </c>
      <c r="P319" s="46">
        <f t="shared" ca="1" si="30"/>
        <v>3.4798534702156766E-5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input_443100!A$2</f>
        <v>443100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IFERROR(VLOOKUP(B320,input_443100!L:R,7,FALSE),VLOOKUP(tables_443100!C320,input_443100!A:H,8,FALSE))</f>
        <v>30940</v>
      </c>
      <c r="P320" s="46">
        <f t="shared" ref="P320:P324" ca="1" si="32">O320/SUM(O:O)</f>
        <v>2.9824561403523172E-4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input_443100!A$2</f>
        <v>443100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IFERROR(VLOOKUP(B321,input_443100!L:R,7,FALSE),VLOOKUP(tables_443100!C321,input_443100!A:H,8,FALSE))</f>
        <v>30940</v>
      </c>
      <c r="P321" s="46">
        <f t="shared" ca="1" si="32"/>
        <v>2.9824561403523172E-4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input_443100!A$2</f>
        <v>443100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IFERROR(VLOOKUP(B322,input_443100!L:R,7,FALSE),VLOOKUP(tables_443100!C322,input_443100!A:H,8,FALSE))</f>
        <v>30940</v>
      </c>
      <c r="P322" s="46">
        <f t="shared" ca="1" si="32"/>
        <v>2.9824561403523172E-4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input_443100!A$2</f>
        <v>443100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IFERROR(VLOOKUP(B323,input_443100!L:R,7,FALSE),VLOOKUP(tables_443100!C323,input_443100!A:H,8,FALSE))</f>
        <v>30940</v>
      </c>
      <c r="P323" s="46">
        <f t="shared" ca="1" si="32"/>
        <v>2.9824561403523172E-4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input_443100!A$2</f>
        <v>443100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IFERROR(VLOOKUP(B324,input_443100!L:R,7,FALSE),VLOOKUP(tables_443100!C324,input_443100!A:H,8,FALSE))</f>
        <v>917073</v>
      </c>
      <c r="P324" s="46">
        <f t="shared" ca="1" si="32"/>
        <v>8.8401098901141582E-3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input_443100!A$2</f>
        <v>443100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IFERROR(VLOOKUP(B325,input_443100!L:R,7,FALSE),VLOOKUP(tables_443100!C325,input_443100!A:H,8,FALSE))</f>
        <v>3609.9999899999998</v>
      </c>
      <c r="P325" s="46">
        <f t="shared" ref="P325:P330" ca="1" si="35">O325/SUM(O:O)</f>
        <v>3.4798534702156766E-5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input_443100!A$2</f>
        <v>443100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IFERROR(VLOOKUP(B326,input_443100!L:R,7,FALSE),VLOOKUP(tables_443100!C326,input_443100!A:H,8,FALSE))</f>
        <v>917073</v>
      </c>
      <c r="P326" s="46">
        <f t="shared" ca="1" si="35"/>
        <v>8.8401098901141582E-3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input_443100!A$2</f>
        <v>443100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IFERROR(VLOOKUP(B327,input_443100!L:R,7,FALSE),VLOOKUP(tables_443100!C327,input_443100!A:H,8,FALSE))</f>
        <v>3609.9999899999998</v>
      </c>
      <c r="P327" s="46">
        <f t="shared" ca="1" si="35"/>
        <v>3.4798534702156766E-5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input_443100!A$2</f>
        <v>443100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IFERROR(VLOOKUP(B328,input_443100!L:R,7,FALSE),VLOOKUP(tables_443100!C328,input_443100!A:H,8,FALSE))</f>
        <v>30940</v>
      </c>
      <c r="P328" s="46">
        <f t="shared" ca="1" si="35"/>
        <v>2.9824561403523172E-4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input_443100!A$2</f>
        <v>443100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IFERROR(VLOOKUP(B329,input_443100!L:R,7,FALSE),VLOOKUP(tables_443100!C329,input_443100!A:H,8,FALSE))</f>
        <v>30940</v>
      </c>
      <c r="P329" s="46">
        <f t="shared" ca="1" si="35"/>
        <v>2.9824561403523172E-4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input_443100!A$2</f>
        <v>443100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IFERROR(VLOOKUP(B330,input_443100!L:R,7,FALSE),VLOOKUP(tables_443100!C330,input_443100!A:H,8,FALSE))</f>
        <v>30940</v>
      </c>
      <c r="P330" s="46">
        <f t="shared" ca="1" si="35"/>
        <v>2.9824561403523172E-4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input_443100!A$2</f>
        <v>443100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IFERROR(VLOOKUP(B331,input_443100!L:R,7,FALSE),VLOOKUP(tables_443100!C331,input_443100!A:H,8,FALSE))</f>
        <v>933659.99999999988</v>
      </c>
      <c r="P331" s="46">
        <f t="shared" ref="P331:P335" ca="1" si="38">O331/SUM(O:O)</f>
        <v>9.0000000000043431E-3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input_443100!A$2</f>
        <v>443100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IFERROR(VLOOKUP(B332,input_443100!L:R,7,FALSE),VLOOKUP(tables_443100!C332,input_443100!A:H,8,FALSE))</f>
        <v>1244880</v>
      </c>
      <c r="P332" s="46">
        <f t="shared" ca="1" si="38"/>
        <v>1.2000000000005792E-2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input_443100!A$2</f>
        <v>443100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IFERROR(VLOOKUP(B333,input_443100!L:R,7,FALSE),VLOOKUP(tables_443100!C333,input_443100!A:H,8,FALSE))</f>
        <v>1244880</v>
      </c>
      <c r="P333" s="46">
        <f t="shared" ca="1" si="38"/>
        <v>1.2000000000005792E-2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input_443100!A$2</f>
        <v>443100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IFERROR(VLOOKUP(B334,input_443100!L:R,7,FALSE),VLOOKUP(tables_443100!C334,input_443100!A:H,8,FALSE))</f>
        <v>8377005</v>
      </c>
      <c r="P334" s="46">
        <f t="shared" ca="1" si="38"/>
        <v>8.0750000000038985E-2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input_443100!A$2</f>
        <v>443100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IFERROR(VLOOKUP(B335,input_443100!L:R,7,FALSE),VLOOKUP(tables_443100!C335,input_443100!A:H,8,FALSE))</f>
        <v>440895.00000000006</v>
      </c>
      <c r="P335" s="46">
        <f t="shared" ca="1" si="38"/>
        <v>4.2500000000020525E-3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Q2" sqref="Q2:Q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input_443100!A$2</f>
        <v>443100</v>
      </c>
      <c r="B2" s="60">
        <v>1214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アルテミス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god</v>
      </c>
      <c r="N2" s="7">
        <f>VLOOKUP(B2,[1]characters!$A:$G,7,FALSE)</f>
        <v>0</v>
      </c>
      <c r="O2" s="45">
        <v>10</v>
      </c>
      <c r="P2" s="46">
        <f t="shared" ref="P2:P6" si="1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input_443100!A$2</f>
        <v>443100</v>
      </c>
      <c r="B3" s="60">
        <v>1212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クロノス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god</v>
      </c>
      <c r="N3" s="7">
        <f>VLOOKUP(B3,[1]characters!$A:$G,7,FALSE)</f>
        <v>0</v>
      </c>
      <c r="O3" s="45">
        <v>20</v>
      </c>
      <c r="P3" s="46">
        <f t="shared" si="1"/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input_443100!A$2</f>
        <v>443100</v>
      </c>
      <c r="B4" s="60">
        <v>1208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ネメシス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hp</v>
      </c>
      <c r="M4" s="7" t="str">
        <f>VLOOKUP(B4,[1]characters!$A:$M,13,FALSE)</f>
        <v>god</v>
      </c>
      <c r="N4" s="7">
        <f>VLOOKUP(B4,[1]characters!$A:$G,7,FALSE)</f>
        <v>0</v>
      </c>
      <c r="O4" s="45">
        <v>20</v>
      </c>
      <c r="P4" s="46">
        <f t="shared" si="1"/>
        <v>0.2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input_443100!A$2</f>
        <v>443100</v>
      </c>
      <c r="B5" s="93">
        <v>1210</v>
      </c>
      <c r="C5" s="7" t="str">
        <f t="shared" si="0"/>
        <v>Premium4R3less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ケンタウロス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god</v>
      </c>
      <c r="N5" s="7">
        <f>VLOOKUP(B5,[1]characters!$A:$G,7,FALSE)</f>
        <v>0</v>
      </c>
      <c r="O5" s="45">
        <v>45</v>
      </c>
      <c r="P5" s="46">
        <f t="shared" si="1"/>
        <v>0.45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input_443100!A$2</f>
        <v>443100</v>
      </c>
      <c r="B6" s="60">
        <v>1211</v>
      </c>
      <c r="C6" s="7" t="str">
        <f t="shared" si="0"/>
        <v>Premium5R3less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奏駆の翻騎 ケンタウロス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attack</v>
      </c>
      <c r="M6" s="7" t="str">
        <f>VLOOKUP(B6,[1]characters!$A:$M,13,FALSE)</f>
        <v>god</v>
      </c>
      <c r="N6" s="7">
        <f>VLOOKUP(B6,[1]characters!$A:$G,7,FALSE)</f>
        <v>0</v>
      </c>
      <c r="O6" s="45">
        <v>5</v>
      </c>
      <c r="P6" s="46">
        <f t="shared" si="1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0"/>
      <c r="P7" s="101"/>
      <c r="Q7" s="102"/>
      <c r="R7" s="102"/>
      <c r="S7" s="102"/>
      <c r="T7" s="102"/>
      <c r="U7" s="102"/>
      <c r="V7" s="102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0"/>
      <c r="P8" s="101"/>
      <c r="Q8" s="102"/>
      <c r="R8" s="102"/>
      <c r="S8" s="102"/>
      <c r="T8" s="102"/>
      <c r="U8" s="102"/>
      <c r="V8" s="102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0"/>
      <c r="P9" s="101"/>
      <c r="Q9" s="102"/>
      <c r="R9" s="102"/>
      <c r="S9" s="102"/>
      <c r="T9" s="102"/>
      <c r="U9" s="102"/>
      <c r="V9" s="102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0"/>
      <c r="P10" s="101"/>
      <c r="Q10" s="102"/>
      <c r="R10" s="102"/>
      <c r="S10" s="102"/>
      <c r="T10" s="102"/>
      <c r="U10" s="102"/>
      <c r="V10" s="102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0"/>
      <c r="P11" s="101"/>
      <c r="Q11" s="102"/>
      <c r="R11" s="102"/>
      <c r="S11" s="102"/>
      <c r="T11" s="102"/>
      <c r="U11" s="102"/>
      <c r="V11" s="102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0"/>
      <c r="P12" s="101"/>
      <c r="Q12" s="102"/>
      <c r="R12" s="102"/>
      <c r="S12" s="102"/>
      <c r="T12" s="102"/>
      <c r="U12" s="102"/>
      <c r="V12" s="102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0"/>
      <c r="P13" s="101"/>
      <c r="Q13" s="102"/>
      <c r="R13" s="102"/>
      <c r="S13" s="102"/>
      <c r="T13" s="102"/>
      <c r="U13" s="102"/>
      <c r="V13" s="102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0"/>
      <c r="P14" s="101"/>
      <c r="Q14" s="102"/>
      <c r="R14" s="102"/>
      <c r="S14" s="102"/>
      <c r="T14" s="102"/>
      <c r="U14" s="102"/>
      <c r="V14" s="102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0"/>
      <c r="P15" s="101"/>
      <c r="Q15" s="102"/>
      <c r="R15" s="102"/>
      <c r="S15" s="102"/>
      <c r="T15" s="102"/>
      <c r="U15" s="102"/>
      <c r="V15" s="102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0"/>
      <c r="P16" s="101"/>
      <c r="Q16" s="102"/>
      <c r="R16" s="102"/>
      <c r="S16" s="102"/>
      <c r="T16" s="102"/>
      <c r="U16" s="102"/>
      <c r="V16" s="102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0"/>
      <c r="P17" s="101"/>
      <c r="Q17" s="102"/>
      <c r="R17" s="102"/>
      <c r="S17" s="102"/>
      <c r="T17" s="102"/>
      <c r="U17" s="102"/>
      <c r="V17" s="102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0"/>
      <c r="P18" s="101"/>
      <c r="Q18" s="102"/>
      <c r="R18" s="102"/>
      <c r="S18" s="102"/>
      <c r="T18" s="102"/>
      <c r="U18" s="102"/>
      <c r="V18" s="102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0"/>
      <c r="P19" s="101"/>
      <c r="Q19" s="102"/>
      <c r="R19" s="102"/>
      <c r="S19" s="102"/>
      <c r="T19" s="102"/>
      <c r="U19" s="102"/>
      <c r="V19" s="102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0"/>
      <c r="P20" s="101"/>
      <c r="Q20" s="102"/>
      <c r="R20" s="102"/>
      <c r="S20" s="102"/>
      <c r="T20" s="102"/>
      <c r="U20" s="102"/>
      <c r="V20" s="102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0"/>
      <c r="P21" s="101"/>
      <c r="Q21" s="102"/>
      <c r="R21" s="102"/>
      <c r="S21" s="102"/>
      <c r="T21" s="102"/>
      <c r="U21" s="102"/>
      <c r="V21" s="102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0"/>
      <c r="P22" s="101"/>
      <c r="Q22" s="102"/>
      <c r="R22" s="102"/>
      <c r="S22" s="102"/>
      <c r="T22" s="102"/>
      <c r="U22" s="102"/>
      <c r="V22" s="102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0"/>
      <c r="P23" s="101"/>
      <c r="Q23" s="102"/>
      <c r="R23" s="102"/>
      <c r="S23" s="102"/>
      <c r="T23" s="102"/>
      <c r="U23" s="102"/>
      <c r="V23" s="102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0"/>
      <c r="P24" s="101"/>
      <c r="Q24" s="102"/>
      <c r="R24" s="102"/>
      <c r="S24" s="102"/>
      <c r="T24" s="102"/>
      <c r="U24" s="102"/>
      <c r="V24" s="102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0"/>
      <c r="P25" s="101"/>
      <c r="Q25" s="102"/>
      <c r="R25" s="102"/>
      <c r="S25" s="102"/>
      <c r="T25" s="102"/>
      <c r="U25" s="102"/>
      <c r="V25" s="102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0"/>
      <c r="P26" s="101"/>
      <c r="Q26" s="102"/>
      <c r="R26" s="102"/>
      <c r="S26" s="102"/>
      <c r="T26" s="102"/>
      <c r="U26" s="102"/>
      <c r="V26" s="102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0"/>
      <c r="P27" s="101"/>
      <c r="Q27" s="102"/>
      <c r="R27" s="102"/>
      <c r="S27" s="102"/>
      <c r="T27" s="102"/>
      <c r="U27" s="102"/>
      <c r="V27" s="102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0"/>
      <c r="P28" s="101"/>
      <c r="Q28" s="102"/>
      <c r="R28" s="102"/>
      <c r="S28" s="102"/>
      <c r="T28" s="102"/>
      <c r="U28" s="102"/>
      <c r="V28" s="102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0"/>
      <c r="P29" s="101"/>
      <c r="Q29" s="102"/>
      <c r="R29" s="102"/>
      <c r="S29" s="102"/>
      <c r="T29" s="102"/>
      <c r="U29" s="102"/>
      <c r="V29" s="102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100"/>
      <c r="P30" s="101"/>
      <c r="Q30" s="102"/>
      <c r="R30" s="102"/>
      <c r="S30" s="102"/>
      <c r="T30" s="102"/>
      <c r="U30" s="102"/>
      <c r="V30" s="102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100"/>
      <c r="P31" s="101"/>
      <c r="Q31" s="102"/>
      <c r="R31" s="102"/>
      <c r="S31" s="102"/>
      <c r="T31" s="102"/>
      <c r="U31" s="102"/>
      <c r="V31" s="102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100"/>
      <c r="P32" s="101"/>
      <c r="Q32" s="102"/>
      <c r="R32" s="102"/>
      <c r="S32" s="102"/>
      <c r="T32" s="102"/>
      <c r="U32" s="102"/>
      <c r="V32" s="102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0"/>
      <c r="P33" s="101"/>
      <c r="Q33" s="102"/>
      <c r="R33" s="102"/>
      <c r="S33" s="102"/>
      <c r="T33" s="102"/>
      <c r="U33" s="102"/>
      <c r="V33" s="102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0"/>
      <c r="P34" s="101"/>
      <c r="Q34" s="102"/>
      <c r="R34" s="102"/>
      <c r="S34" s="102"/>
      <c r="T34" s="102"/>
      <c r="U34" s="102"/>
      <c r="V34" s="102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100"/>
      <c r="P35" s="101"/>
      <c r="Q35" s="102"/>
      <c r="R35" s="102"/>
      <c r="S35" s="102"/>
      <c r="T35" s="102"/>
      <c r="U35" s="102"/>
      <c r="V35" s="102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100"/>
      <c r="P36" s="101"/>
      <c r="Q36" s="102"/>
      <c r="R36" s="102"/>
      <c r="S36" s="102"/>
      <c r="T36" s="102"/>
      <c r="U36" s="102"/>
      <c r="V36" s="102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100"/>
      <c r="P37" s="101"/>
      <c r="Q37" s="102"/>
      <c r="R37" s="102"/>
      <c r="S37" s="102"/>
      <c r="T37" s="102"/>
      <c r="U37" s="102"/>
      <c r="V37" s="102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100"/>
      <c r="P38" s="101"/>
      <c r="Q38" s="102"/>
      <c r="R38" s="102"/>
      <c r="S38" s="102"/>
      <c r="T38" s="102"/>
      <c r="U38" s="102"/>
      <c r="V38" s="102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100"/>
      <c r="P39" s="101"/>
      <c r="Q39" s="102"/>
      <c r="R39" s="102"/>
      <c r="S39" s="102"/>
      <c r="T39" s="102"/>
      <c r="U39" s="102"/>
      <c r="V39" s="102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100"/>
      <c r="P40" s="101"/>
      <c r="Q40" s="102"/>
      <c r="R40" s="102"/>
      <c r="S40" s="102"/>
      <c r="T40" s="102"/>
      <c r="U40" s="102"/>
      <c r="V40" s="102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100"/>
      <c r="P41" s="101"/>
      <c r="Q41" s="102"/>
      <c r="R41" s="102"/>
      <c r="S41" s="102"/>
      <c r="T41" s="102"/>
      <c r="U41" s="102"/>
      <c r="V41" s="102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100"/>
      <c r="P42" s="101"/>
      <c r="Q42" s="102"/>
      <c r="R42" s="102"/>
      <c r="S42" s="102"/>
      <c r="T42" s="102"/>
      <c r="U42" s="102"/>
      <c r="V42" s="102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100"/>
      <c r="P43" s="101"/>
      <c r="Q43" s="102"/>
      <c r="R43" s="102"/>
      <c r="S43" s="102"/>
      <c r="T43" s="102"/>
      <c r="U43" s="102"/>
      <c r="V43" s="102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100"/>
      <c r="P44" s="101"/>
      <c r="Q44" s="102"/>
      <c r="R44" s="102"/>
      <c r="S44" s="102"/>
      <c r="T44" s="102"/>
      <c r="U44" s="102"/>
      <c r="V44" s="102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100"/>
      <c r="P45" s="101"/>
      <c r="Q45" s="102"/>
      <c r="R45" s="102"/>
      <c r="S45" s="102"/>
      <c r="T45" s="102"/>
      <c r="U45" s="102"/>
      <c r="V45" s="102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100"/>
      <c r="P46" s="101"/>
      <c r="Q46" s="102"/>
      <c r="R46" s="102"/>
      <c r="S46" s="102"/>
      <c r="T46" s="102"/>
      <c r="U46" s="102"/>
      <c r="V46" s="102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100"/>
      <c r="P47" s="101"/>
      <c r="Q47" s="102"/>
      <c r="R47" s="102"/>
      <c r="S47" s="102"/>
      <c r="T47" s="102"/>
      <c r="U47" s="102"/>
      <c r="V47" s="102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100"/>
      <c r="P48" s="101"/>
      <c r="Q48" s="102"/>
      <c r="R48" s="102"/>
      <c r="S48" s="102"/>
      <c r="T48" s="102"/>
      <c r="U48" s="102"/>
      <c r="V48" s="102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100"/>
      <c r="P49" s="101"/>
      <c r="Q49" s="102"/>
      <c r="R49" s="102"/>
      <c r="S49" s="102"/>
      <c r="T49" s="102"/>
      <c r="U49" s="102"/>
      <c r="V49" s="102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100"/>
      <c r="P50" s="101"/>
      <c r="Q50" s="102"/>
      <c r="R50" s="102"/>
      <c r="S50" s="102"/>
      <c r="T50" s="102"/>
      <c r="U50" s="102"/>
      <c r="V50" s="102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100"/>
      <c r="P51" s="101"/>
      <c r="Q51" s="102"/>
      <c r="R51" s="102"/>
      <c r="S51" s="102"/>
      <c r="T51" s="102"/>
      <c r="U51" s="102"/>
      <c r="V51" s="102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100"/>
      <c r="P52" s="101"/>
      <c r="Q52" s="102"/>
      <c r="R52" s="102"/>
      <c r="S52" s="102"/>
      <c r="T52" s="102"/>
      <c r="U52" s="102"/>
      <c r="V52" s="102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100"/>
      <c r="P53" s="101"/>
      <c r="Q53" s="102"/>
      <c r="R53" s="102"/>
      <c r="S53" s="102"/>
      <c r="T53" s="102"/>
      <c r="U53" s="102"/>
      <c r="V53" s="102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100"/>
      <c r="P54" s="101"/>
      <c r="Q54" s="102"/>
      <c r="R54" s="102"/>
      <c r="S54" s="102"/>
      <c r="T54" s="102"/>
      <c r="U54" s="102"/>
      <c r="V54" s="102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100"/>
      <c r="P55" s="101"/>
      <c r="Q55" s="102"/>
      <c r="R55" s="102"/>
      <c r="S55" s="102"/>
      <c r="T55" s="102"/>
      <c r="U55" s="102"/>
      <c r="V55" s="102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100"/>
      <c r="P56" s="101"/>
      <c r="Q56" s="102"/>
      <c r="R56" s="102"/>
      <c r="S56" s="102"/>
      <c r="T56" s="102"/>
      <c r="U56" s="102"/>
      <c r="V56" s="102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100"/>
      <c r="P57" s="101"/>
      <c r="Q57" s="102"/>
      <c r="R57" s="102"/>
      <c r="S57" s="102"/>
      <c r="T57" s="102"/>
      <c r="U57" s="102"/>
      <c r="V57" s="102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100"/>
      <c r="P58" s="101"/>
      <c r="Q58" s="102"/>
      <c r="R58" s="102"/>
      <c r="S58" s="102"/>
      <c r="T58" s="102"/>
      <c r="U58" s="102"/>
      <c r="V58" s="102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100"/>
      <c r="P59" s="101"/>
      <c r="Q59" s="102"/>
      <c r="R59" s="102"/>
      <c r="S59" s="102"/>
      <c r="T59" s="102"/>
      <c r="U59" s="102"/>
      <c r="V59" s="102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100"/>
      <c r="P60" s="101"/>
      <c r="Q60" s="102"/>
      <c r="R60" s="102"/>
      <c r="S60" s="102"/>
      <c r="T60" s="102"/>
      <c r="U60" s="102"/>
      <c r="V60" s="102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100"/>
      <c r="P61" s="101"/>
      <c r="Q61" s="102"/>
      <c r="R61" s="102"/>
      <c r="S61" s="102"/>
      <c r="T61" s="102"/>
      <c r="U61" s="102"/>
      <c r="V61" s="102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100"/>
      <c r="P62" s="101"/>
      <c r="Q62" s="102"/>
      <c r="R62" s="102"/>
      <c r="S62" s="102"/>
      <c r="T62" s="102"/>
      <c r="U62" s="102"/>
      <c r="V62" s="102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100"/>
      <c r="P63" s="101"/>
      <c r="Q63" s="102"/>
      <c r="R63" s="102"/>
      <c r="S63" s="102"/>
      <c r="T63" s="102"/>
      <c r="U63" s="102"/>
      <c r="V63" s="102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100"/>
      <c r="P64" s="101"/>
      <c r="Q64" s="102"/>
      <c r="R64" s="102"/>
      <c r="S64" s="102"/>
      <c r="T64" s="102"/>
      <c r="U64" s="102"/>
      <c r="V64" s="102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100"/>
      <c r="P65" s="101"/>
      <c r="Q65" s="102"/>
      <c r="R65" s="102"/>
      <c r="S65" s="102"/>
      <c r="T65" s="102"/>
      <c r="U65" s="102"/>
      <c r="V65" s="102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100"/>
      <c r="P66" s="101"/>
      <c r="Q66" s="102"/>
      <c r="R66" s="102"/>
      <c r="S66" s="102"/>
      <c r="T66" s="102"/>
      <c r="U66" s="102"/>
      <c r="V66" s="102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100"/>
      <c r="P67" s="101"/>
      <c r="Q67" s="102"/>
      <c r="R67" s="102"/>
      <c r="S67" s="102"/>
      <c r="T67" s="102"/>
      <c r="U67" s="102"/>
      <c r="V67" s="102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100"/>
      <c r="P68" s="101"/>
      <c r="Q68" s="102"/>
      <c r="R68" s="102"/>
      <c r="S68" s="102"/>
      <c r="T68" s="102"/>
      <c r="U68" s="102"/>
      <c r="V68" s="102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100"/>
      <c r="P69" s="101"/>
      <c r="Q69" s="102"/>
      <c r="R69" s="102"/>
      <c r="S69" s="102"/>
      <c r="T69" s="102"/>
      <c r="U69" s="102"/>
      <c r="V69" s="102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100"/>
      <c r="P70" s="101"/>
      <c r="Q70" s="102"/>
      <c r="R70" s="102"/>
      <c r="S70" s="102"/>
      <c r="T70" s="102"/>
      <c r="U70" s="102"/>
      <c r="V70" s="102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100"/>
      <c r="P71" s="101"/>
      <c r="Q71" s="102"/>
      <c r="R71" s="102"/>
      <c r="S71" s="102"/>
      <c r="T71" s="102"/>
      <c r="U71" s="102"/>
      <c r="V71" s="102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100"/>
      <c r="P72" s="101"/>
      <c r="Q72" s="102"/>
      <c r="R72" s="102"/>
      <c r="S72" s="102"/>
      <c r="T72" s="102"/>
      <c r="U72" s="102"/>
      <c r="V72" s="102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100"/>
      <c r="P73" s="101"/>
      <c r="Q73" s="102"/>
      <c r="R73" s="102"/>
      <c r="S73" s="102"/>
      <c r="T73" s="102"/>
      <c r="U73" s="102"/>
      <c r="V73" s="102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100"/>
      <c r="P74" s="101"/>
      <c r="Q74" s="102"/>
      <c r="R74" s="102"/>
      <c r="S74" s="102"/>
      <c r="T74" s="102"/>
      <c r="U74" s="102"/>
      <c r="V74" s="102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100"/>
      <c r="P75" s="101"/>
      <c r="Q75" s="102"/>
      <c r="R75" s="102"/>
      <c r="S75" s="102"/>
      <c r="T75" s="102"/>
      <c r="U75" s="102"/>
      <c r="V75" s="102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100"/>
      <c r="P76" s="101"/>
      <c r="Q76" s="102"/>
      <c r="R76" s="102"/>
      <c r="S76" s="102"/>
      <c r="T76" s="102"/>
      <c r="U76" s="102"/>
      <c r="V76" s="102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100"/>
      <c r="P77" s="101"/>
      <c r="Q77" s="102"/>
      <c r="R77" s="102"/>
      <c r="S77" s="102"/>
      <c r="T77" s="102"/>
      <c r="U77" s="102"/>
      <c r="V77" s="102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100"/>
      <c r="P78" s="101"/>
      <c r="Q78" s="102"/>
      <c r="R78" s="102"/>
      <c r="S78" s="102"/>
      <c r="T78" s="102"/>
      <c r="U78" s="102"/>
      <c r="V78" s="102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100"/>
      <c r="P79" s="101"/>
      <c r="Q79" s="102"/>
      <c r="R79" s="102"/>
      <c r="S79" s="102"/>
      <c r="T79" s="102"/>
      <c r="U79" s="102"/>
      <c r="V79" s="102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100"/>
      <c r="P80" s="101"/>
      <c r="Q80" s="102"/>
      <c r="R80" s="102"/>
      <c r="S80" s="102"/>
      <c r="T80" s="102"/>
      <c r="U80" s="102"/>
      <c r="V80" s="102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100"/>
      <c r="P81" s="101"/>
      <c r="Q81" s="102"/>
      <c r="R81" s="102"/>
      <c r="S81" s="102"/>
      <c r="T81" s="102"/>
      <c r="U81" s="102"/>
      <c r="V81" s="102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100"/>
      <c r="P82" s="101"/>
      <c r="Q82" s="102"/>
      <c r="R82" s="102"/>
      <c r="S82" s="102"/>
      <c r="T82" s="102"/>
      <c r="U82" s="102"/>
      <c r="V82" s="102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100"/>
      <c r="P83" s="101"/>
      <c r="Q83" s="102"/>
      <c r="R83" s="102"/>
      <c r="S83" s="102"/>
      <c r="T83" s="102"/>
      <c r="U83" s="102"/>
      <c r="V83" s="102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100"/>
      <c r="P84" s="101"/>
      <c r="Q84" s="102"/>
      <c r="R84" s="102"/>
      <c r="S84" s="102"/>
      <c r="T84" s="102"/>
      <c r="U84" s="102"/>
      <c r="V84" s="102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100"/>
      <c r="P85" s="101"/>
      <c r="Q85" s="102"/>
      <c r="R85" s="102"/>
      <c r="S85" s="102"/>
      <c r="T85" s="102"/>
      <c r="U85" s="102"/>
      <c r="V85" s="102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100"/>
      <c r="P86" s="101"/>
      <c r="Q86" s="102"/>
      <c r="R86" s="102"/>
      <c r="S86" s="102"/>
      <c r="T86" s="102"/>
      <c r="U86" s="102"/>
      <c r="V86" s="102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100"/>
      <c r="P87" s="101"/>
      <c r="Q87" s="102"/>
      <c r="R87" s="102"/>
      <c r="S87" s="102"/>
      <c r="T87" s="102"/>
      <c r="U87" s="102"/>
      <c r="V87" s="102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100"/>
      <c r="P88" s="101"/>
      <c r="Q88" s="102"/>
      <c r="R88" s="102"/>
      <c r="S88" s="102"/>
      <c r="T88" s="102"/>
      <c r="U88" s="102"/>
      <c r="V88" s="102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100"/>
      <c r="P89" s="101"/>
      <c r="Q89" s="102"/>
      <c r="R89" s="102"/>
      <c r="S89" s="102"/>
      <c r="T89" s="102"/>
      <c r="U89" s="102"/>
      <c r="V89" s="102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100"/>
      <c r="P90" s="101"/>
      <c r="Q90" s="102"/>
      <c r="R90" s="102"/>
      <c r="S90" s="102"/>
      <c r="T90" s="102"/>
      <c r="U90" s="102"/>
      <c r="V90" s="102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100"/>
      <c r="P91" s="101"/>
      <c r="Q91" s="102"/>
      <c r="R91" s="102"/>
      <c r="S91" s="102"/>
      <c r="T91" s="102"/>
      <c r="U91" s="102"/>
      <c r="V91" s="102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100"/>
      <c r="P92" s="101"/>
      <c r="Q92" s="102"/>
      <c r="R92" s="102"/>
      <c r="S92" s="102"/>
      <c r="T92" s="102"/>
      <c r="U92" s="102"/>
      <c r="V92" s="102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100"/>
      <c r="P93" s="101"/>
      <c r="Q93" s="102"/>
      <c r="R93" s="102"/>
      <c r="S93" s="102"/>
      <c r="T93" s="102"/>
      <c r="U93" s="102"/>
      <c r="V93" s="102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100"/>
      <c r="P94" s="101"/>
      <c r="Q94" s="102"/>
      <c r="R94" s="102"/>
      <c r="S94" s="102"/>
      <c r="T94" s="102"/>
      <c r="U94" s="102"/>
      <c r="V94" s="102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100"/>
      <c r="P95" s="101"/>
      <c r="Q95" s="102"/>
      <c r="R95" s="102"/>
      <c r="S95" s="102"/>
      <c r="T95" s="102"/>
      <c r="U95" s="102"/>
      <c r="V95" s="102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100"/>
      <c r="P96" s="101"/>
      <c r="Q96" s="102"/>
      <c r="R96" s="102"/>
      <c r="S96" s="102"/>
      <c r="T96" s="102"/>
      <c r="U96" s="102"/>
      <c r="V96" s="102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100"/>
      <c r="P97" s="101"/>
      <c r="Q97" s="102"/>
      <c r="R97" s="102"/>
      <c r="S97" s="102"/>
      <c r="T97" s="102"/>
      <c r="U97" s="102"/>
      <c r="V97" s="102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100"/>
      <c r="P98" s="101"/>
      <c r="Q98" s="102"/>
      <c r="R98" s="102"/>
      <c r="S98" s="102"/>
      <c r="T98" s="102"/>
      <c r="U98" s="102"/>
      <c r="V98" s="102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100"/>
      <c r="P99" s="101"/>
      <c r="Q99" s="102"/>
      <c r="R99" s="102"/>
      <c r="S99" s="102"/>
      <c r="T99" s="102"/>
      <c r="U99" s="102"/>
      <c r="V99" s="102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100"/>
      <c r="P100" s="101"/>
      <c r="Q100" s="102"/>
      <c r="R100" s="102"/>
      <c r="S100" s="102"/>
      <c r="T100" s="102"/>
      <c r="U100" s="102"/>
      <c r="V100" s="102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100"/>
      <c r="P101" s="101"/>
      <c r="Q101" s="102"/>
      <c r="R101" s="102"/>
      <c r="S101" s="102"/>
      <c r="T101" s="102"/>
      <c r="U101" s="102"/>
      <c r="V101" s="102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100"/>
      <c r="P102" s="101"/>
      <c r="Q102" s="102"/>
      <c r="R102" s="102"/>
      <c r="S102" s="102"/>
      <c r="T102" s="102"/>
      <c r="U102" s="102"/>
      <c r="V102" s="102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100"/>
      <c r="P103" s="101"/>
      <c r="Q103" s="102"/>
      <c r="R103" s="102"/>
      <c r="S103" s="102"/>
      <c r="T103" s="102"/>
      <c r="U103" s="102"/>
      <c r="V103" s="102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100"/>
      <c r="P104" s="101"/>
      <c r="Q104" s="102"/>
      <c r="R104" s="102"/>
      <c r="S104" s="102"/>
      <c r="T104" s="102"/>
      <c r="U104" s="102"/>
      <c r="V104" s="102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100"/>
      <c r="P105" s="101"/>
      <c r="Q105" s="102"/>
      <c r="R105" s="102"/>
      <c r="S105" s="102"/>
      <c r="T105" s="102"/>
      <c r="U105" s="102"/>
      <c r="V105" s="102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100"/>
      <c r="P106" s="101"/>
      <c r="Q106" s="102"/>
      <c r="R106" s="102"/>
      <c r="S106" s="102"/>
      <c r="T106" s="102"/>
      <c r="U106" s="102"/>
      <c r="V106" s="102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100"/>
      <c r="P107" s="101"/>
      <c r="Q107" s="102"/>
      <c r="R107" s="102"/>
      <c r="S107" s="102"/>
      <c r="T107" s="102"/>
      <c r="U107" s="102"/>
      <c r="V107" s="102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100"/>
      <c r="P108" s="101"/>
      <c r="Q108" s="102"/>
      <c r="R108" s="102"/>
      <c r="S108" s="102"/>
      <c r="T108" s="102"/>
      <c r="U108" s="102"/>
      <c r="V108" s="102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100"/>
      <c r="P109" s="101"/>
      <c r="Q109" s="102"/>
      <c r="R109" s="102"/>
      <c r="S109" s="102"/>
      <c r="T109" s="102"/>
      <c r="U109" s="102"/>
      <c r="V109" s="102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100"/>
      <c r="P110" s="101"/>
      <c r="Q110" s="102"/>
      <c r="R110" s="102"/>
      <c r="S110" s="102"/>
      <c r="T110" s="102"/>
      <c r="U110" s="102"/>
      <c r="V110" s="102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100"/>
      <c r="P111" s="101"/>
      <c r="Q111" s="102"/>
      <c r="R111" s="102"/>
      <c r="S111" s="102"/>
      <c r="T111" s="102"/>
      <c r="U111" s="102"/>
      <c r="V111" s="102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100"/>
      <c r="P112" s="101"/>
      <c r="Q112" s="102"/>
      <c r="R112" s="102"/>
      <c r="S112" s="102"/>
      <c r="T112" s="102"/>
      <c r="U112" s="102"/>
      <c r="V112" s="102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100"/>
      <c r="P113" s="101"/>
      <c r="Q113" s="102"/>
      <c r="R113" s="102"/>
      <c r="S113" s="102"/>
      <c r="T113" s="102"/>
      <c r="U113" s="102"/>
      <c r="V113" s="102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100"/>
      <c r="P114" s="101"/>
      <c r="Q114" s="102"/>
      <c r="R114" s="102"/>
      <c r="S114" s="102"/>
      <c r="T114" s="102"/>
      <c r="U114" s="102"/>
      <c r="V114" s="102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100"/>
      <c r="P115" s="101"/>
      <c r="Q115" s="102"/>
      <c r="R115" s="102"/>
      <c r="S115" s="102"/>
      <c r="T115" s="102"/>
      <c r="U115" s="102"/>
      <c r="V115" s="102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100"/>
      <c r="P116" s="101"/>
      <c r="Q116" s="102"/>
      <c r="R116" s="102"/>
      <c r="S116" s="102"/>
      <c r="T116" s="102"/>
      <c r="U116" s="102"/>
      <c r="V116" s="102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100"/>
      <c r="P117" s="101"/>
      <c r="Q117" s="102"/>
      <c r="R117" s="102"/>
      <c r="S117" s="102"/>
      <c r="T117" s="102"/>
      <c r="U117" s="102"/>
      <c r="V117" s="102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100"/>
      <c r="P118" s="101"/>
      <c r="Q118" s="102"/>
      <c r="R118" s="102"/>
      <c r="S118" s="102"/>
      <c r="T118" s="102"/>
      <c r="U118" s="102"/>
      <c r="V118" s="102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100"/>
      <c r="P119" s="101"/>
      <c r="Q119" s="102"/>
      <c r="R119" s="102"/>
      <c r="S119" s="102"/>
      <c r="T119" s="102"/>
      <c r="U119" s="102"/>
      <c r="V119" s="102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100"/>
      <c r="P120" s="101"/>
      <c r="Q120" s="102"/>
      <c r="R120" s="102"/>
      <c r="S120" s="102"/>
      <c r="T120" s="102"/>
      <c r="U120" s="102"/>
      <c r="V120" s="102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100"/>
      <c r="P121" s="101"/>
      <c r="Q121" s="102"/>
      <c r="R121" s="102"/>
      <c r="S121" s="102"/>
      <c r="T121" s="102"/>
      <c r="U121" s="102"/>
      <c r="V121" s="102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100"/>
      <c r="P122" s="101"/>
      <c r="Q122" s="102"/>
      <c r="R122" s="102"/>
      <c r="S122" s="102"/>
      <c r="T122" s="102"/>
      <c r="U122" s="102"/>
      <c r="V122" s="102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100"/>
      <c r="P123" s="101"/>
      <c r="Q123" s="102"/>
      <c r="R123" s="102"/>
      <c r="S123" s="102"/>
      <c r="T123" s="102"/>
      <c r="U123" s="102"/>
      <c r="V123" s="102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100"/>
      <c r="P124" s="101"/>
      <c r="Q124" s="102"/>
      <c r="R124" s="102"/>
      <c r="S124" s="102"/>
      <c r="T124" s="102"/>
      <c r="U124" s="102"/>
      <c r="V124" s="102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100"/>
      <c r="P125" s="101"/>
      <c r="Q125" s="102"/>
      <c r="R125" s="102"/>
      <c r="S125" s="102"/>
      <c r="T125" s="102"/>
      <c r="U125" s="102"/>
      <c r="V125" s="102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100"/>
      <c r="P126" s="101"/>
      <c r="Q126" s="102"/>
      <c r="R126" s="102"/>
      <c r="S126" s="102"/>
      <c r="T126" s="102"/>
      <c r="U126" s="102"/>
      <c r="V126" s="102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100"/>
      <c r="P127" s="101"/>
      <c r="Q127" s="102"/>
      <c r="R127" s="102"/>
      <c r="S127" s="102"/>
      <c r="T127" s="102"/>
      <c r="U127" s="102"/>
      <c r="V127" s="102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100"/>
      <c r="P128" s="101"/>
      <c r="Q128" s="102"/>
      <c r="R128" s="102"/>
      <c r="S128" s="102"/>
      <c r="T128" s="102"/>
      <c r="U128" s="102"/>
      <c r="V128" s="102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100"/>
      <c r="P129" s="101"/>
      <c r="Q129" s="102"/>
      <c r="R129" s="102"/>
      <c r="S129" s="102"/>
      <c r="T129" s="102"/>
      <c r="U129" s="102"/>
      <c r="V129" s="102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100"/>
      <c r="P130" s="101"/>
      <c r="Q130" s="102"/>
      <c r="R130" s="102"/>
      <c r="S130" s="102"/>
      <c r="T130" s="102"/>
      <c r="U130" s="102"/>
      <c r="V130" s="102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100"/>
      <c r="P131" s="101"/>
      <c r="Q131" s="102"/>
      <c r="R131" s="102"/>
      <c r="S131" s="102"/>
      <c r="T131" s="102"/>
      <c r="U131" s="102"/>
      <c r="V131" s="102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100"/>
      <c r="P132" s="101"/>
      <c r="Q132" s="102"/>
      <c r="R132" s="102"/>
      <c r="S132" s="102"/>
      <c r="T132" s="102"/>
      <c r="U132" s="102"/>
      <c r="V132" s="102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100"/>
      <c r="P133" s="101"/>
      <c r="Q133" s="102"/>
      <c r="R133" s="102"/>
      <c r="S133" s="102"/>
      <c r="T133" s="102"/>
      <c r="U133" s="102"/>
      <c r="V133" s="102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100"/>
      <c r="P134" s="101"/>
      <c r="Q134" s="102"/>
      <c r="R134" s="102"/>
      <c r="S134" s="102"/>
      <c r="T134" s="102"/>
      <c r="U134" s="102"/>
      <c r="V134" s="102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100"/>
      <c r="P135" s="101"/>
      <c r="Q135" s="102"/>
      <c r="R135" s="102"/>
      <c r="S135" s="102"/>
      <c r="T135" s="102"/>
      <c r="U135" s="102"/>
      <c r="V135" s="102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input_443010</vt:lpstr>
      <vt:lpstr>tables_443010</vt:lpstr>
      <vt:lpstr>input_443100</vt:lpstr>
      <vt:lpstr>tables_443100</vt:lpstr>
      <vt:lpstr>tables_settle_443100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2016-11-02T07:38:22Z</dcterms:modified>
</cp:coreProperties>
</file>