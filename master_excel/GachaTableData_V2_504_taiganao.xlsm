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12660" yWindow="-21140" windowWidth="38400" windowHeight="21140" tabRatio="943" activeTab="5"/>
  </bookViews>
  <sheets>
    <sheet name="確率の考え方" sheetId="110" r:id="rId1"/>
    <sheet name="Sheet1" sheetId="107" r:id="rId2"/>
    <sheet name="output" sheetId="103" r:id="rId3"/>
    <sheet name="input_504010" sheetId="157" r:id="rId4"/>
    <sheet name="tables_504010" sheetId="158" r:id="rId5"/>
    <sheet name="input_504100" sheetId="153" r:id="rId6"/>
    <sheet name="tables_504100" sheetId="154" r:id="rId7"/>
    <sheet name="tables_settle_504105" sheetId="159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tables_504010!$A$1:$V$294</definedName>
    <definedName name="_xlnm._FilterDatabase" localSheetId="6" hidden="1">tables_504100!$A$1:$V$294</definedName>
    <definedName name="_xlnm._FilterDatabase" localSheetId="7" hidden="1">tables_settle_504105!$A$1:$V$3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153" l="1"/>
  <c r="B18" i="153"/>
  <c r="G18" i="153"/>
  <c r="H18" i="153"/>
  <c r="O3" i="154"/>
  <c r="O5" i="154"/>
  <c r="O7" i="154"/>
  <c r="O9" i="154"/>
  <c r="O2" i="154"/>
  <c r="O4" i="154"/>
  <c r="O6" i="154"/>
  <c r="O8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O42" i="154"/>
  <c r="O43" i="154"/>
  <c r="O44" i="154"/>
  <c r="O45" i="154"/>
  <c r="O46" i="154"/>
  <c r="O47" i="154"/>
  <c r="O48" i="154"/>
  <c r="O49" i="154"/>
  <c r="O50" i="154"/>
  <c r="O51" i="154"/>
  <c r="O52" i="154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O138" i="154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6" i="154"/>
  <c r="O347" i="154"/>
  <c r="F41" i="153"/>
  <c r="G41" i="153"/>
  <c r="F34" i="153"/>
  <c r="I343" i="158"/>
  <c r="D343" i="158"/>
  <c r="J343" i="158"/>
  <c r="E343" i="158"/>
  <c r="F343" i="158"/>
  <c r="C343" i="158"/>
  <c r="H343" i="158"/>
  <c r="K343" i="158"/>
  <c r="L343" i="158"/>
  <c r="M343" i="158"/>
  <c r="N343" i="158"/>
  <c r="A2" i="157"/>
  <c r="I344" i="158"/>
  <c r="D344" i="158"/>
  <c r="J344" i="158"/>
  <c r="E344" i="158"/>
  <c r="F344" i="158"/>
  <c r="C344" i="158"/>
  <c r="I345" i="158"/>
  <c r="D345" i="158"/>
  <c r="J345" i="158"/>
  <c r="E345" i="158"/>
  <c r="F345" i="158"/>
  <c r="C345" i="158"/>
  <c r="I346" i="158"/>
  <c r="D346" i="158"/>
  <c r="J346" i="158"/>
  <c r="E346" i="158"/>
  <c r="F346" i="158"/>
  <c r="C346" i="158"/>
  <c r="I347" i="158"/>
  <c r="D347" i="158"/>
  <c r="J347" i="158"/>
  <c r="E347" i="158"/>
  <c r="F347" i="158"/>
  <c r="C347" i="158"/>
  <c r="I2" i="158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J7" i="158"/>
  <c r="D7" i="158"/>
  <c r="E7" i="158"/>
  <c r="C7" i="158"/>
  <c r="I8" i="158"/>
  <c r="J8" i="158"/>
  <c r="D8" i="158"/>
  <c r="E8" i="158"/>
  <c r="C8" i="158"/>
  <c r="I9" i="158"/>
  <c r="J9" i="158"/>
  <c r="D9" i="158"/>
  <c r="E9" i="158"/>
  <c r="C9" i="158"/>
  <c r="I10" i="158"/>
  <c r="J10" i="158"/>
  <c r="D10" i="158"/>
  <c r="E10" i="158"/>
  <c r="C10" i="158"/>
  <c r="I11" i="158"/>
  <c r="J11" i="158"/>
  <c r="D11" i="158"/>
  <c r="E11" i="158"/>
  <c r="C11" i="158"/>
  <c r="I12" i="158"/>
  <c r="J12" i="158"/>
  <c r="D12" i="158"/>
  <c r="E12" i="158"/>
  <c r="C12" i="158"/>
  <c r="I13" i="158"/>
  <c r="J13" i="158"/>
  <c r="D13" i="158"/>
  <c r="E13" i="158"/>
  <c r="C13" i="158"/>
  <c r="I14" i="158"/>
  <c r="J14" i="158"/>
  <c r="D14" i="158"/>
  <c r="E14" i="158"/>
  <c r="C14" i="158"/>
  <c r="I15" i="158"/>
  <c r="J15" i="158"/>
  <c r="D15" i="158"/>
  <c r="E15" i="158"/>
  <c r="C15" i="158"/>
  <c r="I16" i="158"/>
  <c r="J16" i="158"/>
  <c r="D16" i="158"/>
  <c r="E16" i="158"/>
  <c r="C16" i="158"/>
  <c r="I17" i="158"/>
  <c r="J17" i="158"/>
  <c r="D17" i="158"/>
  <c r="E17" i="158"/>
  <c r="C17" i="158"/>
  <c r="I18" i="158"/>
  <c r="J18" i="158"/>
  <c r="D18" i="158"/>
  <c r="E18" i="158"/>
  <c r="C18" i="158"/>
  <c r="I19" i="158"/>
  <c r="J19" i="158"/>
  <c r="D19" i="158"/>
  <c r="E19" i="158"/>
  <c r="C19" i="158"/>
  <c r="I20" i="158"/>
  <c r="J20" i="158"/>
  <c r="D20" i="158"/>
  <c r="E20" i="158"/>
  <c r="C20" i="158"/>
  <c r="I21" i="158"/>
  <c r="J21" i="158"/>
  <c r="D21" i="158"/>
  <c r="E21" i="158"/>
  <c r="C21" i="158"/>
  <c r="I22" i="158"/>
  <c r="J22" i="158"/>
  <c r="D22" i="158"/>
  <c r="E22" i="158"/>
  <c r="C22" i="158"/>
  <c r="I23" i="158"/>
  <c r="J23" i="158"/>
  <c r="D23" i="158"/>
  <c r="E23" i="158"/>
  <c r="C23" i="158"/>
  <c r="I24" i="158"/>
  <c r="J24" i="158"/>
  <c r="D24" i="158"/>
  <c r="E24" i="158"/>
  <c r="C24" i="158"/>
  <c r="I25" i="158"/>
  <c r="J25" i="158"/>
  <c r="D25" i="158"/>
  <c r="E25" i="158"/>
  <c r="C25" i="158"/>
  <c r="I26" i="158"/>
  <c r="J26" i="158"/>
  <c r="D26" i="158"/>
  <c r="E26" i="158"/>
  <c r="C26" i="158"/>
  <c r="I27" i="158"/>
  <c r="J27" i="158"/>
  <c r="D27" i="158"/>
  <c r="E27" i="158"/>
  <c r="C27" i="158"/>
  <c r="I28" i="158"/>
  <c r="J28" i="158"/>
  <c r="D28" i="158"/>
  <c r="E28" i="158"/>
  <c r="C28" i="158"/>
  <c r="I29" i="158"/>
  <c r="J29" i="158"/>
  <c r="D29" i="158"/>
  <c r="E29" i="158"/>
  <c r="C29" i="158"/>
  <c r="I30" i="158"/>
  <c r="J30" i="158"/>
  <c r="D30" i="158"/>
  <c r="E30" i="158"/>
  <c r="C30" i="158"/>
  <c r="I31" i="158"/>
  <c r="J31" i="158"/>
  <c r="D31" i="158"/>
  <c r="E31" i="158"/>
  <c r="C31" i="158"/>
  <c r="I32" i="158"/>
  <c r="J32" i="158"/>
  <c r="D32" i="158"/>
  <c r="E32" i="158"/>
  <c r="C32" i="158"/>
  <c r="I33" i="158"/>
  <c r="J33" i="158"/>
  <c r="D33" i="158"/>
  <c r="E33" i="158"/>
  <c r="C33" i="158"/>
  <c r="I34" i="158"/>
  <c r="J34" i="158"/>
  <c r="D34" i="158"/>
  <c r="E34" i="158"/>
  <c r="C34" i="158"/>
  <c r="I35" i="158"/>
  <c r="J35" i="158"/>
  <c r="D35" i="158"/>
  <c r="E35" i="158"/>
  <c r="C35" i="158"/>
  <c r="I36" i="158"/>
  <c r="J36" i="158"/>
  <c r="D36" i="158"/>
  <c r="E36" i="158"/>
  <c r="C36" i="158"/>
  <c r="I37" i="158"/>
  <c r="J37" i="158"/>
  <c r="D37" i="158"/>
  <c r="E37" i="158"/>
  <c r="C37" i="158"/>
  <c r="I38" i="158"/>
  <c r="J38" i="158"/>
  <c r="D38" i="158"/>
  <c r="E38" i="158"/>
  <c r="C38" i="158"/>
  <c r="I39" i="158"/>
  <c r="J39" i="158"/>
  <c r="D39" i="158"/>
  <c r="E39" i="158"/>
  <c r="C39" i="158"/>
  <c r="I40" i="158"/>
  <c r="J40" i="158"/>
  <c r="D40" i="158"/>
  <c r="E40" i="158"/>
  <c r="C40" i="158"/>
  <c r="I41" i="158"/>
  <c r="J41" i="158"/>
  <c r="D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J215" i="158"/>
  <c r="D215" i="158"/>
  <c r="E215" i="158"/>
  <c r="C215" i="158"/>
  <c r="I216" i="158"/>
  <c r="J216" i="158"/>
  <c r="D216" i="158"/>
  <c r="E216" i="158"/>
  <c r="C216" i="158"/>
  <c r="I217" i="158"/>
  <c r="J217" i="158"/>
  <c r="D217" i="158"/>
  <c r="E217" i="158"/>
  <c r="C217" i="158"/>
  <c r="I218" i="158"/>
  <c r="J218" i="158"/>
  <c r="D218" i="158"/>
  <c r="E218" i="158"/>
  <c r="C218" i="158"/>
  <c r="I219" i="158"/>
  <c r="J219" i="158"/>
  <c r="D219" i="158"/>
  <c r="E219" i="158"/>
  <c r="C219" i="158"/>
  <c r="I220" i="158"/>
  <c r="J220" i="158"/>
  <c r="D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I325" i="158"/>
  <c r="D325" i="158"/>
  <c r="J325" i="158"/>
  <c r="E325" i="158"/>
  <c r="C325" i="158"/>
  <c r="I326" i="158"/>
  <c r="D326" i="158"/>
  <c r="J326" i="158"/>
  <c r="E326" i="158"/>
  <c r="C326" i="158"/>
  <c r="I327" i="158"/>
  <c r="D327" i="158"/>
  <c r="J327" i="158"/>
  <c r="E327" i="158"/>
  <c r="C327" i="158"/>
  <c r="I328" i="158"/>
  <c r="D328" i="158"/>
  <c r="J328" i="158"/>
  <c r="E328" i="158"/>
  <c r="C328" i="158"/>
  <c r="I329" i="158"/>
  <c r="D329" i="158"/>
  <c r="J329" i="158"/>
  <c r="E329" i="158"/>
  <c r="C329" i="158"/>
  <c r="I330" i="158"/>
  <c r="D330" i="158"/>
  <c r="J330" i="158"/>
  <c r="E330" i="158"/>
  <c r="C330" i="158"/>
  <c r="I331" i="158"/>
  <c r="D331" i="158"/>
  <c r="J331" i="158"/>
  <c r="E331" i="158"/>
  <c r="C331" i="158"/>
  <c r="I332" i="158"/>
  <c r="D332" i="158"/>
  <c r="J332" i="158"/>
  <c r="E332" i="158"/>
  <c r="C332" i="158"/>
  <c r="I333" i="158"/>
  <c r="D333" i="158"/>
  <c r="J333" i="158"/>
  <c r="E333" i="158"/>
  <c r="C333" i="158"/>
  <c r="I334" i="158"/>
  <c r="D334" i="158"/>
  <c r="J334" i="158"/>
  <c r="E334" i="158"/>
  <c r="C334" i="158"/>
  <c r="I335" i="158"/>
  <c r="D335" i="158"/>
  <c r="J335" i="158"/>
  <c r="E335" i="158"/>
  <c r="C335" i="158"/>
  <c r="I336" i="158"/>
  <c r="D336" i="158"/>
  <c r="J336" i="158"/>
  <c r="E336" i="158"/>
  <c r="C336" i="158"/>
  <c r="I337" i="158"/>
  <c r="D337" i="158"/>
  <c r="J337" i="158"/>
  <c r="E337" i="158"/>
  <c r="C337" i="158"/>
  <c r="I338" i="158"/>
  <c r="D338" i="158"/>
  <c r="J338" i="158"/>
  <c r="E338" i="158"/>
  <c r="C338" i="158"/>
  <c r="I339" i="158"/>
  <c r="D339" i="158"/>
  <c r="J339" i="158"/>
  <c r="E339" i="158"/>
  <c r="C339" i="158"/>
  <c r="I340" i="158"/>
  <c r="D340" i="158"/>
  <c r="J340" i="158"/>
  <c r="E340" i="158"/>
  <c r="C340" i="158"/>
  <c r="I341" i="158"/>
  <c r="D341" i="158"/>
  <c r="J341" i="158"/>
  <c r="E341" i="158"/>
  <c r="C341" i="158"/>
  <c r="I342" i="158"/>
  <c r="D342" i="158"/>
  <c r="J342" i="158"/>
  <c r="E342" i="158"/>
  <c r="C342" i="158"/>
  <c r="F5" i="157"/>
  <c r="F6" i="157"/>
  <c r="A36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2" i="157"/>
  <c r="E23" i="157"/>
  <c r="B23" i="157"/>
  <c r="B22" i="157"/>
  <c r="G22" i="157"/>
  <c r="H22" i="157"/>
  <c r="O343" i="158"/>
  <c r="E19" i="157"/>
  <c r="B19" i="157"/>
  <c r="E24" i="157"/>
  <c r="B24" i="157"/>
  <c r="B17" i="157"/>
  <c r="G17" i="157"/>
  <c r="E17" i="157"/>
  <c r="H17" i="157"/>
  <c r="O2" i="158"/>
  <c r="E18" i="157"/>
  <c r="B18" i="157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E25" i="157"/>
  <c r="B25" i="157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E20" i="157"/>
  <c r="B20" i="157"/>
  <c r="G20" i="157"/>
  <c r="H20" i="157"/>
  <c r="O52" i="158"/>
  <c r="E5" i="157"/>
  <c r="E28" i="157"/>
  <c r="B28" i="157"/>
  <c r="E29" i="157"/>
  <c r="B29" i="157"/>
  <c r="B2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E27" i="157"/>
  <c r="B27" i="157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4" i="158"/>
  <c r="O345" i="158"/>
  <c r="R3" i="157"/>
  <c r="O346" i="158"/>
  <c r="R4" i="157"/>
  <c r="O347" i="158"/>
  <c r="P343" i="158"/>
  <c r="H344" i="158"/>
  <c r="K344" i="158"/>
  <c r="L344" i="158"/>
  <c r="M344" i="158"/>
  <c r="N344" i="158"/>
  <c r="P344" i="158"/>
  <c r="H345" i="158"/>
  <c r="K345" i="158"/>
  <c r="L345" i="158"/>
  <c r="M345" i="158"/>
  <c r="N345" i="158"/>
  <c r="P345" i="158"/>
  <c r="H346" i="158"/>
  <c r="K346" i="158"/>
  <c r="L346" i="158"/>
  <c r="M346" i="158"/>
  <c r="N346" i="158"/>
  <c r="P346" i="158"/>
  <c r="H347" i="158"/>
  <c r="K347" i="158"/>
  <c r="L347" i="158"/>
  <c r="M347" i="158"/>
  <c r="N347" i="158"/>
  <c r="P347" i="158"/>
  <c r="A343" i="158"/>
  <c r="A344" i="158"/>
  <c r="A345" i="158"/>
  <c r="A346" i="158"/>
  <c r="A347" i="158"/>
  <c r="I341" i="154"/>
  <c r="D341" i="154"/>
  <c r="J341" i="154"/>
  <c r="E341" i="154"/>
  <c r="F341" i="154"/>
  <c r="C341" i="154"/>
  <c r="H341" i="154"/>
  <c r="K341" i="154"/>
  <c r="L341" i="154"/>
  <c r="M341" i="154"/>
  <c r="N341" i="154"/>
  <c r="I342" i="154"/>
  <c r="D342" i="154"/>
  <c r="J342" i="154"/>
  <c r="E342" i="154"/>
  <c r="F342" i="154"/>
  <c r="C342" i="154"/>
  <c r="I343" i="154"/>
  <c r="D343" i="154"/>
  <c r="J343" i="154"/>
  <c r="E343" i="154"/>
  <c r="F343" i="154"/>
  <c r="C343" i="154"/>
  <c r="I344" i="154"/>
  <c r="D344" i="154"/>
  <c r="J344" i="154"/>
  <c r="E344" i="154"/>
  <c r="F344" i="154"/>
  <c r="C344" i="154"/>
  <c r="I345" i="154"/>
  <c r="D345" i="154"/>
  <c r="J345" i="154"/>
  <c r="E345" i="154"/>
  <c r="F345" i="154"/>
  <c r="C345" i="154"/>
  <c r="I346" i="154"/>
  <c r="D346" i="154"/>
  <c r="J346" i="154"/>
  <c r="E346" i="154"/>
  <c r="F346" i="154"/>
  <c r="C346" i="154"/>
  <c r="I2" i="154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I336" i="154"/>
  <c r="D336" i="154"/>
  <c r="J336" i="154"/>
  <c r="E336" i="154"/>
  <c r="C336" i="154"/>
  <c r="I337" i="154"/>
  <c r="D337" i="154"/>
  <c r="J337" i="154"/>
  <c r="E337" i="154"/>
  <c r="C337" i="154"/>
  <c r="I338" i="154"/>
  <c r="D338" i="154"/>
  <c r="J338" i="154"/>
  <c r="E338" i="154"/>
  <c r="C338" i="154"/>
  <c r="I339" i="154"/>
  <c r="D339" i="154"/>
  <c r="J339" i="154"/>
  <c r="E339" i="154"/>
  <c r="C339" i="154"/>
  <c r="I340" i="154"/>
  <c r="D340" i="154"/>
  <c r="J340" i="154"/>
  <c r="E340" i="154"/>
  <c r="C340" i="154"/>
  <c r="I347" i="154"/>
  <c r="D347" i="154"/>
  <c r="J347" i="154"/>
  <c r="E347" i="154"/>
  <c r="C347" i="154"/>
  <c r="F5" i="153"/>
  <c r="F6" i="153"/>
  <c r="A36" i="153"/>
  <c r="E5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9" i="153"/>
  <c r="B29" i="153"/>
  <c r="G29" i="153"/>
  <c r="H29" i="153"/>
  <c r="E6" i="153"/>
  <c r="E19" i="153"/>
  <c r="B19" i="153"/>
  <c r="E24" i="153"/>
  <c r="B24" i="153"/>
  <c r="B17" i="153"/>
  <c r="G17" i="153"/>
  <c r="E17" i="153"/>
  <c r="H17" i="153"/>
  <c r="E18" i="153"/>
  <c r="G24" i="153"/>
  <c r="H24" i="153"/>
  <c r="E25" i="153"/>
  <c r="B25" i="153"/>
  <c r="G25" i="153"/>
  <c r="H25" i="153"/>
  <c r="E26" i="153"/>
  <c r="B26" i="153"/>
  <c r="G26" i="153"/>
  <c r="H26" i="153"/>
  <c r="G19" i="153"/>
  <c r="H19" i="153"/>
  <c r="E20" i="153"/>
  <c r="B20" i="153"/>
  <c r="G20" i="153"/>
  <c r="H20" i="153"/>
  <c r="E23" i="153"/>
  <c r="B23" i="153"/>
  <c r="E28" i="153"/>
  <c r="B28" i="153"/>
  <c r="B21" i="153"/>
  <c r="G21" i="153"/>
  <c r="E21" i="153"/>
  <c r="H21" i="153"/>
  <c r="E27" i="153"/>
  <c r="B27" i="153"/>
  <c r="G27" i="153"/>
  <c r="H27" i="153"/>
  <c r="G28" i="153"/>
  <c r="H28" i="153"/>
  <c r="G23" i="153"/>
  <c r="H23" i="153"/>
  <c r="E22" i="153"/>
  <c r="B22" i="153"/>
  <c r="G22" i="153"/>
  <c r="H22" i="153"/>
  <c r="R3" i="153"/>
  <c r="R4" i="153"/>
  <c r="P341" i="154"/>
  <c r="H342" i="154"/>
  <c r="K342" i="154"/>
  <c r="L342" i="154"/>
  <c r="M342" i="154"/>
  <c r="N342" i="154"/>
  <c r="P342" i="154"/>
  <c r="H343" i="154"/>
  <c r="K343" i="154"/>
  <c r="L343" i="154"/>
  <c r="M343" i="154"/>
  <c r="N343" i="154"/>
  <c r="P343" i="154"/>
  <c r="H344" i="154"/>
  <c r="K344" i="154"/>
  <c r="L344" i="154"/>
  <c r="M344" i="154"/>
  <c r="N344" i="154"/>
  <c r="P344" i="154"/>
  <c r="H345" i="154"/>
  <c r="K345" i="154"/>
  <c r="L345" i="154"/>
  <c r="M345" i="154"/>
  <c r="N345" i="154"/>
  <c r="P345" i="154"/>
  <c r="H346" i="154"/>
  <c r="K346" i="154"/>
  <c r="L346" i="154"/>
  <c r="M346" i="154"/>
  <c r="N346" i="154"/>
  <c r="P346" i="154"/>
  <c r="A341" i="154"/>
  <c r="A342" i="154"/>
  <c r="A343" i="154"/>
  <c r="A344" i="154"/>
  <c r="A345" i="154"/>
  <c r="A346" i="154"/>
  <c r="I2" i="159"/>
  <c r="J2" i="159"/>
  <c r="D2" i="159"/>
  <c r="E2" i="159"/>
  <c r="F2" i="159"/>
  <c r="C2" i="159"/>
  <c r="I3" i="159"/>
  <c r="J3" i="159"/>
  <c r="D3" i="159"/>
  <c r="E3" i="159"/>
  <c r="F3" i="159"/>
  <c r="C3" i="159"/>
  <c r="P3" i="159"/>
  <c r="N3" i="159"/>
  <c r="M3" i="159"/>
  <c r="L3" i="159"/>
  <c r="K3" i="159"/>
  <c r="H3" i="159"/>
  <c r="P2" i="159"/>
  <c r="N2" i="159"/>
  <c r="M2" i="159"/>
  <c r="L2" i="159"/>
  <c r="K2" i="159"/>
  <c r="H2" i="159"/>
  <c r="F347" i="154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F325" i="154"/>
  <c r="F326" i="154"/>
  <c r="F327" i="154"/>
  <c r="F328" i="154"/>
  <c r="F329" i="154"/>
  <c r="F330" i="154"/>
  <c r="F331" i="154"/>
  <c r="F332" i="154"/>
  <c r="F333" i="154"/>
  <c r="F334" i="154"/>
  <c r="F335" i="154"/>
  <c r="F336" i="154"/>
  <c r="F337" i="154"/>
  <c r="F338" i="154"/>
  <c r="F339" i="154"/>
  <c r="F340" i="154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7" i="154"/>
  <c r="F48" i="153"/>
  <c r="F49" i="153"/>
  <c r="G48" i="153"/>
  <c r="B30" i="153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325" i="158"/>
  <c r="F326" i="158"/>
  <c r="F327" i="158"/>
  <c r="F328" i="158"/>
  <c r="F329" i="158"/>
  <c r="F330" i="158"/>
  <c r="F331" i="158"/>
  <c r="F332" i="158"/>
  <c r="F333" i="158"/>
  <c r="F334" i="158"/>
  <c r="F335" i="158"/>
  <c r="F336" i="158"/>
  <c r="F337" i="158"/>
  <c r="F338" i="158"/>
  <c r="F339" i="158"/>
  <c r="F340" i="158"/>
  <c r="F341" i="158"/>
  <c r="F342" i="158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P341" i="158"/>
  <c r="P342" i="158"/>
  <c r="F48" i="157"/>
  <c r="F49" i="157"/>
  <c r="G48" i="157"/>
  <c r="H347" i="154"/>
  <c r="K347" i="154"/>
  <c r="L347" i="154"/>
  <c r="M347" i="154"/>
  <c r="N347" i="154"/>
  <c r="A347" i="154"/>
  <c r="H341" i="158"/>
  <c r="K341" i="158"/>
  <c r="L341" i="158"/>
  <c r="M341" i="158"/>
  <c r="N341" i="158"/>
  <c r="H342" i="158"/>
  <c r="K342" i="158"/>
  <c r="L342" i="158"/>
  <c r="M342" i="158"/>
  <c r="N342" i="158"/>
  <c r="A341" i="158"/>
  <c r="A342" i="158"/>
  <c r="H336" i="154"/>
  <c r="K336" i="154"/>
  <c r="L336" i="154"/>
  <c r="M336" i="154"/>
  <c r="N336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H336" i="158"/>
  <c r="K336" i="158"/>
  <c r="L336" i="158"/>
  <c r="M336" i="158"/>
  <c r="N336" i="158"/>
  <c r="H337" i="158"/>
  <c r="K337" i="158"/>
  <c r="L337" i="158"/>
  <c r="M337" i="158"/>
  <c r="N337" i="158"/>
  <c r="H338" i="158"/>
  <c r="K338" i="158"/>
  <c r="L338" i="158"/>
  <c r="M338" i="158"/>
  <c r="N338" i="158"/>
  <c r="H339" i="158"/>
  <c r="K339" i="158"/>
  <c r="L339" i="158"/>
  <c r="M339" i="158"/>
  <c r="N339" i="158"/>
  <c r="H340" i="158"/>
  <c r="K340" i="158"/>
  <c r="L340" i="158"/>
  <c r="M340" i="158"/>
  <c r="N340" i="158"/>
  <c r="A336" i="158"/>
  <c r="A337" i="158"/>
  <c r="A338" i="158"/>
  <c r="A339" i="158"/>
  <c r="A340" i="158"/>
  <c r="F41" i="157"/>
  <c r="G41" i="157"/>
  <c r="F34" i="157"/>
  <c r="R6" i="153"/>
  <c r="R5" i="153"/>
  <c r="R7" i="153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F42" i="153"/>
  <c r="G42" i="153"/>
  <c r="R5" i="157"/>
  <c r="R6" i="157"/>
  <c r="R7" i="157"/>
  <c r="F42" i="157"/>
  <c r="G42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H331" i="158"/>
  <c r="K331" i="158"/>
  <c r="L331" i="158"/>
  <c r="M331" i="158"/>
  <c r="N331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H325" i="158"/>
  <c r="K325" i="158"/>
  <c r="L325" i="158"/>
  <c r="M325" i="158"/>
  <c r="N325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B30" i="157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8" i="153"/>
  <c r="R9" i="153"/>
  <c r="R10" i="153"/>
  <c r="R8" i="157"/>
  <c r="R9" i="157"/>
  <c r="R10" i="157"/>
  <c r="H290" i="158"/>
  <c r="K290" i="158"/>
  <c r="L290" i="158"/>
  <c r="M290" i="158"/>
  <c r="N290" i="158"/>
  <c r="B10" i="157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B10" i="153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<sst xmlns="http://schemas.openxmlformats.org/spreadsheetml/2006/main" count="535" uniqueCount="256">
  <si>
    <t>character_id</t>
  </si>
  <si>
    <t>character_id</t>
    <phoneticPr fontId="22"/>
  </si>
  <si>
    <t>weight</t>
    <phoneticPr fontId="2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</si>
  <si>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</si>
  <si>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</si>
  <si>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</si>
  <si>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</si>
  <si>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</si>
  <si>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</si>
  <si>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</si>
  <si>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2"/>
  </si>
  <si>
    <t>bonus_table_no</t>
    <phoneticPr fontId="22"/>
  </si>
  <si>
    <t>weight</t>
    <phoneticPr fontId="22"/>
  </si>
  <si>
    <t>gift_id</t>
    <phoneticPr fontId="22"/>
  </si>
  <si>
    <t>gift_id</t>
    <phoneticPr fontId="22"/>
  </si>
  <si>
    <t>gift_type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</si>
  <si>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</si>
  <si>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</si>
  <si>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</si>
  <si>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</si>
  <si>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</si>
  <si>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</si>
  <si>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gift_id</t>
    <phoneticPr fontId="22"/>
  </si>
  <si>
    <t>gift_value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</si>
  <si>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</si>
  <si>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</si>
  <si>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</si>
  <si>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</si>
  <si>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</si>
  <si>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</si>
  <si>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gift_type</t>
    <phoneticPr fontId="22"/>
  </si>
  <si>
    <t>備考</t>
    <rPh sb="0" eb="2">
      <t>ビコウ</t>
    </rPh>
    <phoneticPr fontId="22"/>
  </si>
  <si>
    <t>character_id</t>
    <phoneticPr fontId="22"/>
  </si>
  <si>
    <t>name</t>
    <phoneticPr fontId="22"/>
  </si>
  <si>
    <t>drop_label</t>
    <phoneticPr fontId="22"/>
  </si>
  <si>
    <t>rare</t>
    <phoneticPr fontId="22"/>
  </si>
  <si>
    <t>character_type_id</t>
    <phoneticPr fontId="22"/>
  </si>
  <si>
    <t>character_tribe_id</t>
    <phoneticPr fontId="22"/>
  </si>
  <si>
    <t>unit_level</t>
    <phoneticPr fontId="22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</si>
  <si>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</si>
  <si>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</si>
  <si>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</si>
  <si>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</si>
  <si>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</si>
  <si>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</si>
  <si>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.tmp</t>
    <phoneticPr fontId="55"/>
  </si>
  <si>
    <t>.tmp</t>
    <phoneticPr fontId="55"/>
  </si>
  <si>
    <t>gacha_bonus_tables</t>
    <phoneticPr fontId="55"/>
  </si>
  <si>
    <t>gifts_tmp_</t>
    <phoneticPr fontId="22"/>
  </si>
  <si>
    <t>gifts_i18n_</t>
    <phoneticPr fontId="2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</si>
  <si>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2"/>
  </si>
  <si>
    <t>出力flg</t>
    <rPh sb="0" eb="2">
      <t>シュツリョク</t>
    </rPh>
    <phoneticPr fontId="55"/>
  </si>
  <si>
    <t>color</t>
    <phoneticPr fontId="22"/>
  </si>
  <si>
    <t>レアリティ別確率</t>
    <rPh sb="5" eb="6">
      <t>ベツ</t>
    </rPh>
    <rPh sb="6" eb="8">
      <t>カクリツ</t>
    </rPh>
    <phoneticPr fontId="22"/>
  </si>
  <si>
    <t>ラベル別確率</t>
    <rPh sb="3" eb="4">
      <t>ベツ</t>
    </rPh>
    <rPh sb="4" eb="6">
      <t>カクリツ</t>
    </rPh>
    <phoneticPr fontId="22"/>
  </si>
  <si>
    <t>SSS</t>
    <phoneticPr fontId="22"/>
  </si>
  <si>
    <t>SS</t>
    <phoneticPr fontId="22"/>
  </si>
  <si>
    <t>ラベル*レアリティ標準確率</t>
    <rPh sb="9" eb="11">
      <t>ヒョウジュン</t>
    </rPh>
    <rPh sb="11" eb="13">
      <t>カクリツ</t>
    </rPh>
    <phoneticPr fontId="22"/>
  </si>
  <si>
    <t>性別</t>
    <rPh sb="0" eb="2">
      <t>セイベツ</t>
    </rPh>
    <phoneticPr fontId="22"/>
  </si>
  <si>
    <t>合計</t>
    <rPh sb="0" eb="2">
      <t>ゴウケイ</t>
    </rPh>
    <phoneticPr fontId="22"/>
  </si>
  <si>
    <t>グループ</t>
    <phoneticPr fontId="22"/>
  </si>
  <si>
    <t>ピックアップ確率</t>
    <rPh sb="6" eb="8">
      <t>カクリツ</t>
    </rPh>
    <phoneticPr fontId="22"/>
  </si>
  <si>
    <t>残り確率</t>
    <rPh sb="0" eb="1">
      <t>ノコ</t>
    </rPh>
    <rPh sb="2" eb="4">
      <t>カクリツ</t>
    </rPh>
    <phoneticPr fontId="22"/>
  </si>
  <si>
    <t>確率</t>
    <rPh sb="0" eb="2">
      <t>カクリツ</t>
    </rPh>
    <phoneticPr fontId="22"/>
  </si>
  <si>
    <t>所属グループ</t>
    <rPh sb="0" eb="2">
      <t>ショゾク</t>
    </rPh>
    <phoneticPr fontId="22"/>
  </si>
  <si>
    <t>名前</t>
    <rPh sb="0" eb="2">
      <t>ナマエ</t>
    </rPh>
    <phoneticPr fontId="22"/>
  </si>
  <si>
    <t>レアリティ</t>
    <phoneticPr fontId="22"/>
  </si>
  <si>
    <t>ラベル</t>
    <phoneticPr fontId="22"/>
  </si>
  <si>
    <t>R3</t>
    <phoneticPr fontId="22"/>
  </si>
  <si>
    <t>R4</t>
    <phoneticPr fontId="22"/>
  </si>
  <si>
    <t>R5</t>
    <phoneticPr fontId="22"/>
  </si>
  <si>
    <t>個別確率</t>
    <rPh sb="0" eb="4">
      <t>コベツカクリツ</t>
    </rPh>
    <phoneticPr fontId="22"/>
  </si>
  <si>
    <t>該当数(ピックアップ除く)</t>
    <rPh sb="0" eb="2">
      <t>ガイトウ</t>
    </rPh>
    <rPh sb="2" eb="3">
      <t>スウ</t>
    </rPh>
    <rPh sb="10" eb="11">
      <t>ノゾ</t>
    </rPh>
    <phoneticPr fontId="22"/>
  </si>
  <si>
    <t>個別weight</t>
    <rPh sb="0" eb="2">
      <t>コベツ</t>
    </rPh>
    <phoneticPr fontId="22"/>
  </si>
  <si>
    <t>グループweight</t>
    <phoneticPr fontId="22"/>
  </si>
  <si>
    <t>端数</t>
    <rPh sb="0" eb="2">
      <t>ハスウ</t>
    </rPh>
    <phoneticPr fontId="22"/>
  </si>
  <si>
    <t>--検算用--</t>
    <rPh sb="3" eb="6">
      <t>ケンザンヨウ</t>
    </rPh>
    <phoneticPr fontId="22"/>
  </si>
  <si>
    <t>端数逆数</t>
    <rPh sb="0" eb="2">
      <t>ハスウ</t>
    </rPh>
    <rPh sb="2" eb="4">
      <t>ギャクスウ</t>
    </rPh>
    <phoneticPr fontId="22"/>
  </si>
  <si>
    <t>テーブルを増やしたい場合</t>
    <rPh sb="5" eb="6">
      <t>フ</t>
    </rPh>
    <rPh sb="10" eb="12">
      <t>バアイ</t>
    </rPh>
    <phoneticPr fontId="2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</si>
  <si>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</si>
  <si>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2"/>
  </si>
  <si>
    <t>３．outputシートで２で作ったtablesを指定する</t>
    <rPh sb="14" eb="15">
      <t>ツク</t>
    </rPh>
    <rPh sb="24" eb="26">
      <t>シテイ</t>
    </rPh>
    <phoneticPr fontId="22"/>
  </si>
  <si>
    <t>テーブルid</t>
    <phoneticPr fontId="22"/>
  </si>
  <si>
    <t>→ピックアップの確率は右のほうにいます</t>
    <rPh sb="8" eb="10">
      <t>カクリツ</t>
    </rPh>
    <rPh sb="11" eb="12">
      <t>ミギ</t>
    </rPh>
    <phoneticPr fontId="22"/>
  </si>
  <si>
    <t>table_no</t>
    <phoneticPr fontId="22"/>
  </si>
  <si>
    <t>table_no</t>
    <phoneticPr fontId="22"/>
  </si>
  <si>
    <t>skill_level</t>
  </si>
  <si>
    <t>level</t>
  </si>
  <si>
    <t>hp_plus</t>
    <phoneticPr fontId="55"/>
  </si>
  <si>
    <t>attack_plus</t>
    <phoneticPr fontId="55"/>
  </si>
  <si>
    <t>heal_plus</t>
    <phoneticPr fontId="55"/>
  </si>
  <si>
    <t>defense_plus</t>
    <phoneticPr fontId="55"/>
  </si>
  <si>
    <t>level</t>
    <phoneticPr fontId="55"/>
  </si>
  <si>
    <t>skill_level</t>
    <phoneticPr fontId="55"/>
  </si>
  <si>
    <t>bug</t>
    <phoneticPr fontId="55"/>
  </si>
  <si>
    <t>drop_label2</t>
    <phoneticPr fontId="22"/>
  </si>
  <si>
    <t>Premium</t>
    <phoneticPr fontId="22"/>
  </si>
  <si>
    <t>Premium3</t>
    <phoneticPr fontId="22"/>
  </si>
  <si>
    <t>Premium4</t>
    <phoneticPr fontId="22"/>
  </si>
  <si>
    <t>Premium5</t>
    <phoneticPr fontId="22"/>
  </si>
  <si>
    <t>グループ確率</t>
    <rPh sb="4" eb="6">
      <t>カクリツ</t>
    </rPh>
    <phoneticPr fontId="22"/>
  </si>
  <si>
    <t>レア度別確率</t>
    <rPh sb="2" eb="4">
      <t>ドベツ</t>
    </rPh>
    <rPh sb="4" eb="6">
      <t>カクリツ</t>
    </rPh>
    <phoneticPr fontId="22"/>
  </si>
  <si>
    <t>color2</t>
    <phoneticPr fontId="22"/>
  </si>
  <si>
    <t>Premium3</t>
  </si>
  <si>
    <t>Premium4</t>
  </si>
  <si>
    <t>Premium5</t>
  </si>
  <si>
    <t>PremiumSS4</t>
    <phoneticPr fontId="22"/>
  </si>
  <si>
    <t>PremiumSS5</t>
    <phoneticPr fontId="22"/>
  </si>
  <si>
    <t>PremiumSSS5</t>
    <phoneticPr fontId="22"/>
  </si>
  <si>
    <t>PremiumSSS4</t>
    <phoneticPr fontId="22"/>
  </si>
  <si>
    <t>gacha_select_tables_</t>
    <phoneticPr fontId="22"/>
  </si>
  <si>
    <t>ラベル確率で考えましょう</t>
    <rPh sb="6" eb="7">
      <t>カンガエマショウ</t>
    </rPh>
    <phoneticPr fontId="55"/>
  </si>
  <si>
    <t>ラベル</t>
    <phoneticPr fontId="55"/>
  </si>
  <si>
    <t>レアリティ</t>
    <phoneticPr fontId="55"/>
  </si>
  <si>
    <t>{W}</t>
    <phoneticPr fontId="55"/>
  </si>
  <si>
    <t>{N,S}</t>
    <phoneticPr fontId="55"/>
  </si>
  <si>
    <t>{N,S}R3less</t>
    <phoneticPr fontId="55"/>
  </si>
  <si>
    <t>{N,S}R6release</t>
    <phoneticPr fontId="55"/>
  </si>
  <si>
    <t>{SS}</t>
    <phoneticPr fontId="55"/>
  </si>
  <si>
    <t>{SS}R6only</t>
    <phoneticPr fontId="55"/>
  </si>
  <si>
    <t>小計</t>
    <rPh sb="0" eb="2">
      <t>ショウケイ</t>
    </rPh>
    <phoneticPr fontId="55"/>
  </si>
  <si>
    <t>A</t>
    <phoneticPr fontId="55"/>
  </si>
  <si>
    <t>C</t>
    <phoneticPr fontId="55"/>
  </si>
  <si>
    <t>H</t>
    <phoneticPr fontId="55"/>
  </si>
  <si>
    <t>B</t>
    <phoneticPr fontId="55"/>
  </si>
  <si>
    <t>D</t>
    <phoneticPr fontId="55"/>
  </si>
  <si>
    <t>F</t>
    <phoneticPr fontId="55"/>
  </si>
  <si>
    <t>I</t>
    <phoneticPr fontId="55"/>
  </si>
  <si>
    <t>K</t>
    <phoneticPr fontId="55"/>
  </si>
  <si>
    <t>E</t>
    <phoneticPr fontId="55"/>
  </si>
  <si>
    <t>G</t>
    <phoneticPr fontId="55"/>
  </si>
  <si>
    <t>J</t>
    <phoneticPr fontId="55"/>
  </si>
  <si>
    <t>L</t>
    <phoneticPr fontId="55"/>
  </si>
  <si>
    <t>M</t>
    <phoneticPr fontId="55"/>
  </si>
  <si>
    <t>→</t>
    <phoneticPr fontId="55"/>
  </si>
  <si>
    <t>1-SS率</t>
    <rPh sb="4" eb="5">
      <t>リツ</t>
    </rPh>
    <phoneticPr fontId="55"/>
  </si>
  <si>
    <t>SS率</t>
    <rPh sb="2" eb="3">
      <t>リツ</t>
    </rPh>
    <phoneticPr fontId="55"/>
  </si>
  <si>
    <t>考え方を変える</t>
    <rPh sb="0" eb="1">
      <t>カンガエカタ</t>
    </rPh>
    <rPh sb="4" eb="5">
      <t>カエル</t>
    </rPh>
    <phoneticPr fontId="55"/>
  </si>
  <si>
    <t>SS4%は確定事項</t>
    <rPh sb="5" eb="7">
      <t>カクテイ</t>
    </rPh>
    <rPh sb="7" eb="9">
      <t>ジコウ</t>
    </rPh>
    <phoneticPr fontId="55"/>
  </si>
  <si>
    <t>当たりは分配</t>
    <rPh sb="0" eb="1">
      <t>アタリ</t>
    </rPh>
    <rPh sb="4" eb="6">
      <t>ブンパイ</t>
    </rPh>
    <phoneticPr fontId="5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</si>
  <si>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5"/>
  </si>
  <si>
    <t>=</t>
    <phoneticPr fontId="55"/>
  </si>
  <si>
    <t>X*{SS R5only}</t>
    <phoneticPr fontId="55"/>
  </si>
  <si>
    <t>K</t>
    <phoneticPr fontId="55"/>
  </si>
  <si>
    <t>=</t>
    <phoneticPr fontId="55"/>
  </si>
  <si>
    <t>X*{SS}*(R3率+R4率)</t>
    <rPh sb="10" eb="11">
      <t>リツ</t>
    </rPh>
    <rPh sb="14" eb="15">
      <t>リツ</t>
    </rPh>
    <phoneticPr fontId="55"/>
  </si>
  <si>
    <t>L</t>
    <phoneticPr fontId="55"/>
  </si>
  <si>
    <t>X*{SS}*R5率</t>
    <rPh sb="9" eb="10">
      <t>リツ</t>
    </rPh>
    <phoneticPr fontId="55"/>
  </si>
  <si>
    <t>X*{R6release}*R3率</t>
    <rPh sb="16" eb="17">
      <t>リツ</t>
    </rPh>
    <phoneticPr fontId="55"/>
  </si>
  <si>
    <t>X*{R6release}*R4率</t>
    <rPh sb="16" eb="17">
      <t>リツ</t>
    </rPh>
    <phoneticPr fontId="55"/>
  </si>
  <si>
    <t>J</t>
    <phoneticPr fontId="55"/>
  </si>
  <si>
    <t>X*{R6release}*R5率</t>
    <rPh sb="16" eb="17">
      <t>リツ</t>
    </rPh>
    <phoneticPr fontId="55"/>
  </si>
  <si>
    <t>ハズレで確率を整える</t>
    <rPh sb="4" eb="6">
      <t>カクリツ</t>
    </rPh>
    <rPh sb="7" eb="8">
      <t>トトノエル</t>
    </rPh>
    <phoneticPr fontId="5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</si>
  <si>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5"/>
  </si>
  <si>
    <t>A + C</t>
    <phoneticPr fontId="55"/>
  </si>
  <si>
    <t>=</t>
    <phoneticPr fontId="55"/>
  </si>
  <si>
    <t>50%-H</t>
    <phoneticPr fontId="55"/>
  </si>
  <si>
    <t>①</t>
    <phoneticPr fontId="55"/>
  </si>
  <si>
    <t>B + D + F</t>
    <phoneticPr fontId="55"/>
  </si>
  <si>
    <t>45%-I-K</t>
    <phoneticPr fontId="55"/>
  </si>
  <si>
    <t>②</t>
    <phoneticPr fontId="55"/>
  </si>
  <si>
    <t>E+G</t>
    <phoneticPr fontId="55"/>
  </si>
  <si>
    <t>5%-J-L-M</t>
    <phoneticPr fontId="55"/>
  </si>
  <si>
    <t>③</t>
    <phoneticPr fontId="55"/>
  </si>
  <si>
    <t>A+B</t>
    <phoneticPr fontId="55"/>
  </si>
  <si>
    <t>Y*{W}</t>
    <phoneticPr fontId="55"/>
  </si>
  <si>
    <t>④</t>
    <phoneticPr fontId="55"/>
  </si>
  <si>
    <t>C+D+E</t>
    <phoneticPr fontId="55"/>
  </si>
  <si>
    <t>Y*{N,S}</t>
    <phoneticPr fontId="55"/>
  </si>
  <si>
    <t>⑤</t>
    <phoneticPr fontId="55"/>
  </si>
  <si>
    <t>F+G</t>
    <phoneticPr fontId="55"/>
  </si>
  <si>
    <t>Y*{N,S R3less}</t>
    <phoneticPr fontId="55"/>
  </si>
  <si>
    <t>⑥</t>
    <phoneticPr fontId="55"/>
  </si>
  <si>
    <t>A+B+C+D+E+F+G</t>
    <phoneticPr fontId="55"/>
  </si>
  <si>
    <t>⑦</t>
    <phoneticPr fontId="55"/>
  </si>
  <si>
    <t>←これは4,5,6で作れるのでダメだわ</t>
    <rPh sb="10" eb="11">
      <t>ツクレル</t>
    </rPh>
    <phoneticPr fontId="55"/>
  </si>
  <si>
    <t>E*R3率/R5率</t>
    <rPh sb="4" eb="5">
      <t>リツ</t>
    </rPh>
    <rPh sb="8" eb="9">
      <t>リツ</t>
    </rPh>
    <phoneticPr fontId="5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</si>
  <si>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5"/>
  </si>
  <si>
    <t>E*R4率/R5率</t>
    <rPh sb="4" eb="5">
      <t>リツ</t>
    </rPh>
    <rPh sb="8" eb="9">
      <t>リツ</t>
    </rPh>
    <phoneticPr fontId="55"/>
  </si>
  <si>
    <t>∴</t>
    <phoneticPr fontId="55"/>
  </si>
  <si>
    <t>E</t>
    <phoneticPr fontId="55"/>
  </si>
  <si>
    <t>Y*{N,S}*R5率</t>
    <rPh sb="10" eb="11">
      <t>リツ</t>
    </rPh>
    <phoneticPr fontId="55"/>
  </si>
  <si>
    <t>Y*{N,S}*R4率</t>
    <rPh sb="10" eb="11">
      <t>リツ</t>
    </rPh>
    <phoneticPr fontId="55"/>
  </si>
  <si>
    <t>Y*{N,S}*R3率</t>
    <rPh sb="10" eb="11">
      <t>リツ</t>
    </rPh>
    <phoneticPr fontId="55"/>
  </si>
  <si>
    <t>50%-H-C</t>
    <phoneticPr fontId="55"/>
  </si>
  <si>
    <t>Y*{W}-A</t>
    <phoneticPr fontId="55"/>
  </si>
  <si>
    <t>5%-J-L-M-E</t>
    <phoneticPr fontId="55"/>
  </si>
  <si>
    <t>Y*{N,S R3less} - G</t>
    <phoneticPr fontId="55"/>
  </si>
  <si>
    <t>R6境界前後</t>
    <rPh sb="2" eb="4">
      <t>キョウカイ</t>
    </rPh>
    <rPh sb="4" eb="6">
      <t>ゼンゴ</t>
    </rPh>
    <phoneticPr fontId="22"/>
  </si>
  <si>
    <t>R6事後開放N,S</t>
    <rPh sb="2" eb="6">
      <t>ジゴカイホウ</t>
    </rPh>
    <phoneticPr fontId="22"/>
  </si>
  <si>
    <t>PremiumW3</t>
    <phoneticPr fontId="22"/>
  </si>
  <si>
    <t>PremiumW4</t>
    <phoneticPr fontId="22"/>
  </si>
  <si>
    <t>ラベル確率</t>
    <rPh sb="3" eb="5">
      <t>カクリツ</t>
    </rPh>
    <phoneticPr fontId="2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</si>
  <si>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</si>
  <si>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</si>
  <si>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</si>
  <si>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</si>
  <si>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</si>
  <si>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2"/>
  </si>
  <si>
    <t>PremiumSS5R5only</t>
  </si>
  <si>
    <t>計算用中間データ</t>
    <rPh sb="0" eb="3">
      <t>ケイサンヨウ</t>
    </rPh>
    <rPh sb="3" eb="5">
      <t>チュウカン</t>
    </rPh>
    <phoneticPr fontId="22"/>
  </si>
  <si>
    <t>X</t>
    <phoneticPr fontId="22"/>
  </si>
  <si>
    <t>Y</t>
    <phoneticPr fontId="22"/>
  </si>
  <si>
    <t>対象数</t>
    <rPh sb="0" eb="3">
      <t>タイショウスウ</t>
    </rPh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</si>
  <si>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</si>
  <si>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</si>
  <si>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</si>
  <si>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</si>
  <si>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←R6分はここから差し引く</t>
    <rPh sb="3" eb="4">
      <t>ブン</t>
    </rPh>
    <rPh sb="9" eb="10">
      <t>サシヒク</t>
    </rPh>
    <phoneticPr fontId="22"/>
  </si>
  <si>
    <t>除外確率</t>
    <rPh sb="0" eb="2">
      <t>ジョガイ</t>
    </rPh>
    <rPh sb="2" eb="4">
      <t>カクリツ</t>
    </rPh>
    <phoneticPr fontId="22"/>
  </si>
  <si>
    <t>除外数</t>
    <rPh sb="0" eb="3">
      <t>ジョガイスウ</t>
    </rPh>
    <phoneticPr fontId="22"/>
  </si>
  <si>
    <t>もうここは手で入れよう…</t>
    <rPh sb="5" eb="6">
      <t>テ</t>
    </rPh>
    <rPh sb="7" eb="8">
      <t>イレヨウ</t>
    </rPh>
    <phoneticPr fontId="22"/>
  </si>
  <si>
    <t>通常weight</t>
    <rPh sb="0" eb="2">
      <t>ツウジョウ</t>
    </rPh>
    <phoneticPr fontId="22"/>
  </si>
  <si>
    <t>A</t>
    <phoneticPr fontId="22"/>
  </si>
  <si>
    <t>B</t>
    <phoneticPr fontId="22"/>
  </si>
  <si>
    <t>PremiumW4</t>
    <phoneticPr fontId="22"/>
  </si>
  <si>
    <t>C</t>
    <phoneticPr fontId="22"/>
  </si>
  <si>
    <t>Premium3</t>
    <phoneticPr fontId="22"/>
  </si>
  <si>
    <t>D</t>
    <phoneticPr fontId="22"/>
  </si>
  <si>
    <t>Premium4</t>
    <phoneticPr fontId="22"/>
  </si>
  <si>
    <t>E</t>
    <phoneticPr fontId="22"/>
  </si>
  <si>
    <t>Premium5</t>
    <phoneticPr fontId="22"/>
  </si>
  <si>
    <t>F</t>
    <phoneticPr fontId="22"/>
  </si>
  <si>
    <t>Premium4R3less</t>
    <phoneticPr fontId="22"/>
  </si>
  <si>
    <t>G</t>
    <phoneticPr fontId="22"/>
  </si>
  <si>
    <t>Premium5R3less</t>
    <phoneticPr fontId="22"/>
  </si>
  <si>
    <t>H</t>
    <phoneticPr fontId="22"/>
  </si>
  <si>
    <t>I</t>
    <phoneticPr fontId="22"/>
  </si>
  <si>
    <t>J</t>
    <phoneticPr fontId="22"/>
  </si>
  <si>
    <t>K</t>
    <phoneticPr fontId="22"/>
  </si>
  <si>
    <t>Premium3R6release</t>
    <phoneticPr fontId="22"/>
  </si>
  <si>
    <t>Premium4R6release</t>
    <phoneticPr fontId="22"/>
  </si>
  <si>
    <t>Premium5R6release</t>
    <phoneticPr fontId="22"/>
  </si>
  <si>
    <t>PremiumSS4</t>
    <phoneticPr fontId="22"/>
  </si>
  <si>
    <t>PremiumSS5</t>
    <phoneticPr fontId="22"/>
  </si>
  <si>
    <t>L</t>
    <phoneticPr fontId="22"/>
  </si>
  <si>
    <t>M</t>
    <phoneticPr fontId="22"/>
  </si>
  <si>
    <t>PremiumSS5R5only</t>
    <phoneticPr fontId="22"/>
  </si>
  <si>
    <t>50% - H - C</t>
    <phoneticPr fontId="22"/>
  </si>
  <si>
    <t>PremiumSSS4R3less</t>
    <phoneticPr fontId="22"/>
  </si>
  <si>
    <t>PremiumSSS5R3less</t>
    <phoneticPr fontId="22"/>
  </si>
  <si>
    <t>skip</t>
    <phoneticPr fontId="22"/>
  </si>
  <si>
    <t>通常確率</t>
    <phoneticPr fontId="22"/>
  </si>
  <si>
    <t>通常確率</t>
    <phoneticPr fontId="22"/>
  </si>
  <si>
    <t>tables_363104</t>
    <phoneticPr fontId="22"/>
  </si>
  <si>
    <t>tables_363105</t>
    <phoneticPr fontId="22"/>
  </si>
  <si>
    <t>tables_363100</t>
    <phoneticPr fontId="22"/>
  </si>
  <si>
    <t>old</t>
    <phoneticPr fontId="22"/>
  </si>
  <si>
    <t>gacha_settle_tables_</t>
    <phoneticPr fontId="22"/>
  </si>
  <si>
    <t>.tmp</t>
    <phoneticPr fontId="55"/>
  </si>
  <si>
    <t>PremiumSSw</t>
    <phoneticPr fontId="22"/>
  </si>
  <si>
    <t>PremiumSSw</t>
    <phoneticPr fontId="22"/>
  </si>
  <si>
    <t>old</t>
    <phoneticPr fontId="22"/>
  </si>
  <si>
    <t>tables_504100</t>
  </si>
  <si>
    <t>tables_504010</t>
  </si>
  <si>
    <t>tables_settle_504105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</si>
</sst>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60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1" fillId="0" borderId="0"/>
    <xf numFmtId="0" fontId="25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0" fillId="0" borderId="0"/>
    <xf numFmtId="0" fontId="32" fillId="5" borderId="2" applyNumberFormat="0" applyAlignment="0" applyProtection="0"/>
    <xf numFmtId="0" fontId="33" fillId="6" borderId="0" applyNumberFormat="0" applyBorder="0" applyAlignment="0" applyProtection="0"/>
    <xf numFmtId="0" fontId="34" fillId="7" borderId="3" applyNumberFormat="0" applyAlignment="0" applyProtection="0"/>
    <xf numFmtId="0" fontId="35" fillId="0" borderId="0" applyNumberFormat="0" applyFill="0" applyBorder="0" applyAlignment="0" applyProtection="0"/>
    <xf numFmtId="0" fontId="36" fillId="8" borderId="0" applyNumberFormat="0" applyBorder="0" applyAlignment="0" applyProtection="0"/>
    <xf numFmtId="0" fontId="37" fillId="9" borderId="4" applyNumberFormat="0" applyAlignment="0" applyProtection="0"/>
    <xf numFmtId="0" fontId="38" fillId="0" borderId="0" applyNumberFormat="0" applyFill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7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4" fillId="17" borderId="0" applyNumberFormat="0" applyBorder="0" applyAlignment="0" applyProtection="0"/>
    <xf numFmtId="0" fontId="33" fillId="6" borderId="0" applyNumberFormat="0" applyBorder="0" applyAlignment="0" applyProtection="0"/>
    <xf numFmtId="0" fontId="45" fillId="0" borderId="8" applyNumberFormat="0" applyFill="0" applyAlignment="0" applyProtection="0"/>
    <xf numFmtId="0" fontId="46" fillId="7" borderId="9" applyNumberFormat="0" applyAlignment="0" applyProtection="0"/>
    <xf numFmtId="0" fontId="46" fillId="18" borderId="9" applyNumberFormat="0" applyAlignment="0" applyProtection="0"/>
    <xf numFmtId="0" fontId="34" fillId="6" borderId="3" applyNumberFormat="0" applyAlignment="0" applyProtection="0"/>
    <xf numFmtId="0" fontId="47" fillId="0" borderId="10" applyNumberFormat="0" applyFill="0" applyAlignment="0" applyProtection="0"/>
    <xf numFmtId="0" fontId="48" fillId="18" borderId="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1" applyNumberFormat="0" applyFill="0" applyAlignment="0" applyProtection="0"/>
    <xf numFmtId="38" fontId="20" fillId="0" borderId="0" applyFont="0" applyFill="0" applyBorder="0" applyAlignment="0" applyProtection="0">
      <alignment vertical="center"/>
    </xf>
    <xf numFmtId="0" fontId="51" fillId="19" borderId="0" applyNumberFormat="0" applyBorder="0" applyAlignment="0" applyProtection="0"/>
    <xf numFmtId="0" fontId="52" fillId="20" borderId="0" applyNumberFormat="0" applyBorder="0" applyAlignment="0" applyProtection="0"/>
    <xf numFmtId="0" fontId="20" fillId="0" borderId="0"/>
    <xf numFmtId="0" fontId="53" fillId="20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/>
    <xf numFmtId="0" fontId="56" fillId="0" borderId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" fillId="0" borderId="0"/>
    <xf numFmtId="38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</cellStyleXfs>
  <cellXfs count="102">
    <xf numFmtId="0" fontId="0" fillId="0" borderId="0" xfId="0"/>
    <xf numFmtId="0" fontId="27" fillId="0" borderId="0" xfId="2" applyFont="1" applyAlignment="1">
      <alignment vertical="center"/>
    </xf>
    <xf numFmtId="0" fontId="27" fillId="0" borderId="1" xfId="2" applyFont="1" applyBorder="1" applyAlignment="1">
      <alignment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4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horizontal="right" vertical="center"/>
    </xf>
    <xf numFmtId="0" fontId="27" fillId="3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7" fillId="0" borderId="13" xfId="2" applyFont="1" applyBorder="1" applyAlignment="1">
      <alignment vertical="center"/>
    </xf>
    <xf numFmtId="0" fontId="26" fillId="4" borderId="12" xfId="0" applyFont="1" applyFill="1" applyBorder="1" applyAlignment="1">
      <alignment horizontal="right" vertical="center"/>
    </xf>
    <xf numFmtId="0" fontId="26" fillId="4" borderId="14" xfId="0" applyFont="1" applyFill="1" applyBorder="1" applyAlignment="1">
      <alignment horizontal="right" vertical="center"/>
    </xf>
    <xf numFmtId="0" fontId="27" fillId="0" borderId="15" xfId="2" applyFont="1" applyBorder="1" applyAlignment="1">
      <alignment vertical="center"/>
    </xf>
    <xf numFmtId="0" fontId="27" fillId="2" borderId="1" xfId="2" applyFont="1" applyFill="1" applyBorder="1" applyAlignment="1">
      <alignment horizontal="left" vertical="center"/>
    </xf>
    <xf numFmtId="0" fontId="54" fillId="21" borderId="1" xfId="0" applyFont="1" applyFill="1" applyBorder="1" applyAlignment="1">
      <alignment horizontal="left" vertical="center"/>
    </xf>
    <xf numFmtId="0" fontId="27" fillId="2" borderId="1" xfId="2" applyFont="1" applyFill="1" applyBorder="1" applyAlignment="1">
      <alignment horizontal="center" vertical="center"/>
    </xf>
    <xf numFmtId="0" fontId="29" fillId="22" borderId="1" xfId="2978" applyFont="1" applyFill="1" applyBorder="1"/>
    <xf numFmtId="0" fontId="15" fillId="22" borderId="1" xfId="2978" applyFill="1" applyBorder="1"/>
    <xf numFmtId="0" fontId="15" fillId="0" borderId="0" xfId="2978"/>
    <xf numFmtId="0" fontId="15" fillId="0" borderId="1" xfId="2978" applyBorder="1"/>
    <xf numFmtId="0" fontId="15" fillId="2" borderId="1" xfId="2978" applyFill="1" applyBorder="1"/>
    <xf numFmtId="0" fontId="19" fillId="2" borderId="1" xfId="19" applyFont="1" applyFill="1" applyBorder="1"/>
    <xf numFmtId="0" fontId="20" fillId="2" borderId="1" xfId="19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4" fillId="0" borderId="1" xfId="2978" applyFont="1" applyBorder="1"/>
    <xf numFmtId="0" fontId="29" fillId="22" borderId="1" xfId="0" applyFont="1" applyFill="1" applyBorder="1"/>
    <xf numFmtId="0" fontId="54" fillId="2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vertical="center"/>
    </xf>
    <xf numFmtId="0" fontId="0" fillId="4" borderId="0" xfId="0" applyFill="1"/>
    <xf numFmtId="0" fontId="12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1" fillId="2" borderId="1" xfId="19" applyFont="1" applyFill="1" applyBorder="1"/>
    <xf numFmtId="0" fontId="11" fillId="4" borderId="1" xfId="2978" applyFont="1" applyFill="1" applyBorder="1"/>
    <xf numFmtId="0" fontId="0" fillId="2" borderId="0" xfId="0" applyFill="1"/>
    <xf numFmtId="0" fontId="54" fillId="30" borderId="1" xfId="0" applyFont="1" applyFill="1" applyBorder="1" applyAlignment="1">
      <alignment horizontal="left" vertical="center"/>
    </xf>
    <xf numFmtId="0" fontId="2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6" fillId="25" borderId="1" xfId="0" applyFont="1" applyFill="1" applyBorder="1" applyAlignment="1">
      <alignment horizontal="right" vertical="center"/>
    </xf>
    <xf numFmtId="0" fontId="10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9" fillId="0" borderId="0" xfId="3662"/>
    <xf numFmtId="0" fontId="9" fillId="4" borderId="0" xfId="3662" applyFill="1"/>
    <xf numFmtId="9" fontId="9" fillId="0" borderId="0" xfId="3662" applyNumberFormat="1"/>
    <xf numFmtId="0" fontId="9" fillId="0" borderId="0" xfId="3662" applyFill="1"/>
    <xf numFmtId="9" fontId="9" fillId="0" borderId="0" xfId="3662" applyNumberFormat="1" applyAlignment="1"/>
    <xf numFmtId="0" fontId="9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8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9" fillId="32" borderId="1" xfId="0" applyNumberFormat="1" applyFont="1" applyFill="1" applyBorder="1"/>
    <xf numFmtId="38" fontId="27" fillId="4" borderId="1" xfId="3663" quotePrefix="1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27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8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7" fillId="0" borderId="0" xfId="2" applyFont="1" applyFill="1" applyBorder="1" applyAlignment="1">
      <alignment vertical="center"/>
    </xf>
    <xf numFmtId="0" fontId="7" fillId="0" borderId="1" xfId="3036" applyFont="1" applyBorder="1"/>
    <xf numFmtId="0" fontId="26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6" fillId="4" borderId="1" xfId="2978" applyFont="1" applyFill="1" applyBorder="1"/>
    <xf numFmtId="0" fontId="6" fillId="0" borderId="1" xfId="3036" applyFont="1" applyBorder="1"/>
    <xf numFmtId="0" fontId="5" fillId="0" borderId="1" xfId="3036" applyFont="1" applyBorder="1"/>
    <xf numFmtId="0" fontId="28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4" fillId="0" borderId="1" xfId="2978" applyFont="1" applyBorder="1"/>
    <xf numFmtId="0" fontId="4" fillId="4" borderId="1" xfId="2978" applyFont="1" applyFill="1" applyBorder="1"/>
    <xf numFmtId="0" fontId="27" fillId="3" borderId="14" xfId="2" applyFont="1" applyFill="1" applyBorder="1" applyAlignment="1">
      <alignment vertical="center"/>
    </xf>
    <xf numFmtId="0" fontId="3" fillId="4" borderId="1" xfId="2978" applyFont="1" applyFill="1" applyBorder="1"/>
    <xf numFmtId="0" fontId="2" fillId="4" borderId="1" xfId="2978" applyFont="1" applyFill="1" applyBorder="1"/>
    <xf numFmtId="0" fontId="2" fillId="0" borderId="1" xfId="3036" applyFont="1" applyBorder="1"/>
    <xf numFmtId="0" fontId="27" fillId="0" borderId="0" xfId="2" applyFont="1" applyBorder="1" applyAlignment="1">
      <alignment vertical="center"/>
    </xf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attack</v>
          </cell>
          <cell r="L1171" t="str">
            <v>攻撃タイプ</v>
          </cell>
          <cell r="M1171" t="str">
            <v>academia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rabbit01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rabbit02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fox01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fox02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wildboar01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wolf01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wolf02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raccoon01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raccoon02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sloth01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sloth02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hedgehog01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hedgehog02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mole01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bear01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giraffe01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sheep01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lion01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goat01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camel01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weasel01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tiger01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tiger02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zebra01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zebra02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elephant01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elephant02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leopard01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leopard02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DropWizS</v>
          </cell>
          <cell r="K1325" t="str">
            <v>attack</v>
          </cell>
          <cell r="L1325" t="str">
            <v>攻撃タイプ</v>
          </cell>
          <cell r="M1325" t="str">
            <v>human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DropWizS</v>
          </cell>
          <cell r="K1326" t="str">
            <v>attack</v>
          </cell>
          <cell r="L1326" t="str">
            <v>攻撃タイプ</v>
          </cell>
          <cell r="M1326" t="str">
            <v>human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blue</v>
          </cell>
          <cell r="I1327">
            <v>5</v>
          </cell>
          <cell r="J1327" t="str">
            <v>DropWizS</v>
          </cell>
          <cell r="K1327" t="str">
            <v>attack</v>
          </cell>
          <cell r="L1327" t="str">
            <v>攻撃タイプ</v>
          </cell>
          <cell r="M1327" t="str">
            <v>human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blue</v>
          </cell>
          <cell r="I1328">
            <v>6</v>
          </cell>
          <cell r="J1328" t="str">
            <v>DropWizS</v>
          </cell>
          <cell r="K1328" t="str">
            <v>attack</v>
          </cell>
          <cell r="L1328" t="str">
            <v>攻撃タイプ</v>
          </cell>
          <cell r="M1328" t="str">
            <v>human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human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human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</v>
          </cell>
          <cell r="K1331" t="str">
            <v>attack</v>
          </cell>
          <cell r="L1331" t="str">
            <v>攻撃タイプ</v>
          </cell>
          <cell r="M1331" t="str">
            <v>human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</v>
          </cell>
          <cell r="K1332" t="str">
            <v>attack</v>
          </cell>
          <cell r="L1332" t="str">
            <v>攻撃タイプ</v>
          </cell>
          <cell r="M1332" t="str">
            <v>human</v>
          </cell>
        </row>
        <row r="1333">
          <cell r="A1333">
            <v>1332</v>
          </cell>
          <cell r="B1333" t="str">
            <v>ja</v>
          </cell>
          <cell r="C1333" t="str">
            <v>タマヨリヒメ</v>
          </cell>
          <cell r="H1333" t="str">
            <v>red</v>
          </cell>
          <cell r="I1333">
            <v>4</v>
          </cell>
          <cell r="J1333" t="str">
            <v>DropWizS</v>
          </cell>
          <cell r="K1333" t="str">
            <v>attack</v>
          </cell>
          <cell r="L1333" t="str">
            <v>攻撃タイプ</v>
          </cell>
          <cell r="M1333" t="str">
            <v>human</v>
          </cell>
        </row>
        <row r="1334">
          <cell r="A1334">
            <v>1333</v>
          </cell>
          <cell r="B1334" t="str">
            <v>ja</v>
          </cell>
          <cell r="C1334" t="str">
            <v>霊司の神憑 タマヨリヒメ</v>
          </cell>
          <cell r="H1334" t="str">
            <v>red</v>
          </cell>
          <cell r="I1334">
            <v>5</v>
          </cell>
          <cell r="J1334" t="str">
            <v>DropWizS</v>
          </cell>
          <cell r="K1334" t="str">
            <v>attack</v>
          </cell>
          <cell r="L1334" t="str">
            <v>攻撃タイプ</v>
          </cell>
          <cell r="M1334" t="str">
            <v>human</v>
          </cell>
        </row>
        <row r="1335">
          <cell r="A1335">
            <v>1334</v>
          </cell>
          <cell r="B1335" t="str">
            <v>ja</v>
          </cell>
          <cell r="C1335" t="str">
            <v>クシナダヒメ</v>
          </cell>
          <cell r="H1335" t="str">
            <v>green</v>
          </cell>
          <cell r="I1335">
            <v>5</v>
          </cell>
          <cell r="J1335" t="str">
            <v>DropWizS</v>
          </cell>
          <cell r="K1335" t="str">
            <v>attack</v>
          </cell>
          <cell r="L1335" t="str">
            <v>攻撃タイプ</v>
          </cell>
          <cell r="M1335" t="str">
            <v>human</v>
          </cell>
        </row>
        <row r="1336">
          <cell r="A1336">
            <v>1335</v>
          </cell>
          <cell r="B1336" t="str">
            <v>ja</v>
          </cell>
          <cell r="C1336" t="str">
            <v>神心を射る穂神 クシナダヒメ</v>
          </cell>
          <cell r="H1336" t="str">
            <v>green</v>
          </cell>
          <cell r="I1336">
            <v>6</v>
          </cell>
          <cell r="J1336" t="str">
            <v>DropWizS</v>
          </cell>
          <cell r="K1336" t="str">
            <v>attack</v>
          </cell>
          <cell r="L1336" t="str">
            <v>攻撃タイプ</v>
          </cell>
          <cell r="M1336" t="str">
            <v>human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DropWizS</v>
          </cell>
          <cell r="K1337" t="str">
            <v>attack</v>
          </cell>
          <cell r="L1337" t="str">
            <v>攻撃タイプ</v>
          </cell>
          <cell r="M1337" t="str">
            <v>human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DropWizS</v>
          </cell>
          <cell r="K1338" t="str">
            <v>attack</v>
          </cell>
          <cell r="L1338" t="str">
            <v>攻撃タイプ</v>
          </cell>
          <cell r="M1338" t="str">
            <v>human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プラネタリウムR5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technical</v>
          </cell>
          <cell r="L1341" t="str">
            <v>テクニカルタイプ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プラネタリウムR6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technical</v>
          </cell>
          <cell r="L1342" t="str">
            <v>テクニカルタイプ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1414</v>
          </cell>
          <cell r="B1372" t="str">
            <v>ja</v>
          </cell>
          <cell r="C1372" t="str">
            <v>炎のミリオンダック 7</v>
          </cell>
          <cell r="D1372" t="str">
            <v>未定</v>
          </cell>
          <cell r="E1372" t="str">
            <v>執行者</v>
          </cell>
          <cell r="F1372" t="str">
            <v>格好いい</v>
          </cell>
          <cell r="G1372" t="str">
            <v>不明</v>
          </cell>
          <cell r="H1372" t="str">
            <v>red</v>
          </cell>
          <cell r="I1372">
            <v>6</v>
          </cell>
          <cell r="J1372" t="str">
            <v>Material</v>
          </cell>
          <cell r="K1372" t="str">
            <v>exp</v>
          </cell>
          <cell r="L1372" t="str">
            <v>強化素材タイプ</v>
          </cell>
          <cell r="M1372" t="str">
            <v>unknown</v>
          </cell>
        </row>
        <row r="1373">
          <cell r="A1373">
            <v>1415</v>
          </cell>
          <cell r="B1373" t="str">
            <v>ja</v>
          </cell>
          <cell r="C1373" t="str">
            <v>森のミリオンダック 7</v>
          </cell>
          <cell r="D1373" t="str">
            <v>未定</v>
          </cell>
          <cell r="E1373" t="str">
            <v>執行者</v>
          </cell>
          <cell r="F1373" t="str">
            <v>格好いい</v>
          </cell>
          <cell r="G1373" t="str">
            <v>不明</v>
          </cell>
          <cell r="H1373" t="str">
            <v>green</v>
          </cell>
          <cell r="I1373">
            <v>6</v>
          </cell>
          <cell r="J1373" t="str">
            <v>Material</v>
          </cell>
          <cell r="K1373" t="str">
            <v>exp</v>
          </cell>
          <cell r="L1373" t="str">
            <v>強化素材タイプ</v>
          </cell>
          <cell r="M1373" t="str">
            <v>unknown</v>
          </cell>
        </row>
        <row r="1374">
          <cell r="A1374">
            <v>1416</v>
          </cell>
          <cell r="B1374" t="str">
            <v>ja</v>
          </cell>
          <cell r="C1374" t="str">
            <v>水のミリオンダック 7</v>
          </cell>
          <cell r="D1374" t="str">
            <v>未定</v>
          </cell>
          <cell r="E1374" t="str">
            <v>執行者</v>
          </cell>
          <cell r="F1374" t="str">
            <v>格好いい</v>
          </cell>
          <cell r="G1374" t="str">
            <v>不明</v>
          </cell>
          <cell r="H1374" t="str">
            <v>blue</v>
          </cell>
          <cell r="I1374">
            <v>6</v>
          </cell>
          <cell r="J1374" t="str">
            <v>Material</v>
          </cell>
          <cell r="K1374" t="str">
            <v>exp</v>
          </cell>
          <cell r="L1374" t="str">
            <v>強化素材タイプ</v>
          </cell>
          <cell r="M1374" t="str">
            <v>unknown</v>
          </cell>
        </row>
        <row r="1375">
          <cell r="A1375">
            <v>1417</v>
          </cell>
          <cell r="B1375" t="str">
            <v>ja</v>
          </cell>
          <cell r="C1375" t="str">
            <v>雷のミリオンダック 7</v>
          </cell>
          <cell r="D1375" t="str">
            <v>未定</v>
          </cell>
          <cell r="E1375" t="str">
            <v>執行者</v>
          </cell>
          <cell r="F1375" t="str">
            <v>格好いい</v>
          </cell>
          <cell r="G1375" t="str">
            <v>不明</v>
          </cell>
          <cell r="H1375" t="str">
            <v>yellow</v>
          </cell>
          <cell r="I1375">
            <v>6</v>
          </cell>
          <cell r="J1375" t="str">
            <v>Material</v>
          </cell>
          <cell r="K1375" t="str">
            <v>exp</v>
          </cell>
          <cell r="L1375" t="str">
            <v>強化素材タイプ</v>
          </cell>
          <cell r="M1375" t="str">
            <v>unknown</v>
          </cell>
        </row>
        <row r="1376">
          <cell r="A1376">
            <v>1427</v>
          </cell>
          <cell r="B1376" t="str">
            <v>ja</v>
          </cell>
          <cell r="C1376" t="str">
            <v>超覚醒シュヴァルツシルト</v>
          </cell>
          <cell r="H1376" t="str">
            <v>blue</v>
          </cell>
          <cell r="I1376">
            <v>6</v>
          </cell>
          <cell r="J1376" t="str">
            <v>PremiumSSS</v>
          </cell>
          <cell r="K1376" t="str">
            <v>attack</v>
          </cell>
          <cell r="L1376" t="str">
            <v>攻撃タイプ</v>
          </cell>
          <cell r="M1376" t="str">
            <v>academia</v>
          </cell>
        </row>
        <row r="1377">
          <cell r="A1377">
            <v>5001</v>
          </cell>
          <cell r="B1377" t="str">
            <v>ja</v>
          </cell>
          <cell r="C1377" t="str">
            <v>ガルーダ</v>
          </cell>
          <cell r="D1377" t="str">
            <v>ノーマルクエスト</v>
          </cell>
          <cell r="E1377" t="str">
            <v>QoH</v>
          </cell>
          <cell r="F1377" t="str">
            <v>世界観</v>
          </cell>
          <cell r="G1377" t="str">
            <v>不明</v>
          </cell>
          <cell r="H1377" t="str">
            <v>red</v>
          </cell>
          <cell r="I1377">
            <v>5</v>
          </cell>
          <cell r="J1377" t="str">
            <v>PremiumSSw</v>
          </cell>
          <cell r="K1377" t="str">
            <v>attack</v>
          </cell>
          <cell r="L1377" t="str">
            <v>攻撃タイプ</v>
          </cell>
          <cell r="M1377" t="str">
            <v>god</v>
          </cell>
        </row>
        <row r="1378">
          <cell r="A1378">
            <v>5002</v>
          </cell>
          <cell r="B1378" t="str">
            <v>ja</v>
          </cell>
          <cell r="C1378" t="str">
            <v>ガルーダ★６</v>
          </cell>
          <cell r="D1378" t="str">
            <v>ノーマルクエスト</v>
          </cell>
          <cell r="E1378" t="str">
            <v>アバター</v>
          </cell>
          <cell r="F1378" t="str">
            <v>世界観</v>
          </cell>
          <cell r="G1378" t="str">
            <v>男性</v>
          </cell>
          <cell r="H1378" t="str">
            <v>red</v>
          </cell>
          <cell r="I1378">
            <v>6</v>
          </cell>
          <cell r="J1378" t="str">
            <v>PremiumSSw</v>
          </cell>
          <cell r="K1378" t="str">
            <v>attack</v>
          </cell>
          <cell r="L1378" t="str">
            <v>攻撃タイプ</v>
          </cell>
          <cell r="M1378" t="str">
            <v>god</v>
          </cell>
        </row>
        <row r="1379">
          <cell r="A1379">
            <v>5003</v>
          </cell>
          <cell r="B1379" t="str">
            <v>ja</v>
          </cell>
          <cell r="C1379" t="str">
            <v>ナーガ</v>
          </cell>
          <cell r="D1379" t="str">
            <v>リンクガチャ:4神</v>
          </cell>
          <cell r="E1379" t="str">
            <v>守護神</v>
          </cell>
          <cell r="F1379" t="str">
            <v>格好いい</v>
          </cell>
          <cell r="G1379" t="str">
            <v>不明</v>
          </cell>
          <cell r="H1379" t="str">
            <v>green</v>
          </cell>
          <cell r="I1379">
            <v>5</v>
          </cell>
          <cell r="J1379" t="str">
            <v>DropWizS</v>
          </cell>
          <cell r="K1379" t="str">
            <v>technical</v>
          </cell>
          <cell r="L1379" t="str">
            <v>テクニカルタイプ</v>
          </cell>
          <cell r="M1379" t="str">
            <v>animal</v>
          </cell>
        </row>
        <row r="1380">
          <cell r="A1380">
            <v>5004</v>
          </cell>
          <cell r="B1380" t="str">
            <v>ja</v>
          </cell>
          <cell r="C1380" t="str">
            <v>ナーガ★６</v>
          </cell>
          <cell r="D1380" t="str">
            <v>ノーマルクエスト</v>
          </cell>
          <cell r="E1380" t="str">
            <v>アバター</v>
          </cell>
          <cell r="F1380" t="str">
            <v>世界観</v>
          </cell>
          <cell r="G1380" t="str">
            <v>不明</v>
          </cell>
          <cell r="H1380" t="str">
            <v>green</v>
          </cell>
          <cell r="I1380">
            <v>6</v>
          </cell>
          <cell r="J1380" t="str">
            <v>DropWizS</v>
          </cell>
          <cell r="K1380" t="str">
            <v>technical</v>
          </cell>
          <cell r="L1380" t="str">
            <v>テクニカルタイプ</v>
          </cell>
          <cell r="M1380" t="str">
            <v>animal</v>
          </cell>
        </row>
        <row r="1381">
          <cell r="A1381">
            <v>6001</v>
          </cell>
          <cell r="B1381" t="str">
            <v>ja</v>
          </cell>
          <cell r="C1381" t="str">
            <v>ジェリー</v>
          </cell>
          <cell r="D1381" t="str">
            <v>ノーマルクエスト</v>
          </cell>
          <cell r="E1381" t="str">
            <v>QoH</v>
          </cell>
          <cell r="F1381" t="str">
            <v>世界観</v>
          </cell>
          <cell r="G1381" t="str">
            <v>不明</v>
          </cell>
          <cell r="H1381" t="str">
            <v>red</v>
          </cell>
          <cell r="I1381">
            <v>1</v>
          </cell>
          <cell r="J1381" t="str">
            <v>Drop1T</v>
          </cell>
          <cell r="K1381" t="str">
            <v>ra</v>
          </cell>
          <cell r="L1381" t="str">
            <v>ラグランジュチャレンジ</v>
          </cell>
          <cell r="M1381" t="str">
            <v>unknown</v>
          </cell>
        </row>
        <row r="1382">
          <cell r="A1382">
            <v>6002</v>
          </cell>
          <cell r="B1382" t="str">
            <v>ja</v>
          </cell>
          <cell r="C1382" t="str">
            <v>ヨシタカ</v>
          </cell>
          <cell r="D1382" t="str">
            <v>ノーマルクエスト</v>
          </cell>
          <cell r="E1382" t="str">
            <v>アバター</v>
          </cell>
          <cell r="F1382" t="str">
            <v>世界観</v>
          </cell>
          <cell r="G1382" t="str">
            <v>男性</v>
          </cell>
          <cell r="H1382" t="str">
            <v>red</v>
          </cell>
          <cell r="I1382">
            <v>2</v>
          </cell>
          <cell r="J1382" t="str">
            <v>Drop1N</v>
          </cell>
          <cell r="K1382" t="str">
            <v>ra</v>
          </cell>
          <cell r="L1382" t="str">
            <v>ラグランジュチャレンジ</v>
          </cell>
          <cell r="M1382" t="str">
            <v>human</v>
          </cell>
        </row>
        <row r="1383">
          <cell r="A1383">
            <v>6003</v>
          </cell>
          <cell r="B1383" t="str">
            <v>ja</v>
          </cell>
          <cell r="C1383" t="str">
            <v>朱雀</v>
          </cell>
          <cell r="D1383" t="str">
            <v>リンクガチャ:4神</v>
          </cell>
          <cell r="E1383" t="str">
            <v>守護神</v>
          </cell>
          <cell r="F1383" t="str">
            <v>格好いい</v>
          </cell>
          <cell r="G1383" t="str">
            <v>不明</v>
          </cell>
          <cell r="H1383" t="str">
            <v>red</v>
          </cell>
          <cell r="I1383">
            <v>3</v>
          </cell>
          <cell r="J1383" t="str">
            <v>Drop2N</v>
          </cell>
          <cell r="K1383" t="str">
            <v>ra</v>
          </cell>
          <cell r="L1383" t="str">
            <v>ラグランジュチャレンジ</v>
          </cell>
          <cell r="M1383" t="str">
            <v>animal</v>
          </cell>
        </row>
        <row r="1384">
          <cell r="A1384">
            <v>6004</v>
          </cell>
          <cell r="B1384" t="str">
            <v>ja</v>
          </cell>
          <cell r="C1384" t="str">
            <v>ブレット</v>
          </cell>
          <cell r="D1384" t="str">
            <v>ノーマルクエスト</v>
          </cell>
          <cell r="E1384" t="str">
            <v>アバター</v>
          </cell>
          <cell r="F1384" t="str">
            <v>世界観</v>
          </cell>
          <cell r="G1384" t="str">
            <v>不明</v>
          </cell>
          <cell r="H1384" t="str">
            <v>red</v>
          </cell>
          <cell r="I1384">
            <v>1</v>
          </cell>
          <cell r="J1384" t="str">
            <v>Drop1W</v>
          </cell>
          <cell r="K1384" t="str">
            <v>ra</v>
          </cell>
          <cell r="L1384" t="str">
            <v>ラグランジュチャレンジ</v>
          </cell>
          <cell r="M1384" t="str">
            <v>animal</v>
          </cell>
        </row>
        <row r="1385">
          <cell r="A1385">
            <v>6005</v>
          </cell>
          <cell r="B1385" t="str">
            <v>ja</v>
          </cell>
          <cell r="C1385" t="str">
            <v>孤神 テティス</v>
          </cell>
          <cell r="D1385" t="str">
            <v>初期ガチャ</v>
          </cell>
          <cell r="E1385" t="str">
            <v>管理者</v>
          </cell>
          <cell r="F1385" t="str">
            <v>美しい</v>
          </cell>
          <cell r="G1385" t="str">
            <v>女性</v>
          </cell>
          <cell r="H1385" t="str">
            <v>blue</v>
          </cell>
          <cell r="I1385">
            <v>4</v>
          </cell>
          <cell r="J1385" t="str">
            <v>PremiumN</v>
          </cell>
          <cell r="K1385" t="str">
            <v>ra</v>
          </cell>
          <cell r="L1385" t="str">
            <v>ラグランジュチャレンジ</v>
          </cell>
          <cell r="M1385" t="str">
            <v>god</v>
          </cell>
        </row>
        <row r="1386">
          <cell r="A1386">
            <v>6006</v>
          </cell>
          <cell r="B1386" t="str">
            <v>ja</v>
          </cell>
          <cell r="C1386" t="str">
            <v>海底の孤高神 テティス</v>
          </cell>
          <cell r="D1386" t="str">
            <v>初期ガチャ</v>
          </cell>
          <cell r="E1386" t="str">
            <v>管理者</v>
          </cell>
          <cell r="F1386" t="str">
            <v>美しい</v>
          </cell>
          <cell r="G1386" t="str">
            <v>女性</v>
          </cell>
          <cell r="H1386" t="str">
            <v>blue</v>
          </cell>
          <cell r="I1386">
            <v>5</v>
          </cell>
          <cell r="J1386" t="str">
            <v>PremiumN</v>
          </cell>
          <cell r="K1386" t="str">
            <v>ra</v>
          </cell>
          <cell r="L1386" t="str">
            <v>ラグランジュチャレンジ</v>
          </cell>
          <cell r="M1386" t="str">
            <v>god</v>
          </cell>
        </row>
        <row r="1387">
          <cell r="A1387">
            <v>6007</v>
          </cell>
          <cell r="B1387" t="str">
            <v>ja</v>
          </cell>
          <cell r="C1387" t="str">
            <v>番犬 ケルベロス</v>
          </cell>
          <cell r="D1387" t="str">
            <v>初期ガチャ</v>
          </cell>
          <cell r="E1387" t="str">
            <v>破界者</v>
          </cell>
          <cell r="F1387" t="str">
            <v>可愛い</v>
          </cell>
          <cell r="G1387" t="str">
            <v>女性</v>
          </cell>
          <cell r="H1387" t="str">
            <v>red</v>
          </cell>
          <cell r="I1387">
            <v>4</v>
          </cell>
          <cell r="J1387" t="str">
            <v>PremiumN</v>
          </cell>
          <cell r="K1387" t="str">
            <v>ra</v>
          </cell>
          <cell r="L1387" t="str">
            <v>ラグランジュチャレンジ</v>
          </cell>
          <cell r="M1387" t="str">
            <v>animal</v>
          </cell>
        </row>
        <row r="1388">
          <cell r="A1388">
            <v>6008</v>
          </cell>
          <cell r="B1388" t="str">
            <v>ja</v>
          </cell>
          <cell r="C1388" t="str">
            <v>焔神 プロメテウス</v>
          </cell>
          <cell r="D1388" t="str">
            <v>初期ガチャ</v>
          </cell>
          <cell r="E1388" t="str">
            <v>管理者</v>
          </cell>
          <cell r="F1388" t="str">
            <v>格好いい</v>
          </cell>
          <cell r="G1388" t="str">
            <v>男性</v>
          </cell>
          <cell r="H1388" t="str">
            <v>red</v>
          </cell>
          <cell r="I1388">
            <v>4</v>
          </cell>
          <cell r="J1388" t="str">
            <v>PremiumN</v>
          </cell>
          <cell r="K1388" t="str">
            <v>ra</v>
          </cell>
          <cell r="L1388" t="str">
            <v>ラグランジュチャレンジ</v>
          </cell>
          <cell r="M1388" t="str">
            <v>god</v>
          </cell>
        </row>
        <row r="1389">
          <cell r="A1389">
            <v>6009</v>
          </cell>
          <cell r="B1389" t="str">
            <v>ja</v>
          </cell>
          <cell r="C1389" t="str">
            <v>超越自我 ラグランジュ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女性</v>
          </cell>
          <cell r="H1389" t="str">
            <v>red</v>
          </cell>
          <cell r="I1389">
            <v>5</v>
          </cell>
          <cell r="J1389" t="str">
            <v>PremiumSSS</v>
          </cell>
          <cell r="K1389" t="str">
            <v>ra</v>
          </cell>
          <cell r="L1389" t="str">
            <v>ラグランジュチャレンジ</v>
          </cell>
          <cell r="M1389" t="str">
            <v>human</v>
          </cell>
        </row>
        <row r="1390">
          <cell r="A1390">
            <v>6010</v>
          </cell>
          <cell r="B1390" t="str">
            <v>ja</v>
          </cell>
          <cell r="C1390" t="str">
            <v>超越凌駕 ラグランジュ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女性</v>
          </cell>
          <cell r="H1390" t="str">
            <v>red</v>
          </cell>
          <cell r="I1390">
            <v>6</v>
          </cell>
          <cell r="J1390" t="str">
            <v>PremiumSSS</v>
          </cell>
          <cell r="K1390" t="str">
            <v>ra</v>
          </cell>
          <cell r="L1390" t="str">
            <v>ラグランジュチャレンジ</v>
          </cell>
          <cell r="M1390" t="str">
            <v>human</v>
          </cell>
        </row>
        <row r="1391">
          <cell r="A1391">
            <v>6011</v>
          </cell>
          <cell r="B1391" t="str">
            <v>ja</v>
          </cell>
          <cell r="C1391" t="str">
            <v>パトドッグリーダー ポチ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2</v>
          </cell>
          <cell r="J1391" t="str">
            <v>Drop1T</v>
          </cell>
          <cell r="K1391" t="str">
            <v>ra002</v>
          </cell>
          <cell r="L1391" t="str">
            <v>ユークリッドチャレンジ</v>
          </cell>
          <cell r="M1391" t="str">
            <v>unknown</v>
          </cell>
        </row>
        <row r="1392">
          <cell r="A1392">
            <v>6012</v>
          </cell>
          <cell r="B1392" t="str">
            <v>ja</v>
          </cell>
          <cell r="C1392" t="str">
            <v>ミミ</v>
          </cell>
          <cell r="D1392" t="str">
            <v>ガチャ:フィーバーフェス02</v>
          </cell>
          <cell r="E1392" t="str">
            <v>執行者</v>
          </cell>
          <cell r="F1392" t="str">
            <v>格好いい</v>
          </cell>
          <cell r="G1392" t="str">
            <v>男性</v>
          </cell>
          <cell r="H1392" t="str">
            <v>yellow</v>
          </cell>
          <cell r="I1392">
            <v>1</v>
          </cell>
          <cell r="J1392" t="str">
            <v>Drop1W</v>
          </cell>
          <cell r="K1392" t="str">
            <v>ra002</v>
          </cell>
          <cell r="L1392" t="str">
            <v>ユークリッドチャレンジ</v>
          </cell>
          <cell r="M1392" t="str">
            <v>animal</v>
          </cell>
        </row>
        <row r="1393">
          <cell r="A1393">
            <v>6013</v>
          </cell>
          <cell r="B1393" t="str">
            <v>ja</v>
          </cell>
          <cell r="C1393" t="str">
            <v>護衛機人 スケアクロウ</v>
          </cell>
          <cell r="D1393" t="str">
            <v>ガチャ:フィーバーフェス02</v>
          </cell>
          <cell r="E1393" t="str">
            <v>執行者</v>
          </cell>
          <cell r="F1393" t="str">
            <v>格好いい</v>
          </cell>
          <cell r="G1393" t="str">
            <v>男性</v>
          </cell>
          <cell r="H1393" t="str">
            <v>blue</v>
          </cell>
          <cell r="I1393">
            <v>2</v>
          </cell>
          <cell r="J1393" t="str">
            <v>Drop1N</v>
          </cell>
          <cell r="K1393" t="str">
            <v>ra002</v>
          </cell>
          <cell r="L1393" t="str">
            <v>ユークリッドチャレンジ</v>
          </cell>
          <cell r="M1393" t="str">
            <v>machine</v>
          </cell>
        </row>
        <row r="1394">
          <cell r="A1394">
            <v>6014</v>
          </cell>
          <cell r="B1394" t="str">
            <v>ja</v>
          </cell>
          <cell r="C1394" t="str">
            <v>月下の人狼 ローレンス</v>
          </cell>
          <cell r="D1394" t="str">
            <v>ガチャ:フィーバーフェス02</v>
          </cell>
          <cell r="E1394" t="str">
            <v>執行者</v>
          </cell>
          <cell r="F1394" t="str">
            <v>格好いい</v>
          </cell>
          <cell r="G1394" t="str">
            <v>男性</v>
          </cell>
          <cell r="H1394" t="str">
            <v>blue</v>
          </cell>
          <cell r="I1394">
            <v>4</v>
          </cell>
          <cell r="J1394" t="str">
            <v>PremiumW</v>
          </cell>
          <cell r="K1394" t="str">
            <v>ra002</v>
          </cell>
          <cell r="L1394" t="str">
            <v>ユークリッドチャレンジ</v>
          </cell>
          <cell r="M1394" t="str">
            <v>animal</v>
          </cell>
        </row>
        <row r="1395">
          <cell r="A1395">
            <v>6015</v>
          </cell>
          <cell r="B1395" t="str">
            <v>ja</v>
          </cell>
          <cell r="C1395" t="str">
            <v>フレイヤ</v>
          </cell>
          <cell r="D1395" t="str">
            <v>ガチャ:フィーバーフェス02</v>
          </cell>
          <cell r="E1395" t="str">
            <v>執行者</v>
          </cell>
          <cell r="F1395" t="str">
            <v>格好いい</v>
          </cell>
          <cell r="G1395" t="str">
            <v>男性</v>
          </cell>
          <cell r="H1395" t="str">
            <v>blue</v>
          </cell>
          <cell r="I1395">
            <v>4</v>
          </cell>
          <cell r="J1395" t="str">
            <v>PremiumSS</v>
          </cell>
          <cell r="K1395" t="str">
            <v>ra002</v>
          </cell>
          <cell r="L1395" t="str">
            <v>ユークリッドチャレンジ</v>
          </cell>
          <cell r="M1395" t="str">
            <v>animal</v>
          </cell>
        </row>
        <row r="1396">
          <cell r="A1396">
            <v>6016</v>
          </cell>
          <cell r="B1396" t="str">
            <v>ja</v>
          </cell>
          <cell r="C1396" t="str">
            <v>根原論理 ユークリッド</v>
          </cell>
          <cell r="D1396" t="str">
            <v>ガチャ:フィーバーフェス02</v>
          </cell>
          <cell r="E1396" t="str">
            <v>執行者</v>
          </cell>
          <cell r="F1396" t="str">
            <v>格好いい</v>
          </cell>
          <cell r="G1396" t="str">
            <v>男性</v>
          </cell>
          <cell r="H1396" t="str">
            <v>blue</v>
          </cell>
          <cell r="I1396">
            <v>5</v>
          </cell>
          <cell r="J1396" t="str">
            <v>PremiumSSS</v>
          </cell>
          <cell r="K1396" t="str">
            <v>ra002</v>
          </cell>
          <cell r="L1396" t="str">
            <v>ユークリッドチャレンジ</v>
          </cell>
          <cell r="M1396" t="str">
            <v>human</v>
          </cell>
        </row>
        <row r="1397">
          <cell r="A1397">
            <v>6017</v>
          </cell>
          <cell r="B1397" t="str">
            <v>ja</v>
          </cell>
          <cell r="C1397" t="str">
            <v>不朽の極論 ユークリッド</v>
          </cell>
          <cell r="D1397" t="str">
            <v>ガチャ:フィーバーフェス02</v>
          </cell>
          <cell r="E1397" t="str">
            <v>執行者</v>
          </cell>
          <cell r="F1397" t="str">
            <v>格好いい</v>
          </cell>
          <cell r="G1397" t="str">
            <v>男性</v>
          </cell>
          <cell r="H1397" t="str">
            <v>blue</v>
          </cell>
          <cell r="I1397">
            <v>6</v>
          </cell>
          <cell r="J1397" t="str">
            <v>PremiumSSS</v>
          </cell>
          <cell r="K1397" t="str">
            <v>ra002</v>
          </cell>
          <cell r="L1397" t="str">
            <v>ユークリッドチャレンジ</v>
          </cell>
          <cell r="M1397" t="str">
            <v>human</v>
          </cell>
        </row>
        <row r="1398">
          <cell r="A1398">
            <v>6018</v>
          </cell>
          <cell r="B1398" t="str">
            <v>ja</v>
          </cell>
          <cell r="C1398" t="str">
            <v>ハヅル</v>
          </cell>
          <cell r="D1398" t="str">
            <v>ガチャ:フィーバーフェス02</v>
          </cell>
          <cell r="E1398" t="str">
            <v>執行者</v>
          </cell>
          <cell r="F1398" t="str">
            <v>格好いい</v>
          </cell>
          <cell r="G1398" t="str">
            <v>男性</v>
          </cell>
          <cell r="H1398" t="str">
            <v>red</v>
          </cell>
          <cell r="I1398">
            <v>4</v>
          </cell>
          <cell r="J1398" t="str">
            <v>PremiumSS</v>
          </cell>
          <cell r="K1398" t="str">
            <v>ra002</v>
          </cell>
          <cell r="L1398" t="str">
            <v>ユークリッドチャレンジ</v>
          </cell>
          <cell r="M1398" t="str">
            <v>animal</v>
          </cell>
        </row>
        <row r="1399">
          <cell r="A1399">
            <v>6019</v>
          </cell>
          <cell r="B1399" t="str">
            <v>ja</v>
          </cell>
          <cell r="C1399" t="str">
            <v>天織羽鶴 ハヅル</v>
          </cell>
          <cell r="D1399" t="str">
            <v>ガチャ:フィーバーフェス02</v>
          </cell>
          <cell r="E1399" t="str">
            <v>執行者</v>
          </cell>
          <cell r="F1399" t="str">
            <v>格好いい</v>
          </cell>
          <cell r="G1399" t="str">
            <v>男性</v>
          </cell>
          <cell r="H1399" t="str">
            <v>red</v>
          </cell>
          <cell r="I1399">
            <v>5</v>
          </cell>
          <cell r="J1399" t="str">
            <v>PremiumSS</v>
          </cell>
          <cell r="K1399" t="str">
            <v>ra002</v>
          </cell>
          <cell r="L1399" t="str">
            <v>ユークリッドチャレンジ</v>
          </cell>
          <cell r="M1399" t="str">
            <v>animal</v>
          </cell>
        </row>
        <row r="1400">
          <cell r="A1400">
            <v>6020</v>
          </cell>
          <cell r="B1400" t="str">
            <v>ja</v>
          </cell>
          <cell r="C1400" t="str">
            <v>ミズチ</v>
          </cell>
          <cell r="D1400" t="str">
            <v>ガチャ:フィーバーフェス02</v>
          </cell>
          <cell r="E1400" t="str">
            <v>執行者</v>
          </cell>
          <cell r="F1400" t="str">
            <v>格好いい</v>
          </cell>
          <cell r="G1400" t="str">
            <v>男性</v>
          </cell>
          <cell r="H1400" t="str">
            <v>blue</v>
          </cell>
          <cell r="I1400">
            <v>4</v>
          </cell>
          <cell r="J1400" t="str">
            <v>PremiumS</v>
          </cell>
          <cell r="K1400" t="str">
            <v>ra002</v>
          </cell>
          <cell r="L1400" t="str">
            <v>ユークリッドチャレンジ</v>
          </cell>
          <cell r="M1400" t="str">
            <v>dragon</v>
          </cell>
        </row>
        <row r="1401">
          <cell r="A1401">
            <v>8001</v>
          </cell>
          <cell r="B1401" t="str">
            <v>ja</v>
          </cell>
          <cell r="C1401" t="str">
            <v>媽祖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女性</v>
          </cell>
          <cell r="H1401" t="str">
            <v>yellow</v>
          </cell>
          <cell r="I1401">
            <v>5</v>
          </cell>
          <cell r="J1401" t="str">
            <v>PremiumSS</v>
          </cell>
          <cell r="K1401" t="str">
            <v>attack</v>
          </cell>
          <cell r="L1401" t="str">
            <v>攻撃タイプ</v>
          </cell>
          <cell r="M1401" t="str">
            <v>god</v>
          </cell>
        </row>
        <row r="1402">
          <cell r="A1402">
            <v>8002</v>
          </cell>
          <cell r="B1402" t="str">
            <v>ja</v>
          </cell>
          <cell r="C1402" t="str">
            <v>宣導する天海妃 媽祖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女性</v>
          </cell>
          <cell r="H1402" t="str">
            <v>yellow</v>
          </cell>
          <cell r="I1402">
            <v>6</v>
          </cell>
          <cell r="J1402" t="str">
            <v>PremiumSS</v>
          </cell>
          <cell r="K1402" t="str">
            <v>attack</v>
          </cell>
          <cell r="L1402" t="str">
            <v>攻撃タイプ</v>
          </cell>
          <cell r="M1402" t="str">
            <v>god</v>
          </cell>
        </row>
        <row r="1403">
          <cell r="A1403">
            <v>8003</v>
          </cell>
          <cell r="B1403" t="str">
            <v>ja</v>
          </cell>
          <cell r="C1403" t="str">
            <v>蛟龍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不明</v>
          </cell>
          <cell r="H1403" t="str">
            <v>blue</v>
          </cell>
          <cell r="I1403">
            <v>5</v>
          </cell>
          <cell r="J1403" t="str">
            <v>DropWizS</v>
          </cell>
          <cell r="K1403" t="str">
            <v>hp</v>
          </cell>
          <cell r="L1403" t="str">
            <v>体力タイプ</v>
          </cell>
          <cell r="M1403" t="str">
            <v>dragon</v>
          </cell>
        </row>
        <row r="1404">
          <cell r="A1404">
            <v>8004</v>
          </cell>
          <cell r="B1404" t="str">
            <v>ja</v>
          </cell>
          <cell r="C1404" t="str">
            <v>呼嵐の蒼棲龍 蛟龍</v>
          </cell>
          <cell r="D1404" t="str">
            <v>イベント:ミクコラボ01</v>
          </cell>
          <cell r="E1404" t="str">
            <v>執行者</v>
          </cell>
          <cell r="F1404" t="str">
            <v>格好いい</v>
          </cell>
          <cell r="G1404" t="str">
            <v>不明</v>
          </cell>
          <cell r="H1404" t="str">
            <v>blue</v>
          </cell>
          <cell r="I1404">
            <v>6</v>
          </cell>
          <cell r="J1404" t="str">
            <v>DropWizS</v>
          </cell>
          <cell r="K1404" t="str">
            <v>hp</v>
          </cell>
          <cell r="L1404" t="str">
            <v>体力タイプ</v>
          </cell>
          <cell r="M1404" t="str">
            <v>dragon</v>
          </cell>
        </row>
        <row r="1405">
          <cell r="A1405">
            <v>8005</v>
          </cell>
          <cell r="B1405" t="str">
            <v>ja</v>
          </cell>
          <cell r="C1405" t="str">
            <v>三蔵法師</v>
          </cell>
          <cell r="D1405" t="str">
            <v>イベント:ミクコラボ01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blue</v>
          </cell>
          <cell r="I1405">
            <v>5</v>
          </cell>
          <cell r="J1405" t="str">
            <v>PremiumSS</v>
          </cell>
          <cell r="K1405" t="str">
            <v>balance</v>
          </cell>
          <cell r="L1405" t="str">
            <v>バランスタイプ</v>
          </cell>
          <cell r="M1405" t="str">
            <v>human</v>
          </cell>
        </row>
        <row r="1406">
          <cell r="A1406">
            <v>8006</v>
          </cell>
          <cell r="B1406" t="str">
            <v>ja</v>
          </cell>
          <cell r="C1406" t="str">
            <v>慈戒の呪封使 三蔵法師</v>
          </cell>
          <cell r="D1406" t="str">
            <v>イベント:ミクコラボ01</v>
          </cell>
          <cell r="E1406" t="str">
            <v>執行者</v>
          </cell>
          <cell r="F1406" t="str">
            <v>格好いい</v>
          </cell>
          <cell r="G1406" t="str">
            <v>不明</v>
          </cell>
          <cell r="H1406" t="str">
            <v>blue</v>
          </cell>
          <cell r="I1406">
            <v>6</v>
          </cell>
          <cell r="J1406" t="str">
            <v>PremiumSS</v>
          </cell>
          <cell r="K1406" t="str">
            <v>balance</v>
          </cell>
          <cell r="L1406" t="str">
            <v>バランスタイプ</v>
          </cell>
          <cell r="M1406" t="str">
            <v>human</v>
          </cell>
        </row>
        <row r="1407">
          <cell r="A1407">
            <v>8007</v>
          </cell>
          <cell r="B1407" t="str">
            <v>ja</v>
          </cell>
          <cell r="C1407" t="str">
            <v>孫悟空</v>
          </cell>
          <cell r="D1407" t="str">
            <v>イベント:ミクコラボ01</v>
          </cell>
          <cell r="E1407" t="str">
            <v>執行者</v>
          </cell>
          <cell r="F1407" t="str">
            <v>格好いい</v>
          </cell>
          <cell r="G1407" t="str">
            <v>不明</v>
          </cell>
          <cell r="H1407" t="str">
            <v>red</v>
          </cell>
          <cell r="I1407">
            <v>5</v>
          </cell>
          <cell r="J1407" t="str">
            <v>DropWizS</v>
          </cell>
          <cell r="K1407" t="str">
            <v>attack</v>
          </cell>
          <cell r="L1407" t="str">
            <v>攻撃タイプ</v>
          </cell>
          <cell r="M1407" t="str">
            <v>animal</v>
          </cell>
        </row>
        <row r="1408">
          <cell r="A1408">
            <v>8008</v>
          </cell>
          <cell r="B1408" t="str">
            <v>ja</v>
          </cell>
          <cell r="C1408" t="str">
            <v>花果の天猿仙人 孫悟空</v>
          </cell>
          <cell r="D1408" t="str">
            <v>イベント:ミクコラボ01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DropWizS</v>
          </cell>
          <cell r="K1408" t="str">
            <v>attack</v>
          </cell>
          <cell r="L1408" t="str">
            <v>攻撃タイプ</v>
          </cell>
          <cell r="M1408" t="str">
            <v>animal</v>
          </cell>
        </row>
        <row r="1409">
          <cell r="A1409">
            <v>8009</v>
          </cell>
          <cell r="B1409" t="str">
            <v>ja</v>
          </cell>
          <cell r="C1409" t="str">
            <v>西王娘娘</v>
          </cell>
          <cell r="D1409" t="str">
            <v>イベント:ミクコラボ01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5</v>
          </cell>
          <cell r="J1409" t="str">
            <v>PremiumSS</v>
          </cell>
          <cell r="K1409" t="str">
            <v>attack</v>
          </cell>
          <cell r="L1409" t="str">
            <v>攻撃タイプ</v>
          </cell>
          <cell r="M1409" t="str">
            <v>god</v>
          </cell>
        </row>
        <row r="1410">
          <cell r="A1410">
            <v>8010</v>
          </cell>
          <cell r="B1410" t="str">
            <v>ja</v>
          </cell>
          <cell r="C1410" t="str">
            <v>極楽瑶池の聖母 西王娘娘</v>
          </cell>
          <cell r="D1410" t="str">
            <v>イベント:ミクコラボ01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green</v>
          </cell>
          <cell r="I1410">
            <v>6</v>
          </cell>
          <cell r="J1410" t="str">
            <v>PremiumSS</v>
          </cell>
          <cell r="K1410" t="str">
            <v>attack</v>
          </cell>
          <cell r="L1410" t="str">
            <v>攻撃タイプ</v>
          </cell>
          <cell r="M1410" t="str">
            <v>god</v>
          </cell>
        </row>
        <row r="1411">
          <cell r="A1411">
            <v>8011</v>
          </cell>
          <cell r="B1411" t="str">
            <v>ja</v>
          </cell>
          <cell r="C1411" t="str">
            <v>月下老人</v>
          </cell>
          <cell r="D1411" t="str">
            <v>イベント:ミクコラボ01</v>
          </cell>
          <cell r="E1411" t="str">
            <v>執行者</v>
          </cell>
          <cell r="F1411" t="str">
            <v>格好いい</v>
          </cell>
          <cell r="G1411" t="str">
            <v>女性</v>
          </cell>
          <cell r="H1411" t="str">
            <v>yellow</v>
          </cell>
          <cell r="I1411">
            <v>5</v>
          </cell>
          <cell r="J1411" t="str">
            <v>DropWizS</v>
          </cell>
          <cell r="K1411" t="str">
            <v>balance</v>
          </cell>
          <cell r="L1411" t="str">
            <v>バランスタイプ</v>
          </cell>
          <cell r="M1411" t="str">
            <v>god</v>
          </cell>
        </row>
        <row r="1412">
          <cell r="A1412">
            <v>8012</v>
          </cell>
          <cell r="B1412" t="str">
            <v>ja</v>
          </cell>
          <cell r="C1412" t="str">
            <v>破戀斬る縁剣 月下老人</v>
          </cell>
          <cell r="D1412" t="str">
            <v>イベント:ミクコラボ01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yellow</v>
          </cell>
          <cell r="I1412">
            <v>6</v>
          </cell>
          <cell r="J1412" t="str">
            <v>DropWizS</v>
          </cell>
          <cell r="K1412" t="str">
            <v>balance</v>
          </cell>
          <cell r="L1412" t="str">
            <v>バランスタイプ</v>
          </cell>
          <cell r="M1412" t="str">
            <v>god</v>
          </cell>
        </row>
        <row r="1413">
          <cell r="A1413">
            <v>8013</v>
          </cell>
          <cell r="B1413" t="str">
            <v>ja</v>
          </cell>
          <cell r="C1413" t="str">
            <v>初音ミクV3</v>
          </cell>
          <cell r="D1413" t="str">
            <v>初音ミクV3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yellow</v>
          </cell>
          <cell r="I1413">
            <v>4</v>
          </cell>
          <cell r="J1413" t="str">
            <v>DropWizS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8014</v>
          </cell>
          <cell r="B1414" t="str">
            <v>ja</v>
          </cell>
          <cell r="C1414" t="str">
            <v>初音ミクV3</v>
          </cell>
          <cell r="D1414" t="str">
            <v>初音ミクV3</v>
          </cell>
          <cell r="E1414" t="str">
            <v>執行者</v>
          </cell>
          <cell r="F1414" t="str">
            <v>格好いい</v>
          </cell>
          <cell r="G1414" t="str">
            <v>女性</v>
          </cell>
          <cell r="H1414" t="str">
            <v>yellow</v>
          </cell>
          <cell r="I1414">
            <v>5</v>
          </cell>
          <cell r="J1414" t="str">
            <v>DropWizS</v>
          </cell>
          <cell r="K1414" t="str">
            <v>balance</v>
          </cell>
          <cell r="L1414" t="str">
            <v>バランスタイプ</v>
          </cell>
          <cell r="M1414" t="str">
            <v>unknown</v>
          </cell>
        </row>
        <row r="1415">
          <cell r="A1415">
            <v>8015</v>
          </cell>
          <cell r="B1415" t="str">
            <v>ja</v>
          </cell>
          <cell r="C1415" t="str">
            <v>初音ミク・アペンド</v>
          </cell>
          <cell r="D1415" t="str">
            <v>初音ミク・アペンド</v>
          </cell>
          <cell r="E1415" t="str">
            <v>執行者</v>
          </cell>
          <cell r="F1415" t="str">
            <v>格好いい</v>
          </cell>
          <cell r="G1415" t="str">
            <v>女性</v>
          </cell>
          <cell r="H1415" t="str">
            <v>green</v>
          </cell>
          <cell r="I1415">
            <v>4</v>
          </cell>
          <cell r="J1415" t="str">
            <v>PremiumSSS</v>
          </cell>
          <cell r="K1415" t="str">
            <v>technical</v>
          </cell>
          <cell r="L1415" t="str">
            <v>テクニカルタイプ</v>
          </cell>
          <cell r="M1415" t="str">
            <v>unknown</v>
          </cell>
        </row>
        <row r="1416">
          <cell r="A1416">
            <v>8016</v>
          </cell>
          <cell r="B1416" t="str">
            <v>ja</v>
          </cell>
          <cell r="C1416" t="str">
            <v>初音ミク・アペンド</v>
          </cell>
          <cell r="D1416" t="str">
            <v>初音ミク・アペンド</v>
          </cell>
          <cell r="E1416" t="str">
            <v>執行者</v>
          </cell>
          <cell r="F1416" t="str">
            <v>格好いい</v>
          </cell>
          <cell r="G1416" t="str">
            <v>女性</v>
          </cell>
          <cell r="H1416" t="str">
            <v>green</v>
          </cell>
          <cell r="I1416">
            <v>5</v>
          </cell>
          <cell r="J1416" t="str">
            <v>PremiumSSS</v>
          </cell>
          <cell r="K1416" t="str">
            <v>technical</v>
          </cell>
          <cell r="L1416" t="str">
            <v>テクニカルタイプ</v>
          </cell>
          <cell r="M1416" t="str">
            <v>unknown</v>
          </cell>
        </row>
        <row r="1417">
          <cell r="A1417">
            <v>8017</v>
          </cell>
          <cell r="B1417" t="str">
            <v>ja</v>
          </cell>
          <cell r="C1417" t="str">
            <v>初音ミク</v>
          </cell>
          <cell r="D1417" t="str">
            <v>初音ミク</v>
          </cell>
          <cell r="E1417" t="str">
            <v>執行者</v>
          </cell>
          <cell r="F1417" t="str">
            <v>格好いい</v>
          </cell>
          <cell r="G1417" t="str">
            <v>女性</v>
          </cell>
          <cell r="H1417" t="str">
            <v>green</v>
          </cell>
          <cell r="I1417">
            <v>4</v>
          </cell>
          <cell r="J1417" t="str">
            <v>PremiumSSS</v>
          </cell>
          <cell r="K1417" t="str">
            <v>balance</v>
          </cell>
          <cell r="L1417" t="str">
            <v>バランスタイプ</v>
          </cell>
          <cell r="M1417" t="str">
            <v>unknown</v>
          </cell>
        </row>
        <row r="1418">
          <cell r="A1418">
            <v>8018</v>
          </cell>
          <cell r="B1418" t="str">
            <v>ja</v>
          </cell>
          <cell r="C1418" t="str">
            <v>初音ミク</v>
          </cell>
          <cell r="D1418" t="str">
            <v>初音ミク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green</v>
          </cell>
          <cell r="I1418">
            <v>5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unknown</v>
          </cell>
        </row>
        <row r="1419">
          <cell r="A1419">
            <v>8019</v>
          </cell>
          <cell r="B1419" t="str">
            <v>ja</v>
          </cell>
          <cell r="C1419" t="str">
            <v>鏡音リン</v>
          </cell>
          <cell r="D1419" t="str">
            <v>鏡音リン</v>
          </cell>
          <cell r="E1419" t="str">
            <v>執行者</v>
          </cell>
          <cell r="F1419" t="str">
            <v>格好いい</v>
          </cell>
          <cell r="G1419" t="str">
            <v>男性</v>
          </cell>
          <cell r="H1419" t="str">
            <v>yellow</v>
          </cell>
          <cell r="I1419">
            <v>4</v>
          </cell>
          <cell r="J1419" t="str">
            <v>PremiumSS</v>
          </cell>
          <cell r="K1419" t="str">
            <v>balance</v>
          </cell>
          <cell r="L1419" t="str">
            <v>バランスタイプ</v>
          </cell>
          <cell r="M1419" t="str">
            <v>unknown</v>
          </cell>
        </row>
        <row r="1420">
          <cell r="A1420">
            <v>8020</v>
          </cell>
          <cell r="B1420" t="str">
            <v>ja</v>
          </cell>
          <cell r="C1420" t="str">
            <v>鏡音リン</v>
          </cell>
          <cell r="D1420" t="str">
            <v>鏡音リン</v>
          </cell>
          <cell r="E1420" t="str">
            <v>執行者</v>
          </cell>
          <cell r="F1420" t="str">
            <v>格好いい</v>
          </cell>
          <cell r="G1420" t="str">
            <v>男性</v>
          </cell>
          <cell r="H1420" t="str">
            <v>yellow</v>
          </cell>
          <cell r="I1420">
            <v>5</v>
          </cell>
          <cell r="J1420" t="str">
            <v>PremiumSS</v>
          </cell>
          <cell r="K1420" t="str">
            <v>balance</v>
          </cell>
          <cell r="L1420" t="str">
            <v>バランスタイプ</v>
          </cell>
          <cell r="M1420" t="str">
            <v>unknown</v>
          </cell>
        </row>
        <row r="1421">
          <cell r="A1421">
            <v>8021</v>
          </cell>
          <cell r="B1421" t="str">
            <v>ja</v>
          </cell>
          <cell r="C1421" t="str">
            <v>鏡音レン</v>
          </cell>
          <cell r="D1421" t="str">
            <v>鏡音レン</v>
          </cell>
          <cell r="E1421" t="str">
            <v>執行者</v>
          </cell>
          <cell r="F1421" t="str">
            <v>格好いい</v>
          </cell>
          <cell r="G1421" t="str">
            <v>女性</v>
          </cell>
          <cell r="H1421" t="str">
            <v>yellow</v>
          </cell>
          <cell r="I1421">
            <v>4</v>
          </cell>
          <cell r="J1421" t="str">
            <v>PremiumSS</v>
          </cell>
          <cell r="K1421" t="str">
            <v>heal</v>
          </cell>
          <cell r="L1421" t="str">
            <v>回復タイプ</v>
          </cell>
          <cell r="M1421" t="str">
            <v>unknown</v>
          </cell>
        </row>
        <row r="1422">
          <cell r="A1422">
            <v>8022</v>
          </cell>
          <cell r="B1422" t="str">
            <v>ja</v>
          </cell>
          <cell r="C1422" t="str">
            <v>鏡音レン</v>
          </cell>
          <cell r="D1422" t="str">
            <v>鏡音レン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yellow</v>
          </cell>
          <cell r="I1422">
            <v>5</v>
          </cell>
          <cell r="J1422" t="str">
            <v>PremiumSS</v>
          </cell>
          <cell r="K1422" t="str">
            <v>heal</v>
          </cell>
          <cell r="L1422" t="str">
            <v>回復タイプ</v>
          </cell>
          <cell r="M1422" t="str">
            <v>unknown</v>
          </cell>
        </row>
        <row r="1423">
          <cell r="A1423">
            <v>8023</v>
          </cell>
          <cell r="B1423" t="str">
            <v>ja</v>
          </cell>
          <cell r="C1423" t="str">
            <v>巡音ルカ</v>
          </cell>
          <cell r="D1423" t="str">
            <v>巡音ルカ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red</v>
          </cell>
          <cell r="I1423">
            <v>3</v>
          </cell>
          <cell r="J1423" t="str">
            <v>PremiumS</v>
          </cell>
          <cell r="K1423" t="str">
            <v>attack</v>
          </cell>
          <cell r="L1423" t="str">
            <v>攻撃タイプ</v>
          </cell>
          <cell r="M1423" t="str">
            <v>unknown</v>
          </cell>
        </row>
        <row r="1424">
          <cell r="A1424">
            <v>8024</v>
          </cell>
          <cell r="B1424" t="str">
            <v>ja</v>
          </cell>
          <cell r="C1424" t="str">
            <v>巡音ルカ</v>
          </cell>
          <cell r="D1424" t="str">
            <v>巡音ルカ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red</v>
          </cell>
          <cell r="I1424">
            <v>4</v>
          </cell>
          <cell r="J1424" t="str">
            <v>PremiumS</v>
          </cell>
          <cell r="K1424" t="str">
            <v>attack</v>
          </cell>
          <cell r="L1424" t="str">
            <v>攻撃タイプ</v>
          </cell>
          <cell r="M1424" t="str">
            <v>unknown</v>
          </cell>
        </row>
        <row r="1425">
          <cell r="A1425">
            <v>8025</v>
          </cell>
          <cell r="B1425" t="str">
            <v>ja</v>
          </cell>
          <cell r="C1425" t="str">
            <v>MEIKO</v>
          </cell>
          <cell r="D1425" t="str">
            <v>MEIKO</v>
          </cell>
          <cell r="E1425" t="str">
            <v>執行者</v>
          </cell>
          <cell r="F1425" t="str">
            <v>格好いい</v>
          </cell>
          <cell r="G1425" t="str">
            <v>男性</v>
          </cell>
          <cell r="H1425" t="str">
            <v>red</v>
          </cell>
          <cell r="I1425">
            <v>3</v>
          </cell>
          <cell r="J1425" t="str">
            <v>PremiumS</v>
          </cell>
          <cell r="K1425" t="str">
            <v>hp</v>
          </cell>
          <cell r="L1425" t="str">
            <v>体力タイプ</v>
          </cell>
          <cell r="M1425" t="str">
            <v>unknown</v>
          </cell>
        </row>
        <row r="1426">
          <cell r="A1426">
            <v>8026</v>
          </cell>
          <cell r="B1426" t="str">
            <v>ja</v>
          </cell>
          <cell r="C1426" t="str">
            <v>MEIKO</v>
          </cell>
          <cell r="D1426" t="str">
            <v>MEIKO</v>
          </cell>
          <cell r="E1426" t="str">
            <v>執行者</v>
          </cell>
          <cell r="F1426" t="str">
            <v>格好いい</v>
          </cell>
          <cell r="G1426" t="str">
            <v>男性</v>
          </cell>
          <cell r="H1426" t="str">
            <v>red</v>
          </cell>
          <cell r="I1426">
            <v>4</v>
          </cell>
          <cell r="J1426" t="str">
            <v>PremiumS</v>
          </cell>
          <cell r="K1426" t="str">
            <v>hp</v>
          </cell>
          <cell r="L1426" t="str">
            <v>体力タイプ</v>
          </cell>
          <cell r="M1426" t="str">
            <v>unknown</v>
          </cell>
        </row>
        <row r="1427">
          <cell r="A1427">
            <v>8027</v>
          </cell>
          <cell r="B1427" t="str">
            <v>ja</v>
          </cell>
          <cell r="C1427" t="str">
            <v>KAITO</v>
          </cell>
          <cell r="D1427" t="str">
            <v>KAITO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blue</v>
          </cell>
          <cell r="I1427">
            <v>3</v>
          </cell>
          <cell r="J1427" t="str">
            <v>PremiumS</v>
          </cell>
          <cell r="K1427" t="str">
            <v>technical</v>
          </cell>
          <cell r="L1427" t="str">
            <v>テクニカルタイプ</v>
          </cell>
          <cell r="M1427" t="str">
            <v>unknown</v>
          </cell>
        </row>
        <row r="1428">
          <cell r="A1428">
            <v>8028</v>
          </cell>
          <cell r="B1428" t="str">
            <v>ja</v>
          </cell>
          <cell r="C1428" t="str">
            <v>KAITO</v>
          </cell>
          <cell r="D1428" t="str">
            <v>KAITO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blue</v>
          </cell>
          <cell r="I1428">
            <v>4</v>
          </cell>
          <cell r="J1428" t="str">
            <v>PremiumS</v>
          </cell>
          <cell r="K1428" t="str">
            <v>technical</v>
          </cell>
          <cell r="L1428" t="str">
            <v>テクニカルタイプ</v>
          </cell>
          <cell r="M1428" t="str">
            <v>unknown</v>
          </cell>
        </row>
        <row r="1429">
          <cell r="A1429">
            <v>8029</v>
          </cell>
          <cell r="B1429" t="str">
            <v>ja</v>
          </cell>
          <cell r="C1429" t="str">
            <v>Expoミク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blue</v>
          </cell>
          <cell r="I1429">
            <v>4</v>
          </cell>
          <cell r="J1429" t="str">
            <v>Drop2N</v>
          </cell>
          <cell r="K1429" t="str">
            <v>heal</v>
          </cell>
          <cell r="L1429" t="str">
            <v>回復タイプ</v>
          </cell>
          <cell r="M1429" t="str">
            <v>unknown</v>
          </cell>
        </row>
        <row r="1430">
          <cell r="A1430">
            <v>8030</v>
          </cell>
          <cell r="B1430" t="str">
            <v>ja</v>
          </cell>
          <cell r="C1430" t="str">
            <v>Expoミク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blue</v>
          </cell>
          <cell r="I1430">
            <v>5</v>
          </cell>
          <cell r="J1430" t="str">
            <v>Drop2N</v>
          </cell>
          <cell r="K1430" t="str">
            <v>heal</v>
          </cell>
          <cell r="L1430" t="str">
            <v>回復タイプ</v>
          </cell>
          <cell r="M1430" t="str">
            <v>unknown</v>
          </cell>
        </row>
        <row r="1431">
          <cell r="A1431">
            <v>8031</v>
          </cell>
          <cell r="B1431" t="str">
            <v>ja</v>
          </cell>
          <cell r="C1431" t="str">
            <v>閻羅王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red</v>
          </cell>
          <cell r="I1431">
            <v>5</v>
          </cell>
          <cell r="J1431" t="str">
            <v>PremiumSS</v>
          </cell>
          <cell r="K1431" t="str">
            <v>balance</v>
          </cell>
          <cell r="L1431" t="str">
            <v>バランスタイプ</v>
          </cell>
          <cell r="M1431" t="str">
            <v>god</v>
          </cell>
        </row>
        <row r="1432">
          <cell r="A1432">
            <v>8032</v>
          </cell>
          <cell r="B1432" t="str">
            <v>ja</v>
          </cell>
          <cell r="C1432" t="str">
            <v>六道輪廻の絶獄 閻羅王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red</v>
          </cell>
          <cell r="I1432">
            <v>6</v>
          </cell>
          <cell r="J1432" t="str">
            <v>PremiumSS</v>
          </cell>
          <cell r="K1432" t="str">
            <v>balance</v>
          </cell>
          <cell r="L1432" t="str">
            <v>バランスタイプ</v>
          </cell>
          <cell r="M1432" t="str">
            <v>god</v>
          </cell>
        </row>
        <row r="1433">
          <cell r="A1433">
            <v>8033</v>
          </cell>
          <cell r="B1433" t="str">
            <v>ja</v>
          </cell>
          <cell r="C1433" t="str">
            <v>牛頭馬面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green</v>
          </cell>
          <cell r="I1433">
            <v>5</v>
          </cell>
          <cell r="J1433" t="str">
            <v>DropWizS</v>
          </cell>
          <cell r="K1433" t="str">
            <v>attack</v>
          </cell>
          <cell r="L1433" t="str">
            <v>攻撃タイプ</v>
          </cell>
          <cell r="M1433" t="str">
            <v>god</v>
          </cell>
        </row>
        <row r="1434">
          <cell r="A1434">
            <v>8034</v>
          </cell>
          <cell r="B1434" t="str">
            <v>ja</v>
          </cell>
          <cell r="C1434" t="str">
            <v>冥府狩る魂使 牛頭馬面</v>
          </cell>
          <cell r="D1434" t="str">
            <v>Expoミク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green</v>
          </cell>
          <cell r="I1434">
            <v>6</v>
          </cell>
          <cell r="J1434" t="str">
            <v>DropWizS</v>
          </cell>
          <cell r="K1434" t="str">
            <v>attack</v>
          </cell>
          <cell r="L1434" t="str">
            <v>攻撃タイプ</v>
          </cell>
          <cell r="M1434" t="str">
            <v>god</v>
          </cell>
        </row>
        <row r="1435">
          <cell r="A1435">
            <v>8035</v>
          </cell>
          <cell r="B1435" t="str">
            <v>ja</v>
          </cell>
          <cell r="C1435" t="str">
            <v>飛衛</v>
          </cell>
          <cell r="D1435" t="str">
            <v>Expoミク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blue</v>
          </cell>
          <cell r="I1435">
            <v>5</v>
          </cell>
          <cell r="J1435" t="str">
            <v>PremiumSS</v>
          </cell>
          <cell r="K1435" t="str">
            <v>heal</v>
          </cell>
          <cell r="L1435" t="str">
            <v>回復タイプ</v>
          </cell>
          <cell r="M1435" t="str">
            <v>human</v>
          </cell>
        </row>
        <row r="1436">
          <cell r="A1436">
            <v>8036</v>
          </cell>
          <cell r="B1436" t="str">
            <v>ja</v>
          </cell>
          <cell r="C1436" t="str">
            <v>レア６飛衛</v>
          </cell>
          <cell r="D1436" t="str">
            <v>Expoミク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blue</v>
          </cell>
          <cell r="I1436">
            <v>6</v>
          </cell>
          <cell r="J1436" t="str">
            <v>PremiumSS</v>
          </cell>
          <cell r="K1436" t="str">
            <v>heal</v>
          </cell>
          <cell r="L1436" t="str">
            <v>回復タイプ</v>
          </cell>
          <cell r="M1436" t="str">
            <v>human</v>
          </cell>
        </row>
        <row r="1437">
          <cell r="A1437">
            <v>8037</v>
          </cell>
          <cell r="B1437" t="str">
            <v>ja</v>
          </cell>
          <cell r="C1437" t="str">
            <v>紀昌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red</v>
          </cell>
          <cell r="I1437">
            <v>5</v>
          </cell>
          <cell r="J1437" t="str">
            <v>DropWizS</v>
          </cell>
          <cell r="K1437" t="str">
            <v>attack</v>
          </cell>
          <cell r="L1437" t="str">
            <v>攻撃タイプ</v>
          </cell>
          <cell r="M1437" t="str">
            <v>human</v>
          </cell>
        </row>
        <row r="1438">
          <cell r="A1438">
            <v>8038</v>
          </cell>
          <cell r="B1438" t="str">
            <v>ja</v>
          </cell>
          <cell r="C1438" t="str">
            <v>レア６紀昌</v>
          </cell>
          <cell r="D1438" t="str">
            <v>Expoミク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red</v>
          </cell>
          <cell r="I1438">
            <v>6</v>
          </cell>
          <cell r="J1438" t="str">
            <v>DropWizS</v>
          </cell>
          <cell r="K1438" t="str">
            <v>attack</v>
          </cell>
          <cell r="L1438" t="str">
            <v>攻撃タイプ</v>
          </cell>
          <cell r="M1438" t="str">
            <v>human</v>
          </cell>
        </row>
        <row r="1439">
          <cell r="A1439">
            <v>8039</v>
          </cell>
          <cell r="B1439" t="str">
            <v>ja</v>
          </cell>
          <cell r="C1439" t="str">
            <v>何仙姑</v>
          </cell>
          <cell r="D1439" t="str">
            <v>Expoミク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yellow</v>
          </cell>
          <cell r="I1439">
            <v>5</v>
          </cell>
          <cell r="J1439" t="str">
            <v>PremiumSSw</v>
          </cell>
          <cell r="K1439" t="str">
            <v>hp</v>
          </cell>
          <cell r="L1439" t="str">
            <v>体力タイプ</v>
          </cell>
          <cell r="M1439" t="str">
            <v>god</v>
          </cell>
        </row>
        <row r="1440">
          <cell r="A1440">
            <v>8040</v>
          </cell>
          <cell r="B1440" t="str">
            <v>ja</v>
          </cell>
          <cell r="C1440" t="str">
            <v>レア６何仙姑</v>
          </cell>
          <cell r="D1440" t="str">
            <v>Expoミク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yellow</v>
          </cell>
          <cell r="I1440">
            <v>6</v>
          </cell>
          <cell r="J1440" t="str">
            <v>PremiumSSw</v>
          </cell>
          <cell r="K1440" t="str">
            <v>hp</v>
          </cell>
          <cell r="L1440" t="str">
            <v>体力タイプ</v>
          </cell>
          <cell r="M1440" t="str">
            <v>god</v>
          </cell>
        </row>
        <row r="1441">
          <cell r="A1441">
            <v>8041</v>
          </cell>
          <cell r="B1441" t="str">
            <v>ja</v>
          </cell>
          <cell r="C1441" t="str">
            <v>藍采和</v>
          </cell>
          <cell r="D1441" t="str">
            <v>Expoミク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blue</v>
          </cell>
          <cell r="I1441">
            <v>5</v>
          </cell>
          <cell r="J1441" t="str">
            <v>DropWizS</v>
          </cell>
          <cell r="K1441" t="str">
            <v>balance</v>
          </cell>
          <cell r="L1441" t="str">
            <v>バランスタイプ</v>
          </cell>
          <cell r="M1441" t="str">
            <v>god</v>
          </cell>
        </row>
        <row r="1442">
          <cell r="A1442">
            <v>8042</v>
          </cell>
          <cell r="B1442" t="str">
            <v>ja</v>
          </cell>
          <cell r="C1442" t="str">
            <v>レア６藍采和</v>
          </cell>
          <cell r="D1442" t="str">
            <v>Expoミク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blue</v>
          </cell>
          <cell r="I1442">
            <v>6</v>
          </cell>
          <cell r="J1442" t="str">
            <v>DropWizS</v>
          </cell>
          <cell r="K1442" t="str">
            <v>balance</v>
          </cell>
          <cell r="L1442" t="str">
            <v>バランスタイプ</v>
          </cell>
          <cell r="M1442" t="str">
            <v>god</v>
          </cell>
        </row>
        <row r="1443">
          <cell r="A1443">
            <v>8043</v>
          </cell>
          <cell r="B1443" t="str">
            <v>ja</v>
          </cell>
          <cell r="C1443" t="str">
            <v>サンリオキャラ大集合+アザゼル</v>
          </cell>
          <cell r="D1443" t="str">
            <v>サンリオキャラ大集合+アザゼル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green</v>
          </cell>
          <cell r="I1443">
            <v>5</v>
          </cell>
          <cell r="J1443" t="str">
            <v>DropWizS</v>
          </cell>
          <cell r="K1443" t="str">
            <v>technical</v>
          </cell>
          <cell r="L1443" t="str">
            <v>テクニカルタイプ</v>
          </cell>
          <cell r="M1443" t="str">
            <v>ss</v>
          </cell>
        </row>
        <row r="1444">
          <cell r="A1444">
            <v>8044</v>
          </cell>
          <cell r="B1444" t="str">
            <v>ja</v>
          </cell>
          <cell r="C1444" t="str">
            <v>サンリオキャラ大集合+アザゼル</v>
          </cell>
          <cell r="D1444" t="str">
            <v>サンリオキャラ大集合+アザゼル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green</v>
          </cell>
          <cell r="I1444">
            <v>6</v>
          </cell>
          <cell r="J1444" t="str">
            <v>DropWizS</v>
          </cell>
          <cell r="K1444" t="str">
            <v>technical</v>
          </cell>
          <cell r="L1444" t="str">
            <v>テクニカルタイプ</v>
          </cell>
          <cell r="M1444" t="str">
            <v>ss</v>
          </cell>
        </row>
        <row r="1445">
          <cell r="A1445">
            <v>8045</v>
          </cell>
          <cell r="B1445" t="str">
            <v>ja</v>
          </cell>
          <cell r="C1445" t="str">
            <v>ニムダ_サンリオキャラ混じり</v>
          </cell>
          <cell r="D1445" t="str">
            <v>ニムダ_サンリオキャラ混じり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yellow</v>
          </cell>
          <cell r="I1445">
            <v>4</v>
          </cell>
          <cell r="J1445" t="str">
            <v>Drop2N</v>
          </cell>
          <cell r="K1445" t="str">
            <v>technical</v>
          </cell>
          <cell r="L1445" t="str">
            <v>テクニカルタイプ</v>
          </cell>
          <cell r="M1445" t="str">
            <v>ss</v>
          </cell>
        </row>
        <row r="1446">
          <cell r="A1446">
            <v>8046</v>
          </cell>
          <cell r="B1446" t="str">
            <v>ja</v>
          </cell>
          <cell r="C1446" t="str">
            <v>ニムダ_サンリオキャラ混じり</v>
          </cell>
          <cell r="D1446" t="str">
            <v>ニムダ_サンリオキャラ混じり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yellow</v>
          </cell>
          <cell r="I1446">
            <v>5</v>
          </cell>
          <cell r="J1446" t="str">
            <v>Drop2N</v>
          </cell>
          <cell r="K1446" t="str">
            <v>technical</v>
          </cell>
          <cell r="L1446" t="str">
            <v>テクニカルタイプ</v>
          </cell>
          <cell r="M1446" t="str">
            <v>ss</v>
          </cell>
        </row>
        <row r="1447">
          <cell r="A1447">
            <v>8047</v>
          </cell>
          <cell r="B1447" t="str">
            <v>ja</v>
          </cell>
          <cell r="C1447" t="str">
            <v>ハローキティ</v>
          </cell>
          <cell r="D1447" t="str">
            <v>ハローキティ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4</v>
          </cell>
          <cell r="J1447" t="str">
            <v>Drop2N</v>
          </cell>
          <cell r="K1447" t="str">
            <v>balance</v>
          </cell>
          <cell r="L1447" t="str">
            <v>バランスタイプ</v>
          </cell>
          <cell r="M1447" t="str">
            <v>ss</v>
          </cell>
        </row>
        <row r="1448">
          <cell r="A1448">
            <v>8048</v>
          </cell>
          <cell r="B1448" t="str">
            <v>ja</v>
          </cell>
          <cell r="C1448" t="str">
            <v>ハローキティ</v>
          </cell>
          <cell r="D1448" t="str">
            <v>ハローキティ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red</v>
          </cell>
          <cell r="I1448">
            <v>5</v>
          </cell>
          <cell r="J1448" t="str">
            <v>Drop2N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8049</v>
          </cell>
          <cell r="B1449" t="str">
            <v>ja</v>
          </cell>
          <cell r="C1449" t="str">
            <v>KIRIMIちゃん</v>
          </cell>
          <cell r="D1449" t="str">
            <v>KIRIMIちゃん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red</v>
          </cell>
          <cell r="I1449">
            <v>4</v>
          </cell>
          <cell r="J1449" t="str">
            <v>Drop2N</v>
          </cell>
          <cell r="K1449" t="str">
            <v>hp</v>
          </cell>
          <cell r="L1449" t="str">
            <v>体力タイプ</v>
          </cell>
          <cell r="M1449" t="str">
            <v>ss</v>
          </cell>
        </row>
        <row r="1450">
          <cell r="A1450">
            <v>8050</v>
          </cell>
          <cell r="B1450" t="str">
            <v>ja</v>
          </cell>
          <cell r="C1450" t="str">
            <v>KIRIMIちゃん</v>
          </cell>
          <cell r="D1450" t="str">
            <v>KIRIMIちゃん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5</v>
          </cell>
          <cell r="J1450" t="str">
            <v>Drop2N</v>
          </cell>
          <cell r="K1450" t="str">
            <v>hp</v>
          </cell>
          <cell r="L1450" t="str">
            <v>体力タイプ</v>
          </cell>
          <cell r="M1450" t="str">
            <v>ss</v>
          </cell>
        </row>
        <row r="1451">
          <cell r="A1451">
            <v>8051</v>
          </cell>
          <cell r="B1451" t="str">
            <v>ja</v>
          </cell>
          <cell r="C1451" t="str">
            <v>ハローキティのリボン</v>
          </cell>
          <cell r="D1451" t="str">
            <v>ハローキティのリボン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5</v>
          </cell>
          <cell r="J1451" t="str">
            <v>Drop2N</v>
          </cell>
          <cell r="K1451" t="str">
            <v>evolution</v>
          </cell>
          <cell r="L1451" t="str">
            <v>覚醒素材タイプ</v>
          </cell>
          <cell r="M1451" t="str">
            <v>ss</v>
          </cell>
        </row>
        <row r="1452">
          <cell r="A1452">
            <v>8052</v>
          </cell>
          <cell r="B1452" t="str">
            <v>ja</v>
          </cell>
          <cell r="C1452" t="str">
            <v>ママの作ったアップルパイ</v>
          </cell>
          <cell r="D1452" t="str">
            <v>ママの作ったアップルパイ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red</v>
          </cell>
          <cell r="I1452">
            <v>4</v>
          </cell>
          <cell r="J1452" t="str">
            <v>Drop2N</v>
          </cell>
          <cell r="K1452" t="str">
            <v>evolution</v>
          </cell>
          <cell r="L1452" t="str">
            <v>覚醒素材タイプ</v>
          </cell>
          <cell r="M1452" t="str">
            <v>ss</v>
          </cell>
        </row>
        <row r="1453">
          <cell r="A1453">
            <v>8053</v>
          </cell>
          <cell r="B1453" t="str">
            <v>ja</v>
          </cell>
          <cell r="C1453" t="str">
            <v>D.R.T.H__キティコスプレ</v>
          </cell>
          <cell r="D1453" t="str">
            <v>D.R.T.H__キティコスプレ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red</v>
          </cell>
          <cell r="I1453">
            <v>5</v>
          </cell>
          <cell r="J1453" t="str">
            <v>PremiumSS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8054</v>
          </cell>
          <cell r="B1454" t="str">
            <v>ja</v>
          </cell>
          <cell r="C1454" t="str">
            <v>D.R.T.H__キティコスプレ</v>
          </cell>
          <cell r="D1454" t="str">
            <v>D.R.T.H__キティコスプレ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red</v>
          </cell>
          <cell r="I1454">
            <v>6</v>
          </cell>
          <cell r="J1454" t="str">
            <v>PremiumSS</v>
          </cell>
          <cell r="K1454" t="str">
            <v>balance</v>
          </cell>
          <cell r="L1454" t="str">
            <v>バランスタイプ</v>
          </cell>
          <cell r="M1454" t="str">
            <v>ss</v>
          </cell>
        </row>
        <row r="1455">
          <cell r="A1455">
            <v>8055</v>
          </cell>
          <cell r="B1455" t="str">
            <v>ja</v>
          </cell>
          <cell r="C1455" t="str">
            <v>マイメロディ</v>
          </cell>
          <cell r="D1455" t="str">
            <v>マイメロディ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red</v>
          </cell>
          <cell r="I1455">
            <v>4</v>
          </cell>
          <cell r="J1455" t="str">
            <v>PremiumS</v>
          </cell>
          <cell r="K1455" t="str">
            <v>attack</v>
          </cell>
          <cell r="L1455" t="str">
            <v>攻撃タイプ</v>
          </cell>
          <cell r="M1455" t="str">
            <v>ss</v>
          </cell>
        </row>
        <row r="1456">
          <cell r="A1456">
            <v>8056</v>
          </cell>
          <cell r="B1456" t="str">
            <v>ja</v>
          </cell>
          <cell r="C1456" t="str">
            <v>マイメロディ</v>
          </cell>
          <cell r="D1456" t="str">
            <v>マイメロディ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red</v>
          </cell>
          <cell r="I1456">
            <v>5</v>
          </cell>
          <cell r="J1456" t="str">
            <v>PremiumS</v>
          </cell>
          <cell r="K1456" t="str">
            <v>attack</v>
          </cell>
          <cell r="L1456" t="str">
            <v>攻撃タイプ</v>
          </cell>
          <cell r="M1456" t="str">
            <v>ss</v>
          </cell>
        </row>
        <row r="1457">
          <cell r="A1457">
            <v>8057</v>
          </cell>
          <cell r="B1457" t="str">
            <v>ja</v>
          </cell>
          <cell r="C1457" t="str">
            <v>ニーベルゲン_シナモロールコスプレ</v>
          </cell>
          <cell r="D1457" t="str">
            <v>ニーベルゲン_シナモロールコスプレ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green</v>
          </cell>
          <cell r="I1457">
            <v>4</v>
          </cell>
          <cell r="J1457" t="str">
            <v>PremiumS</v>
          </cell>
          <cell r="K1457" t="str">
            <v>balance</v>
          </cell>
          <cell r="L1457" t="str">
            <v>バランスタイプ</v>
          </cell>
          <cell r="M1457" t="str">
            <v>ss</v>
          </cell>
        </row>
        <row r="1458">
          <cell r="A1458">
            <v>8058</v>
          </cell>
          <cell r="B1458" t="str">
            <v>ja</v>
          </cell>
          <cell r="C1458" t="str">
            <v>ニーベルゲン_シナモロールコスプレ</v>
          </cell>
          <cell r="D1458" t="str">
            <v>ニーベルゲン_シナモロールコスプレ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green</v>
          </cell>
          <cell r="I1458">
            <v>5</v>
          </cell>
          <cell r="J1458" t="str">
            <v>PremiumS</v>
          </cell>
          <cell r="K1458" t="str">
            <v>balance</v>
          </cell>
          <cell r="L1458" t="str">
            <v>バランスタイプ</v>
          </cell>
          <cell r="M1458" t="str">
            <v>ss</v>
          </cell>
        </row>
        <row r="1459">
          <cell r="A1459">
            <v>8059</v>
          </cell>
          <cell r="B1459" t="str">
            <v>ja</v>
          </cell>
          <cell r="C1459" t="str">
            <v>カカシ_マイメロディコスプレ</v>
          </cell>
          <cell r="D1459" t="str">
            <v>カカシ_マイメロディコスプレ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green</v>
          </cell>
          <cell r="I1459">
            <v>4</v>
          </cell>
          <cell r="J1459" t="str">
            <v>PremiumS</v>
          </cell>
          <cell r="K1459" t="str">
            <v>technical</v>
          </cell>
          <cell r="L1459" t="str">
            <v>テクニカルタイプ</v>
          </cell>
          <cell r="M1459" t="str">
            <v>ss</v>
          </cell>
        </row>
        <row r="1460">
          <cell r="A1460">
            <v>8060</v>
          </cell>
          <cell r="B1460" t="str">
            <v>ja</v>
          </cell>
          <cell r="C1460" t="str">
            <v>カカシ_マイメロディコスプレ</v>
          </cell>
          <cell r="D1460" t="str">
            <v>カカシ_マイメロディコスプレ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green</v>
          </cell>
          <cell r="I1460">
            <v>5</v>
          </cell>
          <cell r="J1460" t="str">
            <v>PremiumS</v>
          </cell>
          <cell r="K1460" t="str">
            <v>technical</v>
          </cell>
          <cell r="L1460" t="str">
            <v>テクニカルタイプ</v>
          </cell>
          <cell r="M1460" t="str">
            <v>ss</v>
          </cell>
        </row>
        <row r="1461">
          <cell r="A1461">
            <v>8061</v>
          </cell>
          <cell r="B1461" t="str">
            <v>ja</v>
          </cell>
          <cell r="C1461" t="str">
            <v>ケロケロけろっぴ</v>
          </cell>
          <cell r="D1461" t="str">
            <v>ケロケロけろっぴ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green</v>
          </cell>
          <cell r="I1461">
            <v>3</v>
          </cell>
          <cell r="J1461" t="str">
            <v>PremiumS</v>
          </cell>
          <cell r="K1461" t="str">
            <v>balance</v>
          </cell>
          <cell r="L1461" t="str">
            <v>バランスタイプ</v>
          </cell>
          <cell r="M1461" t="str">
            <v>ss</v>
          </cell>
        </row>
        <row r="1462">
          <cell r="A1462">
            <v>8062</v>
          </cell>
          <cell r="B1462" t="str">
            <v>ja</v>
          </cell>
          <cell r="C1462" t="str">
            <v>ケロケロけろっぴ</v>
          </cell>
          <cell r="D1462" t="str">
            <v>ケロケロけろっぴ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green</v>
          </cell>
          <cell r="I1462">
            <v>4</v>
          </cell>
          <cell r="J1462" t="str">
            <v>PremiumS</v>
          </cell>
          <cell r="K1462" t="str">
            <v>balance</v>
          </cell>
          <cell r="L1462" t="str">
            <v>バランスタイプ</v>
          </cell>
          <cell r="M1462" t="str">
            <v>ss</v>
          </cell>
        </row>
        <row r="1463">
          <cell r="A1463">
            <v>8063</v>
          </cell>
          <cell r="B1463" t="str">
            <v>ja</v>
          </cell>
          <cell r="C1463" t="str">
            <v>モルドレッド_ポムポムプリンコスプレ</v>
          </cell>
          <cell r="D1463" t="str">
            <v>モルドレッド_ポムポムプリンコスプレ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blue</v>
          </cell>
          <cell r="I1463">
            <v>5</v>
          </cell>
          <cell r="J1463" t="str">
            <v>PremiumSS</v>
          </cell>
          <cell r="K1463" t="str">
            <v>heal</v>
          </cell>
          <cell r="L1463" t="str">
            <v>回復タイプ</v>
          </cell>
          <cell r="M1463" t="str">
            <v>ss</v>
          </cell>
        </row>
        <row r="1464">
          <cell r="A1464">
            <v>8064</v>
          </cell>
          <cell r="B1464" t="str">
            <v>ja</v>
          </cell>
          <cell r="C1464" t="str">
            <v>モルドレッド_ポムポムプリンコスプレ</v>
          </cell>
          <cell r="D1464" t="str">
            <v>モルドレッド_ポムポムプリンコスプレ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blue</v>
          </cell>
          <cell r="I1464">
            <v>6</v>
          </cell>
          <cell r="J1464" t="str">
            <v>PremiumSS</v>
          </cell>
          <cell r="K1464" t="str">
            <v>heal</v>
          </cell>
          <cell r="L1464" t="str">
            <v>回復タイプ</v>
          </cell>
          <cell r="M1464" t="str">
            <v>ss</v>
          </cell>
        </row>
        <row r="1465">
          <cell r="A1465">
            <v>8065</v>
          </cell>
          <cell r="B1465" t="str">
            <v>ja</v>
          </cell>
          <cell r="C1465" t="str">
            <v>クロミ</v>
          </cell>
          <cell r="D1465" t="str">
            <v>クロミ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blue</v>
          </cell>
          <cell r="I1465">
            <v>3</v>
          </cell>
          <cell r="J1465" t="str">
            <v>PremiumS</v>
          </cell>
          <cell r="K1465" t="str">
            <v>technical</v>
          </cell>
          <cell r="L1465" t="str">
            <v>テクニカルタイプ</v>
          </cell>
          <cell r="M1465" t="str">
            <v>ss</v>
          </cell>
        </row>
        <row r="1466">
          <cell r="A1466">
            <v>8066</v>
          </cell>
          <cell r="B1466" t="str">
            <v>ja</v>
          </cell>
          <cell r="C1466" t="str">
            <v>クロミ</v>
          </cell>
          <cell r="D1466" t="str">
            <v>クロミ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blue</v>
          </cell>
          <cell r="I1466">
            <v>4</v>
          </cell>
          <cell r="J1466" t="str">
            <v>PremiumS</v>
          </cell>
          <cell r="K1466" t="str">
            <v>technical</v>
          </cell>
          <cell r="L1466" t="str">
            <v>テクニカルタイプ</v>
          </cell>
          <cell r="M1466" t="str">
            <v>ss</v>
          </cell>
        </row>
        <row r="1467">
          <cell r="A1467">
            <v>8067</v>
          </cell>
          <cell r="B1467" t="str">
            <v>ja</v>
          </cell>
          <cell r="C1467" t="str">
            <v>バッドばつ丸</v>
          </cell>
          <cell r="D1467" t="str">
            <v>バッドばつ丸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blue</v>
          </cell>
          <cell r="I1467">
            <v>3</v>
          </cell>
          <cell r="J1467" t="str">
            <v>PremiumS</v>
          </cell>
          <cell r="K1467" t="str">
            <v>attack</v>
          </cell>
          <cell r="L1467" t="str">
            <v>攻撃タイプ</v>
          </cell>
          <cell r="M1467" t="str">
            <v>ss</v>
          </cell>
        </row>
        <row r="1468">
          <cell r="A1468">
            <v>8068</v>
          </cell>
          <cell r="B1468" t="str">
            <v>ja</v>
          </cell>
          <cell r="C1468" t="str">
            <v>バッドばつ丸</v>
          </cell>
          <cell r="D1468" t="str">
            <v>バッドばつ丸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blue</v>
          </cell>
          <cell r="I1468">
            <v>4</v>
          </cell>
          <cell r="J1468" t="str">
            <v>PremiumS</v>
          </cell>
          <cell r="K1468" t="str">
            <v>attack</v>
          </cell>
          <cell r="L1468" t="str">
            <v>攻撃タイプ</v>
          </cell>
          <cell r="M1468" t="str">
            <v>ss</v>
          </cell>
        </row>
        <row r="1469">
          <cell r="A1469">
            <v>8069</v>
          </cell>
          <cell r="B1469" t="str">
            <v>ja</v>
          </cell>
          <cell r="C1469" t="str">
            <v>シナモロール</v>
          </cell>
          <cell r="D1469" t="str">
            <v>シナモロール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yellow</v>
          </cell>
          <cell r="I1469">
            <v>4</v>
          </cell>
          <cell r="J1469" t="str">
            <v>PremiumS</v>
          </cell>
          <cell r="K1469" t="str">
            <v>heal</v>
          </cell>
          <cell r="L1469" t="str">
            <v>回復タイプ</v>
          </cell>
          <cell r="M1469" t="str">
            <v>ss</v>
          </cell>
        </row>
        <row r="1470">
          <cell r="A1470">
            <v>8070</v>
          </cell>
          <cell r="B1470" t="str">
            <v>ja</v>
          </cell>
          <cell r="C1470" t="str">
            <v>シナモロール</v>
          </cell>
          <cell r="D1470" t="str">
            <v>シナモロール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yellow</v>
          </cell>
          <cell r="I1470">
            <v>5</v>
          </cell>
          <cell r="J1470" t="str">
            <v>PremiumS</v>
          </cell>
          <cell r="K1470" t="str">
            <v>heal</v>
          </cell>
          <cell r="L1470" t="str">
            <v>回復タイプ</v>
          </cell>
          <cell r="M1470" t="str">
            <v>ss</v>
          </cell>
        </row>
        <row r="1471">
          <cell r="A1471">
            <v>8071</v>
          </cell>
          <cell r="B1471" t="str">
            <v>ja</v>
          </cell>
          <cell r="C1471" t="str">
            <v>ポムポムプリン</v>
          </cell>
          <cell r="D1471" t="str">
            <v>ポムポムプリン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yellow</v>
          </cell>
          <cell r="I1471">
            <v>3</v>
          </cell>
          <cell r="J1471" t="str">
            <v>PremiumS</v>
          </cell>
          <cell r="K1471" t="str">
            <v>hp</v>
          </cell>
          <cell r="L1471" t="str">
            <v>体力タイプ</v>
          </cell>
          <cell r="M1471" t="str">
            <v>ss</v>
          </cell>
        </row>
        <row r="1472">
          <cell r="A1472">
            <v>8072</v>
          </cell>
          <cell r="B1472" t="str">
            <v>ja</v>
          </cell>
          <cell r="C1472" t="str">
            <v>ポムポムプリン</v>
          </cell>
          <cell r="D1472" t="str">
            <v>ポムポムプリン</v>
          </cell>
          <cell r="E1472" t="str">
            <v>執行者</v>
          </cell>
          <cell r="F1472" t="str">
            <v>格好いい</v>
          </cell>
          <cell r="G1472" t="str">
            <v>女性</v>
          </cell>
          <cell r="H1472" t="str">
            <v>yellow</v>
          </cell>
          <cell r="I1472">
            <v>4</v>
          </cell>
          <cell r="J1472" t="str">
            <v>PremiumS</v>
          </cell>
          <cell r="K1472" t="str">
            <v>hp</v>
          </cell>
          <cell r="L1472" t="str">
            <v>体力タイプ</v>
          </cell>
          <cell r="M1472" t="str">
            <v>ss</v>
          </cell>
        </row>
        <row r="1473">
          <cell r="A1473">
            <v>8073</v>
          </cell>
          <cell r="B1473" t="str">
            <v>ja</v>
          </cell>
          <cell r="C1473" t="str">
            <v>星海祈る天光妃 媽祖</v>
          </cell>
          <cell r="D1473" t="str">
            <v>Expoミク</v>
          </cell>
          <cell r="E1473" t="str">
            <v>執行者</v>
          </cell>
          <cell r="F1473" t="str">
            <v>格好いい</v>
          </cell>
          <cell r="G1473" t="str">
            <v>女性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attack</v>
          </cell>
          <cell r="L1473" t="str">
            <v>攻撃タイプ</v>
          </cell>
          <cell r="M1473" t="str">
            <v>human</v>
          </cell>
        </row>
        <row r="1474">
          <cell r="A1474">
            <v>8074</v>
          </cell>
          <cell r="B1474" t="str">
            <v>ja</v>
          </cell>
          <cell r="C1474" t="str">
            <v>海戀の絶龍姫 蛟龍</v>
          </cell>
          <cell r="D1474" t="str">
            <v>Expoミク</v>
          </cell>
          <cell r="E1474" t="str">
            <v>執行者</v>
          </cell>
          <cell r="F1474" t="str">
            <v>格好いい</v>
          </cell>
          <cell r="G1474" t="str">
            <v>女性</v>
          </cell>
          <cell r="H1474" t="str">
            <v>blue</v>
          </cell>
          <cell r="I1474">
            <v>6</v>
          </cell>
          <cell r="J1474" t="str">
            <v>DropWizS</v>
          </cell>
          <cell r="K1474" t="str">
            <v>hp</v>
          </cell>
          <cell r="L1474" t="str">
            <v>体力タイプ</v>
          </cell>
          <cell r="M1474" t="str">
            <v>dragon</v>
          </cell>
        </row>
        <row r="1475">
          <cell r="A1475">
            <v>8075</v>
          </cell>
          <cell r="B1475" t="str">
            <v>ja</v>
          </cell>
          <cell r="C1475" t="str">
            <v>三蔵法師_超覚醒</v>
          </cell>
          <cell r="D1475" t="str">
            <v>Expoミク</v>
          </cell>
          <cell r="E1475" t="str">
            <v>執行者</v>
          </cell>
          <cell r="F1475" t="str">
            <v>格好いい</v>
          </cell>
          <cell r="G1475" t="str">
            <v>女性</v>
          </cell>
          <cell r="H1475" t="str">
            <v>blue</v>
          </cell>
          <cell r="I1475">
            <v>6</v>
          </cell>
          <cell r="J1475" t="str">
            <v>PremiumSS</v>
          </cell>
          <cell r="K1475" t="str">
            <v>balance</v>
          </cell>
          <cell r="L1475" t="str">
            <v>バランスタイプ</v>
          </cell>
          <cell r="M1475" t="str">
            <v>human</v>
          </cell>
        </row>
        <row r="1476">
          <cell r="A1476">
            <v>8076</v>
          </cell>
          <cell r="B1476" t="str">
            <v>ja</v>
          </cell>
          <cell r="C1476" t="str">
            <v>孫悟空_超覚醒</v>
          </cell>
          <cell r="D1476" t="str">
            <v>Expoミク</v>
          </cell>
          <cell r="E1476" t="str">
            <v>執行者</v>
          </cell>
          <cell r="F1476" t="str">
            <v>格好いい</v>
          </cell>
          <cell r="G1476" t="str">
            <v>女性</v>
          </cell>
          <cell r="H1476" t="str">
            <v>red</v>
          </cell>
          <cell r="I1476">
            <v>6</v>
          </cell>
          <cell r="J1476" t="str">
            <v>DropWizS</v>
          </cell>
          <cell r="K1476" t="str">
            <v>attack</v>
          </cell>
          <cell r="L1476" t="str">
            <v>攻撃タイプ</v>
          </cell>
          <cell r="M1476" t="str">
            <v>animal</v>
          </cell>
        </row>
        <row r="1477">
          <cell r="A1477">
            <v>8077</v>
          </cell>
          <cell r="B1477" t="str">
            <v>ja</v>
          </cell>
          <cell r="C1477" t="str">
            <v>鄭成功</v>
          </cell>
          <cell r="D1477" t="str">
            <v>ポムポムプリン</v>
          </cell>
          <cell r="E1477" t="str">
            <v>執行者</v>
          </cell>
          <cell r="F1477" t="str">
            <v>格好いい</v>
          </cell>
          <cell r="G1477" t="str">
            <v>女性</v>
          </cell>
          <cell r="H1477" t="str">
            <v>blue</v>
          </cell>
          <cell r="I1477">
            <v>5</v>
          </cell>
          <cell r="J1477" t="str">
            <v>PremiumSS</v>
          </cell>
          <cell r="K1477" t="str">
            <v>attack</v>
          </cell>
          <cell r="L1477" t="str">
            <v>攻撃タイプ</v>
          </cell>
          <cell r="M1477" t="str">
            <v>human</v>
          </cell>
        </row>
        <row r="1478">
          <cell r="A1478">
            <v>8078</v>
          </cell>
          <cell r="B1478" t="str">
            <v>ja</v>
          </cell>
          <cell r="C1478" t="str">
            <v>レア６鄭成功</v>
          </cell>
          <cell r="D1478" t="str">
            <v>ポムポムプリン</v>
          </cell>
          <cell r="E1478" t="str">
            <v>執行者</v>
          </cell>
          <cell r="F1478" t="str">
            <v>格好いい</v>
          </cell>
          <cell r="G1478" t="str">
            <v>女性</v>
          </cell>
          <cell r="H1478" t="str">
            <v>blue</v>
          </cell>
          <cell r="I1478">
            <v>6</v>
          </cell>
          <cell r="J1478" t="str">
            <v>PremiumSS</v>
          </cell>
          <cell r="K1478" t="str">
            <v>attack</v>
          </cell>
          <cell r="L1478" t="str">
            <v>攻撃タイプ</v>
          </cell>
          <cell r="M1478" t="str">
            <v>human</v>
          </cell>
        </row>
        <row r="1479">
          <cell r="A1479">
            <v>8079</v>
          </cell>
          <cell r="B1479" t="str">
            <v>ja</v>
          </cell>
          <cell r="C1479" t="str">
            <v>赤鬼</v>
          </cell>
          <cell r="D1479" t="str">
            <v>ポムポムプリン</v>
          </cell>
          <cell r="E1479" t="str">
            <v>執行者</v>
          </cell>
          <cell r="F1479" t="str">
            <v>格好いい</v>
          </cell>
          <cell r="G1479" t="str">
            <v>女性</v>
          </cell>
          <cell r="H1479" t="str">
            <v>red</v>
          </cell>
          <cell r="I1479">
            <v>5</v>
          </cell>
          <cell r="J1479" t="str">
            <v>DropWizS</v>
          </cell>
          <cell r="K1479" t="str">
            <v>hp</v>
          </cell>
          <cell r="L1479" t="str">
            <v>体力タイプ</v>
          </cell>
          <cell r="M1479" t="str">
            <v>dragon</v>
          </cell>
        </row>
        <row r="1480">
          <cell r="A1480">
            <v>8080</v>
          </cell>
          <cell r="B1480" t="str">
            <v>ja</v>
          </cell>
          <cell r="C1480" t="str">
            <v>レア６赤鬼</v>
          </cell>
          <cell r="D1480" t="str">
            <v>ポムポムプリン</v>
          </cell>
          <cell r="E1480" t="str">
            <v>執行者</v>
          </cell>
          <cell r="F1480" t="str">
            <v>格好いい</v>
          </cell>
          <cell r="G1480" t="str">
            <v>女性</v>
          </cell>
          <cell r="H1480" t="str">
            <v>red</v>
          </cell>
          <cell r="I1480">
            <v>6</v>
          </cell>
          <cell r="J1480" t="str">
            <v>DropWizS</v>
          </cell>
          <cell r="K1480" t="str">
            <v>hp</v>
          </cell>
          <cell r="L1480" t="str">
            <v>体力タイプ</v>
          </cell>
          <cell r="M1480" t="str">
            <v>dragon</v>
          </cell>
        </row>
        <row r="1481">
          <cell r="A1481">
            <v>8095</v>
          </cell>
          <cell r="B1481" t="str">
            <v>ja</v>
          </cell>
          <cell r="C1481" t="str">
            <v>バハムートダック赤</v>
          </cell>
          <cell r="D1481" t="str">
            <v>ポムポムプリン</v>
          </cell>
          <cell r="E1481" t="str">
            <v>執行者</v>
          </cell>
          <cell r="F1481" t="str">
            <v>格好いい</v>
          </cell>
          <cell r="G1481" t="str">
            <v>女性</v>
          </cell>
          <cell r="H1481" t="str">
            <v>red</v>
          </cell>
          <cell r="I1481">
            <v>6</v>
          </cell>
          <cell r="J1481" t="str">
            <v>Material</v>
          </cell>
          <cell r="K1481" t="str">
            <v>exp</v>
          </cell>
          <cell r="L1481" t="str">
            <v>強化素材タイプ</v>
          </cell>
          <cell r="M1481" t="str">
            <v>unknown</v>
          </cell>
        </row>
        <row r="1482">
          <cell r="A1482">
            <v>8096</v>
          </cell>
          <cell r="B1482" t="str">
            <v>ja</v>
          </cell>
          <cell r="C1482" t="str">
            <v>バハムートダック緑</v>
          </cell>
          <cell r="D1482" t="str">
            <v>ポムポムプリン</v>
          </cell>
          <cell r="E1482" t="str">
            <v>執行者</v>
          </cell>
          <cell r="F1482" t="str">
            <v>格好いい</v>
          </cell>
          <cell r="G1482" t="str">
            <v>女性</v>
          </cell>
          <cell r="H1482" t="str">
            <v>green</v>
          </cell>
          <cell r="I1482">
            <v>6</v>
          </cell>
          <cell r="J1482" t="str">
            <v>Material</v>
          </cell>
          <cell r="K1482" t="str">
            <v>exp</v>
          </cell>
          <cell r="L1482" t="str">
            <v>強化素材タイプ</v>
          </cell>
          <cell r="M1482" t="str">
            <v>unknown</v>
          </cell>
        </row>
        <row r="1483">
          <cell r="A1483">
            <v>8097</v>
          </cell>
          <cell r="B1483" t="str">
            <v>ja</v>
          </cell>
          <cell r="C1483" t="str">
            <v>バハムートダック青</v>
          </cell>
          <cell r="D1483" t="str">
            <v>ポムポムプリン</v>
          </cell>
          <cell r="E1483" t="str">
            <v>執行者</v>
          </cell>
          <cell r="F1483" t="str">
            <v>格好いい</v>
          </cell>
          <cell r="G1483" t="str">
            <v>女性</v>
          </cell>
          <cell r="H1483" t="str">
            <v>blue</v>
          </cell>
          <cell r="I1483">
            <v>6</v>
          </cell>
          <cell r="J1483" t="str">
            <v>Material</v>
          </cell>
          <cell r="K1483" t="str">
            <v>exp</v>
          </cell>
          <cell r="L1483" t="str">
            <v>強化素材タイプ</v>
          </cell>
          <cell r="M1483" t="str">
            <v>unknown</v>
          </cell>
        </row>
        <row r="1484">
          <cell r="A1484">
            <v>8098</v>
          </cell>
          <cell r="B1484" t="str">
            <v>ja</v>
          </cell>
          <cell r="C1484" t="str">
            <v>バハムートダック黄</v>
          </cell>
          <cell r="D1484" t="str">
            <v>ポムポムプリン</v>
          </cell>
          <cell r="E1484" t="str">
            <v>執行者</v>
          </cell>
          <cell r="F1484" t="str">
            <v>格好いい</v>
          </cell>
          <cell r="G1484" t="str">
            <v>女性</v>
          </cell>
          <cell r="H1484" t="str">
            <v>yellow</v>
          </cell>
          <cell r="I1484">
            <v>6</v>
          </cell>
          <cell r="J1484" t="str">
            <v>Material</v>
          </cell>
          <cell r="K1484" t="str">
            <v>exp</v>
          </cell>
          <cell r="L1484" t="str">
            <v>強化素材タイプ</v>
          </cell>
          <cell r="M1484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E23" sqref="E23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247</v>
      </c>
      <c r="B2" s="61" t="s">
        <v>110</v>
      </c>
      <c r="C2" s="50" t="str">
        <f t="shared" ref="C2" si="0">RIGHT(F2,6)</f>
        <v>504100</v>
      </c>
      <c r="D2" s="19" t="s">
        <v>45</v>
      </c>
      <c r="E2" s="17" t="str">
        <f t="shared" ref="E2" si="1">B2&amp;C2&amp;D2</f>
        <v>gacha_select_tables_504100.tmp</v>
      </c>
      <c r="F2" s="98" t="s">
        <v>253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2" t="s">
        <v>247</v>
      </c>
      <c r="B3" s="61" t="s">
        <v>110</v>
      </c>
      <c r="C3" s="50" t="str">
        <f t="shared" ref="C3:C7" si="2">RIGHT(F3,6)</f>
        <v>504010</v>
      </c>
      <c r="D3" s="19" t="s">
        <v>45</v>
      </c>
      <c r="E3" s="17" t="str">
        <f t="shared" ref="E3:E10" si="3">B3&amp;C3&amp;D3</f>
        <v>gacha_select_tables_504010.tmp</v>
      </c>
      <c r="F3" s="98" t="s">
        <v>254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100" t="s">
        <v>252</v>
      </c>
      <c r="B4" s="95" t="s">
        <v>248</v>
      </c>
      <c r="C4" s="96" t="str">
        <f t="shared" si="2"/>
        <v>504105</v>
      </c>
      <c r="D4" s="19" t="s">
        <v>249</v>
      </c>
      <c r="E4" s="17" t="str">
        <f t="shared" si="3"/>
        <v>gacha_settle_tables_504105.tmp</v>
      </c>
      <c r="F4" s="99" t="s">
        <v>255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244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245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246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B6" sqref="B6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504010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8001</v>
      </c>
      <c r="M3" s="37" t="str">
        <f>VLOOKUP(L3,[1]characters!$A:$C,3,FALSE)</f>
        <v>媽祖</v>
      </c>
      <c r="N3" s="63">
        <v>0.02</v>
      </c>
      <c r="O3" s="37">
        <f>VLOOKUP(L3,[1]characters!$A:$I,9,FALSE)</f>
        <v>5</v>
      </c>
      <c r="P3" s="37" t="str">
        <f>VLOOKUP(L3,[1]characters!$A:$J,10,FALSE)</f>
        <v>PremiumSS</v>
      </c>
      <c r="Q3" s="37" t="str">
        <f>VLOOKUP(L3,tables_504010!B:C,2,FALSE)</f>
        <v>PremiumSS5R5only</v>
      </c>
      <c r="R3" s="62">
        <f t="shared" ref="R3:R20" si="1">N3*A$36</f>
        <v>1240800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8005</v>
      </c>
      <c r="M4" s="37" t="str">
        <f>VLOOKUP(L4,[1]characters!$A:$C,3,FALSE)</f>
        <v>三蔵法師</v>
      </c>
      <c r="N4" s="63">
        <v>0.02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VLOOKUP(L4,tables_504010!B:C,2,FALSE)</f>
        <v>PremiumSS5R5only</v>
      </c>
      <c r="R4" s="62">
        <f t="shared" si="1"/>
        <v>1240800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0.45</v>
      </c>
      <c r="D5" t="s">
        <v>201</v>
      </c>
      <c r="E5" s="43">
        <f>(B11-H5)/(F5-I5)</f>
        <v>1.5151515151515154E-4</v>
      </c>
      <c r="F5">
        <f>(COUNTIF(tables_504010!C:C,input_504010!A28)+COUNTIF(tables_504010!C:C,input_504010!A29))</f>
        <v>68</v>
      </c>
      <c r="H5" s="84">
        <v>0.04</v>
      </c>
      <c r="I5" s="31">
        <v>2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VLOOKUP(L5,tables_504010!B:C,2,FALSE)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0.45</v>
      </c>
      <c r="D6" t="s">
        <v>202</v>
      </c>
      <c r="E6" s="76">
        <f>(B10-H6)/(F6-I6)</f>
        <v>1.0106382978723403E-2</v>
      </c>
      <c r="F6">
        <f>(COUNTIF(tables_504010!C:C,input_504010!A25)+COUNTIF(tables_504010!C:C,input_504010!A18)+COUNTIF(tables_504010!C:C,input_504010!A20)+COUNTIF(tables_504010!C:C,input_504010!A22))</f>
        <v>94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VLOOKUP(L6,tables_504010!B:C,2,FALSE)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VLOOKUP(L7,tables_504010!B:C,2,FALSE)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VLOOKUP(L8,tables_504010!B:C,2,FALSE)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VLOOKUP(L9,tables_504010!B:C,2,FALSE)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VLOOKUP(L10,tables_504010!B:C,2,FALSE)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243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VLOOKUP(L11,tables_504010!B:C,2,FALSE)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VLOOKUP(L12,tables_504010!B:C,2,FALSE)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VLOOKUP(L13,tables_504010!B:C,2,FALSE)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VLOOKUP(L14,tables_504010!B:C,2,FALSE)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0.04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VLOOKUP(L15,tables_504010!B:C,2,FALSE)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VLOOKUP(L16,tables_504010!B:C,2,FALSE)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0.19531914893617025</v>
      </c>
      <c r="C17" s="85">
        <f t="shared" ref="C17:C31" si="2">SUMIF(Q:Q,A17,N:N)</f>
        <v>0</v>
      </c>
      <c r="D17" s="74">
        <f t="shared" ref="D17:D32" si="3">B17-C17</f>
        <v>0.19531914893617025</v>
      </c>
      <c r="E17">
        <f>COUNTIF(tables_504010!C:C,input_504010!A17)-COUNTIF(Q:Q,A17)</f>
        <v>20</v>
      </c>
      <c r="F17" s="43">
        <f>IFERROR(B17/E17,0)</f>
        <v>9.7659574468085125E-3</v>
      </c>
      <c r="G17">
        <f t="shared" ref="G17:G31" si="4">A$36*B17</f>
        <v>12117600.000000002</v>
      </c>
      <c r="H17">
        <f t="shared" ref="H17:H31" si="5">IFERROR(ROUND(G17/E17,5),0)</f>
        <v>605880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VLOOKUP(L17,tables_504010!B:C,2,FALSE)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E$6*E18-B17+E34+0.02-G49</f>
        <v>4.0841392646188329E-2</v>
      </c>
      <c r="C18" s="85">
        <f t="shared" si="2"/>
        <v>0</v>
      </c>
      <c r="D18" s="74">
        <f t="shared" si="3"/>
        <v>4.0841392646188329E-2</v>
      </c>
      <c r="E18">
        <f>COUNTIF(tables_504010!C:C,input_504010!A18)-COUNTIF(Q:Q,A18)</f>
        <v>20</v>
      </c>
      <c r="F18" s="43">
        <f>IFERROR(B18/E18,0)</f>
        <v>2.0420696323094163E-3</v>
      </c>
      <c r="G18">
        <f t="shared" si="4"/>
        <v>2533799.9997695237</v>
      </c>
      <c r="H18">
        <f t="shared" si="5"/>
        <v>126689.99999</v>
      </c>
      <c r="I18">
        <f t="shared" si="6"/>
        <v>0.99998999999661464</v>
      </c>
      <c r="J18">
        <f t="shared" si="7"/>
        <v>1.0000100001033865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VLOOKUP(L18,tables_504010!B:C,2,FALSE)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0.23648936170212764</v>
      </c>
      <c r="C19" s="85">
        <f t="shared" si="2"/>
        <v>0</v>
      </c>
      <c r="D19" s="74">
        <f t="shared" si="3"/>
        <v>0.23648936170212764</v>
      </c>
      <c r="E19">
        <f>COUNTIF(tables_504010!C:C,input_504010!A19)-COUNTIF(Q:Q,A19)</f>
        <v>52</v>
      </c>
      <c r="F19" s="43">
        <f t="shared" ref="F19:F31" si="8">IFERROR(B19/E19,0)</f>
        <v>4.5478723404255312E-3</v>
      </c>
      <c r="G19">
        <f t="shared" si="4"/>
        <v>14671799.999999998</v>
      </c>
      <c r="H19">
        <f t="shared" si="5"/>
        <v>282150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VLOOKUP(L19,tables_504010!B:C,2,FALSE)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E$6*E20*B$6-0.02</f>
        <v>0.21648936170212765</v>
      </c>
      <c r="C20" s="85">
        <f t="shared" si="2"/>
        <v>0</v>
      </c>
      <c r="D20" s="74">
        <f t="shared" si="3"/>
        <v>0.21648936170212765</v>
      </c>
      <c r="E20">
        <f>COUNTIF(tables_504010!C:C,input_504010!A20)-COUNTIF(Q:Q,A20)</f>
        <v>52</v>
      </c>
      <c r="F20" s="43">
        <f t="shared" si="8"/>
        <v>4.1632569558101469E-3</v>
      </c>
      <c r="G20">
        <f t="shared" si="4"/>
        <v>13431000</v>
      </c>
      <c r="H20">
        <f t="shared" si="5"/>
        <v>258288.46153999999</v>
      </c>
      <c r="I20">
        <f t="shared" si="6"/>
        <v>0.46153999998932704</v>
      </c>
      <c r="J20">
        <f t="shared" si="7"/>
        <v>2.1666594445186216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VLOOKUP(L20,tables_504010!B:C,2,FALSE)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3.8520309477756288E-2</v>
      </c>
      <c r="C21" s="85">
        <f t="shared" si="2"/>
        <v>0</v>
      </c>
      <c r="D21" s="74">
        <f t="shared" si="3"/>
        <v>3.8520309477756288E-2</v>
      </c>
      <c r="E21">
        <f>COUNTIF(tables_504010!C:C,input_504010!A21)-COUNTIF(Q:Q,A21)</f>
        <v>52</v>
      </c>
      <c r="F21" s="43">
        <f t="shared" si="8"/>
        <v>7.40775182264544E-4</v>
      </c>
      <c r="G21">
        <f t="shared" si="4"/>
        <v>2389800</v>
      </c>
      <c r="H21">
        <f t="shared" si="5"/>
        <v>45957.692309999999</v>
      </c>
      <c r="I21">
        <f t="shared" si="6"/>
        <v>0.69230999999854248</v>
      </c>
      <c r="J21">
        <f t="shared" si="7"/>
        <v>1.4444396296487199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0.1676595744680851</v>
      </c>
      <c r="C22" s="85">
        <f t="shared" si="2"/>
        <v>0</v>
      </c>
      <c r="D22" s="74">
        <f t="shared" si="3"/>
        <v>0.1676595744680851</v>
      </c>
      <c r="E22">
        <f>COUNTIF(tables_504010!C:C,input_504010!A22)-COUNTIF(Q:Q,A22)</f>
        <v>18</v>
      </c>
      <c r="F22" s="43">
        <f t="shared" si="8"/>
        <v>9.3144208037825062E-3</v>
      </c>
      <c r="G22">
        <f t="shared" si="4"/>
        <v>10401600</v>
      </c>
      <c r="H22">
        <f t="shared" si="5"/>
        <v>577866.66666999995</v>
      </c>
      <c r="I22">
        <f t="shared" si="6"/>
        <v>0.66666999994777143</v>
      </c>
      <c r="J22">
        <f t="shared" si="7"/>
        <v>1.499992500155013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E23*E6*B7-E36-0.01</f>
        <v>1.4255319148936166E-2</v>
      </c>
      <c r="C23" s="85">
        <f t="shared" si="2"/>
        <v>0</v>
      </c>
      <c r="D23" s="74">
        <f t="shared" si="3"/>
        <v>1.4255319148936166E-2</v>
      </c>
      <c r="E23">
        <f>COUNTIF(tables_504010!C:C,input_504010!A23)-COUNTIF(Q:Q,A23)</f>
        <v>24</v>
      </c>
      <c r="F23" s="43">
        <f t="shared" si="8"/>
        <v>5.9397163120567355E-4</v>
      </c>
      <c r="G23">
        <f t="shared" si="4"/>
        <v>884399.99999999977</v>
      </c>
      <c r="H23">
        <f t="shared" si="5"/>
        <v>36850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1.8191489361702125E-2</v>
      </c>
      <c r="C24" s="85">
        <f t="shared" si="2"/>
        <v>0</v>
      </c>
      <c r="D24" s="74">
        <f t="shared" si="3"/>
        <v>1.8191489361702125E-2</v>
      </c>
      <c r="E24">
        <f>COUNTIF(tables_504010!C:C,input_504010!A24)-COUNTIF(Q:Q,A24)</f>
        <v>4</v>
      </c>
      <c r="F24" s="43">
        <f t="shared" si="8"/>
        <v>4.5478723404255312E-3</v>
      </c>
      <c r="G24">
        <f t="shared" si="4"/>
        <v>1128599.9999999998</v>
      </c>
      <c r="H24">
        <f t="shared" si="5"/>
        <v>282150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1.8191489361702125E-2</v>
      </c>
      <c r="C25" s="85">
        <f t="shared" si="2"/>
        <v>0</v>
      </c>
      <c r="D25" s="74">
        <f t="shared" si="3"/>
        <v>1.8191489361702125E-2</v>
      </c>
      <c r="E25">
        <f>COUNTIF(tables_504010!C:C,input_504010!A25)-COUNTIF(Q:Q,A25)</f>
        <v>4</v>
      </c>
      <c r="F25" s="43">
        <f t="shared" si="8"/>
        <v>4.5478723404255312E-3</v>
      </c>
      <c r="G25">
        <f t="shared" si="4"/>
        <v>1128599.9999999998</v>
      </c>
      <c r="H25">
        <f t="shared" si="5"/>
        <v>282150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4.0425531914893616E-3</v>
      </c>
      <c r="C26" s="85">
        <f t="shared" si="2"/>
        <v>0</v>
      </c>
      <c r="D26" s="74">
        <f t="shared" si="3"/>
        <v>4.0425531914893616E-3</v>
      </c>
      <c r="E26">
        <f>COUNTIF(tables_504010!C:C,input_504010!A26)-COUNTIF(Q:Q,A26)</f>
        <v>4</v>
      </c>
      <c r="F26" s="43">
        <f t="shared" si="8"/>
        <v>1.0106382978723404E-3</v>
      </c>
      <c r="G26">
        <f t="shared" si="4"/>
        <v>250800</v>
      </c>
      <c r="H26">
        <f t="shared" si="5"/>
        <v>62700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E$5*E27*(B$5+B$6)+G49</f>
        <v>6.8181818183502847E-3</v>
      </c>
      <c r="C27" s="85">
        <f t="shared" si="2"/>
        <v>0</v>
      </c>
      <c r="D27" s="74">
        <f t="shared" si="3"/>
        <v>6.8181818183502847E-3</v>
      </c>
      <c r="E27">
        <f>COUNTIF(tables_504010!C:C,input_504010!A27)-COUNTIF(Q:Q,A27)</f>
        <v>28</v>
      </c>
      <c r="F27" s="43">
        <f>IFERROR(B27/E27,0)</f>
        <v>2.4350649351251018E-4</v>
      </c>
      <c r="G27">
        <f t="shared" si="4"/>
        <v>423000.00001045165</v>
      </c>
      <c r="H27">
        <f t="shared" si="5"/>
        <v>15107.14286</v>
      </c>
      <c r="I27">
        <f t="shared" si="6"/>
        <v>0.14285999999992782</v>
      </c>
      <c r="J27">
        <f t="shared" si="7"/>
        <v>6.999860002803481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4.2424242424242431E-4</v>
      </c>
      <c r="C28" s="85">
        <f t="shared" si="2"/>
        <v>0</v>
      </c>
      <c r="D28" s="74">
        <f t="shared" si="3"/>
        <v>4.2424242424242431E-4</v>
      </c>
      <c r="E28">
        <f>COUNTIF(tables_504010!C:C,input_504010!A28)-COUNTIF(Q:Q,A28)</f>
        <v>28</v>
      </c>
      <c r="F28" s="43">
        <f t="shared" si="8"/>
        <v>1.5151515151515155E-5</v>
      </c>
      <c r="G28">
        <f t="shared" si="4"/>
        <v>26320.000000000004</v>
      </c>
      <c r="H28">
        <f t="shared" si="5"/>
        <v>940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E$5*E29-0.003</f>
        <v>2.7575757575757582E-3</v>
      </c>
      <c r="C29" s="85">
        <f t="shared" si="2"/>
        <v>0.04</v>
      </c>
      <c r="D29" s="74">
        <f t="shared" si="3"/>
        <v>-3.7242424242424244E-2</v>
      </c>
      <c r="E29">
        <f>COUNTIF(tables_504010!C:C,input_504010!A29)-COUNTIF(Q:Q,A29)</f>
        <v>38</v>
      </c>
      <c r="F29" s="43">
        <f t="shared" si="8"/>
        <v>7.2567783094098896E-5</v>
      </c>
      <c r="G29">
        <f t="shared" si="4"/>
        <v>171080.00000000003</v>
      </c>
      <c r="H29">
        <f t="shared" si="5"/>
        <v>4502.1052600000003</v>
      </c>
      <c r="I29">
        <f t="shared" si="6"/>
        <v>0.10526000000027125</v>
      </c>
      <c r="J29">
        <f t="shared" si="7"/>
        <v>9.5002850085257755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COUNTIF(tables_504010!C:C,input_504010!A30)-COUNTIF(Q:Q,A30)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COUNTIF(tables_504010!C:C,input_504010!A31)-COUNTIF(Q:Q,A31)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0.95999999999645347</v>
      </c>
      <c r="C32" s="41">
        <f>SUM(C19:C31)</f>
        <v>0.04</v>
      </c>
      <c r="D32" s="42">
        <f t="shared" si="3"/>
        <v>0.91999999999645343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1.7032882008058969E-2</v>
      </c>
      <c r="F34" s="55">
        <f ca="1">0.45-G41</f>
        <v>-3.2152058793144533E-13</v>
      </c>
    </row>
    <row r="35" spans="1:7" x14ac:dyDescent="0.15">
      <c r="A35" t="s">
        <v>73</v>
      </c>
      <c r="E35">
        <v>0.04</v>
      </c>
    </row>
    <row r="36" spans="1:7" x14ac:dyDescent="0.15">
      <c r="A36" s="31">
        <f>LCM(F5-I5,F6-I6)*1000*2*2*5</f>
        <v>62040000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SUMIF(tables_504010!C:C,input_504010!A40,tables_504010!O:O)</f>
        <v>14671800</v>
      </c>
      <c r="C40" s="54">
        <f t="shared" ref="C40:C46" ca="1" si="9">B40/B$47</f>
        <v>0.47417225562819726</v>
      </c>
      <c r="E40">
        <v>3</v>
      </c>
      <c r="F40">
        <f ca="1">SUMIF(tables_504010!J:J,input_504010!E40,tables_504010!O:O)</f>
        <v>27918000</v>
      </c>
      <c r="G40">
        <f ca="1">F40/A36</f>
        <v>0.45</v>
      </c>
    </row>
    <row r="41" spans="1:7" x14ac:dyDescent="0.15">
      <c r="A41" s="33" t="s">
        <v>104</v>
      </c>
      <c r="B41">
        <f ca="1">SUMIF(tables_504010!C:C,input_504010!A41,tables_504010!O:O)</f>
        <v>13431000.000080004</v>
      </c>
      <c r="C41" s="54">
        <f t="shared" ca="1" si="9"/>
        <v>0.43407131813276173</v>
      </c>
      <c r="E41">
        <v>4</v>
      </c>
      <c r="F41">
        <f ca="1">SUMIF(tables_504010!J:J,input_504010!E41,tables_504010!O:O)</f>
        <v>27918000.000019949</v>
      </c>
      <c r="G41">
        <f ca="1">F41/A36</f>
        <v>0.45000000000032153</v>
      </c>
    </row>
    <row r="42" spans="1:7" x14ac:dyDescent="0.15">
      <c r="A42" s="33" t="s">
        <v>106</v>
      </c>
      <c r="B42">
        <f ca="1">SUMIF(tables_504010!C:C,input_504010!A42,tables_504010!O:O)</f>
        <v>423000.00008000014</v>
      </c>
      <c r="C42" s="54">
        <f t="shared" ca="1" si="9"/>
        <v>1.367077414963817E-2</v>
      </c>
      <c r="E42">
        <v>5</v>
      </c>
      <c r="F42">
        <f ca="1">SUMIF(tables_504010!J:J,input_504010!E42,tables_504010!O:O)</f>
        <v>6204000.0000000028</v>
      </c>
      <c r="G42">
        <f ca="1">F42/A36</f>
        <v>0.10000000000000005</v>
      </c>
    </row>
    <row r="43" spans="1:7" x14ac:dyDescent="0.15">
      <c r="A43" s="33" t="s">
        <v>109</v>
      </c>
      <c r="B43">
        <f>SUMIF(tables_504010!C:C,input_504010!A43,tables_504010!O:O)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SUMIF(tables_504010!C:C,input_504010!A44,tables_504010!O:O)</f>
        <v>2389800.00012</v>
      </c>
      <c r="C44" s="54">
        <f t="shared" ca="1" si="9"/>
        <v>7.7235026142475127E-2</v>
      </c>
      <c r="E44" t="s">
        <v>54</v>
      </c>
      <c r="F44" s="55"/>
    </row>
    <row r="45" spans="1:7" x14ac:dyDescent="0.15">
      <c r="A45" s="33" t="s">
        <v>107</v>
      </c>
      <c r="B45">
        <f ca="1">SUMIF(tables_504010!C:C,input_504010!A45,tables_504010!O:O)</f>
        <v>26320</v>
      </c>
      <c r="C45" s="54">
        <f t="shared" ca="1" si="9"/>
        <v>8.5062594692772203E-4</v>
      </c>
      <c r="E45" t="s">
        <v>204</v>
      </c>
      <c r="F45" s="55">
        <f ca="1">SUMIF(tables_504010!I:I,input_504010!E45,tables_504010!P:P)</f>
        <v>0.23972437137000657</v>
      </c>
    </row>
    <row r="46" spans="1:7" x14ac:dyDescent="0.15">
      <c r="A46" s="33" t="s">
        <v>108</v>
      </c>
      <c r="B46">
        <f>SUMIF(tables_504010!C:C,input_504010!A46,tables_504010!O:O)</f>
        <v>0</v>
      </c>
      <c r="C46" s="54">
        <f t="shared" ca="1" si="9"/>
        <v>0</v>
      </c>
      <c r="E46" t="s">
        <v>205</v>
      </c>
      <c r="F46" s="55">
        <f ca="1">SUMIF(tables_504010!I:I,input_504010!E46,tables_504010!P:P)</f>
        <v>0.19100152507166629</v>
      </c>
    </row>
    <row r="47" spans="1:7" x14ac:dyDescent="0.15">
      <c r="A47" s="39" t="s">
        <v>59</v>
      </c>
      <c r="B47">
        <f ca="1">SUM(B40:B46)</f>
        <v>30941920.000280004</v>
      </c>
      <c r="C47" s="55">
        <f ca="1">SUM(C40:C46)</f>
        <v>1</v>
      </c>
      <c r="E47" t="s">
        <v>206</v>
      </c>
      <c r="F47" s="55">
        <f ca="1">SUMIF(tables_504010!I:I,input_504010!E47,tables_504010!P:P)</f>
        <v>0.51927410355898773</v>
      </c>
    </row>
    <row r="48" spans="1:7" x14ac:dyDescent="0.15">
      <c r="E48" t="s">
        <v>207</v>
      </c>
      <c r="F48" s="55">
        <f ca="1">SUMIF(tables_504010!I:I,input_504010!E48,tables_504010!P:P)</f>
        <v>4.9492025518036893E-2</v>
      </c>
      <c r="G48" s="55">
        <f ca="1">0.05-F48-F49</f>
        <v>6.6088801098374006E-13</v>
      </c>
    </row>
    <row r="49" spans="5:7" x14ac:dyDescent="0.15">
      <c r="E49" t="s">
        <v>250</v>
      </c>
      <c r="F49" s="55">
        <f ca="1">SUMIF(tables_504010!I:I,input_504010!E49,tables_504010!P:P)</f>
        <v>5.0797448130222161E-4</v>
      </c>
      <c r="G49">
        <v>3.0000000001684664E-3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47"/>
  <sheetViews>
    <sheetView showGridLines="0" zoomScale="75" zoomScaleNormal="75" zoomScalePageLayoutView="75" workbookViewId="0">
      <pane ySplit="1" topLeftCell="A306" activePane="bottomLeft" state="frozen"/>
      <selection activeCell="H276" sqref="H276"/>
      <selection pane="bottomLeft" activeCell="C343" sqref="C34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input_504010!A$2</f>
        <v>504010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IFERROR(VLOOKUP(B2,input_504010!L:R,7,FALSE),VLOOKUP(tables_504010!C2,input_504010!A:H,8,FALSE))</f>
        <v>605880</v>
      </c>
      <c r="P2" s="46">
        <f t="shared" ref="P2:P65" ca="1" si="1">O2/SUM(O:O)</f>
        <v>9.7659574468053588E-3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input_504010!A$2</f>
        <v>504010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IFERROR(VLOOKUP(B3,input_504010!L:R,7,FALSE),VLOOKUP(tables_504010!C3,input_504010!A:H,8,FALSE))</f>
        <v>126689.99999</v>
      </c>
      <c r="P3" s="46">
        <f t="shared" ca="1" si="1"/>
        <v>2.0420696323333186E-3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input_504010!A$2</f>
        <v>504010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IFERROR(VLOOKUP(B4,input_504010!L:R,7,FALSE),VLOOKUP(tables_504010!C4,input_504010!A:H,8,FALSE))</f>
        <v>605880</v>
      </c>
      <c r="P4" s="46">
        <f t="shared" ca="1" si="1"/>
        <v>9.7659574468053588E-3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input_504010!A$2</f>
        <v>504010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IFERROR(VLOOKUP(B5,input_504010!L:R,7,FALSE),VLOOKUP(tables_504010!C5,input_504010!A:H,8,FALSE))</f>
        <v>126689.99999</v>
      </c>
      <c r="P5" s="46">
        <f t="shared" ca="1" si="1"/>
        <v>2.0420696323333186E-3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input_504010!A$2</f>
        <v>504010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IFERROR(VLOOKUP(B6,input_504010!L:R,7,FALSE),VLOOKUP(tables_504010!C6,input_504010!A:H,8,FALSE))</f>
        <v>605880</v>
      </c>
      <c r="P6" s="46">
        <f t="shared" ca="1" si="1"/>
        <v>9.7659574468053588E-3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input_504010!A$2</f>
        <v>504010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IFERROR(VLOOKUP(B7,input_504010!L:R,7,FALSE),VLOOKUP(tables_504010!C7,input_504010!A:H,8,FALSE))</f>
        <v>126689.99999</v>
      </c>
      <c r="P7" s="46">
        <f t="shared" ca="1" si="1"/>
        <v>2.0420696323333186E-3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input_504010!A$2</f>
        <v>504010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IFERROR(VLOOKUP(B8,input_504010!L:R,7,FALSE),VLOOKUP(tables_504010!C8,input_504010!A:H,8,FALSE))</f>
        <v>605880</v>
      </c>
      <c r="P8" s="46">
        <f t="shared" ca="1" si="1"/>
        <v>9.7659574468053588E-3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input_504010!A$2</f>
        <v>504010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IFERROR(VLOOKUP(B9,input_504010!L:R,7,FALSE),VLOOKUP(tables_504010!C9,input_504010!A:H,8,FALSE))</f>
        <v>126689.99999</v>
      </c>
      <c r="P9" s="46">
        <f t="shared" ca="1" si="1"/>
        <v>2.0420696323333186E-3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input_504010!A$2</f>
        <v>504010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IFERROR(VLOOKUP(B10,input_504010!L:R,7,FALSE),VLOOKUP(tables_504010!C10,input_504010!A:H,8,FALSE))</f>
        <v>605880</v>
      </c>
      <c r="P10" s="46">
        <f t="shared" ca="1" si="1"/>
        <v>9.7659574468053588E-3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input_504010!A$2</f>
        <v>504010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IFERROR(VLOOKUP(B11,input_504010!L:R,7,FALSE),VLOOKUP(tables_504010!C11,input_504010!A:H,8,FALSE))</f>
        <v>126689.99999</v>
      </c>
      <c r="P11" s="46">
        <f t="shared" ca="1" si="1"/>
        <v>2.0420696323333186E-3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input_504010!A$2</f>
        <v>504010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IFERROR(VLOOKUP(B12,input_504010!L:R,7,FALSE),VLOOKUP(tables_504010!C12,input_504010!A:H,8,FALSE))</f>
        <v>605880</v>
      </c>
      <c r="P12" s="46">
        <f t="shared" ca="1" si="1"/>
        <v>9.7659574468053588E-3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input_504010!A$2</f>
        <v>504010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IFERROR(VLOOKUP(B13,input_504010!L:R,7,FALSE),VLOOKUP(tables_504010!C13,input_504010!A:H,8,FALSE))</f>
        <v>126689.99999</v>
      </c>
      <c r="P13" s="46">
        <f t="shared" ca="1" si="1"/>
        <v>2.0420696323333186E-3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input_504010!A$2</f>
        <v>504010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IFERROR(VLOOKUP(B14,input_504010!L:R,7,FALSE),VLOOKUP(tables_504010!C14,input_504010!A:H,8,FALSE))</f>
        <v>605880</v>
      </c>
      <c r="P14" s="46">
        <f t="shared" ca="1" si="1"/>
        <v>9.7659574468053588E-3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input_504010!A$2</f>
        <v>504010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IFERROR(VLOOKUP(B15,input_504010!L:R,7,FALSE),VLOOKUP(tables_504010!C15,input_504010!A:H,8,FALSE))</f>
        <v>126689.99999</v>
      </c>
      <c r="P15" s="46">
        <f t="shared" ca="1" si="1"/>
        <v>2.0420696323333186E-3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input_504010!A$2</f>
        <v>504010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IFERROR(VLOOKUP(B16,input_504010!L:R,7,FALSE),VLOOKUP(tables_504010!C16,input_504010!A:H,8,FALSE))</f>
        <v>605880</v>
      </c>
      <c r="P16" s="46">
        <f t="shared" ca="1" si="1"/>
        <v>9.7659574468053588E-3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input_504010!A$2</f>
        <v>504010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IFERROR(VLOOKUP(B17,input_504010!L:R,7,FALSE),VLOOKUP(tables_504010!C17,input_504010!A:H,8,FALSE))</f>
        <v>126689.99999</v>
      </c>
      <c r="P17" s="46">
        <f t="shared" ca="1" si="1"/>
        <v>2.0420696323333186E-3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input_504010!A$2</f>
        <v>504010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IFERROR(VLOOKUP(B18,input_504010!L:R,7,FALSE),VLOOKUP(tables_504010!C18,input_504010!A:H,8,FALSE))</f>
        <v>605880</v>
      </c>
      <c r="P18" s="46">
        <f t="shared" ca="1" si="1"/>
        <v>9.7659574468053588E-3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input_504010!A$2</f>
        <v>504010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IFERROR(VLOOKUP(B19,input_504010!L:R,7,FALSE),VLOOKUP(tables_504010!C19,input_504010!A:H,8,FALSE))</f>
        <v>126689.99999</v>
      </c>
      <c r="P19" s="46">
        <f t="shared" ca="1" si="1"/>
        <v>2.0420696323333186E-3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input_504010!A$2</f>
        <v>504010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IFERROR(VLOOKUP(B20,input_504010!L:R,7,FALSE),VLOOKUP(tables_504010!C20,input_504010!A:H,8,FALSE))</f>
        <v>605880</v>
      </c>
      <c r="P20" s="46">
        <f t="shared" ca="1" si="1"/>
        <v>9.7659574468053588E-3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input_504010!A$2</f>
        <v>504010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IFERROR(VLOOKUP(B21,input_504010!L:R,7,FALSE),VLOOKUP(tables_504010!C21,input_504010!A:H,8,FALSE))</f>
        <v>126689.99999</v>
      </c>
      <c r="P21" s="46">
        <f t="shared" ca="1" si="1"/>
        <v>2.0420696323333186E-3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input_504010!A$2</f>
        <v>504010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IFERROR(VLOOKUP(B22,input_504010!L:R,7,FALSE),VLOOKUP(tables_504010!C22,input_504010!A:H,8,FALSE))</f>
        <v>605880</v>
      </c>
      <c r="P22" s="46">
        <f t="shared" ca="1" si="1"/>
        <v>9.7659574468053588E-3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input_504010!A$2</f>
        <v>504010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IFERROR(VLOOKUP(B23,input_504010!L:R,7,FALSE),VLOOKUP(tables_504010!C23,input_504010!A:H,8,FALSE))</f>
        <v>126689.99999</v>
      </c>
      <c r="P23" s="46">
        <f t="shared" ca="1" si="1"/>
        <v>2.0420696323333186E-3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input_504010!A$2</f>
        <v>504010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IFERROR(VLOOKUP(B24,input_504010!L:R,7,FALSE),VLOOKUP(tables_504010!C24,input_504010!A:H,8,FALSE))</f>
        <v>605880</v>
      </c>
      <c r="P24" s="46">
        <f t="shared" ca="1" si="1"/>
        <v>9.7659574468053588E-3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input_504010!A$2</f>
        <v>504010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IFERROR(VLOOKUP(B25,input_504010!L:R,7,FALSE),VLOOKUP(tables_504010!C25,input_504010!A:H,8,FALSE))</f>
        <v>126689.99999</v>
      </c>
      <c r="P25" s="46">
        <f t="shared" ca="1" si="1"/>
        <v>2.0420696323333186E-3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input_504010!A$2</f>
        <v>504010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IFERROR(VLOOKUP(B26,input_504010!L:R,7,FALSE),VLOOKUP(tables_504010!C26,input_504010!A:H,8,FALSE))</f>
        <v>605880</v>
      </c>
      <c r="P26" s="46">
        <f t="shared" ca="1" si="1"/>
        <v>9.7659574468053588E-3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input_504010!A$2</f>
        <v>504010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IFERROR(VLOOKUP(B27,input_504010!L:R,7,FALSE),VLOOKUP(tables_504010!C27,input_504010!A:H,8,FALSE))</f>
        <v>126689.99999</v>
      </c>
      <c r="P27" s="46">
        <f t="shared" ca="1" si="1"/>
        <v>2.0420696323333186E-3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input_504010!A$2</f>
        <v>504010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IFERROR(VLOOKUP(B28,input_504010!L:R,7,FALSE),VLOOKUP(tables_504010!C28,input_504010!A:H,8,FALSE))</f>
        <v>605880</v>
      </c>
      <c r="P28" s="46">
        <f t="shared" ca="1" si="1"/>
        <v>9.7659574468053588E-3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input_504010!A$2</f>
        <v>504010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IFERROR(VLOOKUP(B29,input_504010!L:R,7,FALSE),VLOOKUP(tables_504010!C29,input_504010!A:H,8,FALSE))</f>
        <v>126689.99999</v>
      </c>
      <c r="P29" s="46">
        <f t="shared" ca="1" si="1"/>
        <v>2.0420696323333186E-3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input_504010!A$2</f>
        <v>504010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IFERROR(VLOOKUP(B30,input_504010!L:R,7,FALSE),VLOOKUP(tables_504010!C30,input_504010!A:H,8,FALSE))</f>
        <v>605880</v>
      </c>
      <c r="P30" s="46">
        <f t="shared" ca="1" si="1"/>
        <v>9.7659574468053588E-3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input_504010!A$2</f>
        <v>504010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IFERROR(VLOOKUP(B31,input_504010!L:R,7,FALSE),VLOOKUP(tables_504010!C31,input_504010!A:H,8,FALSE))</f>
        <v>126689.99999</v>
      </c>
      <c r="P31" s="46">
        <f t="shared" ca="1" si="1"/>
        <v>2.0420696323333186E-3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input_504010!A$2</f>
        <v>504010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IFERROR(VLOOKUP(B32,input_504010!L:R,7,FALSE),VLOOKUP(tables_504010!C32,input_504010!A:H,8,FALSE))</f>
        <v>605880</v>
      </c>
      <c r="P32" s="46">
        <f t="shared" ca="1" si="1"/>
        <v>9.7659574468053588E-3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input_504010!A$2</f>
        <v>504010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IFERROR(VLOOKUP(B33,input_504010!L:R,7,FALSE),VLOOKUP(tables_504010!C33,input_504010!A:H,8,FALSE))</f>
        <v>126689.99999</v>
      </c>
      <c r="P33" s="46">
        <f t="shared" ca="1" si="1"/>
        <v>2.0420696323333186E-3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input_504010!A$2</f>
        <v>504010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IFERROR(VLOOKUP(B34,input_504010!L:R,7,FALSE),VLOOKUP(tables_504010!C34,input_504010!A:H,8,FALSE))</f>
        <v>605880</v>
      </c>
      <c r="P34" s="46">
        <f t="shared" ca="1" si="1"/>
        <v>9.7659574468053588E-3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input_504010!A$2</f>
        <v>504010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IFERROR(VLOOKUP(B35,input_504010!L:R,7,FALSE),VLOOKUP(tables_504010!C35,input_504010!A:H,8,FALSE))</f>
        <v>126689.99999</v>
      </c>
      <c r="P35" s="46">
        <f t="shared" ca="1" si="1"/>
        <v>2.0420696323333186E-3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input_504010!A$2</f>
        <v>504010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IFERROR(VLOOKUP(B36,input_504010!L:R,7,FALSE),VLOOKUP(tables_504010!C36,input_504010!A:H,8,FALSE))</f>
        <v>605880</v>
      </c>
      <c r="P36" s="46">
        <f t="shared" ca="1" si="1"/>
        <v>9.7659574468053588E-3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input_504010!A$2</f>
        <v>504010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IFERROR(VLOOKUP(B37,input_504010!L:R,7,FALSE),VLOOKUP(tables_504010!C37,input_504010!A:H,8,FALSE))</f>
        <v>126689.99999</v>
      </c>
      <c r="P37" s="46">
        <f t="shared" ca="1" si="1"/>
        <v>2.0420696323333186E-3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input_504010!A$2</f>
        <v>504010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IFERROR(VLOOKUP(B38,input_504010!L:R,7,FALSE),VLOOKUP(tables_504010!C38,input_504010!A:H,8,FALSE))</f>
        <v>605880</v>
      </c>
      <c r="P38" s="46">
        <f t="shared" ca="1" si="1"/>
        <v>9.7659574468053588E-3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input_504010!A$2</f>
        <v>504010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IFERROR(VLOOKUP(B39,input_504010!L:R,7,FALSE),VLOOKUP(tables_504010!C39,input_504010!A:H,8,FALSE))</f>
        <v>126689.99999</v>
      </c>
      <c r="P39" s="46">
        <f t="shared" ca="1" si="1"/>
        <v>2.0420696323333186E-3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input_504010!A$2</f>
        <v>504010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IFERROR(VLOOKUP(B40,input_504010!L:R,7,FALSE),VLOOKUP(tables_504010!C40,input_504010!A:H,8,FALSE))</f>
        <v>605880</v>
      </c>
      <c r="P40" s="46">
        <f t="shared" ca="1" si="1"/>
        <v>9.7659574468053588E-3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input_504010!A$2</f>
        <v>504010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IFERROR(VLOOKUP(B41,input_504010!L:R,7,FALSE),VLOOKUP(tables_504010!C41,input_504010!A:H,8,FALSE))</f>
        <v>126689.99999</v>
      </c>
      <c r="P41" s="46">
        <f t="shared" ca="1" si="1"/>
        <v>2.0420696323333186E-3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input_504010!A$2</f>
        <v>504010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IFERROR(VLOOKUP(B42,input_504010!L:R,7,FALSE),VLOOKUP(tables_504010!C42,input_504010!A:H,8,FALSE))</f>
        <v>282150</v>
      </c>
      <c r="P42" s="46">
        <f t="shared" ca="1" si="1"/>
        <v>4.5478723404240636E-3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input_504010!A$2</f>
        <v>504010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IFERROR(VLOOKUP(B43,input_504010!L:R,7,FALSE),VLOOKUP(tables_504010!C43,input_504010!A:H,8,FALSE))</f>
        <v>282150</v>
      </c>
      <c r="P43" s="46">
        <f t="shared" ca="1" si="1"/>
        <v>4.5478723404240636E-3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input_504010!A$2</f>
        <v>504010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IFERROR(VLOOKUP(B44,input_504010!L:R,7,FALSE),VLOOKUP(tables_504010!C44,input_504010!A:H,8,FALSE))</f>
        <v>62700</v>
      </c>
      <c r="P44" s="46">
        <f t="shared" ca="1" si="1"/>
        <v>1.0106382978720143E-3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input_504010!A$2</f>
        <v>504010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IFERROR(VLOOKUP(B45,input_504010!L:R,7,FALSE),VLOOKUP(tables_504010!C45,input_504010!A:H,8,FALSE))</f>
        <v>282150</v>
      </c>
      <c r="P45" s="46">
        <f t="shared" ca="1" si="1"/>
        <v>4.5478723404240636E-3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input_504010!A$2</f>
        <v>504010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IFERROR(VLOOKUP(B46,input_504010!L:R,7,FALSE),VLOOKUP(tables_504010!C46,input_504010!A:H,8,FALSE))</f>
        <v>282150</v>
      </c>
      <c r="P46" s="46">
        <f t="shared" ca="1" si="1"/>
        <v>4.5478723404240636E-3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input_504010!A$2</f>
        <v>504010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IFERROR(VLOOKUP(B47,input_504010!L:R,7,FALSE),VLOOKUP(tables_504010!C47,input_504010!A:H,8,FALSE))</f>
        <v>62700</v>
      </c>
      <c r="P47" s="46">
        <f t="shared" ca="1" si="1"/>
        <v>1.0106382978720143E-3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input_504010!A$2</f>
        <v>504010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IFERROR(VLOOKUP(B48,input_504010!L:R,7,FALSE),VLOOKUP(tables_504010!C48,input_504010!A:H,8,FALSE))</f>
        <v>282150</v>
      </c>
      <c r="P48" s="46">
        <f t="shared" ca="1" si="1"/>
        <v>4.5478723404240636E-3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input_504010!A$2</f>
        <v>504010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IFERROR(VLOOKUP(B49,input_504010!L:R,7,FALSE),VLOOKUP(tables_504010!C49,input_504010!A:H,8,FALSE))</f>
        <v>282150</v>
      </c>
      <c r="P49" s="46">
        <f t="shared" ca="1" si="1"/>
        <v>4.5478723404240636E-3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input_504010!A$2</f>
        <v>504010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IFERROR(VLOOKUP(B50,input_504010!L:R,7,FALSE),VLOOKUP(tables_504010!C50,input_504010!A:H,8,FALSE))</f>
        <v>62700</v>
      </c>
      <c r="P50" s="46">
        <f t="shared" ca="1" si="1"/>
        <v>1.0106382978720143E-3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input_504010!A$2</f>
        <v>504010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IFERROR(VLOOKUP(B51,input_504010!L:R,7,FALSE),VLOOKUP(tables_504010!C51,input_504010!A:H,8,FALSE))</f>
        <v>282150</v>
      </c>
      <c r="P51" s="46">
        <f t="shared" ca="1" si="1"/>
        <v>4.5478723404240636E-3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input_504010!A$2</f>
        <v>504010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IFERROR(VLOOKUP(B52,input_504010!L:R,7,FALSE),VLOOKUP(tables_504010!C52,input_504010!A:H,8,FALSE))</f>
        <v>258288.46153999999</v>
      </c>
      <c r="P52" s="46">
        <f t="shared" ca="1" si="1"/>
        <v>4.1632569558336012E-3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input_504010!A$2</f>
        <v>504010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IFERROR(VLOOKUP(B53,input_504010!L:R,7,FALSE),VLOOKUP(tables_504010!C53,input_504010!A:H,8,FALSE))</f>
        <v>45957.692309999999</v>
      </c>
      <c r="P53" s="46">
        <f t="shared" ca="1" si="1"/>
        <v>7.4077518230150163E-4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input_504010!A$2</f>
        <v>504010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IFERROR(VLOOKUP(B54,input_504010!L:R,7,FALSE),VLOOKUP(tables_504010!C54,input_504010!A:H,8,FALSE))</f>
        <v>282150</v>
      </c>
      <c r="P54" s="46">
        <f t="shared" ca="1" si="1"/>
        <v>4.5478723404240636E-3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input_504010!A$2</f>
        <v>504010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IFERROR(VLOOKUP(B55,input_504010!L:R,7,FALSE),VLOOKUP(tables_504010!C55,input_504010!A:H,8,FALSE))</f>
        <v>258288.46153999999</v>
      </c>
      <c r="P55" s="46">
        <f t="shared" ca="1" si="1"/>
        <v>4.1632569558336012E-3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input_504010!A$2</f>
        <v>504010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IFERROR(VLOOKUP(B56,input_504010!L:R,7,FALSE),VLOOKUP(tables_504010!C56,input_504010!A:H,8,FALSE))</f>
        <v>45957.692309999999</v>
      </c>
      <c r="P56" s="46">
        <f t="shared" ca="1" si="1"/>
        <v>7.4077518230150163E-4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input_504010!A$2</f>
        <v>504010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IFERROR(VLOOKUP(B57,input_504010!L:R,7,FALSE),VLOOKUP(tables_504010!C57,input_504010!A:H,8,FALSE))</f>
        <v>282150</v>
      </c>
      <c r="P57" s="46">
        <f t="shared" ca="1" si="1"/>
        <v>4.5478723404240636E-3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input_504010!A$2</f>
        <v>504010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IFERROR(VLOOKUP(B58,input_504010!L:R,7,FALSE),VLOOKUP(tables_504010!C58,input_504010!A:H,8,FALSE))</f>
        <v>258288.46153999999</v>
      </c>
      <c r="P58" s="46">
        <f t="shared" ca="1" si="1"/>
        <v>4.1632569558336012E-3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input_504010!A$2</f>
        <v>504010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IFERROR(VLOOKUP(B59,input_504010!L:R,7,FALSE),VLOOKUP(tables_504010!C59,input_504010!A:H,8,FALSE))</f>
        <v>45957.692309999999</v>
      </c>
      <c r="P59" s="46">
        <f t="shared" ca="1" si="1"/>
        <v>7.4077518230150163E-4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input_504010!A$2</f>
        <v>504010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IFERROR(VLOOKUP(B60,input_504010!L:R,7,FALSE),VLOOKUP(tables_504010!C60,input_504010!A:H,8,FALSE))</f>
        <v>282150</v>
      </c>
      <c r="P60" s="46">
        <f t="shared" ca="1" si="1"/>
        <v>4.5478723404240636E-3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input_504010!A$2</f>
        <v>504010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IFERROR(VLOOKUP(B61,input_504010!L:R,7,FALSE),VLOOKUP(tables_504010!C61,input_504010!A:H,8,FALSE))</f>
        <v>258288.46153999999</v>
      </c>
      <c r="P61" s="46">
        <f t="shared" ca="1" si="1"/>
        <v>4.1632569558336012E-3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input_504010!A$2</f>
        <v>504010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IFERROR(VLOOKUP(B62,input_504010!L:R,7,FALSE),VLOOKUP(tables_504010!C62,input_504010!A:H,8,FALSE))</f>
        <v>45957.692309999999</v>
      </c>
      <c r="P62" s="46">
        <f t="shared" ca="1" si="1"/>
        <v>7.4077518230150163E-4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input_504010!A$2</f>
        <v>504010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IFERROR(VLOOKUP(B63,input_504010!L:R,7,FALSE),VLOOKUP(tables_504010!C63,input_504010!A:H,8,FALSE))</f>
        <v>282150</v>
      </c>
      <c r="P63" s="46">
        <f t="shared" ca="1" si="1"/>
        <v>4.5478723404240636E-3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input_504010!A$2</f>
        <v>504010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IFERROR(VLOOKUP(B64,input_504010!L:R,7,FALSE),VLOOKUP(tables_504010!C64,input_504010!A:H,8,FALSE))</f>
        <v>258288.46153999999</v>
      </c>
      <c r="P64" s="46">
        <f t="shared" ca="1" si="1"/>
        <v>4.1632569558336012E-3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input_504010!A$2</f>
        <v>504010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IFERROR(VLOOKUP(B65,input_504010!L:R,7,FALSE),VLOOKUP(tables_504010!C65,input_504010!A:H,8,FALSE))</f>
        <v>45957.692309999999</v>
      </c>
      <c r="P65" s="46">
        <f t="shared" ca="1" si="1"/>
        <v>7.4077518230150163E-4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input_504010!A$2</f>
        <v>504010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IFERROR(VLOOKUP(B66,input_504010!L:R,7,FALSE),VLOOKUP(tables_504010!C66,input_504010!A:H,8,FALSE))</f>
        <v>282150</v>
      </c>
      <c r="P66" s="46">
        <f t="shared" ref="P66:P129" ca="1" si="4">O66/SUM(O:O)</f>
        <v>4.5478723404240636E-3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input_504010!A$2</f>
        <v>504010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IFERROR(VLOOKUP(B67,input_504010!L:R,7,FALSE),VLOOKUP(tables_504010!C67,input_504010!A:H,8,FALSE))</f>
        <v>258288.46153999999</v>
      </c>
      <c r="P67" s="46">
        <f t="shared" ca="1" si="4"/>
        <v>4.1632569558336012E-3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input_504010!A$2</f>
        <v>504010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IFERROR(VLOOKUP(B68,input_504010!L:R,7,FALSE),VLOOKUP(tables_504010!C68,input_504010!A:H,8,FALSE))</f>
        <v>45957.692309999999</v>
      </c>
      <c r="P68" s="46">
        <f t="shared" ca="1" si="4"/>
        <v>7.4077518230150163E-4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input_504010!A$2</f>
        <v>504010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IFERROR(VLOOKUP(B69,input_504010!L:R,7,FALSE),VLOOKUP(tables_504010!C69,input_504010!A:H,8,FALSE))</f>
        <v>282150</v>
      </c>
      <c r="P69" s="46">
        <f t="shared" ca="1" si="4"/>
        <v>4.5478723404240636E-3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input_504010!A$2</f>
        <v>504010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IFERROR(VLOOKUP(B70,input_504010!L:R,7,FALSE),VLOOKUP(tables_504010!C70,input_504010!A:H,8,FALSE))</f>
        <v>258288.46153999999</v>
      </c>
      <c r="P70" s="46">
        <f t="shared" ca="1" si="4"/>
        <v>4.1632569558336012E-3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input_504010!A$2</f>
        <v>504010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IFERROR(VLOOKUP(B71,input_504010!L:R,7,FALSE),VLOOKUP(tables_504010!C71,input_504010!A:H,8,FALSE))</f>
        <v>45957.692309999999</v>
      </c>
      <c r="P71" s="46">
        <f t="shared" ca="1" si="4"/>
        <v>7.4077518230150163E-4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input_504010!A$2</f>
        <v>504010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IFERROR(VLOOKUP(B72,input_504010!L:R,7,FALSE),VLOOKUP(tables_504010!C72,input_504010!A:H,8,FALSE))</f>
        <v>282150</v>
      </c>
      <c r="P72" s="46">
        <f t="shared" ca="1" si="4"/>
        <v>4.5478723404240636E-3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input_504010!A$2</f>
        <v>504010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IFERROR(VLOOKUP(B73,input_504010!L:R,7,FALSE),VLOOKUP(tables_504010!C73,input_504010!A:H,8,FALSE))</f>
        <v>258288.46153999999</v>
      </c>
      <c r="P73" s="46">
        <f t="shared" ca="1" si="4"/>
        <v>4.1632569558336012E-3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input_504010!A$2</f>
        <v>504010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IFERROR(VLOOKUP(B74,input_504010!L:R,7,FALSE),VLOOKUP(tables_504010!C74,input_504010!A:H,8,FALSE))</f>
        <v>45957.692309999999</v>
      </c>
      <c r="P74" s="46">
        <f t="shared" ca="1" si="4"/>
        <v>7.4077518230150163E-4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input_504010!A$2</f>
        <v>504010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IFERROR(VLOOKUP(B75,input_504010!L:R,7,FALSE),VLOOKUP(tables_504010!C75,input_504010!A:H,8,FALSE))</f>
        <v>282150</v>
      </c>
      <c r="P75" s="46">
        <f t="shared" ca="1" si="4"/>
        <v>4.5478723404240636E-3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input_504010!A$2</f>
        <v>504010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IFERROR(VLOOKUP(B76,input_504010!L:R,7,FALSE),VLOOKUP(tables_504010!C76,input_504010!A:H,8,FALSE))</f>
        <v>258288.46153999999</v>
      </c>
      <c r="P76" s="46">
        <f t="shared" ca="1" si="4"/>
        <v>4.1632569558336012E-3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input_504010!A$2</f>
        <v>504010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IFERROR(VLOOKUP(B77,input_504010!L:R,7,FALSE),VLOOKUP(tables_504010!C77,input_504010!A:H,8,FALSE))</f>
        <v>45957.692309999999</v>
      </c>
      <c r="P77" s="46">
        <f t="shared" ca="1" si="4"/>
        <v>7.4077518230150163E-4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input_504010!A$2</f>
        <v>504010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IFERROR(VLOOKUP(B78,input_504010!L:R,7,FALSE),VLOOKUP(tables_504010!C78,input_504010!A:H,8,FALSE))</f>
        <v>282150</v>
      </c>
      <c r="P78" s="46">
        <f t="shared" ca="1" si="4"/>
        <v>4.5478723404240636E-3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input_504010!A$2</f>
        <v>504010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IFERROR(VLOOKUP(B79,input_504010!L:R,7,FALSE),VLOOKUP(tables_504010!C79,input_504010!A:H,8,FALSE))</f>
        <v>258288.46153999999</v>
      </c>
      <c r="P79" s="46">
        <f t="shared" ca="1" si="4"/>
        <v>4.1632569558336012E-3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input_504010!A$2</f>
        <v>504010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IFERROR(VLOOKUP(B80,input_504010!L:R,7,FALSE),VLOOKUP(tables_504010!C80,input_504010!A:H,8,FALSE))</f>
        <v>45957.692309999999</v>
      </c>
      <c r="P80" s="46">
        <f t="shared" ca="1" si="4"/>
        <v>7.4077518230150163E-4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input_504010!A$2</f>
        <v>504010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IFERROR(VLOOKUP(B81,input_504010!L:R,7,FALSE),VLOOKUP(tables_504010!C81,input_504010!A:H,8,FALSE))</f>
        <v>282150</v>
      </c>
      <c r="P81" s="46">
        <f t="shared" ca="1" si="4"/>
        <v>4.5478723404240636E-3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input_504010!A$2</f>
        <v>504010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IFERROR(VLOOKUP(B82,input_504010!L:R,7,FALSE),VLOOKUP(tables_504010!C82,input_504010!A:H,8,FALSE))</f>
        <v>258288.46153999999</v>
      </c>
      <c r="P82" s="46">
        <f t="shared" ca="1" si="4"/>
        <v>4.1632569558336012E-3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input_504010!A$2</f>
        <v>504010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IFERROR(VLOOKUP(B83,input_504010!L:R,7,FALSE),VLOOKUP(tables_504010!C83,input_504010!A:H,8,FALSE))</f>
        <v>45957.692309999999</v>
      </c>
      <c r="P83" s="46">
        <f t="shared" ca="1" si="4"/>
        <v>7.4077518230150163E-4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input_504010!A$2</f>
        <v>504010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IFERROR(VLOOKUP(B84,input_504010!L:R,7,FALSE),VLOOKUP(tables_504010!C84,input_504010!A:H,8,FALSE))</f>
        <v>282150</v>
      </c>
      <c r="P84" s="46">
        <f t="shared" ca="1" si="4"/>
        <v>4.5478723404240636E-3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input_504010!A$2</f>
        <v>504010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IFERROR(VLOOKUP(B85,input_504010!L:R,7,FALSE),VLOOKUP(tables_504010!C85,input_504010!A:H,8,FALSE))</f>
        <v>258288.46153999999</v>
      </c>
      <c r="P85" s="46">
        <f t="shared" ca="1" si="4"/>
        <v>4.1632569558336012E-3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input_504010!A$2</f>
        <v>504010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IFERROR(VLOOKUP(B86,input_504010!L:R,7,FALSE),VLOOKUP(tables_504010!C86,input_504010!A:H,8,FALSE))</f>
        <v>45957.692309999999</v>
      </c>
      <c r="P86" s="46">
        <f t="shared" ca="1" si="4"/>
        <v>7.4077518230150163E-4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input_504010!A$2</f>
        <v>504010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IFERROR(VLOOKUP(B87,input_504010!L:R,7,FALSE),VLOOKUP(tables_504010!C87,input_504010!A:H,8,FALSE))</f>
        <v>282150</v>
      </c>
      <c r="P87" s="46">
        <f t="shared" ca="1" si="4"/>
        <v>4.5478723404240636E-3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input_504010!A$2</f>
        <v>504010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IFERROR(VLOOKUP(B88,input_504010!L:R,7,FALSE),VLOOKUP(tables_504010!C88,input_504010!A:H,8,FALSE))</f>
        <v>258288.46153999999</v>
      </c>
      <c r="P88" s="46">
        <f t="shared" ca="1" si="4"/>
        <v>4.1632569558336012E-3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input_504010!A$2</f>
        <v>504010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IFERROR(VLOOKUP(B89,input_504010!L:R,7,FALSE),VLOOKUP(tables_504010!C89,input_504010!A:H,8,FALSE))</f>
        <v>45957.692309999999</v>
      </c>
      <c r="P89" s="46">
        <f t="shared" ca="1" si="4"/>
        <v>7.4077518230150163E-4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input_504010!A$2</f>
        <v>504010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IFERROR(VLOOKUP(B90,input_504010!L:R,7,FALSE),VLOOKUP(tables_504010!C90,input_504010!A:H,8,FALSE))</f>
        <v>282150</v>
      </c>
      <c r="P90" s="46">
        <f t="shared" ca="1" si="4"/>
        <v>4.5478723404240636E-3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input_504010!A$2</f>
        <v>504010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IFERROR(VLOOKUP(B91,input_504010!L:R,7,FALSE),VLOOKUP(tables_504010!C91,input_504010!A:H,8,FALSE))</f>
        <v>258288.46153999999</v>
      </c>
      <c r="P91" s="46">
        <f t="shared" ca="1" si="4"/>
        <v>4.1632569558336012E-3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input_504010!A$2</f>
        <v>504010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IFERROR(VLOOKUP(B92,input_504010!L:R,7,FALSE),VLOOKUP(tables_504010!C92,input_504010!A:H,8,FALSE))</f>
        <v>45957.692309999999</v>
      </c>
      <c r="P92" s="46">
        <f t="shared" ca="1" si="4"/>
        <v>7.4077518230150163E-4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input_504010!A$2</f>
        <v>504010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IFERROR(VLOOKUP(B93,input_504010!L:R,7,FALSE),VLOOKUP(tables_504010!C93,input_504010!A:H,8,FALSE))</f>
        <v>282150</v>
      </c>
      <c r="P93" s="46">
        <f t="shared" ca="1" si="4"/>
        <v>4.5478723404240636E-3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input_504010!A$2</f>
        <v>504010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IFERROR(VLOOKUP(B94,input_504010!L:R,7,FALSE),VLOOKUP(tables_504010!C94,input_504010!A:H,8,FALSE))</f>
        <v>258288.46153999999</v>
      </c>
      <c r="P94" s="46">
        <f t="shared" ca="1" si="4"/>
        <v>4.1632569558336012E-3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input_504010!A$2</f>
        <v>504010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IFERROR(VLOOKUP(B95,input_504010!L:R,7,FALSE),VLOOKUP(tables_504010!C95,input_504010!A:H,8,FALSE))</f>
        <v>45957.692309999999</v>
      </c>
      <c r="P95" s="46">
        <f t="shared" ca="1" si="4"/>
        <v>7.4077518230150163E-4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input_504010!A$2</f>
        <v>504010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IFERROR(VLOOKUP(B96,input_504010!L:R,7,FALSE),VLOOKUP(tables_504010!C96,input_504010!A:H,8,FALSE))</f>
        <v>282150</v>
      </c>
      <c r="P96" s="46">
        <f t="shared" ca="1" si="4"/>
        <v>4.5478723404240636E-3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input_504010!A$2</f>
        <v>504010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IFERROR(VLOOKUP(B97,input_504010!L:R,7,FALSE),VLOOKUP(tables_504010!C97,input_504010!A:H,8,FALSE))</f>
        <v>258288.46153999999</v>
      </c>
      <c r="P97" s="46">
        <f t="shared" ca="1" si="4"/>
        <v>4.1632569558336012E-3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input_504010!A$2</f>
        <v>504010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IFERROR(VLOOKUP(B98,input_504010!L:R,7,FALSE),VLOOKUP(tables_504010!C98,input_504010!A:H,8,FALSE))</f>
        <v>45957.692309999999</v>
      </c>
      <c r="P98" s="46">
        <f t="shared" ca="1" si="4"/>
        <v>7.4077518230150163E-4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input_504010!A$2</f>
        <v>504010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IFERROR(VLOOKUP(B99,input_504010!L:R,7,FALSE),VLOOKUP(tables_504010!C99,input_504010!A:H,8,FALSE))</f>
        <v>282150</v>
      </c>
      <c r="P99" s="46">
        <f t="shared" ca="1" si="4"/>
        <v>4.5478723404240636E-3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input_504010!A$2</f>
        <v>504010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IFERROR(VLOOKUP(B100,input_504010!L:R,7,FALSE),VLOOKUP(tables_504010!C100,input_504010!A:H,8,FALSE))</f>
        <v>258288.46153999999</v>
      </c>
      <c r="P100" s="46">
        <f t="shared" ca="1" si="4"/>
        <v>4.1632569558336012E-3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input_504010!A$2</f>
        <v>504010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IFERROR(VLOOKUP(B101,input_504010!L:R,7,FALSE),VLOOKUP(tables_504010!C101,input_504010!A:H,8,FALSE))</f>
        <v>45957.692309999999</v>
      </c>
      <c r="P101" s="46">
        <f t="shared" ca="1" si="4"/>
        <v>7.4077518230150163E-4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input_504010!A$2</f>
        <v>504010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IFERROR(VLOOKUP(B102,input_504010!L:R,7,FALSE),VLOOKUP(tables_504010!C102,input_504010!A:H,8,FALSE))</f>
        <v>282150</v>
      </c>
      <c r="P102" s="46">
        <f t="shared" ca="1" si="4"/>
        <v>4.5478723404240636E-3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input_504010!A$2</f>
        <v>504010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IFERROR(VLOOKUP(B103,input_504010!L:R,7,FALSE),VLOOKUP(tables_504010!C103,input_504010!A:H,8,FALSE))</f>
        <v>258288.46153999999</v>
      </c>
      <c r="P103" s="46">
        <f t="shared" ca="1" si="4"/>
        <v>4.1632569558336012E-3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input_504010!A$2</f>
        <v>504010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IFERROR(VLOOKUP(B104,input_504010!L:R,7,FALSE),VLOOKUP(tables_504010!C104,input_504010!A:H,8,FALSE))</f>
        <v>45957.692309999999</v>
      </c>
      <c r="P104" s="46">
        <f t="shared" ca="1" si="4"/>
        <v>7.4077518230150163E-4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input_504010!A$2</f>
        <v>504010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IFERROR(VLOOKUP(B105,input_504010!L:R,7,FALSE),VLOOKUP(tables_504010!C105,input_504010!A:H,8,FALSE))</f>
        <v>282150</v>
      </c>
      <c r="P105" s="46">
        <f t="shared" ca="1" si="4"/>
        <v>4.5478723404240636E-3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input_504010!A$2</f>
        <v>504010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IFERROR(VLOOKUP(B106,input_504010!L:R,7,FALSE),VLOOKUP(tables_504010!C106,input_504010!A:H,8,FALSE))</f>
        <v>258288.46153999999</v>
      </c>
      <c r="P106" s="46">
        <f t="shared" ca="1" si="4"/>
        <v>4.1632569558336012E-3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input_504010!A$2</f>
        <v>504010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IFERROR(VLOOKUP(B107,input_504010!L:R,7,FALSE),VLOOKUP(tables_504010!C107,input_504010!A:H,8,FALSE))</f>
        <v>45957.692309999999</v>
      </c>
      <c r="P107" s="46">
        <f t="shared" ca="1" si="4"/>
        <v>7.4077518230150163E-4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input_504010!A$2</f>
        <v>504010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IFERROR(VLOOKUP(B108,input_504010!L:R,7,FALSE),VLOOKUP(tables_504010!C108,input_504010!A:H,8,FALSE))</f>
        <v>282150</v>
      </c>
      <c r="P108" s="46">
        <f t="shared" ca="1" si="4"/>
        <v>4.5478723404240636E-3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input_504010!A$2</f>
        <v>504010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IFERROR(VLOOKUP(B109,input_504010!L:R,7,FALSE),VLOOKUP(tables_504010!C109,input_504010!A:H,8,FALSE))</f>
        <v>258288.46153999999</v>
      </c>
      <c r="P109" s="46">
        <f t="shared" ca="1" si="4"/>
        <v>4.1632569558336012E-3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input_504010!A$2</f>
        <v>504010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IFERROR(VLOOKUP(B110,input_504010!L:R,7,FALSE),VLOOKUP(tables_504010!C110,input_504010!A:H,8,FALSE))</f>
        <v>45957.692309999999</v>
      </c>
      <c r="P110" s="46">
        <f t="shared" ca="1" si="4"/>
        <v>7.4077518230150163E-4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input_504010!A$2</f>
        <v>504010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IFERROR(VLOOKUP(B111,input_504010!L:R,7,FALSE),VLOOKUP(tables_504010!C111,input_504010!A:H,8,FALSE))</f>
        <v>282150</v>
      </c>
      <c r="P111" s="46">
        <f t="shared" ca="1" si="4"/>
        <v>4.5478723404240636E-3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input_504010!A$2</f>
        <v>504010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IFERROR(VLOOKUP(B112,input_504010!L:R,7,FALSE),VLOOKUP(tables_504010!C112,input_504010!A:H,8,FALSE))</f>
        <v>282150</v>
      </c>
      <c r="P112" s="46">
        <f t="shared" ca="1" si="4"/>
        <v>4.5478723404240636E-3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input_504010!A$2</f>
        <v>504010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IFERROR(VLOOKUP(B113,input_504010!L:R,7,FALSE),VLOOKUP(tables_504010!C113,input_504010!A:H,8,FALSE))</f>
        <v>62700</v>
      </c>
      <c r="P113" s="46">
        <f t="shared" ca="1" si="4"/>
        <v>1.0106382978720143E-3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input_504010!A$2</f>
        <v>504010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IFERROR(VLOOKUP(B114,input_504010!L:R,7,FALSE),VLOOKUP(tables_504010!C114,input_504010!A:H,8,FALSE))</f>
        <v>282150</v>
      </c>
      <c r="P114" s="46">
        <f t="shared" ca="1" si="4"/>
        <v>4.5478723404240636E-3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input_504010!A$2</f>
        <v>504010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IFERROR(VLOOKUP(B115,input_504010!L:R,7,FALSE),VLOOKUP(tables_504010!C115,input_504010!A:H,8,FALSE))</f>
        <v>258288.46153999999</v>
      </c>
      <c r="P115" s="46">
        <f t="shared" ca="1" si="4"/>
        <v>4.1632569558336012E-3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input_504010!A$2</f>
        <v>504010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IFERROR(VLOOKUP(B116,input_504010!L:R,7,FALSE),VLOOKUP(tables_504010!C116,input_504010!A:H,8,FALSE))</f>
        <v>45957.692309999999</v>
      </c>
      <c r="P116" s="46">
        <f t="shared" ca="1" si="4"/>
        <v>7.4077518230150163E-4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input_504010!A$2</f>
        <v>504010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IFERROR(VLOOKUP(B117,input_504010!L:R,7,FALSE),VLOOKUP(tables_504010!C117,input_504010!A:H,8,FALSE))</f>
        <v>282150</v>
      </c>
      <c r="P117" s="46">
        <f t="shared" ca="1" si="4"/>
        <v>4.5478723404240636E-3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input_504010!A$2</f>
        <v>504010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IFERROR(VLOOKUP(B118,input_504010!L:R,7,FALSE),VLOOKUP(tables_504010!C118,input_504010!A:H,8,FALSE))</f>
        <v>258288.46153999999</v>
      </c>
      <c r="P118" s="46">
        <f t="shared" ca="1" si="4"/>
        <v>4.1632569558336012E-3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input_504010!A$2</f>
        <v>504010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IFERROR(VLOOKUP(B119,input_504010!L:R,7,FALSE),VLOOKUP(tables_504010!C119,input_504010!A:H,8,FALSE))</f>
        <v>45957.692309999999</v>
      </c>
      <c r="P119" s="46">
        <f t="shared" ca="1" si="4"/>
        <v>7.4077518230150163E-4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input_504010!A$2</f>
        <v>504010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IFERROR(VLOOKUP(B120,input_504010!L:R,7,FALSE),VLOOKUP(tables_504010!C120,input_504010!A:H,8,FALSE))</f>
        <v>282150</v>
      </c>
      <c r="P120" s="46">
        <f t="shared" ca="1" si="4"/>
        <v>4.5478723404240636E-3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input_504010!A$2</f>
        <v>504010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IFERROR(VLOOKUP(B121,input_504010!L:R,7,FALSE),VLOOKUP(tables_504010!C121,input_504010!A:H,8,FALSE))</f>
        <v>258288.46153999999</v>
      </c>
      <c r="P121" s="46">
        <f t="shared" ca="1" si="4"/>
        <v>4.1632569558336012E-3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input_504010!A$2</f>
        <v>504010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IFERROR(VLOOKUP(B122,input_504010!L:R,7,FALSE),VLOOKUP(tables_504010!C122,input_504010!A:H,8,FALSE))</f>
        <v>45957.692309999999</v>
      </c>
      <c r="P122" s="46">
        <f t="shared" ca="1" si="4"/>
        <v>7.4077518230150163E-4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input_504010!A$2</f>
        <v>504010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IFERROR(VLOOKUP(B123,input_504010!L:R,7,FALSE),VLOOKUP(tables_504010!C123,input_504010!A:H,8,FALSE))</f>
        <v>282150</v>
      </c>
      <c r="P123" s="46">
        <f t="shared" ca="1" si="4"/>
        <v>4.5478723404240636E-3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input_504010!A$2</f>
        <v>504010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IFERROR(VLOOKUP(B124,input_504010!L:R,7,FALSE),VLOOKUP(tables_504010!C124,input_504010!A:H,8,FALSE))</f>
        <v>258288.46153999999</v>
      </c>
      <c r="P124" s="46">
        <f t="shared" ca="1" si="4"/>
        <v>4.1632569558336012E-3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input_504010!A$2</f>
        <v>504010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IFERROR(VLOOKUP(B125,input_504010!L:R,7,FALSE),VLOOKUP(tables_504010!C125,input_504010!A:H,8,FALSE))</f>
        <v>45957.692309999999</v>
      </c>
      <c r="P125" s="46">
        <f t="shared" ca="1" si="4"/>
        <v>7.4077518230150163E-4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input_504010!A$2</f>
        <v>504010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IFERROR(VLOOKUP(B126,input_504010!L:R,7,FALSE),VLOOKUP(tables_504010!C126,input_504010!A:H,8,FALSE))</f>
        <v>282150</v>
      </c>
      <c r="P126" s="46">
        <f t="shared" ca="1" si="4"/>
        <v>4.5478723404240636E-3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input_504010!A$2</f>
        <v>504010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IFERROR(VLOOKUP(B127,input_504010!L:R,7,FALSE),VLOOKUP(tables_504010!C127,input_504010!A:H,8,FALSE))</f>
        <v>258288.46153999999</v>
      </c>
      <c r="P127" s="46">
        <f t="shared" ca="1" si="4"/>
        <v>4.1632569558336012E-3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input_504010!A$2</f>
        <v>504010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IFERROR(VLOOKUP(B128,input_504010!L:R,7,FALSE),VLOOKUP(tables_504010!C128,input_504010!A:H,8,FALSE))</f>
        <v>45957.692309999999</v>
      </c>
      <c r="P128" s="46">
        <f t="shared" ca="1" si="4"/>
        <v>7.4077518230150163E-4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input_504010!A$2</f>
        <v>504010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IFERROR(VLOOKUP(B129,input_504010!L:R,7,FALSE),VLOOKUP(tables_504010!C129,input_504010!A:H,8,FALSE))</f>
        <v>282150</v>
      </c>
      <c r="P129" s="46">
        <f t="shared" ca="1" si="4"/>
        <v>4.5478723404240636E-3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input_504010!A$2</f>
        <v>504010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IFERROR(VLOOKUP(B130,input_504010!L:R,7,FALSE),VLOOKUP(tables_504010!C130,input_504010!A:H,8,FALSE))</f>
        <v>258288.46153999999</v>
      </c>
      <c r="P130" s="46">
        <f t="shared" ref="P130:P193" ca="1" si="7">O130/SUM(O:O)</f>
        <v>4.1632569558336012E-3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input_504010!A$2</f>
        <v>504010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IFERROR(VLOOKUP(B131,input_504010!L:R,7,FALSE),VLOOKUP(tables_504010!C131,input_504010!A:H,8,FALSE))</f>
        <v>45957.692309999999</v>
      </c>
      <c r="P131" s="46">
        <f t="shared" ca="1" si="7"/>
        <v>7.4077518230150163E-4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input_504010!A$2</f>
        <v>504010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IFERROR(VLOOKUP(B132,input_504010!L:R,7,FALSE),VLOOKUP(tables_504010!C132,input_504010!A:H,8,FALSE))</f>
        <v>282150</v>
      </c>
      <c r="P132" s="46">
        <f t="shared" ca="1" si="7"/>
        <v>4.5478723404240636E-3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input_504010!A$2</f>
        <v>504010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IFERROR(VLOOKUP(B133,input_504010!L:R,7,FALSE),VLOOKUP(tables_504010!C133,input_504010!A:H,8,FALSE))</f>
        <v>258288.46153999999</v>
      </c>
      <c r="P133" s="46">
        <f t="shared" ca="1" si="7"/>
        <v>4.1632569558336012E-3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input_504010!A$2</f>
        <v>504010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IFERROR(VLOOKUP(B134,input_504010!L:R,7,FALSE),VLOOKUP(tables_504010!C134,input_504010!A:H,8,FALSE))</f>
        <v>45957.692309999999</v>
      </c>
      <c r="P134" s="46">
        <f t="shared" ca="1" si="7"/>
        <v>7.4077518230150163E-4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input_504010!A$2</f>
        <v>504010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IFERROR(VLOOKUP(B135,input_504010!L:R,7,FALSE),VLOOKUP(tables_504010!C135,input_504010!A:H,8,FALSE))</f>
        <v>282150</v>
      </c>
      <c r="P135" s="46">
        <f t="shared" ca="1" si="7"/>
        <v>4.5478723404240636E-3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input_504010!A$2</f>
        <v>504010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IFERROR(VLOOKUP(B136,input_504010!L:R,7,FALSE),VLOOKUP(tables_504010!C136,input_504010!A:H,8,FALSE))</f>
        <v>258288.46153999999</v>
      </c>
      <c r="P136" s="46">
        <f t="shared" ca="1" si="7"/>
        <v>4.1632569558336012E-3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input_504010!A$2</f>
        <v>504010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IFERROR(VLOOKUP(B137,input_504010!L:R,7,FALSE),VLOOKUP(tables_504010!C137,input_504010!A:H,8,FALSE))</f>
        <v>45957.692309999999</v>
      </c>
      <c r="P137" s="46">
        <f t="shared" ca="1" si="7"/>
        <v>7.4077518230150163E-4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input_504010!A$2</f>
        <v>504010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IFERROR(VLOOKUP(B138,input_504010!L:R,7,FALSE),VLOOKUP(tables_504010!C138,input_504010!A:H,8,FALSE))</f>
        <v>15107.14286</v>
      </c>
      <c r="P138" s="46">
        <f t="shared" ca="1" si="7"/>
        <v>2.4350649355246812E-4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input_504010!A$2</f>
        <v>504010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IFERROR(VLOOKUP(B139,input_504010!L:R,7,FALSE),VLOOKUP(tables_504010!C139,input_504010!A:H,8,FALSE))</f>
        <v>940</v>
      </c>
      <c r="P139" s="46">
        <f t="shared" ca="1" si="7"/>
        <v>1.515151515151026E-5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input_504010!A$2</f>
        <v>504010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IFERROR(VLOOKUP(B140,input_504010!L:R,7,FALSE),VLOOKUP(tables_504010!C140,input_504010!A:H,8,FALSE))</f>
        <v>15107.14286</v>
      </c>
      <c r="P140" s="46">
        <f t="shared" ca="1" si="7"/>
        <v>2.4350649355246812E-4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input_504010!A$2</f>
        <v>504010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IFERROR(VLOOKUP(B141,input_504010!L:R,7,FALSE),VLOOKUP(tables_504010!C141,input_504010!A:H,8,FALSE))</f>
        <v>940</v>
      </c>
      <c r="P141" s="46">
        <f t="shared" ca="1" si="7"/>
        <v>1.515151515151026E-5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input_504010!A$2</f>
        <v>504010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IFERROR(VLOOKUP(B142,input_504010!L:R,7,FALSE),VLOOKUP(tables_504010!C142,input_504010!A:H,8,FALSE))</f>
        <v>15107.14286</v>
      </c>
      <c r="P142" s="46">
        <f t="shared" ca="1" si="7"/>
        <v>2.4350649355246812E-4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input_504010!A$2</f>
        <v>504010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IFERROR(VLOOKUP(B143,input_504010!L:R,7,FALSE),VLOOKUP(tables_504010!C143,input_504010!A:H,8,FALSE))</f>
        <v>940</v>
      </c>
      <c r="P143" s="46">
        <f t="shared" ca="1" si="7"/>
        <v>1.515151515151026E-5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input_504010!A$2</f>
        <v>504010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IFERROR(VLOOKUP(B144,input_504010!L:R,7,FALSE),VLOOKUP(tables_504010!C144,input_504010!A:H,8,FALSE))</f>
        <v>15107.14286</v>
      </c>
      <c r="P144" s="46">
        <f t="shared" ca="1" si="7"/>
        <v>2.4350649355246812E-4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input_504010!A$2</f>
        <v>504010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IFERROR(VLOOKUP(B145,input_504010!L:R,7,FALSE),VLOOKUP(tables_504010!C145,input_504010!A:H,8,FALSE))</f>
        <v>940</v>
      </c>
      <c r="P145" s="46">
        <f t="shared" ca="1" si="7"/>
        <v>1.515151515151026E-5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input_504010!A$2</f>
        <v>504010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IFERROR(VLOOKUP(B146,input_504010!L:R,7,FALSE),VLOOKUP(tables_504010!C146,input_504010!A:H,8,FALSE))</f>
        <v>282150</v>
      </c>
      <c r="P146" s="46">
        <f t="shared" ca="1" si="7"/>
        <v>4.5478723404240636E-3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input_504010!A$2</f>
        <v>504010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IFERROR(VLOOKUP(B147,input_504010!L:R,7,FALSE),VLOOKUP(tables_504010!C147,input_504010!A:H,8,FALSE))</f>
        <v>258288.46153999999</v>
      </c>
      <c r="P147" s="46">
        <f t="shared" ca="1" si="7"/>
        <v>4.1632569558336012E-3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input_504010!A$2</f>
        <v>504010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IFERROR(VLOOKUP(B148,input_504010!L:R,7,FALSE),VLOOKUP(tables_504010!C148,input_504010!A:H,8,FALSE))</f>
        <v>45957.692309999999</v>
      </c>
      <c r="P148" s="46">
        <f t="shared" ca="1" si="7"/>
        <v>7.4077518230150163E-4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input_504010!A$2</f>
        <v>504010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IFERROR(VLOOKUP(B149,input_504010!L:R,7,FALSE),VLOOKUP(tables_504010!C149,input_504010!A:H,8,FALSE))</f>
        <v>15107.14286</v>
      </c>
      <c r="P149" s="46">
        <f t="shared" ca="1" si="7"/>
        <v>2.4350649355246812E-4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input_504010!A$2</f>
        <v>504010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IFERROR(VLOOKUP(B150,input_504010!L:R,7,FALSE),VLOOKUP(tables_504010!C150,input_504010!A:H,8,FALSE))</f>
        <v>940</v>
      </c>
      <c r="P150" s="46">
        <f t="shared" ca="1" si="7"/>
        <v>1.515151515151026E-5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input_504010!A$2</f>
        <v>504010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IFERROR(VLOOKUP(B151,input_504010!L:R,7,FALSE),VLOOKUP(tables_504010!C151,input_504010!A:H,8,FALSE))</f>
        <v>15107.14286</v>
      </c>
      <c r="P151" s="46">
        <f t="shared" ca="1" si="7"/>
        <v>2.4350649355246812E-4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input_504010!A$2</f>
        <v>504010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IFERROR(VLOOKUP(B152,input_504010!L:R,7,FALSE),VLOOKUP(tables_504010!C152,input_504010!A:H,8,FALSE))</f>
        <v>940</v>
      </c>
      <c r="P152" s="46">
        <f t="shared" ca="1" si="7"/>
        <v>1.515151515151026E-5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input_504010!A$2</f>
        <v>504010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IFERROR(VLOOKUP(B153,input_504010!L:R,7,FALSE),VLOOKUP(tables_504010!C153,input_504010!A:H,8,FALSE))</f>
        <v>282150</v>
      </c>
      <c r="P153" s="46">
        <f t="shared" ca="1" si="7"/>
        <v>4.5478723404240636E-3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input_504010!A$2</f>
        <v>504010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IFERROR(VLOOKUP(B154,input_504010!L:R,7,FALSE),VLOOKUP(tables_504010!C154,input_504010!A:H,8,FALSE))</f>
        <v>258288.46153999999</v>
      </c>
      <c r="P154" s="46">
        <f t="shared" ca="1" si="7"/>
        <v>4.1632569558336012E-3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input_504010!A$2</f>
        <v>504010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IFERROR(VLOOKUP(B155,input_504010!L:R,7,FALSE),VLOOKUP(tables_504010!C155,input_504010!A:H,8,FALSE))</f>
        <v>45957.692309999999</v>
      </c>
      <c r="P155" s="46">
        <f t="shared" ca="1" si="7"/>
        <v>7.4077518230150163E-4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input_504010!A$2</f>
        <v>504010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IFERROR(VLOOKUP(B156,input_504010!L:R,7,FALSE),VLOOKUP(tables_504010!C156,input_504010!A:H,8,FALSE))</f>
        <v>15107.14286</v>
      </c>
      <c r="P156" s="46">
        <f t="shared" ca="1" si="7"/>
        <v>2.4350649355246812E-4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input_504010!A$2</f>
        <v>504010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IFERROR(VLOOKUP(B157,input_504010!L:R,7,FALSE),VLOOKUP(tables_504010!C157,input_504010!A:H,8,FALSE))</f>
        <v>940</v>
      </c>
      <c r="P157" s="46">
        <f t="shared" ca="1" si="7"/>
        <v>1.515151515151026E-5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input_504010!A$2</f>
        <v>504010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IFERROR(VLOOKUP(B158,input_504010!L:R,7,FALSE),VLOOKUP(tables_504010!C158,input_504010!A:H,8,FALSE))</f>
        <v>282150</v>
      </c>
      <c r="P158" s="46">
        <f t="shared" ca="1" si="7"/>
        <v>4.5478723404240636E-3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input_504010!A$2</f>
        <v>504010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IFERROR(VLOOKUP(B159,input_504010!L:R,7,FALSE),VLOOKUP(tables_504010!C159,input_504010!A:H,8,FALSE))</f>
        <v>258288.46153999999</v>
      </c>
      <c r="P159" s="46">
        <f t="shared" ca="1" si="7"/>
        <v>4.1632569558336012E-3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input_504010!A$2</f>
        <v>504010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IFERROR(VLOOKUP(B160,input_504010!L:R,7,FALSE),VLOOKUP(tables_504010!C160,input_504010!A:H,8,FALSE))</f>
        <v>45957.692309999999</v>
      </c>
      <c r="P160" s="46">
        <f t="shared" ca="1" si="7"/>
        <v>7.4077518230150163E-4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input_504010!A$2</f>
        <v>504010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IFERROR(VLOOKUP(B161,input_504010!L:R,7,FALSE),VLOOKUP(tables_504010!C161,input_504010!A:H,8,FALSE))</f>
        <v>282150</v>
      </c>
      <c r="P161" s="46">
        <f t="shared" ca="1" si="7"/>
        <v>4.5478723404240636E-3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input_504010!A$2</f>
        <v>504010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IFERROR(VLOOKUP(B162,input_504010!L:R,7,FALSE),VLOOKUP(tables_504010!C162,input_504010!A:H,8,FALSE))</f>
        <v>258288.46153999999</v>
      </c>
      <c r="P162" s="46">
        <f t="shared" ca="1" si="7"/>
        <v>4.1632569558336012E-3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input_504010!A$2</f>
        <v>504010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IFERROR(VLOOKUP(B163,input_504010!L:R,7,FALSE),VLOOKUP(tables_504010!C163,input_504010!A:H,8,FALSE))</f>
        <v>45957.692309999999</v>
      </c>
      <c r="P163" s="46">
        <f t="shared" ca="1" si="7"/>
        <v>7.4077518230150163E-4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input_504010!A$2</f>
        <v>504010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IFERROR(VLOOKUP(B164,input_504010!L:R,7,FALSE),VLOOKUP(tables_504010!C164,input_504010!A:H,8,FALSE))</f>
        <v>15107.14286</v>
      </c>
      <c r="P164" s="46">
        <f t="shared" ca="1" si="7"/>
        <v>2.4350649355246812E-4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input_504010!A$2</f>
        <v>504010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IFERROR(VLOOKUP(B165,input_504010!L:R,7,FALSE),VLOOKUP(tables_504010!C165,input_504010!A:H,8,FALSE))</f>
        <v>940</v>
      </c>
      <c r="P165" s="46">
        <f t="shared" ca="1" si="7"/>
        <v>1.515151515151026E-5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input_504010!A$2</f>
        <v>504010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IFERROR(VLOOKUP(B166,input_504010!L:R,7,FALSE),VLOOKUP(tables_504010!C166,input_504010!A:H,8,FALSE))</f>
        <v>282150</v>
      </c>
      <c r="P166" s="46">
        <f t="shared" ca="1" si="7"/>
        <v>4.5478723404240636E-3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input_504010!A$2</f>
        <v>504010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IFERROR(VLOOKUP(B167,input_504010!L:R,7,FALSE),VLOOKUP(tables_504010!C167,input_504010!A:H,8,FALSE))</f>
        <v>258288.46153999999</v>
      </c>
      <c r="P167" s="46">
        <f t="shared" ca="1" si="7"/>
        <v>4.1632569558336012E-3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input_504010!A$2</f>
        <v>504010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IFERROR(VLOOKUP(B168,input_504010!L:R,7,FALSE),VLOOKUP(tables_504010!C168,input_504010!A:H,8,FALSE))</f>
        <v>45957.692309999999</v>
      </c>
      <c r="P168" s="46">
        <f t="shared" ca="1" si="7"/>
        <v>7.4077518230150163E-4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input_504010!A$2</f>
        <v>504010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IFERROR(VLOOKUP(B169,input_504010!L:R,7,FALSE),VLOOKUP(tables_504010!C169,input_504010!A:H,8,FALSE))</f>
        <v>15107.14286</v>
      </c>
      <c r="P169" s="46">
        <f t="shared" ca="1" si="7"/>
        <v>2.4350649355246812E-4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input_504010!A$2</f>
        <v>504010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IFERROR(VLOOKUP(B170,input_504010!L:R,7,FALSE),VLOOKUP(tables_504010!C170,input_504010!A:H,8,FALSE))</f>
        <v>940</v>
      </c>
      <c r="P170" s="46">
        <f t="shared" ca="1" si="7"/>
        <v>1.515151515151026E-5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input_504010!A$2</f>
        <v>504010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IFERROR(VLOOKUP(B171,input_504010!L:R,7,FALSE),VLOOKUP(tables_504010!C171,input_504010!A:H,8,FALSE))</f>
        <v>282150</v>
      </c>
      <c r="P171" s="46">
        <f t="shared" ca="1" si="7"/>
        <v>4.5478723404240636E-3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input_504010!A$2</f>
        <v>504010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IFERROR(VLOOKUP(B172,input_504010!L:R,7,FALSE),VLOOKUP(tables_504010!C172,input_504010!A:H,8,FALSE))</f>
        <v>258288.46153999999</v>
      </c>
      <c r="P172" s="46">
        <f t="shared" ca="1" si="7"/>
        <v>4.1632569558336012E-3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input_504010!A$2</f>
        <v>504010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IFERROR(VLOOKUP(B173,input_504010!L:R,7,FALSE),VLOOKUP(tables_504010!C173,input_504010!A:H,8,FALSE))</f>
        <v>45957.692309999999</v>
      </c>
      <c r="P173" s="46">
        <f t="shared" ca="1" si="7"/>
        <v>7.4077518230150163E-4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input_504010!A$2</f>
        <v>504010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IFERROR(VLOOKUP(B174,input_504010!L:R,7,FALSE),VLOOKUP(tables_504010!C174,input_504010!A:H,8,FALSE))</f>
        <v>15107.14286</v>
      </c>
      <c r="P174" s="46">
        <f t="shared" ca="1" si="7"/>
        <v>2.4350649355246812E-4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input_504010!A$2</f>
        <v>504010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IFERROR(VLOOKUP(B175,input_504010!L:R,7,FALSE),VLOOKUP(tables_504010!C175,input_504010!A:H,8,FALSE))</f>
        <v>940</v>
      </c>
      <c r="P175" s="46">
        <f t="shared" ca="1" si="7"/>
        <v>1.515151515151026E-5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input_504010!A$2</f>
        <v>504010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IFERROR(VLOOKUP(B176,input_504010!L:R,7,FALSE),VLOOKUP(tables_504010!C176,input_504010!A:H,8,FALSE))</f>
        <v>15107.14286</v>
      </c>
      <c r="P176" s="46">
        <f t="shared" ca="1" si="7"/>
        <v>2.4350649355246812E-4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input_504010!A$2</f>
        <v>504010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IFERROR(VLOOKUP(B177,input_504010!L:R,7,FALSE),VLOOKUP(tables_504010!C177,input_504010!A:H,8,FALSE))</f>
        <v>940</v>
      </c>
      <c r="P177" s="46">
        <f t="shared" ca="1" si="7"/>
        <v>1.515151515151026E-5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input_504010!A$2</f>
        <v>504010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IFERROR(VLOOKUP(B178,input_504010!L:R,7,FALSE),VLOOKUP(tables_504010!C178,input_504010!A:H,8,FALSE))</f>
        <v>282150</v>
      </c>
      <c r="P178" s="46">
        <f t="shared" ca="1" si="7"/>
        <v>4.5478723404240636E-3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input_504010!A$2</f>
        <v>504010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IFERROR(VLOOKUP(B179,input_504010!L:R,7,FALSE),VLOOKUP(tables_504010!C179,input_504010!A:H,8,FALSE))</f>
        <v>258288.46153999999</v>
      </c>
      <c r="P179" s="46">
        <f t="shared" ca="1" si="7"/>
        <v>4.1632569558336012E-3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input_504010!A$2</f>
        <v>504010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IFERROR(VLOOKUP(B180,input_504010!L:R,7,FALSE),VLOOKUP(tables_504010!C180,input_504010!A:H,8,FALSE))</f>
        <v>45957.692309999999</v>
      </c>
      <c r="P180" s="46">
        <f t="shared" ca="1" si="7"/>
        <v>7.4077518230150163E-4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input_504010!A$2</f>
        <v>504010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IFERROR(VLOOKUP(B181,input_504010!L:R,7,FALSE),VLOOKUP(tables_504010!C181,input_504010!A:H,8,FALSE))</f>
        <v>282150</v>
      </c>
      <c r="P181" s="46">
        <f t="shared" ca="1" si="7"/>
        <v>4.5478723404240636E-3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input_504010!A$2</f>
        <v>504010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IFERROR(VLOOKUP(B182,input_504010!L:R,7,FALSE),VLOOKUP(tables_504010!C182,input_504010!A:H,8,FALSE))</f>
        <v>258288.46153999999</v>
      </c>
      <c r="P182" s="46">
        <f t="shared" ca="1" si="7"/>
        <v>4.1632569558336012E-3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input_504010!A$2</f>
        <v>504010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IFERROR(VLOOKUP(B183,input_504010!L:R,7,FALSE),VLOOKUP(tables_504010!C183,input_504010!A:H,8,FALSE))</f>
        <v>45957.692309999999</v>
      </c>
      <c r="P183" s="46">
        <f t="shared" ca="1" si="7"/>
        <v>7.4077518230150163E-4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input_504010!A$2</f>
        <v>504010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IFERROR(VLOOKUP(B184,input_504010!L:R,7,FALSE),VLOOKUP(tables_504010!C184,input_504010!A:H,8,FALSE))</f>
        <v>15107.14286</v>
      </c>
      <c r="P184" s="46">
        <f t="shared" ca="1" si="7"/>
        <v>2.4350649355246812E-4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input_504010!A$2</f>
        <v>504010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IFERROR(VLOOKUP(B185,input_504010!L:R,7,FALSE),VLOOKUP(tables_504010!C185,input_504010!A:H,8,FALSE))</f>
        <v>940</v>
      </c>
      <c r="P185" s="46">
        <f t="shared" ca="1" si="7"/>
        <v>1.515151515151026E-5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input_504010!A$2</f>
        <v>504010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IFERROR(VLOOKUP(B186,input_504010!L:R,7,FALSE),VLOOKUP(tables_504010!C186,input_504010!A:H,8,FALSE))</f>
        <v>282150</v>
      </c>
      <c r="P186" s="46">
        <f t="shared" ca="1" si="7"/>
        <v>4.5478723404240636E-3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input_504010!A$2</f>
        <v>504010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IFERROR(VLOOKUP(B187,input_504010!L:R,7,FALSE),VLOOKUP(tables_504010!C187,input_504010!A:H,8,FALSE))</f>
        <v>258288.46153999999</v>
      </c>
      <c r="P187" s="46">
        <f t="shared" ca="1" si="7"/>
        <v>4.1632569558336012E-3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input_504010!A$2</f>
        <v>504010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IFERROR(VLOOKUP(B188,input_504010!L:R,7,FALSE),VLOOKUP(tables_504010!C188,input_504010!A:H,8,FALSE))</f>
        <v>45957.692309999999</v>
      </c>
      <c r="P188" s="46">
        <f t="shared" ca="1" si="7"/>
        <v>7.4077518230150163E-4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input_504010!A$2</f>
        <v>504010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IFERROR(VLOOKUP(B189,input_504010!L:R,7,FALSE),VLOOKUP(tables_504010!C189,input_504010!A:H,8,FALSE))</f>
        <v>15107.14286</v>
      </c>
      <c r="P189" s="46">
        <f t="shared" ca="1" si="7"/>
        <v>2.4350649355246812E-4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input_504010!A$2</f>
        <v>504010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IFERROR(VLOOKUP(B190,input_504010!L:R,7,FALSE),VLOOKUP(tables_504010!C190,input_504010!A:H,8,FALSE))</f>
        <v>940</v>
      </c>
      <c r="P190" s="46">
        <f t="shared" ca="1" si="7"/>
        <v>1.515151515151026E-5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input_504010!A$2</f>
        <v>504010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IFERROR(VLOOKUP(B191,input_504010!L:R,7,FALSE),VLOOKUP(tables_504010!C191,input_504010!A:H,8,FALSE))</f>
        <v>15107.14286</v>
      </c>
      <c r="P191" s="46">
        <f t="shared" ca="1" si="7"/>
        <v>2.4350649355246812E-4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input_504010!A$2</f>
        <v>504010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IFERROR(VLOOKUP(B192,input_504010!L:R,7,FALSE),VLOOKUP(tables_504010!C192,input_504010!A:H,8,FALSE))</f>
        <v>940</v>
      </c>
      <c r="P192" s="46">
        <f t="shared" ca="1" si="7"/>
        <v>1.515151515151026E-5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input_504010!A$2</f>
        <v>504010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IFERROR(VLOOKUP(B193,input_504010!L:R,7,FALSE),VLOOKUP(tables_504010!C193,input_504010!A:H,8,FALSE))</f>
        <v>282150</v>
      </c>
      <c r="P193" s="46">
        <f t="shared" ca="1" si="7"/>
        <v>4.5478723404240636E-3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input_504010!A$2</f>
        <v>504010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IFERROR(VLOOKUP(B194,input_504010!L:R,7,FALSE),VLOOKUP(tables_504010!C194,input_504010!A:H,8,FALSE))</f>
        <v>258288.46153999999</v>
      </c>
      <c r="P194" s="46">
        <f t="shared" ref="P194:P257" ca="1" si="10">O194/SUM(O:O)</f>
        <v>4.1632569558336012E-3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input_504010!A$2</f>
        <v>504010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IFERROR(VLOOKUP(B195,input_504010!L:R,7,FALSE),VLOOKUP(tables_504010!C195,input_504010!A:H,8,FALSE))</f>
        <v>45957.692309999999</v>
      </c>
      <c r="P195" s="46">
        <f t="shared" ca="1" si="10"/>
        <v>7.4077518230150163E-4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input_504010!A$2</f>
        <v>504010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IFERROR(VLOOKUP(B196,input_504010!L:R,7,FALSE),VLOOKUP(tables_504010!C196,input_504010!A:H,8,FALSE))</f>
        <v>15107.14286</v>
      </c>
      <c r="P196" s="46">
        <f t="shared" ca="1" si="10"/>
        <v>2.4350649355246812E-4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input_504010!A$2</f>
        <v>504010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IFERROR(VLOOKUP(B197,input_504010!L:R,7,FALSE),VLOOKUP(tables_504010!C197,input_504010!A:H,8,FALSE))</f>
        <v>940</v>
      </c>
      <c r="P197" s="46">
        <f t="shared" ca="1" si="10"/>
        <v>1.515151515151026E-5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input_504010!A$2</f>
        <v>504010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IFERROR(VLOOKUP(B198,input_504010!L:R,7,FALSE),VLOOKUP(tables_504010!C198,input_504010!A:H,8,FALSE))</f>
        <v>282150</v>
      </c>
      <c r="P198" s="46">
        <f t="shared" ca="1" si="10"/>
        <v>4.5478723404240636E-3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input_504010!A$2</f>
        <v>504010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IFERROR(VLOOKUP(B199,input_504010!L:R,7,FALSE),VLOOKUP(tables_504010!C199,input_504010!A:H,8,FALSE))</f>
        <v>258288.46153999999</v>
      </c>
      <c r="P199" s="46">
        <f t="shared" ca="1" si="10"/>
        <v>4.1632569558336012E-3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input_504010!A$2</f>
        <v>504010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IFERROR(VLOOKUP(B200,input_504010!L:R,7,FALSE),VLOOKUP(tables_504010!C200,input_504010!A:H,8,FALSE))</f>
        <v>45957.692309999999</v>
      </c>
      <c r="P200" s="46">
        <f t="shared" ca="1" si="10"/>
        <v>7.4077518230150163E-4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input_504010!A$2</f>
        <v>504010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IFERROR(VLOOKUP(B201,input_504010!L:R,7,FALSE),VLOOKUP(tables_504010!C201,input_504010!A:H,8,FALSE))</f>
        <v>15107.14286</v>
      </c>
      <c r="P201" s="46">
        <f t="shared" ca="1" si="10"/>
        <v>2.4350649355246812E-4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input_504010!A$2</f>
        <v>504010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IFERROR(VLOOKUP(B202,input_504010!L:R,7,FALSE),VLOOKUP(tables_504010!C202,input_504010!A:H,8,FALSE))</f>
        <v>940</v>
      </c>
      <c r="P202" s="46">
        <f t="shared" ca="1" si="10"/>
        <v>1.515151515151026E-5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input_504010!A$2</f>
        <v>504010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IFERROR(VLOOKUP(B203,input_504010!L:R,7,FALSE),VLOOKUP(tables_504010!C203,input_504010!A:H,8,FALSE))</f>
        <v>282150</v>
      </c>
      <c r="P203" s="46">
        <f t="shared" ca="1" si="10"/>
        <v>4.5478723404240636E-3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input_504010!A$2</f>
        <v>504010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IFERROR(VLOOKUP(B204,input_504010!L:R,7,FALSE),VLOOKUP(tables_504010!C204,input_504010!A:H,8,FALSE))</f>
        <v>258288.46153999999</v>
      </c>
      <c r="P204" s="46">
        <f t="shared" ca="1" si="10"/>
        <v>4.1632569558336012E-3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input_504010!A$2</f>
        <v>504010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IFERROR(VLOOKUP(B205,input_504010!L:R,7,FALSE),VLOOKUP(tables_504010!C205,input_504010!A:H,8,FALSE))</f>
        <v>45957.692309999999</v>
      </c>
      <c r="P205" s="46">
        <f t="shared" ca="1" si="10"/>
        <v>7.4077518230150163E-4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input_504010!A$2</f>
        <v>504010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IFERROR(VLOOKUP(B206,input_504010!L:R,7,FALSE),VLOOKUP(tables_504010!C206,input_504010!A:H,8,FALSE))</f>
        <v>15107.14286</v>
      </c>
      <c r="P206" s="46">
        <f t="shared" ca="1" si="10"/>
        <v>2.4350649355246812E-4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input_504010!A$2</f>
        <v>504010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IFERROR(VLOOKUP(B207,input_504010!L:R,7,FALSE),VLOOKUP(tables_504010!C207,input_504010!A:H,8,FALSE))</f>
        <v>940</v>
      </c>
      <c r="P207" s="46">
        <f t="shared" ca="1" si="10"/>
        <v>1.515151515151026E-5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input_504010!A$2</f>
        <v>504010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IFERROR(VLOOKUP(B208,input_504010!L:R,7,FALSE),VLOOKUP(tables_504010!C208,input_504010!A:H,8,FALSE))</f>
        <v>15107.14286</v>
      </c>
      <c r="P208" s="46">
        <f t="shared" ca="1" si="10"/>
        <v>2.4350649355246812E-4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input_504010!A$2</f>
        <v>504010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IFERROR(VLOOKUP(B209,input_504010!L:R,7,FALSE),VLOOKUP(tables_504010!C209,input_504010!A:H,8,FALSE))</f>
        <v>940</v>
      </c>
      <c r="P209" s="46">
        <f t="shared" ca="1" si="10"/>
        <v>1.515151515151026E-5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input_504010!A$2</f>
        <v>504010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IFERROR(VLOOKUP(B210,input_504010!L:R,7,FALSE),VLOOKUP(tables_504010!C210,input_504010!A:H,8,FALSE))</f>
        <v>282150</v>
      </c>
      <c r="P210" s="46">
        <f t="shared" ca="1" si="10"/>
        <v>4.5478723404240636E-3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input_504010!A$2</f>
        <v>504010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IFERROR(VLOOKUP(B211,input_504010!L:R,7,FALSE),VLOOKUP(tables_504010!C211,input_504010!A:H,8,FALSE))</f>
        <v>258288.46153999999</v>
      </c>
      <c r="P211" s="46">
        <f t="shared" ca="1" si="10"/>
        <v>4.1632569558336012E-3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input_504010!A$2</f>
        <v>504010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IFERROR(VLOOKUP(B212,input_504010!L:R,7,FALSE),VLOOKUP(tables_504010!C212,input_504010!A:H,8,FALSE))</f>
        <v>45957.692309999999</v>
      </c>
      <c r="P212" s="46">
        <f t="shared" ca="1" si="10"/>
        <v>7.4077518230150163E-4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input_504010!A$2</f>
        <v>504010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IFERROR(VLOOKUP(B213,input_504010!L:R,7,FALSE),VLOOKUP(tables_504010!C213,input_504010!A:H,8,FALSE))</f>
        <v>15107.14286</v>
      </c>
      <c r="P213" s="46">
        <f t="shared" ca="1" si="10"/>
        <v>2.4350649355246812E-4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input_504010!A$2</f>
        <v>504010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IFERROR(VLOOKUP(B214,input_504010!L:R,7,FALSE),VLOOKUP(tables_504010!C214,input_504010!A:H,8,FALSE))</f>
        <v>940</v>
      </c>
      <c r="P214" s="46">
        <f t="shared" ca="1" si="10"/>
        <v>1.515151515151026E-5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input_504010!A$2</f>
        <v>504010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IFERROR(VLOOKUP(B215,input_504010!L:R,7,FALSE),VLOOKUP(tables_504010!C215,input_504010!A:H,8,FALSE))</f>
        <v>36850</v>
      </c>
      <c r="P215" s="46">
        <f t="shared" ca="1" si="10"/>
        <v>5.9397163120548198E-4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input_504010!A$2</f>
        <v>504010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IFERROR(VLOOKUP(B216,input_504010!L:R,7,FALSE),VLOOKUP(tables_504010!C216,input_504010!A:H,8,FALSE))</f>
        <v>36850</v>
      </c>
      <c r="P216" s="46">
        <f t="shared" ca="1" si="10"/>
        <v>5.9397163120548198E-4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input_504010!A$2</f>
        <v>504010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IFERROR(VLOOKUP(B217,input_504010!L:R,7,FALSE),VLOOKUP(tables_504010!C217,input_504010!A:H,8,FALSE))</f>
        <v>36850</v>
      </c>
      <c r="P217" s="46">
        <f t="shared" ca="1" si="10"/>
        <v>5.9397163120548198E-4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input_504010!A$2</f>
        <v>504010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IFERROR(VLOOKUP(B218,input_504010!L:R,7,FALSE),VLOOKUP(tables_504010!C218,input_504010!A:H,8,FALSE))</f>
        <v>36850</v>
      </c>
      <c r="P218" s="46">
        <f t="shared" ca="1" si="10"/>
        <v>5.9397163120548198E-4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input_504010!A$2</f>
        <v>504010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IFERROR(VLOOKUP(B219,input_504010!L:R,7,FALSE),VLOOKUP(tables_504010!C219,input_504010!A:H,8,FALSE))</f>
        <v>36850</v>
      </c>
      <c r="P219" s="46">
        <f t="shared" ca="1" si="10"/>
        <v>5.9397163120548198E-4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input_504010!A$2</f>
        <v>504010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IFERROR(VLOOKUP(B220,input_504010!L:R,7,FALSE),VLOOKUP(tables_504010!C220,input_504010!A:H,8,FALSE))</f>
        <v>36850</v>
      </c>
      <c r="P220" s="46">
        <f t="shared" ca="1" si="10"/>
        <v>5.9397163120548198E-4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input_504010!A$2</f>
        <v>504010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IFERROR(VLOOKUP(B221,input_504010!L:R,7,FALSE),VLOOKUP(tables_504010!C221,input_504010!A:H,8,FALSE))</f>
        <v>15107.14286</v>
      </c>
      <c r="P221" s="46">
        <f t="shared" ca="1" si="10"/>
        <v>2.4350649355246812E-4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input_504010!A$2</f>
        <v>504010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IFERROR(VLOOKUP(B222,input_504010!L:R,7,FALSE),VLOOKUP(tables_504010!C222,input_504010!A:H,8,FALSE))</f>
        <v>940</v>
      </c>
      <c r="P222" s="46">
        <f t="shared" ca="1" si="10"/>
        <v>1.515151515151026E-5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input_504010!A$2</f>
        <v>504010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IFERROR(VLOOKUP(B223,input_504010!L:R,7,FALSE),VLOOKUP(tables_504010!C223,input_504010!A:H,8,FALSE))</f>
        <v>282150</v>
      </c>
      <c r="P223" s="46">
        <f t="shared" ca="1" si="10"/>
        <v>4.5478723404240636E-3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input_504010!A$2</f>
        <v>504010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IFERROR(VLOOKUP(B224,input_504010!L:R,7,FALSE),VLOOKUP(tables_504010!C224,input_504010!A:H,8,FALSE))</f>
        <v>258288.46153999999</v>
      </c>
      <c r="P224" s="46">
        <f t="shared" ca="1" si="10"/>
        <v>4.1632569558336012E-3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input_504010!A$2</f>
        <v>504010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IFERROR(VLOOKUP(B225,input_504010!L:R,7,FALSE),VLOOKUP(tables_504010!C225,input_504010!A:H,8,FALSE))</f>
        <v>45957.692309999999</v>
      </c>
      <c r="P225" s="46">
        <f t="shared" ca="1" si="10"/>
        <v>7.4077518230150163E-4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input_504010!A$2</f>
        <v>504010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IFERROR(VLOOKUP(B226,input_504010!L:R,7,FALSE),VLOOKUP(tables_504010!C226,input_504010!A:H,8,FALSE))</f>
        <v>282150</v>
      </c>
      <c r="P226" s="46">
        <f t="shared" ca="1" si="10"/>
        <v>4.5478723404240636E-3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input_504010!A$2</f>
        <v>504010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IFERROR(VLOOKUP(B227,input_504010!L:R,7,FALSE),VLOOKUP(tables_504010!C227,input_504010!A:H,8,FALSE))</f>
        <v>258288.46153999999</v>
      </c>
      <c r="P227" s="46">
        <f t="shared" ca="1" si="10"/>
        <v>4.1632569558336012E-3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input_504010!A$2</f>
        <v>504010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IFERROR(VLOOKUP(B228,input_504010!L:R,7,FALSE),VLOOKUP(tables_504010!C228,input_504010!A:H,8,FALSE))</f>
        <v>45957.692309999999</v>
      </c>
      <c r="P228" s="46">
        <f t="shared" ca="1" si="10"/>
        <v>7.4077518230150163E-4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input_504010!A$2</f>
        <v>504010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IFERROR(VLOOKUP(B229,input_504010!L:R,7,FALSE),VLOOKUP(tables_504010!C229,input_504010!A:H,8,FALSE))</f>
        <v>15107.14286</v>
      </c>
      <c r="P229" s="46">
        <f t="shared" ca="1" si="10"/>
        <v>2.4350649355246812E-4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input_504010!A$2</f>
        <v>504010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IFERROR(VLOOKUP(B230,input_504010!L:R,7,FALSE),VLOOKUP(tables_504010!C230,input_504010!A:H,8,FALSE))</f>
        <v>940</v>
      </c>
      <c r="P230" s="46">
        <f t="shared" ca="1" si="10"/>
        <v>1.515151515151026E-5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input_504010!A$2</f>
        <v>504010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IFERROR(VLOOKUP(B231,input_504010!L:R,7,FALSE),VLOOKUP(tables_504010!C231,input_504010!A:H,8,FALSE))</f>
        <v>282150</v>
      </c>
      <c r="P231" s="46">
        <f t="shared" ca="1" si="10"/>
        <v>4.5478723404240636E-3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input_504010!A$2</f>
        <v>504010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IFERROR(VLOOKUP(B232,input_504010!L:R,7,FALSE),VLOOKUP(tables_504010!C232,input_504010!A:H,8,FALSE))</f>
        <v>258288.46153999999</v>
      </c>
      <c r="P232" s="46">
        <f t="shared" ca="1" si="10"/>
        <v>4.1632569558336012E-3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input_504010!A$2</f>
        <v>504010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IFERROR(VLOOKUP(B233,input_504010!L:R,7,FALSE),VLOOKUP(tables_504010!C233,input_504010!A:H,8,FALSE))</f>
        <v>45957.692309999999</v>
      </c>
      <c r="P233" s="46">
        <f t="shared" ca="1" si="10"/>
        <v>7.4077518230150163E-4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input_504010!A$2</f>
        <v>504010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IFERROR(VLOOKUP(B234,input_504010!L:R,7,FALSE),VLOOKUP(tables_504010!C234,input_504010!A:H,8,FALSE))</f>
        <v>282150</v>
      </c>
      <c r="P234" s="46">
        <f t="shared" ca="1" si="10"/>
        <v>4.5478723404240636E-3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input_504010!A$2</f>
        <v>504010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IFERROR(VLOOKUP(B235,input_504010!L:R,7,FALSE),VLOOKUP(tables_504010!C235,input_504010!A:H,8,FALSE))</f>
        <v>258288.46153999999</v>
      </c>
      <c r="P235" s="46">
        <f t="shared" ca="1" si="10"/>
        <v>4.1632569558336012E-3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input_504010!A$2</f>
        <v>504010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IFERROR(VLOOKUP(B236,input_504010!L:R,7,FALSE),VLOOKUP(tables_504010!C236,input_504010!A:H,8,FALSE))</f>
        <v>45957.692309999999</v>
      </c>
      <c r="P236" s="46">
        <f t="shared" ca="1" si="10"/>
        <v>7.4077518230150163E-4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input_504010!A$2</f>
        <v>504010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IFERROR(VLOOKUP(B237,input_504010!L:R,7,FALSE),VLOOKUP(tables_504010!C237,input_504010!A:H,8,FALSE))</f>
        <v>15107.14286</v>
      </c>
      <c r="P237" s="46">
        <f t="shared" ca="1" si="10"/>
        <v>2.4350649355246812E-4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input_504010!A$2</f>
        <v>504010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IFERROR(VLOOKUP(B238,input_504010!L:R,7,FALSE),VLOOKUP(tables_504010!C238,input_504010!A:H,8,FALSE))</f>
        <v>940</v>
      </c>
      <c r="P238" s="46">
        <f t="shared" ca="1" si="10"/>
        <v>1.515151515151026E-5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input_504010!A$2</f>
        <v>504010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IFERROR(VLOOKUP(B239,input_504010!L:R,7,FALSE),VLOOKUP(tables_504010!C239,input_504010!A:H,8,FALSE))</f>
        <v>282150</v>
      </c>
      <c r="P239" s="46">
        <f t="shared" ca="1" si="10"/>
        <v>4.5478723404240636E-3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input_504010!A$2</f>
        <v>504010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IFERROR(VLOOKUP(B240,input_504010!L:R,7,FALSE),VLOOKUP(tables_504010!C240,input_504010!A:H,8,FALSE))</f>
        <v>258288.46153999999</v>
      </c>
      <c r="P240" s="46">
        <f t="shared" ca="1" si="10"/>
        <v>4.1632569558336012E-3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input_504010!A$2</f>
        <v>504010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IFERROR(VLOOKUP(B241,input_504010!L:R,7,FALSE),VLOOKUP(tables_504010!C241,input_504010!A:H,8,FALSE))</f>
        <v>45957.692309999999</v>
      </c>
      <c r="P241" s="46">
        <f t="shared" ca="1" si="10"/>
        <v>7.4077518230150163E-4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input_504010!A$2</f>
        <v>504010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IFERROR(VLOOKUP(B242,input_504010!L:R,7,FALSE),VLOOKUP(tables_504010!C242,input_504010!A:H,8,FALSE))</f>
        <v>15107.14286</v>
      </c>
      <c r="P242" s="46">
        <f t="shared" ca="1" si="10"/>
        <v>2.4350649355246812E-4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input_504010!A$2</f>
        <v>504010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IFERROR(VLOOKUP(B243,input_504010!L:R,7,FALSE),VLOOKUP(tables_504010!C243,input_504010!A:H,8,FALSE))</f>
        <v>940</v>
      </c>
      <c r="P243" s="46">
        <f t="shared" ca="1" si="10"/>
        <v>1.515151515151026E-5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input_504010!A$2</f>
        <v>504010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IFERROR(VLOOKUP(B244,input_504010!L:R,7,FALSE),VLOOKUP(tables_504010!C244,input_504010!A:H,8,FALSE))</f>
        <v>15107.14286</v>
      </c>
      <c r="P244" s="46">
        <f t="shared" ca="1" si="10"/>
        <v>2.4350649355246812E-4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input_504010!A$2</f>
        <v>504010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IFERROR(VLOOKUP(B245,input_504010!L:R,7,FALSE),VLOOKUP(tables_504010!C245,input_504010!A:H,8,FALSE))</f>
        <v>940</v>
      </c>
      <c r="P245" s="46">
        <f t="shared" ca="1" si="10"/>
        <v>1.515151515151026E-5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input_504010!A$2</f>
        <v>504010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IFERROR(VLOOKUP(B246,input_504010!L:R,7,FALSE),VLOOKUP(tables_504010!C246,input_504010!A:H,8,FALSE))</f>
        <v>282150</v>
      </c>
      <c r="P246" s="46">
        <f t="shared" ca="1" si="10"/>
        <v>4.5478723404240636E-3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input_504010!A$2</f>
        <v>504010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IFERROR(VLOOKUP(B247,input_504010!L:R,7,FALSE),VLOOKUP(tables_504010!C247,input_504010!A:H,8,FALSE))</f>
        <v>258288.46153999999</v>
      </c>
      <c r="P247" s="46">
        <f t="shared" ca="1" si="10"/>
        <v>4.1632569558336012E-3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input_504010!A$2</f>
        <v>504010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IFERROR(VLOOKUP(B248,input_504010!L:R,7,FALSE),VLOOKUP(tables_504010!C248,input_504010!A:H,8,FALSE))</f>
        <v>45957.692309999999</v>
      </c>
      <c r="P248" s="46">
        <f t="shared" ca="1" si="10"/>
        <v>7.4077518230150163E-4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input_504010!A$2</f>
        <v>504010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IFERROR(VLOOKUP(B249,input_504010!L:R,7,FALSE),VLOOKUP(tables_504010!C249,input_504010!A:H,8,FALSE))</f>
        <v>282150</v>
      </c>
      <c r="P249" s="46">
        <f t="shared" ca="1" si="10"/>
        <v>4.5478723404240636E-3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input_504010!A$2</f>
        <v>504010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IFERROR(VLOOKUP(B250,input_504010!L:R,7,FALSE),VLOOKUP(tables_504010!C250,input_504010!A:H,8,FALSE))</f>
        <v>258288.46153999999</v>
      </c>
      <c r="P250" s="46">
        <f t="shared" ca="1" si="10"/>
        <v>4.1632569558336012E-3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input_504010!A$2</f>
        <v>504010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IFERROR(VLOOKUP(B251,input_504010!L:R,7,FALSE),VLOOKUP(tables_504010!C251,input_504010!A:H,8,FALSE))</f>
        <v>45957.692309999999</v>
      </c>
      <c r="P251" s="46">
        <f t="shared" ca="1" si="10"/>
        <v>7.4077518230150163E-4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input_504010!A$2</f>
        <v>504010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IFERROR(VLOOKUP(B252,input_504010!L:R,7,FALSE),VLOOKUP(tables_504010!C252,input_504010!A:H,8,FALSE))</f>
        <v>282150</v>
      </c>
      <c r="P252" s="46">
        <f t="shared" ca="1" si="10"/>
        <v>4.5478723404240636E-3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input_504010!A$2</f>
        <v>504010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IFERROR(VLOOKUP(B253,input_504010!L:R,7,FALSE),VLOOKUP(tables_504010!C253,input_504010!A:H,8,FALSE))</f>
        <v>258288.46153999999</v>
      </c>
      <c r="P253" s="46">
        <f t="shared" ca="1" si="10"/>
        <v>4.1632569558336012E-3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input_504010!A$2</f>
        <v>504010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IFERROR(VLOOKUP(B254,input_504010!L:R,7,FALSE),VLOOKUP(tables_504010!C254,input_504010!A:H,8,FALSE))</f>
        <v>45957.692309999999</v>
      </c>
      <c r="P254" s="46">
        <f t="shared" ca="1" si="10"/>
        <v>7.4077518230150163E-4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input_504010!A$2</f>
        <v>504010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IFERROR(VLOOKUP(B255,input_504010!L:R,7,FALSE),VLOOKUP(tables_504010!C255,input_504010!A:H,8,FALSE))</f>
        <v>282150</v>
      </c>
      <c r="P255" s="46">
        <f t="shared" ca="1" si="10"/>
        <v>4.5478723404240636E-3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input_504010!A$2</f>
        <v>504010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IFERROR(VLOOKUP(B256,input_504010!L:R,7,FALSE),VLOOKUP(tables_504010!C256,input_504010!A:H,8,FALSE))</f>
        <v>258288.46153999999</v>
      </c>
      <c r="P256" s="46">
        <f t="shared" ca="1" si="10"/>
        <v>4.1632569558336012E-3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input_504010!A$2</f>
        <v>504010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IFERROR(VLOOKUP(B257,input_504010!L:R,7,FALSE),VLOOKUP(tables_504010!C257,input_504010!A:H,8,FALSE))</f>
        <v>45957.692309999999</v>
      </c>
      <c r="P257" s="46">
        <f t="shared" ca="1" si="10"/>
        <v>7.4077518230150163E-4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input_504010!A$2</f>
        <v>504010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IFERROR(VLOOKUP(B258,input_504010!L:R,7,FALSE),VLOOKUP(tables_504010!C258,input_504010!A:H,8,FALSE))</f>
        <v>15107.14286</v>
      </c>
      <c r="P258" s="46">
        <f t="shared" ref="P258:P321" ca="1" si="13">O258/SUM(O:O)</f>
        <v>2.4350649355246812E-4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input_504010!A$2</f>
        <v>504010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IFERROR(VLOOKUP(B259,input_504010!L:R,7,FALSE),VLOOKUP(tables_504010!C259,input_504010!A:H,8,FALSE))</f>
        <v>940</v>
      </c>
      <c r="P259" s="46">
        <f t="shared" ca="1" si="13"/>
        <v>1.515151515151026E-5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input_504010!A$2</f>
        <v>504010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IFERROR(VLOOKUP(B260,input_504010!L:R,7,FALSE),VLOOKUP(tables_504010!C260,input_504010!A:H,8,FALSE))</f>
        <v>15107.14286</v>
      </c>
      <c r="P260" s="46">
        <f t="shared" ca="1" si="13"/>
        <v>2.4350649355246812E-4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input_504010!A$2</f>
        <v>504010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IFERROR(VLOOKUP(B261,input_504010!L:R,7,FALSE),VLOOKUP(tables_504010!C261,input_504010!A:H,8,FALSE))</f>
        <v>940</v>
      </c>
      <c r="P261" s="46">
        <f t="shared" ca="1" si="13"/>
        <v>1.515151515151026E-5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input_504010!A$2</f>
        <v>504010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IFERROR(VLOOKUP(B262,input_504010!L:R,7,FALSE),VLOOKUP(tables_504010!C262,input_504010!A:H,8,FALSE))</f>
        <v>577866.66666999995</v>
      </c>
      <c r="P262" s="46">
        <f t="shared" ca="1" si="13"/>
        <v>9.3144208038332277E-3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input_504010!A$2</f>
        <v>504010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IFERROR(VLOOKUP(B263,input_504010!L:R,7,FALSE),VLOOKUP(tables_504010!C263,input_504010!A:H,8,FALSE))</f>
        <v>36850</v>
      </c>
      <c r="P263" s="46">
        <f t="shared" ca="1" si="13"/>
        <v>5.9397163120548198E-4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input_504010!A$2</f>
        <v>504010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IFERROR(VLOOKUP(B264,input_504010!L:R,7,FALSE),VLOOKUP(tables_504010!C264,input_504010!A:H,8,FALSE))</f>
        <v>577866.66666999995</v>
      </c>
      <c r="P264" s="46">
        <f t="shared" ca="1" si="13"/>
        <v>9.3144208038332277E-3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input_504010!A$2</f>
        <v>504010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IFERROR(VLOOKUP(B265,input_504010!L:R,7,FALSE),VLOOKUP(tables_504010!C265,input_504010!A:H,8,FALSE))</f>
        <v>36850</v>
      </c>
      <c r="P265" s="46">
        <f t="shared" ca="1" si="13"/>
        <v>5.9397163120548198E-4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input_504010!A$2</f>
        <v>504010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IFERROR(VLOOKUP(B266,input_504010!L:R,7,FALSE),VLOOKUP(tables_504010!C266,input_504010!A:H,8,FALSE))</f>
        <v>4502.1052600000003</v>
      </c>
      <c r="P266" s="46">
        <f t="shared" ca="1" si="13"/>
        <v>7.2567783043174516E-5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input_504010!A$2</f>
        <v>504010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IFERROR(VLOOKUP(B267,input_504010!L:R,7,FALSE),VLOOKUP(tables_504010!C267,input_504010!A:H,8,FALSE))</f>
        <v>4502.1052600000003</v>
      </c>
      <c r="P267" s="46">
        <f t="shared" ca="1" si="13"/>
        <v>7.2567783043174516E-5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input_504010!A$2</f>
        <v>504010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IFERROR(VLOOKUP(B268,input_504010!L:R,7,FALSE),VLOOKUP(tables_504010!C268,input_504010!A:H,8,FALSE))</f>
        <v>4502.1052600000003</v>
      </c>
      <c r="P268" s="46">
        <f t="shared" ca="1" si="13"/>
        <v>7.2567783043174516E-5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input_504010!A$2</f>
        <v>504010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IFERROR(VLOOKUP(B269,input_504010!L:R,7,FALSE),VLOOKUP(tables_504010!C269,input_504010!A:H,8,FALSE))</f>
        <v>4502.1052600000003</v>
      </c>
      <c r="P269" s="46">
        <f t="shared" ca="1" si="13"/>
        <v>7.2567783043174516E-5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input_504010!A$2</f>
        <v>504010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IFERROR(VLOOKUP(B270,input_504010!L:R,7,FALSE),VLOOKUP(tables_504010!C270,input_504010!A:H,8,FALSE))</f>
        <v>577866.66666999995</v>
      </c>
      <c r="P270" s="46">
        <f t="shared" ca="1" si="13"/>
        <v>9.3144208038332277E-3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input_504010!A$2</f>
        <v>504010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IFERROR(VLOOKUP(B271,input_504010!L:R,7,FALSE),VLOOKUP(tables_504010!C271,input_504010!A:H,8,FALSE))</f>
        <v>36850</v>
      </c>
      <c r="P271" s="46">
        <f t="shared" ca="1" si="13"/>
        <v>5.9397163120548198E-4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input_504010!A$2</f>
        <v>504010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IFERROR(VLOOKUP(B272,input_504010!L:R,7,FALSE),VLOOKUP(tables_504010!C272,input_504010!A:H,8,FALSE))</f>
        <v>577866.66666999995</v>
      </c>
      <c r="P272" s="46">
        <f t="shared" ca="1" si="13"/>
        <v>9.3144208038332277E-3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input_504010!A$2</f>
        <v>504010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IFERROR(VLOOKUP(B273,input_504010!L:R,7,FALSE),VLOOKUP(tables_504010!C273,input_504010!A:H,8,FALSE))</f>
        <v>36850</v>
      </c>
      <c r="P273" s="46">
        <f t="shared" ca="1" si="13"/>
        <v>5.9397163120548198E-4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input_504010!A$2</f>
        <v>504010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IFERROR(VLOOKUP(B274,input_504010!L:R,7,FALSE),VLOOKUP(tables_504010!C274,input_504010!A:H,8,FALSE))</f>
        <v>15107.14286</v>
      </c>
      <c r="P274" s="46">
        <f t="shared" ca="1" si="13"/>
        <v>2.4350649355246812E-4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input_504010!A$2</f>
        <v>504010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IFERROR(VLOOKUP(B275,input_504010!L:R,7,FALSE),VLOOKUP(tables_504010!C275,input_504010!A:H,8,FALSE))</f>
        <v>940</v>
      </c>
      <c r="P275" s="46">
        <f t="shared" ca="1" si="13"/>
        <v>1.515151515151026E-5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input_504010!A$2</f>
        <v>504010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IFERROR(VLOOKUP(B276,input_504010!L:R,7,FALSE),VLOOKUP(tables_504010!C276,input_504010!A:H,8,FALSE))</f>
        <v>15107.14286</v>
      </c>
      <c r="P276" s="46">
        <f t="shared" ca="1" si="13"/>
        <v>2.4350649355246812E-4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input_504010!A$2</f>
        <v>504010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IFERROR(VLOOKUP(B277,input_504010!L:R,7,FALSE),VLOOKUP(tables_504010!C277,input_504010!A:H,8,FALSE))</f>
        <v>940</v>
      </c>
      <c r="P277" s="46">
        <f t="shared" ca="1" si="13"/>
        <v>1.515151515151026E-5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input_504010!A$2</f>
        <v>504010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IFERROR(VLOOKUP(B278,input_504010!L:R,7,FALSE),VLOOKUP(tables_504010!C278,input_504010!A:H,8,FALSE))</f>
        <v>282150</v>
      </c>
      <c r="P278" s="46">
        <f t="shared" ca="1" si="13"/>
        <v>4.5478723404240636E-3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input_504010!A$2</f>
        <v>504010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IFERROR(VLOOKUP(B279,input_504010!L:R,7,FALSE),VLOOKUP(tables_504010!C279,input_504010!A:H,8,FALSE))</f>
        <v>258288.46153999999</v>
      </c>
      <c r="P279" s="46">
        <f t="shared" ca="1" si="13"/>
        <v>4.1632569558336012E-3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input_504010!A$2</f>
        <v>504010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IFERROR(VLOOKUP(B280,input_504010!L:R,7,FALSE),VLOOKUP(tables_504010!C280,input_504010!A:H,8,FALSE))</f>
        <v>45957.692309999999</v>
      </c>
      <c r="P280" s="46">
        <f t="shared" ca="1" si="13"/>
        <v>7.4077518230150163E-4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input_504010!A$2</f>
        <v>504010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IFERROR(VLOOKUP(B281,input_504010!L:R,7,FALSE),VLOOKUP(tables_504010!C281,input_504010!A:H,8,FALSE))</f>
        <v>282150</v>
      </c>
      <c r="P281" s="46">
        <f t="shared" ca="1" si="13"/>
        <v>4.5478723404240636E-3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input_504010!A$2</f>
        <v>504010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IFERROR(VLOOKUP(B282,input_504010!L:R,7,FALSE),VLOOKUP(tables_504010!C282,input_504010!A:H,8,FALSE))</f>
        <v>258288.46153999999</v>
      </c>
      <c r="P282" s="46">
        <f t="shared" ca="1" si="13"/>
        <v>4.1632569558336012E-3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input_504010!A$2</f>
        <v>504010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IFERROR(VLOOKUP(B283,input_504010!L:R,7,FALSE),VLOOKUP(tables_504010!C283,input_504010!A:H,8,FALSE))</f>
        <v>45957.692309999999</v>
      </c>
      <c r="P283" s="46">
        <f t="shared" ca="1" si="13"/>
        <v>7.4077518230150163E-4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input_504010!A$2</f>
        <v>504010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IFERROR(VLOOKUP(B284,input_504010!L:R,7,FALSE),VLOOKUP(tables_504010!C284,input_504010!A:H,8,FALSE))</f>
        <v>4502.1052600000003</v>
      </c>
      <c r="P284" s="46">
        <f t="shared" ca="1" si="13"/>
        <v>7.2567783043174516E-5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input_504010!A$2</f>
        <v>504010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IFERROR(VLOOKUP(B285,input_504010!L:R,7,FALSE),VLOOKUP(tables_504010!C285,input_504010!A:H,8,FALSE))</f>
        <v>4502.1052600000003</v>
      </c>
      <c r="P285" s="46">
        <f t="shared" ca="1" si="13"/>
        <v>7.2567783043174516E-5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input_504010!A$2</f>
        <v>504010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IFERROR(VLOOKUP(B286,input_504010!L:R,7,FALSE),VLOOKUP(tables_504010!C286,input_504010!A:H,8,FALSE))</f>
        <v>577866.66666999995</v>
      </c>
      <c r="P286" s="46">
        <f t="shared" ca="1" si="13"/>
        <v>9.3144208038332277E-3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input_504010!A$2</f>
        <v>504010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IFERROR(VLOOKUP(B287,input_504010!L:R,7,FALSE),VLOOKUP(tables_504010!C287,input_504010!A:H,8,FALSE))</f>
        <v>36850</v>
      </c>
      <c r="P287" s="46">
        <f t="shared" ca="1" si="13"/>
        <v>5.9397163120548198E-4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input_504010!A$2</f>
        <v>504010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IFERROR(VLOOKUP(B288,input_504010!L:R,7,FALSE),VLOOKUP(tables_504010!C288,input_504010!A:H,8,FALSE))</f>
        <v>577866.66666999995</v>
      </c>
      <c r="P288" s="46">
        <f t="shared" ca="1" si="13"/>
        <v>9.3144208038332277E-3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input_504010!A$2</f>
        <v>504010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IFERROR(VLOOKUP(B289,input_504010!L:R,7,FALSE),VLOOKUP(tables_504010!C289,input_504010!A:H,8,FALSE))</f>
        <v>36850</v>
      </c>
      <c r="P289" s="46">
        <f t="shared" ca="1" si="13"/>
        <v>5.9397163120548198E-4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input_504010!A$2</f>
        <v>504010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IFERROR(VLOOKUP(B290,input_504010!L:R,7,FALSE),VLOOKUP(tables_504010!C290,input_504010!A:H,8,FALSE))</f>
        <v>577866.66666999995</v>
      </c>
      <c r="P290" s="46">
        <f t="shared" ca="1" si="13"/>
        <v>9.3144208038332277E-3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input_504010!A$2</f>
        <v>504010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IFERROR(VLOOKUP(B291,input_504010!L:R,7,FALSE),VLOOKUP(tables_504010!C291,input_504010!A:H,8,FALSE))</f>
        <v>36850</v>
      </c>
      <c r="P291" s="46">
        <f t="shared" ca="1" si="13"/>
        <v>5.9397163120548198E-4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input_504010!A$2</f>
        <v>504010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IFERROR(VLOOKUP(B292,input_504010!L:R,7,FALSE),VLOOKUP(tables_504010!C292,input_504010!A:H,8,FALSE))</f>
        <v>577866.66666999995</v>
      </c>
      <c r="P292" s="46">
        <f t="shared" ca="1" si="13"/>
        <v>9.3144208038332277E-3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input_504010!A$2</f>
        <v>504010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IFERROR(VLOOKUP(B293,input_504010!L:R,7,FALSE),VLOOKUP(tables_504010!C293,input_504010!A:H,8,FALSE))</f>
        <v>36850</v>
      </c>
      <c r="P293" s="46">
        <f t="shared" ca="1" si="13"/>
        <v>5.9397163120548198E-4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input_504010!A$2</f>
        <v>504010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IFERROR(VLOOKUP(B294,input_504010!L:R,7,FALSE),VLOOKUP(tables_504010!C294,input_504010!A:H,8,FALSE))</f>
        <v>4502.1052600000003</v>
      </c>
      <c r="P294" s="46">
        <f t="shared" ca="1" si="13"/>
        <v>7.2567783043174516E-5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input_504010!A$2</f>
        <v>504010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IFERROR(VLOOKUP(B295,input_504010!L:R,7,FALSE),VLOOKUP(tables_504010!C295,input_504010!A:H,8,FALSE))</f>
        <v>4502.1052600000003</v>
      </c>
      <c r="P295" s="46">
        <f t="shared" ca="1" si="13"/>
        <v>7.2567783043174516E-5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input_504010!A$2</f>
        <v>504010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IFERROR(VLOOKUP(B296,input_504010!L:R,7,FALSE),VLOOKUP(tables_504010!C296,input_504010!A:H,8,FALSE))</f>
        <v>4502.1052600000003</v>
      </c>
      <c r="P296" s="46">
        <f t="shared" ca="1" si="13"/>
        <v>7.2567783043174516E-5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input_504010!A$2</f>
        <v>504010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IFERROR(VLOOKUP(B297,input_504010!L:R,7,FALSE),VLOOKUP(tables_504010!C297,input_504010!A:H,8,FALSE))</f>
        <v>577866.66666999995</v>
      </c>
      <c r="P297" s="46">
        <f t="shared" ca="1" si="13"/>
        <v>9.3144208038332277E-3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input_504010!A$2</f>
        <v>504010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IFERROR(VLOOKUP(B298,input_504010!L:R,7,FALSE),VLOOKUP(tables_504010!C298,input_504010!A:H,8,FALSE))</f>
        <v>36850</v>
      </c>
      <c r="P298" s="46">
        <f t="shared" ca="1" si="13"/>
        <v>5.9397163120548198E-4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input_504010!A$2</f>
        <v>504010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IFERROR(VLOOKUP(B299,input_504010!L:R,7,FALSE),VLOOKUP(tables_504010!C299,input_504010!A:H,8,FALSE))</f>
        <v>4502.1052600000003</v>
      </c>
      <c r="P299" s="46">
        <f t="shared" ca="1" si="13"/>
        <v>7.2567783043174516E-5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input_504010!A$2</f>
        <v>504010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IFERROR(VLOOKUP(B300,input_504010!L:R,7,FALSE),VLOOKUP(tables_504010!C300,input_504010!A:H,8,FALSE))</f>
        <v>4502.1052600000003</v>
      </c>
      <c r="P300" s="46">
        <f t="shared" ca="1" si="13"/>
        <v>7.2567783043174516E-5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input_504010!A$2</f>
        <v>504010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IFERROR(VLOOKUP(B301,input_504010!L:R,7,FALSE),VLOOKUP(tables_504010!C301,input_504010!A:H,8,FALSE))</f>
        <v>4502.1052600000003</v>
      </c>
      <c r="P301" s="46">
        <f t="shared" ca="1" si="13"/>
        <v>7.2567783043174516E-5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input_504010!A$2</f>
        <v>504010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IFERROR(VLOOKUP(B302,input_504010!L:R,7,FALSE),VLOOKUP(tables_504010!C302,input_504010!A:H,8,FALSE))</f>
        <v>4502.1052600000003</v>
      </c>
      <c r="P302" s="46">
        <f t="shared" ca="1" si="13"/>
        <v>7.2567783043174516E-5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input_504010!A$2</f>
        <v>504010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IFERROR(VLOOKUP(B303,input_504010!L:R,7,FALSE),VLOOKUP(tables_504010!C303,input_504010!A:H,8,FALSE))</f>
        <v>577866.66666999995</v>
      </c>
      <c r="P303" s="46">
        <f t="shared" ca="1" si="13"/>
        <v>9.3144208038332277E-3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input_504010!A$2</f>
        <v>504010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IFERROR(VLOOKUP(B304,input_504010!L:R,7,FALSE),VLOOKUP(tables_504010!C304,input_504010!A:H,8,FALSE))</f>
        <v>36850</v>
      </c>
      <c r="P304" s="46">
        <f t="shared" ca="1" si="13"/>
        <v>5.9397163120548198E-4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input_504010!A$2</f>
        <v>504010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IFERROR(VLOOKUP(B305,input_504010!L:R,7,FALSE),VLOOKUP(tables_504010!C305,input_504010!A:H,8,FALSE))</f>
        <v>4502.1052600000003</v>
      </c>
      <c r="P305" s="46">
        <f t="shared" ca="1" si="13"/>
        <v>7.2567783043174516E-5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input_504010!A$2</f>
        <v>504010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IFERROR(VLOOKUP(B306,input_504010!L:R,7,FALSE),VLOOKUP(tables_504010!C306,input_504010!A:H,8,FALSE))</f>
        <v>577866.66666999995</v>
      </c>
      <c r="P306" s="46">
        <f t="shared" ca="1" si="13"/>
        <v>9.3144208038332277E-3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input_504010!A$2</f>
        <v>504010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IFERROR(VLOOKUP(B307,input_504010!L:R,7,FALSE),VLOOKUP(tables_504010!C307,input_504010!A:H,8,FALSE))</f>
        <v>36850</v>
      </c>
      <c r="P307" s="46">
        <f t="shared" ca="1" si="13"/>
        <v>5.9397163120548198E-4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input_504010!A$2</f>
        <v>504010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IFERROR(VLOOKUP(B308,input_504010!L:R,7,FALSE),VLOOKUP(tables_504010!C308,input_504010!A:H,8,FALSE))</f>
        <v>4502.1052600000003</v>
      </c>
      <c r="P308" s="46">
        <f t="shared" ca="1" si="13"/>
        <v>7.2567783043174516E-5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input_504010!A$2</f>
        <v>504010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IFERROR(VLOOKUP(B309,input_504010!L:R,7,FALSE),VLOOKUP(tables_504010!C309,input_504010!A:H,8,FALSE))</f>
        <v>4502.1052600000003</v>
      </c>
      <c r="P309" s="46">
        <f t="shared" ca="1" si="13"/>
        <v>7.2567783043174516E-5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input_504010!A$2</f>
        <v>504010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IFERROR(VLOOKUP(B310,input_504010!L:R,7,FALSE),VLOOKUP(tables_504010!C310,input_504010!A:H,8,FALSE))</f>
        <v>4502.1052600000003</v>
      </c>
      <c r="P310" s="46">
        <f t="shared" ca="1" si="13"/>
        <v>7.2567783043174516E-5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input_504010!A$2</f>
        <v>504010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IFERROR(VLOOKUP(B311,input_504010!L:R,7,FALSE),VLOOKUP(tables_504010!C311,input_504010!A:H,8,FALSE))</f>
        <v>577866.66666999995</v>
      </c>
      <c r="P311" s="46">
        <f t="shared" ca="1" si="13"/>
        <v>9.3144208038332277E-3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input_504010!A$2</f>
        <v>504010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IFERROR(VLOOKUP(B312,input_504010!L:R,7,FALSE),VLOOKUP(tables_504010!C312,input_504010!A:H,8,FALSE))</f>
        <v>36850</v>
      </c>
      <c r="P312" s="46">
        <f t="shared" ca="1" si="13"/>
        <v>5.9397163120548198E-4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input_504010!A$2</f>
        <v>504010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IFERROR(VLOOKUP(B313,input_504010!L:R,7,FALSE),VLOOKUP(tables_504010!C313,input_504010!A:H,8,FALSE))</f>
        <v>4502.1052600000003</v>
      </c>
      <c r="P313" s="46">
        <f t="shared" ca="1" si="13"/>
        <v>7.2567783043174516E-5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input_504010!A$2</f>
        <v>504010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IFERROR(VLOOKUP(B314,input_504010!L:R,7,FALSE),VLOOKUP(tables_504010!C314,input_504010!A:H,8,FALSE))</f>
        <v>4502.1052600000003</v>
      </c>
      <c r="P314" s="46">
        <f t="shared" ca="1" si="13"/>
        <v>7.2567783043174516E-5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input_504010!A$2</f>
        <v>504010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IFERROR(VLOOKUP(B315,input_504010!L:R,7,FALSE),VLOOKUP(tables_504010!C315,input_504010!A:H,8,FALSE))</f>
        <v>4502.1052600000003</v>
      </c>
      <c r="P315" s="46">
        <f t="shared" ca="1" si="13"/>
        <v>7.2567783043174516E-5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input_504010!A$2</f>
        <v>504010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IFERROR(VLOOKUP(B316,input_504010!L:R,7,FALSE),VLOOKUP(tables_504010!C316,input_504010!A:H,8,FALSE))</f>
        <v>4502.1052600000003</v>
      </c>
      <c r="P316" s="46">
        <f t="shared" ca="1" si="13"/>
        <v>7.2567783043174516E-5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input_504010!A$2</f>
        <v>504010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IFERROR(VLOOKUP(B317,input_504010!L:R,7,FALSE),VLOOKUP(tables_504010!C317,input_504010!A:H,8,FALSE))</f>
        <v>4502.1052600000003</v>
      </c>
      <c r="P317" s="46">
        <f t="shared" ca="1" si="13"/>
        <v>7.2567783043174516E-5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input_504010!A$2</f>
        <v>504010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IFERROR(VLOOKUP(B318,input_504010!L:R,7,FALSE),VLOOKUP(tables_504010!C318,input_504010!A:H,8,FALSE))</f>
        <v>577866.66666999995</v>
      </c>
      <c r="P318" s="46">
        <f t="shared" ca="1" si="13"/>
        <v>9.3144208038332277E-3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input_504010!A$2</f>
        <v>504010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IFERROR(VLOOKUP(B319,input_504010!L:R,7,FALSE),VLOOKUP(tables_504010!C319,input_504010!A:H,8,FALSE))</f>
        <v>36850</v>
      </c>
      <c r="P319" s="46">
        <f t="shared" ca="1" si="13"/>
        <v>5.9397163120548198E-4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input_504010!A$2</f>
        <v>504010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IFERROR(VLOOKUP(B320,input_504010!L:R,7,FALSE),VLOOKUP(tables_504010!C320,input_504010!A:H,8,FALSE))</f>
        <v>4502.1052600000003</v>
      </c>
      <c r="P320" s="46">
        <f t="shared" ca="1" si="13"/>
        <v>7.2567783043174516E-5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input_504010!A$2</f>
        <v>504010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IFERROR(VLOOKUP(B321,input_504010!L:R,7,FALSE),VLOOKUP(tables_504010!C321,input_504010!A:H,8,FALSE))</f>
        <v>4502.1052600000003</v>
      </c>
      <c r="P321" s="46">
        <f t="shared" ca="1" si="13"/>
        <v>7.2567783043174516E-5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input_504010!A$2</f>
        <v>504010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IFERROR(VLOOKUP(B322,input_504010!L:R,7,FALSE),VLOOKUP(tables_504010!C322,input_504010!A:H,8,FALSE))</f>
        <v>4502.1052600000003</v>
      </c>
      <c r="P322" s="46">
        <f t="shared" ref="P322:P330" ca="1" si="23">O322/SUM(O:O)</f>
        <v>7.2567783043174516E-5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input_504010!A$2</f>
        <v>504010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IFERROR(VLOOKUP(B323,input_504010!L:R,7,FALSE),VLOOKUP(tables_504010!C323,input_504010!A:H,8,FALSE))</f>
        <v>4502.1052600000003</v>
      </c>
      <c r="P323" s="46">
        <f t="shared" ca="1" si="23"/>
        <v>7.2567783043174516E-5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input_504010!A$2</f>
        <v>504010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IFERROR(VLOOKUP(B324,input_504010!L:R,7,FALSE),VLOOKUP(tables_504010!C324,input_504010!A:H,8,FALSE))</f>
        <v>577866.66666999995</v>
      </c>
      <c r="P324" s="46">
        <f t="shared" ca="1" si="23"/>
        <v>9.3144208038332277E-3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input_504010!A$2</f>
        <v>504010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IFERROR(VLOOKUP(B325,input_504010!L:R,7,FALSE),VLOOKUP(tables_504010!C325,input_504010!A:H,8,FALSE))</f>
        <v>36850</v>
      </c>
      <c r="P325" s="46">
        <f t="shared" ca="1" si="23"/>
        <v>5.9397163120548198E-4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input_504010!A$2</f>
        <v>504010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IFERROR(VLOOKUP(B326,input_504010!L:R,7,FALSE),VLOOKUP(tables_504010!C326,input_504010!A:H,8,FALSE))</f>
        <v>577866.66666999995</v>
      </c>
      <c r="P326" s="46">
        <f t="shared" ca="1" si="23"/>
        <v>9.3144208038332277E-3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input_504010!A$2</f>
        <v>504010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IFERROR(VLOOKUP(B327,input_504010!L:R,7,FALSE),VLOOKUP(tables_504010!C327,input_504010!A:H,8,FALSE))</f>
        <v>36850</v>
      </c>
      <c r="P327" s="46">
        <f t="shared" ca="1" si="23"/>
        <v>5.9397163120548198E-4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input_504010!A$2</f>
        <v>504010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IFERROR(VLOOKUP(B328,input_504010!L:R,7,FALSE),VLOOKUP(tables_504010!C328,input_504010!A:H,8,FALSE))</f>
        <v>4502.1052600000003</v>
      </c>
      <c r="P328" s="46">
        <f t="shared" ca="1" si="23"/>
        <v>7.2567783043174516E-5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input_504010!A$2</f>
        <v>504010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IFERROR(VLOOKUP(B329,input_504010!L:R,7,FALSE),VLOOKUP(tables_504010!C329,input_504010!A:H,8,FALSE))</f>
        <v>4502.1052600000003</v>
      </c>
      <c r="P329" s="46">
        <f t="shared" ca="1" si="23"/>
        <v>7.2567783043174516E-5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input_504010!A$2</f>
        <v>504010</v>
      </c>
      <c r="B330" s="2">
        <v>1157</v>
      </c>
      <c r="C330" s="7" t="str">
        <f t="shared" si="25"/>
        <v>PremiumSS5R5only</v>
      </c>
      <c r="D330" s="97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IFERROR(VLOOKUP(B330,input_504010!L:R,7,FALSE),VLOOKUP(tables_504010!C330,input_504010!A:H,8,FALSE))</f>
        <v>4502.1052600000003</v>
      </c>
      <c r="P330" s="46">
        <f t="shared" ca="1" si="23"/>
        <v>7.2567783043174516E-5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input_504010!A$2</f>
        <v>504010</v>
      </c>
      <c r="B331" s="60">
        <v>1214</v>
      </c>
      <c r="C331" s="7" t="str">
        <f t="shared" ref="C331:C335" si="26">D331&amp;J331&amp;E331&amp;F331&amp;G331</f>
        <v>PremiumSS5R5only</v>
      </c>
      <c r="D331" s="97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IFERROR(VLOOKUP(B331,input_504010!L:R,7,FALSE),VLOOKUP(tables_504010!C331,input_504010!A:H,8,FALSE))</f>
        <v>4502.1052600000003</v>
      </c>
      <c r="P331" s="46">
        <f t="shared" ref="P331:P335" ca="1" si="28">O331/SUM(O:O)</f>
        <v>7.2567783043174516E-5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input_504010!A$2</f>
        <v>504010</v>
      </c>
      <c r="B332" s="60">
        <v>1212</v>
      </c>
      <c r="C332" s="7" t="str">
        <f t="shared" si="26"/>
        <v>PremiumSS5R5only</v>
      </c>
      <c r="D332" s="97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IFERROR(VLOOKUP(B332,input_504010!L:R,7,FALSE),VLOOKUP(tables_504010!C332,input_504010!A:H,8,FALSE))</f>
        <v>4502.1052600000003</v>
      </c>
      <c r="P332" s="46">
        <f t="shared" ca="1" si="28"/>
        <v>7.2567783043174516E-5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input_504010!A$2</f>
        <v>504010</v>
      </c>
      <c r="B333" s="60">
        <v>1208</v>
      </c>
      <c r="C333" s="7" t="str">
        <f t="shared" si="26"/>
        <v>PremiumSS5R5only</v>
      </c>
      <c r="D333" s="97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IFERROR(VLOOKUP(B333,input_504010!L:R,7,FALSE),VLOOKUP(tables_504010!C333,input_504010!A:H,8,FALSE))</f>
        <v>4502.1052600000003</v>
      </c>
      <c r="P333" s="46">
        <f t="shared" ca="1" si="28"/>
        <v>7.2567783043174516E-5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input_504010!A$2</f>
        <v>504010</v>
      </c>
      <c r="B334" s="93">
        <v>1210</v>
      </c>
      <c r="C334" s="7" t="str">
        <f t="shared" si="26"/>
        <v>Premium4R3less</v>
      </c>
      <c r="D334" s="97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IFERROR(VLOOKUP(B334,input_504010!L:R,7,FALSE),VLOOKUP(tables_504010!C334,input_504010!A:H,8,FALSE))</f>
        <v>577866.66666999995</v>
      </c>
      <c r="P334" s="46">
        <f t="shared" ca="1" si="28"/>
        <v>9.3144208038332277E-3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input_504010!A$2</f>
        <v>504010</v>
      </c>
      <c r="B335" s="60">
        <v>1211</v>
      </c>
      <c r="C335" s="7" t="str">
        <f t="shared" si="26"/>
        <v>Premium5R3less</v>
      </c>
      <c r="D335" s="97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IFERROR(VLOOKUP(B335,input_504010!L:R,7,FALSE),VLOOKUP(tables_504010!C335,input_504010!A:H,8,FALSE))</f>
        <v>36850</v>
      </c>
      <c r="P335" s="46">
        <f t="shared" ca="1" si="28"/>
        <v>5.9397163120548198E-4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input_504010!A$2</f>
        <v>504010</v>
      </c>
      <c r="B336" s="2">
        <v>1224</v>
      </c>
      <c r="C336" s="7" t="str">
        <f t="shared" ref="C336:C340" si="29">D336&amp;J336&amp;E336&amp;F336&amp;G336</f>
        <v>Premium4R3less</v>
      </c>
      <c r="D336" s="97" t="str">
        <f t="shared" ref="D336:D340" si="3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IFERROR(VLOOKUP(B336,input_504010!L:R,7,FALSE),VLOOKUP(tables_504010!C336,input_504010!A:H,8,FALSE))</f>
        <v>577866.66666999995</v>
      </c>
      <c r="P336" s="46">
        <f t="shared" ref="P336:P340" ca="1" si="31">O336/SUM(O:O)</f>
        <v>9.3144208038332277E-3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input_504010!A$2</f>
        <v>504010</v>
      </c>
      <c r="B337" s="2">
        <v>1225</v>
      </c>
      <c r="C337" s="7" t="str">
        <f t="shared" si="29"/>
        <v>Premium5R3less</v>
      </c>
      <c r="D337" s="97" t="str">
        <f t="shared" si="3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IFERROR(VLOOKUP(B337,input_504010!L:R,7,FALSE),VLOOKUP(tables_504010!C337,input_504010!A:H,8,FALSE))</f>
        <v>36850</v>
      </c>
      <c r="P337" s="46">
        <f t="shared" ca="1" si="31"/>
        <v>5.9397163120548198E-4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input_504010!A$2</f>
        <v>504010</v>
      </c>
      <c r="B338" s="2">
        <v>1226</v>
      </c>
      <c r="C338" s="7" t="str">
        <f t="shared" si="29"/>
        <v>PremiumSS5R5only</v>
      </c>
      <c r="D338" s="97" t="str">
        <f t="shared" si="3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IFERROR(VLOOKUP(B338,input_504010!L:R,7,FALSE),VLOOKUP(tables_504010!C338,input_504010!A:H,8,FALSE))</f>
        <v>4502.1052600000003</v>
      </c>
      <c r="P338" s="46">
        <f t="shared" ca="1" si="31"/>
        <v>7.2567783043174516E-5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input_504010!A$2</f>
        <v>504010</v>
      </c>
      <c r="B339" s="2">
        <v>1228</v>
      </c>
      <c r="C339" s="7" t="str">
        <f t="shared" si="29"/>
        <v>PremiumSS5R5only</v>
      </c>
      <c r="D339" s="97" t="str">
        <f t="shared" si="3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IFERROR(VLOOKUP(B339,input_504010!L:R,7,FALSE),VLOOKUP(tables_504010!C339,input_504010!A:H,8,FALSE))</f>
        <v>4502.1052600000003</v>
      </c>
      <c r="P339" s="46">
        <f t="shared" ca="1" si="31"/>
        <v>7.2567783043174516E-5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input_504010!A$2</f>
        <v>504010</v>
      </c>
      <c r="B340" s="2">
        <v>1230</v>
      </c>
      <c r="C340" s="7" t="str">
        <f t="shared" si="29"/>
        <v>PremiumSS5R5only</v>
      </c>
      <c r="D340" s="97" t="str">
        <f t="shared" si="3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IFERROR(VLOOKUP(B340,input_504010!L:R,7,FALSE),VLOOKUP(tables_504010!C340,input_504010!A:H,8,FALSE))</f>
        <v>4502.1052600000003</v>
      </c>
      <c r="P340" s="46">
        <f t="shared" ca="1" si="31"/>
        <v>7.2567783043174516E-5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input_504010!A$2</f>
        <v>504010</v>
      </c>
      <c r="B341" s="101">
        <v>1244</v>
      </c>
      <c r="C341" s="7" t="str">
        <f t="shared" ref="C341:C342" si="32">D341&amp;J341&amp;E341&amp;F341&amp;G341</f>
        <v>PremiumSS5R5only</v>
      </c>
      <c r="D341" s="97" t="str">
        <f t="shared" ref="D341:D342" si="3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IFERROR(VLOOKUP(B341,input_504010!L:R,7,FALSE),VLOOKUP(tables_504010!C341,input_504010!A:H,8,FALSE))</f>
        <v>4502.1052600000003</v>
      </c>
      <c r="P341" s="46">
        <f t="shared" ref="P341:P342" ca="1" si="34">O341/SUM(O:O)</f>
        <v>7.2567783043174516E-5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input_504010!A$2</f>
        <v>504010</v>
      </c>
      <c r="B342" s="101">
        <v>1246</v>
      </c>
      <c r="C342" s="7" t="str">
        <f t="shared" si="32"/>
        <v>PremiumSS5R5only</v>
      </c>
      <c r="D342" s="97" t="str">
        <f t="shared" si="33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IFERROR(VLOOKUP(B342,input_504010!L:R,7,FALSE),VLOOKUP(tables_504010!C342,input_504010!A:H,8,FALSE))</f>
        <v>4502.1052600000003</v>
      </c>
      <c r="P342" s="46">
        <f t="shared" ca="1" si="34"/>
        <v>7.2567783043174516E-5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input_504010!A$2</f>
        <v>504010</v>
      </c>
      <c r="B343" s="101">
        <v>1248</v>
      </c>
      <c r="C343" s="7" t="str">
        <f t="shared" ref="C343:C347" si="35">D343&amp;J343&amp;E343&amp;F343&amp;G343</f>
        <v>Premium4R3less</v>
      </c>
      <c r="D343" s="97" t="str">
        <f t="shared" ref="D343:D347" si="36">IF(OR(I343="PremiumSS",I343="PremiumSSw"),"PremiumSS",IF(I343="PremiumSSS",I343,IF(I343="PremiumW",IF(J343=5,"premium",I343),"Premium")))</f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IFERROR(VLOOKUP(B343,input_504010!L:R,7,FALSE),VLOOKUP(tables_504010!C343,input_504010!A:H,8,FALSE))</f>
        <v>577866.66666999995</v>
      </c>
      <c r="P343" s="46">
        <f t="shared" ref="P343:P347" ca="1" si="37">O343/SUM(O:O)</f>
        <v>9.3144208038332277E-3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input_504010!A$2</f>
        <v>504010</v>
      </c>
      <c r="B344" s="101">
        <v>1249</v>
      </c>
      <c r="C344" s="7" t="str">
        <f t="shared" si="35"/>
        <v>Premium5R3less</v>
      </c>
      <c r="D344" s="97" t="str">
        <f t="shared" si="36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IFERROR(VLOOKUP(B344,input_504010!L:R,7,FALSE),VLOOKUP(tables_504010!C344,input_504010!A:H,8,FALSE))</f>
        <v>36850</v>
      </c>
      <c r="P344" s="46">
        <f t="shared" ca="1" si="37"/>
        <v>5.9397163120548198E-4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input_504010!A$2</f>
        <v>504010</v>
      </c>
      <c r="B345" s="101">
        <v>1250</v>
      </c>
      <c r="C345" s="7" t="str">
        <f t="shared" si="35"/>
        <v>PremiumSS5R5only</v>
      </c>
      <c r="D345" s="97" t="str">
        <f t="shared" si="36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IFERROR(VLOOKUP(B345,input_504010!L:R,7,FALSE),VLOOKUP(tables_504010!C345,input_504010!A:H,8,FALSE))</f>
        <v>4502.1052600000003</v>
      </c>
      <c r="P345" s="46">
        <f t="shared" ca="1" si="37"/>
        <v>7.2567783043174516E-5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input_504010!A$2</f>
        <v>504010</v>
      </c>
      <c r="B346" s="1">
        <v>8001</v>
      </c>
      <c r="C346" s="7" t="str">
        <f t="shared" si="35"/>
        <v>PremiumSS5R5only</v>
      </c>
      <c r="D346" s="97" t="str">
        <f t="shared" si="36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媽祖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yellow</v>
      </c>
      <c r="L346" s="7" t="str">
        <f>VLOOKUP(B346,[1]characters!$A:$K,11,FALSE)</f>
        <v>attack</v>
      </c>
      <c r="M346" s="7" t="str">
        <f>VLOOKUP(B346,[1]characters!$A:$M,13,FALSE)</f>
        <v>god</v>
      </c>
      <c r="N346" s="7" t="str">
        <f>VLOOKUP(B346,[1]characters!$A:$G,7,FALSE)</f>
        <v>女性</v>
      </c>
      <c r="O346" s="45">
        <f>IFERROR(VLOOKUP(B346,input_504010!L:R,7,FALSE),VLOOKUP(tables_504010!C346,input_504010!A:H,8,FALSE))</f>
        <v>1240800</v>
      </c>
      <c r="P346" s="46">
        <f t="shared" ca="1" si="37"/>
        <v>1.9999999999993544E-2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input_504010!A$2</f>
        <v>504010</v>
      </c>
      <c r="B347" s="1">
        <v>8005</v>
      </c>
      <c r="C347" s="7" t="str">
        <f t="shared" si="35"/>
        <v>PremiumSS5R5only</v>
      </c>
      <c r="D347" s="97" t="str">
        <f t="shared" si="36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三蔵法師</v>
      </c>
      <c r="I347" s="7" t="str">
        <f>VLOOKUP(B347,[1]characters!$A:$J,10,FALSE)</f>
        <v>PremiumSS</v>
      </c>
      <c r="J347" s="7">
        <f>VLOOKUP(B347,[1]characters!$A:$I,9,FALSE)</f>
        <v>5</v>
      </c>
      <c r="K347" s="7" t="str">
        <f>VLOOKUP(B347,[1]characters!$A:$H,8,FALSE)</f>
        <v>blue</v>
      </c>
      <c r="L347" s="7" t="str">
        <f>VLOOKUP(B347,[1]characters!$A:$K,11,FALSE)</f>
        <v>balance</v>
      </c>
      <c r="M347" s="7" t="str">
        <f>VLOOKUP(B347,[1]characters!$A:$M,13,FALSE)</f>
        <v>human</v>
      </c>
      <c r="N347" s="7" t="str">
        <f>VLOOKUP(B347,[1]characters!$A:$G,7,FALSE)</f>
        <v>不明</v>
      </c>
      <c r="O347" s="45">
        <f>IFERROR(VLOOKUP(B347,input_504010!L:R,7,FALSE),VLOOKUP(tables_504010!C347,input_504010!A:H,8,FALSE))</f>
        <v>1240800</v>
      </c>
      <c r="P347" s="46">
        <f t="shared" ca="1" si="37"/>
        <v>1.9999999999993544E-2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tabSelected="1" workbookViewId="0">
      <selection activeCell="E34" sqref="E34:E35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504100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8001</v>
      </c>
      <c r="M3" s="37" t="str">
        <f>VLOOKUP(L3,[1]characters!$A:$C,3,FALSE)</f>
        <v>媽祖</v>
      </c>
      <c r="N3" s="63">
        <v>0.02</v>
      </c>
      <c r="O3" s="37">
        <f>VLOOKUP(L3,[1]characters!$A:$I,9,FALSE)</f>
        <v>5</v>
      </c>
      <c r="P3" s="37" t="str">
        <f>VLOOKUP(L3,[1]characters!$A:$J,10,FALSE)</f>
        <v>PremiumSS</v>
      </c>
      <c r="Q3" s="37" t="str">
        <f>VLOOKUP(L3,tables_504100!B:C,2,FALSE)</f>
        <v>PremiumSS5R5only</v>
      </c>
      <c r="R3" s="62">
        <f t="shared" ref="R3:R20" si="1">N3*A$36</f>
        <v>1240800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8005</v>
      </c>
      <c r="M4" s="37" t="str">
        <f>VLOOKUP(L4,[1]characters!$A:$C,3,FALSE)</f>
        <v>三蔵法師</v>
      </c>
      <c r="N4" s="63">
        <v>0.02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VLOOKUP(L4,tables_504100!B:C,2,FALSE)</f>
        <v>PremiumSS5R5only</v>
      </c>
      <c r="R4" s="62">
        <f t="shared" si="1"/>
        <v>1240800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1.5151515151515154E-4</v>
      </c>
      <c r="F5">
        <f>(COUNTIF(tables_504100!C:C,input_504100!A28)+COUNTIF(tables_504100!C:C,input_504100!A29))</f>
        <v>68</v>
      </c>
      <c r="H5" s="84">
        <v>0.04</v>
      </c>
      <c r="I5" s="31">
        <v>2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VLOOKUP(L5,tables_504100!B:C,2,FALSE)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</v>
      </c>
      <c r="D6" t="s">
        <v>202</v>
      </c>
      <c r="E6" s="76">
        <f>(B10-H6)/(F6-I6)</f>
        <v>1.0106382978723403E-2</v>
      </c>
      <c r="F6">
        <f>(COUNTIF(tables_504100!C:C,input_504100!A25)+COUNTIF(tables_504100!C:C,input_504100!A18)+COUNTIF(tables_504100!C:C,input_504100!A20)+COUNTIF(tables_504100!C:C,input_504100!A22))</f>
        <v>94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VLOOKUP(L6,tables_504100!B:C,2,FALSE)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VLOOKUP(L7,tables_504100!B:C,2,FALSE)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VLOOKUP(L8,tables_504100!B:C,2,FALSE)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VLOOKUP(L9,tables_504100!B:C,2,FALSE)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VLOOKUP(L10,tables_504100!B:C,2,FALSE)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VLOOKUP(L11,tables_504100!B:C,2,FALSE)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VLOOKUP(L12,tables_504100!B:C,2,FALSE)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VLOOKUP(L13,tables_504100!B:C,2,FALSE)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VLOOKUP(L14,tables_504100!B:C,2,FALSE)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0.04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VLOOKUP(L15,tables_504100!B:C,2,FALSE)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VLOOKUP(L16,tables_504100!B:C,2,FALSE)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COUNTIF(tables_504100!C:C,input_504100!A17)-COUNTIF(Q:Q,A17)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VLOOKUP(L17,tables_504100!B:C,2,FALSE)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E$6*E18-B17+E34+0.02-G49</f>
        <v>0.23616054158235855</v>
      </c>
      <c r="C18" s="85">
        <f t="shared" si="2"/>
        <v>0</v>
      </c>
      <c r="D18" s="74">
        <f t="shared" si="3"/>
        <v>0.23616054158235855</v>
      </c>
      <c r="E18">
        <f>COUNTIF(tables_504100!C:C,input_504100!A18)-COUNTIF(Q:Q,A18)</f>
        <v>20</v>
      </c>
      <c r="F18" s="43">
        <f>IFERROR(B18/E18,0)</f>
        <v>1.1808027079117928E-2</v>
      </c>
      <c r="G18">
        <f t="shared" si="4"/>
        <v>14651399.999769524</v>
      </c>
      <c r="H18">
        <f t="shared" si="5"/>
        <v>732569.99999000004</v>
      </c>
      <c r="I18">
        <f t="shared" si="6"/>
        <v>0.99999000004027039</v>
      </c>
      <c r="J18">
        <f t="shared" si="7"/>
        <v>1.0000100000597298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VLOOKUP(L18,tables_504100!B:C,2,FALSE)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COUNTIF(tables_504100!C:C,input_504100!A19)-COUNTIF(Q:Q,A19)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VLOOKUP(L19,tables_504100!B:C,2,FALSE)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E$6*E20*B$6-0.02</f>
        <v>0.45297872340425527</v>
      </c>
      <c r="C20" s="85">
        <f t="shared" si="2"/>
        <v>0</v>
      </c>
      <c r="D20" s="74">
        <f t="shared" si="3"/>
        <v>0.45297872340425527</v>
      </c>
      <c r="E20">
        <f>COUNTIF(tables_504100!C:C,input_504100!A20)-COUNTIF(Q:Q,A20)</f>
        <v>52</v>
      </c>
      <c r="F20" s="43">
        <f t="shared" si="8"/>
        <v>8.7111292962356781E-3</v>
      </c>
      <c r="G20">
        <f t="shared" si="4"/>
        <v>28102799.999999996</v>
      </c>
      <c r="H20">
        <f t="shared" si="5"/>
        <v>540438.46154000005</v>
      </c>
      <c r="I20">
        <f t="shared" si="6"/>
        <v>0.4615400000475347</v>
      </c>
      <c r="J20">
        <f t="shared" si="7"/>
        <v>2.1666594442453708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VLOOKUP(L20,tables_504100!B:C,2,FALSE)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3.8520309477756288E-2</v>
      </c>
      <c r="C21" s="85">
        <f t="shared" si="2"/>
        <v>0</v>
      </c>
      <c r="D21" s="74">
        <f t="shared" si="3"/>
        <v>3.8520309477756288E-2</v>
      </c>
      <c r="E21">
        <f>COUNTIF(tables_504100!C:C,input_504100!A21)-COUNTIF(Q:Q,A21)</f>
        <v>52</v>
      </c>
      <c r="F21" s="43">
        <f t="shared" si="8"/>
        <v>7.40775182264544E-4</v>
      </c>
      <c r="G21">
        <f t="shared" si="4"/>
        <v>2389800</v>
      </c>
      <c r="H21">
        <f t="shared" si="5"/>
        <v>45957.692309999999</v>
      </c>
      <c r="I21">
        <f t="shared" si="6"/>
        <v>0.69230999999854248</v>
      </c>
      <c r="J21">
        <f t="shared" si="7"/>
        <v>1.4444396296487199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0.1676595744680851</v>
      </c>
      <c r="C22" s="85">
        <f t="shared" si="2"/>
        <v>0</v>
      </c>
      <c r="D22" s="74">
        <f t="shared" si="3"/>
        <v>0.1676595744680851</v>
      </c>
      <c r="E22">
        <f>COUNTIF(tables_504100!C:C,input_504100!A22)-COUNTIF(Q:Q,A22)</f>
        <v>18</v>
      </c>
      <c r="F22" s="43">
        <f t="shared" si="8"/>
        <v>9.3144208037825062E-3</v>
      </c>
      <c r="G22">
        <f t="shared" si="4"/>
        <v>10401600</v>
      </c>
      <c r="H22">
        <f t="shared" si="5"/>
        <v>577866.66666999995</v>
      </c>
      <c r="I22">
        <f t="shared" si="6"/>
        <v>0.66666999994777143</v>
      </c>
      <c r="J22">
        <f t="shared" si="7"/>
        <v>1.499992500155013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E23*E6*B7-E36-0.01</f>
        <v>1.4255319148936166E-2</v>
      </c>
      <c r="C23" s="85">
        <f t="shared" si="2"/>
        <v>0</v>
      </c>
      <c r="D23" s="74">
        <f t="shared" si="3"/>
        <v>1.4255319148936166E-2</v>
      </c>
      <c r="E23">
        <f>COUNTIF(tables_504100!C:C,input_504100!A23)-COUNTIF(Q:Q,A23)</f>
        <v>24</v>
      </c>
      <c r="F23" s="43">
        <f t="shared" si="8"/>
        <v>5.9397163120567355E-4</v>
      </c>
      <c r="G23">
        <f t="shared" si="4"/>
        <v>884399.99999999977</v>
      </c>
      <c r="H23">
        <f t="shared" si="5"/>
        <v>36850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COUNTIF(tables_504100!C:C,input_504100!A24)-COUNTIF(Q:Q,A24)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3.638297872340425E-2</v>
      </c>
      <c r="C25" s="85">
        <f t="shared" si="2"/>
        <v>0</v>
      </c>
      <c r="D25" s="74">
        <f t="shared" si="3"/>
        <v>3.638297872340425E-2</v>
      </c>
      <c r="E25">
        <f>COUNTIF(tables_504100!C:C,input_504100!A25)-COUNTIF(Q:Q,A25)</f>
        <v>4</v>
      </c>
      <c r="F25" s="43">
        <f t="shared" si="8"/>
        <v>9.0957446808510624E-3</v>
      </c>
      <c r="G25">
        <f t="shared" si="4"/>
        <v>2257199.9999999995</v>
      </c>
      <c r="H25">
        <f t="shared" si="5"/>
        <v>564300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4.0425531914893616E-3</v>
      </c>
      <c r="C26" s="85">
        <f t="shared" si="2"/>
        <v>0</v>
      </c>
      <c r="D26" s="74">
        <f t="shared" si="3"/>
        <v>4.0425531914893616E-3</v>
      </c>
      <c r="E26">
        <f>COUNTIF(tables_504100!C:C,input_504100!A26)-COUNTIF(Q:Q,A26)</f>
        <v>4</v>
      </c>
      <c r="F26" s="43">
        <f t="shared" si="8"/>
        <v>1.0106382978723404E-3</v>
      </c>
      <c r="G26">
        <f t="shared" si="4"/>
        <v>250800</v>
      </c>
      <c r="H26">
        <f t="shared" si="5"/>
        <v>62700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E$5*E27*(B$5+B$6)+G49</f>
        <v>6.8181818183502847E-3</v>
      </c>
      <c r="C27" s="85">
        <f t="shared" si="2"/>
        <v>0</v>
      </c>
      <c r="D27" s="74">
        <f t="shared" si="3"/>
        <v>6.8181818183502847E-3</v>
      </c>
      <c r="E27">
        <f>COUNTIF(tables_504100!C:C,input_504100!A27)-COUNTIF(Q:Q,A27)</f>
        <v>28</v>
      </c>
      <c r="F27" s="43">
        <f>IFERROR(B27/E27,0)</f>
        <v>2.4350649351251018E-4</v>
      </c>
      <c r="G27">
        <f t="shared" si="4"/>
        <v>423000.00001045165</v>
      </c>
      <c r="H27">
        <f t="shared" si="5"/>
        <v>15107.14286</v>
      </c>
      <c r="I27">
        <f t="shared" si="6"/>
        <v>0.14285999999992782</v>
      </c>
      <c r="J27">
        <f t="shared" si="7"/>
        <v>6.999860002803481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4.2424242424242431E-4</v>
      </c>
      <c r="C28" s="85">
        <f t="shared" si="2"/>
        <v>0</v>
      </c>
      <c r="D28" s="74">
        <f t="shared" si="3"/>
        <v>4.2424242424242431E-4</v>
      </c>
      <c r="E28">
        <f>COUNTIF(tables_504100!C:C,input_504100!A28)-COUNTIF(Q:Q,A28)</f>
        <v>28</v>
      </c>
      <c r="F28" s="43">
        <f t="shared" si="8"/>
        <v>1.5151515151515155E-5</v>
      </c>
      <c r="G28">
        <f t="shared" si="4"/>
        <v>26320.000000000004</v>
      </c>
      <c r="H28">
        <f t="shared" si="5"/>
        <v>940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E$5*E29-0.003</f>
        <v>2.7575757575757582E-3</v>
      </c>
      <c r="C29" s="85">
        <f t="shared" si="2"/>
        <v>0.04</v>
      </c>
      <c r="D29" s="74">
        <f t="shared" si="3"/>
        <v>-3.7242424242424244E-2</v>
      </c>
      <c r="E29">
        <f>COUNTIF(tables_504100!C:C,input_504100!A29)-COUNTIF(Q:Q,A29)</f>
        <v>38</v>
      </c>
      <c r="F29" s="43">
        <f t="shared" si="8"/>
        <v>7.2567783094098896E-5</v>
      </c>
      <c r="G29">
        <f t="shared" si="4"/>
        <v>171080.00000000003</v>
      </c>
      <c r="H29">
        <f t="shared" si="5"/>
        <v>4502.1052600000003</v>
      </c>
      <c r="I29">
        <f t="shared" si="6"/>
        <v>0.10526000000027125</v>
      </c>
      <c r="J29">
        <f t="shared" si="7"/>
        <v>9.5002850085257755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COUNTIF(tables_504100!C:C,input_504100!A30)-COUNTIF(Q:Q,A30)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COUNTIF(tables_504100!C:C,input_504100!A31)-COUNTIF(Q:Q,A31)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0.95999999999645347</v>
      </c>
      <c r="C32" s="41">
        <f>SUM(C19:C31)</f>
        <v>0.04</v>
      </c>
      <c r="D32" s="42">
        <f t="shared" si="3"/>
        <v>0.91999999999645343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1.7032882008058969E-2</v>
      </c>
      <c r="F34" s="55">
        <f ca="1">0.9-G41</f>
        <v>-3.2263081095607049E-13</v>
      </c>
    </row>
    <row r="35" spans="1:7" x14ac:dyDescent="0.15">
      <c r="A35" t="s">
        <v>73</v>
      </c>
      <c r="E35">
        <v>0.04</v>
      </c>
    </row>
    <row r="36" spans="1:7" x14ac:dyDescent="0.15">
      <c r="A36" s="31">
        <f>LCM(F5-I5,F6-I6)*1000*2*2*5</f>
        <v>62040000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SUMIF(tables_504100!C:C,input_504100!A40,tables_504100!O:O)</f>
        <v>0</v>
      </c>
      <c r="C40" s="54">
        <f t="shared" ref="C40:C46" ca="1" si="9">B40/B$47</f>
        <v>0</v>
      </c>
      <c r="E40">
        <v>3</v>
      </c>
      <c r="F40">
        <f ca="1">SUMIF(tables_504100!J:J,input_504100!E40,tables_504100!O:O)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SUMIF(tables_504100!C:C,input_504100!A41,tables_504100!O:O)</f>
        <v>28102800.000079986</v>
      </c>
      <c r="C41" s="54">
        <f t="shared" ca="1" si="9"/>
        <v>0.90824357376095899</v>
      </c>
      <c r="E41">
        <v>4</v>
      </c>
      <c r="F41">
        <f ca="1">SUMIF(tables_504100!J:J,input_504100!E41,tables_504100!O:O)</f>
        <v>55836000.00002002</v>
      </c>
      <c r="G41">
        <f ca="1">F41/A36</f>
        <v>0.90000000000032265</v>
      </c>
    </row>
    <row r="42" spans="1:7" x14ac:dyDescent="0.15">
      <c r="A42" s="33" t="s">
        <v>106</v>
      </c>
      <c r="B42">
        <f ca="1">SUMIF(tables_504100!C:C,input_504100!A42,tables_504100!O:O)</f>
        <v>423000.00008000014</v>
      </c>
      <c r="C42" s="54">
        <f t="shared" ca="1" si="9"/>
        <v>1.3670774149638177E-2</v>
      </c>
      <c r="E42">
        <v>5</v>
      </c>
      <c r="F42">
        <f ca="1">SUMIF(tables_504100!J:J,input_504100!E42,tables_504100!O:O)</f>
        <v>6204000.0000000028</v>
      </c>
      <c r="G42">
        <f ca="1">F42/A36</f>
        <v>0.10000000000000005</v>
      </c>
    </row>
    <row r="43" spans="1:7" x14ac:dyDescent="0.15">
      <c r="A43" s="33" t="s">
        <v>109</v>
      </c>
      <c r="B43">
        <f>SUMIF(tables_504100!C:C,input_504100!A43,tables_504100!O:O)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SUMIF(tables_504100!C:C,input_504100!A44,tables_504100!O:O)</f>
        <v>2389800.00012</v>
      </c>
      <c r="C44" s="54">
        <f t="shared" ca="1" si="9"/>
        <v>7.7235026142475169E-2</v>
      </c>
      <c r="E44" t="s">
        <v>54</v>
      </c>
      <c r="F44" s="55"/>
    </row>
    <row r="45" spans="1:7" x14ac:dyDescent="0.15">
      <c r="A45" s="33" t="s">
        <v>107</v>
      </c>
      <c r="B45">
        <f ca="1">SUMIF(tables_504100!C:C,input_504100!A45,tables_504100!O:O)</f>
        <v>26320</v>
      </c>
      <c r="C45" s="54">
        <f t="shared" ca="1" si="9"/>
        <v>8.5062594692772258E-4</v>
      </c>
      <c r="E45" t="s">
        <v>204</v>
      </c>
      <c r="F45" s="55">
        <f ca="1">SUMIF(tables_504100!I:I,input_504100!E45,tables_504100!P:P)</f>
        <v>0.23972437137000632</v>
      </c>
    </row>
    <row r="46" spans="1:7" x14ac:dyDescent="0.15">
      <c r="A46" s="33" t="s">
        <v>108</v>
      </c>
      <c r="B46">
        <f>SUMIF(tables_504100!C:C,input_504100!A46,tables_504100!O:O)</f>
        <v>0</v>
      </c>
      <c r="C46" s="54">
        <f t="shared" ca="1" si="9"/>
        <v>0</v>
      </c>
      <c r="E46" t="s">
        <v>205</v>
      </c>
      <c r="F46" s="55">
        <f ca="1">SUMIF(tables_504100!I:I,input_504100!E46,tables_504100!P:P)</f>
        <v>0.19100152507166634</v>
      </c>
    </row>
    <row r="47" spans="1:7" x14ac:dyDescent="0.15">
      <c r="A47" s="39" t="s">
        <v>59</v>
      </c>
      <c r="B47">
        <f ca="1">SUM(B40:B46)</f>
        <v>30941920.000279985</v>
      </c>
      <c r="C47" s="55">
        <f ca="1">SUM(C40:C46)</f>
        <v>1</v>
      </c>
      <c r="E47" t="s">
        <v>206</v>
      </c>
      <c r="F47" s="55">
        <f ca="1">SUMIF(tables_504100!I:I,input_504100!E47,tables_504100!P:P)</f>
        <v>0.51927410355898773</v>
      </c>
    </row>
    <row r="48" spans="1:7" x14ac:dyDescent="0.15">
      <c r="E48" t="s">
        <v>207</v>
      </c>
      <c r="F48" s="55">
        <f ca="1">SUMIF(tables_504100!I:I,input_504100!E48,tables_504100!P:P)</f>
        <v>4.9492025518036893E-2</v>
      </c>
      <c r="G48" s="55">
        <f ca="1">0.05-F48-F49</f>
        <v>6.6088801098374006E-13</v>
      </c>
    </row>
    <row r="49" spans="5:7" x14ac:dyDescent="0.15">
      <c r="E49" t="s">
        <v>251</v>
      </c>
      <c r="F49" s="55">
        <f ca="1">SUMIF(tables_504100!I:I,input_504100!E49,tables_504100!P:P)</f>
        <v>5.0797448130222161E-4</v>
      </c>
      <c r="G49">
        <v>3.0000000001684664E-3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47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B347" sqref="B2:B34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input_504100!A$2</f>
        <v>504100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IFERROR(VLOOKUP(B2,input_504100!L:R,7,FALSE),VLOOKUP(tables_504100!C2,input_504100!A:H,8,FALSE))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input_504100!A$2</f>
        <v>504100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IFERROR(VLOOKUP(B3,input_504100!L:R,7,FALSE),VLOOKUP(tables_504100!C3,input_504100!A:H,8,FALSE))</f>
        <v>732569.99999000004</v>
      </c>
      <c r="P3" s="46">
        <f t="shared" ca="1" si="1"/>
        <v>1.1808027079138677E-2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input_504100!A$2</f>
        <v>504100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IFERROR(VLOOKUP(B4,input_504100!L:R,7,FALSE),VLOOKUP(tables_504100!C4,input_504100!A:H,8,FALSE))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input_504100!A$2</f>
        <v>504100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IFERROR(VLOOKUP(B5,input_504100!L:R,7,FALSE),VLOOKUP(tables_504100!C5,input_504100!A:H,8,FALSE))</f>
        <v>732569.99999000004</v>
      </c>
      <c r="P5" s="46">
        <f t="shared" ca="1" si="1"/>
        <v>1.1808027079138677E-2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input_504100!A$2</f>
        <v>504100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IFERROR(VLOOKUP(B6,input_504100!L:R,7,FALSE),VLOOKUP(tables_504100!C6,input_504100!A:H,8,FALSE))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input_504100!A$2</f>
        <v>504100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IFERROR(VLOOKUP(B7,input_504100!L:R,7,FALSE),VLOOKUP(tables_504100!C7,input_504100!A:H,8,FALSE))</f>
        <v>732569.99999000004</v>
      </c>
      <c r="P7" s="46">
        <f t="shared" ca="1" si="1"/>
        <v>1.1808027079138677E-2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input_504100!A$2</f>
        <v>504100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IFERROR(VLOOKUP(B8,input_504100!L:R,7,FALSE),VLOOKUP(tables_504100!C8,input_504100!A:H,8,FALSE))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input_504100!A$2</f>
        <v>504100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IFERROR(VLOOKUP(B9,input_504100!L:R,7,FALSE),VLOOKUP(tables_504100!C9,input_504100!A:H,8,FALSE))</f>
        <v>732569.99999000004</v>
      </c>
      <c r="P9" s="46">
        <f t="shared" ca="1" si="1"/>
        <v>1.1808027079138677E-2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input_504100!A$2</f>
        <v>504100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IFERROR(VLOOKUP(B10,input_504100!L:R,7,FALSE),VLOOKUP(tables_504100!C10,input_504100!A:H,8,FALSE))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input_504100!A$2</f>
        <v>504100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IFERROR(VLOOKUP(B11,input_504100!L:R,7,FALSE),VLOOKUP(tables_504100!C11,input_504100!A:H,8,FALSE))</f>
        <v>732569.99999000004</v>
      </c>
      <c r="P11" s="46">
        <f t="shared" ca="1" si="1"/>
        <v>1.1808027079138677E-2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input_504100!A$2</f>
        <v>504100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IFERROR(VLOOKUP(B12,input_504100!L:R,7,FALSE),VLOOKUP(tables_504100!C12,input_504100!A:H,8,FALSE))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input_504100!A$2</f>
        <v>504100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IFERROR(VLOOKUP(B13,input_504100!L:R,7,FALSE),VLOOKUP(tables_504100!C13,input_504100!A:H,8,FALSE))</f>
        <v>732569.99999000004</v>
      </c>
      <c r="P13" s="46">
        <f t="shared" ca="1" si="1"/>
        <v>1.1808027079138677E-2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input_504100!A$2</f>
        <v>504100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IFERROR(VLOOKUP(B14,input_504100!L:R,7,FALSE),VLOOKUP(tables_504100!C14,input_504100!A:H,8,FALSE))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input_504100!A$2</f>
        <v>504100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IFERROR(VLOOKUP(B15,input_504100!L:R,7,FALSE),VLOOKUP(tables_504100!C15,input_504100!A:H,8,FALSE))</f>
        <v>732569.99999000004</v>
      </c>
      <c r="P15" s="46">
        <f t="shared" ca="1" si="1"/>
        <v>1.1808027079138677E-2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input_504100!A$2</f>
        <v>504100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IFERROR(VLOOKUP(B16,input_504100!L:R,7,FALSE),VLOOKUP(tables_504100!C16,input_504100!A:H,8,FALSE))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input_504100!A$2</f>
        <v>504100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IFERROR(VLOOKUP(B17,input_504100!L:R,7,FALSE),VLOOKUP(tables_504100!C17,input_504100!A:H,8,FALSE))</f>
        <v>732569.99999000004</v>
      </c>
      <c r="P17" s="46">
        <f t="shared" ca="1" si="1"/>
        <v>1.1808027079138677E-2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input_504100!A$2</f>
        <v>504100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IFERROR(VLOOKUP(B18,input_504100!L:R,7,FALSE),VLOOKUP(tables_504100!C18,input_504100!A:H,8,FALSE))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input_504100!A$2</f>
        <v>504100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IFERROR(VLOOKUP(B19,input_504100!L:R,7,FALSE),VLOOKUP(tables_504100!C19,input_504100!A:H,8,FALSE))</f>
        <v>732569.99999000004</v>
      </c>
      <c r="P19" s="46">
        <f t="shared" ca="1" si="1"/>
        <v>1.1808027079138677E-2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input_504100!A$2</f>
        <v>504100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IFERROR(VLOOKUP(B20,input_504100!L:R,7,FALSE),VLOOKUP(tables_504100!C20,input_504100!A:H,8,FALSE))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input_504100!A$2</f>
        <v>504100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IFERROR(VLOOKUP(B21,input_504100!L:R,7,FALSE),VLOOKUP(tables_504100!C21,input_504100!A:H,8,FALSE))</f>
        <v>732569.99999000004</v>
      </c>
      <c r="P21" s="46">
        <f t="shared" ca="1" si="1"/>
        <v>1.1808027079138677E-2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input_504100!A$2</f>
        <v>504100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IFERROR(VLOOKUP(B22,input_504100!L:R,7,FALSE),VLOOKUP(tables_504100!C22,input_504100!A:H,8,FALSE))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input_504100!A$2</f>
        <v>504100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IFERROR(VLOOKUP(B23,input_504100!L:R,7,FALSE),VLOOKUP(tables_504100!C23,input_504100!A:H,8,FALSE))</f>
        <v>732569.99999000004</v>
      </c>
      <c r="P23" s="46">
        <f t="shared" ca="1" si="1"/>
        <v>1.1808027079138677E-2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input_504100!A$2</f>
        <v>504100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IFERROR(VLOOKUP(B24,input_504100!L:R,7,FALSE),VLOOKUP(tables_504100!C24,input_504100!A:H,8,FALSE))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input_504100!A$2</f>
        <v>504100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IFERROR(VLOOKUP(B25,input_504100!L:R,7,FALSE),VLOOKUP(tables_504100!C25,input_504100!A:H,8,FALSE))</f>
        <v>732569.99999000004</v>
      </c>
      <c r="P25" s="46">
        <f t="shared" ca="1" si="1"/>
        <v>1.1808027079138677E-2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input_504100!A$2</f>
        <v>504100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IFERROR(VLOOKUP(B26,input_504100!L:R,7,FALSE),VLOOKUP(tables_504100!C26,input_504100!A:H,8,FALSE))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input_504100!A$2</f>
        <v>504100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IFERROR(VLOOKUP(B27,input_504100!L:R,7,FALSE),VLOOKUP(tables_504100!C27,input_504100!A:H,8,FALSE))</f>
        <v>732569.99999000004</v>
      </c>
      <c r="P27" s="46">
        <f t="shared" ca="1" si="1"/>
        <v>1.1808027079138677E-2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input_504100!A$2</f>
        <v>504100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IFERROR(VLOOKUP(B28,input_504100!L:R,7,FALSE),VLOOKUP(tables_504100!C28,input_504100!A:H,8,FALSE))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input_504100!A$2</f>
        <v>504100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IFERROR(VLOOKUP(B29,input_504100!L:R,7,FALSE),VLOOKUP(tables_504100!C29,input_504100!A:H,8,FALSE))</f>
        <v>732569.99999000004</v>
      </c>
      <c r="P29" s="46">
        <f t="shared" ca="1" si="1"/>
        <v>1.1808027079138677E-2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input_504100!A$2</f>
        <v>504100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IFERROR(VLOOKUP(B30,input_504100!L:R,7,FALSE),VLOOKUP(tables_504100!C30,input_504100!A:H,8,FALSE))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input_504100!A$2</f>
        <v>504100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IFERROR(VLOOKUP(B31,input_504100!L:R,7,FALSE),VLOOKUP(tables_504100!C31,input_504100!A:H,8,FALSE))</f>
        <v>732569.99999000004</v>
      </c>
      <c r="P31" s="46">
        <f t="shared" ca="1" si="1"/>
        <v>1.1808027079138677E-2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input_504100!A$2</f>
        <v>504100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IFERROR(VLOOKUP(B32,input_504100!L:R,7,FALSE),VLOOKUP(tables_504100!C32,input_504100!A:H,8,FALSE))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input_504100!A$2</f>
        <v>504100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IFERROR(VLOOKUP(B33,input_504100!L:R,7,FALSE),VLOOKUP(tables_504100!C33,input_504100!A:H,8,FALSE))</f>
        <v>732569.99999000004</v>
      </c>
      <c r="P33" s="46">
        <f t="shared" ca="1" si="1"/>
        <v>1.1808027079138677E-2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input_504100!A$2</f>
        <v>504100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IFERROR(VLOOKUP(B34,input_504100!L:R,7,FALSE),VLOOKUP(tables_504100!C34,input_504100!A:H,8,FALSE))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input_504100!A$2</f>
        <v>504100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IFERROR(VLOOKUP(B35,input_504100!L:R,7,FALSE),VLOOKUP(tables_504100!C35,input_504100!A:H,8,FALSE))</f>
        <v>732569.99999000004</v>
      </c>
      <c r="P35" s="46">
        <f t="shared" ca="1" si="1"/>
        <v>1.1808027079138677E-2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input_504100!A$2</f>
        <v>504100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IFERROR(VLOOKUP(B36,input_504100!L:R,7,FALSE),VLOOKUP(tables_504100!C36,input_504100!A:H,8,FALSE))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input_504100!A$2</f>
        <v>504100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IFERROR(VLOOKUP(B37,input_504100!L:R,7,FALSE),VLOOKUP(tables_504100!C37,input_504100!A:H,8,FALSE))</f>
        <v>732569.99999000004</v>
      </c>
      <c r="P37" s="46">
        <f t="shared" ca="1" si="1"/>
        <v>1.1808027079138677E-2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input_504100!A$2</f>
        <v>504100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IFERROR(VLOOKUP(B38,input_504100!L:R,7,FALSE),VLOOKUP(tables_504100!C38,input_504100!A:H,8,FALSE))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input_504100!A$2</f>
        <v>504100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IFERROR(VLOOKUP(B39,input_504100!L:R,7,FALSE),VLOOKUP(tables_504100!C39,input_504100!A:H,8,FALSE))</f>
        <v>732569.99999000004</v>
      </c>
      <c r="P39" s="46">
        <f t="shared" ca="1" si="1"/>
        <v>1.1808027079138677E-2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input_504100!A$2</f>
        <v>504100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IFERROR(VLOOKUP(B40,input_504100!L:R,7,FALSE),VLOOKUP(tables_504100!C40,input_504100!A:H,8,FALSE))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input_504100!A$2</f>
        <v>504100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IFERROR(VLOOKUP(B41,input_504100!L:R,7,FALSE),VLOOKUP(tables_504100!C41,input_504100!A:H,8,FALSE))</f>
        <v>732569.99999000004</v>
      </c>
      <c r="P41" s="46">
        <f t="shared" ca="1" si="1"/>
        <v>1.1808027079138677E-2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input_504100!A$2</f>
        <v>504100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IFERROR(VLOOKUP(B42,input_504100!L:R,7,FALSE),VLOOKUP(tables_504100!C42,input_504100!A:H,8,FALSE))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input_504100!A$2</f>
        <v>504100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IFERROR(VLOOKUP(B43,input_504100!L:R,7,FALSE),VLOOKUP(tables_504100!C43,input_504100!A:H,8,FALSE))</f>
        <v>564300</v>
      </c>
      <c r="P43" s="46">
        <f t="shared" ca="1" si="1"/>
        <v>9.0957446808481272E-3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input_504100!A$2</f>
        <v>504100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IFERROR(VLOOKUP(B44,input_504100!L:R,7,FALSE),VLOOKUP(tables_504100!C44,input_504100!A:H,8,FALSE))</f>
        <v>62700</v>
      </c>
      <c r="P44" s="46">
        <f t="shared" ca="1" si="1"/>
        <v>1.0106382978720143E-3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input_504100!A$2</f>
        <v>504100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IFERROR(VLOOKUP(B45,input_504100!L:R,7,FALSE),VLOOKUP(tables_504100!C45,input_504100!A:H,8,FALSE))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input_504100!A$2</f>
        <v>504100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IFERROR(VLOOKUP(B46,input_504100!L:R,7,FALSE),VLOOKUP(tables_504100!C46,input_504100!A:H,8,FALSE))</f>
        <v>564300</v>
      </c>
      <c r="P46" s="46">
        <f t="shared" ca="1" si="1"/>
        <v>9.0957446808481272E-3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input_504100!A$2</f>
        <v>504100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IFERROR(VLOOKUP(B47,input_504100!L:R,7,FALSE),VLOOKUP(tables_504100!C47,input_504100!A:H,8,FALSE))</f>
        <v>62700</v>
      </c>
      <c r="P47" s="46">
        <f t="shared" ca="1" si="1"/>
        <v>1.0106382978720143E-3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input_504100!A$2</f>
        <v>504100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IFERROR(VLOOKUP(B48,input_504100!L:R,7,FALSE),VLOOKUP(tables_504100!C48,input_504100!A:H,8,FALSE))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input_504100!A$2</f>
        <v>504100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IFERROR(VLOOKUP(B49,input_504100!L:R,7,FALSE),VLOOKUP(tables_504100!C49,input_504100!A:H,8,FALSE))</f>
        <v>564300</v>
      </c>
      <c r="P49" s="46">
        <f t="shared" ca="1" si="1"/>
        <v>9.0957446808481272E-3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input_504100!A$2</f>
        <v>504100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IFERROR(VLOOKUP(B50,input_504100!L:R,7,FALSE),VLOOKUP(tables_504100!C50,input_504100!A:H,8,FALSE))</f>
        <v>62700</v>
      </c>
      <c r="P50" s="46">
        <f t="shared" ca="1" si="1"/>
        <v>1.0106382978720143E-3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input_504100!A$2</f>
        <v>504100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IFERROR(VLOOKUP(B51,input_504100!L:R,7,FALSE),VLOOKUP(tables_504100!C51,input_504100!A:H,8,FALSE))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input_504100!A$2</f>
        <v>504100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IFERROR(VLOOKUP(B52,input_504100!L:R,7,FALSE),VLOOKUP(tables_504100!C52,input_504100!A:H,8,FALSE))</f>
        <v>540438.46154000005</v>
      </c>
      <c r="P52" s="46">
        <f t="shared" ca="1" si="1"/>
        <v>8.7111292962576657E-3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input_504100!A$2</f>
        <v>504100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IFERROR(VLOOKUP(B53,input_504100!L:R,7,FALSE),VLOOKUP(tables_504100!C53,input_504100!A:H,8,FALSE))</f>
        <v>45957.692309999999</v>
      </c>
      <c r="P53" s="46">
        <f t="shared" ca="1" si="1"/>
        <v>7.4077518230150163E-4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input_504100!A$2</f>
        <v>504100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IFERROR(VLOOKUP(B54,input_504100!L:R,7,FALSE),VLOOKUP(tables_504100!C54,input_504100!A:H,8,FALSE))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input_504100!A$2</f>
        <v>504100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IFERROR(VLOOKUP(B55,input_504100!L:R,7,FALSE),VLOOKUP(tables_504100!C55,input_504100!A:H,8,FALSE))</f>
        <v>540438.46154000005</v>
      </c>
      <c r="P55" s="46">
        <f t="shared" ca="1" si="1"/>
        <v>8.7111292962576657E-3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input_504100!A$2</f>
        <v>504100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IFERROR(VLOOKUP(B56,input_504100!L:R,7,FALSE),VLOOKUP(tables_504100!C56,input_504100!A:H,8,FALSE))</f>
        <v>45957.692309999999</v>
      </c>
      <c r="P56" s="46">
        <f t="shared" ca="1" si="1"/>
        <v>7.4077518230150163E-4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input_504100!A$2</f>
        <v>504100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IFERROR(VLOOKUP(B57,input_504100!L:R,7,FALSE),VLOOKUP(tables_504100!C57,input_504100!A:H,8,FALSE))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input_504100!A$2</f>
        <v>504100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IFERROR(VLOOKUP(B58,input_504100!L:R,7,FALSE),VLOOKUP(tables_504100!C58,input_504100!A:H,8,FALSE))</f>
        <v>540438.46154000005</v>
      </c>
      <c r="P58" s="46">
        <f t="shared" ca="1" si="1"/>
        <v>8.7111292962576657E-3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input_504100!A$2</f>
        <v>504100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IFERROR(VLOOKUP(B59,input_504100!L:R,7,FALSE),VLOOKUP(tables_504100!C59,input_504100!A:H,8,FALSE))</f>
        <v>45957.692309999999</v>
      </c>
      <c r="P59" s="46">
        <f t="shared" ca="1" si="1"/>
        <v>7.4077518230150163E-4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input_504100!A$2</f>
        <v>504100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IFERROR(VLOOKUP(B60,input_504100!L:R,7,FALSE),VLOOKUP(tables_504100!C60,input_504100!A:H,8,FALSE))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input_504100!A$2</f>
        <v>504100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IFERROR(VLOOKUP(B61,input_504100!L:R,7,FALSE),VLOOKUP(tables_504100!C61,input_504100!A:H,8,FALSE))</f>
        <v>540438.46154000005</v>
      </c>
      <c r="P61" s="46">
        <f t="shared" ca="1" si="1"/>
        <v>8.7111292962576657E-3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input_504100!A$2</f>
        <v>504100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IFERROR(VLOOKUP(B62,input_504100!L:R,7,FALSE),VLOOKUP(tables_504100!C62,input_504100!A:H,8,FALSE))</f>
        <v>45957.692309999999</v>
      </c>
      <c r="P62" s="46">
        <f t="shared" ca="1" si="1"/>
        <v>7.4077518230150163E-4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input_504100!A$2</f>
        <v>504100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IFERROR(VLOOKUP(B63,input_504100!L:R,7,FALSE),VLOOKUP(tables_504100!C63,input_504100!A:H,8,FALSE))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input_504100!A$2</f>
        <v>504100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IFERROR(VLOOKUP(B64,input_504100!L:R,7,FALSE),VLOOKUP(tables_504100!C64,input_504100!A:H,8,FALSE))</f>
        <v>540438.46154000005</v>
      </c>
      <c r="P64" s="46">
        <f t="shared" ca="1" si="1"/>
        <v>8.7111292962576657E-3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input_504100!A$2</f>
        <v>504100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IFERROR(VLOOKUP(B65,input_504100!L:R,7,FALSE),VLOOKUP(tables_504100!C65,input_504100!A:H,8,FALSE))</f>
        <v>45957.692309999999</v>
      </c>
      <c r="P65" s="46">
        <f t="shared" ca="1" si="1"/>
        <v>7.4077518230150163E-4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input_504100!A$2</f>
        <v>504100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IFERROR(VLOOKUP(B66,input_504100!L:R,7,FALSE),VLOOKUP(tables_504100!C66,input_504100!A:H,8,FALSE))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input_504100!A$2</f>
        <v>504100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IFERROR(VLOOKUP(B67,input_504100!L:R,7,FALSE),VLOOKUP(tables_504100!C67,input_504100!A:H,8,FALSE))</f>
        <v>540438.46154000005</v>
      </c>
      <c r="P67" s="46">
        <f t="shared" ca="1" si="4"/>
        <v>8.7111292962576657E-3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input_504100!A$2</f>
        <v>504100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IFERROR(VLOOKUP(B68,input_504100!L:R,7,FALSE),VLOOKUP(tables_504100!C68,input_504100!A:H,8,FALSE))</f>
        <v>45957.692309999999</v>
      </c>
      <c r="P68" s="46">
        <f t="shared" ca="1" si="4"/>
        <v>7.4077518230150163E-4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input_504100!A$2</f>
        <v>504100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IFERROR(VLOOKUP(B69,input_504100!L:R,7,FALSE),VLOOKUP(tables_504100!C69,input_504100!A:H,8,FALSE))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input_504100!A$2</f>
        <v>504100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IFERROR(VLOOKUP(B70,input_504100!L:R,7,FALSE),VLOOKUP(tables_504100!C70,input_504100!A:H,8,FALSE))</f>
        <v>540438.46154000005</v>
      </c>
      <c r="P70" s="46">
        <f t="shared" ca="1" si="4"/>
        <v>8.7111292962576657E-3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input_504100!A$2</f>
        <v>504100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IFERROR(VLOOKUP(B71,input_504100!L:R,7,FALSE),VLOOKUP(tables_504100!C71,input_504100!A:H,8,FALSE))</f>
        <v>45957.692309999999</v>
      </c>
      <c r="P71" s="46">
        <f t="shared" ca="1" si="4"/>
        <v>7.4077518230150163E-4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input_504100!A$2</f>
        <v>504100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IFERROR(VLOOKUP(B72,input_504100!L:R,7,FALSE),VLOOKUP(tables_504100!C72,input_504100!A:H,8,FALSE))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input_504100!A$2</f>
        <v>504100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IFERROR(VLOOKUP(B73,input_504100!L:R,7,FALSE),VLOOKUP(tables_504100!C73,input_504100!A:H,8,FALSE))</f>
        <v>540438.46154000005</v>
      </c>
      <c r="P73" s="46">
        <f t="shared" ca="1" si="4"/>
        <v>8.7111292962576657E-3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input_504100!A$2</f>
        <v>504100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IFERROR(VLOOKUP(B74,input_504100!L:R,7,FALSE),VLOOKUP(tables_504100!C74,input_504100!A:H,8,FALSE))</f>
        <v>45957.692309999999</v>
      </c>
      <c r="P74" s="46">
        <f t="shared" ca="1" si="4"/>
        <v>7.4077518230150163E-4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input_504100!A$2</f>
        <v>504100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IFERROR(VLOOKUP(B75,input_504100!L:R,7,FALSE),VLOOKUP(tables_504100!C75,input_504100!A:H,8,FALSE))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input_504100!A$2</f>
        <v>504100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IFERROR(VLOOKUP(B76,input_504100!L:R,7,FALSE),VLOOKUP(tables_504100!C76,input_504100!A:H,8,FALSE))</f>
        <v>540438.46154000005</v>
      </c>
      <c r="P76" s="46">
        <f t="shared" ca="1" si="4"/>
        <v>8.7111292962576657E-3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input_504100!A$2</f>
        <v>504100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IFERROR(VLOOKUP(B77,input_504100!L:R,7,FALSE),VLOOKUP(tables_504100!C77,input_504100!A:H,8,FALSE))</f>
        <v>45957.692309999999</v>
      </c>
      <c r="P77" s="46">
        <f t="shared" ca="1" si="4"/>
        <v>7.4077518230150163E-4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input_504100!A$2</f>
        <v>504100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IFERROR(VLOOKUP(B78,input_504100!L:R,7,FALSE),VLOOKUP(tables_504100!C78,input_504100!A:H,8,FALSE))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input_504100!A$2</f>
        <v>504100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IFERROR(VLOOKUP(B79,input_504100!L:R,7,FALSE),VLOOKUP(tables_504100!C79,input_504100!A:H,8,FALSE))</f>
        <v>540438.46154000005</v>
      </c>
      <c r="P79" s="46">
        <f t="shared" ca="1" si="4"/>
        <v>8.7111292962576657E-3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input_504100!A$2</f>
        <v>504100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IFERROR(VLOOKUP(B80,input_504100!L:R,7,FALSE),VLOOKUP(tables_504100!C80,input_504100!A:H,8,FALSE))</f>
        <v>45957.692309999999</v>
      </c>
      <c r="P80" s="46">
        <f t="shared" ca="1" si="4"/>
        <v>7.4077518230150163E-4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input_504100!A$2</f>
        <v>504100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IFERROR(VLOOKUP(B81,input_504100!L:R,7,FALSE),VLOOKUP(tables_504100!C81,input_504100!A:H,8,FALSE))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input_504100!A$2</f>
        <v>504100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IFERROR(VLOOKUP(B82,input_504100!L:R,7,FALSE),VLOOKUP(tables_504100!C82,input_504100!A:H,8,FALSE))</f>
        <v>540438.46154000005</v>
      </c>
      <c r="P82" s="46">
        <f t="shared" ca="1" si="4"/>
        <v>8.7111292962576657E-3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input_504100!A$2</f>
        <v>504100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IFERROR(VLOOKUP(B83,input_504100!L:R,7,FALSE),VLOOKUP(tables_504100!C83,input_504100!A:H,8,FALSE))</f>
        <v>45957.692309999999</v>
      </c>
      <c r="P83" s="46">
        <f t="shared" ca="1" si="4"/>
        <v>7.4077518230150163E-4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input_504100!A$2</f>
        <v>504100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IFERROR(VLOOKUP(B84,input_504100!L:R,7,FALSE),VLOOKUP(tables_504100!C84,input_504100!A:H,8,FALSE))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input_504100!A$2</f>
        <v>504100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IFERROR(VLOOKUP(B85,input_504100!L:R,7,FALSE),VLOOKUP(tables_504100!C85,input_504100!A:H,8,FALSE))</f>
        <v>540438.46154000005</v>
      </c>
      <c r="P85" s="46">
        <f t="shared" ca="1" si="4"/>
        <v>8.7111292962576657E-3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input_504100!A$2</f>
        <v>504100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IFERROR(VLOOKUP(B86,input_504100!L:R,7,FALSE),VLOOKUP(tables_504100!C86,input_504100!A:H,8,FALSE))</f>
        <v>45957.692309999999</v>
      </c>
      <c r="P86" s="46">
        <f t="shared" ca="1" si="4"/>
        <v>7.4077518230150163E-4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input_504100!A$2</f>
        <v>504100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IFERROR(VLOOKUP(B87,input_504100!L:R,7,FALSE),VLOOKUP(tables_504100!C87,input_504100!A:H,8,FALSE))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input_504100!A$2</f>
        <v>504100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IFERROR(VLOOKUP(B88,input_504100!L:R,7,FALSE),VLOOKUP(tables_504100!C88,input_504100!A:H,8,FALSE))</f>
        <v>540438.46154000005</v>
      </c>
      <c r="P88" s="46">
        <f t="shared" ca="1" si="4"/>
        <v>8.7111292962576657E-3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input_504100!A$2</f>
        <v>504100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IFERROR(VLOOKUP(B89,input_504100!L:R,7,FALSE),VLOOKUP(tables_504100!C89,input_504100!A:H,8,FALSE))</f>
        <v>45957.692309999999</v>
      </c>
      <c r="P89" s="46">
        <f t="shared" ca="1" si="4"/>
        <v>7.4077518230150163E-4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input_504100!A$2</f>
        <v>504100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IFERROR(VLOOKUP(B90,input_504100!L:R,7,FALSE),VLOOKUP(tables_504100!C90,input_504100!A:H,8,FALSE))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input_504100!A$2</f>
        <v>504100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IFERROR(VLOOKUP(B91,input_504100!L:R,7,FALSE),VLOOKUP(tables_504100!C91,input_504100!A:H,8,FALSE))</f>
        <v>540438.46154000005</v>
      </c>
      <c r="P91" s="46">
        <f t="shared" ca="1" si="4"/>
        <v>8.7111292962576657E-3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input_504100!A$2</f>
        <v>504100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IFERROR(VLOOKUP(B92,input_504100!L:R,7,FALSE),VLOOKUP(tables_504100!C92,input_504100!A:H,8,FALSE))</f>
        <v>45957.692309999999</v>
      </c>
      <c r="P92" s="46">
        <f t="shared" ca="1" si="4"/>
        <v>7.4077518230150163E-4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input_504100!A$2</f>
        <v>504100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IFERROR(VLOOKUP(B93,input_504100!L:R,7,FALSE),VLOOKUP(tables_504100!C93,input_504100!A:H,8,FALSE))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input_504100!A$2</f>
        <v>504100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IFERROR(VLOOKUP(B94,input_504100!L:R,7,FALSE),VLOOKUP(tables_504100!C94,input_504100!A:H,8,FALSE))</f>
        <v>540438.46154000005</v>
      </c>
      <c r="P94" s="46">
        <f t="shared" ca="1" si="4"/>
        <v>8.7111292962576657E-3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input_504100!A$2</f>
        <v>504100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IFERROR(VLOOKUP(B95,input_504100!L:R,7,FALSE),VLOOKUP(tables_504100!C95,input_504100!A:H,8,FALSE))</f>
        <v>45957.692309999999</v>
      </c>
      <c r="P95" s="46">
        <f t="shared" ca="1" si="4"/>
        <v>7.4077518230150163E-4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input_504100!A$2</f>
        <v>504100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IFERROR(VLOOKUP(B96,input_504100!L:R,7,FALSE),VLOOKUP(tables_504100!C96,input_504100!A:H,8,FALSE))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input_504100!A$2</f>
        <v>504100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IFERROR(VLOOKUP(B97,input_504100!L:R,7,FALSE),VLOOKUP(tables_504100!C97,input_504100!A:H,8,FALSE))</f>
        <v>540438.46154000005</v>
      </c>
      <c r="P97" s="46">
        <f t="shared" ca="1" si="4"/>
        <v>8.7111292962576657E-3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input_504100!A$2</f>
        <v>504100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IFERROR(VLOOKUP(B98,input_504100!L:R,7,FALSE),VLOOKUP(tables_504100!C98,input_504100!A:H,8,FALSE))</f>
        <v>45957.692309999999</v>
      </c>
      <c r="P98" s="46">
        <f t="shared" ca="1" si="4"/>
        <v>7.4077518230150163E-4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input_504100!A$2</f>
        <v>504100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IFERROR(VLOOKUP(B99,input_504100!L:R,7,FALSE),VLOOKUP(tables_504100!C99,input_504100!A:H,8,FALSE))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input_504100!A$2</f>
        <v>504100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IFERROR(VLOOKUP(B100,input_504100!L:R,7,FALSE),VLOOKUP(tables_504100!C100,input_504100!A:H,8,FALSE))</f>
        <v>540438.46154000005</v>
      </c>
      <c r="P100" s="46">
        <f t="shared" ca="1" si="4"/>
        <v>8.7111292962576657E-3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input_504100!A$2</f>
        <v>504100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IFERROR(VLOOKUP(B101,input_504100!L:R,7,FALSE),VLOOKUP(tables_504100!C101,input_504100!A:H,8,FALSE))</f>
        <v>45957.692309999999</v>
      </c>
      <c r="P101" s="46">
        <f t="shared" ca="1" si="4"/>
        <v>7.4077518230150163E-4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input_504100!A$2</f>
        <v>504100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IFERROR(VLOOKUP(B102,input_504100!L:R,7,FALSE),VLOOKUP(tables_504100!C102,input_504100!A:H,8,FALSE))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input_504100!A$2</f>
        <v>504100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IFERROR(VLOOKUP(B103,input_504100!L:R,7,FALSE),VLOOKUP(tables_504100!C103,input_504100!A:H,8,FALSE))</f>
        <v>540438.46154000005</v>
      </c>
      <c r="P103" s="46">
        <f t="shared" ca="1" si="4"/>
        <v>8.7111292962576657E-3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input_504100!A$2</f>
        <v>504100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IFERROR(VLOOKUP(B104,input_504100!L:R,7,FALSE),VLOOKUP(tables_504100!C104,input_504100!A:H,8,FALSE))</f>
        <v>45957.692309999999</v>
      </c>
      <c r="P104" s="46">
        <f t="shared" ca="1" si="4"/>
        <v>7.4077518230150163E-4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input_504100!A$2</f>
        <v>504100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IFERROR(VLOOKUP(B105,input_504100!L:R,7,FALSE),VLOOKUP(tables_504100!C105,input_504100!A:H,8,FALSE))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input_504100!A$2</f>
        <v>504100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IFERROR(VLOOKUP(B106,input_504100!L:R,7,FALSE),VLOOKUP(tables_504100!C106,input_504100!A:H,8,FALSE))</f>
        <v>540438.46154000005</v>
      </c>
      <c r="P106" s="46">
        <f t="shared" ca="1" si="4"/>
        <v>8.7111292962576657E-3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input_504100!A$2</f>
        <v>504100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IFERROR(VLOOKUP(B107,input_504100!L:R,7,FALSE),VLOOKUP(tables_504100!C107,input_504100!A:H,8,FALSE))</f>
        <v>45957.692309999999</v>
      </c>
      <c r="P107" s="46">
        <f t="shared" ca="1" si="4"/>
        <v>7.4077518230150163E-4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input_504100!A$2</f>
        <v>504100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IFERROR(VLOOKUP(B108,input_504100!L:R,7,FALSE),VLOOKUP(tables_504100!C108,input_504100!A:H,8,FALSE))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input_504100!A$2</f>
        <v>504100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IFERROR(VLOOKUP(B109,input_504100!L:R,7,FALSE),VLOOKUP(tables_504100!C109,input_504100!A:H,8,FALSE))</f>
        <v>540438.46154000005</v>
      </c>
      <c r="P109" s="46">
        <f t="shared" ca="1" si="4"/>
        <v>8.7111292962576657E-3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input_504100!A$2</f>
        <v>504100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IFERROR(VLOOKUP(B110,input_504100!L:R,7,FALSE),VLOOKUP(tables_504100!C110,input_504100!A:H,8,FALSE))</f>
        <v>45957.692309999999</v>
      </c>
      <c r="P110" s="46">
        <f t="shared" ca="1" si="4"/>
        <v>7.4077518230150163E-4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input_504100!A$2</f>
        <v>504100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IFERROR(VLOOKUP(B111,input_504100!L:R,7,FALSE),VLOOKUP(tables_504100!C111,input_504100!A:H,8,FALSE))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input_504100!A$2</f>
        <v>504100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IFERROR(VLOOKUP(B112,input_504100!L:R,7,FALSE),VLOOKUP(tables_504100!C112,input_504100!A:H,8,FALSE))</f>
        <v>564300</v>
      </c>
      <c r="P112" s="46">
        <f t="shared" ca="1" si="4"/>
        <v>9.0957446808481272E-3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input_504100!A$2</f>
        <v>504100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IFERROR(VLOOKUP(B113,input_504100!L:R,7,FALSE),VLOOKUP(tables_504100!C113,input_504100!A:H,8,FALSE))</f>
        <v>62700</v>
      </c>
      <c r="P113" s="46">
        <f t="shared" ca="1" si="4"/>
        <v>1.0106382978720143E-3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input_504100!A$2</f>
        <v>504100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IFERROR(VLOOKUP(B114,input_504100!L:R,7,FALSE),VLOOKUP(tables_504100!C114,input_504100!A:H,8,FALSE))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input_504100!A$2</f>
        <v>504100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IFERROR(VLOOKUP(B115,input_504100!L:R,7,FALSE),VLOOKUP(tables_504100!C115,input_504100!A:H,8,FALSE))</f>
        <v>540438.46154000005</v>
      </c>
      <c r="P115" s="46">
        <f t="shared" ca="1" si="4"/>
        <v>8.7111292962576657E-3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input_504100!A$2</f>
        <v>504100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IFERROR(VLOOKUP(B116,input_504100!L:R,7,FALSE),VLOOKUP(tables_504100!C116,input_504100!A:H,8,FALSE))</f>
        <v>45957.692309999999</v>
      </c>
      <c r="P116" s="46">
        <f t="shared" ca="1" si="4"/>
        <v>7.4077518230150163E-4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input_504100!A$2</f>
        <v>504100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IFERROR(VLOOKUP(B117,input_504100!L:R,7,FALSE),VLOOKUP(tables_504100!C117,input_504100!A:H,8,FALSE))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input_504100!A$2</f>
        <v>504100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IFERROR(VLOOKUP(B118,input_504100!L:R,7,FALSE),VLOOKUP(tables_504100!C118,input_504100!A:H,8,FALSE))</f>
        <v>540438.46154000005</v>
      </c>
      <c r="P118" s="46">
        <f t="shared" ca="1" si="4"/>
        <v>8.7111292962576657E-3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input_504100!A$2</f>
        <v>504100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IFERROR(VLOOKUP(B119,input_504100!L:R,7,FALSE),VLOOKUP(tables_504100!C119,input_504100!A:H,8,FALSE))</f>
        <v>45957.692309999999</v>
      </c>
      <c r="P119" s="46">
        <f t="shared" ca="1" si="4"/>
        <v>7.4077518230150163E-4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input_504100!A$2</f>
        <v>504100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IFERROR(VLOOKUP(B120,input_504100!L:R,7,FALSE),VLOOKUP(tables_504100!C120,input_504100!A:H,8,FALSE))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input_504100!A$2</f>
        <v>504100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IFERROR(VLOOKUP(B121,input_504100!L:R,7,FALSE),VLOOKUP(tables_504100!C121,input_504100!A:H,8,FALSE))</f>
        <v>540438.46154000005</v>
      </c>
      <c r="P121" s="46">
        <f t="shared" ca="1" si="4"/>
        <v>8.7111292962576657E-3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input_504100!A$2</f>
        <v>504100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IFERROR(VLOOKUP(B122,input_504100!L:R,7,FALSE),VLOOKUP(tables_504100!C122,input_504100!A:H,8,FALSE))</f>
        <v>45957.692309999999</v>
      </c>
      <c r="P122" s="46">
        <f t="shared" ca="1" si="4"/>
        <v>7.4077518230150163E-4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input_504100!A$2</f>
        <v>504100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IFERROR(VLOOKUP(B123,input_504100!L:R,7,FALSE),VLOOKUP(tables_504100!C123,input_504100!A:H,8,FALSE))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input_504100!A$2</f>
        <v>504100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IFERROR(VLOOKUP(B124,input_504100!L:R,7,FALSE),VLOOKUP(tables_504100!C124,input_504100!A:H,8,FALSE))</f>
        <v>540438.46154000005</v>
      </c>
      <c r="P124" s="46">
        <f t="shared" ca="1" si="4"/>
        <v>8.7111292962576657E-3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input_504100!A$2</f>
        <v>504100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IFERROR(VLOOKUP(B125,input_504100!L:R,7,FALSE),VLOOKUP(tables_504100!C125,input_504100!A:H,8,FALSE))</f>
        <v>45957.692309999999</v>
      </c>
      <c r="P125" s="46">
        <f t="shared" ca="1" si="4"/>
        <v>7.4077518230150163E-4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input_504100!A$2</f>
        <v>504100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IFERROR(VLOOKUP(B126,input_504100!L:R,7,FALSE),VLOOKUP(tables_504100!C126,input_504100!A:H,8,FALSE))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input_504100!A$2</f>
        <v>504100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IFERROR(VLOOKUP(B127,input_504100!L:R,7,FALSE),VLOOKUP(tables_504100!C127,input_504100!A:H,8,FALSE))</f>
        <v>540438.46154000005</v>
      </c>
      <c r="P127" s="46">
        <f t="shared" ca="1" si="4"/>
        <v>8.7111292962576657E-3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input_504100!A$2</f>
        <v>504100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IFERROR(VLOOKUP(B128,input_504100!L:R,7,FALSE),VLOOKUP(tables_504100!C128,input_504100!A:H,8,FALSE))</f>
        <v>45957.692309999999</v>
      </c>
      <c r="P128" s="46">
        <f t="shared" ca="1" si="4"/>
        <v>7.4077518230150163E-4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input_504100!A$2</f>
        <v>504100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IFERROR(VLOOKUP(B129,input_504100!L:R,7,FALSE),VLOOKUP(tables_504100!C129,input_504100!A:H,8,FALSE))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input_504100!A$2</f>
        <v>504100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IFERROR(VLOOKUP(B130,input_504100!L:R,7,FALSE),VLOOKUP(tables_504100!C130,input_504100!A:H,8,FALSE))</f>
        <v>540438.46154000005</v>
      </c>
      <c r="P130" s="46">
        <f t="shared" ref="P130:P193" ca="1" si="7">O130/SUM(O:O)</f>
        <v>8.7111292962576657E-3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input_504100!A$2</f>
        <v>504100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IFERROR(VLOOKUP(B131,input_504100!L:R,7,FALSE),VLOOKUP(tables_504100!C131,input_504100!A:H,8,FALSE))</f>
        <v>45957.692309999999</v>
      </c>
      <c r="P131" s="46">
        <f t="shared" ca="1" si="7"/>
        <v>7.4077518230150163E-4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input_504100!A$2</f>
        <v>504100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IFERROR(VLOOKUP(B132,input_504100!L:R,7,FALSE),VLOOKUP(tables_504100!C132,input_504100!A:H,8,FALSE))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input_504100!A$2</f>
        <v>504100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IFERROR(VLOOKUP(B133,input_504100!L:R,7,FALSE),VLOOKUP(tables_504100!C133,input_504100!A:H,8,FALSE))</f>
        <v>540438.46154000005</v>
      </c>
      <c r="P133" s="46">
        <f t="shared" ca="1" si="7"/>
        <v>8.7111292962576657E-3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input_504100!A$2</f>
        <v>504100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IFERROR(VLOOKUP(B134,input_504100!L:R,7,FALSE),VLOOKUP(tables_504100!C134,input_504100!A:H,8,FALSE))</f>
        <v>45957.692309999999</v>
      </c>
      <c r="P134" s="46">
        <f t="shared" ca="1" si="7"/>
        <v>7.4077518230150163E-4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input_504100!A$2</f>
        <v>504100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IFERROR(VLOOKUP(B135,input_504100!L:R,7,FALSE),VLOOKUP(tables_504100!C135,input_504100!A:H,8,FALSE))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input_504100!A$2</f>
        <v>504100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IFERROR(VLOOKUP(B136,input_504100!L:R,7,FALSE),VLOOKUP(tables_504100!C136,input_504100!A:H,8,FALSE))</f>
        <v>540438.46154000005</v>
      </c>
      <c r="P136" s="46">
        <f t="shared" ca="1" si="7"/>
        <v>8.7111292962576657E-3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input_504100!A$2</f>
        <v>504100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IFERROR(VLOOKUP(B137,input_504100!L:R,7,FALSE),VLOOKUP(tables_504100!C137,input_504100!A:H,8,FALSE))</f>
        <v>45957.692309999999</v>
      </c>
      <c r="P137" s="46">
        <f t="shared" ca="1" si="7"/>
        <v>7.4077518230150163E-4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input_504100!A$2</f>
        <v>504100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IFERROR(VLOOKUP(B138,input_504100!L:R,7,FALSE),VLOOKUP(tables_504100!C138,input_504100!A:H,8,FALSE))</f>
        <v>15107.14286</v>
      </c>
      <c r="P138" s="46">
        <f t="shared" ca="1" si="7"/>
        <v>2.4350649355246812E-4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input_504100!A$2</f>
        <v>504100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IFERROR(VLOOKUP(B139,input_504100!L:R,7,FALSE),VLOOKUP(tables_504100!C139,input_504100!A:H,8,FALSE))</f>
        <v>940</v>
      </c>
      <c r="P139" s="46">
        <f t="shared" ca="1" si="7"/>
        <v>1.515151515151026E-5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input_504100!A$2</f>
        <v>504100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IFERROR(VLOOKUP(B140,input_504100!L:R,7,FALSE),VLOOKUP(tables_504100!C140,input_504100!A:H,8,FALSE))</f>
        <v>15107.14286</v>
      </c>
      <c r="P140" s="46">
        <f t="shared" ca="1" si="7"/>
        <v>2.4350649355246812E-4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input_504100!A$2</f>
        <v>504100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IFERROR(VLOOKUP(B141,input_504100!L:R,7,FALSE),VLOOKUP(tables_504100!C141,input_504100!A:H,8,FALSE))</f>
        <v>940</v>
      </c>
      <c r="P141" s="46">
        <f t="shared" ca="1" si="7"/>
        <v>1.515151515151026E-5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input_504100!A$2</f>
        <v>504100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IFERROR(VLOOKUP(B142,input_504100!L:R,7,FALSE),VLOOKUP(tables_504100!C142,input_504100!A:H,8,FALSE))</f>
        <v>15107.14286</v>
      </c>
      <c r="P142" s="46">
        <f t="shared" ca="1" si="7"/>
        <v>2.4350649355246812E-4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input_504100!A$2</f>
        <v>504100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IFERROR(VLOOKUP(B143,input_504100!L:R,7,FALSE),VLOOKUP(tables_504100!C143,input_504100!A:H,8,FALSE))</f>
        <v>940</v>
      </c>
      <c r="P143" s="46">
        <f t="shared" ca="1" si="7"/>
        <v>1.515151515151026E-5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input_504100!A$2</f>
        <v>504100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IFERROR(VLOOKUP(B144,input_504100!L:R,7,FALSE),VLOOKUP(tables_504100!C144,input_504100!A:H,8,FALSE))</f>
        <v>15107.14286</v>
      </c>
      <c r="P144" s="46">
        <f t="shared" ca="1" si="7"/>
        <v>2.4350649355246812E-4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input_504100!A$2</f>
        <v>504100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IFERROR(VLOOKUP(B145,input_504100!L:R,7,FALSE),VLOOKUP(tables_504100!C145,input_504100!A:H,8,FALSE))</f>
        <v>940</v>
      </c>
      <c r="P145" s="46">
        <f t="shared" ca="1" si="7"/>
        <v>1.515151515151026E-5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input_504100!A$2</f>
        <v>504100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IFERROR(VLOOKUP(B146,input_504100!L:R,7,FALSE),VLOOKUP(tables_504100!C146,input_504100!A:H,8,FALSE))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input_504100!A$2</f>
        <v>504100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IFERROR(VLOOKUP(B147,input_504100!L:R,7,FALSE),VLOOKUP(tables_504100!C147,input_504100!A:H,8,FALSE))</f>
        <v>540438.46154000005</v>
      </c>
      <c r="P147" s="46">
        <f t="shared" ca="1" si="7"/>
        <v>8.7111292962576657E-3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input_504100!A$2</f>
        <v>504100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IFERROR(VLOOKUP(B148,input_504100!L:R,7,FALSE),VLOOKUP(tables_504100!C148,input_504100!A:H,8,FALSE))</f>
        <v>45957.692309999999</v>
      </c>
      <c r="P148" s="46">
        <f t="shared" ca="1" si="7"/>
        <v>7.4077518230150163E-4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input_504100!A$2</f>
        <v>504100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IFERROR(VLOOKUP(B149,input_504100!L:R,7,FALSE),VLOOKUP(tables_504100!C149,input_504100!A:H,8,FALSE))</f>
        <v>15107.14286</v>
      </c>
      <c r="P149" s="46">
        <f t="shared" ca="1" si="7"/>
        <v>2.4350649355246812E-4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input_504100!A$2</f>
        <v>504100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IFERROR(VLOOKUP(B150,input_504100!L:R,7,FALSE),VLOOKUP(tables_504100!C150,input_504100!A:H,8,FALSE))</f>
        <v>940</v>
      </c>
      <c r="P150" s="46">
        <f t="shared" ca="1" si="7"/>
        <v>1.515151515151026E-5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input_504100!A$2</f>
        <v>504100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IFERROR(VLOOKUP(B151,input_504100!L:R,7,FALSE),VLOOKUP(tables_504100!C151,input_504100!A:H,8,FALSE))</f>
        <v>15107.14286</v>
      </c>
      <c r="P151" s="46">
        <f t="shared" ca="1" si="7"/>
        <v>2.4350649355246812E-4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input_504100!A$2</f>
        <v>504100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IFERROR(VLOOKUP(B152,input_504100!L:R,7,FALSE),VLOOKUP(tables_504100!C152,input_504100!A:H,8,FALSE))</f>
        <v>940</v>
      </c>
      <c r="P152" s="46">
        <f t="shared" ca="1" si="7"/>
        <v>1.515151515151026E-5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input_504100!A$2</f>
        <v>504100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IFERROR(VLOOKUP(B153,input_504100!L:R,7,FALSE),VLOOKUP(tables_504100!C153,input_504100!A:H,8,FALSE))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input_504100!A$2</f>
        <v>504100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IFERROR(VLOOKUP(B154,input_504100!L:R,7,FALSE),VLOOKUP(tables_504100!C154,input_504100!A:H,8,FALSE))</f>
        <v>540438.46154000005</v>
      </c>
      <c r="P154" s="46">
        <f t="shared" ca="1" si="7"/>
        <v>8.7111292962576657E-3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input_504100!A$2</f>
        <v>504100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IFERROR(VLOOKUP(B155,input_504100!L:R,7,FALSE),VLOOKUP(tables_504100!C155,input_504100!A:H,8,FALSE))</f>
        <v>45957.692309999999</v>
      </c>
      <c r="P155" s="46">
        <f t="shared" ca="1" si="7"/>
        <v>7.4077518230150163E-4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input_504100!A$2</f>
        <v>504100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IFERROR(VLOOKUP(B156,input_504100!L:R,7,FALSE),VLOOKUP(tables_504100!C156,input_504100!A:H,8,FALSE))</f>
        <v>15107.14286</v>
      </c>
      <c r="P156" s="46">
        <f t="shared" ca="1" si="7"/>
        <v>2.4350649355246812E-4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input_504100!A$2</f>
        <v>504100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IFERROR(VLOOKUP(B157,input_504100!L:R,7,FALSE),VLOOKUP(tables_504100!C157,input_504100!A:H,8,FALSE))</f>
        <v>940</v>
      </c>
      <c r="P157" s="46">
        <f t="shared" ca="1" si="7"/>
        <v>1.515151515151026E-5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input_504100!A$2</f>
        <v>504100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IFERROR(VLOOKUP(B158,input_504100!L:R,7,FALSE),VLOOKUP(tables_504100!C158,input_504100!A:H,8,FALSE))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input_504100!A$2</f>
        <v>504100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IFERROR(VLOOKUP(B159,input_504100!L:R,7,FALSE),VLOOKUP(tables_504100!C159,input_504100!A:H,8,FALSE))</f>
        <v>540438.46154000005</v>
      </c>
      <c r="P159" s="46">
        <f t="shared" ca="1" si="7"/>
        <v>8.7111292962576657E-3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input_504100!A$2</f>
        <v>504100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IFERROR(VLOOKUP(B160,input_504100!L:R,7,FALSE),VLOOKUP(tables_504100!C160,input_504100!A:H,8,FALSE))</f>
        <v>45957.692309999999</v>
      </c>
      <c r="P160" s="46">
        <f t="shared" ca="1" si="7"/>
        <v>7.4077518230150163E-4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input_504100!A$2</f>
        <v>504100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IFERROR(VLOOKUP(B161,input_504100!L:R,7,FALSE),VLOOKUP(tables_504100!C161,input_504100!A:H,8,FALSE))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input_504100!A$2</f>
        <v>504100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IFERROR(VLOOKUP(B162,input_504100!L:R,7,FALSE),VLOOKUP(tables_504100!C162,input_504100!A:H,8,FALSE))</f>
        <v>540438.46154000005</v>
      </c>
      <c r="P162" s="46">
        <f t="shared" ca="1" si="7"/>
        <v>8.7111292962576657E-3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input_504100!A$2</f>
        <v>504100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IFERROR(VLOOKUP(B163,input_504100!L:R,7,FALSE),VLOOKUP(tables_504100!C163,input_504100!A:H,8,FALSE))</f>
        <v>45957.692309999999</v>
      </c>
      <c r="P163" s="46">
        <f t="shared" ca="1" si="7"/>
        <v>7.4077518230150163E-4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input_504100!A$2</f>
        <v>504100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IFERROR(VLOOKUP(B164,input_504100!L:R,7,FALSE),VLOOKUP(tables_504100!C164,input_504100!A:H,8,FALSE))</f>
        <v>15107.14286</v>
      </c>
      <c r="P164" s="46">
        <f t="shared" ca="1" si="7"/>
        <v>2.4350649355246812E-4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input_504100!A$2</f>
        <v>504100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IFERROR(VLOOKUP(B165,input_504100!L:R,7,FALSE),VLOOKUP(tables_504100!C165,input_504100!A:H,8,FALSE))</f>
        <v>940</v>
      </c>
      <c r="P165" s="46">
        <f t="shared" ca="1" si="7"/>
        <v>1.515151515151026E-5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input_504100!A$2</f>
        <v>504100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IFERROR(VLOOKUP(B166,input_504100!L:R,7,FALSE),VLOOKUP(tables_504100!C166,input_504100!A:H,8,FALSE))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input_504100!A$2</f>
        <v>504100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IFERROR(VLOOKUP(B167,input_504100!L:R,7,FALSE),VLOOKUP(tables_504100!C167,input_504100!A:H,8,FALSE))</f>
        <v>540438.46154000005</v>
      </c>
      <c r="P167" s="46">
        <f t="shared" ca="1" si="7"/>
        <v>8.7111292962576657E-3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input_504100!A$2</f>
        <v>504100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IFERROR(VLOOKUP(B168,input_504100!L:R,7,FALSE),VLOOKUP(tables_504100!C168,input_504100!A:H,8,FALSE))</f>
        <v>45957.692309999999</v>
      </c>
      <c r="P168" s="46">
        <f t="shared" ca="1" si="7"/>
        <v>7.4077518230150163E-4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input_504100!A$2</f>
        <v>504100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IFERROR(VLOOKUP(B169,input_504100!L:R,7,FALSE),VLOOKUP(tables_504100!C169,input_504100!A:H,8,FALSE))</f>
        <v>15107.14286</v>
      </c>
      <c r="P169" s="46">
        <f t="shared" ca="1" si="7"/>
        <v>2.4350649355246812E-4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input_504100!A$2</f>
        <v>504100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IFERROR(VLOOKUP(B170,input_504100!L:R,7,FALSE),VLOOKUP(tables_504100!C170,input_504100!A:H,8,FALSE))</f>
        <v>940</v>
      </c>
      <c r="P170" s="46">
        <f t="shared" ca="1" si="7"/>
        <v>1.515151515151026E-5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input_504100!A$2</f>
        <v>504100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IFERROR(VLOOKUP(B171,input_504100!L:R,7,FALSE),VLOOKUP(tables_504100!C171,input_504100!A:H,8,FALSE))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input_504100!A$2</f>
        <v>504100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IFERROR(VLOOKUP(B172,input_504100!L:R,7,FALSE),VLOOKUP(tables_504100!C172,input_504100!A:H,8,FALSE))</f>
        <v>540438.46154000005</v>
      </c>
      <c r="P172" s="46">
        <f t="shared" ca="1" si="7"/>
        <v>8.7111292962576657E-3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input_504100!A$2</f>
        <v>504100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IFERROR(VLOOKUP(B173,input_504100!L:R,7,FALSE),VLOOKUP(tables_504100!C173,input_504100!A:H,8,FALSE))</f>
        <v>45957.692309999999</v>
      </c>
      <c r="P173" s="46">
        <f t="shared" ca="1" si="7"/>
        <v>7.4077518230150163E-4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input_504100!A$2</f>
        <v>504100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IFERROR(VLOOKUP(B174,input_504100!L:R,7,FALSE),VLOOKUP(tables_504100!C174,input_504100!A:H,8,FALSE))</f>
        <v>15107.14286</v>
      </c>
      <c r="P174" s="46">
        <f t="shared" ca="1" si="7"/>
        <v>2.4350649355246812E-4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input_504100!A$2</f>
        <v>504100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IFERROR(VLOOKUP(B175,input_504100!L:R,7,FALSE),VLOOKUP(tables_504100!C175,input_504100!A:H,8,FALSE))</f>
        <v>940</v>
      </c>
      <c r="P175" s="46">
        <f t="shared" ca="1" si="7"/>
        <v>1.515151515151026E-5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input_504100!A$2</f>
        <v>504100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IFERROR(VLOOKUP(B176,input_504100!L:R,7,FALSE),VLOOKUP(tables_504100!C176,input_504100!A:H,8,FALSE))</f>
        <v>15107.14286</v>
      </c>
      <c r="P176" s="46">
        <f t="shared" ca="1" si="7"/>
        <v>2.4350649355246812E-4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input_504100!A$2</f>
        <v>504100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IFERROR(VLOOKUP(B177,input_504100!L:R,7,FALSE),VLOOKUP(tables_504100!C177,input_504100!A:H,8,FALSE))</f>
        <v>940</v>
      </c>
      <c r="P177" s="46">
        <f t="shared" ca="1" si="7"/>
        <v>1.515151515151026E-5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input_504100!A$2</f>
        <v>504100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IFERROR(VLOOKUP(B178,input_504100!L:R,7,FALSE),VLOOKUP(tables_504100!C178,input_504100!A:H,8,FALSE))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input_504100!A$2</f>
        <v>504100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IFERROR(VLOOKUP(B179,input_504100!L:R,7,FALSE),VLOOKUP(tables_504100!C179,input_504100!A:H,8,FALSE))</f>
        <v>540438.46154000005</v>
      </c>
      <c r="P179" s="46">
        <f t="shared" ca="1" si="7"/>
        <v>8.7111292962576657E-3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input_504100!A$2</f>
        <v>504100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IFERROR(VLOOKUP(B180,input_504100!L:R,7,FALSE),VLOOKUP(tables_504100!C180,input_504100!A:H,8,FALSE))</f>
        <v>45957.692309999999</v>
      </c>
      <c r="P180" s="46">
        <f t="shared" ca="1" si="7"/>
        <v>7.4077518230150163E-4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input_504100!A$2</f>
        <v>504100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IFERROR(VLOOKUP(B181,input_504100!L:R,7,FALSE),VLOOKUP(tables_504100!C181,input_504100!A:H,8,FALSE))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input_504100!A$2</f>
        <v>504100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IFERROR(VLOOKUP(B182,input_504100!L:R,7,FALSE),VLOOKUP(tables_504100!C182,input_504100!A:H,8,FALSE))</f>
        <v>540438.46154000005</v>
      </c>
      <c r="P182" s="46">
        <f t="shared" ca="1" si="7"/>
        <v>8.7111292962576657E-3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input_504100!A$2</f>
        <v>504100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IFERROR(VLOOKUP(B183,input_504100!L:R,7,FALSE),VLOOKUP(tables_504100!C183,input_504100!A:H,8,FALSE))</f>
        <v>45957.692309999999</v>
      </c>
      <c r="P183" s="46">
        <f t="shared" ca="1" si="7"/>
        <v>7.4077518230150163E-4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input_504100!A$2</f>
        <v>504100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IFERROR(VLOOKUP(B184,input_504100!L:R,7,FALSE),VLOOKUP(tables_504100!C184,input_504100!A:H,8,FALSE))</f>
        <v>15107.14286</v>
      </c>
      <c r="P184" s="46">
        <f t="shared" ca="1" si="7"/>
        <v>2.4350649355246812E-4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input_504100!A$2</f>
        <v>504100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IFERROR(VLOOKUP(B185,input_504100!L:R,7,FALSE),VLOOKUP(tables_504100!C185,input_504100!A:H,8,FALSE))</f>
        <v>940</v>
      </c>
      <c r="P185" s="46">
        <f t="shared" ca="1" si="7"/>
        <v>1.515151515151026E-5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input_504100!A$2</f>
        <v>504100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IFERROR(VLOOKUP(B186,input_504100!L:R,7,FALSE),VLOOKUP(tables_504100!C186,input_504100!A:H,8,FALSE))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input_504100!A$2</f>
        <v>504100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IFERROR(VLOOKUP(B187,input_504100!L:R,7,FALSE),VLOOKUP(tables_504100!C187,input_504100!A:H,8,FALSE))</f>
        <v>540438.46154000005</v>
      </c>
      <c r="P187" s="46">
        <f t="shared" ca="1" si="7"/>
        <v>8.7111292962576657E-3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input_504100!A$2</f>
        <v>504100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IFERROR(VLOOKUP(B188,input_504100!L:R,7,FALSE),VLOOKUP(tables_504100!C188,input_504100!A:H,8,FALSE))</f>
        <v>45957.692309999999</v>
      </c>
      <c r="P188" s="46">
        <f t="shared" ca="1" si="7"/>
        <v>7.4077518230150163E-4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input_504100!A$2</f>
        <v>504100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IFERROR(VLOOKUP(B189,input_504100!L:R,7,FALSE),VLOOKUP(tables_504100!C189,input_504100!A:H,8,FALSE))</f>
        <v>15107.14286</v>
      </c>
      <c r="P189" s="46">
        <f t="shared" ca="1" si="7"/>
        <v>2.4350649355246812E-4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input_504100!A$2</f>
        <v>504100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IFERROR(VLOOKUP(B190,input_504100!L:R,7,FALSE),VLOOKUP(tables_504100!C190,input_504100!A:H,8,FALSE))</f>
        <v>940</v>
      </c>
      <c r="P190" s="46">
        <f t="shared" ca="1" si="7"/>
        <v>1.515151515151026E-5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input_504100!A$2</f>
        <v>504100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IFERROR(VLOOKUP(B191,input_504100!L:R,7,FALSE),VLOOKUP(tables_504100!C191,input_504100!A:H,8,FALSE))</f>
        <v>15107.14286</v>
      </c>
      <c r="P191" s="46">
        <f t="shared" ca="1" si="7"/>
        <v>2.4350649355246812E-4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input_504100!A$2</f>
        <v>504100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IFERROR(VLOOKUP(B192,input_504100!L:R,7,FALSE),VLOOKUP(tables_504100!C192,input_504100!A:H,8,FALSE))</f>
        <v>940</v>
      </c>
      <c r="P192" s="46">
        <f t="shared" ca="1" si="7"/>
        <v>1.515151515151026E-5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input_504100!A$2</f>
        <v>504100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IFERROR(VLOOKUP(B193,input_504100!L:R,7,FALSE),VLOOKUP(tables_504100!C193,input_504100!A:H,8,FALSE))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input_504100!A$2</f>
        <v>504100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IFERROR(VLOOKUP(B194,input_504100!L:R,7,FALSE),VLOOKUP(tables_504100!C194,input_504100!A:H,8,FALSE))</f>
        <v>540438.46154000005</v>
      </c>
      <c r="P194" s="46">
        <f t="shared" ref="P194:P257" ca="1" si="10">O194/SUM(O:O)</f>
        <v>8.7111292962576657E-3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input_504100!A$2</f>
        <v>504100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IFERROR(VLOOKUP(B195,input_504100!L:R,7,FALSE),VLOOKUP(tables_504100!C195,input_504100!A:H,8,FALSE))</f>
        <v>45957.692309999999</v>
      </c>
      <c r="P195" s="46">
        <f t="shared" ca="1" si="10"/>
        <v>7.4077518230150163E-4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input_504100!A$2</f>
        <v>504100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IFERROR(VLOOKUP(B196,input_504100!L:R,7,FALSE),VLOOKUP(tables_504100!C196,input_504100!A:H,8,FALSE))</f>
        <v>15107.14286</v>
      </c>
      <c r="P196" s="46">
        <f t="shared" ca="1" si="10"/>
        <v>2.4350649355246812E-4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input_504100!A$2</f>
        <v>504100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IFERROR(VLOOKUP(B197,input_504100!L:R,7,FALSE),VLOOKUP(tables_504100!C197,input_504100!A:H,8,FALSE))</f>
        <v>940</v>
      </c>
      <c r="P197" s="46">
        <f t="shared" ca="1" si="10"/>
        <v>1.515151515151026E-5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input_504100!A$2</f>
        <v>504100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IFERROR(VLOOKUP(B198,input_504100!L:R,7,FALSE),VLOOKUP(tables_504100!C198,input_504100!A:H,8,FALSE))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input_504100!A$2</f>
        <v>504100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IFERROR(VLOOKUP(B199,input_504100!L:R,7,FALSE),VLOOKUP(tables_504100!C199,input_504100!A:H,8,FALSE))</f>
        <v>540438.46154000005</v>
      </c>
      <c r="P199" s="46">
        <f t="shared" ca="1" si="10"/>
        <v>8.7111292962576657E-3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input_504100!A$2</f>
        <v>504100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IFERROR(VLOOKUP(B200,input_504100!L:R,7,FALSE),VLOOKUP(tables_504100!C200,input_504100!A:H,8,FALSE))</f>
        <v>45957.692309999999</v>
      </c>
      <c r="P200" s="46">
        <f t="shared" ca="1" si="10"/>
        <v>7.4077518230150163E-4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input_504100!A$2</f>
        <v>504100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IFERROR(VLOOKUP(B201,input_504100!L:R,7,FALSE),VLOOKUP(tables_504100!C201,input_504100!A:H,8,FALSE))</f>
        <v>15107.14286</v>
      </c>
      <c r="P201" s="46">
        <f t="shared" ca="1" si="10"/>
        <v>2.4350649355246812E-4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input_504100!A$2</f>
        <v>504100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IFERROR(VLOOKUP(B202,input_504100!L:R,7,FALSE),VLOOKUP(tables_504100!C202,input_504100!A:H,8,FALSE))</f>
        <v>940</v>
      </c>
      <c r="P202" s="46">
        <f t="shared" ca="1" si="10"/>
        <v>1.515151515151026E-5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input_504100!A$2</f>
        <v>504100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IFERROR(VLOOKUP(B203,input_504100!L:R,7,FALSE),VLOOKUP(tables_504100!C203,input_504100!A:H,8,FALSE))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input_504100!A$2</f>
        <v>504100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IFERROR(VLOOKUP(B204,input_504100!L:R,7,FALSE),VLOOKUP(tables_504100!C204,input_504100!A:H,8,FALSE))</f>
        <v>540438.46154000005</v>
      </c>
      <c r="P204" s="46">
        <f t="shared" ca="1" si="10"/>
        <v>8.7111292962576657E-3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input_504100!A$2</f>
        <v>504100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IFERROR(VLOOKUP(B205,input_504100!L:R,7,FALSE),VLOOKUP(tables_504100!C205,input_504100!A:H,8,FALSE))</f>
        <v>45957.692309999999</v>
      </c>
      <c r="P205" s="46">
        <f t="shared" ca="1" si="10"/>
        <v>7.4077518230150163E-4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input_504100!A$2</f>
        <v>504100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IFERROR(VLOOKUP(B206,input_504100!L:R,7,FALSE),VLOOKUP(tables_504100!C206,input_504100!A:H,8,FALSE))</f>
        <v>15107.14286</v>
      </c>
      <c r="P206" s="46">
        <f t="shared" ca="1" si="10"/>
        <v>2.4350649355246812E-4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input_504100!A$2</f>
        <v>504100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IFERROR(VLOOKUP(B207,input_504100!L:R,7,FALSE),VLOOKUP(tables_504100!C207,input_504100!A:H,8,FALSE))</f>
        <v>940</v>
      </c>
      <c r="P207" s="46">
        <f t="shared" ca="1" si="10"/>
        <v>1.515151515151026E-5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input_504100!A$2</f>
        <v>504100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IFERROR(VLOOKUP(B208,input_504100!L:R,7,FALSE),VLOOKUP(tables_504100!C208,input_504100!A:H,8,FALSE))</f>
        <v>15107.14286</v>
      </c>
      <c r="P208" s="46">
        <f t="shared" ca="1" si="10"/>
        <v>2.4350649355246812E-4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input_504100!A$2</f>
        <v>504100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IFERROR(VLOOKUP(B209,input_504100!L:R,7,FALSE),VLOOKUP(tables_504100!C209,input_504100!A:H,8,FALSE))</f>
        <v>940</v>
      </c>
      <c r="P209" s="46">
        <f t="shared" ca="1" si="10"/>
        <v>1.515151515151026E-5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input_504100!A$2</f>
        <v>504100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IFERROR(VLOOKUP(B210,input_504100!L:R,7,FALSE),VLOOKUP(tables_504100!C210,input_504100!A:H,8,FALSE))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input_504100!A$2</f>
        <v>504100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IFERROR(VLOOKUP(B211,input_504100!L:R,7,FALSE),VLOOKUP(tables_504100!C211,input_504100!A:H,8,FALSE))</f>
        <v>540438.46154000005</v>
      </c>
      <c r="P211" s="46">
        <f t="shared" ca="1" si="10"/>
        <v>8.7111292962576657E-3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input_504100!A$2</f>
        <v>504100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IFERROR(VLOOKUP(B212,input_504100!L:R,7,FALSE),VLOOKUP(tables_504100!C212,input_504100!A:H,8,FALSE))</f>
        <v>45957.692309999999</v>
      </c>
      <c r="P212" s="46">
        <f t="shared" ca="1" si="10"/>
        <v>7.4077518230150163E-4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input_504100!A$2</f>
        <v>504100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IFERROR(VLOOKUP(B213,input_504100!L:R,7,FALSE),VLOOKUP(tables_504100!C213,input_504100!A:H,8,FALSE))</f>
        <v>15107.14286</v>
      </c>
      <c r="P213" s="46">
        <f t="shared" ca="1" si="10"/>
        <v>2.4350649355246812E-4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input_504100!A$2</f>
        <v>504100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IFERROR(VLOOKUP(B214,input_504100!L:R,7,FALSE),VLOOKUP(tables_504100!C214,input_504100!A:H,8,FALSE))</f>
        <v>940</v>
      </c>
      <c r="P214" s="46">
        <f t="shared" ca="1" si="10"/>
        <v>1.515151515151026E-5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input_504100!A$2</f>
        <v>504100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IFERROR(VLOOKUP(B215,input_504100!L:R,7,FALSE),VLOOKUP(tables_504100!C215,input_504100!A:H,8,FALSE))</f>
        <v>36850</v>
      </c>
      <c r="P215" s="46">
        <f t="shared" ca="1" si="10"/>
        <v>5.9397163120548198E-4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input_504100!A$2</f>
        <v>504100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IFERROR(VLOOKUP(B216,input_504100!L:R,7,FALSE),VLOOKUP(tables_504100!C216,input_504100!A:H,8,FALSE))</f>
        <v>36850</v>
      </c>
      <c r="P216" s="46">
        <f t="shared" ca="1" si="10"/>
        <v>5.9397163120548198E-4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input_504100!A$2</f>
        <v>504100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IFERROR(VLOOKUP(B217,input_504100!L:R,7,FALSE),VLOOKUP(tables_504100!C217,input_504100!A:H,8,FALSE))</f>
        <v>36850</v>
      </c>
      <c r="P217" s="46">
        <f t="shared" ca="1" si="10"/>
        <v>5.9397163120548198E-4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input_504100!A$2</f>
        <v>504100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IFERROR(VLOOKUP(B218,input_504100!L:R,7,FALSE),VLOOKUP(tables_504100!C218,input_504100!A:H,8,FALSE))</f>
        <v>36850</v>
      </c>
      <c r="P218" s="46">
        <f t="shared" ca="1" si="10"/>
        <v>5.9397163120548198E-4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input_504100!A$2</f>
        <v>504100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IFERROR(VLOOKUP(B219,input_504100!L:R,7,FALSE),VLOOKUP(tables_504100!C219,input_504100!A:H,8,FALSE))</f>
        <v>36850</v>
      </c>
      <c r="P219" s="46">
        <f t="shared" ca="1" si="10"/>
        <v>5.9397163120548198E-4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input_504100!A$2</f>
        <v>504100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IFERROR(VLOOKUP(B220,input_504100!L:R,7,FALSE),VLOOKUP(tables_504100!C220,input_504100!A:H,8,FALSE))</f>
        <v>36850</v>
      </c>
      <c r="P220" s="46">
        <f t="shared" ca="1" si="10"/>
        <v>5.9397163120548198E-4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input_504100!A$2</f>
        <v>504100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IFERROR(VLOOKUP(B221,input_504100!L:R,7,FALSE),VLOOKUP(tables_504100!C221,input_504100!A:H,8,FALSE))</f>
        <v>15107.14286</v>
      </c>
      <c r="P221" s="46">
        <f t="shared" ca="1" si="10"/>
        <v>2.4350649355246812E-4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input_504100!A$2</f>
        <v>504100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IFERROR(VLOOKUP(B222,input_504100!L:R,7,FALSE),VLOOKUP(tables_504100!C222,input_504100!A:H,8,FALSE))</f>
        <v>940</v>
      </c>
      <c r="P222" s="46">
        <f t="shared" ca="1" si="10"/>
        <v>1.515151515151026E-5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input_504100!A$2</f>
        <v>504100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IFERROR(VLOOKUP(B223,input_504100!L:R,7,FALSE),VLOOKUP(tables_504100!C223,input_504100!A:H,8,FALSE))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input_504100!A$2</f>
        <v>504100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IFERROR(VLOOKUP(B224,input_504100!L:R,7,FALSE),VLOOKUP(tables_504100!C224,input_504100!A:H,8,FALSE))</f>
        <v>540438.46154000005</v>
      </c>
      <c r="P224" s="46">
        <f t="shared" ca="1" si="10"/>
        <v>8.7111292962576657E-3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input_504100!A$2</f>
        <v>504100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IFERROR(VLOOKUP(B225,input_504100!L:R,7,FALSE),VLOOKUP(tables_504100!C225,input_504100!A:H,8,FALSE))</f>
        <v>45957.692309999999</v>
      </c>
      <c r="P225" s="46">
        <f t="shared" ca="1" si="10"/>
        <v>7.4077518230150163E-4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input_504100!A$2</f>
        <v>504100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IFERROR(VLOOKUP(B226,input_504100!L:R,7,FALSE),VLOOKUP(tables_504100!C226,input_504100!A:H,8,FALSE))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input_504100!A$2</f>
        <v>504100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IFERROR(VLOOKUP(B227,input_504100!L:R,7,FALSE),VLOOKUP(tables_504100!C227,input_504100!A:H,8,FALSE))</f>
        <v>540438.46154000005</v>
      </c>
      <c r="P227" s="46">
        <f t="shared" ca="1" si="10"/>
        <v>8.7111292962576657E-3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input_504100!A$2</f>
        <v>504100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IFERROR(VLOOKUP(B228,input_504100!L:R,7,FALSE),VLOOKUP(tables_504100!C228,input_504100!A:H,8,FALSE))</f>
        <v>45957.692309999999</v>
      </c>
      <c r="P228" s="46">
        <f t="shared" ca="1" si="10"/>
        <v>7.4077518230150163E-4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input_504100!A$2</f>
        <v>504100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IFERROR(VLOOKUP(B229,input_504100!L:R,7,FALSE),VLOOKUP(tables_504100!C229,input_504100!A:H,8,FALSE))</f>
        <v>15107.14286</v>
      </c>
      <c r="P229" s="46">
        <f t="shared" ca="1" si="10"/>
        <v>2.4350649355246812E-4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input_504100!A$2</f>
        <v>504100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IFERROR(VLOOKUP(B230,input_504100!L:R,7,FALSE),VLOOKUP(tables_504100!C230,input_504100!A:H,8,FALSE))</f>
        <v>940</v>
      </c>
      <c r="P230" s="46">
        <f t="shared" ca="1" si="10"/>
        <v>1.515151515151026E-5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input_504100!A$2</f>
        <v>504100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IFERROR(VLOOKUP(B231,input_504100!L:R,7,FALSE),VLOOKUP(tables_504100!C231,input_504100!A:H,8,FALSE))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input_504100!A$2</f>
        <v>504100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IFERROR(VLOOKUP(B232,input_504100!L:R,7,FALSE),VLOOKUP(tables_504100!C232,input_504100!A:H,8,FALSE))</f>
        <v>540438.46154000005</v>
      </c>
      <c r="P232" s="46">
        <f t="shared" ca="1" si="10"/>
        <v>8.7111292962576657E-3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input_504100!A$2</f>
        <v>504100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IFERROR(VLOOKUP(B233,input_504100!L:R,7,FALSE),VLOOKUP(tables_504100!C233,input_504100!A:H,8,FALSE))</f>
        <v>45957.692309999999</v>
      </c>
      <c r="P233" s="46">
        <f t="shared" ca="1" si="10"/>
        <v>7.4077518230150163E-4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input_504100!A$2</f>
        <v>504100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IFERROR(VLOOKUP(B234,input_504100!L:R,7,FALSE),VLOOKUP(tables_504100!C234,input_504100!A:H,8,FALSE))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input_504100!A$2</f>
        <v>504100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IFERROR(VLOOKUP(B235,input_504100!L:R,7,FALSE),VLOOKUP(tables_504100!C235,input_504100!A:H,8,FALSE))</f>
        <v>540438.46154000005</v>
      </c>
      <c r="P235" s="46">
        <f t="shared" ca="1" si="10"/>
        <v>8.7111292962576657E-3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input_504100!A$2</f>
        <v>504100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IFERROR(VLOOKUP(B236,input_504100!L:R,7,FALSE),VLOOKUP(tables_504100!C236,input_504100!A:H,8,FALSE))</f>
        <v>45957.692309999999</v>
      </c>
      <c r="P236" s="46">
        <f t="shared" ca="1" si="10"/>
        <v>7.4077518230150163E-4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input_504100!A$2</f>
        <v>504100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IFERROR(VLOOKUP(B237,input_504100!L:R,7,FALSE),VLOOKUP(tables_504100!C237,input_504100!A:H,8,FALSE))</f>
        <v>15107.14286</v>
      </c>
      <c r="P237" s="46">
        <f t="shared" ca="1" si="10"/>
        <v>2.4350649355246812E-4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input_504100!A$2</f>
        <v>504100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IFERROR(VLOOKUP(B238,input_504100!L:R,7,FALSE),VLOOKUP(tables_504100!C238,input_504100!A:H,8,FALSE))</f>
        <v>940</v>
      </c>
      <c r="P238" s="46">
        <f t="shared" ca="1" si="10"/>
        <v>1.515151515151026E-5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input_504100!A$2</f>
        <v>504100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IFERROR(VLOOKUP(B239,input_504100!L:R,7,FALSE),VLOOKUP(tables_504100!C239,input_504100!A:H,8,FALSE))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input_504100!A$2</f>
        <v>504100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IFERROR(VLOOKUP(B240,input_504100!L:R,7,FALSE),VLOOKUP(tables_504100!C240,input_504100!A:H,8,FALSE))</f>
        <v>540438.46154000005</v>
      </c>
      <c r="P240" s="46">
        <f t="shared" ca="1" si="10"/>
        <v>8.7111292962576657E-3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input_504100!A$2</f>
        <v>504100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IFERROR(VLOOKUP(B241,input_504100!L:R,7,FALSE),VLOOKUP(tables_504100!C241,input_504100!A:H,8,FALSE))</f>
        <v>45957.692309999999</v>
      </c>
      <c r="P241" s="46">
        <f t="shared" ca="1" si="10"/>
        <v>7.4077518230150163E-4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input_504100!A$2</f>
        <v>504100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IFERROR(VLOOKUP(B242,input_504100!L:R,7,FALSE),VLOOKUP(tables_504100!C242,input_504100!A:H,8,FALSE))</f>
        <v>15107.14286</v>
      </c>
      <c r="P242" s="46">
        <f t="shared" ca="1" si="10"/>
        <v>2.4350649355246812E-4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input_504100!A$2</f>
        <v>504100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IFERROR(VLOOKUP(B243,input_504100!L:R,7,FALSE),VLOOKUP(tables_504100!C243,input_504100!A:H,8,FALSE))</f>
        <v>940</v>
      </c>
      <c r="P243" s="46">
        <f t="shared" ca="1" si="10"/>
        <v>1.515151515151026E-5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input_504100!A$2</f>
        <v>504100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IFERROR(VLOOKUP(B244,input_504100!L:R,7,FALSE),VLOOKUP(tables_504100!C244,input_504100!A:H,8,FALSE))</f>
        <v>15107.14286</v>
      </c>
      <c r="P244" s="46">
        <f t="shared" ca="1" si="10"/>
        <v>2.4350649355246812E-4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input_504100!A$2</f>
        <v>504100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IFERROR(VLOOKUP(B245,input_504100!L:R,7,FALSE),VLOOKUP(tables_504100!C245,input_504100!A:H,8,FALSE))</f>
        <v>940</v>
      </c>
      <c r="P245" s="46">
        <f t="shared" ca="1" si="10"/>
        <v>1.515151515151026E-5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input_504100!A$2</f>
        <v>504100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IFERROR(VLOOKUP(B246,input_504100!L:R,7,FALSE),VLOOKUP(tables_504100!C246,input_504100!A:H,8,FALSE))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input_504100!A$2</f>
        <v>504100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IFERROR(VLOOKUP(B247,input_504100!L:R,7,FALSE),VLOOKUP(tables_504100!C247,input_504100!A:H,8,FALSE))</f>
        <v>540438.46154000005</v>
      </c>
      <c r="P247" s="46">
        <f t="shared" ca="1" si="10"/>
        <v>8.7111292962576657E-3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input_504100!A$2</f>
        <v>504100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IFERROR(VLOOKUP(B248,input_504100!L:R,7,FALSE),VLOOKUP(tables_504100!C248,input_504100!A:H,8,FALSE))</f>
        <v>45957.692309999999</v>
      </c>
      <c r="P248" s="46">
        <f t="shared" ca="1" si="10"/>
        <v>7.4077518230150163E-4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input_504100!A$2</f>
        <v>504100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IFERROR(VLOOKUP(B249,input_504100!L:R,7,FALSE),VLOOKUP(tables_504100!C249,input_504100!A:H,8,FALSE))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input_504100!A$2</f>
        <v>504100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IFERROR(VLOOKUP(B250,input_504100!L:R,7,FALSE),VLOOKUP(tables_504100!C250,input_504100!A:H,8,FALSE))</f>
        <v>540438.46154000005</v>
      </c>
      <c r="P250" s="46">
        <f t="shared" ca="1" si="10"/>
        <v>8.7111292962576657E-3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input_504100!A$2</f>
        <v>504100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IFERROR(VLOOKUP(B251,input_504100!L:R,7,FALSE),VLOOKUP(tables_504100!C251,input_504100!A:H,8,FALSE))</f>
        <v>45957.692309999999</v>
      </c>
      <c r="P251" s="46">
        <f t="shared" ca="1" si="10"/>
        <v>7.4077518230150163E-4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input_504100!A$2</f>
        <v>504100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IFERROR(VLOOKUP(B252,input_504100!L:R,7,FALSE),VLOOKUP(tables_504100!C252,input_504100!A:H,8,FALSE))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input_504100!A$2</f>
        <v>504100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IFERROR(VLOOKUP(B253,input_504100!L:R,7,FALSE),VLOOKUP(tables_504100!C253,input_504100!A:H,8,FALSE))</f>
        <v>540438.46154000005</v>
      </c>
      <c r="P253" s="46">
        <f t="shared" ca="1" si="10"/>
        <v>8.7111292962576657E-3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input_504100!A$2</f>
        <v>504100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IFERROR(VLOOKUP(B254,input_504100!L:R,7,FALSE),VLOOKUP(tables_504100!C254,input_504100!A:H,8,FALSE))</f>
        <v>45957.692309999999</v>
      </c>
      <c r="P254" s="46">
        <f t="shared" ca="1" si="10"/>
        <v>7.4077518230150163E-4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input_504100!A$2</f>
        <v>504100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IFERROR(VLOOKUP(B255,input_504100!L:R,7,FALSE),VLOOKUP(tables_504100!C255,input_504100!A:H,8,FALSE))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input_504100!A$2</f>
        <v>504100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IFERROR(VLOOKUP(B256,input_504100!L:R,7,FALSE),VLOOKUP(tables_504100!C256,input_504100!A:H,8,FALSE))</f>
        <v>540438.46154000005</v>
      </c>
      <c r="P256" s="46">
        <f t="shared" ca="1" si="10"/>
        <v>8.7111292962576657E-3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input_504100!A$2</f>
        <v>504100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IFERROR(VLOOKUP(B257,input_504100!L:R,7,FALSE),VLOOKUP(tables_504100!C257,input_504100!A:H,8,FALSE))</f>
        <v>45957.692309999999</v>
      </c>
      <c r="P257" s="46">
        <f t="shared" ca="1" si="10"/>
        <v>7.4077518230150163E-4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input_504100!A$2</f>
        <v>504100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IFERROR(VLOOKUP(B258,input_504100!L:R,7,FALSE),VLOOKUP(tables_504100!C258,input_504100!A:H,8,FALSE))</f>
        <v>15107.14286</v>
      </c>
      <c r="P258" s="46">
        <f t="shared" ref="P258:P321" ca="1" si="13">O258/SUM(O:O)</f>
        <v>2.4350649355246812E-4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input_504100!A$2</f>
        <v>504100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IFERROR(VLOOKUP(B259,input_504100!L:R,7,FALSE),VLOOKUP(tables_504100!C259,input_504100!A:H,8,FALSE))</f>
        <v>940</v>
      </c>
      <c r="P259" s="46">
        <f t="shared" ca="1" si="13"/>
        <v>1.515151515151026E-5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input_504100!A$2</f>
        <v>504100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IFERROR(VLOOKUP(B260,input_504100!L:R,7,FALSE),VLOOKUP(tables_504100!C260,input_504100!A:H,8,FALSE))</f>
        <v>15107.14286</v>
      </c>
      <c r="P260" s="46">
        <f t="shared" ca="1" si="13"/>
        <v>2.4350649355246812E-4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input_504100!A$2</f>
        <v>504100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IFERROR(VLOOKUP(B261,input_504100!L:R,7,FALSE),VLOOKUP(tables_504100!C261,input_504100!A:H,8,FALSE))</f>
        <v>940</v>
      </c>
      <c r="P261" s="46">
        <f t="shared" ca="1" si="13"/>
        <v>1.515151515151026E-5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input_504100!A$2</f>
        <v>504100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IFERROR(VLOOKUP(B262,input_504100!L:R,7,FALSE),VLOOKUP(tables_504100!C262,input_504100!A:H,8,FALSE))</f>
        <v>577866.66666999995</v>
      </c>
      <c r="P262" s="46">
        <f t="shared" ca="1" si="13"/>
        <v>9.3144208038332277E-3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input_504100!A$2</f>
        <v>504100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IFERROR(VLOOKUP(B263,input_504100!L:R,7,FALSE),VLOOKUP(tables_504100!C263,input_504100!A:H,8,FALSE))</f>
        <v>36850</v>
      </c>
      <c r="P263" s="46">
        <f t="shared" ca="1" si="13"/>
        <v>5.9397163120548198E-4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input_504100!A$2</f>
        <v>504100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IFERROR(VLOOKUP(B264,input_504100!L:R,7,FALSE),VLOOKUP(tables_504100!C264,input_504100!A:H,8,FALSE))</f>
        <v>577866.66666999995</v>
      </c>
      <c r="P264" s="46">
        <f t="shared" ca="1" si="13"/>
        <v>9.3144208038332277E-3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input_504100!A$2</f>
        <v>504100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IFERROR(VLOOKUP(B265,input_504100!L:R,7,FALSE),VLOOKUP(tables_504100!C265,input_504100!A:H,8,FALSE))</f>
        <v>36850</v>
      </c>
      <c r="P265" s="46">
        <f t="shared" ca="1" si="13"/>
        <v>5.9397163120548198E-4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input_504100!A$2</f>
        <v>504100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IFERROR(VLOOKUP(B266,input_504100!L:R,7,FALSE),VLOOKUP(tables_504100!C266,input_504100!A:H,8,FALSE))</f>
        <v>4502.1052600000003</v>
      </c>
      <c r="P266" s="46">
        <f t="shared" ca="1" si="13"/>
        <v>7.2567783043174516E-5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input_504100!A$2</f>
        <v>504100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IFERROR(VLOOKUP(B267,input_504100!L:R,7,FALSE),VLOOKUP(tables_504100!C267,input_504100!A:H,8,FALSE))</f>
        <v>4502.1052600000003</v>
      </c>
      <c r="P267" s="46">
        <f t="shared" ca="1" si="13"/>
        <v>7.2567783043174516E-5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input_504100!A$2</f>
        <v>504100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IFERROR(VLOOKUP(B268,input_504100!L:R,7,FALSE),VLOOKUP(tables_504100!C268,input_504100!A:H,8,FALSE))</f>
        <v>4502.1052600000003</v>
      </c>
      <c r="P268" s="46">
        <f t="shared" ca="1" si="13"/>
        <v>7.2567783043174516E-5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input_504100!A$2</f>
        <v>504100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IFERROR(VLOOKUP(B269,input_504100!L:R,7,FALSE),VLOOKUP(tables_504100!C269,input_504100!A:H,8,FALSE))</f>
        <v>4502.1052600000003</v>
      </c>
      <c r="P269" s="46">
        <f t="shared" ca="1" si="13"/>
        <v>7.2567783043174516E-5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input_504100!A$2</f>
        <v>504100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IFERROR(VLOOKUP(B270,input_504100!L:R,7,FALSE),VLOOKUP(tables_504100!C270,input_504100!A:H,8,FALSE))</f>
        <v>577866.66666999995</v>
      </c>
      <c r="P270" s="46">
        <f t="shared" ca="1" si="13"/>
        <v>9.3144208038332277E-3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input_504100!A$2</f>
        <v>504100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IFERROR(VLOOKUP(B271,input_504100!L:R,7,FALSE),VLOOKUP(tables_504100!C271,input_504100!A:H,8,FALSE))</f>
        <v>36850</v>
      </c>
      <c r="P271" s="46">
        <f t="shared" ca="1" si="13"/>
        <v>5.9397163120548198E-4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input_504100!A$2</f>
        <v>504100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IFERROR(VLOOKUP(B272,input_504100!L:R,7,FALSE),VLOOKUP(tables_504100!C272,input_504100!A:H,8,FALSE))</f>
        <v>577866.66666999995</v>
      </c>
      <c r="P272" s="46">
        <f t="shared" ca="1" si="13"/>
        <v>9.3144208038332277E-3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input_504100!A$2</f>
        <v>504100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IFERROR(VLOOKUP(B273,input_504100!L:R,7,FALSE),VLOOKUP(tables_504100!C273,input_504100!A:H,8,FALSE))</f>
        <v>36850</v>
      </c>
      <c r="P273" s="46">
        <f t="shared" ca="1" si="13"/>
        <v>5.9397163120548198E-4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input_504100!A$2</f>
        <v>504100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IFERROR(VLOOKUP(B274,input_504100!L:R,7,FALSE),VLOOKUP(tables_504100!C274,input_504100!A:H,8,FALSE))</f>
        <v>15107.14286</v>
      </c>
      <c r="P274" s="46">
        <f t="shared" ca="1" si="13"/>
        <v>2.4350649355246812E-4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input_504100!A$2</f>
        <v>504100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IFERROR(VLOOKUP(B275,input_504100!L:R,7,FALSE),VLOOKUP(tables_504100!C275,input_504100!A:H,8,FALSE))</f>
        <v>940</v>
      </c>
      <c r="P275" s="46">
        <f t="shared" ca="1" si="13"/>
        <v>1.515151515151026E-5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input_504100!A$2</f>
        <v>504100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IFERROR(VLOOKUP(B276,input_504100!L:R,7,FALSE),VLOOKUP(tables_504100!C276,input_504100!A:H,8,FALSE))</f>
        <v>15107.14286</v>
      </c>
      <c r="P276" s="46">
        <f t="shared" ca="1" si="13"/>
        <v>2.4350649355246812E-4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input_504100!A$2</f>
        <v>504100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IFERROR(VLOOKUP(B277,input_504100!L:R,7,FALSE),VLOOKUP(tables_504100!C277,input_504100!A:H,8,FALSE))</f>
        <v>940</v>
      </c>
      <c r="P277" s="46">
        <f t="shared" ca="1" si="13"/>
        <v>1.515151515151026E-5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input_504100!A$2</f>
        <v>504100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IFERROR(VLOOKUP(B278,input_504100!L:R,7,FALSE),VLOOKUP(tables_504100!C278,input_504100!A:H,8,FALSE))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input_504100!A$2</f>
        <v>504100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IFERROR(VLOOKUP(B279,input_504100!L:R,7,FALSE),VLOOKUP(tables_504100!C279,input_504100!A:H,8,FALSE))</f>
        <v>540438.46154000005</v>
      </c>
      <c r="P279" s="46">
        <f t="shared" ca="1" si="13"/>
        <v>8.7111292962576657E-3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input_504100!A$2</f>
        <v>504100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IFERROR(VLOOKUP(B280,input_504100!L:R,7,FALSE),VLOOKUP(tables_504100!C280,input_504100!A:H,8,FALSE))</f>
        <v>45957.692309999999</v>
      </c>
      <c r="P280" s="46">
        <f t="shared" ca="1" si="13"/>
        <v>7.4077518230150163E-4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input_504100!A$2</f>
        <v>504100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IFERROR(VLOOKUP(B281,input_504100!L:R,7,FALSE),VLOOKUP(tables_504100!C281,input_504100!A:H,8,FALSE))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input_504100!A$2</f>
        <v>504100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IFERROR(VLOOKUP(B282,input_504100!L:R,7,FALSE),VLOOKUP(tables_504100!C282,input_504100!A:H,8,FALSE))</f>
        <v>540438.46154000005</v>
      </c>
      <c r="P282" s="46">
        <f t="shared" ca="1" si="13"/>
        <v>8.7111292962576657E-3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input_504100!A$2</f>
        <v>504100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IFERROR(VLOOKUP(B283,input_504100!L:R,7,FALSE),VLOOKUP(tables_504100!C283,input_504100!A:H,8,FALSE))</f>
        <v>45957.692309999999</v>
      </c>
      <c r="P283" s="46">
        <f t="shared" ca="1" si="13"/>
        <v>7.4077518230150163E-4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input_504100!A$2</f>
        <v>504100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IFERROR(VLOOKUP(B284,input_504100!L:R,7,FALSE),VLOOKUP(tables_504100!C284,input_504100!A:H,8,FALSE))</f>
        <v>4502.1052600000003</v>
      </c>
      <c r="P284" s="46">
        <f t="shared" ca="1" si="13"/>
        <v>7.2567783043174516E-5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input_504100!A$2</f>
        <v>504100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IFERROR(VLOOKUP(B285,input_504100!L:R,7,FALSE),VLOOKUP(tables_504100!C285,input_504100!A:H,8,FALSE))</f>
        <v>4502.1052600000003</v>
      </c>
      <c r="P285" s="46">
        <f t="shared" ca="1" si="13"/>
        <v>7.2567783043174516E-5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input_504100!A$2</f>
        <v>504100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IFERROR(VLOOKUP(B286,input_504100!L:R,7,FALSE),VLOOKUP(tables_504100!C286,input_504100!A:H,8,FALSE))</f>
        <v>577866.66666999995</v>
      </c>
      <c r="P286" s="46">
        <f t="shared" ca="1" si="13"/>
        <v>9.3144208038332277E-3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input_504100!A$2</f>
        <v>504100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IFERROR(VLOOKUP(B287,input_504100!L:R,7,FALSE),VLOOKUP(tables_504100!C287,input_504100!A:H,8,FALSE))</f>
        <v>36850</v>
      </c>
      <c r="P287" s="46">
        <f t="shared" ca="1" si="13"/>
        <v>5.9397163120548198E-4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input_504100!A$2</f>
        <v>504100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IFERROR(VLOOKUP(B288,input_504100!L:R,7,FALSE),VLOOKUP(tables_504100!C288,input_504100!A:H,8,FALSE))</f>
        <v>577866.66666999995</v>
      </c>
      <c r="P288" s="46">
        <f t="shared" ca="1" si="13"/>
        <v>9.3144208038332277E-3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input_504100!A$2</f>
        <v>504100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IFERROR(VLOOKUP(B289,input_504100!L:R,7,FALSE),VLOOKUP(tables_504100!C289,input_504100!A:H,8,FALSE))</f>
        <v>36850</v>
      </c>
      <c r="P289" s="46">
        <f t="shared" ca="1" si="13"/>
        <v>5.9397163120548198E-4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input_504100!A$2</f>
        <v>504100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IFERROR(VLOOKUP(B290,input_504100!L:R,7,FALSE),VLOOKUP(tables_504100!C290,input_504100!A:H,8,FALSE))</f>
        <v>577866.66666999995</v>
      </c>
      <c r="P290" s="46">
        <f t="shared" ca="1" si="13"/>
        <v>9.3144208038332277E-3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input_504100!A$2</f>
        <v>504100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IFERROR(VLOOKUP(B291,input_504100!L:R,7,FALSE),VLOOKUP(tables_504100!C291,input_504100!A:H,8,FALSE))</f>
        <v>36850</v>
      </c>
      <c r="P291" s="46">
        <f t="shared" ca="1" si="13"/>
        <v>5.9397163120548198E-4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input_504100!A$2</f>
        <v>504100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IFERROR(VLOOKUP(B292,input_504100!L:R,7,FALSE),VLOOKUP(tables_504100!C292,input_504100!A:H,8,FALSE))</f>
        <v>577866.66666999995</v>
      </c>
      <c r="P292" s="46">
        <f t="shared" ca="1" si="13"/>
        <v>9.3144208038332277E-3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input_504100!A$2</f>
        <v>504100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IFERROR(VLOOKUP(B293,input_504100!L:R,7,FALSE),VLOOKUP(tables_504100!C293,input_504100!A:H,8,FALSE))</f>
        <v>36850</v>
      </c>
      <c r="P293" s="46">
        <f t="shared" ca="1" si="13"/>
        <v>5.9397163120548198E-4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input_504100!A$2</f>
        <v>504100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IFERROR(VLOOKUP(B294,input_504100!L:R,7,FALSE),VLOOKUP(tables_504100!C294,input_504100!A:H,8,FALSE))</f>
        <v>4502.1052600000003</v>
      </c>
      <c r="P294" s="46">
        <f t="shared" ca="1" si="13"/>
        <v>7.2567783043174516E-5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input_504100!A$2</f>
        <v>504100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IFERROR(VLOOKUP(B295,input_504100!L:R,7,FALSE),VLOOKUP(tables_504100!C295,input_504100!A:H,8,FALSE))</f>
        <v>4502.1052600000003</v>
      </c>
      <c r="P295" s="46">
        <f t="shared" ca="1" si="13"/>
        <v>7.2567783043174516E-5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input_504100!A$2</f>
        <v>504100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IFERROR(VLOOKUP(B296,input_504100!L:R,7,FALSE),VLOOKUP(tables_504100!C296,input_504100!A:H,8,FALSE))</f>
        <v>4502.1052600000003</v>
      </c>
      <c r="P296" s="46">
        <f t="shared" ca="1" si="13"/>
        <v>7.2567783043174516E-5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input_504100!A$2</f>
        <v>504100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IFERROR(VLOOKUP(B297,input_504100!L:R,7,FALSE),VLOOKUP(tables_504100!C297,input_504100!A:H,8,FALSE))</f>
        <v>577866.66666999995</v>
      </c>
      <c r="P297" s="46">
        <f t="shared" ca="1" si="13"/>
        <v>9.3144208038332277E-3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input_504100!A$2</f>
        <v>504100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IFERROR(VLOOKUP(B298,input_504100!L:R,7,FALSE),VLOOKUP(tables_504100!C298,input_504100!A:H,8,FALSE))</f>
        <v>36850</v>
      </c>
      <c r="P298" s="46">
        <f t="shared" ca="1" si="13"/>
        <v>5.9397163120548198E-4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input_504100!A$2</f>
        <v>504100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IFERROR(VLOOKUP(B299,input_504100!L:R,7,FALSE),VLOOKUP(tables_504100!C299,input_504100!A:H,8,FALSE))</f>
        <v>4502.1052600000003</v>
      </c>
      <c r="P299" s="46">
        <f t="shared" ca="1" si="13"/>
        <v>7.2567783043174516E-5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input_504100!A$2</f>
        <v>504100</v>
      </c>
      <c r="B300" s="5">
        <v>943</v>
      </c>
      <c r="C300" s="7" t="str">
        <f t="shared" ref="C300:C304" si="20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IFERROR(VLOOKUP(B300,input_504100!L:R,7,FALSE),VLOOKUP(tables_504100!C300,input_504100!A:H,8,FALSE))</f>
        <v>4502.1052600000003</v>
      </c>
      <c r="P300" s="46">
        <f t="shared" ca="1" si="13"/>
        <v>7.2567783043174516E-5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input_504100!A$2</f>
        <v>504100</v>
      </c>
      <c r="B301" s="5">
        <v>1012</v>
      </c>
      <c r="C301" s="7" t="str">
        <f t="shared" si="20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IFERROR(VLOOKUP(B301,input_504100!L:R,7,FALSE),VLOOKUP(tables_504100!C301,input_504100!A:H,8,FALSE))</f>
        <v>4502.1052600000003</v>
      </c>
      <c r="P301" s="46">
        <f t="shared" ca="1" si="13"/>
        <v>7.2567783043174516E-5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input_504100!A$2</f>
        <v>504100</v>
      </c>
      <c r="B302" s="5">
        <v>1014</v>
      </c>
      <c r="C302" s="7" t="str">
        <f t="shared" si="20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IFERROR(VLOOKUP(B302,input_504100!L:R,7,FALSE),VLOOKUP(tables_504100!C302,input_504100!A:H,8,FALSE))</f>
        <v>4502.1052600000003</v>
      </c>
      <c r="P302" s="46">
        <f t="shared" ca="1" si="13"/>
        <v>7.2567783043174516E-5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input_504100!A$2</f>
        <v>504100</v>
      </c>
      <c r="B303" s="5">
        <v>1016</v>
      </c>
      <c r="C303" s="7" t="str">
        <f t="shared" si="20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IFERROR(VLOOKUP(B303,input_504100!L:R,7,FALSE),VLOOKUP(tables_504100!C303,input_504100!A:H,8,FALSE))</f>
        <v>577866.66666999995</v>
      </c>
      <c r="P303" s="46">
        <f t="shared" ca="1" si="13"/>
        <v>9.3144208038332277E-3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input_504100!A$2</f>
        <v>504100</v>
      </c>
      <c r="B304" s="5">
        <v>1017</v>
      </c>
      <c r="C304" s="7" t="str">
        <f t="shared" si="20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IFERROR(VLOOKUP(B304,input_504100!L:R,7,FALSE),VLOOKUP(tables_504100!C304,input_504100!A:H,8,FALSE))</f>
        <v>36850</v>
      </c>
      <c r="P304" s="46">
        <f t="shared" ca="1" si="13"/>
        <v>5.9397163120548198E-4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input_504100!A$2</f>
        <v>504100</v>
      </c>
      <c r="B305" s="5">
        <v>1018</v>
      </c>
      <c r="C305" s="7" t="str">
        <f t="shared" ref="C305:C308" si="21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IFERROR(VLOOKUP(B305,input_504100!L:R,7,FALSE),VLOOKUP(tables_504100!C305,input_504100!A:H,8,FALSE))</f>
        <v>4502.1052600000003</v>
      </c>
      <c r="P305" s="46">
        <f t="shared" ca="1" si="13"/>
        <v>7.2567783043174516E-5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input_504100!A$2</f>
        <v>504100</v>
      </c>
      <c r="B306" s="5">
        <v>1026</v>
      </c>
      <c r="C306" s="7" t="str">
        <f t="shared" si="21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IFERROR(VLOOKUP(B306,input_504100!L:R,7,FALSE),VLOOKUP(tables_504100!C306,input_504100!A:H,8,FALSE))</f>
        <v>577866.66666999995</v>
      </c>
      <c r="P306" s="46">
        <f t="shared" ca="1" si="13"/>
        <v>9.3144208038332277E-3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input_504100!A$2</f>
        <v>504100</v>
      </c>
      <c r="B307" s="5">
        <v>1027</v>
      </c>
      <c r="C307" s="7" t="str">
        <f t="shared" si="21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IFERROR(VLOOKUP(B307,input_504100!L:R,7,FALSE),VLOOKUP(tables_504100!C307,input_504100!A:H,8,FALSE))</f>
        <v>36850</v>
      </c>
      <c r="P307" s="46">
        <f t="shared" ca="1" si="13"/>
        <v>5.9397163120548198E-4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input_504100!A$2</f>
        <v>504100</v>
      </c>
      <c r="B308" s="5">
        <v>1028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IFERROR(VLOOKUP(B308,input_504100!L:R,7,FALSE),VLOOKUP(tables_504100!C308,input_504100!A:H,8,FALSE))</f>
        <v>4502.1052600000003</v>
      </c>
      <c r="P308" s="46">
        <f t="shared" ca="1" si="13"/>
        <v>7.2567783043174516E-5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input_504100!A$2</f>
        <v>504100</v>
      </c>
      <c r="B309" s="5">
        <v>1031</v>
      </c>
      <c r="C309" s="7" t="str">
        <f t="shared" ref="C309" si="22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IFERROR(VLOOKUP(B309,input_504100!L:R,7,FALSE),VLOOKUP(tables_504100!C309,input_504100!A:H,8,FALSE))</f>
        <v>4502.1052600000003</v>
      </c>
      <c r="P309" s="46">
        <f t="shared" ca="1" si="13"/>
        <v>7.2567783043174516E-5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input_504100!A$2</f>
        <v>504100</v>
      </c>
      <c r="B310" s="5">
        <v>1033</v>
      </c>
      <c r="C310" s="7" t="str">
        <f t="shared" ref="C310:C314" si="23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IFERROR(VLOOKUP(B310,input_504100!L:R,7,FALSE),VLOOKUP(tables_504100!C310,input_504100!A:H,8,FALSE))</f>
        <v>4502.1052600000003</v>
      </c>
      <c r="P310" s="46">
        <f t="shared" ca="1" si="13"/>
        <v>7.2567783043174516E-5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input_504100!A$2</f>
        <v>504100</v>
      </c>
      <c r="B311" s="5">
        <v>1067</v>
      </c>
      <c r="C311" s="7" t="str">
        <f t="shared" si="23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IFERROR(VLOOKUP(B311,input_504100!L:R,7,FALSE),VLOOKUP(tables_504100!C311,input_504100!A:H,8,FALSE))</f>
        <v>577866.66666999995</v>
      </c>
      <c r="P311" s="46">
        <f t="shared" ca="1" si="13"/>
        <v>9.3144208038332277E-3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input_504100!A$2</f>
        <v>504100</v>
      </c>
      <c r="B312" s="5">
        <v>1068</v>
      </c>
      <c r="C312" s="7" t="str">
        <f t="shared" si="23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IFERROR(VLOOKUP(B312,input_504100!L:R,7,FALSE),VLOOKUP(tables_504100!C312,input_504100!A:H,8,FALSE))</f>
        <v>36850</v>
      </c>
      <c r="P312" s="46">
        <f t="shared" ca="1" si="13"/>
        <v>5.9397163120548198E-4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input_504100!A$2</f>
        <v>504100</v>
      </c>
      <c r="B313" s="5">
        <v>1069</v>
      </c>
      <c r="C313" s="7" t="str">
        <f t="shared" si="23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IFERROR(VLOOKUP(B313,input_504100!L:R,7,FALSE),VLOOKUP(tables_504100!C313,input_504100!A:H,8,FALSE))</f>
        <v>4502.1052600000003</v>
      </c>
      <c r="P313" s="46">
        <f t="shared" ca="1" si="13"/>
        <v>7.2567783043174516E-5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input_504100!A$2</f>
        <v>504100</v>
      </c>
      <c r="B314" s="5">
        <v>1072</v>
      </c>
      <c r="C314" s="7" t="str">
        <f t="shared" si="23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IFERROR(VLOOKUP(B314,input_504100!L:R,7,FALSE),VLOOKUP(tables_504100!C314,input_504100!A:H,8,FALSE))</f>
        <v>4502.1052600000003</v>
      </c>
      <c r="P314" s="46">
        <f t="shared" ca="1" si="13"/>
        <v>7.2567783043174516E-5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input_504100!A$2</f>
        <v>504100</v>
      </c>
      <c r="B315" s="5">
        <v>1074</v>
      </c>
      <c r="C315" s="7" t="str">
        <f t="shared" ref="C315:C319" si="24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IFERROR(VLOOKUP(B315,input_504100!L:R,7,FALSE),VLOOKUP(tables_504100!C315,input_504100!A:H,8,FALSE))</f>
        <v>4502.1052600000003</v>
      </c>
      <c r="P315" s="46">
        <f t="shared" ca="1" si="13"/>
        <v>7.2567783043174516E-5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input_504100!A$2</f>
        <v>504100</v>
      </c>
      <c r="B316" s="5">
        <v>1100</v>
      </c>
      <c r="C316" s="7" t="str">
        <f t="shared" si="24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IFERROR(VLOOKUP(B316,input_504100!L:R,7,FALSE),VLOOKUP(tables_504100!C316,input_504100!A:H,8,FALSE))</f>
        <v>4502.1052600000003</v>
      </c>
      <c r="P316" s="46">
        <f t="shared" ca="1" si="13"/>
        <v>7.2567783043174516E-5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input_504100!A$2</f>
        <v>504100</v>
      </c>
      <c r="B317" s="5">
        <v>1102</v>
      </c>
      <c r="C317" s="7" t="str">
        <f t="shared" si="24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IFERROR(VLOOKUP(B317,input_504100!L:R,7,FALSE),VLOOKUP(tables_504100!C317,input_504100!A:H,8,FALSE))</f>
        <v>4502.1052600000003</v>
      </c>
      <c r="P317" s="46">
        <f t="shared" ca="1" si="13"/>
        <v>7.2567783043174516E-5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input_504100!A$2</f>
        <v>504100</v>
      </c>
      <c r="B318" s="5">
        <v>1104</v>
      </c>
      <c r="C318" s="7" t="str">
        <f t="shared" si="24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IFERROR(VLOOKUP(B318,input_504100!L:R,7,FALSE),VLOOKUP(tables_504100!C318,input_504100!A:H,8,FALSE))</f>
        <v>577866.66666999995</v>
      </c>
      <c r="P318" s="46">
        <f t="shared" ca="1" si="13"/>
        <v>9.3144208038332277E-3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input_504100!A$2</f>
        <v>504100</v>
      </c>
      <c r="B319" s="5">
        <v>1105</v>
      </c>
      <c r="C319" s="7" t="str">
        <f t="shared" si="24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IFERROR(VLOOKUP(B319,input_504100!L:R,7,FALSE),VLOOKUP(tables_504100!C319,input_504100!A:H,8,FALSE))</f>
        <v>36850</v>
      </c>
      <c r="P319" s="46">
        <f t="shared" ca="1" si="13"/>
        <v>5.9397163120548198E-4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input_504100!A$2</f>
        <v>504100</v>
      </c>
      <c r="B320" s="5">
        <v>1106</v>
      </c>
      <c r="C320" s="7" t="str">
        <f t="shared" ref="C320:C324" si="25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IFERROR(VLOOKUP(B320,input_504100!L:R,7,FALSE),VLOOKUP(tables_504100!C320,input_504100!A:H,8,FALSE))</f>
        <v>4502.1052600000003</v>
      </c>
      <c r="P320" s="46">
        <f t="shared" ca="1" si="13"/>
        <v>7.2567783043174516E-5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input_504100!A$2</f>
        <v>504100</v>
      </c>
      <c r="B321" s="5">
        <v>1137</v>
      </c>
      <c r="C321" s="7" t="str">
        <f t="shared" si="25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IFERROR(VLOOKUP(B321,input_504100!L:R,7,FALSE),VLOOKUP(tables_504100!C321,input_504100!A:H,8,FALSE))</f>
        <v>4502.1052600000003</v>
      </c>
      <c r="P321" s="46">
        <f t="shared" ca="1" si="13"/>
        <v>7.2567783043174516E-5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input_504100!A$2</f>
        <v>504100</v>
      </c>
      <c r="B322" s="5">
        <v>1139</v>
      </c>
      <c r="C322" s="7" t="str">
        <f t="shared" si="25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IFERROR(VLOOKUP(B322,input_504100!L:R,7,FALSE),VLOOKUP(tables_504100!C322,input_504100!A:H,8,FALSE))</f>
        <v>4502.1052600000003</v>
      </c>
      <c r="P322" s="46">
        <f t="shared" ref="P322:P340" ca="1" si="26">O322/SUM(O:O)</f>
        <v>7.2567783043174516E-5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input_504100!A$2</f>
        <v>504100</v>
      </c>
      <c r="B323" s="5">
        <v>1141</v>
      </c>
      <c r="C323" s="7" t="str">
        <f t="shared" si="25"/>
        <v>PremiumSS5R5only</v>
      </c>
      <c r="D323" s="7" t="str">
        <f t="shared" ref="D323:D330" si="2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IFERROR(VLOOKUP(B323,input_504100!L:R,7,FALSE),VLOOKUP(tables_504100!C323,input_504100!A:H,8,FALSE))</f>
        <v>4502.1052600000003</v>
      </c>
      <c r="P323" s="46">
        <f t="shared" ca="1" si="26"/>
        <v>7.2567783043174516E-5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input_504100!A$2</f>
        <v>504100</v>
      </c>
      <c r="B324" s="2">
        <v>1143</v>
      </c>
      <c r="C324" s="7" t="str">
        <f t="shared" si="25"/>
        <v>Premium4R3less</v>
      </c>
      <c r="D324" s="7" t="str">
        <f t="shared" si="2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IFERROR(VLOOKUP(B324,input_504100!L:R,7,FALSE),VLOOKUP(tables_504100!C324,input_504100!A:H,8,FALSE))</f>
        <v>577866.66666999995</v>
      </c>
      <c r="P324" s="46">
        <f t="shared" ca="1" si="26"/>
        <v>9.3144208038332277E-3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input_504100!A$2</f>
        <v>504100</v>
      </c>
      <c r="B325" s="2">
        <v>1144</v>
      </c>
      <c r="C325" s="7" t="str">
        <f t="shared" ref="C325:C330" si="28">D325&amp;J325&amp;E325&amp;F325&amp;G325</f>
        <v>Premium5R3less</v>
      </c>
      <c r="D325" s="7" t="str">
        <f t="shared" si="2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IFERROR(VLOOKUP(B325,input_504100!L:R,7,FALSE),VLOOKUP(tables_504100!C325,input_504100!A:H,8,FALSE))</f>
        <v>36850</v>
      </c>
      <c r="P325" s="46">
        <f t="shared" ca="1" si="26"/>
        <v>5.9397163120548198E-4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input_504100!A$2</f>
        <v>504100</v>
      </c>
      <c r="B326" s="2">
        <v>1151</v>
      </c>
      <c r="C326" s="7" t="str">
        <f t="shared" si="28"/>
        <v>Premium4R3less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IFERROR(VLOOKUP(B326,input_504100!L:R,7,FALSE),VLOOKUP(tables_504100!C326,input_504100!A:H,8,FALSE))</f>
        <v>577866.66666999995</v>
      </c>
      <c r="P326" s="46">
        <f t="shared" ca="1" si="26"/>
        <v>9.3144208038332277E-3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input_504100!A$2</f>
        <v>504100</v>
      </c>
      <c r="B327" s="2">
        <v>1152</v>
      </c>
      <c r="C327" s="7" t="str">
        <f t="shared" si="28"/>
        <v>Premium5R3less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IFERROR(VLOOKUP(B327,input_504100!L:R,7,FALSE),VLOOKUP(tables_504100!C327,input_504100!A:H,8,FALSE))</f>
        <v>36850</v>
      </c>
      <c r="P327" s="46">
        <f t="shared" ca="1" si="26"/>
        <v>5.9397163120548198E-4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input_504100!A$2</f>
        <v>504100</v>
      </c>
      <c r="B328" s="2">
        <v>1153</v>
      </c>
      <c r="C328" s="7" t="str">
        <f t="shared" si="28"/>
        <v>PremiumSS5R5only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IFERROR(VLOOKUP(B328,input_504100!L:R,7,FALSE),VLOOKUP(tables_504100!C328,input_504100!A:H,8,FALSE))</f>
        <v>4502.1052600000003</v>
      </c>
      <c r="P328" s="46">
        <f t="shared" ca="1" si="26"/>
        <v>7.2567783043174516E-5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input_504100!A$2</f>
        <v>504100</v>
      </c>
      <c r="B329" s="2">
        <v>1155</v>
      </c>
      <c r="C329" s="7" t="str">
        <f t="shared" si="28"/>
        <v>PremiumSS5R5only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IFERROR(VLOOKUP(B329,input_504100!L:R,7,FALSE),VLOOKUP(tables_504100!C329,input_504100!A:H,8,FALSE))</f>
        <v>4502.1052600000003</v>
      </c>
      <c r="P329" s="46">
        <f t="shared" ca="1" si="26"/>
        <v>7.2567783043174516E-5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input_504100!A$2</f>
        <v>504100</v>
      </c>
      <c r="B330" s="2">
        <v>1157</v>
      </c>
      <c r="C330" s="7" t="str">
        <f t="shared" si="28"/>
        <v>PremiumSS5R5only</v>
      </c>
      <c r="D330" s="97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IFERROR(VLOOKUP(B330,input_504100!L:R,7,FALSE),VLOOKUP(tables_504100!C330,input_504100!A:H,8,FALSE))</f>
        <v>4502.1052600000003</v>
      </c>
      <c r="P330" s="46">
        <f t="shared" ca="1" si="26"/>
        <v>7.2567783043174516E-5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input_504100!A$2</f>
        <v>504100</v>
      </c>
      <c r="B331" s="60">
        <v>1214</v>
      </c>
      <c r="C331" s="7" t="str">
        <f t="shared" ref="C331:C335" si="29">D331&amp;J331&amp;E331&amp;F331&amp;G331</f>
        <v>PremiumSS5R5only</v>
      </c>
      <c r="D331" s="97" t="str">
        <f t="shared" ref="D331:D335" si="30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IFERROR(VLOOKUP(B331,input_504100!L:R,7,FALSE),VLOOKUP(tables_504100!C331,input_504100!A:H,8,FALSE))</f>
        <v>4502.1052600000003</v>
      </c>
      <c r="P331" s="46">
        <f t="shared" ca="1" si="26"/>
        <v>7.2567783043174516E-5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input_504100!A$2</f>
        <v>504100</v>
      </c>
      <c r="B332" s="60">
        <v>1212</v>
      </c>
      <c r="C332" s="7" t="str">
        <f t="shared" si="29"/>
        <v>PremiumSS5R5only</v>
      </c>
      <c r="D332" s="97" t="str">
        <f t="shared" si="30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IFERROR(VLOOKUP(B332,input_504100!L:R,7,FALSE),VLOOKUP(tables_504100!C332,input_504100!A:H,8,FALSE))</f>
        <v>4502.1052600000003</v>
      </c>
      <c r="P332" s="46">
        <f t="shared" ca="1" si="26"/>
        <v>7.2567783043174516E-5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input_504100!A$2</f>
        <v>504100</v>
      </c>
      <c r="B333" s="60">
        <v>1208</v>
      </c>
      <c r="C333" s="7" t="str">
        <f t="shared" si="29"/>
        <v>PremiumSS5R5only</v>
      </c>
      <c r="D333" s="97" t="str">
        <f t="shared" si="30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IFERROR(VLOOKUP(B333,input_504100!L:R,7,FALSE),VLOOKUP(tables_504100!C333,input_504100!A:H,8,FALSE))</f>
        <v>4502.1052600000003</v>
      </c>
      <c r="P333" s="46">
        <f t="shared" ca="1" si="26"/>
        <v>7.2567783043174516E-5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input_504100!A$2</f>
        <v>504100</v>
      </c>
      <c r="B334" s="93">
        <v>1210</v>
      </c>
      <c r="C334" s="7" t="str">
        <f t="shared" si="29"/>
        <v>Premium4R3less</v>
      </c>
      <c r="D334" s="97" t="str">
        <f t="shared" si="30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IFERROR(VLOOKUP(B334,input_504100!L:R,7,FALSE),VLOOKUP(tables_504100!C334,input_504100!A:H,8,FALSE))</f>
        <v>577866.66666999995</v>
      </c>
      <c r="P334" s="46">
        <f t="shared" ca="1" si="26"/>
        <v>9.3144208038332277E-3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input_504100!A$2</f>
        <v>504100</v>
      </c>
      <c r="B335" s="60">
        <v>1211</v>
      </c>
      <c r="C335" s="7" t="str">
        <f t="shared" si="29"/>
        <v>Premium5R3less</v>
      </c>
      <c r="D335" s="97" t="str">
        <f t="shared" si="30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IFERROR(VLOOKUP(B335,input_504100!L:R,7,FALSE),VLOOKUP(tables_504100!C335,input_504100!A:H,8,FALSE))</f>
        <v>36850</v>
      </c>
      <c r="P335" s="46">
        <f t="shared" ca="1" si="26"/>
        <v>5.9397163120548198E-4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input_504100!A$2</f>
        <v>504100</v>
      </c>
      <c r="B336" s="2">
        <v>1224</v>
      </c>
      <c r="C336" s="7" t="str">
        <f t="shared" ref="C336:C340" si="31">D336&amp;J336&amp;E336&amp;F336&amp;G336</f>
        <v>Premium4R3less</v>
      </c>
      <c r="D336" s="97" t="str">
        <f t="shared" ref="D336:D340" si="32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IFERROR(VLOOKUP(B336,input_504100!L:R,7,FALSE),VLOOKUP(tables_504100!C336,input_504100!A:H,8,FALSE))</f>
        <v>577866.66666999995</v>
      </c>
      <c r="P336" s="46">
        <f t="shared" ca="1" si="26"/>
        <v>9.3144208038332277E-3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input_504100!A$2</f>
        <v>504100</v>
      </c>
      <c r="B337" s="2">
        <v>1225</v>
      </c>
      <c r="C337" s="7" t="str">
        <f t="shared" si="31"/>
        <v>Premium5R3less</v>
      </c>
      <c r="D337" s="97" t="str">
        <f t="shared" si="3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IFERROR(VLOOKUP(B337,input_504100!L:R,7,FALSE),VLOOKUP(tables_504100!C337,input_504100!A:H,8,FALSE))</f>
        <v>36850</v>
      </c>
      <c r="P337" s="46">
        <f t="shared" ca="1" si="26"/>
        <v>5.9397163120548198E-4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input_504100!A$2</f>
        <v>504100</v>
      </c>
      <c r="B338" s="2">
        <v>1226</v>
      </c>
      <c r="C338" s="7" t="str">
        <f t="shared" si="31"/>
        <v>PremiumSS5R5only</v>
      </c>
      <c r="D338" s="97" t="str">
        <f t="shared" si="3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IFERROR(VLOOKUP(B338,input_504100!L:R,7,FALSE),VLOOKUP(tables_504100!C338,input_504100!A:H,8,FALSE))</f>
        <v>4502.1052600000003</v>
      </c>
      <c r="P338" s="46">
        <f t="shared" ca="1" si="26"/>
        <v>7.2567783043174516E-5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input_504100!A$2</f>
        <v>504100</v>
      </c>
      <c r="B339" s="2">
        <v>1228</v>
      </c>
      <c r="C339" s="7" t="str">
        <f t="shared" si="31"/>
        <v>PremiumSS5R5only</v>
      </c>
      <c r="D339" s="97" t="str">
        <f t="shared" si="3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IFERROR(VLOOKUP(B339,input_504100!L:R,7,FALSE),VLOOKUP(tables_504100!C339,input_504100!A:H,8,FALSE))</f>
        <v>4502.1052600000003</v>
      </c>
      <c r="P339" s="46">
        <f t="shared" ca="1" si="26"/>
        <v>7.2567783043174516E-5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input_504100!A$2</f>
        <v>504100</v>
      </c>
      <c r="B340" s="2">
        <v>1230</v>
      </c>
      <c r="C340" s="7" t="str">
        <f t="shared" si="31"/>
        <v>PremiumSS5R5only</v>
      </c>
      <c r="D340" s="97" t="str">
        <f t="shared" si="3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IFERROR(VLOOKUP(B340,input_504100!L:R,7,FALSE),VLOOKUP(tables_504100!C340,input_504100!A:H,8,FALSE))</f>
        <v>4502.1052600000003</v>
      </c>
      <c r="P340" s="46">
        <f t="shared" ca="1" si="26"/>
        <v>7.2567783043174516E-5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input_504100!A$2</f>
        <v>504100</v>
      </c>
      <c r="B341" s="101">
        <v>1244</v>
      </c>
      <c r="C341" s="7" t="str">
        <f t="shared" ref="C341:C346" si="33">D341&amp;J341&amp;E341&amp;F341&amp;G341</f>
        <v>PremiumSS5R5only</v>
      </c>
      <c r="D341" s="97" t="str">
        <f t="shared" ref="D341:D346" si="34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IFERROR(VLOOKUP(B341,input_504100!L:R,7,FALSE),VLOOKUP(tables_504100!C341,input_504100!A:H,8,FALSE))</f>
        <v>4502.1052600000003</v>
      </c>
      <c r="P341" s="46">
        <f t="shared" ref="P341:P346" ca="1" si="35">O341/SUM(O:O)</f>
        <v>7.2567783043174516E-5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input_504100!A$2</f>
        <v>504100</v>
      </c>
      <c r="B342" s="101">
        <v>1246</v>
      </c>
      <c r="C342" s="7" t="str">
        <f t="shared" si="33"/>
        <v>PremiumSS5R5only</v>
      </c>
      <c r="D342" s="97" t="str">
        <f t="shared" si="34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IFERROR(VLOOKUP(B342,input_504100!L:R,7,FALSE),VLOOKUP(tables_504100!C342,input_504100!A:H,8,FALSE))</f>
        <v>4502.1052600000003</v>
      </c>
      <c r="P342" s="46">
        <f t="shared" ca="1" si="35"/>
        <v>7.2567783043174516E-5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input_504100!A$2</f>
        <v>504100</v>
      </c>
      <c r="B343" s="101">
        <v>1248</v>
      </c>
      <c r="C343" s="7" t="str">
        <f t="shared" si="33"/>
        <v>Premium4R3less</v>
      </c>
      <c r="D343" s="97" t="str">
        <f t="shared" si="34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IFERROR(VLOOKUP(B343,input_504100!L:R,7,FALSE),VLOOKUP(tables_504100!C343,input_504100!A:H,8,FALSE))</f>
        <v>577866.66666999995</v>
      </c>
      <c r="P343" s="46">
        <f t="shared" ca="1" si="35"/>
        <v>9.3144208038332277E-3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input_504100!A$2</f>
        <v>504100</v>
      </c>
      <c r="B344" s="101">
        <v>1249</v>
      </c>
      <c r="C344" s="7" t="str">
        <f t="shared" si="33"/>
        <v>Premium5R3less</v>
      </c>
      <c r="D344" s="97" t="str">
        <f t="shared" si="34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IFERROR(VLOOKUP(B344,input_504100!L:R,7,FALSE),VLOOKUP(tables_504100!C344,input_504100!A:H,8,FALSE))</f>
        <v>36850</v>
      </c>
      <c r="P344" s="46">
        <f t="shared" ca="1" si="35"/>
        <v>5.9397163120548198E-4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input_504100!A$2</f>
        <v>504100</v>
      </c>
      <c r="B345" s="101">
        <v>1250</v>
      </c>
      <c r="C345" s="7" t="str">
        <f t="shared" si="33"/>
        <v>PremiumSS5R5only</v>
      </c>
      <c r="D345" s="97" t="str">
        <f t="shared" si="34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IFERROR(VLOOKUP(B345,input_504100!L:R,7,FALSE),VLOOKUP(tables_504100!C345,input_504100!A:H,8,FALSE))</f>
        <v>4502.1052600000003</v>
      </c>
      <c r="P345" s="46">
        <f t="shared" ca="1" si="35"/>
        <v>7.2567783043174516E-5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input_504100!A$2</f>
        <v>504100</v>
      </c>
      <c r="B346" s="1">
        <v>8001</v>
      </c>
      <c r="C346" s="7" t="str">
        <f t="shared" si="33"/>
        <v>PremiumSS5R5only</v>
      </c>
      <c r="D346" s="97" t="str">
        <f t="shared" si="34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媽祖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yellow</v>
      </c>
      <c r="L346" s="7" t="str">
        <f>VLOOKUP(B346,[1]characters!$A:$K,11,FALSE)</f>
        <v>attack</v>
      </c>
      <c r="M346" s="7" t="str">
        <f>VLOOKUP(B346,[1]characters!$A:$M,13,FALSE)</f>
        <v>god</v>
      </c>
      <c r="N346" s="7" t="str">
        <f>VLOOKUP(B346,[1]characters!$A:$G,7,FALSE)</f>
        <v>女性</v>
      </c>
      <c r="O346" s="45">
        <f>IFERROR(VLOOKUP(B346,input_504100!L:R,7,FALSE),VLOOKUP(tables_504100!C346,input_504100!A:H,8,FALSE))</f>
        <v>1240800</v>
      </c>
      <c r="P346" s="46">
        <f t="shared" ca="1" si="35"/>
        <v>1.9999999999993544E-2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input_504100!A$2</f>
        <v>504100</v>
      </c>
      <c r="B347" s="1">
        <v>8005</v>
      </c>
      <c r="C347" s="7" t="str">
        <f t="shared" ref="C347" si="36">D347&amp;J347&amp;E347&amp;F347&amp;G347</f>
        <v>PremiumSS5R5only</v>
      </c>
      <c r="D347" s="97" t="str">
        <f t="shared" ref="D347" si="37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三蔵法師</v>
      </c>
      <c r="I347" s="7" t="str">
        <f>VLOOKUP(B347,[1]characters!$A:$J,10,FALSE)</f>
        <v>PremiumSS</v>
      </c>
      <c r="J347" s="7">
        <f>VLOOKUP(B347,[1]characters!$A:$I,9,FALSE)</f>
        <v>5</v>
      </c>
      <c r="K347" s="7" t="str">
        <f>VLOOKUP(B347,[1]characters!$A:$H,8,FALSE)</f>
        <v>blue</v>
      </c>
      <c r="L347" s="7" t="str">
        <f>VLOOKUP(B347,[1]characters!$A:$K,11,FALSE)</f>
        <v>balance</v>
      </c>
      <c r="M347" s="7" t="str">
        <f>VLOOKUP(B347,[1]characters!$A:$M,13,FALSE)</f>
        <v>human</v>
      </c>
      <c r="N347" s="7" t="str">
        <f>VLOOKUP(B347,[1]characters!$A:$G,7,FALSE)</f>
        <v>不明</v>
      </c>
      <c r="O347" s="45">
        <f>IFERROR(VLOOKUP(B347,input_504100!L:R,7,FALSE),VLOOKUP(tables_504100!C347,input_504100!A:H,8,FALSE))</f>
        <v>1240800</v>
      </c>
      <c r="P347" s="46">
        <f ca="1">O347/SUM(O:O)</f>
        <v>1.9999999999993544E-2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3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A3" sqref="A2:A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v>504105</v>
      </c>
      <c r="B2" s="6">
        <v>8001</v>
      </c>
      <c r="C2" s="7" t="str">
        <f t="shared" ref="C2:C3" si="0">D2&amp;J2&amp;E2&amp;F2&amp;G2</f>
        <v>PremiumSS5R5only</v>
      </c>
      <c r="D2" s="7" t="str">
        <f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媽祖</v>
      </c>
      <c r="I2" s="7" t="str">
        <f>VLOOKUP(B2,[1]characters!$A:$J,10,FALSE)</f>
        <v>PremiumSS</v>
      </c>
      <c r="J2" s="7">
        <f>VLOOKUP(B2,[1]characters!$A:$I,9,FALSE)</f>
        <v>5</v>
      </c>
      <c r="K2" s="7" t="str">
        <f>VLOOKUP(B2,[1]characters!$A:$H,8,FALSE)</f>
        <v>yellow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女性</v>
      </c>
      <c r="O2" s="45">
        <v>10</v>
      </c>
      <c r="P2" s="46">
        <f>O2/SUM(O:O)</f>
        <v>0.5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>
        <v>504105</v>
      </c>
      <c r="B3" s="6">
        <v>8005</v>
      </c>
      <c r="C3" s="7" t="str">
        <f t="shared" si="0"/>
        <v>PremiumSS5R5only</v>
      </c>
      <c r="D3" s="7" t="str">
        <f t="shared" ref="D3" si="1">IF(OR(I3="PremiumSS",I3="PremiumSSw"),"PremiumSS",IF(I3="PremiumSSS",I3,IF(I3="PremiumW",IF(J3=5,"premium",I3),"Premium")))</f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三蔵法師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blue</v>
      </c>
      <c r="L3" s="7" t="str">
        <f>VLOOKUP(B3,[1]characters!$A:$K,11,FALSE)</f>
        <v>balance</v>
      </c>
      <c r="M3" s="7" t="str">
        <f>VLOOKUP(B3,[1]characters!$A:$M,13,FALSE)</f>
        <v>human</v>
      </c>
      <c r="N3" s="7" t="str">
        <f>VLOOKUP(B3,[1]characters!$A:$G,7,FALSE)</f>
        <v>不明</v>
      </c>
      <c r="O3" s="45">
        <v>10</v>
      </c>
      <c r="P3" s="46">
        <f>O3/SUM(O:O)</f>
        <v>0.5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</sheetData>
  <autoFilter ref="A1:V3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input_504010</vt:lpstr>
      <vt:lpstr>tables_504010</vt:lpstr>
      <vt:lpstr>input_504100</vt:lpstr>
      <vt:lpstr>tables_504100</vt:lpstr>
      <vt:lpstr>tables_settle_504105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2017-01-05T12:37:22Z</dcterms:modified>
</cp:coreProperties>
</file>